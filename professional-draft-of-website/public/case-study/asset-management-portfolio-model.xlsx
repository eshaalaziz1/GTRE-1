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Asset 1" sheetId="2" state="visible" r:id="rId2"/>
    <sheet xmlns:r="http://schemas.openxmlformats.org/officeDocument/2006/relationships" name="Asset 2" sheetId="3" state="visible" r:id="rId3"/>
    <sheet xmlns:r="http://schemas.openxmlformats.org/officeDocument/2006/relationships" name="Asset 3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\$#,##0"/>
    <numFmt numFmtId="166" formatCode="0.00\x"/>
    <numFmt numFmtId="167" formatCode="\$#,##0;&quot;($&quot;#,##0\)"/>
    <numFmt numFmtId="168" formatCode="mm/dd/yyyy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sz val="9"/>
    </font>
    <font>
      <name val="Cambria"/>
      <charset val="1"/>
      <family val="0"/>
      <b val="1"/>
      <color rgb="FF0070C0"/>
      <sz val="11"/>
    </font>
    <font>
      <name val="Cambria"/>
      <charset val="1"/>
      <family val="0"/>
      <b val="1"/>
      <sz val="11"/>
    </font>
    <font>
      <name val="Cambria"/>
      <charset val="1"/>
      <family val="0"/>
      <color rgb="FF0080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color rgb="FF0070C0"/>
      <sz val="11"/>
    </font>
    <font>
      <name val="Cambria"/>
      <charset val="1"/>
      <family val="0"/>
      <sz val="11"/>
    </font>
  </fonts>
  <fills count="4">
    <fill>
      <patternFill/>
    </fill>
    <fill>
      <patternFill patternType="gray125"/>
    </fill>
    <fill>
      <patternFill patternType="solid">
        <fgColor rgb="FF003057"/>
        <bgColor rgb="FF003300"/>
      </patternFill>
    </fill>
    <fill>
      <patternFill patternType="solid">
        <fgColor rgb="FFB3A369"/>
        <bgColor rgb="FFC0C0C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A369"/>
      <rgbColor rgb="FF0030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N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24" min="1" max="1"/>
    <col width="24" customWidth="1" style="24" min="2" max="2"/>
    <col width="16" customWidth="1" style="24" min="3" max="8"/>
  </cols>
  <sheetData>
    <row r="1" ht="15" customHeight="1" s="25">
      <c r="B1" s="26" t="inlineStr">
        <is>
          <t>GTRE Asset Management Portfolio  —  Portfolio Summary</t>
        </is>
      </c>
    </row>
    <row r="2" ht="15" customHeight="1" s="25">
      <c r="B2" s="27" t="inlineStr">
        <is>
          <t>Blue cells = your inputs (change these)     Black cells = formulas (do not touch)     Green cells = links from other tabs</t>
        </is>
      </c>
    </row>
    <row r="4" ht="15" customHeight="1" s="25">
      <c r="B4" s="26" t="inlineStr">
        <is>
          <t>Underwriting Target</t>
        </is>
      </c>
    </row>
    <row r="5" ht="15" customHeight="1" s="25">
      <c r="B5" s="24" t="inlineStr">
        <is>
          <t>Investor Minimum Blended Levered IRR</t>
        </is>
      </c>
      <c r="C5" s="28" t="n">
        <v>0.12</v>
      </c>
    </row>
    <row r="7" ht="15" customHeight="1" s="25">
      <c r="B7" s="26" t="inlineStr">
        <is>
          <t>Deal-by-Deal Summary</t>
        </is>
      </c>
    </row>
    <row r="8" ht="15" customHeight="1" s="25">
      <c r="B8" s="29" t="inlineStr">
        <is>
          <t>Asset</t>
        </is>
      </c>
      <c r="C8" s="29" t="inlineStr">
        <is>
          <t>Property Name</t>
        </is>
      </c>
      <c r="D8" s="29" t="inlineStr">
        <is>
          <t>Product Type</t>
        </is>
      </c>
      <c r="E8" s="29" t="inlineStr">
        <is>
          <t>Purchase Price</t>
        </is>
      </c>
      <c r="F8" s="29" t="inlineStr">
        <is>
          <t>Equity Required</t>
        </is>
      </c>
      <c r="G8" s="29" t="inlineStr">
        <is>
          <t>Levered IRR</t>
        </is>
      </c>
      <c r="H8" s="29" t="inlineStr">
        <is>
          <t>Equity Multiple</t>
        </is>
      </c>
    </row>
    <row r="9" ht="15" customHeight="1" s="25">
      <c r="B9" s="24" t="inlineStr">
        <is>
          <t>Asset 1</t>
        </is>
      </c>
      <c r="C9" s="30">
        <f>'Asset 1'!C5</f>
        <v/>
      </c>
      <c r="D9" s="30">
        <f>'Asset 1'!C6</f>
        <v/>
      </c>
      <c r="E9" s="31">
        <f>'Asset 1'!C8</f>
        <v/>
      </c>
      <c r="F9" s="31">
        <f>'Asset 1'!C33</f>
        <v/>
      </c>
      <c r="G9" s="32">
        <f>'Asset 1'!C44</f>
        <v/>
      </c>
      <c r="H9" s="33">
        <f>'Asset 1'!C45</f>
        <v/>
      </c>
    </row>
    <row r="10" ht="15" customHeight="1" s="25">
      <c r="B10" s="24" t="inlineStr">
        <is>
          <t>Asset 2</t>
        </is>
      </c>
      <c r="C10" s="30">
        <f>'Asset 2'!C5</f>
        <v/>
      </c>
      <c r="D10" s="30">
        <f>'Asset 2'!C6</f>
        <v/>
      </c>
      <c r="E10" s="31">
        <f>'Asset 2'!C8</f>
        <v/>
      </c>
      <c r="F10" s="31">
        <f>'Asset 2'!C33</f>
        <v/>
      </c>
      <c r="G10" s="32">
        <f>'Asset 2'!C44</f>
        <v/>
      </c>
      <c r="H10" s="33">
        <f>'Asset 2'!C45</f>
        <v/>
      </c>
    </row>
    <row r="11" ht="15" customHeight="1" s="25">
      <c r="B11" s="24" t="inlineStr">
        <is>
          <t>Asset 3</t>
        </is>
      </c>
      <c r="C11" s="30">
        <f>'Asset 3'!C5</f>
        <v/>
      </c>
      <c r="D11" s="30">
        <f>'Asset 3'!C6</f>
        <v/>
      </c>
      <c r="E11" s="31">
        <f>'Asset 3'!C8</f>
        <v/>
      </c>
      <c r="F11" s="31">
        <f>'Asset 3'!C33</f>
        <v/>
      </c>
      <c r="G11" s="32">
        <f>'Asset 3'!C44</f>
        <v/>
      </c>
      <c r="H11" s="33">
        <f>'Asset 3'!C45</f>
        <v/>
      </c>
    </row>
    <row r="12" ht="15" customHeight="1" s="25">
      <c r="B12" s="29" t="inlineStr">
        <is>
          <t>Product Type Check</t>
        </is>
      </c>
      <c r="C12" s="29">
        <f>IF(OR(AND(C9=C10,C9&lt;&gt;""),AND(C9=C11,C9&lt;&gt;""),AND(C10=C11,C10&lt;&gt;"")),"DUPLICATE — FIX","OK, all different")</f>
        <v/>
      </c>
    </row>
    <row r="14" ht="15" customHeight="1" s="25">
      <c r="B14" s="26" t="inlineStr">
        <is>
          <t>Consolidated Levered Equity Cash Flow (Portfolio)</t>
        </is>
      </c>
    </row>
    <row r="15" ht="15" customHeight="1" s="25">
      <c r="B15" s="24" t="inlineStr">
        <is>
          <t>Year</t>
        </is>
      </c>
      <c r="D15" s="29" t="n">
        <v>0</v>
      </c>
      <c r="E15" s="29" t="n">
        <v>1</v>
      </c>
      <c r="F15" s="29" t="n">
        <v>2</v>
      </c>
      <c r="G15" s="29" t="n">
        <v>3</v>
      </c>
      <c r="H15" s="29" t="n">
        <v>4</v>
      </c>
      <c r="I15" s="29" t="n">
        <v>5</v>
      </c>
      <c r="J15" s="29" t="n">
        <v>6</v>
      </c>
      <c r="K15" s="29" t="n">
        <v>7</v>
      </c>
      <c r="L15" s="29" t="n">
        <v>8</v>
      </c>
      <c r="M15" s="29" t="n">
        <v>9</v>
      </c>
      <c r="N15" s="29" t="n">
        <v>10</v>
      </c>
    </row>
    <row r="16" ht="15" customHeight="1" s="25">
      <c r="B16" s="29" t="inlineStr">
        <is>
          <t>Combined Levered Equity Cash Flow</t>
        </is>
      </c>
      <c r="D16" s="34">
        <f>SUM('Asset 1'!D41,'Asset 2'!D41,'Asset 3'!D41)</f>
        <v/>
      </c>
      <c r="E16" s="34">
        <f>SUM('Asset 1'!E41,'Asset 2'!E41,'Asset 3'!E41)</f>
        <v/>
      </c>
      <c r="F16" s="34">
        <f>SUM('Asset 1'!F41,'Asset 2'!F41,'Asset 3'!F41)</f>
        <v/>
      </c>
      <c r="G16" s="34">
        <f>SUM('Asset 1'!G41,'Asset 2'!G41,'Asset 3'!G41)</f>
        <v/>
      </c>
      <c r="H16" s="34">
        <f>SUM('Asset 1'!H41,'Asset 2'!H41,'Asset 3'!H41)</f>
        <v/>
      </c>
      <c r="I16" s="34">
        <f>SUM('Asset 1'!I41,'Asset 2'!I41,'Asset 3'!I41)</f>
        <v/>
      </c>
      <c r="J16" s="34">
        <f>SUM('Asset 1'!J41,'Asset 2'!J41,'Asset 3'!J41)</f>
        <v/>
      </c>
      <c r="K16" s="34">
        <f>SUM('Asset 1'!K41,'Asset 2'!K41,'Asset 3'!K41)</f>
        <v/>
      </c>
      <c r="L16" s="34">
        <f>SUM('Asset 1'!L41,'Asset 2'!L41,'Asset 3'!L41)</f>
        <v/>
      </c>
      <c r="M16" s="34">
        <f>SUM('Asset 1'!M41,'Asset 2'!M41,'Asset 3'!M41)</f>
        <v/>
      </c>
      <c r="N16" s="34">
        <f>SUM('Asset 1'!N41,'Asset 2'!N41,'Asset 3'!N41)</f>
        <v/>
      </c>
    </row>
    <row r="18" ht="15" customHeight="1" s="25">
      <c r="B18" s="26" t="inlineStr">
        <is>
          <t>Blended Portfolio Returns</t>
        </is>
      </c>
    </row>
    <row r="19" ht="15" customHeight="1" s="25">
      <c r="B19" s="29" t="inlineStr">
        <is>
          <t>Blended Levered IRR</t>
        </is>
      </c>
      <c r="C19" s="35">
        <f>IRR(D16:N16)</f>
        <v/>
      </c>
    </row>
    <row r="20" ht="15" customHeight="1" s="25">
      <c r="B20" s="27" t="inlineStr">
        <is>
          <t>Note: this blends the three levered cash flow streams, then runs one IRR — it is NOT the average of the three deal IRRs above.</t>
        </is>
      </c>
    </row>
    <row r="21" ht="15" customHeight="1" s="25">
      <c r="B21" s="29" t="inlineStr">
        <is>
          <t>Clears 12% Hurdle?</t>
        </is>
      </c>
      <c r="C21" s="29">
        <f>IF(C19&gt;=C5,"PASS","FAIL — defend the weaker deal's role in the portfolio")</f>
        <v/>
      </c>
    </row>
    <row r="23" ht="15" customHeight="1" s="25">
      <c r="B23" s="26" t="inlineStr">
        <is>
          <t>Portfolio Memo</t>
        </is>
      </c>
    </row>
    <row r="24" ht="15" customHeight="1" s="25">
      <c r="B24" s="27" t="inlineStr">
        <is>
          <t>Why these three assets together (income, risk, and return balance across the hold — can instead live in your deck):</t>
        </is>
      </c>
    </row>
    <row r="25" ht="15" customHeight="1" s="25">
      <c r="B25" s="36" t="inlineStr">
        <is>
          <t>[Write your portfolio memo here, or reference the corresponding section of your deck]</t>
        </is>
      </c>
    </row>
    <row r="26" ht="15" customHeight="1" s="25"/>
    <row r="27" ht="15" customHeight="1" s="25"/>
    <row r="28" ht="15" customHeight="1" s="25"/>
    <row r="29" ht="15" customHeight="1" s="25"/>
  </sheetData>
  <mergeCells count="7">
    <mergeCell ref="B14:N14"/>
    <mergeCell ref="B1:H1"/>
    <mergeCell ref="B25:H29"/>
    <mergeCell ref="B7:H7"/>
    <mergeCell ref="B18:C18"/>
    <mergeCell ref="B4:C4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N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24" min="1" max="1"/>
    <col width="34" customWidth="1" style="24" min="2" max="2"/>
    <col width="16" customWidth="1" style="24" min="3" max="3"/>
    <col width="12" customWidth="1" style="24" min="4" max="14"/>
  </cols>
  <sheetData>
    <row r="1" ht="15" customHeight="1" s="25">
      <c r="B1" s="26" t="inlineStr">
        <is>
          <t>GTRE Asset Management Portfolio  —  Asset 1</t>
        </is>
      </c>
    </row>
    <row r="2" ht="15" customHeight="1" s="25">
      <c r="B2" s="27" t="inlineStr">
        <is>
          <t>Blue cells = your inputs (change these)     Black cells = formulas (do not touch)     Green cells = links from other tabs</t>
        </is>
      </c>
    </row>
    <row r="4" ht="15" customHeight="1" s="25">
      <c r="B4" s="26" t="inlineStr">
        <is>
          <t>① Property Overview</t>
        </is>
      </c>
    </row>
    <row r="5" ht="15" customHeight="1" s="25">
      <c r="B5" s="37" t="inlineStr">
        <is>
          <t>Property Name</t>
        </is>
      </c>
      <c r="C5" s="38" t="inlineStr">
        <is>
          <t>[Enter Property 1 Name]</t>
        </is>
      </c>
    </row>
    <row r="6" ht="15" customHeight="1" s="25">
      <c r="B6" s="37" t="inlineStr">
        <is>
          <t>Product Type</t>
        </is>
      </c>
      <c r="C6" s="38" t="inlineStr">
        <is>
          <t>[Select Product Type]</t>
        </is>
      </c>
    </row>
    <row r="7" ht="15" customHeight="1" s="25">
      <c r="B7" s="37" t="inlineStr">
        <is>
          <t>Submarket / Location</t>
        </is>
      </c>
      <c r="C7" s="38" t="inlineStr">
        <is>
          <t>[Enter Submarket]</t>
        </is>
      </c>
    </row>
    <row r="8" ht="15" customHeight="1" s="25">
      <c r="B8" s="37" t="inlineStr">
        <is>
          <t>Purchase Price</t>
        </is>
      </c>
      <c r="C8" s="39" t="n"/>
    </row>
    <row r="9" ht="15" customHeight="1" s="25">
      <c r="B9" s="37" t="inlineStr">
        <is>
          <t>Purchase Date</t>
        </is>
      </c>
      <c r="C9" s="40" t="n"/>
    </row>
    <row r="10" ht="15" customHeight="1" s="25">
      <c r="B10" s="37" t="inlineStr">
        <is>
          <t>Hold Period (Years)</t>
        </is>
      </c>
      <c r="C10" s="41" t="n"/>
    </row>
    <row r="11" ht="15" customHeight="1" s="25">
      <c r="B11" s="37" t="inlineStr">
        <is>
          <t>Exit Cap Rate</t>
        </is>
      </c>
      <c r="C11" s="42" t="n"/>
    </row>
    <row r="12" ht="15" customHeight="1" s="25">
      <c r="B12" s="37" t="inlineStr">
        <is>
          <t>Disposition Cost %</t>
        </is>
      </c>
      <c r="C12" s="43" t="n"/>
    </row>
    <row r="14" ht="15" customHeight="1" s="25">
      <c r="B14" s="26" t="inlineStr">
        <is>
          <t>② In-Place Operations</t>
        </is>
      </c>
    </row>
    <row r="15" ht="15" customHeight="1" s="25">
      <c r="B15" s="37" t="inlineStr">
        <is>
          <t>In-Place NOI (Year 1)</t>
        </is>
      </c>
      <c r="C15" s="39" t="n"/>
    </row>
    <row r="16" ht="15" customHeight="1" s="25">
      <c r="B16" s="37" t="inlineStr">
        <is>
          <t>NOI Growth Rate (Yr 2+)</t>
        </is>
      </c>
      <c r="C16" s="43" t="n"/>
    </row>
    <row r="17" ht="15" customHeight="1" s="25">
      <c r="B17" s="37" t="inlineStr">
        <is>
          <t>Stabilized Occupancy</t>
        </is>
      </c>
      <c r="C17" s="43" t="n"/>
    </row>
    <row r="19" ht="15" customHeight="1" s="25">
      <c r="B19" s="26" t="inlineStr">
        <is>
          <t>③ Lease Rollover Risk (during hold)</t>
        </is>
      </c>
    </row>
    <row r="20" ht="15" customHeight="1" s="25">
      <c r="B20" s="37" t="inlineStr">
        <is>
          <t>Rollover Event</t>
        </is>
      </c>
      <c r="C20" s="37" t="inlineStr">
        <is>
          <t>Year of Event</t>
        </is>
      </c>
      <c r="D20" s="37" t="inlineStr">
        <is>
          <t>Downtime Drag (% of NOI, that yr)</t>
        </is>
      </c>
      <c r="E20" s="37" t="inlineStr">
        <is>
          <t>Re-Leasing Capex ($)</t>
        </is>
      </c>
      <c r="F20" s="37" t="inlineStr">
        <is>
          <t>Mark-to-Market NOI Impact (%)</t>
        </is>
      </c>
    </row>
    <row r="21" ht="15" customHeight="1" s="25">
      <c r="B21" s="37" t="inlineStr">
        <is>
          <t>Event 1</t>
        </is>
      </c>
      <c r="C21" s="41" t="n"/>
      <c r="D21" s="43" t="n"/>
      <c r="E21" s="39" t="n"/>
      <c r="F21" s="43" t="n"/>
    </row>
    <row r="22" ht="15" customHeight="1" s="25">
      <c r="B22" s="37" t="inlineStr">
        <is>
          <t>Event 2</t>
        </is>
      </c>
      <c r="C22" s="41" t="n"/>
      <c r="D22" s="43" t="n"/>
      <c r="E22" s="39" t="n"/>
      <c r="F22" s="43" t="n"/>
    </row>
    <row r="23" ht="15" customHeight="1" s="25">
      <c r="B23" s="37" t="inlineStr">
        <is>
          <t>Event 3</t>
        </is>
      </c>
      <c r="C23" s="41" t="n"/>
      <c r="D23" s="43" t="n"/>
      <c r="E23" s="39" t="n"/>
      <c r="F23" s="43" t="n"/>
    </row>
    <row r="26" ht="15" customHeight="1" s="25">
      <c r="B26" s="26" t="inlineStr">
        <is>
          <t>④ Acquisition Financing</t>
        </is>
      </c>
    </row>
    <row r="27" ht="15" customHeight="1" s="25">
      <c r="B27" s="37" t="inlineStr">
        <is>
          <t>Loan-to-Value (LTV)</t>
        </is>
      </c>
      <c r="C27" s="43" t="n"/>
    </row>
    <row r="28" ht="15" customHeight="1" s="25">
      <c r="B28" s="37" t="inlineStr">
        <is>
          <t>Interest Rate</t>
        </is>
      </c>
      <c r="C28" s="42" t="n"/>
    </row>
    <row r="29" ht="15" customHeight="1" s="25">
      <c r="B29" s="37" t="inlineStr">
        <is>
          <t>Interest-Only Period (Yrs)</t>
        </is>
      </c>
      <c r="C29" s="41" t="n"/>
    </row>
    <row r="30" ht="15" customHeight="1" s="25">
      <c r="B30" s="37" t="inlineStr">
        <is>
          <t>Amortization Period (Yrs)</t>
        </is>
      </c>
      <c r="C30" s="41" t="n"/>
    </row>
    <row r="31" ht="15" customHeight="1" s="25">
      <c r="B31" s="37" t="inlineStr">
        <is>
          <t>Origination Fee %</t>
        </is>
      </c>
      <c r="C31" s="43" t="n"/>
    </row>
    <row r="32" ht="15" customHeight="1" s="25">
      <c r="B32" s="29" t="inlineStr">
        <is>
          <t>Loan Amount</t>
        </is>
      </c>
      <c r="C32" s="44">
        <f>C8*C27</f>
        <v/>
      </c>
    </row>
    <row r="33" ht="15" customHeight="1" s="25">
      <c r="B33" s="29" t="inlineStr">
        <is>
          <t>Equity Required</t>
        </is>
      </c>
      <c r="C33" s="44">
        <f>(C8-C32)+(C32*C31)</f>
        <v/>
      </c>
    </row>
    <row r="35" ht="15" customHeight="1" s="25">
      <c r="B35" s="26" t="inlineStr">
        <is>
          <t>⑤ Annual Levered Cash Flow</t>
        </is>
      </c>
    </row>
    <row r="36" ht="15" customHeight="1" s="25">
      <c r="B36" s="37" t="inlineStr">
        <is>
          <t>Year</t>
        </is>
      </c>
      <c r="D36" s="45" t="n">
        <v>0</v>
      </c>
      <c r="E36" s="45" t="n">
        <v>1</v>
      </c>
      <c r="F36" s="45" t="n">
        <v>2</v>
      </c>
      <c r="G36" s="45" t="n">
        <v>3</v>
      </c>
      <c r="H36" s="45" t="n">
        <v>4</v>
      </c>
      <c r="I36" s="45" t="n">
        <v>5</v>
      </c>
      <c r="J36" s="45" t="n">
        <v>6</v>
      </c>
      <c r="K36" s="45" t="n">
        <v>7</v>
      </c>
      <c r="L36" s="45" t="n">
        <v>8</v>
      </c>
      <c r="M36" s="45" t="n">
        <v>9</v>
      </c>
      <c r="N36" s="45" t="n">
        <v>10</v>
      </c>
    </row>
    <row r="37" ht="15" customHeight="1" s="25">
      <c r="B37" s="37" t="inlineStr">
        <is>
          <t>Net Operating Income</t>
        </is>
      </c>
      <c r="D37" s="46" t="n"/>
      <c r="E37">
        <f>IF($C$10&gt;=1,$C$15,"")</f>
        <v/>
      </c>
      <c r="F37" s="46">
        <f>IF($C$10&gt;=2,E37*(1+$C$16)*IF($C$21=2,(1-$D$21)*(1+$F$21),1)*IF($C$22=2,(1-$D$22)*(1+$F$22),1)*IF($C$23=2,(1-$D$23)*(1+$F$23),1),"")</f>
        <v/>
      </c>
      <c r="G37" s="46">
        <f>IF($C$10&gt;=3,F37*(1+$C$16)*IF($C$21=3,(1-$D$21)*(1+$F$21),1)*IF($C$22=3,(1-$D$22)*(1+$F$22),1)*IF($C$23=3,(1-$D$23)*(1+$F$23),1),"")</f>
        <v/>
      </c>
      <c r="H37" s="46">
        <f>IF($C$10&gt;=4,G37*(1+$C$16)*IF($C$21=4,(1-$D$21)*(1+$F$21),1)*IF($C$22=4,(1-$D$22)*(1+$F$22),1)*IF($C$23=4,(1-$D$23)*(1+$F$23),1),"")</f>
        <v/>
      </c>
      <c r="I37" s="46">
        <f>IF($C$10&gt;=5,H37*(1+$C$16)*IF($C$21=5,(1-$D$21)*(1+$F$21),1)*IF($C$22=5,(1-$D$22)*(1+$F$22),1)*IF($C$23=5,(1-$D$23)*(1+$F$23),1),"")</f>
        <v/>
      </c>
      <c r="J37" s="46">
        <f>IF($C$10&gt;=6,I37*(1+$C$16)*IF($C$21=6,(1-$D$21)*(1+$F$21),1)*IF($C$22=6,(1-$D$22)*(1+$F$22),1)*IF($C$23=6,(1-$D$23)*(1+$F$23),1),"")</f>
        <v/>
      </c>
      <c r="K37" s="46">
        <f>IF($C$10&gt;=7,J37*(1+$C$16)*IF($C$21=7,(1-$D$21)*(1+$F$21),1)*IF($C$22=7,(1-$D$22)*(1+$F$22),1)*IF($C$23=7,(1-$D$23)*(1+$F$23),1),"")</f>
        <v/>
      </c>
      <c r="L37" s="46">
        <f>IF($C$10&gt;=8,K37*(1+$C$16)*IF($C$21=8,(1-$D$21)*(1+$F$21),1)*IF($C$22=8,(1-$D$22)*(1+$F$22),1)*IF($C$23=8,(1-$D$23)*(1+$F$23),1),"")</f>
        <v/>
      </c>
      <c r="M37" s="46">
        <f>IF($C$10&gt;=9,L37*(1+$C$16)*IF($C$21=9,(1-$D$21)*(1+$F$21),1)*IF($C$22=9,(1-$D$22)*(1+$F$22),1)*IF($C$23=9,(1-$D$23)*(1+$F$23),1),"")</f>
        <v/>
      </c>
      <c r="N37" s="46">
        <f>IF($C$10&gt;=10,M37*(1+$C$16)*IF($C$21=10,(1-$D$21)*(1+$F$21),1)*IF($C$22=10,(1-$D$22)*(1+$F$22),1)*IF($C$23=10,(1-$D$23)*(1+$F$23),1),"")</f>
        <v/>
      </c>
    </row>
    <row r="38" ht="15" customHeight="1" s="25">
      <c r="B38" s="37" t="inlineStr">
        <is>
          <t>Less: Debt Service</t>
        </is>
      </c>
      <c r="E38" s="46">
        <f>IF($C$10&gt;=1,IF(1&lt;=$C$29,-$C$32*$C$28,PMT($C$28,$C$30,$C$32)),"")</f>
        <v/>
      </c>
      <c r="F38" s="46">
        <f>IF($C$10&gt;=2,IF(2&lt;=$C$29,-$C$32*$C$28,PMT($C$28,$C$30,$C$32)),"")</f>
        <v/>
      </c>
      <c r="G38" s="46">
        <f>IF($C$10&gt;=3,IF(3&lt;=$C$29,-$C$32*$C$28,PMT($C$28,$C$30,$C$32)),"")</f>
        <v/>
      </c>
      <c r="H38" s="46">
        <f>IF($C$10&gt;=4,IF(4&lt;=$C$29,-$C$32*$C$28,PMT($C$28,$C$30,$C$32)),"")</f>
        <v/>
      </c>
      <c r="I38" s="46">
        <f>IF($C$10&gt;=5,IF(5&lt;=$C$29,-$C$32*$C$28,PMT($C$28,$C$30,$C$32)),"")</f>
        <v/>
      </c>
      <c r="J38" s="46">
        <f>IF($C$10&gt;=6,IF(6&lt;=$C$29,-$C$32*$C$28,PMT($C$28,$C$30,$C$32)),"")</f>
        <v/>
      </c>
      <c r="K38" s="46">
        <f>IF($C$10&gt;=7,IF(7&lt;=$C$29,-$C$32*$C$28,PMT($C$28,$C$30,$C$32)),"")</f>
        <v/>
      </c>
      <c r="L38" s="46">
        <f>IF($C$10&gt;=8,IF(8&lt;=$C$29,-$C$32*$C$28,PMT($C$28,$C$30,$C$32)),"")</f>
        <v/>
      </c>
      <c r="M38" s="46">
        <f>IF($C$10&gt;=9,IF(9&lt;=$C$29,-$C$32*$C$28,PMT($C$28,$C$30,$C$32)),"")</f>
        <v/>
      </c>
      <c r="N38" s="46">
        <f>IF($C$10&gt;=10,IF(10&lt;=$C$29,-$C$32*$C$28,PMT($C$28,$C$30,$C$32)),"")</f>
        <v/>
      </c>
    </row>
    <row r="39" ht="15" customHeight="1" s="25">
      <c r="B39" s="37" t="inlineStr">
        <is>
          <t>Less: Re-Leasing Capex</t>
        </is>
      </c>
      <c r="E39" s="46">
        <f>IF($C$10&gt;=1,-(IF($C$21=1,$E$21,0)+IF($C$22=1,$E$22,0)+IF($C$23=1,$E$23,0)),"")</f>
        <v/>
      </c>
      <c r="F39" s="46">
        <f>IF($C$10&gt;=2,-(IF($C$21=2,$E$21,0)+IF($C$22=2,$E$22,0)+IF($C$23=2,$E$23,0)),"")</f>
        <v/>
      </c>
      <c r="G39" s="46">
        <f>IF($C$10&gt;=3,-(IF($C$21=3,$E$21,0)+IF($C$22=3,$E$22,0)+IF($C$23=3,$E$23,0)),"")</f>
        <v/>
      </c>
      <c r="H39" s="46">
        <f>IF($C$10&gt;=4,-(IF($C$21=4,$E$21,0)+IF($C$22=4,$E$22,0)+IF($C$23=4,$E$23,0)),"")</f>
        <v/>
      </c>
      <c r="I39" s="46">
        <f>IF($C$10&gt;=5,-(IF($C$21=5,$E$21,0)+IF($C$22=5,$E$22,0)+IF($C$23=5,$E$23,0)),"")</f>
        <v/>
      </c>
      <c r="J39" s="46">
        <f>IF($C$10&gt;=6,-(IF($C$21=6,$E$21,0)+IF($C$22=6,$E$22,0)+IF($C$23=6,$E$23,0)),"")</f>
        <v/>
      </c>
      <c r="K39" s="46">
        <f>IF($C$10&gt;=7,-(IF($C$21=7,$E$21,0)+IF($C$22=7,$E$22,0)+IF($C$23=7,$E$23,0)),"")</f>
        <v/>
      </c>
      <c r="L39" s="46">
        <f>IF($C$10&gt;=8,-(IF($C$21=8,$E$21,0)+IF($C$22=8,$E$22,0)+IF($C$23=8,$E$23,0)),"")</f>
        <v/>
      </c>
      <c r="M39" s="46">
        <f>IF($C$10&gt;=9,-(IF($C$21=9,$E$21,0)+IF($C$22=9,$E$22,0)+IF($C$23=9,$E$23,0)),"")</f>
        <v/>
      </c>
      <c r="N39" s="46">
        <f>IF($C$10&gt;=10,-(IF($C$21=10,$E$21,0)+IF($C$22=10,$E$22,0)+IF($C$23=10,$E$23,0)),"")</f>
        <v/>
      </c>
    </row>
    <row r="40" ht="15" customHeight="1" s="25">
      <c r="B40" s="37" t="inlineStr">
        <is>
          <t>Net Sale Proceeds at Exit</t>
        </is>
      </c>
      <c r="E40" s="46">
        <f>IF($C$10=1,(INDEX($D$37:$N$37,1,$C$10+2)/$C$11)*(1-$C$12)-(IF(1&lt;=$C$29,$C$32,$C$32*(1-(((1+$C$28)^(1-$C$29)-1)/((1+$C$28)^$C$30-1))))),"")</f>
        <v/>
      </c>
      <c r="F40" s="46">
        <f>IF($C$10=2,(INDEX($D$37:$N$37,1,$C$10+2)/$C$11)*(1-$C$12)-(IF(2&lt;=$C$29,$C$32,$C$32*(1-(((1+$C$28)^(2-$C$29)-1)/((1+$C$28)^$C$30-1))))),"")</f>
        <v/>
      </c>
      <c r="G40" s="46">
        <f>IF($C$10=3,(INDEX($D$37:$N$37,1,$C$10+2)/$C$11)*(1-$C$12)-(IF(3&lt;=$C$29,$C$32,$C$32*(1-(((1+$C$28)^(3-$C$29)-1)/((1+$C$28)^$C$30-1))))),"")</f>
        <v/>
      </c>
      <c r="H40" s="46">
        <f>IF($C$10=4,(INDEX($D$37:$N$37,1,$C$10+2)/$C$11)*(1-$C$12)-(IF(4&lt;=$C$29,$C$32,$C$32*(1-(((1+$C$28)^(4-$C$29)-1)/((1+$C$28)^$C$30-1))))),"")</f>
        <v/>
      </c>
      <c r="I40" s="46">
        <f>IF($C$10=5,(INDEX($D$37:$N$37,1,$C$10+2)/$C$11)*(1-$C$12)-(IF(5&lt;=$C$29,$C$32,$C$32*(1-(((1+$C$28)^(5-$C$29)-1)/((1+$C$28)^$C$30-1))))),"")</f>
        <v/>
      </c>
      <c r="J40" s="46">
        <f>IF($C$10=6,(INDEX($D$37:$N$37,1,$C$10+2)/$C$11)*(1-$C$12)-(IF(6&lt;=$C$29,$C$32,$C$32*(1-(((1+$C$28)^(6-$C$29)-1)/((1+$C$28)^$C$30-1))))),"")</f>
        <v/>
      </c>
      <c r="K40" s="46">
        <f>IF($C$10=7,(INDEX($D$37:$N$37,1,$C$10+2)/$C$11)*(1-$C$12)-(IF(7&lt;=$C$29,$C$32,$C$32*(1-(((1+$C$28)^(7-$C$29)-1)/((1+$C$28)^$C$30-1))))),"")</f>
        <v/>
      </c>
      <c r="L40" s="46">
        <f>IF($C$10=8,(INDEX($D$37:$N$37,1,$C$10+2)/$C$11)*(1-$C$12)-(IF(8&lt;=$C$29,$C$32,$C$32*(1-(((1+$C$28)^(8-$C$29)-1)/((1+$C$28)^$C$30-1))))),"")</f>
        <v/>
      </c>
      <c r="M40" s="46">
        <f>IF($C$10=9,(INDEX($D$37:$N$37,1,$C$10+2)/$C$11)*(1-$C$12)-(IF(9&lt;=$C$29,$C$32,$C$32*(1-(((1+$C$28)^(9-$C$29)-1)/((1+$C$28)^$C$30-1))))),"")</f>
        <v/>
      </c>
      <c r="N40" s="46">
        <f>IF($C$10=10,(N37*(1+$C$16)/$C$11)*(1-$C$12)-(IF(10&lt;=$C$29,$C$32,$C$32*(1-(((1+$C$28)^(10-$C$29)-1)/((1+$C$28)^$C$30-1))))),"")</f>
        <v/>
      </c>
    </row>
    <row r="41" ht="15" customHeight="1" s="25">
      <c r="B41" s="29" t="inlineStr">
        <is>
          <t>Total Levered Equity Cash Flow</t>
        </is>
      </c>
      <c r="D41" s="47">
        <f>-C33</f>
        <v/>
      </c>
      <c r="E41" s="47">
        <f>IF($C$10&gt;=1,SUM(E37,E38,E39,E40),"")</f>
        <v/>
      </c>
      <c r="F41" s="47">
        <f>IF($C$10&gt;=2,SUM(F37,F38,F39,F40),"")</f>
        <v/>
      </c>
      <c r="G41" s="47">
        <f>IF($C$10&gt;=3,SUM(G37,G38,G39,G40),"")</f>
        <v/>
      </c>
      <c r="H41" s="47">
        <f>IF($C$10&gt;=4,SUM(H37,H38,H39,H40),"")</f>
        <v/>
      </c>
      <c r="I41" s="47">
        <f>IF($C$10&gt;=5,SUM(I37,I38,I39,I40),"")</f>
        <v/>
      </c>
      <c r="J41" s="47">
        <f>IF($C$10&gt;=6,SUM(J37,J38,J39,J40),"")</f>
        <v/>
      </c>
      <c r="K41" s="47">
        <f>IF($C$10&gt;=7,SUM(K37,K38,K39,K40),"")</f>
        <v/>
      </c>
      <c r="L41" s="47">
        <f>IF($C$10&gt;=8,SUM(L37,L38,L39,L40),"")</f>
        <v/>
      </c>
      <c r="M41" s="47">
        <f>IF($C$10&gt;=9,SUM(M37,M38,M39,M40),"")</f>
        <v/>
      </c>
      <c r="N41" s="47">
        <f>IF($C$10&gt;=10,SUM(N37,N38,N39,N40),"")</f>
        <v/>
      </c>
    </row>
    <row r="43" ht="15" customHeight="1" s="25">
      <c r="B43" s="26" t="inlineStr">
        <is>
          <t>⑥ Returns</t>
        </is>
      </c>
    </row>
    <row r="44" ht="15" customHeight="1" s="25">
      <c r="B44" s="29" t="inlineStr">
        <is>
          <t>Levered IRR</t>
        </is>
      </c>
      <c r="C44" s="35">
        <f>IRR(D41:N41)</f>
        <v/>
      </c>
    </row>
    <row r="45" ht="15" customHeight="1" s="25">
      <c r="B45" s="29" t="inlineStr">
        <is>
          <t>Equity Multiple</t>
        </is>
      </c>
      <c r="C45" s="48">
        <f>SUMIF(D41:N41,"&gt;0")/-D41</f>
        <v/>
      </c>
    </row>
  </sheetData>
  <mergeCells count="7">
    <mergeCell ref="B35:N35"/>
    <mergeCell ref="B19:F19"/>
    <mergeCell ref="B14:C14"/>
    <mergeCell ref="B1:F1"/>
    <mergeCell ref="B26:C26"/>
    <mergeCell ref="B4:C4"/>
    <mergeCell ref="B43:C43"/>
  </mergeCells>
  <dataValidations count="1">
    <dataValidation sqref="C6" showDropDown="0" showInputMessage="0" showErrorMessage="0" allowBlank="1" type="list" errorStyle="stop" operator="between">
      <formula1>"Multifamily,Office,Industrial,Retail,Hospitality,Mixed-Use"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N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24" min="1" max="1"/>
    <col width="34" customWidth="1" style="24" min="2" max="2"/>
    <col width="16" customWidth="1" style="24" min="3" max="3"/>
    <col width="12" customWidth="1" style="24" min="4" max="14"/>
  </cols>
  <sheetData>
    <row r="1" ht="15" customHeight="1" s="25">
      <c r="B1" s="26" t="inlineStr">
        <is>
          <t>GTRE Asset Management Portfolio  —  Asset 2</t>
        </is>
      </c>
    </row>
    <row r="2" ht="15" customHeight="1" s="25">
      <c r="B2" s="27" t="inlineStr">
        <is>
          <t>Blue cells = your inputs (change these)     Black cells = formulas (do not touch)     Green cells = links from other tabs</t>
        </is>
      </c>
    </row>
    <row r="4" ht="15" customHeight="1" s="25">
      <c r="B4" s="26" t="inlineStr">
        <is>
          <t>① Property Overview</t>
        </is>
      </c>
    </row>
    <row r="5" ht="15" customHeight="1" s="25">
      <c r="B5" s="37" t="inlineStr">
        <is>
          <t>Property Name</t>
        </is>
      </c>
      <c r="C5" s="38" t="inlineStr">
        <is>
          <t>[Enter Property 2 Name]</t>
        </is>
      </c>
    </row>
    <row r="6" ht="15" customHeight="1" s="25">
      <c r="B6" s="37" t="inlineStr">
        <is>
          <t>Product Type</t>
        </is>
      </c>
      <c r="C6" s="38" t="inlineStr">
        <is>
          <t>[Select Product Type]</t>
        </is>
      </c>
    </row>
    <row r="7" ht="15" customHeight="1" s="25">
      <c r="B7" s="37" t="inlineStr">
        <is>
          <t>Submarket / Location</t>
        </is>
      </c>
      <c r="C7" s="38" t="inlineStr">
        <is>
          <t>[Enter Submarket]</t>
        </is>
      </c>
    </row>
    <row r="8" ht="15" customHeight="1" s="25">
      <c r="B8" s="37" t="inlineStr">
        <is>
          <t>Purchase Price</t>
        </is>
      </c>
      <c r="C8" s="39" t="n"/>
    </row>
    <row r="9" ht="15" customHeight="1" s="25">
      <c r="B9" s="37" t="inlineStr">
        <is>
          <t>Purchase Date</t>
        </is>
      </c>
      <c r="C9" s="40" t="n"/>
    </row>
    <row r="10" ht="15" customHeight="1" s="25">
      <c r="B10" s="37" t="inlineStr">
        <is>
          <t>Hold Period (Years)</t>
        </is>
      </c>
      <c r="C10" s="41" t="n"/>
    </row>
    <row r="11" ht="15" customHeight="1" s="25">
      <c r="B11" s="37" t="inlineStr">
        <is>
          <t>Exit Cap Rate</t>
        </is>
      </c>
      <c r="C11" s="42" t="n"/>
    </row>
    <row r="12" ht="15" customHeight="1" s="25">
      <c r="B12" s="37" t="inlineStr">
        <is>
          <t>Disposition Cost %</t>
        </is>
      </c>
      <c r="C12" s="43" t="n"/>
    </row>
    <row r="14" ht="15" customHeight="1" s="25">
      <c r="B14" s="26" t="inlineStr">
        <is>
          <t>② In-Place Operations</t>
        </is>
      </c>
    </row>
    <row r="15" ht="15" customHeight="1" s="25">
      <c r="B15" s="37" t="inlineStr">
        <is>
          <t>In-Place NOI (Year 1)</t>
        </is>
      </c>
      <c r="C15" s="39" t="n"/>
    </row>
    <row r="16" ht="15" customHeight="1" s="25">
      <c r="B16" s="37" t="inlineStr">
        <is>
          <t>NOI Growth Rate (Yr 2+)</t>
        </is>
      </c>
      <c r="C16" s="43" t="n"/>
    </row>
    <row r="17" ht="15" customHeight="1" s="25">
      <c r="B17" s="37" t="inlineStr">
        <is>
          <t>Stabilized Occupancy</t>
        </is>
      </c>
      <c r="C17" s="43" t="n"/>
    </row>
    <row r="19" ht="15" customHeight="1" s="25">
      <c r="B19" s="26" t="inlineStr">
        <is>
          <t>③ Lease Rollover Risk (during hold)</t>
        </is>
      </c>
    </row>
    <row r="20" ht="15" customHeight="1" s="25">
      <c r="B20" s="37" t="inlineStr">
        <is>
          <t>Rollover Event</t>
        </is>
      </c>
      <c r="C20" s="37" t="inlineStr">
        <is>
          <t>Year of Event</t>
        </is>
      </c>
      <c r="D20" s="37" t="inlineStr">
        <is>
          <t>Downtime Drag (% of NOI, that yr)</t>
        </is>
      </c>
      <c r="E20" s="37" t="inlineStr">
        <is>
          <t>Re-Leasing Capex ($)</t>
        </is>
      </c>
      <c r="F20" s="37" t="inlineStr">
        <is>
          <t>Mark-to-Market NOI Impact (%)</t>
        </is>
      </c>
    </row>
    <row r="21" ht="15" customHeight="1" s="25">
      <c r="B21" s="37" t="inlineStr">
        <is>
          <t>Event 1</t>
        </is>
      </c>
      <c r="C21" s="41" t="n"/>
      <c r="D21" s="43" t="n"/>
      <c r="E21" s="39" t="n"/>
      <c r="F21" s="43" t="n"/>
    </row>
    <row r="22" ht="15" customHeight="1" s="25">
      <c r="B22" s="37" t="inlineStr">
        <is>
          <t>Event 2</t>
        </is>
      </c>
      <c r="C22" s="41" t="n"/>
      <c r="D22" s="43" t="n"/>
      <c r="E22" s="39" t="n"/>
      <c r="F22" s="43" t="n"/>
    </row>
    <row r="23" ht="15" customHeight="1" s="25">
      <c r="B23" s="37" t="inlineStr">
        <is>
          <t>Event 3</t>
        </is>
      </c>
      <c r="C23" s="41" t="n"/>
      <c r="D23" s="43" t="n"/>
      <c r="E23" s="39" t="n"/>
      <c r="F23" s="43" t="n"/>
    </row>
    <row r="26" ht="15" customHeight="1" s="25">
      <c r="B26" s="26" t="inlineStr">
        <is>
          <t>④ Acquisition Financing</t>
        </is>
      </c>
    </row>
    <row r="27" ht="15" customHeight="1" s="25">
      <c r="B27" s="37" t="inlineStr">
        <is>
          <t>Loan-to-Value (LTV)</t>
        </is>
      </c>
      <c r="C27" s="43" t="n"/>
    </row>
    <row r="28" ht="15" customHeight="1" s="25">
      <c r="B28" s="37" t="inlineStr">
        <is>
          <t>Interest Rate</t>
        </is>
      </c>
      <c r="C28" s="42" t="n"/>
    </row>
    <row r="29" ht="15" customHeight="1" s="25">
      <c r="B29" s="37" t="inlineStr">
        <is>
          <t>Interest-Only Period (Yrs)</t>
        </is>
      </c>
      <c r="C29" s="41" t="n"/>
    </row>
    <row r="30" ht="15" customHeight="1" s="25">
      <c r="B30" s="37" t="inlineStr">
        <is>
          <t>Amortization Period (Yrs)</t>
        </is>
      </c>
      <c r="C30" s="41" t="n"/>
    </row>
    <row r="31" ht="15" customHeight="1" s="25">
      <c r="B31" s="37" t="inlineStr">
        <is>
          <t>Origination Fee %</t>
        </is>
      </c>
      <c r="C31" s="43" t="n"/>
    </row>
    <row r="32" ht="15" customHeight="1" s="25">
      <c r="B32" s="29" t="inlineStr">
        <is>
          <t>Loan Amount</t>
        </is>
      </c>
      <c r="C32" s="44">
        <f>C8*C27</f>
        <v/>
      </c>
    </row>
    <row r="33" ht="15" customHeight="1" s="25">
      <c r="B33" s="29" t="inlineStr">
        <is>
          <t>Equity Required</t>
        </is>
      </c>
      <c r="C33" s="44">
        <f>(C8-C32)+(C32*C31)</f>
        <v/>
      </c>
    </row>
    <row r="35" ht="15" customHeight="1" s="25">
      <c r="B35" s="26" t="inlineStr">
        <is>
          <t>⑤ Annual Levered Cash Flow</t>
        </is>
      </c>
    </row>
    <row r="36" ht="15" customHeight="1" s="25">
      <c r="B36" s="37" t="inlineStr">
        <is>
          <t>Year</t>
        </is>
      </c>
      <c r="D36" s="45" t="n">
        <v>0</v>
      </c>
      <c r="E36" s="45" t="n">
        <v>1</v>
      </c>
      <c r="F36" s="45" t="n">
        <v>2</v>
      </c>
      <c r="G36" s="45" t="n">
        <v>3</v>
      </c>
      <c r="H36" s="45" t="n">
        <v>4</v>
      </c>
      <c r="I36" s="45" t="n">
        <v>5</v>
      </c>
      <c r="J36" s="45" t="n">
        <v>6</v>
      </c>
      <c r="K36" s="45" t="n">
        <v>7</v>
      </c>
      <c r="L36" s="45" t="n">
        <v>8</v>
      </c>
      <c r="M36" s="45" t="n">
        <v>9</v>
      </c>
      <c r="N36" s="45" t="n">
        <v>10</v>
      </c>
    </row>
    <row r="37" ht="15" customHeight="1" s="25">
      <c r="B37" s="37" t="inlineStr">
        <is>
          <t>Net Operating Income</t>
        </is>
      </c>
      <c r="D37" s="46" t="n"/>
      <c r="E37">
        <f>IF($C$10&gt;=1,$C$15,"")</f>
        <v/>
      </c>
      <c r="F37" s="46">
        <f>IF($C$10&gt;=2,E37*(1+$C$16)*IF($C$21=2,(1-$D$21)*(1+$F$21),1)*IF($C$22=2,(1-$D$22)*(1+$F$22),1)*IF($C$23=2,(1-$D$23)*(1+$F$23),1),"")</f>
        <v/>
      </c>
      <c r="G37" s="46">
        <f>IF($C$10&gt;=3,F37*(1+$C$16)*IF($C$21=3,(1-$D$21)*(1+$F$21),1)*IF($C$22=3,(1-$D$22)*(1+$F$22),1)*IF($C$23=3,(1-$D$23)*(1+$F$23),1),"")</f>
        <v/>
      </c>
      <c r="H37" s="46">
        <f>IF($C$10&gt;=4,G37*(1+$C$16)*IF($C$21=4,(1-$D$21)*(1+$F$21),1)*IF($C$22=4,(1-$D$22)*(1+$F$22),1)*IF($C$23=4,(1-$D$23)*(1+$F$23),1),"")</f>
        <v/>
      </c>
      <c r="I37" s="46">
        <f>IF($C$10&gt;=5,H37*(1+$C$16)*IF($C$21=5,(1-$D$21)*(1+$F$21),1)*IF($C$22=5,(1-$D$22)*(1+$F$22),1)*IF($C$23=5,(1-$D$23)*(1+$F$23),1),"")</f>
        <v/>
      </c>
      <c r="J37" s="46">
        <f>IF($C$10&gt;=6,I37*(1+$C$16)*IF($C$21=6,(1-$D$21)*(1+$F$21),1)*IF($C$22=6,(1-$D$22)*(1+$F$22),1)*IF($C$23=6,(1-$D$23)*(1+$F$23),1),"")</f>
        <v/>
      </c>
      <c r="K37" s="46">
        <f>IF($C$10&gt;=7,J37*(1+$C$16)*IF($C$21=7,(1-$D$21)*(1+$F$21),1)*IF($C$22=7,(1-$D$22)*(1+$F$22),1)*IF($C$23=7,(1-$D$23)*(1+$F$23),1),"")</f>
        <v/>
      </c>
      <c r="L37" s="46">
        <f>IF($C$10&gt;=8,K37*(1+$C$16)*IF($C$21=8,(1-$D$21)*(1+$F$21),1)*IF($C$22=8,(1-$D$22)*(1+$F$22),1)*IF($C$23=8,(1-$D$23)*(1+$F$23),1),"")</f>
        <v/>
      </c>
      <c r="M37" s="46">
        <f>IF($C$10&gt;=9,L37*(1+$C$16)*IF($C$21=9,(1-$D$21)*(1+$F$21),1)*IF($C$22=9,(1-$D$22)*(1+$F$22),1)*IF($C$23=9,(1-$D$23)*(1+$F$23),1),"")</f>
        <v/>
      </c>
      <c r="N37" s="46">
        <f>IF($C$10&gt;=10,M37*(1+$C$16)*IF($C$21=10,(1-$D$21)*(1+$F$21),1)*IF($C$22=10,(1-$D$22)*(1+$F$22),1)*IF($C$23=10,(1-$D$23)*(1+$F$23),1),"")</f>
        <v/>
      </c>
    </row>
    <row r="38" ht="15" customHeight="1" s="25">
      <c r="B38" s="37" t="inlineStr">
        <is>
          <t>Less: Debt Service</t>
        </is>
      </c>
      <c r="E38" s="46">
        <f>IF($C$10&gt;=1,IF(1&lt;=$C$29,-$C$32*$C$28,PMT($C$28,$C$30,$C$32)),"")</f>
        <v/>
      </c>
      <c r="F38" s="46">
        <f>IF($C$10&gt;=2,IF(2&lt;=$C$29,-$C$32*$C$28,PMT($C$28,$C$30,$C$32)),"")</f>
        <v/>
      </c>
      <c r="G38" s="46">
        <f>IF($C$10&gt;=3,IF(3&lt;=$C$29,-$C$32*$C$28,PMT($C$28,$C$30,$C$32)),"")</f>
        <v/>
      </c>
      <c r="H38" s="46">
        <f>IF($C$10&gt;=4,IF(4&lt;=$C$29,-$C$32*$C$28,PMT($C$28,$C$30,$C$32)),"")</f>
        <v/>
      </c>
      <c r="I38" s="46">
        <f>IF($C$10&gt;=5,IF(5&lt;=$C$29,-$C$32*$C$28,PMT($C$28,$C$30,$C$32)),"")</f>
        <v/>
      </c>
      <c r="J38" s="46">
        <f>IF($C$10&gt;=6,IF(6&lt;=$C$29,-$C$32*$C$28,PMT($C$28,$C$30,$C$32)),"")</f>
        <v/>
      </c>
      <c r="K38" s="46">
        <f>IF($C$10&gt;=7,IF(7&lt;=$C$29,-$C$32*$C$28,PMT($C$28,$C$30,$C$32)),"")</f>
        <v/>
      </c>
      <c r="L38" s="46">
        <f>IF($C$10&gt;=8,IF(8&lt;=$C$29,-$C$32*$C$28,PMT($C$28,$C$30,$C$32)),"")</f>
        <v/>
      </c>
      <c r="M38" s="46">
        <f>IF($C$10&gt;=9,IF(9&lt;=$C$29,-$C$32*$C$28,PMT($C$28,$C$30,$C$32)),"")</f>
        <v/>
      </c>
      <c r="N38" s="46">
        <f>IF($C$10&gt;=10,IF(10&lt;=$C$29,-$C$32*$C$28,PMT($C$28,$C$30,$C$32)),"")</f>
        <v/>
      </c>
    </row>
    <row r="39" ht="15" customHeight="1" s="25">
      <c r="B39" s="37" t="inlineStr">
        <is>
          <t>Less: Re-Leasing Capex</t>
        </is>
      </c>
      <c r="E39" s="46">
        <f>IF($C$10&gt;=1,-(IF($C$21=1,$E$21,0)+IF($C$22=1,$E$22,0)+IF($C$23=1,$E$23,0)),"")</f>
        <v/>
      </c>
      <c r="F39" s="46">
        <f>IF($C$10&gt;=2,-(IF($C$21=2,$E$21,0)+IF($C$22=2,$E$22,0)+IF($C$23=2,$E$23,0)),"")</f>
        <v/>
      </c>
      <c r="G39" s="46">
        <f>IF($C$10&gt;=3,-(IF($C$21=3,$E$21,0)+IF($C$22=3,$E$22,0)+IF($C$23=3,$E$23,0)),"")</f>
        <v/>
      </c>
      <c r="H39" s="46">
        <f>IF($C$10&gt;=4,-(IF($C$21=4,$E$21,0)+IF($C$22=4,$E$22,0)+IF($C$23=4,$E$23,0)),"")</f>
        <v/>
      </c>
      <c r="I39" s="46">
        <f>IF($C$10&gt;=5,-(IF($C$21=5,$E$21,0)+IF($C$22=5,$E$22,0)+IF($C$23=5,$E$23,0)),"")</f>
        <v/>
      </c>
      <c r="J39" s="46">
        <f>IF($C$10&gt;=6,-(IF($C$21=6,$E$21,0)+IF($C$22=6,$E$22,0)+IF($C$23=6,$E$23,0)),"")</f>
        <v/>
      </c>
      <c r="K39" s="46">
        <f>IF($C$10&gt;=7,-(IF($C$21=7,$E$21,0)+IF($C$22=7,$E$22,0)+IF($C$23=7,$E$23,0)),"")</f>
        <v/>
      </c>
      <c r="L39" s="46">
        <f>IF($C$10&gt;=8,-(IF($C$21=8,$E$21,0)+IF($C$22=8,$E$22,0)+IF($C$23=8,$E$23,0)),"")</f>
        <v/>
      </c>
      <c r="M39" s="46">
        <f>IF($C$10&gt;=9,-(IF($C$21=9,$E$21,0)+IF($C$22=9,$E$22,0)+IF($C$23=9,$E$23,0)),"")</f>
        <v/>
      </c>
      <c r="N39" s="46">
        <f>IF($C$10&gt;=10,-(IF($C$21=10,$E$21,0)+IF($C$22=10,$E$22,0)+IF($C$23=10,$E$23,0)),"")</f>
        <v/>
      </c>
    </row>
    <row r="40" ht="15" customHeight="1" s="25">
      <c r="B40" s="37" t="inlineStr">
        <is>
          <t>Net Sale Proceeds at Exit</t>
        </is>
      </c>
      <c r="E40" s="46">
        <f>IF($C$10=1,(INDEX($D$37:$N$37,1,$C$10+2)/$C$11)*(1-$C$12)-(IF(1&lt;=$C$29,$C$32,$C$32*(1-(((1+$C$28)^(1-$C$29)-1)/((1+$C$28)^$C$30-1))))),"")</f>
        <v/>
      </c>
      <c r="F40" s="46">
        <f>IF($C$10=2,(INDEX($D$37:$N$37,1,$C$10+2)/$C$11)*(1-$C$12)-(IF(2&lt;=$C$29,$C$32,$C$32*(1-(((1+$C$28)^(2-$C$29)-1)/((1+$C$28)^$C$30-1))))),"")</f>
        <v/>
      </c>
      <c r="G40" s="46">
        <f>IF($C$10=3,(INDEX($D$37:$N$37,1,$C$10+2)/$C$11)*(1-$C$12)-(IF(3&lt;=$C$29,$C$32,$C$32*(1-(((1+$C$28)^(3-$C$29)-1)/((1+$C$28)^$C$30-1))))),"")</f>
        <v/>
      </c>
      <c r="H40" s="46">
        <f>IF($C$10=4,(INDEX($D$37:$N$37,1,$C$10+2)/$C$11)*(1-$C$12)-(IF(4&lt;=$C$29,$C$32,$C$32*(1-(((1+$C$28)^(4-$C$29)-1)/((1+$C$28)^$C$30-1))))),"")</f>
        <v/>
      </c>
      <c r="I40" s="46">
        <f>IF($C$10=5,(INDEX($D$37:$N$37,1,$C$10+2)/$C$11)*(1-$C$12)-(IF(5&lt;=$C$29,$C$32,$C$32*(1-(((1+$C$28)^(5-$C$29)-1)/((1+$C$28)^$C$30-1))))),"")</f>
        <v/>
      </c>
      <c r="J40" s="46">
        <f>IF($C$10=6,(INDEX($D$37:$N$37,1,$C$10+2)/$C$11)*(1-$C$12)-(IF(6&lt;=$C$29,$C$32,$C$32*(1-(((1+$C$28)^(6-$C$29)-1)/((1+$C$28)^$C$30-1))))),"")</f>
        <v/>
      </c>
      <c r="K40" s="46">
        <f>IF($C$10=7,(INDEX($D$37:$N$37,1,$C$10+2)/$C$11)*(1-$C$12)-(IF(7&lt;=$C$29,$C$32,$C$32*(1-(((1+$C$28)^(7-$C$29)-1)/((1+$C$28)^$C$30-1))))),"")</f>
        <v/>
      </c>
      <c r="L40" s="46">
        <f>IF($C$10=8,(INDEX($D$37:$N$37,1,$C$10+2)/$C$11)*(1-$C$12)-(IF(8&lt;=$C$29,$C$32,$C$32*(1-(((1+$C$28)^(8-$C$29)-1)/((1+$C$28)^$C$30-1))))),"")</f>
        <v/>
      </c>
      <c r="M40" s="46">
        <f>IF($C$10=9,(INDEX($D$37:$N$37,1,$C$10+2)/$C$11)*(1-$C$12)-(IF(9&lt;=$C$29,$C$32,$C$32*(1-(((1+$C$28)^(9-$C$29)-1)/((1+$C$28)^$C$30-1))))),"")</f>
        <v/>
      </c>
      <c r="N40" s="46">
        <f>IF($C$10=10,(N37*(1+$C$16)/$C$11)*(1-$C$12)-(IF(10&lt;=$C$29,$C$32,$C$32*(1-(((1+$C$28)^(10-$C$29)-1)/((1+$C$28)^$C$30-1))))),"")</f>
        <v/>
      </c>
    </row>
    <row r="41" ht="15" customHeight="1" s="25">
      <c r="B41" s="29" t="inlineStr">
        <is>
          <t>Total Levered Equity Cash Flow</t>
        </is>
      </c>
      <c r="D41" s="47">
        <f>-C33</f>
        <v/>
      </c>
      <c r="E41" s="47">
        <f>IF($C$10&gt;=1,SUM(E37,E38,E39,E40),"")</f>
        <v/>
      </c>
      <c r="F41" s="47">
        <f>IF($C$10&gt;=2,SUM(F37,F38,F39,F40),"")</f>
        <v/>
      </c>
      <c r="G41" s="47">
        <f>IF($C$10&gt;=3,SUM(G37,G38,G39,G40),"")</f>
        <v/>
      </c>
      <c r="H41" s="47">
        <f>IF($C$10&gt;=4,SUM(H37,H38,H39,H40),"")</f>
        <v/>
      </c>
      <c r="I41" s="47">
        <f>IF($C$10&gt;=5,SUM(I37,I38,I39,I40),"")</f>
        <v/>
      </c>
      <c r="J41" s="47">
        <f>IF($C$10&gt;=6,SUM(J37,J38,J39,J40),"")</f>
        <v/>
      </c>
      <c r="K41" s="47">
        <f>IF($C$10&gt;=7,SUM(K37,K38,K39,K40),"")</f>
        <v/>
      </c>
      <c r="L41" s="47">
        <f>IF($C$10&gt;=8,SUM(L37,L38,L39,L40),"")</f>
        <v/>
      </c>
      <c r="M41" s="47">
        <f>IF($C$10&gt;=9,SUM(M37,M38,M39,M40),"")</f>
        <v/>
      </c>
      <c r="N41" s="47">
        <f>IF($C$10&gt;=10,SUM(N37,N38,N39,N40),"")</f>
        <v/>
      </c>
    </row>
    <row r="43" ht="15" customHeight="1" s="25">
      <c r="B43" s="26" t="inlineStr">
        <is>
          <t>⑥ Returns</t>
        </is>
      </c>
    </row>
    <row r="44" ht="15" customHeight="1" s="25">
      <c r="B44" s="29" t="inlineStr">
        <is>
          <t>Levered IRR</t>
        </is>
      </c>
      <c r="C44" s="35">
        <f>IRR(D41:N41)</f>
        <v/>
      </c>
    </row>
    <row r="45" ht="15" customHeight="1" s="25">
      <c r="B45" s="29" t="inlineStr">
        <is>
          <t>Equity Multiple</t>
        </is>
      </c>
      <c r="C45" s="48">
        <f>SUMIF(D41:N41,"&gt;0")/-D41</f>
        <v/>
      </c>
    </row>
  </sheetData>
  <mergeCells count="7">
    <mergeCell ref="B35:N35"/>
    <mergeCell ref="B19:F19"/>
    <mergeCell ref="B14:C14"/>
    <mergeCell ref="B1:F1"/>
    <mergeCell ref="B26:C26"/>
    <mergeCell ref="B4:C4"/>
    <mergeCell ref="B43:C43"/>
  </mergeCells>
  <dataValidations count="1">
    <dataValidation sqref="C6" showDropDown="0" showInputMessage="0" showErrorMessage="0" allowBlank="1" type="list" errorStyle="stop" operator="between">
      <formula1>"Multifamily,Office,Industrial,Retail,Hospitality,Mixed-Use"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N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24" min="1" max="1"/>
    <col width="34" customWidth="1" style="24" min="2" max="2"/>
    <col width="16" customWidth="1" style="24" min="3" max="3"/>
    <col width="12" customWidth="1" style="24" min="4" max="14"/>
  </cols>
  <sheetData>
    <row r="1" ht="15" customHeight="1" s="25">
      <c r="B1" s="26" t="inlineStr">
        <is>
          <t>GTRE Asset Management Portfolio  —  Asset 3</t>
        </is>
      </c>
    </row>
    <row r="2" ht="15" customHeight="1" s="25">
      <c r="B2" s="27" t="inlineStr">
        <is>
          <t>Blue cells = your inputs (change these)     Black cells = formulas (do not touch)     Green cells = links from other tabs</t>
        </is>
      </c>
    </row>
    <row r="4" ht="15" customHeight="1" s="25">
      <c r="B4" s="26" t="inlineStr">
        <is>
          <t>① Property Overview</t>
        </is>
      </c>
    </row>
    <row r="5" ht="15" customHeight="1" s="25">
      <c r="B5" s="37" t="inlineStr">
        <is>
          <t>Property Name</t>
        </is>
      </c>
      <c r="C5" s="38" t="inlineStr">
        <is>
          <t>[Enter Property 3 Name]</t>
        </is>
      </c>
    </row>
    <row r="6" ht="15" customHeight="1" s="25">
      <c r="B6" s="37" t="inlineStr">
        <is>
          <t>Product Type</t>
        </is>
      </c>
      <c r="C6" s="38" t="inlineStr">
        <is>
          <t>[Select Product Type]</t>
        </is>
      </c>
    </row>
    <row r="7" ht="15" customHeight="1" s="25">
      <c r="B7" s="37" t="inlineStr">
        <is>
          <t>Submarket / Location</t>
        </is>
      </c>
      <c r="C7" s="38" t="inlineStr">
        <is>
          <t>[Enter Submarket]</t>
        </is>
      </c>
    </row>
    <row r="8" ht="15" customHeight="1" s="25">
      <c r="B8" s="37" t="inlineStr">
        <is>
          <t>Purchase Price</t>
        </is>
      </c>
      <c r="C8" s="39" t="n"/>
    </row>
    <row r="9" ht="15" customHeight="1" s="25">
      <c r="B9" s="37" t="inlineStr">
        <is>
          <t>Purchase Date</t>
        </is>
      </c>
      <c r="C9" s="40" t="n"/>
    </row>
    <row r="10" ht="15" customHeight="1" s="25">
      <c r="B10" s="37" t="inlineStr">
        <is>
          <t>Hold Period (Years)</t>
        </is>
      </c>
      <c r="C10" s="41" t="n"/>
    </row>
    <row r="11" ht="15" customHeight="1" s="25">
      <c r="B11" s="37" t="inlineStr">
        <is>
          <t>Exit Cap Rate</t>
        </is>
      </c>
      <c r="C11" s="42" t="n"/>
    </row>
    <row r="12" ht="15" customHeight="1" s="25">
      <c r="B12" s="37" t="inlineStr">
        <is>
          <t>Disposition Cost %</t>
        </is>
      </c>
      <c r="C12" s="43" t="n"/>
    </row>
    <row r="14" ht="15" customHeight="1" s="25">
      <c r="B14" s="26" t="inlineStr">
        <is>
          <t>② In-Place Operations</t>
        </is>
      </c>
    </row>
    <row r="15" ht="15" customHeight="1" s="25">
      <c r="B15" s="37" t="inlineStr">
        <is>
          <t>In-Place NOI (Year 1)</t>
        </is>
      </c>
      <c r="C15" s="39" t="n"/>
    </row>
    <row r="16" ht="15" customHeight="1" s="25">
      <c r="B16" s="37" t="inlineStr">
        <is>
          <t>NOI Growth Rate (Yr 2+)</t>
        </is>
      </c>
      <c r="C16" s="43" t="n"/>
    </row>
    <row r="17" ht="15" customHeight="1" s="25">
      <c r="B17" s="37" t="inlineStr">
        <is>
          <t>Stabilized Occupancy</t>
        </is>
      </c>
      <c r="C17" s="43" t="n"/>
    </row>
    <row r="19" ht="15" customHeight="1" s="25">
      <c r="B19" s="26" t="inlineStr">
        <is>
          <t>③ Lease Rollover Risk (during hold)</t>
        </is>
      </c>
    </row>
    <row r="20" ht="15" customHeight="1" s="25">
      <c r="B20" s="37" t="inlineStr">
        <is>
          <t>Rollover Event</t>
        </is>
      </c>
      <c r="C20" s="37" t="inlineStr">
        <is>
          <t>Year of Event</t>
        </is>
      </c>
      <c r="D20" s="37" t="inlineStr">
        <is>
          <t>Downtime Drag (% of NOI, that yr)</t>
        </is>
      </c>
      <c r="E20" s="37" t="inlineStr">
        <is>
          <t>Re-Leasing Capex ($)</t>
        </is>
      </c>
      <c r="F20" s="37" t="inlineStr">
        <is>
          <t>Mark-to-Market NOI Impact (%)</t>
        </is>
      </c>
    </row>
    <row r="21" ht="15" customHeight="1" s="25">
      <c r="B21" s="37" t="inlineStr">
        <is>
          <t>Event 1</t>
        </is>
      </c>
      <c r="C21" s="41" t="n"/>
      <c r="D21" s="43" t="n"/>
      <c r="E21" s="39" t="n"/>
      <c r="F21" s="43" t="n"/>
    </row>
    <row r="22" ht="15" customHeight="1" s="25">
      <c r="B22" s="37" t="inlineStr">
        <is>
          <t>Event 2</t>
        </is>
      </c>
      <c r="C22" s="41" t="n"/>
      <c r="D22" s="43" t="n"/>
      <c r="E22" s="39" t="n"/>
      <c r="F22" s="43" t="n"/>
    </row>
    <row r="23" ht="15" customHeight="1" s="25">
      <c r="B23" s="37" t="inlineStr">
        <is>
          <t>Event 3</t>
        </is>
      </c>
      <c r="C23" s="41" t="n"/>
      <c r="D23" s="43" t="n"/>
      <c r="E23" s="39" t="n"/>
      <c r="F23" s="43" t="n"/>
    </row>
    <row r="26" ht="15" customHeight="1" s="25">
      <c r="B26" s="26" t="inlineStr">
        <is>
          <t>④ Acquisition Financing</t>
        </is>
      </c>
    </row>
    <row r="27" ht="15" customHeight="1" s="25">
      <c r="B27" s="37" t="inlineStr">
        <is>
          <t>Loan-to-Value (LTV)</t>
        </is>
      </c>
      <c r="C27" s="43" t="n"/>
    </row>
    <row r="28" ht="15" customHeight="1" s="25">
      <c r="B28" s="37" t="inlineStr">
        <is>
          <t>Interest Rate</t>
        </is>
      </c>
      <c r="C28" s="42" t="n"/>
    </row>
    <row r="29" ht="15" customHeight="1" s="25">
      <c r="B29" s="37" t="inlineStr">
        <is>
          <t>Interest-Only Period (Yrs)</t>
        </is>
      </c>
      <c r="C29" s="41" t="n"/>
    </row>
    <row r="30" ht="15" customHeight="1" s="25">
      <c r="B30" s="37" t="inlineStr">
        <is>
          <t>Amortization Period (Yrs)</t>
        </is>
      </c>
      <c r="C30" s="41" t="n"/>
    </row>
    <row r="31" ht="15" customHeight="1" s="25">
      <c r="B31" s="37" t="inlineStr">
        <is>
          <t>Origination Fee %</t>
        </is>
      </c>
      <c r="C31" s="43" t="n"/>
    </row>
    <row r="32" ht="15" customHeight="1" s="25">
      <c r="B32" s="29" t="inlineStr">
        <is>
          <t>Loan Amount</t>
        </is>
      </c>
      <c r="C32" s="44">
        <f>C8*C27</f>
        <v/>
      </c>
    </row>
    <row r="33" ht="15" customHeight="1" s="25">
      <c r="B33" s="29" t="inlineStr">
        <is>
          <t>Equity Required</t>
        </is>
      </c>
      <c r="C33" s="44">
        <f>(C8-C32)+(C32*C31)</f>
        <v/>
      </c>
    </row>
    <row r="35" ht="15" customHeight="1" s="25">
      <c r="B35" s="26" t="inlineStr">
        <is>
          <t>⑤ Annual Levered Cash Flow</t>
        </is>
      </c>
    </row>
    <row r="36" ht="15" customHeight="1" s="25">
      <c r="B36" s="37" t="inlineStr">
        <is>
          <t>Year</t>
        </is>
      </c>
      <c r="D36" s="45" t="n">
        <v>0</v>
      </c>
      <c r="E36" s="45" t="n">
        <v>1</v>
      </c>
      <c r="F36" s="45" t="n">
        <v>2</v>
      </c>
      <c r="G36" s="45" t="n">
        <v>3</v>
      </c>
      <c r="H36" s="45" t="n">
        <v>4</v>
      </c>
      <c r="I36" s="45" t="n">
        <v>5</v>
      </c>
      <c r="J36" s="45" t="n">
        <v>6</v>
      </c>
      <c r="K36" s="45" t="n">
        <v>7</v>
      </c>
      <c r="L36" s="45" t="n">
        <v>8</v>
      </c>
      <c r="M36" s="45" t="n">
        <v>9</v>
      </c>
      <c r="N36" s="45" t="n">
        <v>10</v>
      </c>
    </row>
    <row r="37" ht="15" customHeight="1" s="25">
      <c r="B37" s="37" t="inlineStr">
        <is>
          <t>Net Operating Income</t>
        </is>
      </c>
      <c r="D37" s="46" t="n"/>
      <c r="E37">
        <f>IF($C$10&gt;=1,$C$15,"")</f>
        <v/>
      </c>
      <c r="F37" s="46">
        <f>IF($C$10&gt;=2,E37*(1+$C$16)*IF($C$21=2,(1-$D$21)*(1+$F$21),1)*IF($C$22=2,(1-$D$22)*(1+$F$22),1)*IF($C$23=2,(1-$D$23)*(1+$F$23),1),"")</f>
        <v/>
      </c>
      <c r="G37" s="46">
        <f>IF($C$10&gt;=3,F37*(1+$C$16)*IF($C$21=3,(1-$D$21)*(1+$F$21),1)*IF($C$22=3,(1-$D$22)*(1+$F$22),1)*IF($C$23=3,(1-$D$23)*(1+$F$23),1),"")</f>
        <v/>
      </c>
      <c r="H37" s="46">
        <f>IF($C$10&gt;=4,G37*(1+$C$16)*IF($C$21=4,(1-$D$21)*(1+$F$21),1)*IF($C$22=4,(1-$D$22)*(1+$F$22),1)*IF($C$23=4,(1-$D$23)*(1+$F$23),1),"")</f>
        <v/>
      </c>
      <c r="I37" s="46">
        <f>IF($C$10&gt;=5,H37*(1+$C$16)*IF($C$21=5,(1-$D$21)*(1+$F$21),1)*IF($C$22=5,(1-$D$22)*(1+$F$22),1)*IF($C$23=5,(1-$D$23)*(1+$F$23),1),"")</f>
        <v/>
      </c>
      <c r="J37" s="46">
        <f>IF($C$10&gt;=6,I37*(1+$C$16)*IF($C$21=6,(1-$D$21)*(1+$F$21),1)*IF($C$22=6,(1-$D$22)*(1+$F$22),1)*IF($C$23=6,(1-$D$23)*(1+$F$23),1),"")</f>
        <v/>
      </c>
      <c r="K37" s="46">
        <f>IF($C$10&gt;=7,J37*(1+$C$16)*IF($C$21=7,(1-$D$21)*(1+$F$21),1)*IF($C$22=7,(1-$D$22)*(1+$F$22),1)*IF($C$23=7,(1-$D$23)*(1+$F$23),1),"")</f>
        <v/>
      </c>
      <c r="L37" s="46">
        <f>IF($C$10&gt;=8,K37*(1+$C$16)*IF($C$21=8,(1-$D$21)*(1+$F$21),1)*IF($C$22=8,(1-$D$22)*(1+$F$22),1)*IF($C$23=8,(1-$D$23)*(1+$F$23),1),"")</f>
        <v/>
      </c>
      <c r="M37" s="46">
        <f>IF($C$10&gt;=9,L37*(1+$C$16)*IF($C$21=9,(1-$D$21)*(1+$F$21),1)*IF($C$22=9,(1-$D$22)*(1+$F$22),1)*IF($C$23=9,(1-$D$23)*(1+$F$23),1),"")</f>
        <v/>
      </c>
      <c r="N37" s="46">
        <f>IF($C$10&gt;=10,M37*(1+$C$16)*IF($C$21=10,(1-$D$21)*(1+$F$21),1)*IF($C$22=10,(1-$D$22)*(1+$F$22),1)*IF($C$23=10,(1-$D$23)*(1+$F$23),1),"")</f>
        <v/>
      </c>
    </row>
    <row r="38" ht="15" customHeight="1" s="25">
      <c r="B38" s="37" t="inlineStr">
        <is>
          <t>Less: Debt Service</t>
        </is>
      </c>
      <c r="E38" s="46">
        <f>IF($C$10&gt;=1,IF(1&lt;=$C$29,-$C$32*$C$28,PMT($C$28,$C$30,$C$32)),"")</f>
        <v/>
      </c>
      <c r="F38" s="46">
        <f>IF($C$10&gt;=2,IF(2&lt;=$C$29,-$C$32*$C$28,PMT($C$28,$C$30,$C$32)),"")</f>
        <v/>
      </c>
      <c r="G38" s="46">
        <f>IF($C$10&gt;=3,IF(3&lt;=$C$29,-$C$32*$C$28,PMT($C$28,$C$30,$C$32)),"")</f>
        <v/>
      </c>
      <c r="H38" s="46">
        <f>IF($C$10&gt;=4,IF(4&lt;=$C$29,-$C$32*$C$28,PMT($C$28,$C$30,$C$32)),"")</f>
        <v/>
      </c>
      <c r="I38" s="46">
        <f>IF($C$10&gt;=5,IF(5&lt;=$C$29,-$C$32*$C$28,PMT($C$28,$C$30,$C$32)),"")</f>
        <v/>
      </c>
      <c r="J38" s="46">
        <f>IF($C$10&gt;=6,IF(6&lt;=$C$29,-$C$32*$C$28,PMT($C$28,$C$30,$C$32)),"")</f>
        <v/>
      </c>
      <c r="K38" s="46">
        <f>IF($C$10&gt;=7,IF(7&lt;=$C$29,-$C$32*$C$28,PMT($C$28,$C$30,$C$32)),"")</f>
        <v/>
      </c>
      <c r="L38" s="46">
        <f>IF($C$10&gt;=8,IF(8&lt;=$C$29,-$C$32*$C$28,PMT($C$28,$C$30,$C$32)),"")</f>
        <v/>
      </c>
      <c r="M38" s="46">
        <f>IF($C$10&gt;=9,IF(9&lt;=$C$29,-$C$32*$C$28,PMT($C$28,$C$30,$C$32)),"")</f>
        <v/>
      </c>
      <c r="N38" s="46">
        <f>IF($C$10&gt;=10,IF(10&lt;=$C$29,-$C$32*$C$28,PMT($C$28,$C$30,$C$32)),"")</f>
        <v/>
      </c>
    </row>
    <row r="39" ht="15" customHeight="1" s="25">
      <c r="B39" s="37" t="inlineStr">
        <is>
          <t>Less: Re-Leasing Capex</t>
        </is>
      </c>
      <c r="E39" s="46">
        <f>IF($C$10&gt;=1,-(IF($C$21=1,$E$21,0)+IF($C$22=1,$E$22,0)+IF($C$23=1,$E$23,0)),"")</f>
        <v/>
      </c>
      <c r="F39" s="46">
        <f>IF($C$10&gt;=2,-(IF($C$21=2,$E$21,0)+IF($C$22=2,$E$22,0)+IF($C$23=2,$E$23,0)),"")</f>
        <v/>
      </c>
      <c r="G39" s="46">
        <f>IF($C$10&gt;=3,-(IF($C$21=3,$E$21,0)+IF($C$22=3,$E$22,0)+IF($C$23=3,$E$23,0)),"")</f>
        <v/>
      </c>
      <c r="H39" s="46">
        <f>IF($C$10&gt;=4,-(IF($C$21=4,$E$21,0)+IF($C$22=4,$E$22,0)+IF($C$23=4,$E$23,0)),"")</f>
        <v/>
      </c>
      <c r="I39" s="46">
        <f>IF($C$10&gt;=5,-(IF($C$21=5,$E$21,0)+IF($C$22=5,$E$22,0)+IF($C$23=5,$E$23,0)),"")</f>
        <v/>
      </c>
      <c r="J39" s="46">
        <f>IF($C$10&gt;=6,-(IF($C$21=6,$E$21,0)+IF($C$22=6,$E$22,0)+IF($C$23=6,$E$23,0)),"")</f>
        <v/>
      </c>
      <c r="K39" s="46">
        <f>IF($C$10&gt;=7,-(IF($C$21=7,$E$21,0)+IF($C$22=7,$E$22,0)+IF($C$23=7,$E$23,0)),"")</f>
        <v/>
      </c>
      <c r="L39" s="46">
        <f>IF($C$10&gt;=8,-(IF($C$21=8,$E$21,0)+IF($C$22=8,$E$22,0)+IF($C$23=8,$E$23,0)),"")</f>
        <v/>
      </c>
      <c r="M39" s="46">
        <f>IF($C$10&gt;=9,-(IF($C$21=9,$E$21,0)+IF($C$22=9,$E$22,0)+IF($C$23=9,$E$23,0)),"")</f>
        <v/>
      </c>
      <c r="N39" s="46">
        <f>IF($C$10&gt;=10,-(IF($C$21=10,$E$21,0)+IF($C$22=10,$E$22,0)+IF($C$23=10,$E$23,0)),"")</f>
        <v/>
      </c>
    </row>
    <row r="40" ht="15" customHeight="1" s="25">
      <c r="B40" s="37" t="inlineStr">
        <is>
          <t>Net Sale Proceeds at Exit</t>
        </is>
      </c>
      <c r="E40" s="46">
        <f>IF($C$10=1,(INDEX($D$37:$N$37,1,$C$10+2)/$C$11)*(1-$C$12)-(IF(1&lt;=$C$29,$C$32,$C$32*(1-(((1+$C$28)^(1-$C$29)-1)/((1+$C$28)^$C$30-1))))),"")</f>
        <v/>
      </c>
      <c r="F40" s="46">
        <f>IF($C$10=2,(INDEX($D$37:$N$37,1,$C$10+2)/$C$11)*(1-$C$12)-(IF(2&lt;=$C$29,$C$32,$C$32*(1-(((1+$C$28)^(2-$C$29)-1)/((1+$C$28)^$C$30-1))))),"")</f>
        <v/>
      </c>
      <c r="G40" s="46">
        <f>IF($C$10=3,(INDEX($D$37:$N$37,1,$C$10+2)/$C$11)*(1-$C$12)-(IF(3&lt;=$C$29,$C$32,$C$32*(1-(((1+$C$28)^(3-$C$29)-1)/((1+$C$28)^$C$30-1))))),"")</f>
        <v/>
      </c>
      <c r="H40" s="46">
        <f>IF($C$10=4,(INDEX($D$37:$N$37,1,$C$10+2)/$C$11)*(1-$C$12)-(IF(4&lt;=$C$29,$C$32,$C$32*(1-(((1+$C$28)^(4-$C$29)-1)/((1+$C$28)^$C$30-1))))),"")</f>
        <v/>
      </c>
      <c r="I40" s="46">
        <f>IF($C$10=5,(INDEX($D$37:$N$37,1,$C$10+2)/$C$11)*(1-$C$12)-(IF(5&lt;=$C$29,$C$32,$C$32*(1-(((1+$C$28)^(5-$C$29)-1)/((1+$C$28)^$C$30-1))))),"")</f>
        <v/>
      </c>
      <c r="J40" s="46">
        <f>IF($C$10=6,(INDEX($D$37:$N$37,1,$C$10+2)/$C$11)*(1-$C$12)-(IF(6&lt;=$C$29,$C$32,$C$32*(1-(((1+$C$28)^(6-$C$29)-1)/((1+$C$28)^$C$30-1))))),"")</f>
        <v/>
      </c>
      <c r="K40" s="46">
        <f>IF($C$10=7,(INDEX($D$37:$N$37,1,$C$10+2)/$C$11)*(1-$C$12)-(IF(7&lt;=$C$29,$C$32,$C$32*(1-(((1+$C$28)^(7-$C$29)-1)/((1+$C$28)^$C$30-1))))),"")</f>
        <v/>
      </c>
      <c r="L40" s="46">
        <f>IF($C$10=8,(INDEX($D$37:$N$37,1,$C$10+2)/$C$11)*(1-$C$12)-(IF(8&lt;=$C$29,$C$32,$C$32*(1-(((1+$C$28)^(8-$C$29)-1)/((1+$C$28)^$C$30-1))))),"")</f>
        <v/>
      </c>
      <c r="M40" s="46">
        <f>IF($C$10=9,(INDEX($D$37:$N$37,1,$C$10+2)/$C$11)*(1-$C$12)-(IF(9&lt;=$C$29,$C$32,$C$32*(1-(((1+$C$28)^(9-$C$29)-1)/((1+$C$28)^$C$30-1))))),"")</f>
        <v/>
      </c>
      <c r="N40" s="46">
        <f>IF($C$10=10,(N37*(1+$C$16)/$C$11)*(1-$C$12)-(IF(10&lt;=$C$29,$C$32,$C$32*(1-(((1+$C$28)^(10-$C$29)-1)/((1+$C$28)^$C$30-1))))),"")</f>
        <v/>
      </c>
    </row>
    <row r="41" ht="15" customHeight="1" s="25">
      <c r="B41" s="29" t="inlineStr">
        <is>
          <t>Total Levered Equity Cash Flow</t>
        </is>
      </c>
      <c r="D41" s="47">
        <f>-C33</f>
        <v/>
      </c>
      <c r="E41" s="47">
        <f>IF($C$10&gt;=1,SUM(E37,E38,E39,E40),"")</f>
        <v/>
      </c>
      <c r="F41" s="47">
        <f>IF($C$10&gt;=2,SUM(F37,F38,F39,F40),"")</f>
        <v/>
      </c>
      <c r="G41" s="47">
        <f>IF($C$10&gt;=3,SUM(G37,G38,G39,G40),"")</f>
        <v/>
      </c>
      <c r="H41" s="47">
        <f>IF($C$10&gt;=4,SUM(H37,H38,H39,H40),"")</f>
        <v/>
      </c>
      <c r="I41" s="47">
        <f>IF($C$10&gt;=5,SUM(I37,I38,I39,I40),"")</f>
        <v/>
      </c>
      <c r="J41" s="47">
        <f>IF($C$10&gt;=6,SUM(J37,J38,J39,J40),"")</f>
        <v/>
      </c>
      <c r="K41" s="47">
        <f>IF($C$10&gt;=7,SUM(K37,K38,K39,K40),"")</f>
        <v/>
      </c>
      <c r="L41" s="47">
        <f>IF($C$10&gt;=8,SUM(L37,L38,L39,L40),"")</f>
        <v/>
      </c>
      <c r="M41" s="47">
        <f>IF($C$10&gt;=9,SUM(M37,M38,M39,M40),"")</f>
        <v/>
      </c>
      <c r="N41" s="47">
        <f>IF($C$10&gt;=10,SUM(N37,N38,N39,N40),"")</f>
        <v/>
      </c>
    </row>
    <row r="43" ht="15" customHeight="1" s="25">
      <c r="B43" s="26" t="inlineStr">
        <is>
          <t>⑥ Returns</t>
        </is>
      </c>
    </row>
    <row r="44" ht="15" customHeight="1" s="25">
      <c r="B44" s="29" t="inlineStr">
        <is>
          <t>Levered IRR</t>
        </is>
      </c>
      <c r="C44" s="35">
        <f>IRR(D41:N41)</f>
        <v/>
      </c>
    </row>
    <row r="45" ht="15" customHeight="1" s="25">
      <c r="B45" s="29" t="inlineStr">
        <is>
          <t>Equity Multiple</t>
        </is>
      </c>
      <c r="C45" s="48">
        <f>SUMIF(D41:N41,"&gt;0")/-D41</f>
        <v/>
      </c>
    </row>
  </sheetData>
  <mergeCells count="7">
    <mergeCell ref="B35:N35"/>
    <mergeCell ref="B19:F19"/>
    <mergeCell ref="B14:C14"/>
    <mergeCell ref="B1:F1"/>
    <mergeCell ref="B26:C26"/>
    <mergeCell ref="B4:C4"/>
    <mergeCell ref="B43:C43"/>
  </mergeCells>
  <dataValidations count="1">
    <dataValidation sqref="C6" showDropDown="0" showInputMessage="0" showErrorMessage="0" allowBlank="1" type="list" errorStyle="stop" operator="between">
      <formula1>"Multifamily,Office,Industrial,Retail,Hospitality,Mixed-Use"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2026-07-24T18:02:13Z</dcterms:created>
  <dcterms:modified xmlns:dcterms="http://purl.org/dc/terms/" xmlns:xsi="http://www.w3.org/2001/XMLSchema-instance" xsi:type="dcterms:W3CDTF">2026-07-24T18:43:14Z</dcterms:modified>
  <cp:revision>0</cp:revision>
</cp:coreProperties>
</file>