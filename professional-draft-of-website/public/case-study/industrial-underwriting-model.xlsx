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 Underwriting" sheetId="1" state="visible" r:id="rId1"/>
    <sheet xmlns:r="http://schemas.openxmlformats.org/officeDocument/2006/relationships" name="Exit Cap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$#,##0"/>
    <numFmt numFmtId="166" formatCode="mm/dd/yyyy"/>
    <numFmt numFmtId="167" formatCode="0.0%"/>
    <numFmt numFmtId="168" formatCode="$#,##0.00"/>
    <numFmt numFmtId="169" formatCode="$0.00"/>
    <numFmt numFmtId="170" formatCode="$#,##0;($#,##0)"/>
    <numFmt numFmtId="171" formatCode="0.00&quot;x&quot;"/>
  </numFmts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sz val="9"/>
    </font>
    <font/>
    <font>
      <color rgb="FF0070C0"/>
    </font>
    <font>
      <b val="1"/>
    </font>
    <font>
      <b val="1"/>
      <sz val="9"/>
    </font>
    <font>
      <sz val="11"/>
    </font>
    <font>
      <b val="1"/>
      <sz val="11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003057"/>
      </patternFill>
    </fill>
    <fill>
      <patternFill patternType="solid">
        <fgColor rgb="FFB3A3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0" borderId="0" pivotButton="0" quotePrefix="0" xfId="0"/>
    <xf numFmtId="167" fontId="4" fillId="0" borderId="0" pivotButton="0" quotePrefix="0" xfId="0"/>
    <xf numFmtId="0" fontId="2" fillId="0" borderId="0" applyAlignment="1" pivotButton="0" quotePrefix="0" xfId="0">
      <alignment wrapText="1"/>
    </xf>
    <xf numFmtId="168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5" fontId="5" fillId="3" borderId="0" pivotButton="0" quotePrefix="0" xfId="0"/>
    <xf numFmtId="0" fontId="6" fillId="0" borderId="0" applyAlignment="1" pivotButton="0" quotePrefix="0" xfId="0">
      <alignment wrapText="1"/>
    </xf>
    <xf numFmtId="169" fontId="4" fillId="0" borderId="0" pivotButton="0" quotePrefix="0" xfId="0"/>
    <xf numFmtId="0" fontId="7" fillId="0" borderId="0" pivotButton="0" quotePrefix="0" xfId="0"/>
    <xf numFmtId="1" fontId="5" fillId="0" borderId="0" pivotButton="0" quotePrefix="0" xfId="0"/>
    <xf numFmtId="165" fontId="2" fillId="0" borderId="0" pivotButton="0" quotePrefix="0" xfId="0"/>
    <xf numFmtId="0" fontId="8" fillId="0" borderId="0" pivotButton="0" quotePrefix="0" xfId="0"/>
    <xf numFmtId="165" fontId="3" fillId="0" borderId="0" pivotButton="0" quotePrefix="0" xfId="0"/>
    <xf numFmtId="165" fontId="0" fillId="0" borderId="0" pivotButton="0" quotePrefix="0" xfId="0"/>
    <xf numFmtId="170" fontId="5" fillId="0" borderId="0" pivotButton="0" quotePrefix="0" xfId="0"/>
    <xf numFmtId="10" fontId="5" fillId="3" borderId="0" pivotButton="0" quotePrefix="0" xfId="0"/>
    <xf numFmtId="10" fontId="5" fillId="0" borderId="0" pivotButton="0" quotePrefix="0" xfId="0"/>
    <xf numFmtId="167" fontId="5" fillId="3" borderId="0" pivotButton="0" quotePrefix="0" xfId="0"/>
    <xf numFmtId="167" fontId="5" fillId="0" borderId="0" pivotButton="0" quotePrefix="0" xfId="0"/>
    <xf numFmtId="171" fontId="5" fillId="3" borderId="0" pivotButton="0" quotePrefix="0" xfId="0"/>
    <xf numFmtId="10" fontId="9" fillId="0" borderId="0" pivotButton="0" quotePrefix="0" xfId="0"/>
    <xf numFmtId="10" fontId="9" fillId="3" borderId="0" pivotButton="0" quotePrefix="0" xfId="0"/>
    <xf numFmtId="165" fontId="0" fillId="3" borderId="0" pivotButton="0" quotePrefix="0" xfId="0"/>
    <xf numFmtId="10" fontId="0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8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B1" s="1" t="inlineStr">
        <is>
          <t>GTRE Industrial Underwriting Model  —  Ground-Up Development or Value-Add Acquisition</t>
        </is>
      </c>
    </row>
    <row r="2">
      <c r="B2" s="3" t="inlineStr">
        <is>
          <t>Blue cells = your inputs (change these)     Black cells = formulas (do not touch)     Green cells = links from other tabs</t>
        </is>
      </c>
    </row>
    <row r="4">
      <c r="B4" s="1" t="inlineStr">
        <is>
          <t>① Property Overview</t>
        </is>
      </c>
    </row>
    <row r="5">
      <c r="B5" s="4" t="inlineStr">
        <is>
          <t>Property Name</t>
        </is>
      </c>
      <c r="C5" s="5" t="inlineStr">
        <is>
          <t>[Enter Property Name]</t>
        </is>
      </c>
    </row>
    <row r="6">
      <c r="B6" s="4" t="inlineStr">
        <is>
          <t>Deal Type</t>
        </is>
      </c>
      <c r="C6" s="5" t="inlineStr">
        <is>
          <t>[Select Deal Type]</t>
        </is>
      </c>
    </row>
    <row r="7">
      <c r="B7" s="4" t="inlineStr">
        <is>
          <t>Submarket / Location</t>
        </is>
      </c>
      <c r="C7" s="5" t="inlineStr">
        <is>
          <t>[Enter Submarket]</t>
        </is>
      </c>
    </row>
    <row r="8">
      <c r="B8" s="4" t="inlineStr">
        <is>
          <t>Building GSF</t>
        </is>
      </c>
      <c r="C8" s="6" t="n"/>
    </row>
    <row r="9">
      <c r="B9" s="4" t="inlineStr">
        <is>
          <t>Site Acreage</t>
        </is>
      </c>
      <c r="C9" s="7" t="n"/>
    </row>
    <row r="10">
      <c r="B10" s="4" t="inlineStr">
        <is>
          <t>Clear Height (ft)</t>
        </is>
      </c>
      <c r="C10" s="8" t="n"/>
    </row>
    <row r="11">
      <c r="B11" s="4" t="inlineStr">
        <is>
          <t>Land / Acquisition Cost</t>
        </is>
      </c>
      <c r="C11" s="9" t="n"/>
    </row>
    <row r="12">
      <c r="B12" s="4" t="inlineStr">
        <is>
          <t>Closing Date</t>
        </is>
      </c>
      <c r="C12" s="10" t="n"/>
    </row>
    <row r="13">
      <c r="B13" s="4" t="inlineStr">
        <is>
          <t>Hold Period (Years)</t>
        </is>
      </c>
      <c r="C13" s="8" t="n"/>
    </row>
    <row r="14">
      <c r="B14" s="4" t="inlineStr">
        <is>
          <t>Exit Cap Rate</t>
        </is>
      </c>
      <c r="C14" s="11" t="n"/>
    </row>
    <row r="15">
      <c r="B15" s="4" t="inlineStr">
        <is>
          <t>Disposition Cost %</t>
        </is>
      </c>
      <c r="C15" s="12" t="n"/>
    </row>
    <row r="17">
      <c r="B17" s="1" t="inlineStr">
        <is>
          <t>② Development / Capital Budget</t>
        </is>
      </c>
    </row>
    <row r="18">
      <c r="B18" s="13" t="inlineStr">
        <is>
          <t>Ground-up: enter full construction hard costs. Value-add: enter your renovation / capex budget here instead. Land / Acquisition Cost above covers either the land price or the purchase price.</t>
        </is>
      </c>
    </row>
    <row r="19">
      <c r="B19" s="4" t="inlineStr">
        <is>
          <t>Hard Costs ($/SF of GSF)</t>
        </is>
      </c>
      <c r="C19" s="14" t="n"/>
    </row>
    <row r="20">
      <c r="B20" s="15" t="inlineStr">
        <is>
          <t>Total Hard Costs</t>
        </is>
      </c>
      <c r="C20" s="16">
        <f>C19*C8</f>
        <v/>
      </c>
    </row>
    <row r="21">
      <c r="B21" s="4" t="inlineStr">
        <is>
          <t>Soft Costs (% of Hard Costs)</t>
        </is>
      </c>
      <c r="C21" s="12" t="n"/>
    </row>
    <row r="22">
      <c r="B22" s="15" t="inlineStr">
        <is>
          <t>Total Soft Costs</t>
        </is>
      </c>
      <c r="C22" s="16">
        <f>C20*C21</f>
        <v/>
      </c>
    </row>
    <row r="23">
      <c r="B23" s="4" t="inlineStr">
        <is>
          <t>Contingency (% of Hard + Soft)</t>
        </is>
      </c>
      <c r="C23" s="12" t="n"/>
    </row>
    <row r="24">
      <c r="B24" s="15" t="inlineStr">
        <is>
          <t>Contingency $</t>
        </is>
      </c>
      <c r="C24" s="16">
        <f>(C20+C22)*C23</f>
        <v/>
      </c>
    </row>
    <row r="25">
      <c r="B25" s="15" t="inlineStr">
        <is>
          <t>Total Project Cost</t>
        </is>
      </c>
      <c r="C25" s="17">
        <f>C11+C20+C22+C24</f>
        <v/>
      </c>
    </row>
    <row r="27">
      <c r="B27" s="1" t="inlineStr">
        <is>
          <t>③ Tenant Roster  (up to 4 tenants — leave rows blank if fewer)</t>
        </is>
      </c>
    </row>
    <row r="28">
      <c r="B28" s="18" t="inlineStr">
        <is>
          <t>Tenant</t>
        </is>
      </c>
      <c r="C28" s="18" t="inlineStr">
        <is>
          <t>SF Leased</t>
        </is>
      </c>
      <c r="D28" s="18" t="inlineStr">
        <is>
          <t>Lease Start (Year #)</t>
        </is>
      </c>
      <c r="E28" s="18" t="inlineStr">
        <is>
          <t>Lease Term (Yrs)</t>
        </is>
      </c>
      <c r="F28" s="18" t="inlineStr">
        <is>
          <t>Base Rent ($/SF/Yr, NNN)</t>
        </is>
      </c>
      <c r="G28" s="18" t="inlineStr">
        <is>
          <t>Annual Escalation %</t>
        </is>
      </c>
      <c r="H28" s="18" t="inlineStr">
        <is>
          <t>TI Allowance ($/SF)</t>
        </is>
      </c>
      <c r="I28" s="18" t="inlineStr">
        <is>
          <t>Free Rent (Months, Yr 1)</t>
        </is>
      </c>
    </row>
    <row r="29">
      <c r="B29" s="4" t="inlineStr">
        <is>
          <t>Tenant 1</t>
        </is>
      </c>
      <c r="C29" s="6" t="n"/>
      <c r="D29" s="8" t="n"/>
      <c r="E29" s="8" t="n"/>
      <c r="F29" s="14" t="n"/>
      <c r="G29" s="12" t="n"/>
      <c r="H29" s="14" t="n"/>
      <c r="I29" s="8" t="n"/>
    </row>
    <row r="30">
      <c r="B30" s="4" t="inlineStr">
        <is>
          <t>Tenant 2</t>
        </is>
      </c>
      <c r="C30" s="6" t="n"/>
      <c r="D30" s="8" t="n"/>
      <c r="E30" s="8" t="n"/>
      <c r="F30" s="14" t="n"/>
      <c r="G30" s="12" t="n"/>
      <c r="H30" s="14" t="n"/>
      <c r="I30" s="8" t="n"/>
    </row>
    <row r="31">
      <c r="B31" s="4" t="inlineStr">
        <is>
          <t>Tenant 3</t>
        </is>
      </c>
      <c r="C31" s="6" t="n"/>
      <c r="D31" s="8" t="n"/>
      <c r="E31" s="8" t="n"/>
      <c r="F31" s="14" t="n"/>
      <c r="G31" s="12" t="n"/>
      <c r="H31" s="14" t="n"/>
      <c r="I31" s="8" t="n"/>
    </row>
    <row r="32">
      <c r="B32" s="4" t="inlineStr">
        <is>
          <t>Tenant 4</t>
        </is>
      </c>
      <c r="C32" s="6" t="n"/>
      <c r="D32" s="8" t="n"/>
      <c r="E32" s="8" t="n"/>
      <c r="F32" s="14" t="n"/>
      <c r="G32" s="12" t="n"/>
      <c r="H32" s="14" t="n"/>
      <c r="I32" s="8" t="n"/>
    </row>
    <row r="34">
      <c r="B34" s="1" t="inlineStr">
        <is>
          <t>④ Operations &amp; Reimbursements</t>
        </is>
      </c>
    </row>
    <row r="35">
      <c r="B35" s="4" t="inlineStr">
        <is>
          <t>Vacancy / Credit Loss %</t>
        </is>
      </c>
      <c r="C35" s="12" t="n"/>
    </row>
    <row r="36">
      <c r="B36" s="4" t="inlineStr">
        <is>
          <t>Non-Reimbursed Opex ($/SF/Yr)</t>
        </is>
      </c>
      <c r="C36" s="19" t="n"/>
    </row>
    <row r="37">
      <c r="B37" s="4" t="inlineStr">
        <is>
          <t>Management Fee (% of EGI)</t>
        </is>
      </c>
      <c r="C37" s="12" t="n"/>
    </row>
    <row r="38">
      <c r="B38" s="4" t="inlineStr">
        <is>
          <t>Expense Growth Rate</t>
        </is>
      </c>
      <c r="C38" s="12" t="n"/>
    </row>
    <row r="40">
      <c r="B40" s="1" t="inlineStr">
        <is>
          <t>⑤ Construction / Renovation &amp; Lease-Up Timing</t>
        </is>
      </c>
    </row>
    <row r="41">
      <c r="B41" s="4" t="inlineStr">
        <is>
          <t>Construction / Renovation Duration (Months)</t>
        </is>
      </c>
      <c r="C41" s="8" t="n"/>
    </row>
    <row r="42">
      <c r="B42" s="4" t="inlineStr">
        <is>
          <t>Pre-Leased at Delivery?</t>
        </is>
      </c>
      <c r="C42" s="5" t="inlineStr">
        <is>
          <t>[Select]</t>
        </is>
      </c>
    </row>
    <row r="43">
      <c r="B43" s="4" t="inlineStr">
        <is>
          <t>Months to Full Stabilization (if not pre-leased)</t>
        </is>
      </c>
      <c r="C43" s="8" t="n"/>
    </row>
    <row r="45">
      <c r="B45" s="1" t="inlineStr">
        <is>
          <t>⑥ Financing</t>
        </is>
      </c>
    </row>
    <row r="46">
      <c r="B46" s="4" t="inlineStr">
        <is>
          <t>Loan-to-Cost / Loan-to-Value</t>
        </is>
      </c>
      <c r="C46" s="12" t="n"/>
    </row>
    <row r="47">
      <c r="B47" s="4" t="inlineStr">
        <is>
          <t>Interest Rate</t>
        </is>
      </c>
      <c r="C47" s="11" t="n"/>
    </row>
    <row r="48">
      <c r="B48" s="4" t="inlineStr">
        <is>
          <t>Interest-Only Period (Years)</t>
        </is>
      </c>
      <c r="C48" s="8" t="n"/>
    </row>
    <row r="49">
      <c r="B49" s="4" t="inlineStr">
        <is>
          <t>Amortization Period (Years)</t>
        </is>
      </c>
      <c r="C49" s="8" t="n"/>
    </row>
    <row r="50">
      <c r="B50" s="4" t="inlineStr">
        <is>
          <t>Origination Fee %</t>
        </is>
      </c>
      <c r="C50" s="12" t="n"/>
    </row>
    <row r="51">
      <c r="B51" s="15" t="inlineStr">
        <is>
          <t>Loan Amount</t>
        </is>
      </c>
      <c r="C51" s="16">
        <f>C25*C46</f>
        <v/>
      </c>
    </row>
    <row r="52">
      <c r="B52" s="15" t="inlineStr">
        <is>
          <t>Equity Required</t>
        </is>
      </c>
      <c r="C52" s="17">
        <f>(C25-C51)+(C51*C50)</f>
        <v/>
      </c>
    </row>
    <row r="54">
      <c r="B54" s="1" t="inlineStr">
        <is>
          <t>⑦ Annual Cash Flow</t>
        </is>
      </c>
    </row>
    <row r="55">
      <c r="B55" s="20" t="inlineStr">
        <is>
          <t>Year</t>
        </is>
      </c>
      <c r="D55" s="21" t="n">
        <v>0</v>
      </c>
      <c r="E55" s="21" t="n">
        <v>1</v>
      </c>
      <c r="F55" s="21" t="n">
        <v>2</v>
      </c>
      <c r="G55" s="21" t="n">
        <v>3</v>
      </c>
      <c r="H55" s="21" t="n">
        <v>4</v>
      </c>
      <c r="I55" s="21" t="n">
        <v>5</v>
      </c>
      <c r="J55" s="21" t="n">
        <v>6</v>
      </c>
      <c r="K55" s="21" t="n">
        <v>7</v>
      </c>
      <c r="L55" s="21" t="n">
        <v>8</v>
      </c>
      <c r="M55" s="21" t="n">
        <v>9</v>
      </c>
      <c r="N55" s="21" t="n">
        <v>10</v>
      </c>
    </row>
    <row r="56">
      <c r="B56" s="3" t="inlineStr">
        <is>
          <t>Tenant Rent Buildout</t>
        </is>
      </c>
    </row>
    <row r="57">
      <c r="B57" s="3" t="inlineStr">
        <is>
          <t xml:space="preserve">  Tenant 1 Rent</t>
        </is>
      </c>
      <c r="D57" t="n">
        <v>0</v>
      </c>
      <c r="E57" s="22">
        <f>IF(AND($C$29&lt;&gt;"",1&gt;=$D$29,1&lt;$D$29+$E$29),$C$29*$F$29*(1+$G$29)^(1-$D$29)*IF(1=$D$29,(12-$I$29)/12,1),0)</f>
        <v/>
      </c>
      <c r="F57" s="22">
        <f>IF(AND($C$29&lt;&gt;"",2&gt;=$D$29,2&lt;$D$29+$E$29),$C$29*$F$29*(1+$G$29)^(2-$D$29)*IF(2=$D$29,(12-$I$29)/12,1),0)</f>
        <v/>
      </c>
      <c r="G57" s="22">
        <f>IF(AND($C$29&lt;&gt;"",3&gt;=$D$29,3&lt;$D$29+$E$29),$C$29*$F$29*(1+$G$29)^(3-$D$29)*IF(3=$D$29,(12-$I$29)/12,1),0)</f>
        <v/>
      </c>
      <c r="H57" s="22">
        <f>IF(AND($C$29&lt;&gt;"",4&gt;=$D$29,4&lt;$D$29+$E$29),$C$29*$F$29*(1+$G$29)^(4-$D$29)*IF(4=$D$29,(12-$I$29)/12,1),0)</f>
        <v/>
      </c>
      <c r="I57" s="22">
        <f>IF(AND($C$29&lt;&gt;"",5&gt;=$D$29,5&lt;$D$29+$E$29),$C$29*$F$29*(1+$G$29)^(5-$D$29)*IF(5=$D$29,(12-$I$29)/12,1),0)</f>
        <v/>
      </c>
      <c r="J57" s="22">
        <f>IF(AND($C$29&lt;&gt;"",6&gt;=$D$29,6&lt;$D$29+$E$29),$C$29*$F$29*(1+$G$29)^(6-$D$29)*IF(6=$D$29,(12-$I$29)/12,1),0)</f>
        <v/>
      </c>
      <c r="K57" s="22">
        <f>IF(AND($C$29&lt;&gt;"",7&gt;=$D$29,7&lt;$D$29+$E$29),$C$29*$F$29*(1+$G$29)^(7-$D$29)*IF(7=$D$29,(12-$I$29)/12,1),0)</f>
        <v/>
      </c>
      <c r="L57" s="22">
        <f>IF(AND($C$29&lt;&gt;"",8&gt;=$D$29,8&lt;$D$29+$E$29),$C$29*$F$29*(1+$G$29)^(8-$D$29)*IF(8=$D$29,(12-$I$29)/12,1),0)</f>
        <v/>
      </c>
      <c r="M57" s="22">
        <f>IF(AND($C$29&lt;&gt;"",9&gt;=$D$29,9&lt;$D$29+$E$29),$C$29*$F$29*(1+$G$29)^(9-$D$29)*IF(9=$D$29,(12-$I$29)/12,1),0)</f>
        <v/>
      </c>
      <c r="N57" s="22">
        <f>IF(AND($C$29&lt;&gt;"",10&gt;=$D$29,10&lt;$D$29+$E$29),$C$29*$F$29*(1+$G$29)^(10-$D$29)*IF(10=$D$29,(12-$I$29)/12,1),0)</f>
        <v/>
      </c>
    </row>
    <row r="58">
      <c r="B58" s="3" t="inlineStr">
        <is>
          <t xml:space="preserve">  Tenant 2 Rent</t>
        </is>
      </c>
      <c r="D58" t="n">
        <v>0</v>
      </c>
      <c r="E58" s="22">
        <f>IF(AND($C$30&lt;&gt;"",1&gt;=$D$30,1&lt;$D$30+$E$30),$C$30*$F$30*(1+$G$30)^(1-$D$30)*IF(1=$D$30,(12-$I$30)/12,1),0)</f>
        <v/>
      </c>
      <c r="F58" s="22">
        <f>IF(AND($C$30&lt;&gt;"",2&gt;=$D$30,2&lt;$D$30+$E$30),$C$30*$F$30*(1+$G$30)^(2-$D$30)*IF(2=$D$30,(12-$I$30)/12,1),0)</f>
        <v/>
      </c>
      <c r="G58" s="22">
        <f>IF(AND($C$30&lt;&gt;"",3&gt;=$D$30,3&lt;$D$30+$E$30),$C$30*$F$30*(1+$G$30)^(3-$D$30)*IF(3=$D$30,(12-$I$30)/12,1),0)</f>
        <v/>
      </c>
      <c r="H58" s="22">
        <f>IF(AND($C$30&lt;&gt;"",4&gt;=$D$30,4&lt;$D$30+$E$30),$C$30*$F$30*(1+$G$30)^(4-$D$30)*IF(4=$D$30,(12-$I$30)/12,1),0)</f>
        <v/>
      </c>
      <c r="I58" s="22">
        <f>IF(AND($C$30&lt;&gt;"",5&gt;=$D$30,5&lt;$D$30+$E$30),$C$30*$F$30*(1+$G$30)^(5-$D$30)*IF(5=$D$30,(12-$I$30)/12,1),0)</f>
        <v/>
      </c>
      <c r="J58" s="22">
        <f>IF(AND($C$30&lt;&gt;"",6&gt;=$D$30,6&lt;$D$30+$E$30),$C$30*$F$30*(1+$G$30)^(6-$D$30)*IF(6=$D$30,(12-$I$30)/12,1),0)</f>
        <v/>
      </c>
      <c r="K58" s="22">
        <f>IF(AND($C$30&lt;&gt;"",7&gt;=$D$30,7&lt;$D$30+$E$30),$C$30*$F$30*(1+$G$30)^(7-$D$30)*IF(7=$D$30,(12-$I$30)/12,1),0)</f>
        <v/>
      </c>
      <c r="L58" s="22">
        <f>IF(AND($C$30&lt;&gt;"",8&gt;=$D$30,8&lt;$D$30+$E$30),$C$30*$F$30*(1+$G$30)^(8-$D$30)*IF(8=$D$30,(12-$I$30)/12,1),0)</f>
        <v/>
      </c>
      <c r="M58" s="22">
        <f>IF(AND($C$30&lt;&gt;"",9&gt;=$D$30,9&lt;$D$30+$E$30),$C$30*$F$30*(1+$G$30)^(9-$D$30)*IF(9=$D$30,(12-$I$30)/12,1),0)</f>
        <v/>
      </c>
      <c r="N58" s="22">
        <f>IF(AND($C$30&lt;&gt;"",10&gt;=$D$30,10&lt;$D$30+$E$30),$C$30*$F$30*(1+$G$30)^(10-$D$30)*IF(10=$D$30,(12-$I$30)/12,1),0)</f>
        <v/>
      </c>
    </row>
    <row r="59">
      <c r="B59" s="3" t="inlineStr">
        <is>
          <t xml:space="preserve">  Tenant 3 Rent</t>
        </is>
      </c>
      <c r="D59" t="n">
        <v>0</v>
      </c>
      <c r="E59" s="22">
        <f>IF(AND($C$31&lt;&gt;"",1&gt;=$D$31,1&lt;$D$31+$E$31),$C$31*$F$31*(1+$G$31)^(1-$D$31)*IF(1=$D$31,(12-$I$31)/12,1),0)</f>
        <v/>
      </c>
      <c r="F59" s="22">
        <f>IF(AND($C$31&lt;&gt;"",2&gt;=$D$31,2&lt;$D$31+$E$31),$C$31*$F$31*(1+$G$31)^(2-$D$31)*IF(2=$D$31,(12-$I$31)/12,1),0)</f>
        <v/>
      </c>
      <c r="G59" s="22">
        <f>IF(AND($C$31&lt;&gt;"",3&gt;=$D$31,3&lt;$D$31+$E$31),$C$31*$F$31*(1+$G$31)^(3-$D$31)*IF(3=$D$31,(12-$I$31)/12,1),0)</f>
        <v/>
      </c>
      <c r="H59" s="22">
        <f>IF(AND($C$31&lt;&gt;"",4&gt;=$D$31,4&lt;$D$31+$E$31),$C$31*$F$31*(1+$G$31)^(4-$D$31)*IF(4=$D$31,(12-$I$31)/12,1),0)</f>
        <v/>
      </c>
      <c r="I59" s="22">
        <f>IF(AND($C$31&lt;&gt;"",5&gt;=$D$31,5&lt;$D$31+$E$31),$C$31*$F$31*(1+$G$31)^(5-$D$31)*IF(5=$D$31,(12-$I$31)/12,1),0)</f>
        <v/>
      </c>
      <c r="J59" s="22">
        <f>IF(AND($C$31&lt;&gt;"",6&gt;=$D$31,6&lt;$D$31+$E$31),$C$31*$F$31*(1+$G$31)^(6-$D$31)*IF(6=$D$31,(12-$I$31)/12,1),0)</f>
        <v/>
      </c>
      <c r="K59" s="22">
        <f>IF(AND($C$31&lt;&gt;"",7&gt;=$D$31,7&lt;$D$31+$E$31),$C$31*$F$31*(1+$G$31)^(7-$D$31)*IF(7=$D$31,(12-$I$31)/12,1),0)</f>
        <v/>
      </c>
      <c r="L59" s="22">
        <f>IF(AND($C$31&lt;&gt;"",8&gt;=$D$31,8&lt;$D$31+$E$31),$C$31*$F$31*(1+$G$31)^(8-$D$31)*IF(8=$D$31,(12-$I$31)/12,1),0)</f>
        <v/>
      </c>
      <c r="M59" s="22">
        <f>IF(AND($C$31&lt;&gt;"",9&gt;=$D$31,9&lt;$D$31+$E$31),$C$31*$F$31*(1+$G$31)^(9-$D$31)*IF(9=$D$31,(12-$I$31)/12,1),0)</f>
        <v/>
      </c>
      <c r="N59" s="22">
        <f>IF(AND($C$31&lt;&gt;"",10&gt;=$D$31,10&lt;$D$31+$E$31),$C$31*$F$31*(1+$G$31)^(10-$D$31)*IF(10=$D$31,(12-$I$31)/12,1),0)</f>
        <v/>
      </c>
    </row>
    <row r="60">
      <c r="B60" s="3" t="inlineStr">
        <is>
          <t xml:space="preserve">  Tenant 4 Rent</t>
        </is>
      </c>
      <c r="D60" t="n">
        <v>0</v>
      </c>
      <c r="E60" s="22">
        <f>IF(AND($C$32&lt;&gt;"",1&gt;=$D$32,1&lt;$D$32+$E$32),$C$32*$F$32*(1+$G$32)^(1-$D$32)*IF(1=$D$32,(12-$I$32)/12,1),0)</f>
        <v/>
      </c>
      <c r="F60" s="22">
        <f>IF(AND($C$32&lt;&gt;"",2&gt;=$D$32,2&lt;$D$32+$E$32),$C$32*$F$32*(1+$G$32)^(2-$D$32)*IF(2=$D$32,(12-$I$32)/12,1),0)</f>
        <v/>
      </c>
      <c r="G60" s="22">
        <f>IF(AND($C$32&lt;&gt;"",3&gt;=$D$32,3&lt;$D$32+$E$32),$C$32*$F$32*(1+$G$32)^(3-$D$32)*IF(3=$D$32,(12-$I$32)/12,1),0)</f>
        <v/>
      </c>
      <c r="H60" s="22">
        <f>IF(AND($C$32&lt;&gt;"",4&gt;=$D$32,4&lt;$D$32+$E$32),$C$32*$F$32*(1+$G$32)^(4-$D$32)*IF(4=$D$32,(12-$I$32)/12,1),0)</f>
        <v/>
      </c>
      <c r="I60" s="22">
        <f>IF(AND($C$32&lt;&gt;"",5&gt;=$D$32,5&lt;$D$32+$E$32),$C$32*$F$32*(1+$G$32)^(5-$D$32)*IF(5=$D$32,(12-$I$32)/12,1),0)</f>
        <v/>
      </c>
      <c r="J60" s="22">
        <f>IF(AND($C$32&lt;&gt;"",6&gt;=$D$32,6&lt;$D$32+$E$32),$C$32*$F$32*(1+$G$32)^(6-$D$32)*IF(6=$D$32,(12-$I$32)/12,1),0)</f>
        <v/>
      </c>
      <c r="K60" s="22">
        <f>IF(AND($C$32&lt;&gt;"",7&gt;=$D$32,7&lt;$D$32+$E$32),$C$32*$F$32*(1+$G$32)^(7-$D$32)*IF(7=$D$32,(12-$I$32)/12,1),0)</f>
        <v/>
      </c>
      <c r="L60" s="22">
        <f>IF(AND($C$32&lt;&gt;"",8&gt;=$D$32,8&lt;$D$32+$E$32),$C$32*$F$32*(1+$G$32)^(8-$D$32)*IF(8=$D$32,(12-$I$32)/12,1),0)</f>
        <v/>
      </c>
      <c r="M60" s="22">
        <f>IF(AND($C$32&lt;&gt;"",9&gt;=$D$32,9&lt;$D$32+$E$32),$C$32*$F$32*(1+$G$32)^(9-$D$32)*IF(9=$D$32,(12-$I$32)/12,1),0)</f>
        <v/>
      </c>
      <c r="N60" s="22">
        <f>IF(AND($C$32&lt;&gt;"",10&gt;=$D$32,10&lt;$D$32+$E$32),$C$32*$F$32*(1+$G$32)^(10-$D$32)*IF(10=$D$32,(12-$I$32)/12,1),0)</f>
        <v/>
      </c>
    </row>
    <row r="61">
      <c r="B61" s="3" t="inlineStr">
        <is>
          <t xml:space="preserve">  Less: TI Allowance (paid in lease start year)</t>
        </is>
      </c>
      <c r="D61" t="n">
        <v>0</v>
      </c>
      <c r="E61" s="22">
        <f>-(IF($D$29=1,$C$29*$H$29,0)+IF($D$30=1,$C$30*$H$30,0)+IF($D$31=1,$C$31*$H$31,0)+IF($D$32=1,$C$32*$H$32,0))</f>
        <v/>
      </c>
      <c r="F61" s="22">
        <f>-(IF($D$29=2,$C$29*$H$29,0)+IF($D$30=2,$C$30*$H$30,0)+IF($D$31=2,$C$31*$H$31,0)+IF($D$32=2,$C$32*$H$32,0))</f>
        <v/>
      </c>
      <c r="G61" s="22">
        <f>-(IF($D$29=3,$C$29*$H$29,0)+IF($D$30=3,$C$30*$H$30,0)+IF($D$31=3,$C$31*$H$31,0)+IF($D$32=3,$C$32*$H$32,0))</f>
        <v/>
      </c>
      <c r="H61" s="22">
        <f>-(IF($D$29=4,$C$29*$H$29,0)+IF($D$30=4,$C$30*$H$30,0)+IF($D$31=4,$C$31*$H$31,0)+IF($D$32=4,$C$32*$H$32,0))</f>
        <v/>
      </c>
      <c r="I61" s="22">
        <f>-(IF($D$29=5,$C$29*$H$29,0)+IF($D$30=5,$C$30*$H$30,0)+IF($D$31=5,$C$31*$H$31,0)+IF($D$32=5,$C$32*$H$32,0))</f>
        <v/>
      </c>
      <c r="J61" s="22">
        <f>-(IF($D$29=6,$C$29*$H$29,0)+IF($D$30=6,$C$30*$H$30,0)+IF($D$31=6,$C$31*$H$31,0)+IF($D$32=6,$C$32*$H$32,0))</f>
        <v/>
      </c>
      <c r="K61" s="22">
        <f>-(IF($D$29=7,$C$29*$H$29,0)+IF($D$30=7,$C$30*$H$30,0)+IF($D$31=7,$C$31*$H$31,0)+IF($D$32=7,$C$32*$H$32,0))</f>
        <v/>
      </c>
      <c r="L61" s="22">
        <f>-(IF($D$29=8,$C$29*$H$29,0)+IF($D$30=8,$C$30*$H$30,0)+IF($D$31=8,$C$31*$H$31,0)+IF($D$32=8,$C$32*$H$32,0))</f>
        <v/>
      </c>
      <c r="M61" s="22">
        <f>-(IF($D$29=9,$C$29*$H$29,0)+IF($D$30=9,$C$30*$H$30,0)+IF($D$31=9,$C$31*$H$31,0)+IF($D$32=9,$C$32*$H$32,0))</f>
        <v/>
      </c>
      <c r="N61" s="22">
        <f>-(IF($D$29=10,$C$29*$H$29,0)+IF($D$30=10,$C$30*$H$30,0)+IF($D$31=10,$C$31*$H$31,0)+IF($D$32=10,$C$32*$H$32,0))</f>
        <v/>
      </c>
    </row>
    <row r="63">
      <c r="B63" s="23" t="inlineStr">
        <is>
          <t>Gross Potential Rent</t>
        </is>
      </c>
      <c r="D63" t="n">
        <v>0</v>
      </c>
      <c r="E63" s="16">
        <f>SUM(E57:E60)</f>
        <v/>
      </c>
      <c r="F63" s="16">
        <f>SUM(F57:F60)</f>
        <v/>
      </c>
      <c r="G63" s="16">
        <f>SUM(G57:G60)</f>
        <v/>
      </c>
      <c r="H63" s="16">
        <f>SUM(H57:H60)</f>
        <v/>
      </c>
      <c r="I63" s="16">
        <f>SUM(I57:I60)</f>
        <v/>
      </c>
      <c r="J63" s="16">
        <f>SUM(J57:J60)</f>
        <v/>
      </c>
      <c r="K63" s="16">
        <f>SUM(K57:K60)</f>
        <v/>
      </c>
      <c r="L63" s="16">
        <f>SUM(L57:L60)</f>
        <v/>
      </c>
      <c r="M63" s="16">
        <f>SUM(M57:M60)</f>
        <v/>
      </c>
      <c r="N63" s="16">
        <f>SUM(N57:N60)</f>
        <v/>
      </c>
    </row>
    <row r="64">
      <c r="B64" s="20" t="inlineStr">
        <is>
          <t>Less: Vacancy / Credit Loss</t>
        </is>
      </c>
      <c r="D64" t="n">
        <v>0</v>
      </c>
      <c r="E64" s="24">
        <f>-E63*$C$35</f>
        <v/>
      </c>
      <c r="F64" s="24">
        <f>-F63*$C$35</f>
        <v/>
      </c>
      <c r="G64" s="24">
        <f>-G63*$C$35</f>
        <v/>
      </c>
      <c r="H64" s="24">
        <f>-H63*$C$35</f>
        <v/>
      </c>
      <c r="I64" s="24">
        <f>-I63*$C$35</f>
        <v/>
      </c>
      <c r="J64" s="24">
        <f>-J63*$C$35</f>
        <v/>
      </c>
      <c r="K64" s="24">
        <f>-K63*$C$35</f>
        <v/>
      </c>
      <c r="L64" s="24">
        <f>-L63*$C$35</f>
        <v/>
      </c>
      <c r="M64" s="24">
        <f>-M63*$C$35</f>
        <v/>
      </c>
      <c r="N64" s="24">
        <f>-N63*$C$35</f>
        <v/>
      </c>
    </row>
    <row r="65">
      <c r="B65" s="23" t="inlineStr">
        <is>
          <t>Effective Rental Income</t>
        </is>
      </c>
      <c r="D65" t="n">
        <v>0</v>
      </c>
      <c r="E65" s="16">
        <f>SUM(E63:E64)</f>
        <v/>
      </c>
      <c r="F65" s="16">
        <f>SUM(F63:F64)</f>
        <v/>
      </c>
      <c r="G65" s="16">
        <f>SUM(G63:G64)</f>
        <v/>
      </c>
      <c r="H65" s="16">
        <f>SUM(H63:H64)</f>
        <v/>
      </c>
      <c r="I65" s="16">
        <f>SUM(I63:I64)</f>
        <v/>
      </c>
      <c r="J65" s="16">
        <f>SUM(J63:J64)</f>
        <v/>
      </c>
      <c r="K65" s="16">
        <f>SUM(K63:K64)</f>
        <v/>
      </c>
      <c r="L65" s="16">
        <f>SUM(L63:L64)</f>
        <v/>
      </c>
      <c r="M65" s="16">
        <f>SUM(M63:M64)</f>
        <v/>
      </c>
      <c r="N65" s="16">
        <f>SUM(N63:N64)</f>
        <v/>
      </c>
    </row>
    <row r="66">
      <c r="B66" s="20" t="inlineStr">
        <is>
          <t>Less: Non-Reimbursed Opex</t>
        </is>
      </c>
      <c r="D66" t="n">
        <v>0</v>
      </c>
      <c r="E66" s="24">
        <f>-$C$36*$C$8*(1+$C$38)^(1-1)</f>
        <v/>
      </c>
      <c r="F66" s="24">
        <f>-$C$36*$C$8*(1+$C$38)^(2-1)</f>
        <v/>
      </c>
      <c r="G66" s="24">
        <f>-$C$36*$C$8*(1+$C$38)^(3-1)</f>
        <v/>
      </c>
      <c r="H66" s="24">
        <f>-$C$36*$C$8*(1+$C$38)^(4-1)</f>
        <v/>
      </c>
      <c r="I66" s="24">
        <f>-$C$36*$C$8*(1+$C$38)^(5-1)</f>
        <v/>
      </c>
      <c r="J66" s="24">
        <f>-$C$36*$C$8*(1+$C$38)^(6-1)</f>
        <v/>
      </c>
      <c r="K66" s="24">
        <f>-$C$36*$C$8*(1+$C$38)^(7-1)</f>
        <v/>
      </c>
      <c r="L66" s="24">
        <f>-$C$36*$C$8*(1+$C$38)^(8-1)</f>
        <v/>
      </c>
      <c r="M66" s="24">
        <f>-$C$36*$C$8*(1+$C$38)^(9-1)</f>
        <v/>
      </c>
      <c r="N66" s="24">
        <f>-$C$36*$C$8*(1+$C$38)^(10-1)</f>
        <v/>
      </c>
    </row>
    <row r="67">
      <c r="B67" s="20" t="inlineStr">
        <is>
          <t>Less: Management Fee</t>
        </is>
      </c>
      <c r="D67" t="n">
        <v>0</v>
      </c>
      <c r="E67" s="24">
        <f>-E65*$C$37</f>
        <v/>
      </c>
      <c r="F67" s="24">
        <f>-F65*$C$37</f>
        <v/>
      </c>
      <c r="G67" s="24">
        <f>-G65*$C$37</f>
        <v/>
      </c>
      <c r="H67" s="24">
        <f>-H65*$C$37</f>
        <v/>
      </c>
      <c r="I67" s="24">
        <f>-I65*$C$37</f>
        <v/>
      </c>
      <c r="J67" s="24">
        <f>-J65*$C$37</f>
        <v/>
      </c>
      <c r="K67" s="24">
        <f>-K65*$C$37</f>
        <v/>
      </c>
      <c r="L67" s="24">
        <f>-L65*$C$37</f>
        <v/>
      </c>
      <c r="M67" s="24">
        <f>-M65*$C$37</f>
        <v/>
      </c>
      <c r="N67" s="24">
        <f>-N65*$C$37</f>
        <v/>
      </c>
    </row>
    <row r="68">
      <c r="B68" s="23" t="inlineStr">
        <is>
          <t>Net Operating Income</t>
        </is>
      </c>
      <c r="D68" t="n">
        <v>0</v>
      </c>
      <c r="E68" s="16">
        <f>SUM(E65:E67)</f>
        <v/>
      </c>
      <c r="F68" s="16">
        <f>SUM(F65:F67)</f>
        <v/>
      </c>
      <c r="G68" s="16">
        <f>SUM(G65:G67)</f>
        <v/>
      </c>
      <c r="H68" s="16">
        <f>SUM(H65:H67)</f>
        <v/>
      </c>
      <c r="I68" s="16">
        <f>SUM(I65:I67)</f>
        <v/>
      </c>
      <c r="J68" s="16">
        <f>SUM(J65:J67)</f>
        <v/>
      </c>
      <c r="K68" s="16">
        <f>SUM(K65:K67)</f>
        <v/>
      </c>
      <c r="L68" s="16">
        <f>SUM(L65:L67)</f>
        <v/>
      </c>
      <c r="M68" s="16">
        <f>SUM(M65:M67)</f>
        <v/>
      </c>
      <c r="N68" s="16">
        <f>SUM(N65:N67)</f>
        <v/>
      </c>
    </row>
    <row r="69">
      <c r="B69" s="20" t="inlineStr">
        <is>
          <t>Less: Debt Service</t>
        </is>
      </c>
      <c r="E69" s="24">
        <f>IF($C$13&gt;=1,IF(1&lt;=$C$48,-$C$51*$C$47,PMT($C$47,$C$49,$C$51)),"")</f>
        <v/>
      </c>
      <c r="F69" s="24">
        <f>IF($C$13&gt;=2,IF(2&lt;=$C$48,-$C$51*$C$47,PMT($C$47,$C$49,$C$51)),"")</f>
        <v/>
      </c>
      <c r="G69" s="24">
        <f>IF($C$13&gt;=3,IF(3&lt;=$C$48,-$C$51*$C$47,PMT($C$47,$C$49,$C$51)),"")</f>
        <v/>
      </c>
      <c r="H69" s="24">
        <f>IF($C$13&gt;=4,IF(4&lt;=$C$48,-$C$51*$C$47,PMT($C$47,$C$49,$C$51)),"")</f>
        <v/>
      </c>
      <c r="I69" s="24">
        <f>IF($C$13&gt;=5,IF(5&lt;=$C$48,-$C$51*$C$47,PMT($C$47,$C$49,$C$51)),"")</f>
        <v/>
      </c>
      <c r="J69" s="24">
        <f>IF($C$13&gt;=6,IF(6&lt;=$C$48,-$C$51*$C$47,PMT($C$47,$C$49,$C$51)),"")</f>
        <v/>
      </c>
      <c r="K69" s="24">
        <f>IF($C$13&gt;=7,IF(7&lt;=$C$48,-$C$51*$C$47,PMT($C$47,$C$49,$C$51)),"")</f>
        <v/>
      </c>
      <c r="L69" s="24">
        <f>IF($C$13&gt;=8,IF(8&lt;=$C$48,-$C$51*$C$47,PMT($C$47,$C$49,$C$51)),"")</f>
        <v/>
      </c>
      <c r="M69" s="24">
        <f>IF($C$13&gt;=9,IF(9&lt;=$C$48,-$C$51*$C$47,PMT($C$47,$C$49,$C$51)),"")</f>
        <v/>
      </c>
      <c r="N69" s="24">
        <f>IF($C$13&gt;=10,IF(10&lt;=$C$48,-$C$51*$C$47,PMT($C$47,$C$49,$C$51)),"")</f>
        <v/>
      </c>
    </row>
    <row r="70">
      <c r="B70" s="20" t="inlineStr">
        <is>
          <t>Net Sale Proceeds at Exit</t>
        </is>
      </c>
      <c r="E70" s="25">
        <f>IF($C$13=1,(INDEX($D$68:$N$68,1,$C$13+2)/$C$14)*(1-$C$15)-(IF(1&lt;=$C$48,$C$51,$C$51*(1-(((1+$C$47)^(1-$C$48)-1)/((1+$C$47)^$C$49-1))))),"")</f>
        <v/>
      </c>
      <c r="F70" s="25">
        <f>IF($C$13=2,(INDEX($D$68:$N$68,1,$C$13+2)/$C$14)*(1-$C$15)-(IF(2&lt;=$C$48,$C$51,$C$51*(1-(((1+$C$47)^(2-$C$48)-1)/((1+$C$47)^$C$49-1))))),"")</f>
        <v/>
      </c>
      <c r="G70" s="25">
        <f>IF($C$13=3,(INDEX($D$68:$N$68,1,$C$13+2)/$C$14)*(1-$C$15)-(IF(3&lt;=$C$48,$C$51,$C$51*(1-(((1+$C$47)^(3-$C$48)-1)/((1+$C$47)^$C$49-1))))),"")</f>
        <v/>
      </c>
      <c r="H70" s="25">
        <f>IF($C$13=4,(INDEX($D$68:$N$68,1,$C$13+2)/$C$14)*(1-$C$15)-(IF(4&lt;=$C$48,$C$51,$C$51*(1-(((1+$C$47)^(4-$C$48)-1)/((1+$C$47)^$C$49-1))))),"")</f>
        <v/>
      </c>
      <c r="I70" s="25">
        <f>IF($C$13=5,(INDEX($D$68:$N$68,1,$C$13+2)/$C$14)*(1-$C$15)-(IF(5&lt;=$C$48,$C$51,$C$51*(1-(((1+$C$47)^(5-$C$48)-1)/((1+$C$47)^$C$49-1))))),"")</f>
        <v/>
      </c>
      <c r="J70" s="25">
        <f>IF($C$13=6,(INDEX($D$68:$N$68,1,$C$13+2)/$C$14)*(1-$C$15)-(IF(6&lt;=$C$48,$C$51,$C$51*(1-(((1+$C$47)^(6-$C$48)-1)/((1+$C$47)^$C$49-1))))),"")</f>
        <v/>
      </c>
      <c r="K70" s="25">
        <f>IF($C$13=7,(INDEX($D$68:$N$68,1,$C$13+2)/$C$14)*(1-$C$15)-(IF(7&lt;=$C$48,$C$51,$C$51*(1-(((1+$C$47)^(7-$C$48)-1)/((1+$C$47)^$C$49-1))))),"")</f>
        <v/>
      </c>
      <c r="L70" s="25">
        <f>IF($C$13=8,(INDEX($D$68:$N$68,1,$C$13+2)/$C$14)*(1-$C$15)-(IF(8&lt;=$C$48,$C$51,$C$51*(1-(((1+$C$47)^(8-$C$48)-1)/((1+$C$47)^$C$49-1))))),"")</f>
        <v/>
      </c>
      <c r="M70" s="25">
        <f>IF($C$13=9,(INDEX($D$68:$N$68,1,$C$13+2)/$C$14)*(1-$C$15)-(IF(9&lt;=$C$48,$C$51,$C$51*(1-(((1+$C$47)^(9-$C$48)-1)/((1+$C$47)^$C$49-1))))),"")</f>
        <v/>
      </c>
      <c r="N70" s="25">
        <f>IF($C$13=10,(N68*(1+$C$38)/$C$14)*(1-$C$15)-(IF(10&lt;=$C$48,$C$51,$C$51*(1-(((1+$C$47)^(10-$C$48)-1)/((1+$C$47)^$C$49-1))))),"")</f>
        <v/>
      </c>
    </row>
    <row r="71">
      <c r="B71" s="23" t="inlineStr">
        <is>
          <t>Total Levered Cash Flow</t>
        </is>
      </c>
      <c r="D71" s="26">
        <f>-C52</f>
        <v/>
      </c>
      <c r="E71" s="26">
        <f>IF($C$13&gt;=1,SUM(E68:E70)+E61,"")</f>
        <v/>
      </c>
      <c r="F71" s="26">
        <f>IF($C$13&gt;=2,SUM(F68:F70)+F61,"")</f>
        <v/>
      </c>
      <c r="G71" s="26">
        <f>IF($C$13&gt;=3,SUM(G68:G70)+G61,"")</f>
        <v/>
      </c>
      <c r="H71" s="26">
        <f>IF($C$13&gt;=4,SUM(H68:H70)+H61,"")</f>
        <v/>
      </c>
      <c r="I71" s="26">
        <f>IF($C$13&gt;=5,SUM(I68:I70)+I61,"")</f>
        <v/>
      </c>
      <c r="J71" s="26">
        <f>IF($C$13&gt;=6,SUM(J68:J70)+J61,"")</f>
        <v/>
      </c>
      <c r="K71" s="26">
        <f>IF($C$13&gt;=7,SUM(K68:K70)+K61,"")</f>
        <v/>
      </c>
      <c r="L71" s="26">
        <f>IF($C$13&gt;=8,SUM(L68:L70)+L61,"")</f>
        <v/>
      </c>
      <c r="M71" s="26">
        <f>IF($C$13&gt;=9,SUM(M68:M70)+M61,"")</f>
        <v/>
      </c>
      <c r="N71" s="26">
        <f>IF($C$13&gt;=10,SUM(N68:N70)+N61,"")</f>
        <v/>
      </c>
    </row>
    <row r="73">
      <c r="B73" s="23" t="inlineStr">
        <is>
          <t>Total Unlevered Cash Flow</t>
        </is>
      </c>
      <c r="D73" s="26">
        <f>-C25</f>
        <v/>
      </c>
      <c r="E73" s="26">
        <f>IF($C$13&gt;=1,E68+E61+IF($C$13=1,(INDEX($D$68:$N$68,1,$C$13+2)/$C$14)*(1-$C$15),0),"")</f>
        <v/>
      </c>
      <c r="F73" s="26">
        <f>IF($C$13&gt;=2,F68+F61+IF($C$13=2,(INDEX($D$68:$N$68,1,$C$13+2)/$C$14)*(1-$C$15),0),"")</f>
        <v/>
      </c>
      <c r="G73" s="26">
        <f>IF($C$13&gt;=3,G68+G61+IF($C$13=3,(INDEX($D$68:$N$68,1,$C$13+2)/$C$14)*(1-$C$15),0),"")</f>
        <v/>
      </c>
      <c r="H73" s="26">
        <f>IF($C$13&gt;=4,H68+H61+IF($C$13=4,(INDEX($D$68:$N$68,1,$C$13+2)/$C$14)*(1-$C$15),0),"")</f>
        <v/>
      </c>
      <c r="I73" s="26">
        <f>IF($C$13&gt;=5,I68+I61+IF($C$13=5,(INDEX($D$68:$N$68,1,$C$13+2)/$C$14)*(1-$C$15),0),"")</f>
        <v/>
      </c>
      <c r="J73" s="26">
        <f>IF($C$13&gt;=6,J68+J61+IF($C$13=6,(INDEX($D$68:$N$68,1,$C$13+2)/$C$14)*(1-$C$15),0),"")</f>
        <v/>
      </c>
      <c r="K73" s="26">
        <f>IF($C$13&gt;=7,K68+K61+IF($C$13=7,(INDEX($D$68:$N$68,1,$C$13+2)/$C$14)*(1-$C$15),0),"")</f>
        <v/>
      </c>
      <c r="L73" s="26">
        <f>IF($C$13&gt;=8,L68+L61+IF($C$13=8,(INDEX($D$68:$N$68,1,$C$13+2)/$C$14)*(1-$C$15),0),"")</f>
        <v/>
      </c>
      <c r="M73" s="26">
        <f>IF($C$13&gt;=9,M68+M61+IF($C$13=9,(INDEX($D$68:$N$68,1,$C$13+2)/$C$14)*(1-$C$15),0),"")</f>
        <v/>
      </c>
      <c r="N73" s="26">
        <f>IF($C$13=10,N68+N61+IF($C$13=10,(N68*(1+$C$38)/$C$14)*(1-$C$15),0),"")</f>
        <v/>
      </c>
    </row>
    <row r="75">
      <c r="B75" s="1" t="inlineStr">
        <is>
          <t>⑧ Returns</t>
        </is>
      </c>
    </row>
    <row r="76">
      <c r="B76" s="15" t="inlineStr">
        <is>
          <t>Stabilized NOI (Year 1)</t>
        </is>
      </c>
      <c r="C76" s="16">
        <f>E68</f>
        <v/>
      </c>
    </row>
    <row r="77">
      <c r="B77" s="15" t="inlineStr">
        <is>
          <t>Yield on Cost</t>
        </is>
      </c>
      <c r="C77" s="27">
        <f>C76/C25</f>
        <v/>
      </c>
    </row>
    <row r="78">
      <c r="B78" s="15" t="inlineStr">
        <is>
          <t>Development / Value-Add Spread (vs Exit Cap)</t>
        </is>
      </c>
      <c r="C78" s="28">
        <f>C77-C14</f>
        <v/>
      </c>
    </row>
    <row r="79">
      <c r="B79" s="15" t="inlineStr">
        <is>
          <t>Levered IRR</t>
        </is>
      </c>
      <c r="C79" s="29">
        <f>IRR(D71:N71)</f>
        <v/>
      </c>
    </row>
    <row r="80">
      <c r="B80" s="15" t="inlineStr">
        <is>
          <t>Unlevered IRR</t>
        </is>
      </c>
      <c r="C80" s="30">
        <f>IRR(D73:N73)</f>
        <v/>
      </c>
    </row>
    <row r="81">
      <c r="B81" s="15" t="inlineStr">
        <is>
          <t>Equity Multiple</t>
        </is>
      </c>
      <c r="C81" s="31">
        <f>SUMIF(D71:N71,"&gt;0")/-D71</f>
        <v/>
      </c>
    </row>
  </sheetData>
  <mergeCells count="10">
    <mergeCell ref="B34:C34"/>
    <mergeCell ref="B18:F18"/>
    <mergeCell ref="B45:C45"/>
    <mergeCell ref="B1:F1"/>
    <mergeCell ref="B40:C40"/>
    <mergeCell ref="B27:I27"/>
    <mergeCell ref="B54:N54"/>
    <mergeCell ref="B4:C4"/>
    <mergeCell ref="B17:C17"/>
    <mergeCell ref="B75:C75"/>
  </mergeCells>
  <dataValidations count="2">
    <dataValidation sqref="C6" showDropDown="0" showInputMessage="0" showErrorMessage="0" allowBlank="1" type="list">
      <formula1>"Ground-Up Development,Value-Add Acquisition"</formula1>
    </dataValidation>
    <dataValidation sqref="C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Exit Cap Rate Sensitivity</t>
        </is>
      </c>
    </row>
    <row r="2">
      <c r="B2" s="3" t="inlineStr">
        <is>
          <t>Shows how sale price and the yield-on-cost-to-cap-rate spread move with the exit cap rate. Base case (column E) links to your assumption on the main tab.</t>
        </is>
      </c>
    </row>
    <row r="4">
      <c r="B4" s="15" t="inlineStr">
        <is>
          <t>Scenario</t>
        </is>
      </c>
      <c r="C4" s="15" t="inlineStr">
        <is>
          <t>-100 bps</t>
        </is>
      </c>
      <c r="D4" s="15" t="inlineStr">
        <is>
          <t>-50 bps</t>
        </is>
      </c>
      <c r="E4" s="15" t="inlineStr">
        <is>
          <t>Base Case</t>
        </is>
      </c>
      <c r="F4" s="15" t="inlineStr">
        <is>
          <t>+50 bps</t>
        </is>
      </c>
      <c r="G4" s="15" t="inlineStr">
        <is>
          <t>+100 bps</t>
        </is>
      </c>
    </row>
    <row r="5">
      <c r="B5" s="15" t="inlineStr">
        <is>
          <t>Exit Cap Rate</t>
        </is>
      </c>
      <c r="C5" s="32">
        <f>'Industrial Underwriting'!$C$14+(-0.01)</f>
        <v/>
      </c>
      <c r="D5" s="32">
        <f>'Industrial Underwriting'!$C$14+(-0.005)</f>
        <v/>
      </c>
      <c r="E5" s="33">
        <f>'Industrial Underwriting'!$C$14+(0)</f>
        <v/>
      </c>
      <c r="F5" s="32">
        <f>'Industrial Underwriting'!$C$14+(0.005)</f>
        <v/>
      </c>
      <c r="G5" s="32">
        <f>'Industrial Underwriting'!$C$14+(0.01)</f>
        <v/>
      </c>
    </row>
    <row r="6">
      <c r="B6" s="15" t="inlineStr">
        <is>
          <t>Implied Sale Price</t>
        </is>
      </c>
      <c r="C6" s="25">
        <f>(INDEX('Industrial Underwriting'!$D$68:$N$68,1,'Industrial Underwriting'!$C$13+2)/C5)*(1-'Industrial Underwriting'!$C$15)</f>
        <v/>
      </c>
      <c r="D6" s="25">
        <f>(INDEX('Industrial Underwriting'!$D$68:$N$68,1,'Industrial Underwriting'!$C$13+2)/D5)*(1-'Industrial Underwriting'!$C$15)</f>
        <v/>
      </c>
      <c r="E6" s="34">
        <f>(INDEX('Industrial Underwriting'!$D$68:$N$68,1,'Industrial Underwriting'!$C$13+2)/E5)*(1-'Industrial Underwriting'!$C$15)</f>
        <v/>
      </c>
      <c r="F6" s="25">
        <f>(INDEX('Industrial Underwriting'!$D$68:$N$68,1,'Industrial Underwriting'!$C$13+2)/F5)*(1-'Industrial Underwriting'!$C$15)</f>
        <v/>
      </c>
      <c r="G6" s="25">
        <f>(INDEX('Industrial Underwriting'!$D$68:$N$68,1,'Industrial Underwriting'!$C$13+2)/G5)*(1-'Industrial Underwriting'!$C$15)</f>
        <v/>
      </c>
    </row>
    <row r="7">
      <c r="B7" s="15" t="inlineStr">
        <is>
          <t>Yield-on-Cost vs. Cap Rate Spread</t>
        </is>
      </c>
      <c r="C7" s="35">
        <f>'Industrial Underwriting'!$C$77-C5</f>
        <v/>
      </c>
      <c r="D7" s="35">
        <f>'Industrial Underwriting'!$C$77-D5</f>
        <v/>
      </c>
      <c r="E7" s="36">
        <f>'Industrial Underwriting'!$C$77-E5</f>
        <v/>
      </c>
      <c r="F7" s="35">
        <f>'Industrial Underwriting'!$C$77-F5</f>
        <v/>
      </c>
      <c r="G7" s="35">
        <f>'Industrial Underwriting'!$C$77-G5</f>
        <v/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2026-08-03T20:10:17Z</dcterms:created>
  <dcterms:modified xmlns:dcterms="http://purl.org/dc/terms/" xmlns:xsi="http://www.w3.org/2001/XMLSchema-instance" xsi:type="dcterms:W3CDTF">2026-08-03T20:15:29Z</dcterms:modified>
</cp:coreProperties>
</file>