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19420" windowHeight="11500" tabRatio="748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ft Cost Detail" sheetId="2" state="visible" r:id="rId2"/>
    <sheet xmlns:r="http://schemas.openxmlformats.org/officeDocument/2006/relationships" name="Unit Mix" sheetId="3" state="visible" r:id="rId3"/>
    <sheet xmlns:r="http://schemas.openxmlformats.org/officeDocument/2006/relationships" name="Draw and Leaseup Schedule" sheetId="4" state="visible" r:id="rId4"/>
    <sheet xmlns:r="http://schemas.openxmlformats.org/officeDocument/2006/relationships" name="Exit Summary Calculations" sheetId="5" state="visible" r:id="rId5"/>
    <sheet xmlns:r="http://schemas.openxmlformats.org/officeDocument/2006/relationships" name="Exit Summary" sheetId="6" state="visible" r:id="rId6"/>
    <sheet xmlns:r="http://schemas.openxmlformats.org/officeDocument/2006/relationships" name="Tables" sheetId="7" state="visible" r:id="rId7"/>
    <sheet xmlns:r="http://schemas.openxmlformats.org/officeDocument/2006/relationships" name="ABATEMENT SCHEDULE" sheetId="8" state="visible" r:id="rId8"/>
    <sheet xmlns:r="http://schemas.openxmlformats.org/officeDocument/2006/relationships" name="Forward Curves-Monthly" sheetId="9" state="visible" r:id="rId9"/>
    <sheet xmlns:r="http://schemas.openxmlformats.org/officeDocument/2006/relationships" name="Construction Schedule" sheetId="10" state="visible" r:id="rId10"/>
  </sheets>
  <definedNames>
    <definedName name="____________Key2" hidden="1">#REF!</definedName>
    <definedName name="___________Key2" hidden="1">#REF!</definedName>
    <definedName name="__________Key2" hidden="1">#REF!</definedName>
    <definedName name="______Key2" hidden="1">#REF!</definedName>
    <definedName name="__123Graph_B" hidden="1">#REF!</definedName>
    <definedName name="__123Graph_D" hidden="1">#REF!</definedName>
    <definedName name="__123Graph_E" hidden="1">#REF!</definedName>
    <definedName name="__123Graph_F" hidden="1">#REF!</definedName>
    <definedName name="__FDS_HYPERLINK_TOGGLE_STATE__" hidden="1">"ON"</definedName>
    <definedName name="_bdm.7C92DB387438418D938B270BBB5D5399.edm" hidden="1">#REF!</definedName>
    <definedName name="_Fill" hidden="1">#REF!</definedName>
    <definedName name="_Table1_In1" hidden="1">#REF!</definedName>
    <definedName name="_Table2_In1" hidden="1">#REF!</definedName>
    <definedName name="_Table2_In2" hidden="1">#REF!</definedName>
    <definedName name="_Table2_Out" hidden="1">#REF!</definedName>
    <definedName name="a">{"Client Name or Project Name"}</definedName>
    <definedName name="Architect">Summary!$E$36</definedName>
    <definedName name="Const_Mgmnt_Fees">Summary!$E$51</definedName>
    <definedName name="Development_Fees">Summary!$E$49</definedName>
    <definedName name="Engineering">Summary!$E$40</definedName>
    <definedName name="Environmental_Costs">Summary!$E$37</definedName>
    <definedName name="Equity_Provider">Summary!$D$68</definedName>
    <definedName name="FFE">Summary!$E$48</definedName>
    <definedName name="Financing_Costs">Summary!$E$43</definedName>
    <definedName name="Gurantee_Fees">Summary!$E$50</definedName>
    <definedName name="h" hidden="1">#REF!</definedName>
    <definedName name="Hard_Costs">Summary!$E$53</definedName>
    <definedName name="HardCost_Conting">Summary!$E$54</definedName>
    <definedName name="help" hidden="1">{#N/A,#N/A,FALSE,"ZLDebtMaturity";#N/A,#N/A,FALSE,"FCDebtMaturity";#N/A,#N/A,FALSE,"ZM3DebtMaturity";#N/A,#N/A,FALSE,"ZM2DebtMaturity";#N/A,#N/A,FALSE,"zm1DebtMaturity";#N/A,#N/A,FALSE,"ConsZM123DebtMaturity"}</definedName>
    <definedName name="help1" hidden="1">{#N/A,#N/A,FALSE,"ZLDebtMaturity";#N/A,#N/A,FALSE,"FCDebtMaturity";#N/A,#N/A,FALSE,"ZM3DebtMaturity";#N/A,#N/A,FALSE,"ZM2DebtMaturity";#N/A,#N/A,FALSE,"zm1DebtMaturity";#N/A,#N/A,FALSE,"ConsZM123DebtMaturity"}</definedName>
    <definedName name="help2" hidden="1">{#N/A,#N/A,FALSE,"ZLDebtMaturity";#N/A,#N/A,FALSE,"FCDebtMaturity";#N/A,#N/A,FALSE,"ZM3DebtMaturity";#N/A,#N/A,FALSE,"ZM2DebtMaturity";#N/A,#N/A,FALSE,"zm1DebtMaturity";#N/A,#N/A,FALSE,"ConsZM123DebtMaturity"}</definedName>
    <definedName name="Interest_Reserve">Summary!$E$45</definedName>
    <definedName name="IQ_0_PCT_RISK_WEIGHT_TOTAL_THRIFT" hidden="1">"c25055"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DWELLING_UNITS_CONSTRUCTION_MORTGAGE_LOANS_ADJUSTED_NCOS_TOTAL_THRIFT" hidden="1">"c25200"</definedName>
    <definedName name="IQ_1_4_DWELLING_UNITS_CONSTRUCTION_MORTGAGE_LOANS_GVA_CHARGE_OFFS_THRIFT" hidden="1">"c25115"</definedName>
    <definedName name="IQ_1_4_DWELLING_UNITS_CONSTRUCTION_MORTGAGE_LOANS_GVA_RECOVERIES_THRIFT" hidden="1">"c25146"</definedName>
    <definedName name="IQ_1_4_DWELLING_UNITS_CONSTRUCTION_MORTGAGE_LOANS_SVA_PROVISIONS_TRANSFERS_FROM_GVA_TOTAL_THRIFT" hidden="1">"c25169"</definedName>
    <definedName name="IQ_1_4_DWELLING_UNITS_REVOLVING_OPEN_END_PML_ADJUSTED_NCOS_TOTAL_THRIFT" hidden="1">"c25203"</definedName>
    <definedName name="IQ_1_4_DWELLING_UNITS_REVOLVING_OPEN_END_PML_GVA_CHARGE_OFFS_THRIFT" hidden="1">"c25118"</definedName>
    <definedName name="IQ_1_4_DWELLING_UNITS_REVOLVING_OPEN_END_PML_GVA_RECOVERIES_THRIFT" hidden="1">"c25149"</definedName>
    <definedName name="IQ_1_4_DWELLING_UNITS_REVOLVING_OPEN_END_PML_SVA_PROVISIONS_TRANSFERS_FROM_GVA_TOTAL_THRIFT" hidden="1">"c25172"</definedName>
    <definedName name="IQ_1_4_DWELLING_UNITS_SECURED_FIRST_LIENS_IN_PROCESS_FORECLOSURE_THRIFT" hidden="1">"c25305"</definedName>
    <definedName name="IQ_1_4_DWELLING_UNITS_SECURED_FIRST_LIENS_PML_ADJUSTED_NCOS_TOTAL_THRIFT" hidden="1">"c25204"</definedName>
    <definedName name="IQ_1_4_DWELLING_UNITS_SECURED_FIRST_LIENS_PML_GVA_CHARGE_OFFS_THRIFT" hidden="1">"c25119"</definedName>
    <definedName name="IQ_1_4_DWELLING_UNITS_SECURED_FIRST_LIENS_PML_GVA_RECOVERIES_THRIFT" hidden="1">"c25150"</definedName>
    <definedName name="IQ_1_4_DWELLING_UNITS_SECURED_FIRST_LIENS_PML_SVA_PROVISIONS_TRANSFERS_FROM_GVA_TOTAL_THRIFT" hidden="1">"c25173"</definedName>
    <definedName name="IQ_1_4_DWELLING_UNITS_SECURED_JUNIOR_LIENS_IN_PROCESS_FORECLOSURE_THRIFT" hidden="1">"c25306"</definedName>
    <definedName name="IQ_1_4_DWELLING_UNITS_SECURED_JUNIOR_LIENS_PML_ADJUSTED_NCOS_TOTAL_THRIFT" hidden="1">"c25205"</definedName>
    <definedName name="IQ_1_4_DWELLING_UNITS_SECURED_JUNIOR_LIENS_PML_GVA_CHARGE_OFFS_THRIFT" hidden="1">"c25120"</definedName>
    <definedName name="IQ_1_4_DWELLING_UNITS_SECURED_JUNIOR_LIENS_PML_GVA_RECOVERIES_THRIFT" hidden="1">"c25151"</definedName>
    <definedName name="IQ_1_4_DWELLING_UNITS_SECURED_JUNIOR_LIENS_PML_SVA_PROVISIONS_TRANSFERS_FROM_GVA_TOTAL_THRIFT" hidden="1">"c25174"</definedName>
    <definedName name="IQ_1_4_DWELLING_UNITS_SECURED_REVOLVING_OPEN_END_LOANS_IN_PROCESS_FORECLOSURE_THRIFT" hidden="1">"c25304"</definedName>
    <definedName name="IQ_1_4_FAMILY_CONSTRUCTION_LOANS_GROSS_LOANS_THRIFT" hidden="1">"c25727"</definedName>
    <definedName name="IQ_1_4_FAMILY_CONSTRUCTION_LOANS_RISK_BASED_CAPITAL_THRIFT" hidden="1">"c25712"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100_PCT_RISK_WEIGHT_TOTAL_THRIFT" hidden="1">"c25073"</definedName>
    <definedName name="IQ_20_PCT_RISK_WEIGHT_TOTAL_THRIFT" hidden="1">"c25062"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50_PCT_RISK_WEIGHT_TOTAL_THRIFT" hidden="1">"c25069"</definedName>
    <definedName name="IQ_ABS_AFS_AMORT_COST_FFIEC" hidden="1">"c20499"</definedName>
    <definedName name="IQ_ABS_AFS_FAIR_VAL_FFIEC" hidden="1">"c20464"</definedName>
    <definedName name="IQ_ABS_AVAIL_SALE_FFIEC" hidden="1">"c12802"</definedName>
    <definedName name="IQ_ABS_FFIEC" hidden="1">"c12788"</definedName>
    <definedName name="IQ_ABS_HTM_AMORT_COST_FFIEC" hidden="1">"c20447"</definedName>
    <definedName name="IQ_ABS_HTM_FAIR_VAL_FFIEC" hidden="1">"c20482"</definedName>
    <definedName name="IQ_ABS_INVEST_SECURITIES_FFIEC" hidden="1">"c13461"</definedName>
    <definedName name="IQ_ABS_PERIOD" hidden="1">"c13823"</definedName>
    <definedName name="IQ_ABS_PERIOD_EST" hidden="1">"c16122"</definedName>
    <definedName name="IQ_ACCEPTANCES_OTHER_FOREIGN_BANKS_LL_REC_FFIEC" hidden="1">"c15293"</definedName>
    <definedName name="IQ_ACCEPTANCES_OTHER_US_BANKS_LL_REC_FFIEC" hidden="1">"c15292"</definedName>
    <definedName name="IQ_ACCOUNT_CHANGE" hidden="1">"c1449"</definedName>
    <definedName name="IQ_ACCOUNT_CODE_INTEREST_PENALTIES" hidden="1">"c15741"</definedName>
    <definedName name="IQ_ACCOUNTING_FFIEC" hidden="1">"c13054"</definedName>
    <definedName name="IQ_ACCOUNTING_STANDARD" hidden="1">"c4539"</definedName>
    <definedName name="IQ_ACCOUNTING_STANDARD_CIQ" hidden="1">"c5092"</definedName>
    <definedName name="IQ_ACCOUNTS_PAY" hidden="1">"c1343"</definedName>
    <definedName name="IQ_ACCOUNTS_PAYABLE_THRIFT" hidden="1">"c24910"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_PAYABLE_DEPOSITS_THRIFT" hidden="1">"c24907"</definedName>
    <definedName name="IQ_ACCRUED_INT_PAYABLE_THRIFT" hidden="1">"c24906"</definedName>
    <definedName name="IQ_ACCRUED_INT_RECEIVABLE_MBS_THRIFT" hidden="1">"c24836"</definedName>
    <definedName name="IQ_ACCRUED_INT_RECEIVABLE_THRIFT" hidden="1">"c24827"</definedName>
    <definedName name="IQ_ACCRUED_INTEREST_RECEIVABLE_FFIEC" hidden="1">"c12842"</definedName>
    <definedName name="IQ_ACCRUED_MORTGAGE_INT_RECEIVABLE_THRIFT" hidden="1">"c24849"</definedName>
    <definedName name="IQ_ACCRUED_NON_MORTGAGE_INT_RECEIVABLE_THRIFT" hidden="1">"c24866"</definedName>
    <definedName name="IQ_ACCRUED_TAXES_THRIFT" hidden="1">"c24909"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AMORT_GW" hidden="1">"c17749"</definedName>
    <definedName name="IQ_ACCUM_AMORT_INTAN_ASSETS" hidden="1">"c17747"</definedName>
    <definedName name="IQ_ACCUM_DEP" hidden="1">"c1340"</definedName>
    <definedName name="IQ_ACCUMULATED_GAINS_LOSSES_CASH_FLOW_HEDGES_THRIFT" hidden="1">"c24922"</definedName>
    <definedName name="IQ_ACCUMULATED_GAINS_LOSSES_CERTAIN_SEC_THRIFT" hidden="1">"c24921"</definedName>
    <definedName name="IQ_ACCUMULATED_LOSSES_GAINS_CASH_FLOW_HEDGES_ADJUSTED_ASSETS_THRIFT" hidden="1">"c25035"</definedName>
    <definedName name="IQ_ACCUMULATED_LOSSES_GAINS_CASH_FLOW_HEDGES_T1_THRIFT" hidden="1">"c25026"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_WIRELESS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COST_SUB" hidden="1">"c15807"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CTUAL_THRIFT_INV_PERCENTAGE_MONTH_END_FIRST_MONTH_QUARTER_THRIFT" hidden="1">"c25584"</definedName>
    <definedName name="IQ_ACTUAL_THRIFT_INV_PERCENTAGE_MONTH_END_SECOND_MONTH_QUARTER_THRIFT" hidden="1">"c25585"</definedName>
    <definedName name="IQ_ACTUAL_THRIFT_INV_PERCENTAGE_MONTH_END_THIRD_MONTH_QUARTER_THRIFT" hidden="1">"c25586"</definedName>
    <definedName name="IQ_AD" hidden="1">"c7"</definedName>
    <definedName name="IQ_ADD_PAID_IN" hidden="1">"c1344"</definedName>
    <definedName name="IQ_ADD_TAX_POSITIONS_CURRENT_YR" hidden="1">"c15733"</definedName>
    <definedName name="IQ_ADD_TAX_POSITIONS_PRIOR_YRS" hidden="1">"c15735"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JUSTED_OPERATING_INCOME_AVG_ASSETS_THRIFT" hidden="1">"c25651"</definedName>
    <definedName name="IQ_ADJUSTED_TOTAL_ASSETS_ADJUSTED_ASSETS_THRIFT" hidden="1">"c25038"</definedName>
    <definedName name="IQ_ADJUSTMENTS_GVA_THRIFT" hidden="1">"c25095"</definedName>
    <definedName name="IQ_ADJUSTMENTS_SVA_THRIFT" hidden="1">"c25102"</definedName>
    <definedName name="IQ_ADJUSTMENTS_TVA_THRIFT" hidden="1">"c25109"</definedName>
    <definedName name="IQ_ADMIN_RATIO" hidden="1">"c2784"</definedName>
    <definedName name="IQ_ADVANCES_FROM_FHLB_THRIFT" hidden="1">"c24900"</definedName>
    <definedName name="IQ_ADVANCES_TAXES_INSURANCE_THRIFT" hidden="1">"c24850"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CM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DILUTED" hidden="1">"c16188"</definedName>
    <definedName name="IQ_AFFO_PER_SHARE_ACT_OR_EST" hidden="1">"c18265"</definedName>
    <definedName name="IQ_AFFO_PER_SHARE_ACT_OR_EST_CIQ" hidden="1">"c18271"</definedName>
    <definedName name="IQ_AFFO_PER_SHARE_BASIC" hidden="1">"c8869"</definedName>
    <definedName name="IQ_AFFO_PER_SHARE_DILUTED" hidden="1">"c8870"</definedName>
    <definedName name="IQ_AFFO_PER_SHARE_EST" hidden="1">"c18112"</definedName>
    <definedName name="IQ_AFFO_PER_SHARE_EST_CIQ" hidden="1">"c18180"</definedName>
    <definedName name="IQ_AFFO_PER_SHARE_EST_NOTE" hidden="1">"c18233"</definedName>
    <definedName name="IQ_AFFO_PER_SHARE_EST_NOTE_CIQ" hidden="1">"c18240"</definedName>
    <definedName name="IQ_AFFO_PER_SHARE_GUIDANCE" hidden="1">"c18400"</definedName>
    <definedName name="IQ_AFFO_PER_SHARE_HIGH_EST" hidden="1">"c18132"</definedName>
    <definedName name="IQ_AFFO_PER_SHARE_HIGH_EST_CIQ" hidden="1">"c18194"</definedName>
    <definedName name="IQ_AFFO_PER_SHARE_HIGH_GUIDANCE" hidden="1">"c18401"</definedName>
    <definedName name="IQ_AFFO_PER_SHARE_LOW_EST" hidden="1">"c18142"</definedName>
    <definedName name="IQ_AFFO_PER_SHARE_LOW_EST_CIQ" hidden="1">"c18201"</definedName>
    <definedName name="IQ_AFFO_PER_SHARE_LOW_GUIDANCE" hidden="1">"c18402"</definedName>
    <definedName name="IQ_AFFO_PER_SHARE_MEDIAN_EST" hidden="1">"c18122"</definedName>
    <definedName name="IQ_AFFO_PER_SHARE_MEDIAN_EST_CIQ" hidden="1">"c18187"</definedName>
    <definedName name="IQ_AFFO_PER_SHARE_NUM_EST" hidden="1">"c18162"</definedName>
    <definedName name="IQ_AFFO_PER_SHARE_NUM_EST_CIQ" hidden="1">"c18215"</definedName>
    <definedName name="IQ_AFFO_PER_SHARE_STDDEV_EST" hidden="1">"c18152"</definedName>
    <definedName name="IQ_AFFO_PER_SHARE_STDDEV_EST_CIQ" hidden="1">"c18208"</definedName>
    <definedName name="IQ_AFS_INVEST_SECURITIES_FFIEC" hidden="1">"c13456"</definedName>
    <definedName name="IQ_AFS_SEC_AMOUNTS_NETTED_THRIFT" hidden="1">"c25492"</definedName>
    <definedName name="IQ_AFS_SEC_INV_SEC_THRIFT" hidden="1">"c25670"</definedName>
    <definedName name="IQ_AFS_SEC_LEVEL_1_THRIFT" hidden="1">"c25488"</definedName>
    <definedName name="IQ_AFS_SEC_LEVEL_2_THRIFT" hidden="1">"c25489"</definedName>
    <definedName name="IQ_AFS_SEC_LEVEL_3_THRIFT" hidden="1">"c25490"</definedName>
    <definedName name="IQ_AFS_SEC_THRIFT" hidden="1">"c24933"</definedName>
    <definedName name="IQ_AFS_SEC_TIER_1_CAPITAL_THRIFT" hidden="1">"c25630"</definedName>
    <definedName name="IQ_AFS_SEC_TOTAL_AFTER_NETTING_THRIFT" hidden="1">"c25493"</definedName>
    <definedName name="IQ_AFS_SEC_TOTAL_BEFORE_NETTING_THRIFT" hidden="1">"c25491"</definedName>
    <definedName name="IQ_AFS_SECURITIES_TIER_1_FFIEC" hidden="1">"c13343"</definedName>
    <definedName name="IQ_AFTER_TAX_INCOME_FDIC" hidden="1">"c6583"</definedName>
    <definedName name="IQ_AG_PROD_FARM_LOANS_DOM_QUARTERLY_AVG_FFIEC" hidden="1">"c15477"</definedName>
    <definedName name="IQ_AGENCY" hidden="1">"c8960"</definedName>
    <definedName name="IQ_AGENCY_INVEST_SECURITIES_FFIEC" hidden="1">"c13458"</definedName>
    <definedName name="IQ_AGG_BANK_OVER_TOTAL" hidden="1">"c24684"</definedName>
    <definedName name="IQ_AGG_BANK_SHARES" hidden="1">"c24686"</definedName>
    <definedName name="IQ_AGG_BANK_VALUE" hidden="1">"c24685"</definedName>
    <definedName name="IQ_AGG_COMPANY_FOUNDATION_OVER_TOTAL" hidden="1">"c13769"</definedName>
    <definedName name="IQ_AGG_COMPANY_FOUNDATION_SHARES" hidden="1">"c13783"</definedName>
    <definedName name="IQ_AGG_COMPANY_FOUNDATION_VALUE" hidden="1">"c13776"</definedName>
    <definedName name="IQ_AGG_CORPORATE_OVER_TOTAL" hidden="1">"c13767"</definedName>
    <definedName name="IQ_AGG_CORPORATE_SHARES" hidden="1">"c13781"</definedName>
    <definedName name="IQ_AGG_CORPORATE_VALUE" hidden="1">"c13774"</definedName>
    <definedName name="IQ_AGG_ENDOWMENT_OVER_TOTAL" hidden="1">"c24678"</definedName>
    <definedName name="IQ_AGG_ENDOWMENT_SHARES" hidden="1">"c24680"</definedName>
    <definedName name="IQ_AGG_ENDOWMENT_VALUE" hidden="1">"c24679"</definedName>
    <definedName name="IQ_AGG_ESOP_OVER_TOTAL" hidden="1">"c13768"</definedName>
    <definedName name="IQ_AGG_ESOP_SHARES" hidden="1">"c13782"</definedName>
    <definedName name="IQ_AGG_ESOP_VALUE" hidden="1">"c13775"</definedName>
    <definedName name="IQ_AGG_FAMILY_OVER_TOTAL" hidden="1">"c24687"</definedName>
    <definedName name="IQ_AGG_FAMILY_SHARES" hidden="1">"c24689"</definedName>
    <definedName name="IQ_AGG_FAMILY_VALUE" hidden="1">"c24688"</definedName>
    <definedName name="IQ_AGG_FOUNDATION_SHARES" hidden="1">"c24731"</definedName>
    <definedName name="IQ_AGG_FOUNDATION_VALUE" hidden="1">"c24732"</definedName>
    <definedName name="IQ_AGG_HEDGEFUND_OVER_TOTAL" hidden="1">"c13771"</definedName>
    <definedName name="IQ_AGG_HEDGEFUND_SHARES" hidden="1">"c13785"</definedName>
    <definedName name="IQ_AGG_HEDGEFUND_VALUE" hidden="1">"c13778"</definedName>
    <definedName name="IQ_AGG_INSIDER_OVER_TOTAL" hidden="1">"c1581"</definedName>
    <definedName name="IQ_AGG_INSIDER_SHARES" hidden="1">"c13780"</definedName>
    <definedName name="IQ_AGG_INSIDER_VALUE" hidden="1">"c13773"</definedName>
    <definedName name="IQ_AGG_INSTITUTION_HEDGEFUND_OVER_TOTAL" hidden="1">"c24711"</definedName>
    <definedName name="IQ_AGG_INSTITUTION_HEDGEFUND_SHARES" hidden="1">"c24713"</definedName>
    <definedName name="IQ_AGG_INSTITUTION_HEDGEFUND_VALUE" hidden="1">"c24712"</definedName>
    <definedName name="IQ_AGG_INSTITUTION_SOVEREIGN_OVER_TOTAL" hidden="1">"c24717"</definedName>
    <definedName name="IQ_AGG_INSTITUTION_SOVEREIGN_SHARES" hidden="1">"c24719"</definedName>
    <definedName name="IQ_AGG_INSTITUTION_SOVEREIGN_VALUE" hidden="1">"c24718"</definedName>
    <definedName name="IQ_AGG_INSTITUTION_UNCLASSIFIED_OVER_TOTAL" hidden="1">"c24696"</definedName>
    <definedName name="IQ_AGG_INSTITUTION_UNCLASSIFIED_SHARES" hidden="1">"c24698"</definedName>
    <definedName name="IQ_AGG_INSTITUTION_UNCLASSIFIED_VALUE" hidden="1">"c24697"</definedName>
    <definedName name="IQ_AGG_INSTITUTION_VC_PE_OVER_TOTAL" hidden="1">"c24714"</definedName>
    <definedName name="IQ_AGG_INSTITUTION_VC_PE_SHARES" hidden="1">"c24716"</definedName>
    <definedName name="IQ_AGG_INSTITUTION_VC_PE_VALUE" hidden="1">"c24715"</definedName>
    <definedName name="IQ_AGG_INSTITUTIONAL_OVER_TOTAL" hidden="1">"c1580"</definedName>
    <definedName name="IQ_AGG_INSTITUTIONAL_SHARES" hidden="1">"c13779"</definedName>
    <definedName name="IQ_AGG_INSTITUTIONAL_VALUE" hidden="1">"c13772"</definedName>
    <definedName name="IQ_AGG_INSURANCE_OVER_TOTAL" hidden="1">"c24681"</definedName>
    <definedName name="IQ_AGG_INSURANCE_SHARES" hidden="1">"c24683"</definedName>
    <definedName name="IQ_AGG_INSURANCE_VALUE" hidden="1">"c24682"</definedName>
    <definedName name="IQ_AGG_INV_MANAGERS_OVER_TOTAL" hidden="1">"c26967"</definedName>
    <definedName name="IQ_AGG_INV_MANAGERS_SHARES" hidden="1">"c26968"</definedName>
    <definedName name="IQ_AGG_INV_MANAGERS_VALUE" hidden="1">"c26969"</definedName>
    <definedName name="IQ_AGG_MONEY_MANAGERS_OVER_TOTAL" hidden="1">"c24669"</definedName>
    <definedName name="IQ_AGG_MONEY_MANAGERS_SHARES" hidden="1">"c24671"</definedName>
    <definedName name="IQ_AGG_MONEY_MANAGERS_VALUE" hidden="1">"c24670"</definedName>
    <definedName name="IQ_AGG_OTHER_OVER_TOTAL" hidden="1">"c13770"</definedName>
    <definedName name="IQ_AGG_OTHER_SHARES" hidden="1">"c13784"</definedName>
    <definedName name="IQ_AGG_OTHER_VALUE" hidden="1">"c13777"</definedName>
    <definedName name="IQ_AGG_PENSION_OVER_TOTAL" hidden="1">"c24675"</definedName>
    <definedName name="IQ_AGG_PENSION_SHARES" hidden="1">"c24677"</definedName>
    <definedName name="IQ_AGG_PENSION_VALUE" hidden="1">"c24676"</definedName>
    <definedName name="IQ_AGG_REIT_OVER_TOTAL" hidden="1">"c24693"</definedName>
    <definedName name="IQ_AGG_REIT_SHARES" hidden="1">"c24695"</definedName>
    <definedName name="IQ_AGG_REIT_VALUE" hidden="1">"c24694"</definedName>
    <definedName name="IQ_AGG_SOVEREIGN_OVER_TOTAL" hidden="1">"c24690"</definedName>
    <definedName name="IQ_AGG_SOVEREIGN_SHARES" hidden="1">"c24692"</definedName>
    <definedName name="IQ_AGG_SOVEREIGN_VALUE" hidden="1">"c24691"</definedName>
    <definedName name="IQ_AGG_STATE_OVER_TOTAL" hidden="1">"c24705"</definedName>
    <definedName name="IQ_AGG_STATE_SHARES" hidden="1">"c24707"</definedName>
    <definedName name="IQ_AGG_STATE_VALUE" hidden="1">"c24706"</definedName>
    <definedName name="IQ_AGG_STRATEGIC_CORP_PRIVATE_OVER_TOTAL" hidden="1">"c24702"</definedName>
    <definedName name="IQ_AGG_STRATEGIC_CORP_PRIVATE_SHARES" hidden="1">"c24704"</definedName>
    <definedName name="IQ_AGG_STRATEGIC_CORP_PRIVATE_VALUE" hidden="1">"c24703"</definedName>
    <definedName name="IQ_AGG_STRATEGIC_CORP_PUBLIC_OVER_TOTAL" hidden="1">"c24699"</definedName>
    <definedName name="IQ_AGG_STRATEGIC_CORP_PUBLIC_SHARES" hidden="1">"c24701"</definedName>
    <definedName name="IQ_AGG_STRATEGIC_CORP_PUBLIC_VALUE" hidden="1">"c24700"</definedName>
    <definedName name="IQ_AGG_STRATEGIC_HEDGEFUND_OVER_TOTAL" hidden="1">"c24726"</definedName>
    <definedName name="IQ_AGG_STRATEGIC_HEDGEFUND_SHARES" hidden="1">"c24728"</definedName>
    <definedName name="IQ_AGG_STRATEGIC_HEDGEFUND_VALUE" hidden="1">"c24727"</definedName>
    <definedName name="IQ_AGG_STRATEGIC_OVER_TOTAL" hidden="1">"c24708"</definedName>
    <definedName name="IQ_AGG_STRATEGIC_SHARES" hidden="1">"c24710"</definedName>
    <definedName name="IQ_AGG_STRATEGIC_SWF_OVER_TOTAL" hidden="1">"c24723"</definedName>
    <definedName name="IQ_AGG_STRATEGIC_SWF_SHARES" hidden="1">"c24725"</definedName>
    <definedName name="IQ_AGG_STRATEGIC_SWF_VALUE" hidden="1">"c24724"</definedName>
    <definedName name="IQ_AGG_STRATEGIC_VALUE" hidden="1">"c24709"</definedName>
    <definedName name="IQ_AGG_STRATEGIC_VC_PE_OVER_TOTAL" hidden="1">"c24720"</definedName>
    <definedName name="IQ_AGG_STRATEGIC_VC_PE_SHARES" hidden="1">"c24722"</definedName>
    <definedName name="IQ_AGG_STRATEGIC_VC_PE_VALUE" hidden="1">"c24721"</definedName>
    <definedName name="IQ_AGG_VC_PE_OVER_TOTAL" hidden="1">"c24672"</definedName>
    <definedName name="IQ_AGG_VC_PE_SHARES" hidden="1">"c24674"</definedName>
    <definedName name="IQ_AGG_VC_PE_VALUE" hidden="1">"c24673"</definedName>
    <definedName name="IQ_AGGREGATE_AMT_ALL_EXTENSIONS_CREDIT_THRIFT" hidden="1">"c25589"</definedName>
    <definedName name="IQ_AGGREGATE_INV_IN_SERVICE_CORPORATIONS_THRIFT" hidden="1">"c25588"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IRCRAFT_RENT" hidden="1">"c17872"</definedName>
    <definedName name="IQ_ALL_OTHER_ASSETS_ELIGIBLE_100_PCT_RISK_WEIGHT_THRIFT" hidden="1">"c25072"</definedName>
    <definedName name="IQ_ALL_OTHER_DEPOSITS_FOREIGN_DEP_FFIEC" hidden="1">"c15347"</definedName>
    <definedName name="IQ_ALL_OTHER_FINANCIAL_ASSETS_AMOUNTS_NETTED_THRIFT" hidden="1">"c25516"</definedName>
    <definedName name="IQ_ALL_OTHER_FINANCIAL_ASSETS_LEVEL_1_THRIFT" hidden="1">"c25512"</definedName>
    <definedName name="IQ_ALL_OTHER_FINANCIAL_ASSETS_LEVEL_2_THRIFT" hidden="1">"c25513"</definedName>
    <definedName name="IQ_ALL_OTHER_FINANCIAL_ASSETS_LEVEL_3_THRIFT" hidden="1">"c25514"</definedName>
    <definedName name="IQ_ALL_OTHER_FINANCIAL_ASSETS_TOTAL_AFTER_NETTING_THRIFT" hidden="1">"c25517"</definedName>
    <definedName name="IQ_ALL_OTHER_FINANCIAL_ASSETS_TOTAL_BEFORE_NETTING_THRIFT" hidden="1">"c25515"</definedName>
    <definedName name="IQ_ALL_OTHER_FINANCIAL_LIABILITIES_AMOUNTS_NETTED_THRIFT" hidden="1">"c25558"</definedName>
    <definedName name="IQ_ALL_OTHER_FINANCIAL_LIABILITIES_LEVEL_1_THRIFT" hidden="1">"c25554"</definedName>
    <definedName name="IQ_ALL_OTHER_FINANCIAL_LIABILITIES_LEVEL_2_THRIFT" hidden="1">"c25555"</definedName>
    <definedName name="IQ_ALL_OTHER_FINANCIAL_LIABILITIES_LEVEL_3_THRIFT" hidden="1">"c25556"</definedName>
    <definedName name="IQ_ALL_OTHER_FINANCIAL_LIABILITIES_TOTAL_AFTER_NETTING_THRIFT" hidden="1">"c25559"</definedName>
    <definedName name="IQ_ALL_OTHER_FINANCIAL_LIABILITIES_TOTAL_BEFORE_NETTING_THRIFT" hidden="1">"c25557"</definedName>
    <definedName name="IQ_ALL_OTHER_INVEST_UNCONSOL_SUBS_FFIEC" hidden="1">"c15275"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EXCL_CONSUMER_LL_REC_DOM_FFIEC" hidden="1">"c25857"</definedName>
    <definedName name="IQ_ALL_OTHER_LOANS_EXCL_CONSUMER_LL_REC_FFIEC" hidden="1">"c25853"</definedName>
    <definedName name="IQ_ALL_OTHER_LOANS_RECOV_FFIEC" hidden="1">"c13205"</definedName>
    <definedName name="IQ_ALL_OTHER_SEC_1_4_DOM_CHARGE_OFFS_FFIEC" hidden="1">"c25842"</definedName>
    <definedName name="IQ_ALL_OTHER_SEC_1_4_DOM_RECOV_FFIEC" hidden="1">"c25843"</definedName>
    <definedName name="IQ_ALL_OTHER_SEC_1_4_DUE_30_89_FFIEC" hidden="1">"c25835"</definedName>
    <definedName name="IQ_ALL_OTHER_SEC_1_4_DUE_90_FFIEC" hidden="1">"c25836"</definedName>
    <definedName name="IQ_ALL_OTHER_SEC_1_4_NON_ACCRUAL_FFIEC" hidden="1">"c25837"</definedName>
    <definedName name="IQ_ALL_OTHER_TRADING_LIABILITIES_DOM_FFIEC" hidden="1">"c12942"</definedName>
    <definedName name="IQ_ALL_OTHER_UNUSED_FFIEC" hidden="1">"c25861"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_MORTGAGE_LL_LOSSES_THRIFT" hidden="1">"c24851"</definedName>
    <definedName name="IQ_ALLOW_NON_MORTGAGE_LOAN_LL_THRIFT" hidden="1">"c24867"</definedName>
    <definedName name="IQ_ALLOWABLE_T2_CAPITAL_FFIEC" hidden="1">"c13150"</definedName>
    <definedName name="IQ_ALLOWABLE_TIER_2_CAPITAL_T2_THRIFT" hidden="1">"c25046"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AMT_INCLUDED_IN_ALLOWANCE_LOAN_LEASE_LOSSES_PURCHASED_CREDIT_IMPAIRED_LOANS_THRIFT" hidden="1">"c25239"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LLOWANCES_LL_LOSSES_T2_THRIFT" hidden="1">"c25043"</definedName>
    <definedName name="IQ_ALPHA_SCORE_DATE" hidden="1">"c25923"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_LOAN_SERVICING_ASSETS_LIABILITIES_THRIFT" hidden="1">"c24767"</definedName>
    <definedName name="IQ_AMORTIZATION" hidden="1">"c1591"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DIRECT_CREDIT_SUBSTITUTES_ASSETS_THRIFT" hidden="1">"c25616"</definedName>
    <definedName name="IQ_AMT_LOW_LEVEL_RECOURSE_RESIDUAL_INTERESTS_BEFORE_RISK_WEIGHTING_THRIFT" hidden="1">"c25074"</definedName>
    <definedName name="IQ_AMT_NONINTEREST_BEARING_TRANSACTION_ACCOUNTS_MORE_THAN_250000_THRIFT" hidden="1">"c25582"</definedName>
    <definedName name="IQ_AMT_OUT" hidden="1">"c2145"</definedName>
    <definedName name="IQ_AMT_RECOURSE_OBLIGATIONS_ASSETS_THRIFT" hidden="1">"c25617"</definedName>
    <definedName name="IQ_AMT_RECOURSE_OBLIGATIONS_LOANS_THRIFT" hidden="1">"c25618"</definedName>
    <definedName name="IQ_AMT_RECOURSE_OBLIGATIONS_LOANS_WHERE_RECOURSE_IS_120_DAYS_LESS_THRIFT" hidden="1">"c25619"</definedName>
    <definedName name="IQ_AMT_RECOURSE_OBLIGATIONS_LOANS_WHERE_RECOURSE_IS_GREATER_THAN_120_DAYS_THRIFT" hidden="1">"c25620"</definedName>
    <definedName name="IQ_AMT_THIS_QUARTER_TROUBLED_DEBT_RESTRUCTURED_THRIFT" hidden="1">"c25229"</definedName>
    <definedName name="IQ_ANALYST_EMAIL" hidden="1">"c13738"</definedName>
    <definedName name="IQ_ANALYST_NAME" hidden="1">"c13736"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OCI_THRIFT" hidden="1">"c24920"</definedName>
    <definedName name="IQ_AP" hidden="1">"c32"</definedName>
    <definedName name="IQ_AP_BNK" hidden="1">"c33"</definedName>
    <definedName name="IQ_AP_BR" hidden="1">"c34"</definedName>
    <definedName name="IQ_AP_CM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IC_THRIFT" hidden="1">"c24918"</definedName>
    <definedName name="IQ_APPLICABLE_INCOME_TAXES_AVG_ASSETS_THRIFT" hidden="1">"c25657"</definedName>
    <definedName name="IQ_APPLICABLE_INCOME_TAXES_FTE_FFIEC" hidden="1">"c13853"</definedName>
    <definedName name="IQ_AR" hidden="1">"c40"</definedName>
    <definedName name="IQ_AR_BR" hidden="1">"c41"</definedName>
    <definedName name="IQ_AR_CM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RPU_ANALOG_CABLE" hidden="1">"c2864"</definedName>
    <definedName name="IQ_ARPU_BASIC_CABLE" hidden="1">"c2866"</definedName>
    <definedName name="IQ_ARPU_BBAND" hidden="1">"c2867"</definedName>
    <definedName name="IQ_ARPU_DIG_CABLE" hidden="1">"c2865"</definedName>
    <definedName name="IQ_ARPU_PHONE" hidden="1">"c2868"</definedName>
    <definedName name="IQ_ARPU_POSTPAID_WIRELESS" hidden="1">"c15758"</definedName>
    <definedName name="IQ_ARPU_PREPAID_WIRELESS" hidden="1">"c15759"</definedName>
    <definedName name="IQ_ARPU_RETAIL_WIRELESS" hidden="1">"c15760"</definedName>
    <definedName name="IQ_ARPU_SATELLITE" hidden="1">"c15790"</definedName>
    <definedName name="IQ_ARPU_TOTAL" hidden="1">"c2869"</definedName>
    <definedName name="IQ_ARPU_WHOLESALE_WIRELESS" hidden="1">"c15761"</definedName>
    <definedName name="IQ_ARPU_WIRELESS" hidden="1">"c2126"</definedName>
    <definedName name="IQ_ASSET_BACKED_FDIC" hidden="1">"c6301"</definedName>
    <definedName name="IQ_ASSET_BACKED_SEC_INV_SEC_THRIFT" hidden="1">"c25674"</definedName>
    <definedName name="IQ_ASSET_MANAGED_GROWTH_RATE" hidden="1">"c20434"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CM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CM" hidden="1">"c50"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EXCLUDED_PURPOSES_OTS_ASSESSMENT_COMPLEXITY_COMPONENT_MANAGED_ASSETS_THRIFT" hidden="1">"c25356"</definedName>
    <definedName name="IQ_ASSETS_EXCLUDED_PURPOSES_OTS_ASSESSMENT_COMPLEXITY_COMPONENT_NONMANAGED_ASSETS_THRIFT" hidden="1">"c25378"</definedName>
    <definedName name="IQ_ASSETS_FAIR_VALUE" hidden="1">"c13843"</definedName>
    <definedName name="IQ_ASSETS_HELD_FDIC" hidden="1">"c6305"</definedName>
    <definedName name="IQ_ASSETS_HFS_THRIFT" hidden="1">"c24934"</definedName>
    <definedName name="IQ_ASSETS_LEVEL_1" hidden="1">"c13839"</definedName>
    <definedName name="IQ_ASSETS_LEVEL_2" hidden="1">"c13840"</definedName>
    <definedName name="IQ_ASSETS_LEVEL_3" hidden="1">"c13841"</definedName>
    <definedName name="IQ_ASSETS_LOSS_SHARING_DEBT_SEC_FFIEC" hidden="1">"c25867"</definedName>
    <definedName name="IQ_ASSETS_LOSS_SHARING_FFIEC" hidden="1">"c25864"</definedName>
    <definedName name="IQ_ASSETS_LOSS_SHARING_LL_FFIEC" hidden="1">"c25865"</definedName>
    <definedName name="IQ_ASSETS_LOSS_SHARING_OREO_FFIEC" hidden="1">"c25866"</definedName>
    <definedName name="IQ_ASSETS_LOSS_SHARING_OTHER_FFIEC" hidden="1">"c25868"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NON_INCLUDABLE_SUBS_ADJUSTED_ASSETS_THRIFT" hidden="1">"c25031"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PER_EMPLOYEE_THRIFT" hidden="1">"c25783"</definedName>
    <definedName name="IQ_ASSETS_REPRICE_ASSETS_TOT_FFIEC" hidden="1">"c13454"</definedName>
    <definedName name="IQ_ASSETS_RISK_WEIGHT_THRIFT" hidden="1">"c25076"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ETS_UNDER_ADMINISTRATION" hidden="1">"c20432"</definedName>
    <definedName name="IQ_ASSIGNED_RESERVES_COAL" hidden="1">"c15912"</definedName>
    <definedName name="IQ_ASSIGNED_RESERVES_TO_TOTAL_RESERVES_COAL" hidden="1">"c15955"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LOSSES" hidden="1">"c15870"</definedName>
    <definedName name="IQ_ASSUMED_PC_EARNED" hidden="1">"c2746"</definedName>
    <definedName name="IQ_ASSUMED_PREMIUMS_EARNED_GROSS_PREMIUMS_EARNED" hidden="1">"c15886"</definedName>
    <definedName name="IQ_ASSUMED_PREMIUMS_WRITTEN_GROSS_PREMIUMS_WRITTEN" hidden="1">"c15884"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ACQUISITIONS_TRANSFERS" hidden="1">"c20415"</definedName>
    <definedName name="IQ_AUM_AVERAGE" hidden="1">"c20418"</definedName>
    <definedName name="IQ_AUM_BOP" hidden="1">"c20409"</definedName>
    <definedName name="IQ_AUM_CASH_FLOWS_DIVIDENDS" hidden="1">"c20413"</definedName>
    <definedName name="IQ_AUM_DOMESTIC" hidden="1">"c20400"</definedName>
    <definedName name="IQ_AUM_EOP" hidden="1">"c20417"</definedName>
    <definedName name="IQ_AUM_EQUITY_FUNDS" hidden="1">"c10039"</definedName>
    <definedName name="IQ_AUM_FEE_EARNING" hidden="1">"c20402"</definedName>
    <definedName name="IQ_AUM_FIXED_INCOME_FUNDS" hidden="1">"c10040"</definedName>
    <definedName name="IQ_AUM_FOREIGN" hidden="1">"c20401"</definedName>
    <definedName name="IQ_AUM_HIGH_NET_WORTH" hidden="1">"c20398"</definedName>
    <definedName name="IQ_AUM_INFLOWS" hidden="1">"c20410"</definedName>
    <definedName name="IQ_AUM_INSTITUTIONAL" hidden="1">"c20396"</definedName>
    <definedName name="IQ_AUM_INSTITUTIONAL_CUSTOMERS" hidden="1">"c20405"</definedName>
    <definedName name="IQ_AUM_MARKET_APPRECIATION_DEPRECIATION" hidden="1">"c20414"</definedName>
    <definedName name="IQ_AUM_MONEY_MARKET_FUNDS" hidden="1">"c10041"</definedName>
    <definedName name="IQ_AUM_NET_CHANGE" hidden="1">"c20419"</definedName>
    <definedName name="IQ_AUM_NET_INFLOWS_OUTFLOWS" hidden="1">"c20412"</definedName>
    <definedName name="IQ_AUM_NON_FEE_EARNING" hidden="1">"c20403"</definedName>
    <definedName name="IQ_AUM_OTHER" hidden="1">"c10042"</definedName>
    <definedName name="IQ_AUM_OTHER_ADJUSTMENTS" hidden="1">"c20416"</definedName>
    <definedName name="IQ_AUM_OTHER_CLIENTS" hidden="1">"c20399"</definedName>
    <definedName name="IQ_AUM_OTHER_CUSTOMERS" hidden="1">"c20407"</definedName>
    <definedName name="IQ_AUM_OUTFLOWS" hidden="1">"c20411"</definedName>
    <definedName name="IQ_AUM_PRIVATE_EQUITY" hidden="1">"c20394"</definedName>
    <definedName name="IQ_AUM_REAL_ESTATE" hidden="1">"c20395"</definedName>
    <definedName name="IQ_AUM_RETAIL" hidden="1">"c20397"</definedName>
    <definedName name="IQ_AUM_RETAIL_CUSTOMERS" hidden="1">"c20404"</definedName>
    <definedName name="IQ_AUM_SME_CUSTOMERS" hidden="1">"c20406"</definedName>
    <definedName name="IQ_AUM_TOTAL_CUSTOMERS" hidden="1">"c20408"</definedName>
    <definedName name="IQ_AUTO_LOANS_THRIFT" hidden="1">"c24862"</definedName>
    <definedName name="IQ_AUTO_LOANS_TOTAL_LOANS" hidden="1">"c15713"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DEPOSITS_ESCROWS_THRIFT" hidden="1">"c24950"</definedName>
    <definedName name="IQ_AVG_DEPOSITS_INV_EXCLUDING_NON_INT_EARNING_ITEMS_THRIFT" hidden="1">"c24947"</definedName>
    <definedName name="IQ_AVG_EARNING_ASSETS_AVG_ASSETS_THRIFT" hidden="1">"c25645"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NO" hidden="1">"c4454"</definedName>
    <definedName name="IQ_AVG_INDUSTRY_REC_NO_CIQ" hidden="1">"c4983"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BEARING_FUNDS_AVG_ASSETS_THRIFT" hidden="1">"c25646"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INV_HOMEBUILDING" hidden="1">"c15812"</definedName>
    <definedName name="IQ_AVG_INV_HOMES" hidden="1">"c15810"</definedName>
    <definedName name="IQ_AVG_INV_LAND_LOTS" hidden="1">"c15811"</definedName>
    <definedName name="IQ_AVG_MARKETCAP_Z" hidden="1">"c25900"</definedName>
    <definedName name="IQ_AVG_MKTCAP" hidden="1">"c80"</definedName>
    <definedName name="IQ_AVG_MORTGAGE_LOANS_MBS_THRIFT" hidden="1">"c24948"</definedName>
    <definedName name="IQ_AVG_NON_MORTGAGE_LOANS_THRIFT" hidden="1">"c24949"</definedName>
    <definedName name="IQ_AVG_PORTFOLIO_DURATION" hidden="1">"c17693"</definedName>
    <definedName name="IQ_AVG_PRICE" hidden="1">"c81"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REV_PER_TRADE" hidden="1">"c20431"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TOTAL_ASSETS_THRIFT" hidden="1">"c24946"</definedName>
    <definedName name="IQ_AVG_TOTAL_BORROWINGS_THRIFT" hidden="1">"c24951"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SHEET_AP" hidden="1">"c25883"</definedName>
    <definedName name="IQ_BALANCE_SHEET_AP_CO" hidden="1">"c25884"</definedName>
    <definedName name="IQ_BALANCE_SHEET_INDUSTRY" hidden="1">"c25879"</definedName>
    <definedName name="IQ_BALANCE_SHEET_INDUSTRY_CO" hidden="1">"c25880"</definedName>
    <definedName name="IQ_BALANCE_SHEET_STANDARD" hidden="1">"c25881"</definedName>
    <definedName name="IQ_BALANCE_SHEET_STANDARD_CO" hidden="1">"c25882"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OWNED_LIFE_INSURANCE_THRIFT" hidden="1">"c24884"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E_RENT" hidden="1">"c16017"</definedName>
    <definedName name="IQ_BASE_RENT_OPERATING_LEASE_EXPIRING_AFTER_FIVE" hidden="1">"c16107"</definedName>
    <definedName name="IQ_BASE_RENT_OPERATING_LEASE_EXPIRING_CY" hidden="1">"c16101"</definedName>
    <definedName name="IQ_BASE_RENT_OPERATING_LEASE_EXPIRING_CY1" hidden="1">"c16102"</definedName>
    <definedName name="IQ_BASE_RENT_OPERATING_LEASE_EXPIRING_CY2" hidden="1">"c16103"</definedName>
    <definedName name="IQ_BASE_RENT_OPERATING_LEASE_EXPIRING_CY3" hidden="1">"c16104"</definedName>
    <definedName name="IQ_BASE_RENT_OPERATING_LEASE_EXPIRING_CY4" hidden="1">"c16105"</definedName>
    <definedName name="IQ_BASE_RENT_OPERATING_LEASE_EXPIRING_NEXT_FIVE" hidden="1">"c16106"</definedName>
    <definedName name="IQ_BASE_RENT_OPERATING_LEASE_EXPIRING_TOTAL" hidden="1">"c16108"</definedName>
    <definedName name="IQ_BASE_RENT_RENTAL_REVENUE" hidden="1">"c16062"</definedName>
    <definedName name="IQ_BASIC_EPS_EXCL" hidden="1">"c85"</definedName>
    <definedName name="IQ_BASIC_EPS_INCL" hidden="1">"c86"</definedName>
    <definedName name="IQ_BASIC_NAV_SHARES" hidden="1">"c16012"</definedName>
    <definedName name="IQ_BASIC_NORMAL_EPS" hidden="1">"c1592"</definedName>
    <definedName name="IQ_BASIC_OUTSTANDING_CURRENT_EST" hidden="1">"c4128"</definedName>
    <definedName name="IQ_BASIC_OUTSTANDING_CURRENT_EST_CIQ" hidden="1">"c4541"</definedName>
    <definedName name="IQ_BASIC_OUTSTANDING_CURRENT_HIGH_EST" hidden="1">"c4129"</definedName>
    <definedName name="IQ_BASIC_OUTSTANDING_CURRENT_HIGH_EST_CIQ" hidden="1">"c4542"</definedName>
    <definedName name="IQ_BASIC_OUTSTANDING_CURRENT_LOW_EST" hidden="1">"c4130"</definedName>
    <definedName name="IQ_BASIC_OUTSTANDING_CURRENT_LOW_EST_CIQ" hidden="1">"c4543"</definedName>
    <definedName name="IQ_BASIC_OUTSTANDING_CURRENT_MEDIAN_EST" hidden="1">"c4131"</definedName>
    <definedName name="IQ_BASIC_OUTSTANDING_CURRENT_MEDIAN_EST_CIQ" hidden="1">"c4544"</definedName>
    <definedName name="IQ_BASIC_OUTSTANDING_CURRENT_NUM_EST" hidden="1">"c4132"</definedName>
    <definedName name="IQ_BASIC_OUTSTANDING_CURRENT_NUM_EST_CIQ" hidden="1">"c4545"</definedName>
    <definedName name="IQ_BASIC_OUTSTANDING_CURRENT_STDDEV_EST" hidden="1">"c4133"</definedName>
    <definedName name="IQ_BASIC_OUTSTANDING_CURRENT_STDDEV_EST_CIQ" hidden="1">"c4546"</definedName>
    <definedName name="IQ_BASIC_OUTSTANDING_EST" hidden="1">"c4134"</definedName>
    <definedName name="IQ_BASIC_OUTSTANDING_EST_CIQ" hidden="1">"c4547"</definedName>
    <definedName name="IQ_BASIC_OUTSTANDING_HIGH_EST" hidden="1">"c4135"</definedName>
    <definedName name="IQ_BASIC_OUTSTANDING_HIGH_EST_CIQ" hidden="1">"c4548"</definedName>
    <definedName name="IQ_BASIC_OUTSTANDING_LOW_EST" hidden="1">"c4136"</definedName>
    <definedName name="IQ_BASIC_OUTSTANDING_LOW_EST_CIQ" hidden="1">"c4549"</definedName>
    <definedName name="IQ_BASIC_OUTSTANDING_MEDIAN_EST" hidden="1">"c4137"</definedName>
    <definedName name="IQ_BASIC_OUTSTANDING_MEDIAN_EST_CIQ" hidden="1">"c4550"</definedName>
    <definedName name="IQ_BASIC_OUTSTANDING_NUM_EST" hidden="1">"c4138"</definedName>
    <definedName name="IQ_BASIC_OUTSTANDING_NUM_EST_CIQ" hidden="1">"c4551"</definedName>
    <definedName name="IQ_BASIC_OUTSTANDING_STDDEV_EST" hidden="1">"c4139"</definedName>
    <definedName name="IQ_BASIC_OUTSTANDING_STDDEV_EST_CIQ" hidden="1">"c4552"</definedName>
    <definedName name="IQ_BASIC_WEIGHT" hidden="1">"c87"</definedName>
    <definedName name="IQ_BASIC_WEIGHT_EST" hidden="1">"c4140"</definedName>
    <definedName name="IQ_BASIC_WEIGHT_EST_CIQ" hidden="1">"c4553"</definedName>
    <definedName name="IQ_BASIC_WEIGHT_HIGH_EST" hidden="1">"c4142"</definedName>
    <definedName name="IQ_BASIC_WEIGHT_HIGH_EST_CIQ" hidden="1">"c4554"</definedName>
    <definedName name="IQ_BASIC_WEIGHT_LOW_EST" hidden="1">"c4143"</definedName>
    <definedName name="IQ_BASIC_WEIGHT_LOW_EST_CIQ" hidden="1">"c4555"</definedName>
    <definedName name="IQ_BASIC_WEIGHT_MEDIAN_EST" hidden="1">"c4144"</definedName>
    <definedName name="IQ_BASIC_WEIGHT_MEDIAN_EST_CIQ" hidden="1">"c4556"</definedName>
    <definedName name="IQ_BASIC_WEIGHT_NUM_EST" hidden="1">"c4145"</definedName>
    <definedName name="IQ_BASIC_WEIGHT_NUM_EST_CIQ" hidden="1">"c4557"</definedName>
    <definedName name="IQ_BASIC_WEIGHT_STDDEV_EST" hidden="1">"c4146"</definedName>
    <definedName name="IQ_BASIC_WEIGHT_STDDEV_EST_CIQ" hidden="1">"c4558"</definedName>
    <definedName name="IQ_BEGINNING_BALANCE_GVA_THRIFT" hidden="1">"c25091"</definedName>
    <definedName name="IQ_BEGINNING_BALANCE_REPORTED_QUARTERLY_BALANCE_GVA_THRIFT" hidden="1">"c25090"</definedName>
    <definedName name="IQ_BEGINNING_BALANCE_REPORTED_QUARTERLY_BALANCE_SVA_THRIFT" hidden="1">"c25098"</definedName>
    <definedName name="IQ_BEGINNING_BALANCE_REPORTED_QUARTERLY_BALANCE_TVA_THRIFT" hidden="1">"c25105"</definedName>
    <definedName name="IQ_BEGINNING_BALANCE_SVA_THRIFT" hidden="1">"c25099"</definedName>
    <definedName name="IQ_BEGINNING_BALANCE_TVA_THRIFT" hidden="1">"c25106"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ALL_OTHER_COMP" hidden="1">"c18992"</definedName>
    <definedName name="IQ_BOARD_MEMBER_ANNUAL_CASH_COMP" hidden="1">"c18993"</definedName>
    <definedName name="IQ_BOARD_MEMBER_AS_REPORTED_COMP" hidden="1">"c18997"</definedName>
    <definedName name="IQ_BOARD_MEMBER_AS_REPORTED_DIRECTOR_COMP" hidden="1">"c19009"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BONUS" hidden="1">"c18988"</definedName>
    <definedName name="IQ_BOARD_MEMBER_CALCULATED_COMP" hidden="1">"c18995"</definedName>
    <definedName name="IQ_BOARD_MEMBER_CHANGE_PENSION" hidden="1">"c19010"</definedName>
    <definedName name="IQ_BOARD_MEMBER_DIRECT_FAX" hidden="1">"c15176"</definedName>
    <definedName name="IQ_BOARD_MEMBER_DIRECT_PHONE" hidden="1">"c15175"</definedName>
    <definedName name="IQ_BOARD_MEMBER_DIRECTOR_BONUS" hidden="1">"c19004"</definedName>
    <definedName name="IQ_BOARD_MEMBER_DIRECTOR_CHANGE_PENSION" hidden="1">"c19005"</definedName>
    <definedName name="IQ_BOARD_MEMBER_DIRECTOR_FEE" hidden="1">"c19001"</definedName>
    <definedName name="IQ_BOARD_MEMBER_DIRECTOR_NON_EQUITY_COMP" hidden="1">"c19006"</definedName>
    <definedName name="IQ_BOARD_MEMBER_DIRECTOR_OPTION_AWARDS" hidden="1">"c19002"</definedName>
    <definedName name="IQ_BOARD_MEMBER_DIRECTOR_OTHER" hidden="1">"c19003"</definedName>
    <definedName name="IQ_BOARD_MEMBER_DIRECTOR_STOCK_AWARDS" hidden="1">"c19007"</definedName>
    <definedName name="IQ_BOARD_MEMBER_DIRECTOR_STOCK_GRANTS" hidden="1">"c19034"</definedName>
    <definedName name="IQ_BOARD_MEMBER_DIRECTOR_STOCK_OPTIONS" hidden="1">"c19008"</definedName>
    <definedName name="IQ_BOARD_MEMBER_EMAIL" hidden="1">"c15177"</definedName>
    <definedName name="IQ_BOARD_MEMBER_EQUITY_INCENTIVE" hidden="1">"c19030"</definedName>
    <definedName name="IQ_BOARD_MEMBER_EST_PAYMENTS_CHANGE_CONTROL" hidden="1">"c18999"</definedName>
    <definedName name="IQ_BOARD_MEMBER_EST_PAYMENTS_TERMINATION" hidden="1">"c19011"</definedName>
    <definedName name="IQ_BOARD_MEMBER_EXERCISABLE_OPTIONS" hidden="1">"c19014"</definedName>
    <definedName name="IQ_BOARD_MEMBER_EXERCISABLE_VALUES" hidden="1">"c19015"</definedName>
    <definedName name="IQ_BOARD_MEMBER_EXERCISED_OPTIONS" hidden="1">"c19012"</definedName>
    <definedName name="IQ_BOARD_MEMBER_EXERCISED_VALUES" hidden="1">"c19013"</definedName>
    <definedName name="IQ_BOARD_MEMBER_ID" hidden="1">"c13756"</definedName>
    <definedName name="IQ_BOARD_MEMBER_LT_INCENTIVE" hidden="1">"c18991"</definedName>
    <definedName name="IQ_BOARD_MEMBER_MAIN_FAX" hidden="1">"c15174"</definedName>
    <definedName name="IQ_BOARD_MEMBER_MAIN_PHONE" hidden="1">"c15173"</definedName>
    <definedName name="IQ_BOARD_MEMBER_MARKET_VALUE_SHARES_NOT_VESTED" hidden="1">"c19029"</definedName>
    <definedName name="IQ_BOARD_MEMBER_NON_EQUITY_INCENTIVE" hidden="1">"c19000"</definedName>
    <definedName name="IQ_BOARD_MEMBER_NUM_SHARED_NOT_VESTED" hidden="1">"c19028"</definedName>
    <definedName name="IQ_BOARD_MEMBER_NUM_SHARES_ACQUIRED" hidden="1">"c19026"</definedName>
    <definedName name="IQ_BOARD_MEMBER_OFFICE_ADDRESS" hidden="1">"c15172"</definedName>
    <definedName name="IQ_BOARD_MEMBER_OPTION_AWARDS" hidden="1">"c18996"</definedName>
    <definedName name="IQ_BOARD_MEMBER_OPTION_MARKET_PRICE" hidden="1">"c19025"</definedName>
    <definedName name="IQ_BOARD_MEMBER_OPTION_PRICE" hidden="1">"c19024"</definedName>
    <definedName name="IQ_BOARD_MEMBER_OTHER_ANNUAL_COMP" hidden="1">"c18989"</definedName>
    <definedName name="IQ_BOARD_MEMBER_OTHER_COMP" hidden="1">"c18998"</definedName>
    <definedName name="IQ_BOARD_MEMBER_RESTRICTED_STOCK_COMP" hidden="1">"c18990"</definedName>
    <definedName name="IQ_BOARD_MEMBER_SALARY" hidden="1">"c18987"</definedName>
    <definedName name="IQ_BOARD_MEMBER_ST_COMP" hidden="1">"c18994"</definedName>
    <definedName name="IQ_BOARD_MEMBER_TITLE" hidden="1">"c97"</definedName>
    <definedName name="IQ_BOARD_MEMBER_TOTAL_NUM_STOCK_AWARDS" hidden="1">"c19033"</definedName>
    <definedName name="IQ_BOARD_MEMBER_TOTAL_OPTIONS" hidden="1">"c19022"</definedName>
    <definedName name="IQ_BOARD_MEMBER_TOTAL_STOCK_VALUE" hidden="1">"c19032"</definedName>
    <definedName name="IQ_BOARD_MEMBER_TOTAL_VALUE_OPTIONS" hidden="1">"c19023"</definedName>
    <definedName name="IQ_BOARD_MEMBER_UNCLASSIFIED_OPTIONS" hidden="1">"c19018"</definedName>
    <definedName name="IQ_BOARD_MEMBER_UNCLASSIFIED_OPTIONS_VALUE" hidden="1">"c19019"</definedName>
    <definedName name="IQ_BOARD_MEMBER_UNEARNED_STOCK_VALUE" hidden="1">"c19031"</definedName>
    <definedName name="IQ_BOARD_MEMBER_UNEXERCISABLE_OPTIONS" hidden="1">"c19016"</definedName>
    <definedName name="IQ_BOARD_MEMBER_UNEXERCISABLE_VALUES" hidden="1">"c19017"</definedName>
    <definedName name="IQ_BOARD_MEMBER_UNEXERCISED_UNEARNED_OPTIONS" hidden="1">"c19020"</definedName>
    <definedName name="IQ_BOARD_MEMBER_UNEXERCISED_UNEARNED_OPTIONS_VALUE" hidden="1">"c19021"</definedName>
    <definedName name="IQ_BOARD_MEMBER_VALUE_VESTING" hidden="1">"c19027"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P" hidden="1">"c20560"</definedName>
    <definedName name="IQ_BOP_BALANCE_ON_CURRENT_ACCOUNT" hidden="1">"c20561"</definedName>
    <definedName name="IQ_BOP_BALANCE_ON_GOODS" hidden="1">"c20562"</definedName>
    <definedName name="IQ_BOP_BALANCE_ON_GOODS_SERVICES" hidden="1">"c20563"</definedName>
    <definedName name="IQ_BOP_BALANCE_ON_INCOME" hidden="1">"c20564"</definedName>
    <definedName name="IQ_BOP_BALANCE_ON_SERVICES" hidden="1">"c20565"</definedName>
    <definedName name="IQ_BOP_CAPITAL_TRANSACTION_NET" hidden="1">"c20566"</definedName>
    <definedName name="IQ_BOP_CURRENT_TRANSFER_GOVERNMENT_GRANTS" hidden="1">"c20567"</definedName>
    <definedName name="IQ_BOP_CURRENT_TRANSFER_GOVERNMENT_PENSIONS" hidden="1">"c20568"</definedName>
    <definedName name="IQ_BOP_CURRENT_TRANSFER_NET" hidden="1">"c20569"</definedName>
    <definedName name="IQ_BOP_CURRENT_TRANSFER_PRIVATE_TRANSFER" hidden="1">"c20570"</definedName>
    <definedName name="IQ_BOP_EXPORTS_AND_RECEIPTS" hidden="1">"c20571"</definedName>
    <definedName name="IQ_BOP_EXPORTS_GOODS" hidden="1">"c20572"</definedName>
    <definedName name="IQ_BOP_EXPORTS_GOODS_SERVICES" hidden="1">"c20573"</definedName>
    <definedName name="IQ_BOP_EXPORTS_SERVICES" hidden="1">"c20574"</definedName>
    <definedName name="IQ_BOP_EXPORTS_SERVICES_FARES" hidden="1">"c20575"</definedName>
    <definedName name="IQ_BOP_EXPORTS_SERVICES_GOVERNMENT_MISC" hidden="1">"c20576"</definedName>
    <definedName name="IQ_BOP_EXPORTS_SERVICES_MILITARY_SALES_CONTRACTS" hidden="1">"c20577"</definedName>
    <definedName name="IQ_BOP_EXPORTS_SERVICES_OTHER" hidden="1">"c20578"</definedName>
    <definedName name="IQ_BOP_EXPORTS_SERVICES_ROYALTIES" hidden="1">"c20579"</definedName>
    <definedName name="IQ_BOP_EXPORTS_SERVICES_TRANSPORTATION" hidden="1">"c20580"</definedName>
    <definedName name="IQ_BOP_EXPORTS_SERVICES_TRAVEL" hidden="1">"c20581"</definedName>
    <definedName name="IQ_BOP_FOREIGN_ASSETS" hidden="1">"c20582"</definedName>
    <definedName name="IQ_BOP_FOREIGN_ASSETS_OFFICIAL" hidden="1">"c20583"</definedName>
    <definedName name="IQ_BOP_FOREIGN_ASSETS_OFFICIAL_BANK_LIABILITIES" hidden="1">"c20584"</definedName>
    <definedName name="IQ_BOP_FOREIGN_ASSETS_OFFICIAL_GOVT_LIABILITIES" hidden="1">"c20585"</definedName>
    <definedName name="IQ_BOP_FOREIGN_ASSETS_OFFICIAL_GOVT_SECURITIES" hidden="1">"c20586"</definedName>
    <definedName name="IQ_BOP_FOREIGN_ASSETS_OFFICIAL_GOVT_SECURITIES_OTHER" hidden="1">"c20587"</definedName>
    <definedName name="IQ_BOP_FOREIGN_ASSETS_OFFICIAL_OTHER" hidden="1">"c20588"</definedName>
    <definedName name="IQ_BOP_FOREIGN_ASSETS_OFFICIAL_TREASURIES" hidden="1">"c20589"</definedName>
    <definedName name="IQ_BOP_FOREIGN_ASSETS_OTHER" hidden="1">"c20590"</definedName>
    <definedName name="IQ_BOP_FOREIGN_ASSETS_OTHER_BANK_LIABILITIES" hidden="1">"c20591"</definedName>
    <definedName name="IQ_BOP_FOREIGN_ASSETS_OTHER_CURRENCY" hidden="1">"c20592"</definedName>
    <definedName name="IQ_BOP_FOREIGN_ASSETS_OTHER_DIRECT_INVEST" hidden="1">"c20593"</definedName>
    <definedName name="IQ_BOP_FOREIGN_ASSETS_OTHER_LIABILITIES_TO_FOREIGNERS" hidden="1">"c20594"</definedName>
    <definedName name="IQ_BOP_FOREIGN_ASSETS_OTHER_SECURITIES" hidden="1">"c20595"</definedName>
    <definedName name="IQ_BOP_FOREIGN_ASSETS_OTHER_TREASURIES" hidden="1">"c20596"</definedName>
    <definedName name="IQ_BOP_IMPORTS_AND_PAYMENTS" hidden="1">"c20597"</definedName>
    <definedName name="IQ_BOP_IMPORTS_GOODS" hidden="1">"c20598"</definedName>
    <definedName name="IQ_BOP_IMPORTS_GOODS_SERVICES" hidden="1">"c20599"</definedName>
    <definedName name="IQ_BOP_IMPORTS_SERVICES" hidden="1">"c20600"</definedName>
    <definedName name="IQ_BOP_IMPORTS_SERVICES_DEF_EXPENDITURES" hidden="1">"c20601"</definedName>
    <definedName name="IQ_BOP_IMPORTS_SERVICES_FARES" hidden="1">"c20602"</definedName>
    <definedName name="IQ_BOP_IMPORTS_SERVICES_GOVERNMENT_MISC" hidden="1">"c20603"</definedName>
    <definedName name="IQ_BOP_IMPORTS_SERVICES_OTHER" hidden="1">"c20604"</definedName>
    <definedName name="IQ_BOP_IMPORTS_SERVICES_ROYALTIES" hidden="1">"c20605"</definedName>
    <definedName name="IQ_BOP_IMPORTS_SERVICES_TRANSPORTATION" hidden="1">"c20606"</definedName>
    <definedName name="IQ_BOP_IMPORTS_SERVICES_TRAVEL" hidden="1">"c20607"</definedName>
    <definedName name="IQ_BOP_PAYMENTS" hidden="1">"c20608"</definedName>
    <definedName name="IQ_BOP_PAYMENTS_DIRECT_INVEST" hidden="1">"c20609"</definedName>
    <definedName name="IQ_BOP_PAYMENTS_EMPLOYEE_COMPENSATION" hidden="1">"c20610"</definedName>
    <definedName name="IQ_BOP_PAYMENTS_FOREGN_OWNED_ASSETS" hidden="1">"c20611"</definedName>
    <definedName name="IQ_BOP_PAYMENTS_GOVT" hidden="1">"c20612"</definedName>
    <definedName name="IQ_BOP_PAYMENTS_OTHER" hidden="1">"c20613"</definedName>
    <definedName name="IQ_BOP_RECEIPTS" hidden="1">"c20614"</definedName>
    <definedName name="IQ_BOP_RECEIPTS_DIRECT_INVEST" hidden="1">"c20615"</definedName>
    <definedName name="IQ_BOP_RECEIPTS_EMPLOYEE_COMPENSATION" hidden="1">"c20616"</definedName>
    <definedName name="IQ_BOP_RECEIPTS_GOVT" hidden="1">"c20617"</definedName>
    <definedName name="IQ_BOP_RECEIPTS_OTHER" hidden="1">"c20618"</definedName>
    <definedName name="IQ_BOP_RECEIPTS_US_ASSETS_ABROAD" hidden="1">"c20619"</definedName>
    <definedName name="IQ_BOP_STATISTICAL_DISCREPANCY" hidden="1">"c20620"</definedName>
    <definedName name="IQ_BOP_US_ASSETS_ABROAD" hidden="1">"c20621"</definedName>
    <definedName name="IQ_BOP_US_GOVT_ASSETS" hidden="1">"c20622"</definedName>
    <definedName name="IQ_BOP_US_GOVT_ASSETS_FX" hidden="1">"c20623"</definedName>
    <definedName name="IQ_BOP_US_GOVT_ASSETS_US_CREDITS" hidden="1">"c20624"</definedName>
    <definedName name="IQ_BOP_US_GOVT_ASSETS_US_CREDITS_REPAYMENTS" hidden="1">"c20625"</definedName>
    <definedName name="IQ_BOP_US_PRIVATE_ASSETS" hidden="1">"c20626"</definedName>
    <definedName name="IQ_BOP_US_PRIVATE_ASSETS_CLAIMS_BANKS_BROKERS" hidden="1">"c20627"</definedName>
    <definedName name="IQ_BOP_US_PRIVATE_ASSETS_CLAIMS_ON_FOREIGNERS" hidden="1">"c20628"</definedName>
    <definedName name="IQ_BOP_US_PRIVATE_ASSETS_DIRECT_INVEST" hidden="1">"c20629"</definedName>
    <definedName name="IQ_BOP_US_PRIVATE_ASSETS_FOREIGN_SECURITIES" hidden="1">"c20630"</definedName>
    <definedName name="IQ_BOP_US_RESERVE_ASSETS" hidden="1">"c20631"</definedName>
    <definedName name="IQ_BOP_US_RESERVE_ASSETS_DRAWING_RIGHTS" hidden="1">"c20632"</definedName>
    <definedName name="IQ_BOP_US_RESERVE_ASSETS_FX" hidden="1">"c20633"</definedName>
    <definedName name="IQ_BOP_US_RESERVE_ASSETS_GOLD" hidden="1">"c20634"</definedName>
    <definedName name="IQ_BOP_US_RESERVE_ASSETS_IMF_RESERVES" hidden="1">"c20635"</definedName>
    <definedName name="IQ_BORROWED_MONEY_QUARTERLY_AVG_FFIEC" hidden="1">"c13091"</definedName>
    <definedName name="IQ_BORROWINGS_LESS_1YR_ASSETS_TOT_FFIEC" hidden="1">"c13450"</definedName>
    <definedName name="IQ_BR_FILING_DATE" hidden="1">"c16223"</definedName>
    <definedName name="IQ_BR_FILING_TYPE" hidden="1">"c16224"</definedName>
    <definedName name="IQ_BR_PLAN_APPROVE_DATE" hidden="1">"c16226"</definedName>
    <definedName name="IQ_BR_PLAN_CONFIRM" hidden="1">"c16225"</definedName>
    <definedName name="IQ_BROK_COMISSION" hidden="1">"c98"</definedName>
    <definedName name="IQ_BROK_COMMISSION" hidden="1">"c3514"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_DEPOSITS_TOTAL_DEPOSITS_THRIFT" hidden="1">"c25781"</definedName>
    <definedName name="IQ_BROKER_ORIGINATED_DEPOSITS_FULLY_INSURED_100000_THROUGH_250000_THRIFT" hidden="1">"c24980"</definedName>
    <definedName name="IQ_BROKER_ORIGINATED_DEPOSITS_FULLY_INSURED_LESS_THAN_100000_THRIFT" hidden="1">"c24979"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DESCRIPTION" hidden="1">"c15589"</definedName>
    <definedName name="IQ_BUS_SEG_DESCRIPTION_ABS" hidden="1">"c15577"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IC" hidden="1">"c15588"</definedName>
    <definedName name="IQ_BUS_SEG_NAIC_ABS" hidden="1">"c15576"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PRIMARY_SIC" hidden="1">"c15586"</definedName>
    <definedName name="IQ_BUS_SEG_PRIMARY_SIC_ABS" hidden="1">"c15574"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_SEG_SECONDARY_SIC" hidden="1">"c15587"</definedName>
    <definedName name="IQ_BUS_SEG_SECONDARY_SIC_ABS" hidden="1">"c15575"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EST" hidden="1">"c5624"</definedName>
    <definedName name="IQ_BV_EST_CIQ" hidden="1">"c4737"</definedName>
    <definedName name="IQ_BV_HIGH_EST" hidden="1">"c5626"</definedName>
    <definedName name="IQ_BV_HIGH_EST_CIQ" hidden="1">"c4739"</definedName>
    <definedName name="IQ_BV_LOW_EST" hidden="1">"c5627"</definedName>
    <definedName name="IQ_BV_LOW_EST_CIQ" hidden="1">"c4740"</definedName>
    <definedName name="IQ_BV_MEDIAN_EST" hidden="1">"c5625"</definedName>
    <definedName name="IQ_BV_MEDIAN_EST_CIQ" hidden="1">"c4738"</definedName>
    <definedName name="IQ_BV_NUM_EST" hidden="1">"c5628"</definedName>
    <definedName name="IQ_BV_NUM_EST_CIQ" hidden="1">"c4741"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CIQ" hidden="1">"c5072"</definedName>
    <definedName name="IQ_BV_SHARE_EST" hidden="1">"c3541"</definedName>
    <definedName name="IQ_BV_SHARE_EST_CIQ" hidden="1">"c3800"</definedName>
    <definedName name="IQ_BV_SHARE_EST_DOWN_2MONTH" hidden="1">"c16573"</definedName>
    <definedName name="IQ_BV_SHARE_EST_DOWN_2MONTH_CIQ" hidden="1">"c16837"</definedName>
    <definedName name="IQ_BV_SHARE_EST_DOWN_3MONTH" hidden="1">"c16577"</definedName>
    <definedName name="IQ_BV_SHARE_EST_DOWN_3MONTH_CIQ" hidden="1">"c16841"</definedName>
    <definedName name="IQ_BV_SHARE_EST_DOWN_MONTH" hidden="1">"c16569"</definedName>
    <definedName name="IQ_BV_SHARE_EST_DOWN_MONTH_CIQ" hidden="1">"c16833"</definedName>
    <definedName name="IQ_BV_SHARE_EST_NOTE" hidden="1">"c17523"</definedName>
    <definedName name="IQ_BV_SHARE_EST_NOTE_CIQ" hidden="1">"c17476"</definedName>
    <definedName name="IQ_BV_SHARE_EST_NUM_ANALYSTS_2MONTH" hidden="1">"c16571"</definedName>
    <definedName name="IQ_BV_SHARE_EST_NUM_ANALYSTS_2MONTH_CIQ" hidden="1">"c16835"</definedName>
    <definedName name="IQ_BV_SHARE_EST_NUM_ANALYSTS_3MONTH" hidden="1">"c16575"</definedName>
    <definedName name="IQ_BV_SHARE_EST_NUM_ANALYSTS_3MONTH_CIQ" hidden="1">"c16839"</definedName>
    <definedName name="IQ_BV_SHARE_EST_NUM_ANALYSTS_MONTH" hidden="1">"c16567"</definedName>
    <definedName name="IQ_BV_SHARE_EST_NUM_ANALYSTS_MONTH_CIQ" hidden="1">"c16831"</definedName>
    <definedName name="IQ_BV_SHARE_EST_TOTAL_REVISED_2MONTH" hidden="1">"c16574"</definedName>
    <definedName name="IQ_BV_SHARE_EST_TOTAL_REVISED_2MONTH_CIQ" hidden="1">"c16838"</definedName>
    <definedName name="IQ_BV_SHARE_EST_TOTAL_REVISED_3MONTH" hidden="1">"c16578"</definedName>
    <definedName name="IQ_BV_SHARE_EST_TOTAL_REVISED_3MONTH_CIQ" hidden="1">"c16842"</definedName>
    <definedName name="IQ_BV_SHARE_EST_TOTAL_REVISED_MONTH" hidden="1">"c16570"</definedName>
    <definedName name="IQ_BV_SHARE_EST_TOTAL_REVISED_MONTH_CIQ" hidden="1">"c16834"</definedName>
    <definedName name="IQ_BV_SHARE_EST_UP_2MONTH" hidden="1">"c16572"</definedName>
    <definedName name="IQ_BV_SHARE_EST_UP_2MONTH_CIQ" hidden="1">"c16836"</definedName>
    <definedName name="IQ_BV_SHARE_EST_UP_3MONTH" hidden="1">"c16576"</definedName>
    <definedName name="IQ_BV_SHARE_EST_UP_3MONTH_CIQ" hidden="1">"c16840"</definedName>
    <definedName name="IQ_BV_SHARE_EST_UP_MONTH" hidden="1">"c16568"</definedName>
    <definedName name="IQ_BV_SHARE_EST_UP_MONTH_CIQ" hidden="1">"c16832"</definedName>
    <definedName name="IQ_BV_SHARE_HIGH_EST" hidden="1">"c3542"</definedName>
    <definedName name="IQ_BV_SHARE_HIGH_EST_CIQ" hidden="1">"c3802"</definedName>
    <definedName name="IQ_BV_SHARE_LOW_EST" hidden="1">"c3543"</definedName>
    <definedName name="IQ_BV_SHARE_LOW_EST_CIQ" hidden="1">"c3803"</definedName>
    <definedName name="IQ_BV_SHARE_MEDIAN_EST" hidden="1">"c3544"</definedName>
    <definedName name="IQ_BV_SHARE_MEDIAN_EST_CIQ" hidden="1">"c3801"</definedName>
    <definedName name="IQ_BV_SHARE_NUM_EST" hidden="1">"c3539"</definedName>
    <definedName name="IQ_BV_SHARE_NUM_EST_CIQ" hidden="1">"c3804"</definedName>
    <definedName name="IQ_BV_SHARE_STDDEV_EST" hidden="1">"c3540"</definedName>
    <definedName name="IQ_BV_SHARE_STDDEV_EST_CIQ" hidden="1">"c3805"</definedName>
    <definedName name="IQ_BV_STDDEV_EST" hidden="1">"c5629"</definedName>
    <definedName name="IQ_BV_STDDEV_EST_CIQ" hidden="1">"c4742"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"c16151"</definedName>
    <definedName name="IQ_CABLE_ARPU_ANALOG" hidden="1">"c16146"</definedName>
    <definedName name="IQ_CABLE_ARPU_BASIC" hidden="1">"c16148"</definedName>
    <definedName name="IQ_CABLE_ARPU_BBAND" hidden="1">"c16150"</definedName>
    <definedName name="IQ_CABLE_ARPU_DIG" hidden="1">"c16147"</definedName>
    <definedName name="IQ_CABLE_ARPU_PHONE" hidden="1">"c16149"</definedName>
    <definedName name="IQ_CABLE_BASIC_PENETRATION" hidden="1">"c16130"</definedName>
    <definedName name="IQ_CABLE_BBAND_PENETRATION" hidden="1">"c16131"</definedName>
    <definedName name="IQ_CABLE_BBAND_PENETRATION_THP" hidden="1">"c16132"</definedName>
    <definedName name="IQ_CABLE_CHURN" hidden="1">"c16156"</definedName>
    <definedName name="IQ_CABLE_CHURN_BASIC" hidden="1">"c16153"</definedName>
    <definedName name="IQ_CABLE_CHURN_BBAND" hidden="1">"c16155"</definedName>
    <definedName name="IQ_CABLE_CHURN_DIG" hidden="1">"c16152"</definedName>
    <definedName name="IQ_CABLE_CHURN_PHONE" hidden="1">"c16154"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"c16145"</definedName>
    <definedName name="IQ_CABLE_OTHER_REV" hidden="1">"c16164"</definedName>
    <definedName name="IQ_CABLE_PHONE_PENETRATION" hidden="1">"c16133"</definedName>
    <definedName name="IQ_CABLE_PROGRAMMING_COSTS" hidden="1">"c16144"</definedName>
    <definedName name="IQ_CABLE_REV_ADVERT" hidden="1">"c16162"</definedName>
    <definedName name="IQ_CABLE_REV_ANALOG" hidden="1">"c16157"</definedName>
    <definedName name="IQ_CABLE_REV_BASIC" hidden="1">"c16159"</definedName>
    <definedName name="IQ_CABLE_REV_BBAND" hidden="1">"c16160"</definedName>
    <definedName name="IQ_CABLE_REV_COMMERCIAL" hidden="1">"c16163"</definedName>
    <definedName name="IQ_CABLE_REV_DIG" hidden="1">"c16158"</definedName>
    <definedName name="IQ_CABLE_REV_PHONE" hidden="1">"c16161"</definedName>
    <definedName name="IQ_CABLE_RGU" hidden="1">"c16143"</definedName>
    <definedName name="IQ_CABLE_SUBS_ANALOG" hidden="1">"c16135"</definedName>
    <definedName name="IQ_CABLE_SUBS_BASIC" hidden="1">"c16137"</definedName>
    <definedName name="IQ_CABLE_SUBS_BBAND" hidden="1">"c16138"</definedName>
    <definedName name="IQ_CABLE_SUBS_BUNDLED" hidden="1">"c16141"</definedName>
    <definedName name="IQ_CABLE_SUBS_BUS_PHONE" hidden="1">"c15773"</definedName>
    <definedName name="IQ_CABLE_SUBS_DIG" hidden="1">"c16136"</definedName>
    <definedName name="IQ_CABLE_SUBS_LONG_DIST_PHONE" hidden="1">"c15775"</definedName>
    <definedName name="IQ_CABLE_SUBS_NON_VIDEO" hidden="1">"c16140"</definedName>
    <definedName name="IQ_CABLE_SUBS_PHONE" hidden="1">"c16139"</definedName>
    <definedName name="IQ_CABLE_SUBS_RES_PHONE" hidden="1">"c15772"</definedName>
    <definedName name="IQ_CABLE_SUBS_SATELITE" hidden="1">"c15771"</definedName>
    <definedName name="IQ_CABLE_SUBS_TOTAL" hidden="1">"c16142"</definedName>
    <definedName name="IQ_CABLE_SUBS_WHOLE_PHONE" hidden="1">"c15774"</definedName>
    <definedName name="IQ_CABLE_THP" hidden="1">"c2847"</definedName>
    <definedName name="IQ_CABLE_TOTAL_PENETRATION" hidden="1">"c2854"</definedName>
    <definedName name="IQ_CABLE_TOTAL_REV" hidden="1">"c16165"</definedName>
    <definedName name="IQ_CAL_Q" hidden="1">"c101"</definedName>
    <definedName name="IQ_CAL_Q_EST" hidden="1">"c6796"</definedName>
    <definedName name="IQ_CAL_Q_EST_CIQ" hidden="1">"c6808"</definedName>
    <definedName name="IQ_CAL_Y" hidden="1">"c102"</definedName>
    <definedName name="IQ_CAL_Y_EST" hidden="1">"c6797"</definedName>
    <definedName name="IQ_CAL_Y_EST_CIQ" hidden="1">"c6809"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INVEST_CABLE" hidden="1">"c15794"</definedName>
    <definedName name="IQ_CAP_INVEST_COMMERCIAL" hidden="1">"c15800"</definedName>
    <definedName name="IQ_CAP_INVEST_CUST_PREMISE_EQUIP" hidden="1">"c15795"</definedName>
    <definedName name="IQ_CAP_INVEST_LINE_EXTENSIONS" hidden="1">"c15797"</definedName>
    <definedName name="IQ_CAP_INVEST_SCALABLE_INFRASTRUCTURE" hidden="1">"c15796"</definedName>
    <definedName name="IQ_CAP_INVEST_SUPPORT" hidden="1">"c15799"</definedName>
    <definedName name="IQ_CAP_INVEST_UPGRADE_REBUILD" hidden="1">"c15798"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CIQ" hidden="1">"c5071"</definedName>
    <definedName name="IQ_CAPEX_BNK" hidden="1">"c110"</definedName>
    <definedName name="IQ_CAPEX_BR" hidden="1">"c111"</definedName>
    <definedName name="IQ_CAPEX_CM" hidden="1">"c111"</definedName>
    <definedName name="IQ_CAPEX_EST" hidden="1">"c3523"</definedName>
    <definedName name="IQ_CAPEX_EST_CIQ" hidden="1">"c3807"</definedName>
    <definedName name="IQ_CAPEX_EST_DOWN_2MONTH" hidden="1">"c16525"</definedName>
    <definedName name="IQ_CAPEX_EST_DOWN_2MONTH_CIQ" hidden="1">"c16789"</definedName>
    <definedName name="IQ_CAPEX_EST_DOWN_3MONTH" hidden="1">"c16529"</definedName>
    <definedName name="IQ_CAPEX_EST_DOWN_3MONTH_CIQ" hidden="1">"c16793"</definedName>
    <definedName name="IQ_CAPEX_EST_DOWN_MONTH" hidden="1">"c16521"</definedName>
    <definedName name="IQ_CAPEX_EST_DOWN_MONTH_CIQ" hidden="1">"c16785"</definedName>
    <definedName name="IQ_CAPEX_EST_NOTE" hidden="1">"c17519"</definedName>
    <definedName name="IQ_CAPEX_EST_NOTE_CIQ" hidden="1">"c17472"</definedName>
    <definedName name="IQ_CAPEX_EST_NUM_ANALYSTS_2MONTH" hidden="1">"c16523"</definedName>
    <definedName name="IQ_CAPEX_EST_NUM_ANALYSTS_2MONTH_CIQ" hidden="1">"c16787"</definedName>
    <definedName name="IQ_CAPEX_EST_NUM_ANALYSTS_3MONTH" hidden="1">"c16527"</definedName>
    <definedName name="IQ_CAPEX_EST_NUM_ANALYSTS_3MONTH_CIQ" hidden="1">"c16791"</definedName>
    <definedName name="IQ_CAPEX_EST_NUM_ANALYSTS_MONTH" hidden="1">"c16519"</definedName>
    <definedName name="IQ_CAPEX_EST_NUM_ANALYSTS_MONTH_CIQ" hidden="1">"c16783"</definedName>
    <definedName name="IQ_CAPEX_EST_TOTAL_REVISED_2MONTH" hidden="1">"c16526"</definedName>
    <definedName name="IQ_CAPEX_EST_TOTAL_REVISED_2MONTH_CIQ" hidden="1">"c16790"</definedName>
    <definedName name="IQ_CAPEX_EST_TOTAL_REVISED_3MONTH" hidden="1">"c16530"</definedName>
    <definedName name="IQ_CAPEX_EST_TOTAL_REVISED_3MONTH_CIQ" hidden="1">"c16794"</definedName>
    <definedName name="IQ_CAPEX_EST_TOTAL_REVISED_MONTH" hidden="1">"c16522"</definedName>
    <definedName name="IQ_CAPEX_EST_TOTAL_REVISED_MONTH_CIQ" hidden="1">"c16786"</definedName>
    <definedName name="IQ_CAPEX_EST_UP_2MONTH" hidden="1">"c16524"</definedName>
    <definedName name="IQ_CAPEX_EST_UP_2MONTH_CIQ" hidden="1">"c16788"</definedName>
    <definedName name="IQ_CAPEX_EST_UP_3MONTH" hidden="1">"c16528"</definedName>
    <definedName name="IQ_CAPEX_EST_UP_3MONTH_CIQ" hidden="1">"c16792"</definedName>
    <definedName name="IQ_CAPEX_EST_UP_MONTH" hidden="1">"c16520"</definedName>
    <definedName name="IQ_CAPEX_EST_UP_MONTH_CIQ" hidden="1">"c16784"</definedName>
    <definedName name="IQ_CAPEX_FIN" hidden="1">"c112"</definedName>
    <definedName name="IQ_CAPEX_GUIDANCE" hidden="1">"c4150"</definedName>
    <definedName name="IQ_CAPEX_HIGH_EST" hidden="1">"c3524"</definedName>
    <definedName name="IQ_CAPEX_HIGH_EST_CIQ" hidden="1">"c3809"</definedName>
    <definedName name="IQ_CAPEX_HIGH_GUIDANCE" hidden="1">"c4180"</definedName>
    <definedName name="IQ_CAPEX_INS" hidden="1">"c113"</definedName>
    <definedName name="IQ_CAPEX_LOW_EST" hidden="1">"c3525"</definedName>
    <definedName name="IQ_CAPEX_LOW_EST_CIQ" hidden="1">"c3810"</definedName>
    <definedName name="IQ_CAPEX_LOW_GUIDANCE" hidden="1">"c4220"</definedName>
    <definedName name="IQ_CAPEX_MEDIAN_EST" hidden="1">"c3526"</definedName>
    <definedName name="IQ_CAPEX_MEDIAN_EST_CIQ" hidden="1">"c3808"</definedName>
    <definedName name="IQ_CAPEX_NUM_EST" hidden="1">"c3521"</definedName>
    <definedName name="IQ_CAPEX_NUM_EST_CIQ" hidden="1">"c3811"</definedName>
    <definedName name="IQ_CAPEX_PCT_REV" hidden="1">"c19144"</definedName>
    <definedName name="IQ_CAPEX_STDDEV_EST" hidden="1">"c3522"</definedName>
    <definedName name="IQ_CAPEX_STDDEV_EST_CIQ" hidden="1">"c3812"</definedName>
    <definedName name="IQ_CAPEX_UTI" hidden="1">"c114"</definedName>
    <definedName name="IQ_CAPITAL_ALLOCATION_ADJUSTMENT_FOREIGN_FFIEC" hidden="1">"c15389"</definedName>
    <definedName name="IQ_CAPITAL_CONTRIBUTIONS_SAVINGS_ASSOCIATION_THRIFT" hidden="1">"c25014"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_UNDER_MANAGE" hidden="1">"c18929"</definedName>
    <definedName name="IQ_CAPITAL_UNDER_MANAGE_CURRENCY" hidden="1">"c19171"</definedName>
    <definedName name="IQ_CAPITAL_UNDER_MANAGE_DATE" hidden="1">"c18930"</definedName>
    <definedName name="IQ_CAPITALIZED_INT_THRIFT" hidden="1">"c24763"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RRYING_AMT_DEBT_SEC_COVERED_FDIC_LOSS_SHARING_AGREEMENTS_THRIFT" hidden="1">"c24944"</definedName>
    <definedName name="IQ_CARRYING_AMT_LOANS_LEASES_COVERED_FDIC_LOSS_SHARING_AGREEMENTS_THRIFT" hidden="1">"c24942"</definedName>
    <definedName name="IQ_CARRYING_AMT_OTHER_ASSETS_COVERED_FDIC_LOSS_SHARING_AGREEMENTS_THRIFT" hidden="1">"c24945"</definedName>
    <definedName name="IQ_CARRYING_AMT_RE_OWNED_COVERED_FDIC_LOSS_SHARING_AGREEMENTS_THRIFT" hidden="1">"c24943"</definedName>
    <definedName name="IQ_CASH" hidden="1">"c1458"</definedName>
    <definedName name="IQ_CASH_ACQUIRE_CF" hidden="1">"c1630"</definedName>
    <definedName name="IQ_CASH_BALANCES_DUE_FFIEC" hidden="1">"c12773"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ER_SUB" hidden="1">"c15763"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EPOSITORY_INSTIT_US_DOM_FFIEC" hidden="1">"c15288"</definedName>
    <definedName name="IQ_CASH_DIVIDENDS_NET_INCOME_FDIC" hidden="1">"c6738"</definedName>
    <definedName name="IQ_CASH_DIVIDENDS_NET_INCOME_THRIFT" hidden="1">"c25634"</definedName>
    <definedName name="IQ_CASH_DUE_BANKS" hidden="1">"c1351"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LIGIBLE_0_PCT_RISK_WEIGHT_THRIFT" hidden="1">"c25051"</definedName>
    <definedName name="IQ_CASH_EPS_ACT_OR_EST" hidden="1">"c5638"</definedName>
    <definedName name="IQ_CASH_EPS_ACT_OR_EST_CIQ" hidden="1">"c18264"</definedName>
    <definedName name="IQ_CASH_EPS_EST" hidden="1">"c5631"</definedName>
    <definedName name="IQ_CASH_EPS_EST_CIQ" hidden="1">"c18111"</definedName>
    <definedName name="IQ_CASH_EPS_EST_DOWN_2MONTH" hidden="1">"c16333"</definedName>
    <definedName name="IQ_CASH_EPS_EST_DOWN_3MONTH" hidden="1">"c16337"</definedName>
    <definedName name="IQ_CASH_EPS_EST_DOWN_MONTH" hidden="1">"c16329"</definedName>
    <definedName name="IQ_CASH_EPS_EST_NOTE_CIQ" hidden="1">"c18232"</definedName>
    <definedName name="IQ_CASH_EPS_EST_NUM_ANALYSTS_2MONTH" hidden="1">"c16331"</definedName>
    <definedName name="IQ_CASH_EPS_EST_NUM_ANALYSTS_3MONTH" hidden="1">"c16335"</definedName>
    <definedName name="IQ_CASH_EPS_EST_NUM_ANALYSTS_MONTH" hidden="1">"c16327"</definedName>
    <definedName name="IQ_CASH_EPS_EST_TOTAL_REVISED_2MONTH" hidden="1">"c16334"</definedName>
    <definedName name="IQ_CASH_EPS_EST_TOTAL_REVISED_3MONTH" hidden="1">"c16338"</definedName>
    <definedName name="IQ_CASH_EPS_EST_TOTAL_REVISED_MONTH" hidden="1">"c16330"</definedName>
    <definedName name="IQ_CASH_EPS_EST_UP_2MONTH" hidden="1">"c16332"</definedName>
    <definedName name="IQ_CASH_EPS_EST_UP_3MONTH" hidden="1">"c16336"</definedName>
    <definedName name="IQ_CASH_EPS_EST_UP_MONTH" hidden="1">"c16328"</definedName>
    <definedName name="IQ_CASH_EPS_GUIDANCE" hidden="1">"c18397"</definedName>
    <definedName name="IQ_CASH_EPS_HIGH_EST" hidden="1">"c5633"</definedName>
    <definedName name="IQ_CASH_EPS_HIGH_EST_CIQ" hidden="1">"c18131"</definedName>
    <definedName name="IQ_CASH_EPS_HIGH_GUIDANCE" hidden="1">"c18398"</definedName>
    <definedName name="IQ_CASH_EPS_LOW_EST" hidden="1">"c5634"</definedName>
    <definedName name="IQ_CASH_EPS_LOW_EST_CIQ" hidden="1">"c18141"</definedName>
    <definedName name="IQ_CASH_EPS_LOW_GUIDANCE" hidden="1">"c18399"</definedName>
    <definedName name="IQ_CASH_EPS_MEDIAN_EST" hidden="1">"c5632"</definedName>
    <definedName name="IQ_CASH_EPS_MEDIAN_EST_CIQ" hidden="1">"c18121"</definedName>
    <definedName name="IQ_CASH_EPS_NUM_EST" hidden="1">"c5635"</definedName>
    <definedName name="IQ_CASH_EPS_NUM_EST_CIQ" hidden="1">"c18161"</definedName>
    <definedName name="IQ_CASH_EPS_STDDEV_EST" hidden="1">"c5636"</definedName>
    <definedName name="IQ_CASH_EPS_STDDEV_EST_CIQ" hidden="1">"c18151"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AP" hidden="1">"c25889"</definedName>
    <definedName name="IQ_CASH_FLOW_AP_CO" hidden="1">"c25890"</definedName>
    <definedName name="IQ_CASH_FLOW_EST" hidden="1">"c4153"</definedName>
    <definedName name="IQ_CASH_FLOW_EST_CIQ" hidden="1">"c4565"</definedName>
    <definedName name="IQ_CASH_FLOW_HIGH_EST" hidden="1">"c4156"</definedName>
    <definedName name="IQ_CASH_FLOW_HIGH_EST_CIQ" hidden="1">"c4568"</definedName>
    <definedName name="IQ_CASH_FLOW_INDUSTRY" hidden="1">"c25885"</definedName>
    <definedName name="IQ_CASH_FLOW_INDUSTRY_CO" hidden="1">"c25886"</definedName>
    <definedName name="IQ_CASH_FLOW_LOW_EST" hidden="1">"c4157"</definedName>
    <definedName name="IQ_CASH_FLOW_LOW_EST_CIQ" hidden="1">"c4569"</definedName>
    <definedName name="IQ_CASH_FLOW_MEDIAN_EST" hidden="1">"c4158"</definedName>
    <definedName name="IQ_CASH_FLOW_MEDIAN_EST_CIQ" hidden="1">"c4570"</definedName>
    <definedName name="IQ_CASH_FLOW_NUM_EST" hidden="1">"c4159"</definedName>
    <definedName name="IQ_CASH_FLOW_NUM_EST_CIQ" hidden="1">"c4571"</definedName>
    <definedName name="IQ_CASH_FLOW_STANDARD" hidden="1">"c25887"</definedName>
    <definedName name="IQ_CASH_FLOW_STANDARD_CO" hidden="1">"c25888"</definedName>
    <definedName name="IQ_CASH_FLOW_STDDEV_EST" hidden="1">"c4160"</definedName>
    <definedName name="IQ_CASH_FLOW_STDDEV_EST_CIQ" hidden="1">"c4572"</definedName>
    <definedName name="IQ_CASH_FOREIGN_BRANCH_OTHER_US_BANKS_FFIEC" hidden="1">"c15282"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NON_INT_EARNING_DEPOSITS_THRIFT" hidden="1">"c24818"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EST" hidden="1">"c26900"</definedName>
    <definedName name="IQ_CASH_OPER_EST_CIQ" hidden="1">"c4575"</definedName>
    <definedName name="IQ_CASH_OPER_EST_DOWN_2MONTH_CIQ" hidden="1">"c24567"</definedName>
    <definedName name="IQ_CASH_OPER_EST_DOWN_3MONTH_CIQ" hidden="1">"c24571"</definedName>
    <definedName name="IQ_CASH_OPER_EST_DOWN_MONTH_CIQ" hidden="1">"c24563"</definedName>
    <definedName name="IQ_CASH_OPER_EST_NOTE_CIQ" hidden="1">"c24554"</definedName>
    <definedName name="IQ_CASH_OPER_EST_NUM_ANALYSTS_2MONTH_CIQ" hidden="1">"c24565"</definedName>
    <definedName name="IQ_CASH_OPER_EST_NUM_ANALYSTS_3MONTH_CIQ" hidden="1">"c24569"</definedName>
    <definedName name="IQ_CASH_OPER_EST_NUM_ANALYSTS_MONTH_CIQ" hidden="1">"c24561"</definedName>
    <definedName name="IQ_CASH_OPER_EST_TOTAL_REVISED_2MONTH_CIQ" hidden="1">"c24568"</definedName>
    <definedName name="IQ_CASH_OPER_EST_TOTAL_REVISED_3MONTH_CIQ" hidden="1">"c24572"</definedName>
    <definedName name="IQ_CASH_OPER_EST_TOTAL_REVISED_MONTH_CIQ" hidden="1">"c24564"</definedName>
    <definedName name="IQ_CASH_OPER_EST_UP_2MONTH_CIQ" hidden="1">"c24566"</definedName>
    <definedName name="IQ_CASH_OPER_EST_UP_3MONTH_CIQ" hidden="1">"c24570"</definedName>
    <definedName name="IQ_CASH_OPER_EST_UP_MONTH_CIQ" hidden="1">"c24562"</definedName>
    <definedName name="IQ_CASH_OPER_GUIDANCE" hidden="1">"c4165"</definedName>
    <definedName name="IQ_CASH_OPER_HIGH_EST" hidden="1">"c26901"</definedName>
    <definedName name="IQ_CASH_OPER_HIGH_EST_CIQ" hidden="1">"c4578"</definedName>
    <definedName name="IQ_CASH_OPER_HIGH_GUIDANCE" hidden="1">"c4185"</definedName>
    <definedName name="IQ_CASH_OPER_LOW_EST" hidden="1">"c26902"</definedName>
    <definedName name="IQ_CASH_OPER_LOW_EST_CIQ" hidden="1">"c4768"</definedName>
    <definedName name="IQ_CASH_OPER_LOW_GUIDANCE" hidden="1">"c4225"</definedName>
    <definedName name="IQ_CASH_OPER_MEDIAN_EST" hidden="1">"c26903"</definedName>
    <definedName name="IQ_CASH_OPER_MEDIAN_EST_CIQ" hidden="1">"c4771"</definedName>
    <definedName name="IQ_CASH_OPER_NAME_AP" hidden="1">"c8926"</definedName>
    <definedName name="IQ_CASH_OPER_NAME_AP_ABS" hidden="1">"c8945"</definedName>
    <definedName name="IQ_CASH_OPER_NUM_EST" hidden="1">"c26904"</definedName>
    <definedName name="IQ_CASH_OPER_NUM_EST_CIQ" hidden="1">"c4772"</definedName>
    <definedName name="IQ_CASH_OPER_STDDEV_EST" hidden="1">"c26905"</definedName>
    <definedName name="IQ_CASH_OPER_STDDEV_EST_CIQ" hidden="1">"c4773"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EST_CIQ" hidden="1">"c4775"</definedName>
    <definedName name="IQ_CASH_ST_INVEST_HIGH_EST" hidden="1">"c4251"</definedName>
    <definedName name="IQ_CASH_ST_INVEST_HIGH_EST_CIQ" hidden="1">"c4777"</definedName>
    <definedName name="IQ_CASH_ST_INVEST_LOW_EST" hidden="1">"c4252"</definedName>
    <definedName name="IQ_CASH_ST_INVEST_LOW_EST_CIQ" hidden="1">"c4778"</definedName>
    <definedName name="IQ_CASH_ST_INVEST_MEDIAN_EST" hidden="1">"c4253"</definedName>
    <definedName name="IQ_CASH_ST_INVEST_MEDIAN_EST_CIQ" hidden="1">"c4779"</definedName>
    <definedName name="IQ_CASH_ST_INVEST_NUM_EST" hidden="1">"c4254"</definedName>
    <definedName name="IQ_CASH_ST_INVEST_NUM_EST_CIQ" hidden="1">"c4780"</definedName>
    <definedName name="IQ_CASH_ST_INVEST_STDDEV_EST" hidden="1">"c4255"</definedName>
    <definedName name="IQ_CASH_ST_INVEST_STDDEV_EST_CIQ" hidden="1">"c4781"</definedName>
    <definedName name="IQ_CASH_STRUCTURED_PRODUCTS_AFS_AMORT_COST_FFIEC" hidden="1">"c20500"</definedName>
    <definedName name="IQ_CASH_STRUCTURED_PRODUCTS_AFS_FAIR_VAL_FFIEC" hidden="1">"c20465"</definedName>
    <definedName name="IQ_CASH_STRUCTURED_PRODUCTS_AVAIL_SALE_FFIEC" hidden="1">"c15263"</definedName>
    <definedName name="IQ_CASH_STRUCTURED_PRODUCTS_FFIEC" hidden="1">"c15260"</definedName>
    <definedName name="IQ_CASH_STRUCTURED_PRODUCTS_HTM_AMORT_COST_FFIEC" hidden="1">"c20448"</definedName>
    <definedName name="IQ_CASH_STRUCTURED_PRODUCTS_HTM_FAIR_VAL_FFIEC" hidden="1">"c20483"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ATASTROPHIC_LOSS_RATIO" hidden="1">"c15881"</definedName>
    <definedName name="IQ_CATASTROPHIC_LOSSES" hidden="1">"c17694"</definedName>
    <definedName name="IQ_CC_RELATED_DUE_90_FFIEC" hidden="1">"c25833"</definedName>
    <definedName name="IQ_CC_RELATED_LOANS_DUE_30_89_FFIEC" hidden="1">"c25832"</definedName>
    <definedName name="IQ_CC_RELATED_NON_ACCRUAL_FFIEC" hidden="1">"c25834"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OUPON" hidden="1">"c15234"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ADJ_EXP_RESERVE_BOP" hidden="1">"c15875"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LOSSES" hidden="1">"c15872"</definedName>
    <definedName name="IQ_CEDED_PC_EARNED" hidden="1">"c2748"</definedName>
    <definedName name="IQ_CEDED_PREMIUMS_EARNED_GROSS_PREMIUMS_EARNED" hidden="1">"c15887"</definedName>
    <definedName name="IQ_CEDED_PREMIUMS_WRITTEN_GROSS_PREMIUMS_WRITTEN" hidden="1">"c15885"</definedName>
    <definedName name="IQ_CEDED_WRITTEN" hidden="1">"c2727"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" hidden="1">"c2217"</definedName>
    <definedName name="IQ_CFPS_ACT_OR_EST_CIQ" hidden="1">"c5061"</definedName>
    <definedName name="IQ_CFPS_EST" hidden="1">"c1667"</definedName>
    <definedName name="IQ_CFPS_EST_CIQ" hidden="1">"c3675"</definedName>
    <definedName name="IQ_CFPS_EST_DOWN_2MONTH" hidden="1">"c16321"</definedName>
    <definedName name="IQ_CFPS_EST_DOWN_2MONTH_CIQ" hidden="1">"c16645"</definedName>
    <definedName name="IQ_CFPS_EST_DOWN_3MONTH" hidden="1">"c16325"</definedName>
    <definedName name="IQ_CFPS_EST_DOWN_3MONTH_CIQ" hidden="1">"c16649"</definedName>
    <definedName name="IQ_CFPS_EST_DOWN_MONTH" hidden="1">"c16317"</definedName>
    <definedName name="IQ_CFPS_EST_DOWN_MONTH_CIQ" hidden="1">"c16641"</definedName>
    <definedName name="IQ_CFPS_EST_NOTE" hidden="1">"c17508"</definedName>
    <definedName name="IQ_CFPS_EST_NOTE_CIQ" hidden="1">"c17461"</definedName>
    <definedName name="IQ_CFPS_EST_NUM_ANALYSTS_2MONTH" hidden="1">"c16319"</definedName>
    <definedName name="IQ_CFPS_EST_NUM_ANALYSTS_2MONTH_CIQ" hidden="1">"c16643"</definedName>
    <definedName name="IQ_CFPS_EST_NUM_ANALYSTS_3MONTH" hidden="1">"c16323"</definedName>
    <definedName name="IQ_CFPS_EST_NUM_ANALYSTS_3MONTH_CIQ" hidden="1">"c16647"</definedName>
    <definedName name="IQ_CFPS_EST_NUM_ANALYSTS_MONTH" hidden="1">"c16315"</definedName>
    <definedName name="IQ_CFPS_EST_NUM_ANALYSTS_MONTH_CIQ" hidden="1">"c16639"</definedName>
    <definedName name="IQ_CFPS_EST_TOTAL_REVISED_2MONTH" hidden="1">"c16322"</definedName>
    <definedName name="IQ_CFPS_EST_TOTAL_REVISED_2MONTH_CIQ" hidden="1">"c16646"</definedName>
    <definedName name="IQ_CFPS_EST_TOTAL_REVISED_3MONTH" hidden="1">"c16326"</definedName>
    <definedName name="IQ_CFPS_EST_TOTAL_REVISED_3MONTH_CIQ" hidden="1">"c16650"</definedName>
    <definedName name="IQ_CFPS_EST_TOTAL_REVISED_MONTH" hidden="1">"c16318"</definedName>
    <definedName name="IQ_CFPS_EST_TOTAL_REVISED_MONTH_CIQ" hidden="1">"c16642"</definedName>
    <definedName name="IQ_CFPS_EST_UP_2MONTH" hidden="1">"c16320"</definedName>
    <definedName name="IQ_CFPS_EST_UP_2MONTH_CIQ" hidden="1">"c16644"</definedName>
    <definedName name="IQ_CFPS_EST_UP_3MONTH" hidden="1">"c16324"</definedName>
    <definedName name="IQ_CFPS_EST_UP_3MONTH_CIQ" hidden="1">"c16648"</definedName>
    <definedName name="IQ_CFPS_EST_UP_MONTH" hidden="1">"c16316"</definedName>
    <definedName name="IQ_CFPS_EST_UP_MONTH_CIQ" hidden="1">"c16640"</definedName>
    <definedName name="IQ_CFPS_GUIDANCE" hidden="1">"c4256"</definedName>
    <definedName name="IQ_CFPS_HIGH_EST" hidden="1">"c1669"</definedName>
    <definedName name="IQ_CFPS_HIGH_EST_CIQ" hidden="1">"c3677"</definedName>
    <definedName name="IQ_CFPS_HIGH_GUIDANCE" hidden="1">"c4167"</definedName>
    <definedName name="IQ_CFPS_LOW_EST" hidden="1">"c1670"</definedName>
    <definedName name="IQ_CFPS_LOW_EST_CIQ" hidden="1">"c3678"</definedName>
    <definedName name="IQ_CFPS_LOW_GUIDANCE" hidden="1">"c4207"</definedName>
    <definedName name="IQ_CFPS_MEDIAN_EST" hidden="1">"c1668"</definedName>
    <definedName name="IQ_CFPS_MEDIAN_EST_CIQ" hidden="1">"c3676"</definedName>
    <definedName name="IQ_CFPS_NUM_EST" hidden="1">"c1671"</definedName>
    <definedName name="IQ_CFPS_NUM_EST_CIQ" hidden="1">"c3679"</definedName>
    <definedName name="IQ_CFPS_STDDEV_EST" hidden="1">"c1672"</definedName>
    <definedName name="IQ_CFPS_STDDEV_EST_CIQ" hidden="1">"c3680"</definedName>
    <definedName name="IQ_CH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CM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CM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CM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CM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UNRECOG_TAX_BENEFIT_1_YR_MAX" hidden="1">"c15747"</definedName>
    <definedName name="IQ_CHANGE_UNRECOG_TAX_BENEFIT_1_YR_MIN" hidden="1">"c15746"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GVA_THRIFT" hidden="1">"c25096"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SVA_THRIFT" hidden="1">"c25103"</definedName>
    <definedName name="IQ_CHARGE_OFFS_TOTAL_AVG_LOANS" hidden="1">"c165"</definedName>
    <definedName name="IQ_CHARGE_OFFS_TVA_THRIFT" hidden="1">"c25110"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HURN_BASIC_CABLE" hidden="1">"c2871"</definedName>
    <definedName name="IQ_CHURN_BBAND" hidden="1">"c2872"</definedName>
    <definedName name="IQ_CHURN_DIG_CABLE" hidden="1">"c2870"</definedName>
    <definedName name="IQ_CHURN_PHONE" hidden="1">"c2873"</definedName>
    <definedName name="IQ_CHURN_POSTPAID_WIRELESS" hidden="1">"c2121"</definedName>
    <definedName name="IQ_CHURN_PREPAID_WIRELESS" hidden="1">"c2120"</definedName>
    <definedName name="IQ_CHURN_SATELLITE" hidden="1">"c15791"</definedName>
    <definedName name="IQ_CHURN_TOTAL" hidden="1">"c2874"</definedName>
    <definedName name="IQ_CHURN_TOTAL_WIRELESS" hidden="1">"c2122"</definedName>
    <definedName name="IQ_CIK" hidden="1">"c20384"</definedName>
    <definedName name="IQ_CIP" hidden="1">"c17551"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IMS_DOMESTIC_DEPOSITORY_INSTITUTIONS_ELIGIBLE_20_PCT_RISK_WEIGHT_THRIFT" hidden="1">"c25060"</definedName>
    <definedName name="IQ_CLAIMS_FHLBS_ELIGIBLE_20_PCT_RISK_WEIGHT_THRIFT" hidden="1">"c25058"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D_END_1_4_FAM_LOANS_TOT_LOANS_FFIEC" hidden="1">"c13866"</definedName>
    <definedName name="IQ_CLOSED_END_1_4_FAMILY_LOANS_TOTAL_LOANS_THRIFT" hidden="1">"c25742"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LOANS_GROSS_LOANS_THRIFT" hidden="1">"c25724"</definedName>
    <definedName name="IQ_CLOSED_END_LOANS_RISK_BASED_CAPITAL_THRIFT" hidden="1">"c25709"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D_PURCHASED_COMM_NON_MORTGAGE_LOANS_THRIFT" hidden="1">"c25339"</definedName>
    <definedName name="IQ_CLOSED_PURCHASED_CONSUMER_NON_MORTGAGE_LOANS_THRIFT" hidden="1">"c25341"</definedName>
    <definedName name="IQ_CLOSEPRICE" hidden="1">"c174"</definedName>
    <definedName name="IQ_CLOSEPRICE_ADJ" hidden="1">"c2115"</definedName>
    <definedName name="IQ_CMBS_ISSUED_AFS_AMORT_COST_FFIEC" hidden="1">"c20497"</definedName>
    <definedName name="IQ_CMBS_ISSUED_AFS_FAIR_VAL_FFIEC" hidden="1">"c20462"</definedName>
    <definedName name="IQ_CMBS_ISSUED_AVAIL_SALE_FFIEC" hidden="1">"c12800"</definedName>
    <definedName name="IQ_CMBS_ISSUED_FFIEC" hidden="1">"c12786"</definedName>
    <definedName name="IQ_CMBS_ISSUED_HTM_AMORT_COST_FFIEC" hidden="1">"c20445"</definedName>
    <definedName name="IQ_CMBS_ISSUED_HTM_FAIR_VAL_FFIEC" hidden="1">"c20480"</definedName>
    <definedName name="IQ_CMO_FDIC" hidden="1">"c6406"</definedName>
    <definedName name="IQ_CMO_THRIFT" hidden="1">"c24903"</definedName>
    <definedName name="IQ_CO_INVESTORS" hidden="1">"c18910"</definedName>
    <definedName name="IQ_CO_INVESTORS_ID" hidden="1">"c18911"</definedName>
    <definedName name="IQ_CO_INVESTORS_INVESTMENT" hidden="1">"c19113"</definedName>
    <definedName name="IQ_CO_INVESTORS_NUM_INVESTMENTS" hidden="1">"c19170"</definedName>
    <definedName name="IQ_COAL_SALES_TO_OPERATING_REVENUE_COAL" hidden="1">"c15954"</definedName>
    <definedName name="IQ_COGS" hidden="1">"c175"</definedName>
    <definedName name="IQ_COLLATERAL_TYPE" hidden="1">"c8954"</definedName>
    <definedName name="IQ_COLLATERALIZED_MBS_ISSUED_GUARANTEED_FNMA_FHLMC_GNMA_THRIFT" hidden="1">"c24834"</definedName>
    <definedName name="IQ_COLLECTION_DOMESTIC_FDIC" hidden="1">"c6387"</definedName>
    <definedName name="IQ_COLLECTIVE_INV_FUNDS_COMMON_TRUST_FUNDS_DOMESTIC_EQUITY_MARKET_VALUE_FUNDED_ASSETS_THRIFT" hidden="1">"c25445"</definedName>
    <definedName name="IQ_COLLECTIVE_INV_FUNDS_COMMON_TRUST_FUNDS_DOMESTIC_EQUITY_NUMBER_FUNDS_THRIFT" hidden="1">"c25446"</definedName>
    <definedName name="IQ_COLLECTIVE_INV_FUNDS_COMMON_TRUST_FUNDS_INTERNATIONALGLOBAL_EQUITY_MARKET_VALUE_FUNDED_ASSETS_THRIFT" hidden="1">"c25447"</definedName>
    <definedName name="IQ_COLLECTIVE_INV_FUNDS_COMMON_TRUST_FUNDS_INTERNATIONALGLOBAL_EQUITY_NUMBER_FUNDS_THRIFT" hidden="1">"c25448"</definedName>
    <definedName name="IQ_COLLECTIVE_INV_FUNDS_COMMON_TRUST_FUNDS_MUNICIPAL_BOND_MARKET_VALUE_FUNDED_ASSETS_THRIFT" hidden="1">"c25453"</definedName>
    <definedName name="IQ_COLLECTIVE_INV_FUNDS_COMMON_TRUST_FUNDS_MUNICIPAL_BOND_NUMBER_FUNDS_THRIFT" hidden="1">"c25454"</definedName>
    <definedName name="IQ_COLLECTIVE_INV_FUNDS_COMMON_TRUST_FUNDS_SHORT_TERM_INVESTMENTSMONEY_MARKET_MARKET_VALUE_FUNDED_ASSETS_THRIFT" hidden="1">"c25455"</definedName>
    <definedName name="IQ_COLLECTIVE_INV_FUNDS_COMMON_TRUST_FUNDS_SHORT_TERM_INVESTMENTSMONEY_MARKET_NUMBER_FUNDS_THRIFT" hidden="1">"c25456"</definedName>
    <definedName name="IQ_COLLECTIVE_INV_FUNDS_COMMON_TRUST_FUNDS_SPECIALTYOTHER_MARKET_VALUE_FUNDED_ASSETS_THRIFT" hidden="1">"c25457"</definedName>
    <definedName name="IQ_COLLECTIVE_INV_FUNDS_COMMON_TRUST_FUNDS_SPECIALTYOTHER_NUMBER_FUNDS_THRIFT" hidden="1">"c25458"</definedName>
    <definedName name="IQ_COLLECTIVE_INV_FUNDS_COMMON_TRUST_FUNDS_STOCKBOND_BLEND_MARKET_VALUE_FUNDED_ASSETS_THRIFT" hidden="1">"c25449"</definedName>
    <definedName name="IQ_COLLECTIVE_INV_FUNDS_COMMON_TRUST_FUNDS_STOCKBOND_BLEND_NUMBER_FUNDS_THRIFT" hidden="1">"c25450"</definedName>
    <definedName name="IQ_COLLECTIVE_INV_FUNDS_COMMON_TRUST_FUNDS_TAXABLE_BOND_MARKET_VALUE_FUNDED_ASSETS_THRIFT" hidden="1">"c25451"</definedName>
    <definedName name="IQ_COLLECTIVE_INV_FUNDS_COMMON_TRUST_FUNDS_TAXABLE_BOND_NUMBER_FUNDS_THRIFT" hidden="1">"c25452"</definedName>
    <definedName name="IQ_COLLECTIVE_INV_FUNDS_COMMON_TRUST_FUNDS_TOTAL_COLLECTIVE_INV_FUNDS_MARKET_VALUE_FUNDED_ASSETS_THRIFT" hidden="1">"c25459"</definedName>
    <definedName name="IQ_COLLECTIVE_INV_FUNDS_COMMON_TRUST_FUNDS_TOTAL_COLLECTIVE_INV_FUNDS_NUMBER_FUNDS_THRIFT" hidden="1">"c25460"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_IND_LOANS_TOT_LOANS_FFIEC" hidden="1">"c13874"</definedName>
    <definedName name="IQ_COMM_INDUSTRIAL_LL_REC_FFIEC" hidden="1">"c18880"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LETTERS_CREDIT_THRIFT" hidden="1">"c25613"</definedName>
    <definedName name="IQ_COMM_LOANS_GROSS_LOANS_THRIFT" hidden="1">"c25732"</definedName>
    <definedName name="IQ_COMM_LOANS_NON_MORTGAGE_ADJUSTED_NCOS_TOTAL_THRIFT" hidden="1">"c25210"</definedName>
    <definedName name="IQ_COMM_LOANS_NON_MORTGAGE_GVA_CHARGE_OFFS_THRIFT" hidden="1">"c25125"</definedName>
    <definedName name="IQ_COMM_LOANS_NON_MORTGAGE_GVA_RECOVERIES_THRIFT" hidden="1">"c25156"</definedName>
    <definedName name="IQ_COMM_LOANS_NON_MORTGAGE_SVA_PROVISIONS_TRANSFERS_FROM_GVA_TOTAL_THRIFT" hidden="1">"c25179"</definedName>
    <definedName name="IQ_COMM_LOANS_RISK_BASED_CAPITAL_THRIFT" hidden="1">"c25717"</definedName>
    <definedName name="IQ_COMM_LOANS_THRIFT" hidden="1">"c24853"</definedName>
    <definedName name="IQ_COMM_LOANS_TOTAL_LOANS_THRIFT" hidden="1">"c25749"</definedName>
    <definedName name="IQ_COMM_NON_MORTGAGE_LOANS_DUE_30_89_THRIFT" hidden="1">"c25247"</definedName>
    <definedName name="IQ_COMM_NON_MORTGAGE_LOANS_DUE_90_THRIFT" hidden="1">"c25268"</definedName>
    <definedName name="IQ_COMM_NON_MORTGAGE_LOANS_NON_ACCRUAL_THRIFT" hidden="1">"c25289"</definedName>
    <definedName name="IQ_COMM_RE_FARM_LOANS_TOT_LOANS_FFIEC" hidden="1">"c13872"</definedName>
    <definedName name="IQ_COMM_RE_FARM_LOANS_TOTAL_LOANS_THRIFT" hidden="1">"c25743"</definedName>
    <definedName name="IQ_COMM_RE_LOANS_GROSS_LOANS_THRIFT" hidden="1">"c25725"</definedName>
    <definedName name="IQ_COMM_RE_LOANS_RISK_BASED_CAPITAL_THRIFT" hidden="1">"c25710"</definedName>
    <definedName name="IQ_COMM_RE_NONFARM_NONRES_TOT_LOANS_FFIEC" hidden="1">"c13871"</definedName>
    <definedName name="IQ_COMM_RE_NONFARM_NONRESIDENTIAL_TOTAL_LOANS_THRIFT" hidden="1">"c25746"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_UNUSED_FFIEC" hidden="1">"c25859"</definedName>
    <definedName name="IQ_COMMERCIAL_INDUSTRIAL_CHARGE_OFFS_FDIC" hidden="1">"c6598"</definedName>
    <definedName name="IQ_COMMERCIAL_INDUSTRIAL_DOM_QUARTERLY_AVG_FFIEC" hidden="1">"c15478"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INDUSTRIAL_US_RECOV_FFIEC" hidden="1">"c13200"</definedName>
    <definedName name="IQ_COMMERCIAL_INVEST_CABLE_INVEST" hidden="1">"c15806"</definedName>
    <definedName name="IQ_COMMERCIAL_LOANS_TOTAL_LOANS" hidden="1">"c15709"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LOANS_TOTAL_LOANS" hidden="1">"c15710"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CM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CM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CM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DIVIDENDS_DECLARED_SAVINGS_ASSOCIATION_THRIFT" hidden="1">"c25011"</definedName>
    <definedName name="IQ_COMMON_STOCK_FFIEC" hidden="1">"c12876"</definedName>
    <definedName name="IQ_COMMON_STOCK_THRIFT" hidden="1">"c24917"</definedName>
    <definedName name="IQ_COMMON_TRUST_FUNDS_COLLECTIVE_INV_FUNDS_ALL_OTHER_ACCOUNTS_THRIFT" hidden="1">"c25430"</definedName>
    <definedName name="IQ_COMMON_TRUST_FUNDS_COLLECTIVE_INV_FUNDS_EMPLOYEE_BENEFIT_RETIREMENT_RELATED_ACCOUNTS_THRIFT" hidden="1">"c25414"</definedName>
    <definedName name="IQ_COMMON_TRUST_FUNDS_COLLECTIVE_INV_FUNDS_PERSONAL_TRUST_AGENCY_INV_MANAGEMENT_ACCOUNTS_THRIFT" hidden="1">"c25398"</definedName>
    <definedName name="IQ_COMP_BENEFITS" hidden="1">"c213"</definedName>
    <definedName name="IQ_COMPANY_ADDRESS" hidden="1">"c214"</definedName>
    <definedName name="IQ_COMPANY_ID" hidden="1">"c3513"</definedName>
    <definedName name="IQ_COMPANY_ID_QUICK_MATCH" hidden="1">"c16227"</definedName>
    <definedName name="IQ_COMPANY_MAIN_FAX" hidden="1">"c18016"</definedName>
    <definedName name="IQ_COMPANY_NAME" hidden="1">"c215"</definedName>
    <definedName name="IQ_COMPANY_NAME_LONG" hidden="1">"c1585"</definedName>
    <definedName name="IQ_COMPANY_NAME_QUICK_MATCH" hidden="1">"c16228"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OLIDATED_NI_FOREIGN_FFIEC" hidden="1">"c15396"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ITUENTS" hidden="1">"c19169"</definedName>
    <definedName name="IQ_CONSTITUENTS_NAME" hidden="1">"c19192"</definedName>
    <definedName name="IQ_CONSTRUCTION_1_4_DWELLING_UNITS_THRIFT" hidden="1">"c24839"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LOANS_TOTAL_LOANS_THRIFT" hidden="1">"c25744"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LOANS_GROSS_LOANS_THRIFT" hidden="1">"c25726"</definedName>
    <definedName name="IQ_CONSTRUCTION_LOANS_IN_PROCESS_FORECLOSURE_THRIFT" hidden="1">"c25303"</definedName>
    <definedName name="IQ_CONSTRUCTION_LOANS_RISK_BASED_CAPITAL_THRIFT" hidden="1">"c25711"</definedName>
    <definedName name="IQ_CONSTRUCTION_LOANS_TOTAL_LOANS" hidden="1">"c15711"</definedName>
    <definedName name="IQ_CONSTRUCTION_MORTGAGE_LOANS_30_89_DAYS_PAST_DUE_STILL_ACCRUING_THRIFT" hidden="1">"c25240"</definedName>
    <definedName name="IQ_CONSTRUCTION_MORTGAGE_LOANS_DUE_90_THRIFT" hidden="1">"c25261"</definedName>
    <definedName name="IQ_CONSTRUCTION_MORTGAGE_LOANS_FORECLOSED_DURING_QUARTER_THRIFT" hidden="1">"c25231"</definedName>
    <definedName name="IQ_CONSTRUCTION_MORTGAGE_LOANS_NON_ACCRUAL_THRIFT" hidden="1">"c25282"</definedName>
    <definedName name="IQ_CONSTRUCTION_MORTGAGE_LOANS_THRIFT" hidden="1">"c24838"</definedName>
    <definedName name="IQ_CONSTRUCTION_MULTIFAMILY_DWELLING_UNITS_THRIFT" hidden="1">"c24840"</definedName>
    <definedName name="IQ_CONSTRUCTION_NONRES_PROPERTY_THRIFT" hidden="1">"c24841"</definedName>
    <definedName name="IQ_CONSTRUCTION_RISK_BASED_FFIEC" hidden="1">"c13422"</definedName>
    <definedName name="IQ_CONSULTING_FFIEC" hidden="1">"c13055"</definedName>
    <definedName name="IQ_CONSUMER_AUTO_LOANS_DUE_90_THRIFT" hidden="1">"c25272"</definedName>
    <definedName name="IQ_CONSUMER_AUTO_LOANS_NON_MORTGAGE_ADJUSTED_NCOS_TOTAL_THRIFT" hidden="1">"c25214"</definedName>
    <definedName name="IQ_CONSUMER_AUTO_LOANS_NON_MORTGAGE_GVA_CHARGE_OFFS_THRIFT" hidden="1">"c25129"</definedName>
    <definedName name="IQ_CONSUMER_AUTO_LOANS_NON_MORTGAGE_GVA_RECOVERIES_THRIFT" hidden="1">"c25160"</definedName>
    <definedName name="IQ_CONSUMER_AUTO_LOANS_NON_MORTGAGE_LOANS_DUE_30_89_THRIFT" hidden="1">"c25251"</definedName>
    <definedName name="IQ_CONSUMER_AUTO_LOANS_NON_MORTGAGE_LOANS_NON_ACCRUAL_THRIFT" hidden="1">"c25293"</definedName>
    <definedName name="IQ_CONSUMER_AUTO_LOANS_NON_MORTGAGE_SVA_PROVISIONS_TRANSFERS_FROM_GVA_TOTAL_THRIFT" hidden="1">"c25183"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CREDIT_CARD_LINES_UNUSED_FFIEC" hidden="1">"c25862"</definedName>
    <definedName name="IQ_CONSUMER_CREDIT_CARDS_NON_MORTGAGE_ADJUSTED_NCOS_TOTAL_THRIFT" hidden="1">"c25216"</definedName>
    <definedName name="IQ_CONSUMER_CREDIT_CARDS_NON_MORTGAGE_GVA_CHARGE_OFFS_THRIFT" hidden="1">"c25131"</definedName>
    <definedName name="IQ_CONSUMER_CREDIT_CARDS_NON_MORTGAGE_GVA_RECOVERIES_THRIFT" hidden="1">"c25162"</definedName>
    <definedName name="IQ_CONSUMER_CREDIT_CARDS_NON_MORTGAGE_LOANS_DUE_30_89_THRIFT" hidden="1">"c25253"</definedName>
    <definedName name="IQ_CONSUMER_CREDIT_CARDS_NON_MORTGAGE_LOANS_DUE_90_THRIFT" hidden="1">"c25274"</definedName>
    <definedName name="IQ_CONSUMER_CREDIT_CARDS_NON_MORTGAGE_LOANS_NON_ACCRUAL_THRIFT" hidden="1">"c25295"</definedName>
    <definedName name="IQ_CONSUMER_CREDIT_CARDS_NON_MORTGAGE_SVA_PROVISIONS_TRANSFERS_FROM_GVA_TOTAL_THRIFT" hidden="1">"c25185"</definedName>
    <definedName name="IQ_CONSUMER_EDUCATION_LOANS_NON_MORTGAGE_ADJUSTED_NCOS_TOTAL_THRIFT" hidden="1">"c25213"</definedName>
    <definedName name="IQ_CONSUMER_EDUCATION_LOANS_NON_MORTGAGE_GVA_CHARGE_OFFS_THRIFT" hidden="1">"c25128"</definedName>
    <definedName name="IQ_CONSUMER_EDUCATION_LOANS_NON_MORTGAGE_GVA_RECOVERIES_THRIFT" hidden="1">"c25159"</definedName>
    <definedName name="IQ_CONSUMER_EDUCATION_LOANS_NON_MORTGAGE_SVA_PROVISIONS_TRANSFERS_FROM_GVA_TOTAL_THRIFT" hidden="1">"c25182"</definedName>
    <definedName name="IQ_CONSUMER_EDUCATION_NON_MORTGAGE_LOANS_DUE_30_89_THRIFT" hidden="1">"c25250"</definedName>
    <definedName name="IQ_CONSUMER_EDUCATION_NON_MORTGAGE_LOANS_DUE_90_THRIFT" hidden="1">"c25271"</definedName>
    <definedName name="IQ_CONSUMER_EDUCATION_NON_MORTGAGE_LOANS_NON_ACCRUAL_THRIFT" hidden="1">"c25292"</definedName>
    <definedName name="IQ_CONSUMER_HOME_IMPROVEMENT_LOANS_NON_MORTGAGE_ADJUSTED_NCOS_TOTAL_THRIFT" hidden="1">"c25212"</definedName>
    <definedName name="IQ_CONSUMER_HOME_IMPROVEMENT_LOANS_NON_MORTGAGE_GVA_CHARGE_OFFS_THRIFT" hidden="1">"c25127"</definedName>
    <definedName name="IQ_CONSUMER_HOME_IMPROVEMENT_LOANS_NON_MORTGAGE_GVA_RECOVERIES_THRIFT" hidden="1">"c25158"</definedName>
    <definedName name="IQ_CONSUMER_HOME_IMPROVEMENT_LOANS_NON_MORTGAGE_SVA_PROVISIONS_TRANSFERS_FROM_GVA_TOTAL_THRIFT" hidden="1">"c25181"</definedName>
    <definedName name="IQ_CONSUMER_HOME_IMPROVEMENT_NON_MORTGAGE_LOANS_DUE_30_89_THRIFT" hidden="1">"c25249"</definedName>
    <definedName name="IQ_CONSUMER_HOME_IMPROVEMENT_NON_MORTGAGE_LOANS_DUE_90_THRIFT" hidden="1">"c25270"</definedName>
    <definedName name="IQ_CONSUMER_HOME_IMPROVEMENT_NON_MORTGAGE_LOANS_NON_ACCRUAL_THRIFT" hidden="1">"c25291"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L_REC_FFIEC" hidden="1">"c25869"</definedName>
    <definedName name="IQ_CONSUMER_LOANS" hidden="1">"c223"</definedName>
    <definedName name="IQ_CONSUMER_LOANS_CHARGE_OFFS_FFIEC" hidden="1">"c25838"</definedName>
    <definedName name="IQ_CONSUMER_LOANS_DEPOSITS_NON_MORTGAGE_ADJUSTED_NCOS_TOTAL_THRIFT" hidden="1">"c25211"</definedName>
    <definedName name="IQ_CONSUMER_LOANS_DEPOSITS_NON_MORTGAGE_GVA_CHARGE_OFFS_THRIFT" hidden="1">"c25126"</definedName>
    <definedName name="IQ_CONSUMER_LOANS_DEPOSITS_NON_MORTGAGE_GVA_RECOVERIES_THRIFT" hidden="1">"c25157"</definedName>
    <definedName name="IQ_CONSUMER_LOANS_DEPOSITS_NON_MORTGAGE_LOANS_DUE_30_89_THRIFT" hidden="1">"c25248"</definedName>
    <definedName name="IQ_CONSUMER_LOANS_DEPOSITS_NON_MORTGAGE_LOANS_DUE_90_THRIFT" hidden="1">"c25269"</definedName>
    <definedName name="IQ_CONSUMER_LOANS_DEPOSITS_NON_MORTGAGE_LOANS_NON_ACCRUAL_THRIFT" hidden="1">"c25290"</definedName>
    <definedName name="IQ_CONSUMER_LOANS_DEPOSITS_NON_MORTGAGE_SVA_PROVISIONS_TRANSFERS_FROM_GVA_TOTAL_THRIFT" hidden="1">"c25180"</definedName>
    <definedName name="IQ_CONSUMER_LOANS_DEPOSITS_THRIFT" hidden="1">"c24859"</definedName>
    <definedName name="IQ_CONSUMER_LOANS_DUE_30_89_FFIEC" hidden="1">"c25829"</definedName>
    <definedName name="IQ_CONSUMER_LOANS_DUE_90_FFIEC" hidden="1">"c25830"</definedName>
    <definedName name="IQ_CONSUMER_LOANS_LL_REC_DOM_FFIEC" hidden="1">"c12911"</definedName>
    <definedName name="IQ_CONSUMER_LOANS_NON_ACCRUAL_FFIEC" hidden="1">"c25831"</definedName>
    <definedName name="IQ_CONSUMER_LOANS_RECOV_FFIEC" hidden="1">"c25839"</definedName>
    <definedName name="IQ_CONSUMER_LOANS_THRIFT" hidden="1">"c24858"</definedName>
    <definedName name="IQ_CONSUMER_LOANS_TOT_LOANS_FFIEC" hidden="1">"c13875"</definedName>
    <definedName name="IQ_CONSUMER_LOANS_TOTAL_LOANS" hidden="1">"c15712"</definedName>
    <definedName name="IQ_CONSUMER_LOANS_TOTAL_LOANS_THRIFT" hidden="1">"c25750"</definedName>
    <definedName name="IQ_CONSUMER_MOBILE_HOME_LOANS_NON_MORTGAGE_ADJUSTED_NCOS_TOTAL_THRIFT" hidden="1">"c25215"</definedName>
    <definedName name="IQ_CONSUMER_MOBILE_HOME_LOANS_NON_MORTGAGE_GVA_CHARGE_OFFS_THRIFT" hidden="1">"c25130"</definedName>
    <definedName name="IQ_CONSUMER_MOBILE_HOME_LOANS_NON_MORTGAGE_GVA_RECOVERIES_THRIFT" hidden="1">"c25161"</definedName>
    <definedName name="IQ_CONSUMER_MOBILE_HOME_LOANS_NON_MORTGAGE_LOANS_DUE_30_89_THRIFT" hidden="1">"c25252"</definedName>
    <definedName name="IQ_CONSUMER_MOBILE_HOME_LOANS_NON_MORTGAGE_LOANS_DUE_90_THRIFT" hidden="1">"c25273"</definedName>
    <definedName name="IQ_CONSUMER_MOBILE_HOME_LOANS_NON_MORTGAGE_LOANS_NON_ACCRUAL_THRIFT" hidden="1">"c25294"</definedName>
    <definedName name="IQ_CONSUMER_MOBILE_HOME_LOANS_NON_MORTGAGE_SVA_PROVISIONS_TRANSFERS_FROM_GVA_TOTAL_THRIFT" hidden="1">"c25184"</definedName>
    <definedName name="IQ_CONSUMER_OTHER_NON_MORTGAGE_ADJUSTED_NCOS_TOTAL_THRIFT" hidden="1">"c25217"</definedName>
    <definedName name="IQ_CONSUMER_OTHER_NON_MORTGAGE_GVA_RECOVERIES_THRIFT" hidden="1">"c25163"</definedName>
    <definedName name="IQ_CONSUMER_OTHER_NON_MORTGAGE_LOANS_DUE_30_89_THRIFT" hidden="1">"c25254"</definedName>
    <definedName name="IQ_CONSUMER_OTHER_NON_MORTGAGE_LOANS_DUE_90_THRIFT" hidden="1">"c25275"</definedName>
    <definedName name="IQ_CONSUMER_OTHER_NON_MORTGAGE_LOANS_GVA_CHARGE_OFFS_THRIFT" hidden="1">"c25132"</definedName>
    <definedName name="IQ_CONSUMER_OTHER_NON_MORTGAGE_LOANS_NON_ACCRUAL_THRIFT" hidden="1">"c25296"</definedName>
    <definedName name="IQ_CONSUMER_OTHER_NON_MORTGAGE_SVA_PROVISIONS_TRANSFERS_FROM_GVA_TOTAL_THRIFT" hidden="1">"c25186"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INGENT_ASSETS_THRIFT" hidden="1">"c25622"</definedName>
    <definedName name="IQ_CONTINGENT_LIABILITIES" hidden="1">"c18873"</definedName>
    <definedName name="IQ_CONTINGENT_RENTAL" hidden="1">"c17746"</definedName>
    <definedName name="IQ_CONTRACT_OBLIGATION_AFTER_FIVE" hidden="1">"c15691"</definedName>
    <definedName name="IQ_CONTRACT_OBLIGATION_CY" hidden="1">"c15685"</definedName>
    <definedName name="IQ_CONTRACT_OBLIGATION_CY1" hidden="1">"c15686"</definedName>
    <definedName name="IQ_CONTRACT_OBLIGATION_CY2" hidden="1">"c15687"</definedName>
    <definedName name="IQ_CONTRACT_OBLIGATION_CY3" hidden="1">"c15688"</definedName>
    <definedName name="IQ_CONTRACT_OBLIGATION_CY4" hidden="1">"c15689"</definedName>
    <definedName name="IQ_CONTRACT_OBLIGATION_NEXT_FIVE" hidden="1">"c15690"</definedName>
    <definedName name="IQ_CONTRACT_OBLIGATION_TOTAL" hidden="1">"c15692"</definedName>
    <definedName name="IQ_CONTRACTS_OTHER_COMMODITIES_EQUITIES_FDIC" hidden="1">"c6522"</definedName>
    <definedName name="IQ_CONTRACTS_OTHER_COMMODITIES_EQUITIES._FDIC" hidden="1">"c6522"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ARITY" hidden="1">"c16197"</definedName>
    <definedName name="IQ_CONV_PREMIUM" hidden="1">"c2195"</definedName>
    <definedName name="IQ_CONV_PRICE" hidden="1">"c2193"</definedName>
    <definedName name="IQ_CONV_PRICE_ISSUE" hidden="1">"c16195"</definedName>
    <definedName name="IQ_CONV_PRICE_PREM_ISSUE" hidden="1">"c16196"</definedName>
    <definedName name="IQ_CONV_PRICE_PREMIUM" hidden="1">"c16198"</definedName>
    <definedName name="IQ_CONV_PT_PREMIUM" hidden="1">"c16199"</definedName>
    <definedName name="IQ_CONV_PT_PREMIUM_PCT" hidden="1">"c16200"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DEPOSITS_ASSETS_TOT_FFIEC" hidden="1">"c13442"</definedName>
    <definedName name="IQ_CORE_DEPOSITS_FFIEC" hidden="1">"c13862"</definedName>
    <definedName name="IQ_CORE_DEPOSITS_THRIFT" hidden="1">"c25089"</definedName>
    <definedName name="IQ_CORE_DEPOSITS_TOT_DEPOSITS_FFIEC" hidden="1">"c13911"</definedName>
    <definedName name="IQ_CORE_DEPOSITS_TOTAL_ASSETS_THRIFT" hidden="1">"c25699"</definedName>
    <definedName name="IQ_CORE_DEPOSITS_TOTAL_DEPOSITS_THRIFT" hidden="1">"c25782"</definedName>
    <definedName name="IQ_CORE_TIER_ONE_CAPITAL" hidden="1">"c15244"</definedName>
    <definedName name="IQ_CORE_TIER_ONE_CAPITAL_RATIO" hidden="1">"c15240"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" hidden="1">"c20636"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FTER_TAXES" hidden="1">"c20637"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TAXES" hidden="1">"c20638"</definedName>
    <definedName name="IQ_CORP_PROFITS_YOY" hidden="1">"c7283"</definedName>
    <definedName name="IQ_CORP_PROFITS_YOY_FC" hidden="1">"c8163"</definedName>
    <definedName name="IQ_CORPORATE_MUNICIPAL_TRUSTEESHIPS_NUMBER_ISSUES_THRIFT" hidden="1">"c25441"</definedName>
    <definedName name="IQ_CORPORATE_MUNICIPAL_TRUSTEESHIPS_PRINCIPAL_AMT_OUTSTANDING_THRIFT" hidden="1">"c25440"</definedName>
    <definedName name="IQ_CORPORATE_OVER_TOTAL" hidden="1">"c24733"</definedName>
    <definedName name="IQ_CORPORATE_TRUST_AGENCY_ACCOUNTS_INC_THRIFT" hidden="1">"c24805"</definedName>
    <definedName name="IQ_CORPORATE_TRUST_AGENCY_ACCOUNTS_MANAGED_ASSETS_THRIFT" hidden="1">"c25352"</definedName>
    <definedName name="IQ_CORPORATE_TRUST_AGENCY_ACCOUNTS_NONMANAGED_ASSETS_THRIFT" hidden="1">"c25373"</definedName>
    <definedName name="IQ_CORPORATE_TRUST_AGENCY_ACCOUNTS_NUMBER_MANAGED_ACCOUNTS_THRIFT" hidden="1">"c25363"</definedName>
    <definedName name="IQ_CORPORATE_TRUST_AGENCY_ACCOUNTS_NUMBER_NONMANAGED_ACCOUNTS_THRIFT" hidden="1">"c25385"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ED_FUNDS_PURCHASED_THRIFT" hidden="1">"c25681"</definedName>
    <definedName name="IQ_COST_FOREIGN_DEPOSITS_FFIEC" hidden="1">"c13490"</definedName>
    <definedName name="IQ_COST_FUNDS" hidden="1">"c15726"</definedName>
    <definedName name="IQ_COST_FUNDS_PURCHASED_FFIEC" hidden="1">"c13491"</definedName>
    <definedName name="IQ_COST_INT_BEARING_DEPOSITS_THRIFT" hidden="1">"c25680"</definedName>
    <definedName name="IQ_COST_INT_DEPOSITS_FFIEC" hidden="1">"c13489"</definedName>
    <definedName name="IQ_COST_OF_FUNDING_ASSETS_FDIC" hidden="1">"c6725"</definedName>
    <definedName name="IQ_COST_OTHER_BORROWED_FUNDS_THRIFT" hidden="1">"c25682"</definedName>
    <definedName name="IQ_COST_REV" hidden="1">"c226"</definedName>
    <definedName name="IQ_COST_REVENUE" hidden="1">"c1359"</definedName>
    <definedName name="IQ_COST_SALES_COAL" hidden="1">"c15933"</definedName>
    <definedName name="IQ_COST_SALES_PER_UNIT_SOLD_COAL" hidden="1">"c15944"</definedName>
    <definedName name="IQ_COST_SALES_TO_SALES_COAL" hidden="1">"c15951"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AGE_RATIO" hidden="1">"c15243"</definedName>
    <definedName name="IQ_COVERED_POPS" hidden="1">"c2124"</definedName>
    <definedName name="IQ_COVERED_WIRELESS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PI_YOY_PCT" hidden="1">"c20639"</definedName>
    <definedName name="IQ_CPI_YOY_PCT_FC" hidden="1">"c20640"</definedName>
    <definedName name="IQ_CQ">5000</definedName>
    <definedName name="IQ_CREDIT_CARD_CHARGE_OFFS_FDIC" hidden="1">"c6652"</definedName>
    <definedName name="IQ_CREDIT_CARD_CHARGE_OFFS_RELATED_ACCRUED_INTEREST_THRIFT" hidden="1">"c25228"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OM_QUARTERLY_AVG_FFIEC" hidden="1">"c15480"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GROSS_LOANS_THRIFT" hidden="1">"c25734"</definedName>
    <definedName name="IQ_CREDIT_CARD_LOANS_NON_ACCRUAL_FFIEC" hidden="1">"c13324"</definedName>
    <definedName name="IQ_CREDIT_CARD_LOANS_OUTSTANDING_BUS_NON_MORTGAGE_COMM_LOANS_THRIFT" hidden="1">"c24856"</definedName>
    <definedName name="IQ_CREDIT_CARD_LOANS_RECOV_FFIEC" hidden="1">"c13202"</definedName>
    <definedName name="IQ_CREDIT_CARD_LOANS_RELATED_CHARGE_OFFS_FFIEC" hidden="1">"c25840"</definedName>
    <definedName name="IQ_CREDIT_CARD_LOANS_RELATED_RECOV_FFIEC" hidden="1">"c25841"</definedName>
    <definedName name="IQ_CREDIT_CARD_LOANS_RISK_BASED_CAPITAL_THRIFT" hidden="1">"c25719"</definedName>
    <definedName name="IQ_CREDIT_CARD_NET_CHARGE_OFFS_FDIC" hidden="1">"c6654"</definedName>
    <definedName name="IQ_CREDIT_CARD_RECOVERIES_FDIC" hidden="1">"c6653"</definedName>
    <definedName name="IQ_CREDIT_CARD_RELATED_LL_REC_FFIEC" hidden="1">"c25870"</definedName>
    <definedName name="IQ_CREDIT_CARD_RISK_BASED_FFIEC" hidden="1">"c13433"</definedName>
    <definedName name="IQ_CREDIT_CARDS_CONSUMER_LOANS_FFIEC" hidden="1">"c12822"</definedName>
    <definedName name="IQ_CREDIT_CARDS_CONSUMER_OPEN_END_LINES_CREDIT_THRIFT" hidden="1">"c25609"</definedName>
    <definedName name="IQ_CREDIT_CARDS_LL_REC_FFIEC" hidden="1">"c12889"</definedName>
    <definedName name="IQ_CREDIT_CARDS_LOANS_TRADING_DOM_FFIEC" hidden="1">"c12933"</definedName>
    <definedName name="IQ_CREDIT_CARDS_OTHER_OPEN_END_LINES_CREDIT_THRIFT" hidden="1">"c25610"</definedName>
    <definedName name="IQ_CREDIT_CARDS_THRIFT" hidden="1">"c24864"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_EFFECT_CHANGE_ACCOUNTING_FFIEC" hidden="1">"c25849"</definedName>
    <definedName name="IQ_CUMULATIVE_PREF_THRIFT" hidden="1">"c24915"</definedName>
    <definedName name="IQ_CUMULATIVE_PREFERREDS_T2_FFIEC" hidden="1">"c13145"</definedName>
    <definedName name="IQ_CUMULATIVE_SPLIT_FACTOR" hidden="1">"c2094"</definedName>
    <definedName name="IQ_CURR_ACCT_BALANCE" hidden="1">"c20641"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GDP" hidden="1">"c20642"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_TAXES" hidden="1">"c19141"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CM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CM" hidden="1">"c1567"</definedName>
    <definedName name="IQ_CURRENT_PORT_DEBT_DERIVATIVES" hidden="1">"c17742"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_PREMISE_EQUIP_CABLE_INVEST" hidden="1">"c15801"</definedName>
    <definedName name="IQ_CUSTODY_SAFEKEEPING_ACCOUNTS_INC_THRIFT" hidden="1">"c24809"</definedName>
    <definedName name="IQ_CUSTODY_SAFEKEEPING_ACCOUNTS_NONMANAGED_ASSETS_THRIFT" hidden="1">"c25377"</definedName>
    <definedName name="IQ_CUSTODY_SAFEKEEPING_ACCOUNTS_NUMBER_NONMANAGED_ACCOUNTS_THRIFT" hidden="1">"c25389"</definedName>
    <definedName name="IQ_CUSTOMER_LIAB_ACCEPTANCES_OUT_FFIEC" hidden="1">"c12835"</definedName>
    <definedName name="IQ_CY">10000</definedName>
    <definedName name="IQ_DA" hidden="1">"c247"</definedName>
    <definedName name="IQ_DA_ACT_OR_EST" hidden="1">"c18268"</definedName>
    <definedName name="IQ_DA_ACT_OR_EST_CIQ" hidden="1">"c18274"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CM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CM" hidden="1">"c248"</definedName>
    <definedName name="IQ_DA_EBITDA" hidden="1">"c5528"</definedName>
    <definedName name="IQ_DA_EST" hidden="1">"c18115"</definedName>
    <definedName name="IQ_DA_EST_CIQ" hidden="1">"c18183"</definedName>
    <definedName name="IQ_DA_EST_NOTE" hidden="1">"c18236"</definedName>
    <definedName name="IQ_DA_EST_NOTE_CIQ" hidden="1">"c18243"</definedName>
    <definedName name="IQ_DA_FIN" hidden="1">"c256"</definedName>
    <definedName name="IQ_DA_GUIDANCE" hidden="1">"c18409"</definedName>
    <definedName name="IQ_DA_HIGH_EST" hidden="1">"c18135"</definedName>
    <definedName name="IQ_DA_HIGH_EST_CIQ" hidden="1">"c18197"</definedName>
    <definedName name="IQ_DA_HIGH_GUIDANCE" hidden="1">"c18410"</definedName>
    <definedName name="IQ_DA_INS" hidden="1">"c257"</definedName>
    <definedName name="IQ_DA_LOW_EST" hidden="1">"c18145"</definedName>
    <definedName name="IQ_DA_LOW_EST_CIQ" hidden="1">"c18204"</definedName>
    <definedName name="IQ_DA_LOW_GUIDANCE" hidden="1">"c18411"</definedName>
    <definedName name="IQ_DA_MEDIAN_EST" hidden="1">"c18125"</definedName>
    <definedName name="IQ_DA_MEDIAN_EST_CIQ" hidden="1">"c18190"</definedName>
    <definedName name="IQ_DA_NUM_EST" hidden="1">"c18165"</definedName>
    <definedName name="IQ_DA_NUM_EST_CIQ" hidden="1">"c18218"</definedName>
    <definedName name="IQ_DA_RE" hidden="1">"c6207"</definedName>
    <definedName name="IQ_DA_REIT" hidden="1">"c258"</definedName>
    <definedName name="IQ_DA_STDDEV_EST" hidden="1">"c18155"</definedName>
    <definedName name="IQ_DA_STDDEV_EST_CIQ" hidden="1">"c18211"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CM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CM" hidden="1">"c260"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RT" hidden="1">"c20427"</definedName>
    <definedName name="IQ_DATA_PROCESSING_EXP_FFIEC" hidden="1">"c13047"</definedName>
    <definedName name="IQ_DATA_SET" hidden="1">"c19244"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TY_EST" hidden="1">"c4257"</definedName>
    <definedName name="IQ_DEBT_EQUITY_EST_CIQ" hidden="1">"c4783"</definedName>
    <definedName name="IQ_DEBT_EQUITY_HIGH_EST" hidden="1">"c4258"</definedName>
    <definedName name="IQ_DEBT_EQUITY_HIGH_EST_CIQ" hidden="1">"c4784"</definedName>
    <definedName name="IQ_DEBT_EQUITY_LOW_EST" hidden="1">"c4259"</definedName>
    <definedName name="IQ_DEBT_EQUITY_LOW_EST_CIQ" hidden="1">"c4785"</definedName>
    <definedName name="IQ_DEBT_EQUITY_MEDIAN_EST" hidden="1">"c4260"</definedName>
    <definedName name="IQ_DEBT_EQUITY_MEDIAN_EST_CIQ" hidden="1">"c4786"</definedName>
    <definedName name="IQ_DEBT_EQUITY_NUM_EST" hidden="1">"c4261"</definedName>
    <definedName name="IQ_DEBT_EQUITY_NUM_EST_CIQ" hidden="1">"c4787"</definedName>
    <definedName name="IQ_DEBT_EQUITY_STDDEV_EST" hidden="1">"c4262"</definedName>
    <definedName name="IQ_DEBT_EQUITY_STDDEV_EST_CIQ" hidden="1">"c4788"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LESS_THAN_1YR_INV_SEC_THRIFT" hidden="1">"c25676"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BT_SECURITIES_OVER_1YR_INV_SEC_THRIFT" hidden="1">"c25677"</definedName>
    <definedName name="IQ_DECREASE_INT_EXPENSE_FFIEC" hidden="1">"c13064"</definedName>
    <definedName name="IQ_DEDUCTION_EQUITY_INV_OTHER_ASSETS_THRIFT" hidden="1">"c25047"</definedName>
    <definedName name="IQ_DEDUCTION_LOW_LEVEL_RECOURSE_RESIDUAL_INTERESTS_THRIFT" hidden="1">"c25048"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CM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CM" hidden="1">"c288"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CM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CM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CM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AULT_DATE" hidden="1">"c16220"</definedName>
    <definedName name="IQ_DEFAULT_TYPE" hidden="1">"c16219"</definedName>
    <definedName name="IQ_DEFERRED_CONTINGENT_RENT" hidden="1">"c16181"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INCOME_TAXES_THRIFT" hidden="1">"c24911"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_NAV" hidden="1">"c16003"</definedName>
    <definedName name="IQ_DEFERRED_TAX_NNAV" hidden="1">"c16008"</definedName>
    <definedName name="IQ_DEFERRED_TAXES" hidden="1">"c1356"</definedName>
    <definedName name="IQ_DEFERRED_TAXES_TOTAL" hidden="1">"c19142"</definedName>
    <definedName name="IQ_DELIVERED_HOMES_NEW_ORDERS" hidden="1">"c15821"</definedName>
    <definedName name="IQ_DELIVERED_HOMES_PRICE_NEW_ORDER_PRICE" hidden="1">"c15822"</definedName>
    <definedName name="IQ_DEMAND_DEP" hidden="1">"c320"</definedName>
    <definedName name="IQ_DEMAND_DEPOSITS_COMMERCIAL_BANK_SUBS_FFIEC" hidden="1">"c12945"</definedName>
    <definedName name="IQ_DEMAND_DEPOSITS_CONSOLIDATED_SUBSIDIARIES_THRIFT" hidden="1">"c25570"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ACQUIRED_NET_DISPOSITIONS_IN_BULK_TRANSACTIONS_THRIFT" hidden="1">"c25345"</definedName>
    <definedName name="IQ_DEPOSITS_AMOUNTS_NETTED_THRIFT" hidden="1">"c25534"</definedName>
    <definedName name="IQ_DEPOSITS_DOM_FFIEC" hidden="1">"c12850"</definedName>
    <definedName name="IQ_DEPOSITS_ESCROWS_THRIFT" hidden="1">"c24895"</definedName>
    <definedName name="IQ_DEPOSITS_EXCLUDING_RETIREMENT_ACCOUNTS_GREATER_THAN_250000_THRIFT" hidden="1">"c24986"</definedName>
    <definedName name="IQ_DEPOSITS_EXCLUDING_RETIREMENT_ACCOUNTS_LESS_THAN_250000_THRIFT" hidden="1">"c24985"</definedName>
    <definedName name="IQ_DEPOSITS_FAIR_VALUE_TOT_FFIEC" hidden="1">"c13213"</definedName>
    <definedName name="IQ_DEPOSITS_FIN" hidden="1">"c321"</definedName>
    <definedName name="IQ_DEPOSITS_FOREIGN_BANKS_FOREIGN_AGENCIES_FFIEC" hidden="1">"c15344"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INV_SEC_GVA_CHARGE_OFFS_THRIFT" hidden="1">"c25112"</definedName>
    <definedName name="IQ_DEPOSITS_INV_SEC_GVA_RECOVERIES_THRIFT" hidden="1">"c25143"</definedName>
    <definedName name="IQ_DEPOSITS_INV_SEC_SVA_PROVISIONS_TRANSFERS_FROM_GVA_THRIFT" hidden="1">"c25166"</definedName>
    <definedName name="IQ_DEPOSITS_INV_SEC_TOTAL_THRIFT" hidden="1">"c25197"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1_THRIFT" hidden="1">"c25530"</definedName>
    <definedName name="IQ_DEPOSITS_LEVEL_2_FFIEC" hidden="1">"c13229"</definedName>
    <definedName name="IQ_DEPOSITS_LEVEL_2_THRIFT" hidden="1">"c25531"</definedName>
    <definedName name="IQ_DEPOSITS_LEVEL_3_FFIEC" hidden="1">"c13237"</definedName>
    <definedName name="IQ_DEPOSITS_LEVEL_3_THRIFT" hidden="1">"c25532"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OSITS_THRIFT" hidden="1">"c24896"</definedName>
    <definedName name="IQ_DEPOSITS_TOTAL_AFTER_NETTING_THRIFT" hidden="1">"c25535"</definedName>
    <definedName name="IQ_DEPOSITS_TOTAL_BEFORE_NETTING_THRIFT" hidden="1">"c25533"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PRECIATION_RENTAL_ASSETS" hidden="1">"c26972"</definedName>
    <definedName name="IQ_DEPRECIATION_RENTAL_ASSETS_CF" hidden="1">"c26973"</definedName>
    <definedName name="IQ_DERIVATIVE_ASSETS_AMOUNTS_NETTED_THRIFT" hidden="1">"c25510"</definedName>
    <definedName name="IQ_DERIVATIVE_ASSETS_CURRENT" hidden="1">"c17744"</definedName>
    <definedName name="IQ_DERIVATIVE_ASSETS_FAIR_VALUE_TOT_FFIEC" hidden="1">"c15403"</definedName>
    <definedName name="IQ_DERIVATIVE_ASSETS_LEVEL_1_FFIEC" hidden="1">"c15425"</definedName>
    <definedName name="IQ_DERIVATIVE_ASSETS_LEVEL_1_THRIFT" hidden="1">"c25506"</definedName>
    <definedName name="IQ_DERIVATIVE_ASSETS_LEVEL_2_FFIEC" hidden="1">"c15438"</definedName>
    <definedName name="IQ_DERIVATIVE_ASSETS_LEVEL_2_THRIFT" hidden="1">"c25507"</definedName>
    <definedName name="IQ_DERIVATIVE_ASSETS_LEVEL_3_FFIEC" hidden="1">"c15451"</definedName>
    <definedName name="IQ_DERIVATIVE_ASSETS_LEVEL_3_THRIFT" hidden="1">"c25508"</definedName>
    <definedName name="IQ_DERIVATIVE_ASSETS_LT" hidden="1">"c17745"</definedName>
    <definedName name="IQ_DERIVATIVE_ASSETS_TOTAL_AFTER_NETTING_THRIFT" hidden="1">"c25511"</definedName>
    <definedName name="IQ_DERIVATIVE_ASSETS_TOTAL_BEFORE_NETTING_THRIFT" hidden="1">"c25509"</definedName>
    <definedName name="IQ_DERIVATIVE_LIAB_CURRENT" hidden="1">"c17873"</definedName>
    <definedName name="IQ_DERIVATIVE_LIAB_NON_CURRENT" hidden="1">"c17874"</definedName>
    <definedName name="IQ_DERIVATIVE_LIABILITIES_AMOUNTS_NETTED_THRIFT" hidden="1">"c25552"</definedName>
    <definedName name="IQ_DERIVATIVE_LIABILITIES_FAIR_VALUE_TOT_FFIEC" hidden="1">"c15407"</definedName>
    <definedName name="IQ_DERIVATIVE_LIABILITIES_LEVEL_1_FFIEC" hidden="1">"c15429"</definedName>
    <definedName name="IQ_DERIVATIVE_LIABILITIES_LEVEL_1_THRIFT" hidden="1">"c25548"</definedName>
    <definedName name="IQ_DERIVATIVE_LIABILITIES_LEVEL_2_FFIEC" hidden="1">"c15442"</definedName>
    <definedName name="IQ_DERIVATIVE_LIABILITIES_LEVEL_2_THRIFT" hidden="1">"c25549"</definedName>
    <definedName name="IQ_DERIVATIVE_LIABILITIES_LEVEL_3_FFIEC" hidden="1">"c15455"</definedName>
    <definedName name="IQ_DERIVATIVE_LIABILITIES_LEVEL_3_THRIFT" hidden="1">"c25550"</definedName>
    <definedName name="IQ_DERIVATIVE_LIABILITIES_TOTAL_AFTER_NETTING_THRIFT" hidden="1">"c25553"</definedName>
    <definedName name="IQ_DERIVATIVE_LIABILITIES_TOTAL_BEFORE_NETTING_THRIFT" hidden="1">"c25551"</definedName>
    <definedName name="IQ_DERIVATIVE_TRADING_ASSETS" hidden="1">"c17875"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EVELOPMENT_EXPENSE" hidden="1">"c16040"</definedName>
    <definedName name="IQ_DEVELOPMENT_REVENUE" hidden="1">"c16024"</definedName>
    <definedName name="IQ_DIC" hidden="1">"c13834"</definedName>
    <definedName name="IQ_DIFF_LASTCLOSE_TARGET_PRICE" hidden="1">"c1854"</definedName>
    <definedName name="IQ_DIFF_LASTCLOSE_TARGET_PRICE_CIQ" hidden="1">"c4767"</definedName>
    <definedName name="IQ_DIG_SUB_BASIC_SUB" hidden="1">"c16202"</definedName>
    <definedName name="IQ_DIG_SUB_VIDEO_SUB" hidden="1">"c15788"</definedName>
    <definedName name="IQ_DIGITAL_SUB_TOTAL_HOMES_PASSED" hidden="1">"c15769"</definedName>
    <definedName name="IQ_DIGITAL_VIDEO_PENETRATION" hidden="1">"c15768"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EST_CIQ" hidden="1">"c4789"</definedName>
    <definedName name="IQ_DILUT_OUTSTANDING_CURRENT_HIGH_EST" hidden="1">"c4264"</definedName>
    <definedName name="IQ_DILUT_OUTSTANDING_CURRENT_HIGH_EST_CIQ" hidden="1">"c4790"</definedName>
    <definedName name="IQ_DILUT_OUTSTANDING_CURRENT_LOW_EST" hidden="1">"c4265"</definedName>
    <definedName name="IQ_DILUT_OUTSTANDING_CURRENT_LOW_EST_CIQ" hidden="1">"c4791"</definedName>
    <definedName name="IQ_DILUT_OUTSTANDING_CURRENT_MEDIAN_EST" hidden="1">"c4266"</definedName>
    <definedName name="IQ_DILUT_OUTSTANDING_CURRENT_MEDIAN_EST_CIQ" hidden="1">"c4792"</definedName>
    <definedName name="IQ_DILUT_OUTSTANDING_CURRENT_NUM_EST" hidden="1">"c4267"</definedName>
    <definedName name="IQ_DILUT_OUTSTANDING_CURRENT_NUM_EST_CIQ" hidden="1">"c4793"</definedName>
    <definedName name="IQ_DILUT_OUTSTANDING_CURRENT_STDDEV_EST" hidden="1">"c4268"</definedName>
    <definedName name="IQ_DILUT_OUTSTANDING_CURRENT_STDDEV_EST_CIQ" hidden="1">"c4794"</definedName>
    <definedName name="IQ_DILUT_WEIGHT" hidden="1">"c326"</definedName>
    <definedName name="IQ_DILUT_WEIGHT_EST" hidden="1">"c4269"</definedName>
    <definedName name="IQ_DILUT_WEIGHT_EST_CIQ" hidden="1">"c4795"</definedName>
    <definedName name="IQ_DILUT_WEIGHT_HIGH_EST" hidden="1">"c4271"</definedName>
    <definedName name="IQ_DILUT_WEIGHT_HIGH_EST_CIQ" hidden="1">"c4796"</definedName>
    <definedName name="IQ_DILUT_WEIGHT_LOW_EST" hidden="1">"c4272"</definedName>
    <definedName name="IQ_DILUT_WEIGHT_LOW_EST_CIQ" hidden="1">"c4797"</definedName>
    <definedName name="IQ_DILUT_WEIGHT_MEDIAN_EST" hidden="1">"c4273"</definedName>
    <definedName name="IQ_DILUT_WEIGHT_MEDIAN_EST_CIQ" hidden="1">"c4798"</definedName>
    <definedName name="IQ_DILUT_WEIGHT_NUM_EST" hidden="1">"c4274"</definedName>
    <definedName name="IQ_DILUT_WEIGHT_NUM_EST_CIQ" hidden="1">"c4799"</definedName>
    <definedName name="IQ_DILUT_WEIGHT_STDDEV_EST" hidden="1">"c4275"</definedName>
    <definedName name="IQ_DILUT_WEIGHT_STDDEV_EST_CIQ" hidden="1">"c4800"</definedName>
    <definedName name="IQ_DILUTED_EPRA_NAV" hidden="1">"c16005"</definedName>
    <definedName name="IQ_DILUTED_EPRA_NAV_SHARE_RE" hidden="1">"c16014"</definedName>
    <definedName name="IQ_DILUTED_EPRA_NNAV" hidden="1">"c16010"</definedName>
    <definedName name="IQ_DILUTED_EPRA_NNAV_SHARE_RE" hidden="1">"c16015"</definedName>
    <definedName name="IQ_DILUTED_NAV_RE" hidden="1">"c15998"</definedName>
    <definedName name="IQ_DILUTED_NAV_SHARE_RE" hidden="1">"c16013"</definedName>
    <definedName name="IQ_DILUTED_NAV_SHARES" hidden="1">"c16016"</definedName>
    <definedName name="IQ_DILUTION_EFFECT_NAV" hidden="1">"c15997"</definedName>
    <definedName name="IQ_DIRECT_AH_EARNED" hidden="1">"c2740"</definedName>
    <definedName name="IQ_DIRECT_EARNED" hidden="1">"c2730"</definedName>
    <definedName name="IQ_DIRECT_INDIRECT_RE_VENTURES_FFIEC" hidden="1">"c15266"</definedName>
    <definedName name="IQ_DIRECT_INDIRECT_RE_VENTURES_UNCONSOL_FFIEC" hidden="1">"c15274"</definedName>
    <definedName name="IQ_DIRECT_LIFE_EARNED" hidden="1">"c2735"</definedName>
    <definedName name="IQ_DIRECT_LIFE_IN_FORCE" hidden="1">"c2765"</definedName>
    <definedName name="IQ_DIRECT_LOSSES" hidden="1">"c15869"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ALLOWED_SERVICING_OTHER_ASSETS_ADJUSTED_ASSETS_THRIFT" hidden="1">"c25033"</definedName>
    <definedName name="IQ_DISALLOWED_SERVICING_OTHER_ASSETS_T1_THRIFT" hidden="1">"c25024"</definedName>
    <definedName name="IQ_DISBURSED_CONSTRUCTION_MORTGAGE_LOANS_1_4_DWELLING_UNITS_THRIFT" hidden="1">"c25317"</definedName>
    <definedName name="IQ_DISBURSED_CONSTRUCTION_MORTGAGE_LOANS_MULTIFAMILY_5_MORE_DWELLING_UNITS_THRIFT" hidden="1">"c25318"</definedName>
    <definedName name="IQ_DISBURSED_CONSTRUCTION_MORTGAGE_LOANS_NONRES_THRIFT" hidden="1">"c25319"</definedName>
    <definedName name="IQ_DISBURSED_PML_1_4_DWELLING_UNITS_THRIFT" hidden="1">"c25320"</definedName>
    <definedName name="IQ_DISBURSED_PML_HOME_EQUITY_JUNIOR_LIENS_THRIFT" hidden="1">"c25321"</definedName>
    <definedName name="IQ_DISBURSED_PML_LAND_THRIFT" hidden="1">"c25324"</definedName>
    <definedName name="IQ_DISBURSED_PML_MULTIFAMILY_5_MORE_DWELLING_UNITS_THRIFT" hidden="1">"c25322"</definedName>
    <definedName name="IQ_DISBURSED_PML_NONRES_EXCEPT_LAND_THRIFT" hidden="1">"c25323"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CRETIONARY_CAPEX" hidden="1">"c16183"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_CASH_SHARE_TRUSTS_EST" hidden="1">"c26906"</definedName>
    <definedName name="IQ_DISTRIB_CASH_SHARE_TRUSTS_EST_CIQ" hidden="1">"c4810"</definedName>
    <definedName name="IQ_DISTRIB_CASH_SHARE_TRUSTS_EST_DOWN_2MONTH_CIQ" hidden="1">"c24624"</definedName>
    <definedName name="IQ_DISTRIB_CASH_SHARE_TRUSTS_EST_DOWN_3MONTH_CIQ" hidden="1">"c24628"</definedName>
    <definedName name="IQ_DISTRIB_CASH_SHARE_TRUSTS_EST_DOWN_MONTH_CIQ" hidden="1">"c24620"</definedName>
    <definedName name="IQ_DISTRIB_CASH_SHARE_TRUSTS_EST_NOTE_CIQ" hidden="1">"c24611"</definedName>
    <definedName name="IQ_DISTRIB_CASH_SHARE_TRUSTS_EST_NUM_ANALYSTS_2MONTH_CIQ" hidden="1">"c24622"</definedName>
    <definedName name="IQ_DISTRIB_CASH_SHARE_TRUSTS_EST_NUM_ANALYSTS_3MONTH_CIQ" hidden="1">"c24626"</definedName>
    <definedName name="IQ_DISTRIB_CASH_SHARE_TRUSTS_EST_NUM_ANALYSTS_MONTH_CIQ" hidden="1">"c24618"</definedName>
    <definedName name="IQ_DISTRIB_CASH_SHARE_TRUSTS_EST_TOTAL_REVISED_2MONTH_CIQ" hidden="1">"c24625"</definedName>
    <definedName name="IQ_DISTRIB_CASH_SHARE_TRUSTS_EST_TOTAL_REVISED_3MONTH_CIQ" hidden="1">"c24629"</definedName>
    <definedName name="IQ_DISTRIB_CASH_SHARE_TRUSTS_EST_TOTAL_REVISED_MONTH_CIQ" hidden="1">"c24621"</definedName>
    <definedName name="IQ_DISTRIB_CASH_SHARE_TRUSTS_EST_UP_2MONTH_CIQ" hidden="1">"c24623"</definedName>
    <definedName name="IQ_DISTRIB_CASH_SHARE_TRUSTS_EST_UP_3MONTH_CIQ" hidden="1">"c24627"</definedName>
    <definedName name="IQ_DISTRIB_CASH_SHARE_TRUSTS_EST_UP_MONTH_CIQ" hidden="1">"c24619"</definedName>
    <definedName name="IQ_DISTRIB_CASH_SHARE_TRUSTS_HIGH_EST" hidden="1">"c26907"</definedName>
    <definedName name="IQ_DISTRIB_CASH_SHARE_TRUSTS_HIGH_EST_CIQ" hidden="1">"c4813"</definedName>
    <definedName name="IQ_DISTRIB_CASH_SHARE_TRUSTS_LOW_EST" hidden="1">"c26908"</definedName>
    <definedName name="IQ_DISTRIB_CASH_SHARE_TRUSTS_LOW_EST_CIQ" hidden="1">"c4814"</definedName>
    <definedName name="IQ_DISTRIB_CASH_SHARE_TRUSTS_MEDIAN_EST" hidden="1">"c26909"</definedName>
    <definedName name="IQ_DISTRIB_CASH_SHARE_TRUSTS_MEDIAN_EST_CIQ" hidden="1">"c4815"</definedName>
    <definedName name="IQ_DISTRIB_CASH_SHARE_TRUSTS_NUM_EST" hidden="1">"c26910"</definedName>
    <definedName name="IQ_DISTRIB_CASH_SHARE_TRUSTS_NUM_EST_CIQ" hidden="1">"c4816"</definedName>
    <definedName name="IQ_DISTRIB_CASH_SHARE_TRUSTS_STDDEV_EST" hidden="1">"c26911"</definedName>
    <definedName name="IQ_DISTRIB_CASH_SHARE_TRUSTS_STDDEV_EST_CIQ" hidden="1">"c4817"</definedName>
    <definedName name="IQ_DISTRIB_CASH_TRUSTS_EST" hidden="1">"c26912"</definedName>
    <definedName name="IQ_DISTRIB_CASH_TRUSTS_EST_CIQ" hidden="1">"c4802"</definedName>
    <definedName name="IQ_DISTRIB_CASH_TRUSTS_EST_DOWN_2MONTH_CIQ" hidden="1">"c24605"</definedName>
    <definedName name="IQ_DISTRIB_CASH_TRUSTS_EST_DOWN_3MONTH_CIQ" hidden="1">"c24609"</definedName>
    <definedName name="IQ_DISTRIB_CASH_TRUSTS_EST_DOWN_MONTH_CIQ" hidden="1">"c24601"</definedName>
    <definedName name="IQ_DISTRIB_CASH_TRUSTS_EST_NOTE_CIQ" hidden="1">"c24592"</definedName>
    <definedName name="IQ_DISTRIB_CASH_TRUSTS_EST_NUM_ANALYSTS_2MONTH_CIQ" hidden="1">"c24603"</definedName>
    <definedName name="IQ_DISTRIB_CASH_TRUSTS_EST_NUM_ANALYSTS_3MONTH_CIQ" hidden="1">"c24607"</definedName>
    <definedName name="IQ_DISTRIB_CASH_TRUSTS_EST_NUM_ANALYSTS_MONTH_CIQ" hidden="1">"c24599"</definedName>
    <definedName name="IQ_DISTRIB_CASH_TRUSTS_EST_TOTAL_REVISED_2MONTH_CIQ" hidden="1">"c24606"</definedName>
    <definedName name="IQ_DISTRIB_CASH_TRUSTS_EST_TOTAL_REVISED_3MONTH_CIQ" hidden="1">"c24610"</definedName>
    <definedName name="IQ_DISTRIB_CASH_TRUSTS_EST_TOTAL_REVISED_MONTH_CIQ" hidden="1">"c24602"</definedName>
    <definedName name="IQ_DISTRIB_CASH_TRUSTS_EST_UP_2MONTH_CIQ" hidden="1">"c24604"</definedName>
    <definedName name="IQ_DISTRIB_CASH_TRUSTS_EST_UP_3MONTH_CIQ" hidden="1">"c24608"</definedName>
    <definedName name="IQ_DISTRIB_CASH_TRUSTS_EST_UP_MONTH_CIQ" hidden="1">"c24600"</definedName>
    <definedName name="IQ_DISTRIB_CASH_TRUSTS_HIGH_EST" hidden="1">"c26913"</definedName>
    <definedName name="IQ_DISTRIB_CASH_TRUSTS_HIGH_EST_CIQ" hidden="1">"c4805"</definedName>
    <definedName name="IQ_DISTRIB_CASH_TRUSTS_LOW_EST" hidden="1">"c26914"</definedName>
    <definedName name="IQ_DISTRIB_CASH_TRUSTS_LOW_EST_CIQ" hidden="1">"c4806"</definedName>
    <definedName name="IQ_DISTRIB_CASH_TRUSTS_MEDIAN_EST" hidden="1">"c26915"</definedName>
    <definedName name="IQ_DISTRIB_CASH_TRUSTS_MEDIAN_EST_CIQ" hidden="1">"c4807"</definedName>
    <definedName name="IQ_DISTRIB_CASH_TRUSTS_NUM_EST" hidden="1">"c26916"</definedName>
    <definedName name="IQ_DISTRIB_CASH_TRUSTS_NUM_EST_CIQ" hidden="1">"c4808"</definedName>
    <definedName name="IQ_DISTRIB_CASH_TRUSTS_STDDEV_EST" hidden="1">"c26917"</definedName>
    <definedName name="IQ_DISTRIB_CASH_TRUSTS_STDDEV_EST_CIQ" hidden="1">"c4819"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EST" hidden="1">"c4277"</definedName>
    <definedName name="IQ_DISTRIBUTABLE_CASH_GUIDANCE" hidden="1">"c4279"</definedName>
    <definedName name="IQ_DISTRIBUTABLE_CASH_HIGH_EST" hidden="1">"c4280"</definedName>
    <definedName name="IQ_DISTRIBUTABLE_CASH_HIGH_GUIDANCE" hidden="1">"c4198"</definedName>
    <definedName name="IQ_DISTRIBUTABLE_CASH_LOW_EST" hidden="1">"c4281"</definedName>
    <definedName name="IQ_DISTRIBUTABLE_CASH_LOW_GUIDANCE" hidden="1">"c4238"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PER_SHARE_DILUTED" hidden="1">"c16191"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EST" hidden="1">"c4285"</definedName>
    <definedName name="IQ_DISTRIBUTABLE_CASH_SHARE_GUIDANCE" hidden="1">"c4287"</definedName>
    <definedName name="IQ_DISTRIBUTABLE_CASH_SHARE_HIGH_EST" hidden="1">"c4288"</definedName>
    <definedName name="IQ_DISTRIBUTABLE_CASH_SHARE_HIGH_GUIDANCE" hidden="1">"c4199"</definedName>
    <definedName name="IQ_DISTRIBUTABLE_CASH_SHARE_LOW_EST" hidden="1">"c4289"</definedName>
    <definedName name="IQ_DISTRIBUTABLE_CASH_SHARE_LOW_GUIDANCE" hidden="1">"c4239"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HARES_BASIC" hidden="1">"c16189"</definedName>
    <definedName name="IQ_DISTRIBUTABLE_CASH_SHARES_DILUTED" hidden="1">"c16190"</definedName>
    <definedName name="IQ_DISTRIBUTABLE_CASH_STANDARDIZED" hidden="1">"c20435"</definedName>
    <definedName name="IQ_DISTRIBUTABLE_CASH_STDDEV_EST" hidden="1">"c4294"</definedName>
    <definedName name="IQ_DIV_AMOUNT" hidden="1">"c3041"</definedName>
    <definedName name="IQ_DIV_AMOUNT_LIST" hidden="1">"c17417"</definedName>
    <definedName name="IQ_DIV_PAYMENT_DATE" hidden="1">"c2205"</definedName>
    <definedName name="IQ_DIV_PAYMENT_DATE_LIST" hidden="1">"c17418"</definedName>
    <definedName name="IQ_DIV_PAYMENT_TYPE" hidden="1">"c12752"</definedName>
    <definedName name="IQ_DIV_PAYMENT_TYPE_LIST" hidden="1">"c17419"</definedName>
    <definedName name="IQ_DIV_RECORD_DATE" hidden="1">"c2204"</definedName>
    <definedName name="IQ_DIV_RECORD_DATE_LIST" hidden="1">"c17420"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EST_CIQ" hidden="1">"c4821"</definedName>
    <definedName name="IQ_DIVIDEND_HIGH_EST" hidden="1">"c4297"</definedName>
    <definedName name="IQ_DIVIDEND_HIGH_EST_CIQ" hidden="1">"c4822"</definedName>
    <definedName name="IQ_DIVIDEND_INCOME_FHLB_STOCK_THRIFT" hidden="1">"c24754"</definedName>
    <definedName name="IQ_DIVIDEND_INCOME_OTHER_EQUITY_INV_THRIFT" hidden="1">"c24755"</definedName>
    <definedName name="IQ_DIVIDEND_LOW_EST" hidden="1">"c4298"</definedName>
    <definedName name="IQ_DIVIDEND_LOW_EST_CIQ" hidden="1">"c4823"</definedName>
    <definedName name="IQ_DIVIDEND_MEDIAN_EST" hidden="1">"c4299"</definedName>
    <definedName name="IQ_DIVIDEND_MEDIAN_EST_CIQ" hidden="1">"c4824"</definedName>
    <definedName name="IQ_DIVIDEND_NUM_EST" hidden="1">"c4300"</definedName>
    <definedName name="IQ_DIVIDEND_NUM_EST_CIQ" hidden="1">"c4825"</definedName>
    <definedName name="IQ_DIVIDEND_STDDEV_EST" hidden="1">"c4301"</definedName>
    <definedName name="IQ_DIVIDEND_STDDEV_EST_CIQ" hidden="1">"c4826"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CIQ" hidden="1">"c5062"</definedName>
    <definedName name="IQ_DPS_EST" hidden="1">"c1674"</definedName>
    <definedName name="IQ_DPS_EST_BOTTOM_UP" hidden="1">"c5493"</definedName>
    <definedName name="IQ_DPS_EST_BOTTOM_UP_CIQ" hidden="1">"c12030"</definedName>
    <definedName name="IQ_DPS_EST_CIQ" hidden="1">"c3682"</definedName>
    <definedName name="IQ_DPS_EST_DOWN_2MONTH" hidden="1">"c16345"</definedName>
    <definedName name="IQ_DPS_EST_DOWN_2MONTH_CIQ" hidden="1">"c16657"</definedName>
    <definedName name="IQ_DPS_EST_DOWN_3MONTH" hidden="1">"c16349"</definedName>
    <definedName name="IQ_DPS_EST_DOWN_3MONTH_CIQ" hidden="1">"c16661"</definedName>
    <definedName name="IQ_DPS_EST_DOWN_MONTH" hidden="1">"c16341"</definedName>
    <definedName name="IQ_DPS_EST_DOWN_MONTH_CIQ" hidden="1">"c16653"</definedName>
    <definedName name="IQ_DPS_EST_NOTE" hidden="1">"c17509"</definedName>
    <definedName name="IQ_DPS_EST_NOTE_CIQ" hidden="1">"c17462"</definedName>
    <definedName name="IQ_DPS_EST_NUM_ANALYSTS_2MONTH" hidden="1">"c16343"</definedName>
    <definedName name="IQ_DPS_EST_NUM_ANALYSTS_2MONTH_CIQ" hidden="1">"c16655"</definedName>
    <definedName name="IQ_DPS_EST_NUM_ANALYSTS_3MONTH" hidden="1">"c16347"</definedName>
    <definedName name="IQ_DPS_EST_NUM_ANALYSTS_3MONTH_CIQ" hidden="1">"c16659"</definedName>
    <definedName name="IQ_DPS_EST_NUM_ANALYSTS_MONTH" hidden="1">"c16339"</definedName>
    <definedName name="IQ_DPS_EST_NUM_ANALYSTS_MONTH_CIQ" hidden="1">"c16651"</definedName>
    <definedName name="IQ_DPS_EST_TOTAL_REVISED_2MONTH" hidden="1">"c16346"</definedName>
    <definedName name="IQ_DPS_EST_TOTAL_REVISED_2MONTH_CIQ" hidden="1">"c16658"</definedName>
    <definedName name="IQ_DPS_EST_TOTAL_REVISED_3MONTH" hidden="1">"c16350"</definedName>
    <definedName name="IQ_DPS_EST_TOTAL_REVISED_3MONTH_CIQ" hidden="1">"c16662"</definedName>
    <definedName name="IQ_DPS_EST_TOTAL_REVISED_MONTH" hidden="1">"c16342"</definedName>
    <definedName name="IQ_DPS_EST_TOTAL_REVISED_MONTH_CIQ" hidden="1">"c16654"</definedName>
    <definedName name="IQ_DPS_EST_UP_2MONTH" hidden="1">"c16344"</definedName>
    <definedName name="IQ_DPS_EST_UP_2MONTH_CIQ" hidden="1">"c16656"</definedName>
    <definedName name="IQ_DPS_EST_UP_3MONTH" hidden="1">"c16348"</definedName>
    <definedName name="IQ_DPS_EST_UP_3MONTH_CIQ" hidden="1">"c16660"</definedName>
    <definedName name="IQ_DPS_EST_UP_MONTH" hidden="1">"c16340"</definedName>
    <definedName name="IQ_DPS_EST_UP_MONTH_CIQ" hidden="1">"c16652"</definedName>
    <definedName name="IQ_DPS_GUIDANCE" hidden="1">"c4302"</definedName>
    <definedName name="IQ_DPS_HIGH_EST" hidden="1">"c1676"</definedName>
    <definedName name="IQ_DPS_HIGH_EST_CIQ" hidden="1">"c3684"</definedName>
    <definedName name="IQ_DPS_HIGH_GUIDANCE" hidden="1">"c4168"</definedName>
    <definedName name="IQ_DPS_LOW_EST" hidden="1">"c1677"</definedName>
    <definedName name="IQ_DPS_LOW_EST_CIQ" hidden="1">"c3685"</definedName>
    <definedName name="IQ_DPS_LOW_GUIDANCE" hidden="1">"c4208"</definedName>
    <definedName name="IQ_DPS_MEDIAN_EST" hidden="1">"c1675"</definedName>
    <definedName name="IQ_DPS_MEDIAN_EST_CIQ" hidden="1">"c3683"</definedName>
    <definedName name="IQ_DPS_NUM_EST" hidden="1">"c1678"</definedName>
    <definedName name="IQ_DPS_NUM_EST_CIQ" hidden="1">"c3686"</definedName>
    <definedName name="IQ_DPS_STDDEV_EST" hidden="1">"c1679"</definedName>
    <definedName name="IQ_DPS_STDDEV_EST_CIQ" hidden="1">"c3687"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INT_BEAR_LIABILITIES" hidden="1">"c15703"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_PARENT_EXCL_EXTRA" hidden="1">"c25791"</definedName>
    <definedName name="IQ_EARNINGS_ANNOUNCE_DATE" hidden="1">"c1649"</definedName>
    <definedName name="IQ_EARNINGS_ANNOUNCE_DATE_CIQ" hidden="1">"c4656"</definedName>
    <definedName name="IQ_EARNINGS_BEFORE_TAXES_AVG_ASSETS_THRIFT" hidden="1">"c25656"</definedName>
    <definedName name="IQ_EARNINGS_CO_FFIEC" hidden="1">"c13032"</definedName>
    <definedName name="IQ_EARNINGS_CO_THRIFT" hidden="1">"c24796"</definedName>
    <definedName name="IQ_EARNINGS_CONT_OPS_HOMEBUILDING_SALES" hidden="1">"c15817"</definedName>
    <definedName name="IQ_EARNINGS_COVERAGE_LOSSES_FFIEC" hidden="1">"c13351"</definedName>
    <definedName name="IQ_EARNINGS_COVERAGE_NET_CHARGE_OFFS_FDIC" hidden="1">"c6735"</definedName>
    <definedName name="IQ_EARNINGS_COVERAGE_NET_LOSSES_THRIFT" hidden="1">"c25641"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CIQ" hidden="1">"c5063"</definedName>
    <definedName name="IQ_EBIT_EQ_INC" hidden="1">"c3498"</definedName>
    <definedName name="IQ_EBIT_EQ_INC_EXCL_SBC" hidden="1">"c3502"</definedName>
    <definedName name="IQ_EBIT_EST" hidden="1">"c1681"</definedName>
    <definedName name="IQ_EBIT_EST_CIQ" hidden="1">"c4674"</definedName>
    <definedName name="IQ_EBIT_EST_DOWN_2MONTH" hidden="1">"c16357"</definedName>
    <definedName name="IQ_EBIT_EST_DOWN_2MONTH_CIQ" hidden="1">"c16669"</definedName>
    <definedName name="IQ_EBIT_EST_DOWN_3MONTH" hidden="1">"c16361"</definedName>
    <definedName name="IQ_EBIT_EST_DOWN_3MONTH_CIQ" hidden="1">"c16673"</definedName>
    <definedName name="IQ_EBIT_EST_DOWN_MONTH" hidden="1">"c16353"</definedName>
    <definedName name="IQ_EBIT_EST_DOWN_MONTH_CIQ" hidden="1">"c16665"</definedName>
    <definedName name="IQ_EBIT_EST_NOTE" hidden="1">"c17510"</definedName>
    <definedName name="IQ_EBIT_EST_NOTE_CIQ" hidden="1">"c17463"</definedName>
    <definedName name="IQ_EBIT_EST_NUM_ANALYSTS_2MONTH" hidden="1">"c16355"</definedName>
    <definedName name="IQ_EBIT_EST_NUM_ANALYSTS_2MONTH_CIQ" hidden="1">"c16667"</definedName>
    <definedName name="IQ_EBIT_EST_NUM_ANALYSTS_3MONTH" hidden="1">"c16359"</definedName>
    <definedName name="IQ_EBIT_EST_NUM_ANALYSTS_3MONTH_CIQ" hidden="1">"c16671"</definedName>
    <definedName name="IQ_EBIT_EST_NUM_ANALYSTS_MONTH" hidden="1">"c16351"</definedName>
    <definedName name="IQ_EBIT_EST_NUM_ANALYSTS_MONTH_CIQ" hidden="1">"c16663"</definedName>
    <definedName name="IQ_EBIT_EST_TOTAL_REVISED_2MONTH" hidden="1">"c16358"</definedName>
    <definedName name="IQ_EBIT_EST_TOTAL_REVISED_2MONTH_CIQ" hidden="1">"c16670"</definedName>
    <definedName name="IQ_EBIT_EST_TOTAL_REVISED_3MONTH" hidden="1">"c16362"</definedName>
    <definedName name="IQ_EBIT_EST_TOTAL_REVISED_3MONTH_CIQ" hidden="1">"c16674"</definedName>
    <definedName name="IQ_EBIT_EST_TOTAL_REVISED_MONTH" hidden="1">"c16354"</definedName>
    <definedName name="IQ_EBIT_EST_TOTAL_REVISED_MONTH_CIQ" hidden="1">"c16666"</definedName>
    <definedName name="IQ_EBIT_EST_UP_2MONTH" hidden="1">"c16356"</definedName>
    <definedName name="IQ_EBIT_EST_UP_2MONTH_CIQ" hidden="1">"c16668"</definedName>
    <definedName name="IQ_EBIT_EST_UP_3MONTH" hidden="1">"c16360"</definedName>
    <definedName name="IQ_EBIT_EST_UP_3MONTH_CIQ" hidden="1">"c16672"</definedName>
    <definedName name="IQ_EBIT_EST_UP_MONTH" hidden="1">"c16352"</definedName>
    <definedName name="IQ_EBIT_EST_UP_MONTH_CIQ" hidden="1">"c16664"</definedName>
    <definedName name="IQ_EBIT_EXCL_SBC" hidden="1">"c3082"</definedName>
    <definedName name="IQ_EBIT_GUIDANCE" hidden="1">"c4303"</definedName>
    <definedName name="IQ_EBIT_GW_ACT_OR_EST" hidden="1">"c4306"</definedName>
    <definedName name="IQ_EBIT_GW_ACT_OR_EST_CIQ" hidden="1">"c4831"</definedName>
    <definedName name="IQ_EBIT_GW_EST" hidden="1">"c4305"</definedName>
    <definedName name="IQ_EBIT_GW_EST_CIQ" hidden="1">"c4830"</definedName>
    <definedName name="IQ_EBIT_GW_HIGH_EST" hidden="1">"c4308"</definedName>
    <definedName name="IQ_EBIT_GW_HIGH_EST_CIQ" hidden="1">"c4833"</definedName>
    <definedName name="IQ_EBIT_GW_LOW_EST" hidden="1">"c4309"</definedName>
    <definedName name="IQ_EBIT_GW_LOW_EST_CIQ" hidden="1">"c4834"</definedName>
    <definedName name="IQ_EBIT_GW_MEDIAN_EST" hidden="1">"c4310"</definedName>
    <definedName name="IQ_EBIT_GW_MEDIAN_EST_CIQ" hidden="1">"c4835"</definedName>
    <definedName name="IQ_EBIT_GW_NUM_EST" hidden="1">"c4311"</definedName>
    <definedName name="IQ_EBIT_GW_NUM_EST_CIQ" hidden="1">"c4836"</definedName>
    <definedName name="IQ_EBIT_GW_STDDEV_EST" hidden="1">"c4312"</definedName>
    <definedName name="IQ_EBIT_GW_STDDEV_EST_CIQ" hidden="1">"c4837"</definedName>
    <definedName name="IQ_EBIT_HIGH_EST" hidden="1">"c1683"</definedName>
    <definedName name="IQ_EBIT_HIGH_EST_CIQ" hidden="1">"c4676"</definedName>
    <definedName name="IQ_EBIT_HIGH_GUIDANCE" hidden="1">"c4172"</definedName>
    <definedName name="IQ_EBIT_HOMEBUILDING_SALES" hidden="1">"c15815"</definedName>
    <definedName name="IQ_EBIT_INT" hidden="1">"c360"</definedName>
    <definedName name="IQ_EBIT_LOW_EST" hidden="1">"c1684"</definedName>
    <definedName name="IQ_EBIT_LOW_EST_CIQ" hidden="1">"c4677"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CIQ" hidden="1">"c4675"</definedName>
    <definedName name="IQ_EBIT_NUM_EST" hidden="1">"c1685"</definedName>
    <definedName name="IQ_EBIT_NUM_EST_CIQ" hidden="1">"c4678"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EST" hidden="1">"c4315"</definedName>
    <definedName name="IQ_EBIT_SBC_EST_CIQ" hidden="1">"c4840"</definedName>
    <definedName name="IQ_EBIT_SBC_GW_ACT_OR_EST" hidden="1">"c4320"</definedName>
    <definedName name="IQ_EBIT_SBC_GW_ACT_OR_EST_CIQ" hidden="1">"c4845"</definedName>
    <definedName name="IQ_EBIT_SBC_GW_EST" hidden="1">"c4319"</definedName>
    <definedName name="IQ_EBIT_SBC_GW_EST_CIQ" hidden="1">"c4844"</definedName>
    <definedName name="IQ_EBIT_SBC_GW_HIGH_EST" hidden="1">"c4322"</definedName>
    <definedName name="IQ_EBIT_SBC_GW_HIGH_EST_CIQ" hidden="1">"c4847"</definedName>
    <definedName name="IQ_EBIT_SBC_GW_LOW_EST" hidden="1">"c4323"</definedName>
    <definedName name="IQ_EBIT_SBC_GW_LOW_EST_CIQ" hidden="1">"c4848"</definedName>
    <definedName name="IQ_EBIT_SBC_GW_MEDIAN_EST" hidden="1">"c4324"</definedName>
    <definedName name="IQ_EBIT_SBC_GW_MEDIAN_EST_CIQ" hidden="1">"c4849"</definedName>
    <definedName name="IQ_EBIT_SBC_GW_NUM_EST" hidden="1">"c4325"</definedName>
    <definedName name="IQ_EBIT_SBC_GW_NUM_EST_CIQ" hidden="1">"c4850"</definedName>
    <definedName name="IQ_EBIT_SBC_GW_STDDEV_EST" hidden="1">"c4326"</definedName>
    <definedName name="IQ_EBIT_SBC_GW_STDDEV_EST_CIQ" hidden="1">"c4851"</definedName>
    <definedName name="IQ_EBIT_SBC_HIGH_EST" hidden="1">"c4328"</definedName>
    <definedName name="IQ_EBIT_SBC_HIGH_EST_CIQ" hidden="1">"c4853"</definedName>
    <definedName name="IQ_EBIT_SBC_LOW_EST" hidden="1">"c4329"</definedName>
    <definedName name="IQ_EBIT_SBC_LOW_EST_CIQ" hidden="1">"c4854"</definedName>
    <definedName name="IQ_EBIT_SBC_MEDIAN_EST" hidden="1">"c4330"</definedName>
    <definedName name="IQ_EBIT_SBC_MEDIAN_EST_CIQ" hidden="1">"c4855"</definedName>
    <definedName name="IQ_EBIT_SBC_NUM_EST" hidden="1">"c4331"</definedName>
    <definedName name="IQ_EBIT_SBC_NUM_EST_CIQ" hidden="1">"c4856"</definedName>
    <definedName name="IQ_EBIT_SBC_STDDEV_EST" hidden="1">"c4332"</definedName>
    <definedName name="IQ_EBIT_SBC_STDDEV_EST_CIQ" hidden="1">"c4857"</definedName>
    <definedName name="IQ_EBIT_STDDEV_EST" hidden="1">"c1686"</definedName>
    <definedName name="IQ_EBIT_STDDEV_EST_CIQ" hidden="1">"c4679"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CAPEX" hidden="1">"c19143"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DOWN_2MONTH" hidden="1">"c16297"</definedName>
    <definedName name="IQ_EBITDA_EST_DOWN_2MONTH_CIQ" hidden="1">"c16621"</definedName>
    <definedName name="IQ_EBITDA_EST_DOWN_3MONTH" hidden="1">"c16301"</definedName>
    <definedName name="IQ_EBITDA_EST_DOWN_3MONTH_CIQ" hidden="1">"c16625"</definedName>
    <definedName name="IQ_EBITDA_EST_DOWN_MONTH" hidden="1">"c16293"</definedName>
    <definedName name="IQ_EBITDA_EST_DOWN_MONTH_CIQ" hidden="1">"c16617"</definedName>
    <definedName name="IQ_EBITDA_EST_NOTE" hidden="1">"c17503"</definedName>
    <definedName name="IQ_EBITDA_EST_NOTE_CIQ" hidden="1">"c17456"</definedName>
    <definedName name="IQ_EBITDA_EST_NUM_ANALYSTS_2MONTH" hidden="1">"c16295"</definedName>
    <definedName name="IQ_EBITDA_EST_NUM_ANALYSTS_2MONTH_CIQ" hidden="1">"c16619"</definedName>
    <definedName name="IQ_EBITDA_EST_NUM_ANALYSTS_3MONTH" hidden="1">"c16299"</definedName>
    <definedName name="IQ_EBITDA_EST_NUM_ANALYSTS_3MONTH_CIQ" hidden="1">"c16623"</definedName>
    <definedName name="IQ_EBITDA_EST_NUM_ANALYSTS_MONTH" hidden="1">"c16291"</definedName>
    <definedName name="IQ_EBITDA_EST_NUM_ANALYSTS_MONTH_CIQ" hidden="1">"c16615"</definedName>
    <definedName name="IQ_EBITDA_EST_TOTAL_REVISED_2MONTH" hidden="1">"c16298"</definedName>
    <definedName name="IQ_EBITDA_EST_TOTAL_REVISED_2MONTH_CIQ" hidden="1">"c16622"</definedName>
    <definedName name="IQ_EBITDA_EST_TOTAL_REVISED_3MONTH" hidden="1">"c16302"</definedName>
    <definedName name="IQ_EBITDA_EST_TOTAL_REVISED_3MONTH_CIQ" hidden="1">"c16626"</definedName>
    <definedName name="IQ_EBITDA_EST_TOTAL_REVISED_MONTH" hidden="1">"c16294"</definedName>
    <definedName name="IQ_EBITDA_EST_TOTAL_REVISED_MONTH_CIQ" hidden="1">"c16618"</definedName>
    <definedName name="IQ_EBITDA_EST_UP_2MONTH" hidden="1">"c16296"</definedName>
    <definedName name="IQ_EBITDA_EST_UP_2MONTH_CIQ" hidden="1">"c16620"</definedName>
    <definedName name="IQ_EBITDA_EST_UP_3MONTH" hidden="1">"c16300"</definedName>
    <definedName name="IQ_EBITDA_EST_UP_3MONTH_CIQ" hidden="1">"c16624"</definedName>
    <definedName name="IQ_EBITDA_EST_UP_MONTH" hidden="1">"c16292"</definedName>
    <definedName name="IQ_EBITDA_EST_UP_MONTH_CIQ" hidden="1">"c16616"</definedName>
    <definedName name="IQ_EBITDA_EXCL_SBC" hidden="1">"c3081"</definedName>
    <definedName name="IQ_EBITDA_GUIDANCE" hidden="1">"c4334"</definedName>
    <definedName name="IQ_EBITDA_HIGH_EST" hidden="1">"c370"</definedName>
    <definedName name="IQ_EBITDA_HIGH_EST_CIQ" hidden="1">"c3624"</definedName>
    <definedName name="IQ_EBITDA_HIGH_GUIDANCE" hidden="1">"c4170"</definedName>
    <definedName name="IQ_EBITDA_HOMEBUILDING_SALES" hidden="1">"c15814"</definedName>
    <definedName name="IQ_EBITDA_INT" hidden="1">"c373"</definedName>
    <definedName name="IQ_EBITDA_LOW_EST" hidden="1">"c371"</definedName>
    <definedName name="IQ_EBITDA_LOW_EST_CIQ" hidden="1">"c3625"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NUM_EST" hidden="1">"c374"</definedName>
    <definedName name="IQ_EBITDA_NUM_EST_CIQ" hidden="1">"c3626"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BC_EST" hidden="1">"c4336"</definedName>
    <definedName name="IQ_EBITDA_SBC_EST_CIQ" hidden="1">"c4861"</definedName>
    <definedName name="IQ_EBITDA_SBC_HIGH_EST" hidden="1">"c4339"</definedName>
    <definedName name="IQ_EBITDA_SBC_HIGH_EST_CIQ" hidden="1">"c4864"</definedName>
    <definedName name="IQ_EBITDA_SBC_LOW_EST" hidden="1">"c4340"</definedName>
    <definedName name="IQ_EBITDA_SBC_LOW_EST_CIQ" hidden="1">"c4865"</definedName>
    <definedName name="IQ_EBITDA_SBC_MEDIAN_EST" hidden="1">"c4341"</definedName>
    <definedName name="IQ_EBITDA_SBC_MEDIAN_EST_CIQ" hidden="1">"c4866"</definedName>
    <definedName name="IQ_EBITDA_SBC_NUM_EST" hidden="1">"c4342"</definedName>
    <definedName name="IQ_EBITDA_SBC_NUM_EST_CIQ" hidden="1">"c4867"</definedName>
    <definedName name="IQ_EBITDA_SBC_STDDEV_EST" hidden="1">"c4343"</definedName>
    <definedName name="IQ_EBITDA_SBC_STDDEV_EST_CIQ" hidden="1">"c4868"</definedName>
    <definedName name="IQ_EBITDA_STDDEV_EST" hidden="1">"c375"</definedName>
    <definedName name="IQ_EBITDA_STDDEV_EST_CIQ" hidden="1">"c3627"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CM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CM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HOMEBUILDING_SALES" hidden="1">"c15816"</definedName>
    <definedName name="IQ_EBT_INCL_MARGIN" hidden="1">"c387"</definedName>
    <definedName name="IQ_EBT_INS" hidden="1">"c388"</definedName>
    <definedName name="IQ_EBT_LOW_GUIDANCE" hidden="1">"c4213"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EST" hidden="1">"c4349"</definedName>
    <definedName name="IQ_EBT_SBC_EST_CIQ" hidden="1">"c4874"</definedName>
    <definedName name="IQ_EBT_SBC_GW_ACT_OR_EST" hidden="1">"c4354"</definedName>
    <definedName name="IQ_EBT_SBC_GW_ACT_OR_EST_CIQ" hidden="1">"c4879"</definedName>
    <definedName name="IQ_EBT_SBC_GW_EST" hidden="1">"c4353"</definedName>
    <definedName name="IQ_EBT_SBC_GW_EST_CIQ" hidden="1">"c4878"</definedName>
    <definedName name="IQ_EBT_SBC_GW_HIGH_EST" hidden="1">"c4356"</definedName>
    <definedName name="IQ_EBT_SBC_GW_HIGH_EST_CIQ" hidden="1">"c4881"</definedName>
    <definedName name="IQ_EBT_SBC_GW_LOW_EST" hidden="1">"c4357"</definedName>
    <definedName name="IQ_EBT_SBC_GW_LOW_EST_CIQ" hidden="1">"c4882"</definedName>
    <definedName name="IQ_EBT_SBC_GW_MEDIAN_EST" hidden="1">"c4358"</definedName>
    <definedName name="IQ_EBT_SBC_GW_MEDIAN_EST_CIQ" hidden="1">"c4883"</definedName>
    <definedName name="IQ_EBT_SBC_GW_NUM_EST" hidden="1">"c4359"</definedName>
    <definedName name="IQ_EBT_SBC_GW_NUM_EST_CIQ" hidden="1">"c4884"</definedName>
    <definedName name="IQ_EBT_SBC_GW_STDDEV_EST" hidden="1">"c4360"</definedName>
    <definedName name="IQ_EBT_SBC_GW_STDDEV_EST_CIQ" hidden="1">"c4885"</definedName>
    <definedName name="IQ_EBT_SBC_HIGH_EST" hidden="1">"c4362"</definedName>
    <definedName name="IQ_EBT_SBC_HIGH_EST_CIQ" hidden="1">"c4887"</definedName>
    <definedName name="IQ_EBT_SBC_LOW_EST" hidden="1">"c4363"</definedName>
    <definedName name="IQ_EBT_SBC_LOW_EST_CIQ" hidden="1">"c4888"</definedName>
    <definedName name="IQ_EBT_SBC_MEDIAN_EST" hidden="1">"c4364"</definedName>
    <definedName name="IQ_EBT_SBC_MEDIAN_EST_CIQ" hidden="1">"c4889"</definedName>
    <definedName name="IQ_EBT_SBC_NUM_EST" hidden="1">"c4365"</definedName>
    <definedName name="IQ_EBT_SBC_NUM_EST_CIQ" hidden="1">"c4890"</definedName>
    <definedName name="IQ_EBT_SBC_STDDEV_EST" hidden="1">"c4366"</definedName>
    <definedName name="IQ_EBT_SBC_STDDEV_EST_CIQ" hidden="1">"c4891"</definedName>
    <definedName name="IQ_EBT_SUBTOTAL_AP" hidden="1">"c8982"</definedName>
    <definedName name="IQ_EBT_THRIFT" hidden="1">"c24794"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AUTHORIZED_SHARES_OTHER" hidden="1">"c15613"</definedName>
    <definedName name="IQ_ECS_AUTHORIZED_SHARES_OTHER_ABS" hidden="1">"c15630"</definedName>
    <definedName name="IQ_ECS_CONVERT_FACTOR" hidden="1">"c5581"</definedName>
    <definedName name="IQ_ECS_CONVERT_FACTOR_ABS" hidden="1">"c5595"</definedName>
    <definedName name="IQ_ECS_CONVERT_FACTOR_OTHER" hidden="1">"c15611"</definedName>
    <definedName name="IQ_ECS_CONVERT_FACTOR_OTHER_ABS" hidden="1">"c15628"</definedName>
    <definedName name="IQ_ECS_CONVERT_INTO" hidden="1">"c5580"</definedName>
    <definedName name="IQ_ECS_CONVERT_INTO_ABS" hidden="1">"c5594"</definedName>
    <definedName name="IQ_ECS_CONVERT_INTO_OTHER" hidden="1">"c15610"</definedName>
    <definedName name="IQ_ECS_CONVERT_INTO_OTHER_ABS" hidden="1">"c15627"</definedName>
    <definedName name="IQ_ECS_CONVERT_PRIMARY_FACTOR" hidden="1">"c15592"</definedName>
    <definedName name="IQ_ECS_CONVERT_PRIMARY_FACTOR_ABS" hidden="1">"c15596"</definedName>
    <definedName name="IQ_ECS_CONVERT_TYPE" hidden="1">"c5579"</definedName>
    <definedName name="IQ_ECS_CONVERT_TYPE_ABS" hidden="1">"c5593"</definedName>
    <definedName name="IQ_ECS_CONVERT_TYPE_OTHER" hidden="1">"c15609"</definedName>
    <definedName name="IQ_ECS_CONVERT_TYPE_OTHER_ABS" hidden="1">"c15626"</definedName>
    <definedName name="IQ_ECS_INACTIVE_DATE" hidden="1">"c5576"</definedName>
    <definedName name="IQ_ECS_INACTIVE_DATE_ABS" hidden="1">"c5590"</definedName>
    <definedName name="IQ_ECS_INACTIVE_DATE_OTHER" hidden="1">"c15606"</definedName>
    <definedName name="IQ_ECS_INACTIVE_DATE_OTHER_ABS" hidden="1">"c15623"</definedName>
    <definedName name="IQ_ECS_NAME" hidden="1">"c5571"</definedName>
    <definedName name="IQ_ECS_NAME_ABS" hidden="1">"c5585"</definedName>
    <definedName name="IQ_ECS_NAME_OTHER" hidden="1">"c15599"</definedName>
    <definedName name="IQ_ECS_NAME_OTHER_ABS" hidden="1">"c15616"</definedName>
    <definedName name="IQ_ECS_NUM_SHAREHOLDERS" hidden="1">"c16242"</definedName>
    <definedName name="IQ_ECS_NUM_SHAREHOLDERS_ABS" hidden="1">"c16243"</definedName>
    <definedName name="IQ_ECS_NUM_SHAREHOLDERS_BENEFICIAL_BS_DATE" hidden="1">"c16234"</definedName>
    <definedName name="IQ_ECS_NUM_SHAREHOLDERS_BENEFICIAL_BS_DATE_ABS" hidden="1">"c16235"</definedName>
    <definedName name="IQ_ECS_NUM_SHAREHOLDERS_BENEFICIAL_BS_DATE_OTHER" hidden="1">"c16236"</definedName>
    <definedName name="IQ_ECS_NUM_SHAREHOLDERS_BENEFICIAL_BS_DATE_OTHER_ABS" hidden="1">"c16237"</definedName>
    <definedName name="IQ_ECS_NUM_SHAREHOLDERS_BENEFICIAL_FILING_DATE" hidden="1">"c16230"</definedName>
    <definedName name="IQ_ECS_NUM_SHAREHOLDERS_BENEFICIAL_FILING_DATE_ABS" hidden="1">"c16231"</definedName>
    <definedName name="IQ_ECS_NUM_SHAREHOLDERS_BENEFICIAL_FILING_DATE_OTHER" hidden="1">"c16232"</definedName>
    <definedName name="IQ_ECS_NUM_SHAREHOLDERS_BENEFICIAL_FILING_DATE_OTHER_ABS" hidden="1">"c16233"</definedName>
    <definedName name="IQ_ECS_NUM_SHAREHOLDERS_BS_DATE" hidden="1">"c16238"</definedName>
    <definedName name="IQ_ECS_NUM_SHAREHOLDERS_BS_DATE_ABS" hidden="1">"c16239"</definedName>
    <definedName name="IQ_ECS_NUM_SHAREHOLDERS_BS_DATE_OTHER" hidden="1">"c16240"</definedName>
    <definedName name="IQ_ECS_NUM_SHAREHOLDERS_BS_DATE_OTHER_ABS" hidden="1">"c16241"</definedName>
    <definedName name="IQ_ECS_NUM_SHAREHOLDERS_FILING_DATE" hidden="1">"c5584"</definedName>
    <definedName name="IQ_ECS_NUM_SHAREHOLDERS_FILING_DATE_ABS" hidden="1">"c5598"</definedName>
    <definedName name="IQ_ECS_NUM_SHAREHOLDERS_FILING_DATE_OTHER" hidden="1">"c15615"</definedName>
    <definedName name="IQ_ECS_NUM_SHAREHOLDERS_FILING_DATE_OTHER_ABS" hidden="1">"c15632"</definedName>
    <definedName name="IQ_ECS_NUM_SHAREHOLDERS_OTHER" hidden="1">"c16244"</definedName>
    <definedName name="IQ_ECS_NUM_SHAREHOLDERS_OTHER_ABS" hidden="1">"c16245"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PAR_VALUE_CURRENCY_OTHER" hidden="1">"c15608"</definedName>
    <definedName name="IQ_ECS_PAR_VALUE_CURRENCY_OTHER_ABS" hidden="1">"c15625"</definedName>
    <definedName name="IQ_ECS_PAR_VALUE_OTHER" hidden="1">"c15607"</definedName>
    <definedName name="IQ_ECS_PAR_VALUE_OTHER_ABS" hidden="1">"c15624"</definedName>
    <definedName name="IQ_ECS_PARTICIPATE_FLAG" hidden="1">"c15591"</definedName>
    <definedName name="IQ_ECS_PARTICIPATE_FLAG_ABS" hidden="1">"c15595"</definedName>
    <definedName name="IQ_ECS_PARTICIPATE_FLAG_OTHER" hidden="1">"c15614"</definedName>
    <definedName name="IQ_ECS_PARTICIPATE_FLAG_OTHER_ABS" hidden="1">"c15631"</definedName>
    <definedName name="IQ_ECS_SHARES_OUT_BS_DATE" hidden="1">"c5572"</definedName>
    <definedName name="IQ_ECS_SHARES_OUT_BS_DATE_ABS" hidden="1">"c5586"</definedName>
    <definedName name="IQ_ECS_SHARES_OUT_BS_DATE_OTHER" hidden="1">"c15600"</definedName>
    <definedName name="IQ_ECS_SHARES_OUT_BS_DATE_OTHER_ABS" hidden="1">"c15617"</definedName>
    <definedName name="IQ_ECS_SHARES_OUT_FILING_DATE" hidden="1">"c5573"</definedName>
    <definedName name="IQ_ECS_SHARES_OUT_FILING_DATE_ABS" hidden="1">"c5587"</definedName>
    <definedName name="IQ_ECS_SHARES_OUT_FILING_DATE_OTHER" hidden="1">"c15601"</definedName>
    <definedName name="IQ_ECS_SHARES_OUT_FILING_DATE_OTHER_ABS" hidden="1">"c15618"</definedName>
    <definedName name="IQ_ECS_START_DATE" hidden="1">"c5575"</definedName>
    <definedName name="IQ_ECS_START_DATE_ABS" hidden="1">"c5589"</definedName>
    <definedName name="IQ_ECS_START_DATE_OTHER" hidden="1">"c15605"</definedName>
    <definedName name="IQ_ECS_START_DATE_OTHER_ABS" hidden="1">"c15622"</definedName>
    <definedName name="IQ_ECS_TICKER" hidden="1">"c15594"</definedName>
    <definedName name="IQ_ECS_TICKER_ABS" hidden="1">"c15598"</definedName>
    <definedName name="IQ_ECS_TICKER_OTHER" hidden="1">"c15603"</definedName>
    <definedName name="IQ_ECS_TICKER_OTHER_ABS" hidden="1">"c15620"</definedName>
    <definedName name="IQ_ECS_TRADING_ITEM_CIQID" hidden="1">"c15593"</definedName>
    <definedName name="IQ_ECS_TRADING_ITEM_CIQID_ABS" hidden="1">"c15597"</definedName>
    <definedName name="IQ_ECS_TRADING_ITEM_CIQID_OTHER" hidden="1">"c15602"</definedName>
    <definedName name="IQ_ECS_TRADING_ITEM_CIQID_OTHER_ABS" hidden="1">"c15619"</definedName>
    <definedName name="IQ_ECS_TYPE" hidden="1">"c5574"</definedName>
    <definedName name="IQ_ECS_TYPE_ABS" hidden="1">"c5588"</definedName>
    <definedName name="IQ_ECS_TYPE_OTHER" hidden="1">"c15604"</definedName>
    <definedName name="IQ_ECS_TYPE_OTHER_ABS" hidden="1">"c15621"</definedName>
    <definedName name="IQ_ECS_VOTING" hidden="1">"c5582"</definedName>
    <definedName name="IQ_ECS_VOTING_ABS" hidden="1">"c5596"</definedName>
    <definedName name="IQ_ECS_VOTING_OTHER" hidden="1">"c15612"</definedName>
    <definedName name="IQ_ECS_VOTING_OTHER_ABS" hidden="1">"c15629"</definedName>
    <definedName name="IQ_EDUCATION_LOANS_THRIFT" hidden="1">"c24861"</definedName>
    <definedName name="IQ_EFFECT_SPECIAL_CHARGE" hidden="1">"c1595"</definedName>
    <definedName name="IQ_EFFECT_TAX_RATE" hidden="1">"c1899"</definedName>
    <definedName name="IQ_EFFECTIVE_DATE" hidden="1">"c8966"</definedName>
    <definedName name="IQ_EFFECTIVE_TAX_ACT_OR_EST" hidden="1">"c18266"</definedName>
    <definedName name="IQ_EFFECTIVE_TAX_ACT_OR_EST_CIQ" hidden="1">"c18272"</definedName>
    <definedName name="IQ_EFFECTIVE_TAX_EST" hidden="1">"c18113"</definedName>
    <definedName name="IQ_EFFECTIVE_TAX_EST_CIQ" hidden="1">"c18181"</definedName>
    <definedName name="IQ_EFFECTIVE_TAX_EST_NOTE" hidden="1">"c18234"</definedName>
    <definedName name="IQ_EFFECTIVE_TAX_EST_NOTE_CIQ" hidden="1">"c18241"</definedName>
    <definedName name="IQ_EFFECTIVE_TAX_GUIDANCE" hidden="1">"c18403"</definedName>
    <definedName name="IQ_EFFECTIVE_TAX_HIGH_EST" hidden="1">"c18133"</definedName>
    <definedName name="IQ_EFFECTIVE_TAX_HIGH_EST_CIQ" hidden="1">"c18195"</definedName>
    <definedName name="IQ_EFFECTIVE_TAX_HIGH_GUIDANCE" hidden="1">"c18404"</definedName>
    <definedName name="IQ_EFFECTIVE_TAX_LOW_EST" hidden="1">"c18143"</definedName>
    <definedName name="IQ_EFFECTIVE_TAX_LOW_EST_CIQ" hidden="1">"c18202"</definedName>
    <definedName name="IQ_EFFECTIVE_TAX_LOW_GUIDANCE" hidden="1">"c18405"</definedName>
    <definedName name="IQ_EFFECTIVE_TAX_MEDIAN_EST" hidden="1">"c18123"</definedName>
    <definedName name="IQ_EFFECTIVE_TAX_MEDIAN_EST_CIQ" hidden="1">"c18188"</definedName>
    <definedName name="IQ_EFFECTIVE_TAX_NUM_EST" hidden="1">"c18163"</definedName>
    <definedName name="IQ_EFFECTIVE_TAX_NUM_EST_CIQ" hidden="1">"c18216"</definedName>
    <definedName name="IQ_EFFECTIVE_TAX_STDDEV_EST" hidden="1">"c18153"</definedName>
    <definedName name="IQ_EFFECTIVE_TAX_STDDEV_EST_CIQ" hidden="1">"c18209"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MPLOYEES_UNDER_UNION_CONTRACTS" hidden="1">"c16109"</definedName>
    <definedName name="IQ_EMPLOYMENT_YOY" hidden="1">"c20643"</definedName>
    <definedName name="IQ_ENDING_BALANCE_GVA_THRIFT" hidden="1">"c25097"</definedName>
    <definedName name="IQ_ENDING_BALANCE_SVA_THRIFT" hidden="1">"c25104"</definedName>
    <definedName name="IQ_ENDING_BALANCE_TVA_THRIFT" hidden="1">"c25111"</definedName>
    <definedName name="IQ_ENERGY_CRUDE_STOCK" hidden="1">"c20644"</definedName>
    <definedName name="IQ_ENERGY_FUEL_OIL_STOCK" hidden="1">"c20645"</definedName>
    <definedName name="IQ_ENERGY_GASOLINE_AVERAGE" hidden="1">"c20646"</definedName>
    <definedName name="IQ_ENERGY_GASOLINE_STOCK" hidden="1">"c20647"</definedName>
    <definedName name="IQ_ENERGY_PROPANE_STOCK" hidden="1">"c20648"</definedName>
    <definedName name="IQ_ENERGY_WTI_SPOT" hidden="1">"c20649"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BOTTOM_UP" hidden="1">"c5489"</definedName>
    <definedName name="IQ_EPS_EST_BOTTOM_UP_CIQ" hidden="1">"c12026"</definedName>
    <definedName name="IQ_EPS_EST_CIQ" hidden="1">"c4994"</definedName>
    <definedName name="IQ_EPS_EST_DOWN_2MONTH" hidden="1">"c16309"</definedName>
    <definedName name="IQ_EPS_EST_DOWN_2MONTH_CIQ" hidden="1">"c16633"</definedName>
    <definedName name="IQ_EPS_EST_DOWN_3MONTH" hidden="1">"c16313"</definedName>
    <definedName name="IQ_EPS_EST_DOWN_3MONTH_CIQ" hidden="1">"c16637"</definedName>
    <definedName name="IQ_EPS_EST_DOWN_MONTH" hidden="1">"c16305"</definedName>
    <definedName name="IQ_EPS_EST_DOWN_MONTH_CIQ" hidden="1">"c16629"</definedName>
    <definedName name="IQ_EPS_EST_NOTE" hidden="1">"c17504"</definedName>
    <definedName name="IQ_EPS_EST_NOTE_CIQ" hidden="1">"c17457"</definedName>
    <definedName name="IQ_EPS_EST_NUM_ANALYSTS_2MONTH" hidden="1">"c16307"</definedName>
    <definedName name="IQ_EPS_EST_NUM_ANALYSTS_2MONTH_CIQ" hidden="1">"c16631"</definedName>
    <definedName name="IQ_EPS_EST_NUM_ANALYSTS_3MONTH" hidden="1">"c16311"</definedName>
    <definedName name="IQ_EPS_EST_NUM_ANALYSTS_3MONTH_CIQ" hidden="1">"c16635"</definedName>
    <definedName name="IQ_EPS_EST_NUM_ANALYSTS_MONTH" hidden="1">"c16303"</definedName>
    <definedName name="IQ_EPS_EST_NUM_ANALYSTS_MONTH_CIQ" hidden="1">"c16627"</definedName>
    <definedName name="IQ_EPS_EST_TOTAL_REVISED_2MONTH" hidden="1">"c16310"</definedName>
    <definedName name="IQ_EPS_EST_TOTAL_REVISED_2MONTH_CIQ" hidden="1">"c16634"</definedName>
    <definedName name="IQ_EPS_EST_TOTAL_REVISED_3MONTH" hidden="1">"c16314"</definedName>
    <definedName name="IQ_EPS_EST_TOTAL_REVISED_3MONTH_CIQ" hidden="1">"c16638"</definedName>
    <definedName name="IQ_EPS_EST_TOTAL_REVISED_MONTH" hidden="1">"c16306"</definedName>
    <definedName name="IQ_EPS_EST_TOTAL_REVISED_MONTH_CIQ" hidden="1">"c16630"</definedName>
    <definedName name="IQ_EPS_EST_UP_2MONTH" hidden="1">"c16308"</definedName>
    <definedName name="IQ_EPS_EST_UP_2MONTH_CIQ" hidden="1">"c16632"</definedName>
    <definedName name="IQ_EPS_EST_UP_3MONTH" hidden="1">"c16312"</definedName>
    <definedName name="IQ_EPS_EST_UP_3MONTH_CIQ" hidden="1">"c16636"</definedName>
    <definedName name="IQ_EPS_EST_UP_MONTH" hidden="1">"c16304"</definedName>
    <definedName name="IQ_EPS_EST_UP_MONTH_CIQ" hidden="1">"c16628"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ROWTH_GUIDANCE" hidden="1">"c13495"</definedName>
    <definedName name="IQ_EPS_GROWTH_HIGH_GUIDANCE" hidden="1">"c13496"</definedName>
    <definedName name="IQ_EPS_GROWTH_LOW_GUIDANCE" hidden="1">"c13497"</definedName>
    <definedName name="IQ_EPS_GW_ACT_OR_EST" hidden="1">"c2223"</definedName>
    <definedName name="IQ_EPS_GW_ACT_OR_EST_CIQ" hidden="1">"c5066"</definedName>
    <definedName name="IQ_EPS_GW_EST" hidden="1">"c1737"</definedName>
    <definedName name="IQ_EPS_GW_EST_BOTTOM_UP" hidden="1">"c5491"</definedName>
    <definedName name="IQ_EPS_GW_EST_BOTTOM_UP_CIQ" hidden="1">"c12028"</definedName>
    <definedName name="IQ_EPS_GW_EST_CIQ" hidden="1">"c4723"</definedName>
    <definedName name="IQ_EPS_GW_EST_DOWN_2MONTH" hidden="1">"c16465"</definedName>
    <definedName name="IQ_EPS_GW_EST_DOWN_2MONTH_CIQ" hidden="1">"c16753"</definedName>
    <definedName name="IQ_EPS_GW_EST_DOWN_3MONTH" hidden="1">"c16469"</definedName>
    <definedName name="IQ_EPS_GW_EST_DOWN_3MONTH_CIQ" hidden="1">"c16757"</definedName>
    <definedName name="IQ_EPS_GW_EST_DOWN_MONTH" hidden="1">"c16461"</definedName>
    <definedName name="IQ_EPS_GW_EST_DOWN_MONTH_CIQ" hidden="1">"c16749"</definedName>
    <definedName name="IQ_EPS_GW_EST_NOTE" hidden="1">"c17524"</definedName>
    <definedName name="IQ_EPS_GW_EST_NOTE_CIQ" hidden="1">"c17477"</definedName>
    <definedName name="IQ_EPS_GW_EST_NUM_ANALYSTS_2MONTH" hidden="1">"c16463"</definedName>
    <definedName name="IQ_EPS_GW_EST_NUM_ANALYSTS_2MONTH_CIQ" hidden="1">"c16751"</definedName>
    <definedName name="IQ_EPS_GW_EST_NUM_ANALYSTS_3MONTH" hidden="1">"c16467"</definedName>
    <definedName name="IQ_EPS_GW_EST_NUM_ANALYSTS_3MONTH_CIQ" hidden="1">"c16755"</definedName>
    <definedName name="IQ_EPS_GW_EST_NUM_ANALYSTS_MONTH" hidden="1">"c16459"</definedName>
    <definedName name="IQ_EPS_GW_EST_NUM_ANALYSTS_MONTH_CIQ" hidden="1">"c16747"</definedName>
    <definedName name="IQ_EPS_GW_EST_TOTAL_REVISED_2MONTH" hidden="1">"c16466"</definedName>
    <definedName name="IQ_EPS_GW_EST_TOTAL_REVISED_2MONTH_CIQ" hidden="1">"c16754"</definedName>
    <definedName name="IQ_EPS_GW_EST_TOTAL_REVISED_3MONTH" hidden="1">"c16470"</definedName>
    <definedName name="IQ_EPS_GW_EST_TOTAL_REVISED_3MONTH_CIQ" hidden="1">"c16758"</definedName>
    <definedName name="IQ_EPS_GW_EST_TOTAL_REVISED_MONTH" hidden="1">"c16462"</definedName>
    <definedName name="IQ_EPS_GW_EST_TOTAL_REVISED_MONTH_CIQ" hidden="1">"c16750"</definedName>
    <definedName name="IQ_EPS_GW_EST_UP_2MONTH" hidden="1">"c16464"</definedName>
    <definedName name="IQ_EPS_GW_EST_UP_2MONTH_CIQ" hidden="1">"c16752"</definedName>
    <definedName name="IQ_EPS_GW_EST_UP_3MONTH" hidden="1">"c16468"</definedName>
    <definedName name="IQ_EPS_GW_EST_UP_3MONTH_CIQ" hidden="1">"c16756"</definedName>
    <definedName name="IQ_EPS_GW_EST_UP_MONTH" hidden="1">"c16460"</definedName>
    <definedName name="IQ_EPS_GW_EST_UP_MONTH_CIQ" hidden="1">"c16748"</definedName>
    <definedName name="IQ_EPS_GW_GUIDANCE" hidden="1">"c4372"</definedName>
    <definedName name="IQ_EPS_GW_HIGH_EST" hidden="1">"c1739"</definedName>
    <definedName name="IQ_EPS_GW_HIGH_EST_CIQ" hidden="1">"c4725"</definedName>
    <definedName name="IQ_EPS_GW_HIGH_GUIDANCE" hidden="1">"c4373"</definedName>
    <definedName name="IQ_EPS_GW_LOW_EST" hidden="1">"c1740"</definedName>
    <definedName name="IQ_EPS_GW_LOW_EST_CIQ" hidden="1">"c4726"</definedName>
    <definedName name="IQ_EPS_GW_LOW_GUIDANCE" hidden="1">"c4206"</definedName>
    <definedName name="IQ_EPS_GW_MEDIAN_EST" hidden="1">"c1738"</definedName>
    <definedName name="IQ_EPS_GW_MEDIAN_EST_CIQ" hidden="1">"c4724"</definedName>
    <definedName name="IQ_EPS_GW_NUM_EST" hidden="1">"c1741"</definedName>
    <definedName name="IQ_EPS_GW_NUM_EST_CIQ" hidden="1">"c4727"</definedName>
    <definedName name="IQ_EPS_GW_STDDEV_EST" hidden="1">"c1742"</definedName>
    <definedName name="IQ_EPS_GW_STDDEV_EST_CIQ" hidden="1">"c4728"</definedName>
    <definedName name="IQ_EPS_HIGH_EST" hidden="1">"c400"</definedName>
    <definedName name="IQ_EPS_HIGH_EST_CIQ" hidden="1">"c4995"</definedName>
    <definedName name="IQ_EPS_LOW_EST" hidden="1">"c401"</definedName>
    <definedName name="IQ_EPS_LOW_EST_CIQ" hidden="1">"c4996"</definedName>
    <definedName name="IQ_EPS_MEDIAN_EST" hidden="1">"c1661"</definedName>
    <definedName name="IQ_EPS_MEDIAN_EST_CIQ" hidden="1">"c4997"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CIQ" hidden="1">"c12027"</definedName>
    <definedName name="IQ_EPS_NORM_EST_CIQ" hidden="1">"c4667"</definedName>
    <definedName name="IQ_EPS_NORM_EST_DOWN_2MONTH" hidden="1">"c16597"</definedName>
    <definedName name="IQ_EPS_NORM_EST_DOWN_2MONTH_CIQ" hidden="1">"c16861"</definedName>
    <definedName name="IQ_EPS_NORM_EST_DOWN_3MONTH" hidden="1">"c16601"</definedName>
    <definedName name="IQ_EPS_NORM_EST_DOWN_3MONTH_CIQ" hidden="1">"c16865"</definedName>
    <definedName name="IQ_EPS_NORM_EST_DOWN_MONTH" hidden="1">"c16593"</definedName>
    <definedName name="IQ_EPS_NORM_EST_DOWN_MONTH_CIQ" hidden="1">"c16857"</definedName>
    <definedName name="IQ_EPS_NORM_EST_NOTE" hidden="1">"c17505"</definedName>
    <definedName name="IQ_EPS_NORM_EST_NOTE_CIQ" hidden="1">"c17458"</definedName>
    <definedName name="IQ_EPS_NORM_EST_NUM_ANALYSTS_2MONTH" hidden="1">"c16595"</definedName>
    <definedName name="IQ_EPS_NORM_EST_NUM_ANALYSTS_2MONTH_CIQ" hidden="1">"c16859"</definedName>
    <definedName name="IQ_EPS_NORM_EST_NUM_ANALYSTS_3MONTH" hidden="1">"c16599"</definedName>
    <definedName name="IQ_EPS_NORM_EST_NUM_ANALYSTS_3MONTH_CIQ" hidden="1">"c16863"</definedName>
    <definedName name="IQ_EPS_NORM_EST_NUM_ANALYSTS_MONTH" hidden="1">"c16591"</definedName>
    <definedName name="IQ_EPS_NORM_EST_NUM_ANALYSTS_MONTH_CIQ" hidden="1">"c16855"</definedName>
    <definedName name="IQ_EPS_NORM_EST_TOTAL_REVISED_2MONTH" hidden="1">"c16598"</definedName>
    <definedName name="IQ_EPS_NORM_EST_TOTAL_REVISED_2MONTH_CIQ" hidden="1">"c16862"</definedName>
    <definedName name="IQ_EPS_NORM_EST_TOTAL_REVISED_3MONTH" hidden="1">"c16602"</definedName>
    <definedName name="IQ_EPS_NORM_EST_TOTAL_REVISED_3MONTH_CIQ" hidden="1">"c16866"</definedName>
    <definedName name="IQ_EPS_NORM_EST_TOTAL_REVISED_MONTH" hidden="1">"c16594"</definedName>
    <definedName name="IQ_EPS_NORM_EST_TOTAL_REVISED_MONTH_CIQ" hidden="1">"c16858"</definedName>
    <definedName name="IQ_EPS_NORM_EST_UP_2MONTH" hidden="1">"c16596"</definedName>
    <definedName name="IQ_EPS_NORM_EST_UP_2MONTH_CIQ" hidden="1">"c16860"</definedName>
    <definedName name="IQ_EPS_NORM_EST_UP_3MONTH" hidden="1">"c16600"</definedName>
    <definedName name="IQ_EPS_NORM_EST_UP_3MONTH_CIQ" hidden="1">"c16864"</definedName>
    <definedName name="IQ_EPS_NORM_EST_UP_MONTH" hidden="1">"c16592"</definedName>
    <definedName name="IQ_EPS_NORM_EST_UP_MONTH_CIQ" hidden="1">"c16856"</definedName>
    <definedName name="IQ_EPS_NORM_HIGH_EST" hidden="1">"c2228"</definedName>
    <definedName name="IQ_EPS_NORM_HIGH_EST_CIQ" hidden="1">"c4669"</definedName>
    <definedName name="IQ_EPS_NORM_LOW_EST" hidden="1">"c2229"</definedName>
    <definedName name="IQ_EPS_NORM_LOW_EST_CIQ" hidden="1">"c4670"</definedName>
    <definedName name="IQ_EPS_NORM_MEDIAN_EST" hidden="1">"c2227"</definedName>
    <definedName name="IQ_EPS_NORM_MEDIAN_EST_CIQ" hidden="1">"c4668"</definedName>
    <definedName name="IQ_EPS_NORM_NUM_EST" hidden="1">"c2230"</definedName>
    <definedName name="IQ_EPS_NORM_NUM_EST_CIQ" hidden="1">"c4671"</definedName>
    <definedName name="IQ_EPS_NORM_STDDEV_EST" hidden="1">"c2231"</definedName>
    <definedName name="IQ_EPS_NORM_STDDEV_EST_CIQ" hidden="1">"c4672"</definedName>
    <definedName name="IQ_EPS_NUM_EST" hidden="1">"c402"</definedName>
    <definedName name="IQ_EPS_NUM_EST_CIQ" hidden="1">"c4992"</definedName>
    <definedName name="IQ_EPS_REPORT_ACT_OR_EST" hidden="1">"c2224"</definedName>
    <definedName name="IQ_EPS_REPORT_ACT_OR_EST_CIQ" hidden="1">"c5067"</definedName>
    <definedName name="IQ_EPS_REPORTED_EST" hidden="1">"c1744"</definedName>
    <definedName name="IQ_EPS_REPORTED_EST_BOTTOM_UP" hidden="1">"c5492"</definedName>
    <definedName name="IQ_EPS_REPORTED_EST_BOTTOM_UP_CIQ" hidden="1">"c12029"</definedName>
    <definedName name="IQ_EPS_REPORTED_EST_CIQ" hidden="1">"c4730"</definedName>
    <definedName name="IQ_EPS_REPORTED_EST_DOWN_2MONTH" hidden="1">"c16477"</definedName>
    <definedName name="IQ_EPS_REPORTED_EST_DOWN_2MONTH_CIQ" hidden="1">"c16765"</definedName>
    <definedName name="IQ_EPS_REPORTED_EST_DOWN_3MONTH" hidden="1">"c16481"</definedName>
    <definedName name="IQ_EPS_REPORTED_EST_DOWN_3MONTH_CIQ" hidden="1">"c16769"</definedName>
    <definedName name="IQ_EPS_REPORTED_EST_DOWN_MONTH" hidden="1">"c16473"</definedName>
    <definedName name="IQ_EPS_REPORTED_EST_DOWN_MONTH_CIQ" hidden="1">"c16761"</definedName>
    <definedName name="IQ_EPS_REPORTED_EST_NOTE" hidden="1">"c17517"</definedName>
    <definedName name="IQ_EPS_REPORTED_EST_NOTE_CIQ" hidden="1">"c17470"</definedName>
    <definedName name="IQ_EPS_REPORTED_EST_NUM_ANALYSTS_2MONTH" hidden="1">"c16475"</definedName>
    <definedName name="IQ_EPS_REPORTED_EST_NUM_ANALYSTS_2MONTH_CIQ" hidden="1">"c16763"</definedName>
    <definedName name="IQ_EPS_REPORTED_EST_NUM_ANALYSTS_3MONTH" hidden="1">"c16479"</definedName>
    <definedName name="IQ_EPS_REPORTED_EST_NUM_ANALYSTS_3MONTH_CIQ" hidden="1">"c16767"</definedName>
    <definedName name="IQ_EPS_REPORTED_EST_NUM_ANALYSTS_MONTH" hidden="1">"c16471"</definedName>
    <definedName name="IQ_EPS_REPORTED_EST_NUM_ANALYSTS_MONTH_CIQ" hidden="1">"c16759"</definedName>
    <definedName name="IQ_EPS_REPORTED_EST_TOTAL_REVISED_2MONTH" hidden="1">"c16478"</definedName>
    <definedName name="IQ_EPS_REPORTED_EST_TOTAL_REVISED_2MONTH_CIQ" hidden="1">"c16766"</definedName>
    <definedName name="IQ_EPS_REPORTED_EST_TOTAL_REVISED_3MONTH" hidden="1">"c16482"</definedName>
    <definedName name="IQ_EPS_REPORTED_EST_TOTAL_REVISED_3MONTH_CIQ" hidden="1">"c16770"</definedName>
    <definedName name="IQ_EPS_REPORTED_EST_TOTAL_REVISED_MONTH" hidden="1">"c16474"</definedName>
    <definedName name="IQ_EPS_REPORTED_EST_TOTAL_REVISED_MONTH_CIQ" hidden="1">"c16762"</definedName>
    <definedName name="IQ_EPS_REPORTED_EST_UP_2MONTH" hidden="1">"c16476"</definedName>
    <definedName name="IQ_EPS_REPORTED_EST_UP_2MONTH_CIQ" hidden="1">"c16764"</definedName>
    <definedName name="IQ_EPS_REPORTED_EST_UP_3MONTH" hidden="1">"c16480"</definedName>
    <definedName name="IQ_EPS_REPORTED_EST_UP_3MONTH_CIQ" hidden="1">"c16768"</definedName>
    <definedName name="IQ_EPS_REPORTED_EST_UP_MONTH" hidden="1">"c16472"</definedName>
    <definedName name="IQ_EPS_REPORTED_EST_UP_MONTH_CIQ" hidden="1">"c16760"</definedName>
    <definedName name="IQ_EPS_REPORTED_HIGH_EST" hidden="1">"c1746"</definedName>
    <definedName name="IQ_EPS_REPORTED_HIGH_EST_CIQ" hidden="1">"c4732"</definedName>
    <definedName name="IQ_EPS_REPORTED_LOW_EST" hidden="1">"c1747"</definedName>
    <definedName name="IQ_EPS_REPORTED_LOW_EST_CIQ" hidden="1">"c4733"</definedName>
    <definedName name="IQ_EPS_REPORTED_MEDIAN_EST" hidden="1">"c1745"</definedName>
    <definedName name="IQ_EPS_REPORTED_MEDIAN_EST_CIQ" hidden="1">"c4731"</definedName>
    <definedName name="IQ_EPS_REPORTED_NUM_EST" hidden="1">"c1748"</definedName>
    <definedName name="IQ_EPS_REPORTED_NUM_EST_CIQ" hidden="1">"c4734"</definedName>
    <definedName name="IQ_EPS_REPORTED_STDDEV_EST" hidden="1">"c1749"</definedName>
    <definedName name="IQ_EPS_REPORTED_STDDEV_EST_CIQ" hidden="1">"c4735"</definedName>
    <definedName name="IQ_EPS_SBC_ACT_OR_EST" hidden="1">"c4376"</definedName>
    <definedName name="IQ_EPS_SBC_ACT_OR_EST_CIQ" hidden="1">"c4901"</definedName>
    <definedName name="IQ_EPS_SBC_EST" hidden="1">"c4375"</definedName>
    <definedName name="IQ_EPS_SBC_EST_CIQ" hidden="1">"c4900"</definedName>
    <definedName name="IQ_EPS_SBC_GW_ACT_OR_EST" hidden="1">"c4380"</definedName>
    <definedName name="IQ_EPS_SBC_GW_ACT_OR_EST_CIQ" hidden="1">"c4905"</definedName>
    <definedName name="IQ_EPS_SBC_GW_EST" hidden="1">"c4379"</definedName>
    <definedName name="IQ_EPS_SBC_GW_EST_CIQ" hidden="1">"c4904"</definedName>
    <definedName name="IQ_EPS_SBC_GW_HIGH_EST" hidden="1">"c4382"</definedName>
    <definedName name="IQ_EPS_SBC_GW_HIGH_EST_CIQ" hidden="1">"c4907"</definedName>
    <definedName name="IQ_EPS_SBC_GW_LOW_EST" hidden="1">"c4383"</definedName>
    <definedName name="IQ_EPS_SBC_GW_LOW_EST_CIQ" hidden="1">"c4908"</definedName>
    <definedName name="IQ_EPS_SBC_GW_MEDIAN_EST" hidden="1">"c4384"</definedName>
    <definedName name="IQ_EPS_SBC_GW_MEDIAN_EST_CIQ" hidden="1">"c4909"</definedName>
    <definedName name="IQ_EPS_SBC_GW_NUM_EST" hidden="1">"c4385"</definedName>
    <definedName name="IQ_EPS_SBC_GW_NUM_EST_CIQ" hidden="1">"c4910"</definedName>
    <definedName name="IQ_EPS_SBC_GW_STDDEV_EST" hidden="1">"c4386"</definedName>
    <definedName name="IQ_EPS_SBC_GW_STDDEV_EST_CIQ" hidden="1">"c4911"</definedName>
    <definedName name="IQ_EPS_SBC_HIGH_EST" hidden="1">"c4388"</definedName>
    <definedName name="IQ_EPS_SBC_HIGH_EST_CIQ" hidden="1">"c4913"</definedName>
    <definedName name="IQ_EPS_SBC_LOW_EST" hidden="1">"c4389"</definedName>
    <definedName name="IQ_EPS_SBC_LOW_EST_CIQ" hidden="1">"c4914"</definedName>
    <definedName name="IQ_EPS_SBC_MEDIAN_EST" hidden="1">"c4390"</definedName>
    <definedName name="IQ_EPS_SBC_MEDIAN_EST_CIQ" hidden="1">"c4915"</definedName>
    <definedName name="IQ_EPS_SBC_NUM_EST" hidden="1">"c4391"</definedName>
    <definedName name="IQ_EPS_SBC_NUM_EST_CIQ" hidden="1">"c4916"</definedName>
    <definedName name="IQ_EPS_SBC_STDDEV_EST" hidden="1">"c4392"</definedName>
    <definedName name="IQ_EPS_SBC_STDDEV_EST_CIQ" hidden="1">"c4917"</definedName>
    <definedName name="IQ_EPS_STDDEV_EST" hidden="1">"c403"</definedName>
    <definedName name="IQ_EPS_STDDEV_EST_CIQ" hidden="1">"c4993"</definedName>
    <definedName name="IQ_EQUITY_AFFIL" hidden="1">"c1451"</definedName>
    <definedName name="IQ_EQUITY_AP" hidden="1">"c8887"</definedName>
    <definedName name="IQ_EQUITY_AP_ABS" hidden="1">"c8906"</definedName>
    <definedName name="IQ_EQUITY_ASKPRICE" hidden="1">"c17798"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BIDPRICE" hidden="1">"c17797"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INV_NOT_CARRIED_FV_ADJUSTED_NCOS_THRIFT" hidden="1">"c25226"</definedName>
    <definedName name="IQ_EQUITY_INV_NOT_CARRIED_FV_SVA_PROVISIONS_TRANSFERS_FROM_GVA_THRIFT" hidden="1">"c25195"</definedName>
    <definedName name="IQ_EQUITY_INV_NOT_SUBJECT_SFAS_NO115_GVA_CHARGE_OFFS_THRIFT" hidden="1">"c25141"</definedName>
    <definedName name="IQ_EQUITY_INV_NOT_SUBJECT_SFAS_NO115_GVA_RECOVERIES_THRIFT" hidden="1">"c25164"</definedName>
    <definedName name="IQ_EQUITY_LIST" hidden="1">"c15158"</definedName>
    <definedName name="IQ_EQUITY_METHOD" hidden="1">"c404"</definedName>
    <definedName name="IQ_EQUITY_MIDPRICE" hidden="1">"c17799"</definedName>
    <definedName name="IQ_EQUITY_NAME_AP" hidden="1">"c8925"</definedName>
    <definedName name="IQ_EQUITY_NAME_AP_ABS" hidden="1">"c8944"</definedName>
    <definedName name="IQ_EQUITY_SEC_FAIR_VALUE_AFS_AMORT_COST_FFIEC" hidden="1">"c20505"</definedName>
    <definedName name="IQ_EQUITY_SEC_FAIR_VALUE_AFS_FAIR_VAL_FFIEC" hidden="1">"c20470"</definedName>
    <definedName name="IQ_EQUITY_SEC_FAIR_VALUE_FFIEC" hidden="1">"c12805"</definedName>
    <definedName name="IQ_EQUITY_SEC_FV_THRIFT" hidden="1">"c24823"</definedName>
    <definedName name="IQ_EQUITY_SEC_INVEST_SECURITIES_FFIEC" hidden="1">"c13463"</definedName>
    <definedName name="IQ_EQUITY_SECURITIES_FDIC" hidden="1">"c6304"</definedName>
    <definedName name="IQ_EQUITY_SECURITIES_QUARTERLY_AVG_FFIEC" hidden="1">"c15474"</definedName>
    <definedName name="IQ_EQUITY_SECURITIES_WITHOUT_FAIR_VALUES_FFIEC" hidden="1">"c12846"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"c1390"</definedName>
    <definedName name="IQ_ESCROWS_THRIFT" hidden="1">"c24897"</definedName>
    <definedName name="IQ_ESOP_DEBT" hidden="1">"c1597"</definedName>
    <definedName name="IQ_ESOP_DEBT_GUARANTEED_FFIEC" hidden="1">"c12971"</definedName>
    <definedName name="IQ_ESOP_OVER_TOTAL" hidden="1">"c24734"</definedName>
    <definedName name="IQ_EST_ACT_AFFO_PER_SHARE" hidden="1">"c18250"</definedName>
    <definedName name="IQ_EST_ACT_AFFO_PER_SHARE_CIQ" hidden="1">"c18256"</definedName>
    <definedName name="IQ_EST_ACT_BV" hidden="1">"c5630"</definedName>
    <definedName name="IQ_EST_ACT_BV_CIQ" hidden="1">"c4743"</definedName>
    <definedName name="IQ_EST_ACT_BV_SHARE" hidden="1">"c3549"</definedName>
    <definedName name="IQ_EST_ACT_BV_SHARE_CIQ" hidden="1">"c3806"</definedName>
    <definedName name="IQ_EST_ACT_CAPEX" hidden="1">"c3546"</definedName>
    <definedName name="IQ_EST_ACT_CAPEX_CIQ" hidden="1">"c3813"</definedName>
    <definedName name="IQ_EST_ACT_CASH_EPS" hidden="1">"c5637"</definedName>
    <definedName name="IQ_EST_ACT_CASH_EPS_CIQ" hidden="1">"c18249"</definedName>
    <definedName name="IQ_EST_ACT_CASH_FLOW" hidden="1">"c4394"</definedName>
    <definedName name="IQ_EST_ACT_CASH_FLOW_CIQ" hidden="1">"c4919"</definedName>
    <definedName name="IQ_EST_ACT_CASH_OPER" hidden="1">"c4395"</definedName>
    <definedName name="IQ_EST_ACT_CASH_OPER_CIQ" hidden="1">"c4920"</definedName>
    <definedName name="IQ_EST_ACT_CFPS" hidden="1">"c1673"</definedName>
    <definedName name="IQ_EST_ACT_CFPS_CIQ" hidden="1">"c3681"</definedName>
    <definedName name="IQ_EST_ACT_DA" hidden="1">"c18253"</definedName>
    <definedName name="IQ_EST_ACT_DA_CIQ" hidden="1">"c18259"</definedName>
    <definedName name="IQ_EST_ACT_DISTRIBUTABLE_CASH" hidden="1">"c4396"</definedName>
    <definedName name="IQ_EST_ACT_DISTRIBUTABLE_CASH_CIQ" hidden="1">"c4921"</definedName>
    <definedName name="IQ_EST_ACT_DISTRIBUTABLE_CASH_SHARE" hidden="1">"c4397"</definedName>
    <definedName name="IQ_EST_ACT_DISTRIBUTABLE_CASH_SHARE_CIQ" hidden="1">"c4922"</definedName>
    <definedName name="IQ_EST_ACT_DPS" hidden="1">"c1680"</definedName>
    <definedName name="IQ_EST_ACT_DPS_CIQ" hidden="1">"c3688"</definedName>
    <definedName name="IQ_EST_ACT_EBIT" hidden="1">"c1687"</definedName>
    <definedName name="IQ_EST_ACT_EBIT_CIQ" hidden="1">"c4680"</definedName>
    <definedName name="IQ_EST_ACT_EBIT_GW" hidden="1">"c4398"</definedName>
    <definedName name="IQ_EST_ACT_EBIT_GW_CIQ" hidden="1">"c4923"</definedName>
    <definedName name="IQ_EST_ACT_EBIT_SBC" hidden="1">"c4399"</definedName>
    <definedName name="IQ_EST_ACT_EBIT_SBC_CIQ" hidden="1">"c4924"</definedName>
    <definedName name="IQ_EST_ACT_EBIT_SBC_GW" hidden="1">"c4400"</definedName>
    <definedName name="IQ_EST_ACT_EBIT_SBC_GW_CIQ" hidden="1">"c4925"</definedName>
    <definedName name="IQ_EST_ACT_EBITDA" hidden="1">"c1664"</definedName>
    <definedName name="IQ_EST_ACT_EBITDA_CIQ" hidden="1">"c3667"</definedName>
    <definedName name="IQ_EST_ACT_EBITDA_SBC" hidden="1">"c4401"</definedName>
    <definedName name="IQ_EST_ACT_EBITDA_SBC_CIQ" hidden="1">"c4926"</definedName>
    <definedName name="IQ_EST_ACT_EBT_SBC" hidden="1">"c4402"</definedName>
    <definedName name="IQ_EST_ACT_EBT_SBC_CIQ" hidden="1">"c4927"</definedName>
    <definedName name="IQ_EST_ACT_EBT_SBC_GW" hidden="1">"c4403"</definedName>
    <definedName name="IQ_EST_ACT_EBT_SBC_GW_CIQ" hidden="1">"c4928"</definedName>
    <definedName name="IQ_EST_ACT_EFFECTIVE_TAX" hidden="1">"c18251"</definedName>
    <definedName name="IQ_EST_ACT_EFFECTIVE_TAX_CIQ" hidden="1">"c18257"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NORM" hidden="1">"c2232"</definedName>
    <definedName name="IQ_EST_ACT_EPS_NORM_CIQ" hidden="1">"c4673"</definedName>
    <definedName name="IQ_EST_ACT_EPS_REPORTED" hidden="1">"c1750"</definedName>
    <definedName name="IQ_EST_ACT_EPS_REPORTED_CIQ" hidden="1">"c4736"</definedName>
    <definedName name="IQ_EST_ACT_EPS_SBC" hidden="1">"c4404"</definedName>
    <definedName name="IQ_EST_ACT_EPS_SBC_CIQ" hidden="1">"c4929"</definedName>
    <definedName name="IQ_EST_ACT_EPS_SBC_GW" hidden="1">"c4405"</definedName>
    <definedName name="IQ_EST_ACT_EPS_SBC_GW_CIQ" hidden="1">"c4930"</definedName>
    <definedName name="IQ_EST_ACT_FCF" hidden="1">"c18255"</definedName>
    <definedName name="IQ_EST_ACT_FCF_CIQ" hidden="1">"c18261"</definedName>
    <definedName name="IQ_EST_ACT_FFO" hidden="1">"c1666"</definedName>
    <definedName name="IQ_EST_ACT_FFO_ADJ" hidden="1">"c4406"</definedName>
    <definedName name="IQ_EST_ACT_FFO_ADJ_CIQ" hidden="1">"c4931"</definedName>
    <definedName name="IQ_EST_ACT_FFO_CIQ" hidden="1">"c4932"</definedName>
    <definedName name="IQ_EST_ACT_FFO_SHARE" hidden="1">"c1666"</definedName>
    <definedName name="IQ_EST_ACT_FFO_SHARE_CIQ" hidden="1">"c3674"</definedName>
    <definedName name="IQ_EST_ACT_FFO_THOM" hidden="1">"c4005"</definedName>
    <definedName name="IQ_EST_ACT_GROSS_MARGIN" hidden="1">"c5553"</definedName>
    <definedName name="IQ_EST_ACT_GROSS_MARGIN_CIQ" hidden="1">"c18248"</definedName>
    <definedName name="IQ_EST_ACT_INTEREST_EXP" hidden="1">"c18252"</definedName>
    <definedName name="IQ_EST_ACT_INTEREST_EXP_CIQ" hidden="1">"c18258"</definedName>
    <definedName name="IQ_EST_ACT_MAINT_CAPEX" hidden="1">"c4408"</definedName>
    <definedName name="IQ_EST_ACT_MAINT_CAPEX_CIQ" hidden="1">"c4933"</definedName>
    <definedName name="IQ_EST_ACT_NAV" hidden="1">"c1757"</definedName>
    <definedName name="IQ_EST_ACT_NAV_CIQ" hidden="1">"c18247"</definedName>
    <definedName name="IQ_EST_ACT_NAV_SHARE" hidden="1">"c5608"</definedName>
    <definedName name="IQ_EST_ACT_NAV_SHARE_CIQ" hidden="1">"c12031"</definedName>
    <definedName name="IQ_EST_ACT_NET_DEBT" hidden="1">"c3545"</definedName>
    <definedName name="IQ_EST_ACT_NET_DEBT_CIQ" hidden="1">"c3820"</definedName>
    <definedName name="IQ_EST_ACT_NI" hidden="1">"c1722"</definedName>
    <definedName name="IQ_EST_ACT_NI_CIQ" hidden="1">"c4708"</definedName>
    <definedName name="IQ_EST_ACT_NI_GW" hidden="1">"c1729"</definedName>
    <definedName name="IQ_EST_ACT_NI_GW_CIQ" hidden="1">"c4715"</definedName>
    <definedName name="IQ_EST_ACT_NI_REPORTED" hidden="1">"c1736"</definedName>
    <definedName name="IQ_EST_ACT_NI_REPORTED_CIQ" hidden="1">"c4722"</definedName>
    <definedName name="IQ_EST_ACT_NI_SBC" hidden="1">"c4409"</definedName>
    <definedName name="IQ_EST_ACT_NI_SBC_CIQ" hidden="1">"c4934"</definedName>
    <definedName name="IQ_EST_ACT_NI_SBC_GW" hidden="1">"c4410"</definedName>
    <definedName name="IQ_EST_ACT_NI_SBC_GW_CIQ" hidden="1">"c4935"</definedName>
    <definedName name="IQ_EST_ACT_OPER_INC" hidden="1">"c1694"</definedName>
    <definedName name="IQ_EST_ACT_OPER_INC_CIQ" hidden="1">"c12016"</definedName>
    <definedName name="IQ_EST_ACT_PRETAX_GW_INC" hidden="1">"c1708"</definedName>
    <definedName name="IQ_EST_ACT_PRETAX_GW_INC_CIQ" hidden="1">"c4694"</definedName>
    <definedName name="IQ_EST_ACT_PRETAX_INC" hidden="1">"c1701"</definedName>
    <definedName name="IQ_EST_ACT_PRETAX_INC_CIQ" hidden="1">"c4687"</definedName>
    <definedName name="IQ_EST_ACT_PRETAX_REPORT_INC" hidden="1">"c1715"</definedName>
    <definedName name="IQ_EST_ACT_PRETAX_REPORT_INC_CIQ" hidden="1">"c4701"</definedName>
    <definedName name="IQ_EST_ACT_RECURRING_PROFIT" hidden="1">"c4411"</definedName>
    <definedName name="IQ_EST_ACT_RECURRING_PROFIT_CIQ" hidden="1">"c4936"</definedName>
    <definedName name="IQ_EST_ACT_RECURRING_PROFIT_SHARE" hidden="1">"c4412"</definedName>
    <definedName name="IQ_EST_ACT_RECURRING_PROFIT_SHARE_CIQ" hidden="1">"c4937"</definedName>
    <definedName name="IQ_EST_ACT_RETURN_ASSETS" hidden="1">"c3547"</definedName>
    <definedName name="IQ_EST_ACT_RETURN_ASSETS_CIQ" hidden="1">"c3834"</definedName>
    <definedName name="IQ_EST_ACT_RETURN_EQUITY" hidden="1">"c3548"</definedName>
    <definedName name="IQ_EST_ACT_RETURN_EQUITY_CIQ" hidden="1">"c3827"</definedName>
    <definedName name="IQ_EST_ACT_REV" hidden="1">"c2113"</definedName>
    <definedName name="IQ_EST_ACT_REV_CIQ" hidden="1">"c3666"</definedName>
    <definedName name="IQ_EST_ACT_SAME_STORE" hidden="1">"c18254"</definedName>
    <definedName name="IQ_EST_ACT_SAME_STORE_CIQ" hidden="1">"c18260"</definedName>
    <definedName name="IQ_EST_BV_SHARE_DIFF" hidden="1">"c4147"</definedName>
    <definedName name="IQ_EST_BV_SHARE_DIFF_CIQ" hidden="1">"c4559"</definedName>
    <definedName name="IQ_EST_BV_SHARE_SURPRISE_PERCENT" hidden="1">"c4148"</definedName>
    <definedName name="IQ_EST_BV_SHARE_SURPRISE_PERCENT_CIQ" hidden="1">"c4560"</definedName>
    <definedName name="IQ_EST_CAPEX_DIFF" hidden="1">"c4149"</definedName>
    <definedName name="IQ_EST_CAPEX_DIFF_CIQ" hidden="1">"c4561"</definedName>
    <definedName name="IQ_EST_CAPEX_GROWTH_1YR" hidden="1">"c3588"</definedName>
    <definedName name="IQ_EST_CAPEX_GROWTH_1YR_CIQ" hidden="1">"c4972"</definedName>
    <definedName name="IQ_EST_CAPEX_GROWTH_2YR" hidden="1">"c3589"</definedName>
    <definedName name="IQ_EST_CAPEX_GROWTH_2YR_CIQ" hidden="1">"c4973"</definedName>
    <definedName name="IQ_EST_CAPEX_GROWTH_Q_1YR" hidden="1">"c3590"</definedName>
    <definedName name="IQ_EST_CAPEX_GROWTH_Q_1YR_CIQ" hidden="1">"c4974"</definedName>
    <definedName name="IQ_EST_CAPEX_SEQ_GROWTH_Q" hidden="1">"c3591"</definedName>
    <definedName name="IQ_EST_CAPEX_SEQ_GROWTH_Q_CIQ" hidden="1">"c4975"</definedName>
    <definedName name="IQ_EST_CAPEX_SURPRISE_PERCENT" hidden="1">"c4151"</definedName>
    <definedName name="IQ_EST_CAPEX_SURPRISE_PERCENT_CIQ" hidden="1">"c4563"</definedName>
    <definedName name="IQ_EST_CASH_FLOW_DIFF" hidden="1">"c4152"</definedName>
    <definedName name="IQ_EST_CASH_FLOW_DIFF_CIQ" hidden="1">"c4564"</definedName>
    <definedName name="IQ_EST_CASH_FLOW_SURPRISE_PERCENT" hidden="1">"c4161"</definedName>
    <definedName name="IQ_EST_CASH_FLOW_SURPRISE_PERCENT_CIQ" hidden="1">"c4573"</definedName>
    <definedName name="IQ_EST_CASH_OPER_DIFF" hidden="1">"c4162"</definedName>
    <definedName name="IQ_EST_CASH_OPER_DIFF_CIQ" hidden="1">"c4574"</definedName>
    <definedName name="IQ_EST_CASH_OPER_SURPRISE_PERCENT" hidden="1">"c4248"</definedName>
    <definedName name="IQ_EST_CASH_OPER_SURPRISE_PERCENT_CIQ" hidden="1">"c4774"</definedName>
    <definedName name="IQ_EST_CFPS_DIFF" hidden="1">"c1871"</definedName>
    <definedName name="IQ_EST_CFPS_DIFF_CIQ" hidden="1">"c3723"</definedName>
    <definedName name="IQ_EST_CFPS_GROWTH_1YR" hidden="1">"c1774"</definedName>
    <definedName name="IQ_EST_CFPS_GROWTH_1YR_CIQ" hidden="1">"c3709"</definedName>
    <definedName name="IQ_EST_CFPS_GROWTH_2YR" hidden="1">"c1775"</definedName>
    <definedName name="IQ_EST_CFPS_GROWTH_2YR_CIQ" hidden="1">"c3710"</definedName>
    <definedName name="IQ_EST_CFPS_GROWTH_Q_1YR" hidden="1">"c1776"</definedName>
    <definedName name="IQ_EST_CFPS_GROWTH_Q_1YR_CIQ" hidden="1">"c3711"</definedName>
    <definedName name="IQ_EST_CFPS_SEQ_GROWTH_Q" hidden="1">"c1777"</definedName>
    <definedName name="IQ_EST_CFPS_SEQ_GROWTH_Q_CIQ" hidden="1">"c3712"</definedName>
    <definedName name="IQ_EST_CFPS_SURPRISE_PERCENT" hidden="1">"c1872"</definedName>
    <definedName name="IQ_EST_CFPS_SURPRISE_PERCENT_CIQ" hidden="1">"c3724"</definedName>
    <definedName name="IQ_EST_CURRENCY" hidden="1">"c2140"</definedName>
    <definedName name="IQ_EST_CURRENCY_CIQ" hidden="1">"c4769"</definedName>
    <definedName name="IQ_EST_DATE" hidden="1">"c1634"</definedName>
    <definedName name="IQ_EST_DATE_CIQ" hidden="1">"c4770"</definedName>
    <definedName name="IQ_EST_DISTRIBUTABLE_CASH_DIFF" hidden="1">"c4276"</definedName>
    <definedName name="IQ_EST_DISTRIBUTABLE_CASH_DIFF_CIQ" hidden="1">"c4801"</definedName>
    <definedName name="IQ_EST_DISTRIBUTABLE_CASH_GROWTH_1YR" hidden="1">"c4413"</definedName>
    <definedName name="IQ_EST_DISTRIBUTABLE_CASH_GROWTH_1YR_CIQ" hidden="1">"c4938"</definedName>
    <definedName name="IQ_EST_DISTRIBUTABLE_CASH_GROWTH_2YR" hidden="1">"c4414"</definedName>
    <definedName name="IQ_EST_DISTRIBUTABLE_CASH_GROWTH_2YR_CIQ" hidden="1">"c4939"</definedName>
    <definedName name="IQ_EST_DISTRIBUTABLE_CASH_GROWTH_Q_1YR" hidden="1">"c4415"</definedName>
    <definedName name="IQ_EST_DISTRIBUTABLE_CASH_GROWTH_Q_1YR_CIQ" hidden="1">"c4940"</definedName>
    <definedName name="IQ_EST_DISTRIBUTABLE_CASH_SEQ_GROWTH_Q" hidden="1">"c4416"</definedName>
    <definedName name="IQ_EST_DISTRIBUTABLE_CASH_SEQ_GROWTH_Q_CIQ" hidden="1">"c4941"</definedName>
    <definedName name="IQ_EST_DISTRIBUTABLE_CASH_SHARE_DIFF" hidden="1">"c4284"</definedName>
    <definedName name="IQ_EST_DISTRIBUTABLE_CASH_SHARE_DIFF_CIQ" hidden="1">"c4809"</definedName>
    <definedName name="IQ_EST_DISTRIBUTABLE_CASH_SHARE_GROWTH_1YR" hidden="1">"c4417"</definedName>
    <definedName name="IQ_EST_DISTRIBUTABLE_CASH_SHARE_GROWTH_1YR_CIQ" hidden="1">"c4942"</definedName>
    <definedName name="IQ_EST_DISTRIBUTABLE_CASH_SHARE_GROWTH_2YR" hidden="1">"c4418"</definedName>
    <definedName name="IQ_EST_DISTRIBUTABLE_CASH_SHARE_GROWTH_2YR_CIQ" hidden="1">"c4943"</definedName>
    <definedName name="IQ_EST_DISTRIBUTABLE_CASH_SHARE_GROWTH_Q_1YR" hidden="1">"c4419"</definedName>
    <definedName name="IQ_EST_DISTRIBUTABLE_CASH_SHARE_GROWTH_Q_1YR_CIQ" hidden="1">"c4944"</definedName>
    <definedName name="IQ_EST_DISTRIBUTABLE_CASH_SHARE_SEQ_GROWTH_Q" hidden="1">"c4420"</definedName>
    <definedName name="IQ_EST_DISTRIBUTABLE_CASH_SHARE_SEQ_GROWTH_Q_CIQ" hidden="1">"c4945"</definedName>
    <definedName name="IQ_EST_DISTRIBUTABLE_CASH_SHARE_SURPRISE_PERCENT" hidden="1">"c4293"</definedName>
    <definedName name="IQ_EST_DISTRIBUTABLE_CASH_SHARE_SURPRISE_PERCENT_CIQ" hidden="1">"c4818"</definedName>
    <definedName name="IQ_EST_DISTRIBUTABLE_CASH_SURPRISE_PERCENT" hidden="1">"c4295"</definedName>
    <definedName name="IQ_EST_DISTRIBUTABLE_CASH_SURPRISE_PERCENT_CIQ" hidden="1">"c4820"</definedName>
    <definedName name="IQ_EST_DPS_DIFF" hidden="1">"c1873"</definedName>
    <definedName name="IQ_EST_DPS_DIFF_CIQ" hidden="1">"c3725"</definedName>
    <definedName name="IQ_EST_DPS_GROWTH_1YR" hidden="1">"c1778"</definedName>
    <definedName name="IQ_EST_DPS_GROWTH_1YR_CIQ" hidden="1">"c3713"</definedName>
    <definedName name="IQ_EST_DPS_GROWTH_2YR" hidden="1">"c1779"</definedName>
    <definedName name="IQ_EST_DPS_GROWTH_2YR_CIQ" hidden="1">"c3714"</definedName>
    <definedName name="IQ_EST_DPS_GROWTH_Q_1YR" hidden="1">"c1780"</definedName>
    <definedName name="IQ_EST_DPS_GROWTH_Q_1YR_CIQ" hidden="1">"c3715"</definedName>
    <definedName name="IQ_EST_DPS_SEQ_GROWTH_Q" hidden="1">"c1781"</definedName>
    <definedName name="IQ_EST_DPS_SEQ_GROWTH_Q_CIQ" hidden="1">"c3716"</definedName>
    <definedName name="IQ_EST_DPS_SURPRISE_PERCENT" hidden="1">"c1874"</definedName>
    <definedName name="IQ_EST_DPS_SURPRISE_PERCENT_CIQ" hidden="1">"c3726"</definedName>
    <definedName name="IQ_EST_EBIT_DIFF" hidden="1">"c1875"</definedName>
    <definedName name="IQ_EST_EBIT_DIFF_CIQ" hidden="1">"c4747"</definedName>
    <definedName name="IQ_EST_EBIT_GW_DIFF" hidden="1">"c4304"</definedName>
    <definedName name="IQ_EST_EBIT_GW_DIFF_CIQ" hidden="1">"c4829"</definedName>
    <definedName name="IQ_EST_EBIT_GW_SURPRISE_PERCENT" hidden="1">"c4313"</definedName>
    <definedName name="IQ_EST_EBIT_GW_SURPRISE_PERCENT_CIQ" hidden="1">"c4838"</definedName>
    <definedName name="IQ_EST_EBIT_SBC_DIFF" hidden="1">"c4314"</definedName>
    <definedName name="IQ_EST_EBIT_SBC_DIFF_CIQ" hidden="1">"c4839"</definedName>
    <definedName name="IQ_EST_EBIT_SBC_GW_DIFF" hidden="1">"c4318"</definedName>
    <definedName name="IQ_EST_EBIT_SBC_GW_DIFF_CIQ" hidden="1">"c4843"</definedName>
    <definedName name="IQ_EST_EBIT_SBC_GW_SURPRISE_PERCENT" hidden="1">"c4327"</definedName>
    <definedName name="IQ_EST_EBIT_SBC_GW_SURPRISE_PERCENT_CIQ" hidden="1">"c4852"</definedName>
    <definedName name="IQ_EST_EBIT_SBC_SURPRISE_PERCENT" hidden="1">"c4333"</definedName>
    <definedName name="IQ_EST_EBIT_SBC_SURPRISE_PERCENT_CIQ" hidden="1">"c4858"</definedName>
    <definedName name="IQ_EST_EBIT_SURPRISE_PERCENT" hidden="1">"c1876"</definedName>
    <definedName name="IQ_EST_EBIT_SURPRISE_PERCENT_CIQ" hidden="1">"c4748"</definedName>
    <definedName name="IQ_EST_EBITDA_DIFF" hidden="1">"c1867"</definedName>
    <definedName name="IQ_EST_EBITDA_DIFF_CIQ" hidden="1">"c3719"</definedName>
    <definedName name="IQ_EST_EBITDA_GROWTH_1YR" hidden="1">"c1766"</definedName>
    <definedName name="IQ_EST_EBITDA_GROWTH_1YR_CIQ" hidden="1">"c3695"</definedName>
    <definedName name="IQ_EST_EBITDA_GROWTH_2YR" hidden="1">"c1767"</definedName>
    <definedName name="IQ_EST_EBITDA_GROWTH_2YR_CIQ" hidden="1">"c3696"</definedName>
    <definedName name="IQ_EST_EBITDA_GROWTH_Q_1YR" hidden="1">"c1768"</definedName>
    <definedName name="IQ_EST_EBITDA_GROWTH_Q_1YR_CIQ" hidden="1">"c3697"</definedName>
    <definedName name="IQ_EST_EBITDA_SBC_DIFF" hidden="1">"c4335"</definedName>
    <definedName name="IQ_EST_EBITDA_SBC_DIFF_CIQ" hidden="1">"c4860"</definedName>
    <definedName name="IQ_EST_EBITDA_SBC_SURPRISE_PERCENT" hidden="1">"c4344"</definedName>
    <definedName name="IQ_EST_EBITDA_SBC_SURPRISE_PERCENT_CIQ" hidden="1">"c4869"</definedName>
    <definedName name="IQ_EST_EBITDA_SEQ_GROWTH_Q" hidden="1">"c1769"</definedName>
    <definedName name="IQ_EST_EBITDA_SEQ_GROWTH_Q_CIQ" hidden="1">"c3698"</definedName>
    <definedName name="IQ_EST_EBITDA_SURPRISE_PERCENT" hidden="1">"c1868"</definedName>
    <definedName name="IQ_EST_EBITDA_SURPRISE_PERCENT_CIQ" hidden="1">"c3720"</definedName>
    <definedName name="IQ_EST_EBT_SBC_DIFF" hidden="1">"c4348"</definedName>
    <definedName name="IQ_EST_EBT_SBC_DIFF_CIQ" hidden="1">"c4873"</definedName>
    <definedName name="IQ_EST_EBT_SBC_GW_DIFF" hidden="1">"c4352"</definedName>
    <definedName name="IQ_EST_EBT_SBC_GW_DIFF_CIQ" hidden="1">"c4877"</definedName>
    <definedName name="IQ_EST_EBT_SBC_GW_SURPRISE_PERCENT" hidden="1">"c4361"</definedName>
    <definedName name="IQ_EST_EBT_SBC_GW_SURPRISE_PERCENT_CIQ" hidden="1">"c4886"</definedName>
    <definedName name="IQ_EST_EBT_SBC_SURPRISE_PERCENT" hidden="1">"c4367"</definedName>
    <definedName name="IQ_EST_EBT_SBC_SURPRISE_PERCENT_CIQ" hidden="1">"c4892"</definedName>
    <definedName name="IQ_EST_EPS_DIFF" hidden="1">"c1864"</definedName>
    <definedName name="IQ_EST_EPS_DIFF_CIQ" hidden="1">"c4999"</definedName>
    <definedName name="IQ_EST_EPS_GROWTH_1YR" hidden="1">"c1636"</definedName>
    <definedName name="IQ_EST_EPS_GROWTH_1YR_CIQ" hidden="1">"c3628"</definedName>
    <definedName name="IQ_EST_EPS_GROWTH_2YR" hidden="1">"c1637"</definedName>
    <definedName name="IQ_EST_EPS_GROWTH_2YR_CIQ" hidden="1">"c3689"</definedName>
    <definedName name="IQ_EST_EPS_GROWTH_5YR" hidden="1">"c1655"</definedName>
    <definedName name="IQ_EST_EPS_GROWTH_5YR_BOTTOM_UP" hidden="1">"c5487"</definedName>
    <definedName name="IQ_EST_EPS_GROWTH_5YR_BOTTOM_UP_CIQ" hidden="1">"c12024"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W_DIFF" hidden="1">"c1891"</definedName>
    <definedName name="IQ_EST_EPS_GW_DIFF_CIQ" hidden="1">"c4761"</definedName>
    <definedName name="IQ_EST_EPS_GW_SURPRISE_PERCENT" hidden="1">"c1892"</definedName>
    <definedName name="IQ_EST_EPS_GW_SURPRISE_PERCENT_CIQ" hidden="1">"c4762"</definedName>
    <definedName name="IQ_EST_EPS_NORM_DIFF" hidden="1">"c2247"</definedName>
    <definedName name="IQ_EST_EPS_NORM_DIFF_CIQ" hidden="1">"c4745"</definedName>
    <definedName name="IQ_EST_EPS_NORM_SURPRISE_PERCENT" hidden="1">"c2248"</definedName>
    <definedName name="IQ_EST_EPS_NORM_SURPRISE_PERCENT_CIQ" hidden="1">"c4746"</definedName>
    <definedName name="IQ_EST_EPS_REPORT_DIFF" hidden="1">"c1893"</definedName>
    <definedName name="IQ_EST_EPS_REPORT_DIFF_CIQ" hidden="1">"c4763"</definedName>
    <definedName name="IQ_EST_EPS_REPORT_SURPRISE_PERCENT" hidden="1">"c1894"</definedName>
    <definedName name="IQ_EST_EPS_REPORT_SURPRISE_PERCENT_CIQ" hidden="1">"c4764"</definedName>
    <definedName name="IQ_EST_EPS_SBC_DIFF" hidden="1">"c4374"</definedName>
    <definedName name="IQ_EST_EPS_SBC_DIFF_CIQ" hidden="1">"c4899"</definedName>
    <definedName name="IQ_EST_EPS_SBC_GW_DIFF" hidden="1">"c4378"</definedName>
    <definedName name="IQ_EST_EPS_SBC_GW_DIFF_CIQ" hidden="1">"c4903"</definedName>
    <definedName name="IQ_EST_EPS_SBC_GW_SURPRISE_PERCENT" hidden="1">"c4387"</definedName>
    <definedName name="IQ_EST_EPS_SBC_GW_SURPRISE_PERCENT_CIQ" hidden="1">"c4912"</definedName>
    <definedName name="IQ_EST_EPS_SBC_SURPRISE_PERCENT" hidden="1">"c4393"</definedName>
    <definedName name="IQ_EST_EPS_SBC_SURPRISE_PERCENT_CIQ" hidden="1">"c4918"</definedName>
    <definedName name="IQ_EST_EPS_SEQ_GROWTH_Q" hidden="1">"c1764"</definedName>
    <definedName name="IQ_EST_EPS_SEQ_GROWTH_Q_CIQ" hidden="1">"c3690"</definedName>
    <definedName name="IQ_EST_EPS_SURPRISE_PERCENT" hidden="1">"c1635"</definedName>
    <definedName name="IQ_EST_EPS_SURPRISE_PERCENT_CIQ" hidden="1">"c5000"</definedName>
    <definedName name="IQ_EST_FAIR_VALUE_MORT_SERVICING_ASSETS_FFIEC" hidden="1">"c12956"</definedName>
    <definedName name="IQ_EST_FFO_ADJ_DIFF" hidden="1">"c4433"</definedName>
    <definedName name="IQ_EST_FFO_ADJ_DIFF_CIQ" hidden="1">"c4958"</definedName>
    <definedName name="IQ_EST_FFO_ADJ_GROWTH_1YR" hidden="1">"c4421"</definedName>
    <definedName name="IQ_EST_FFO_ADJ_GROWTH_1YR_CIQ" hidden="1">"c4946"</definedName>
    <definedName name="IQ_EST_FFO_ADJ_GROWTH_2YR" hidden="1">"c4422"</definedName>
    <definedName name="IQ_EST_FFO_ADJ_GROWTH_2YR_CIQ" hidden="1">"c4947"</definedName>
    <definedName name="IQ_EST_FFO_ADJ_GROWTH_Q_1YR" hidden="1">"c4423"</definedName>
    <definedName name="IQ_EST_FFO_ADJ_GROWTH_Q_1YR_CIQ" hidden="1">"c4948"</definedName>
    <definedName name="IQ_EST_FFO_ADJ_SEQ_GROWTH_Q" hidden="1">"c4424"</definedName>
    <definedName name="IQ_EST_FFO_ADJ_SEQ_GROWTH_Q_CIQ" hidden="1">"c4949"</definedName>
    <definedName name="IQ_EST_FFO_ADJ_SURPRISE_PERCENT" hidden="1">"c4442"</definedName>
    <definedName name="IQ_EST_FFO_ADJ_SURPRISE_PERCENT_CIQ" hidden="1">"c4967"</definedName>
    <definedName name="IQ_EST_FFO_DIFF" hidden="1">"c1869"</definedName>
    <definedName name="IQ_EST_FFO_DIFF_CIQ" hidden="1">"c4969"</definedName>
    <definedName name="IQ_EST_FFO_DIFF_THOM" hidden="1">"c5186"</definedName>
    <definedName name="IQ_EST_FFO_GROWTH_1YR" hidden="1">"c1770"</definedName>
    <definedName name="IQ_EST_FFO_GROWTH_1YR_CIQ" hidden="1">"c4950"</definedName>
    <definedName name="IQ_EST_FFO_GROWTH_2YR" hidden="1">"c1771"</definedName>
    <definedName name="IQ_EST_FFO_GROWTH_2YR_CIQ" hidden="1">"c4951"</definedName>
    <definedName name="IQ_EST_FFO_GROWTH_Q_1YR" hidden="1">"c1772"</definedName>
    <definedName name="IQ_EST_FFO_GROWTH_Q_1YR_CIQ" hidden="1">"c4952"</definedName>
    <definedName name="IQ_EST_FFO_SEQ_GROWTH_Q" hidden="1">"c1773"</definedName>
    <definedName name="IQ_EST_FFO_SEQ_GROWTH_Q_CIQ" hidden="1">"c4953"</definedName>
    <definedName name="IQ_EST_FFO_SHARE_DIFF" hidden="1">"c1869"</definedName>
    <definedName name="IQ_EST_FFO_SHARE_DIFF_CIQ" hidden="1">"c3721"</definedName>
    <definedName name="IQ_EST_FFO_SHARE_GROWTH_1YR" hidden="1">"c1770"</definedName>
    <definedName name="IQ_EST_FFO_SHARE_GROWTH_1YR_CIQ" hidden="1">"c3705"</definedName>
    <definedName name="IQ_EST_FFO_SHARE_GROWTH_2YR" hidden="1">"c1771"</definedName>
    <definedName name="IQ_EST_FFO_SHARE_GROWTH_2YR_CIQ" hidden="1">"c3706"</definedName>
    <definedName name="IQ_EST_FFO_SHARE_GROWTH_Q_1YR" hidden="1">"c1772"</definedName>
    <definedName name="IQ_EST_FFO_SHARE_GROWTH_Q_1YR_CIQ" hidden="1">"c3707"</definedName>
    <definedName name="IQ_EST_FFO_SHARE_SEQ_GROWTH_Q" hidden="1">"c1773"</definedName>
    <definedName name="IQ_EST_FFO_SHARE_SEQ_GROWTH_Q_CIQ" hidden="1">"c3708"</definedName>
    <definedName name="IQ_EST_FFO_SHARE_SURPRISE_PERCENT" hidden="1">"c1870"</definedName>
    <definedName name="IQ_EST_FFO_SHARE_SURPRISE_PERCENT_CIQ" hidden="1">"c3722"</definedName>
    <definedName name="IQ_EST_FFO_SURPRISE_PERCENT" hidden="1">"c1870"</definedName>
    <definedName name="IQ_EST_FFO_SURPRISE_PERCENT_CIQ" hidden="1">"c4982"</definedName>
    <definedName name="IQ_EST_FFO_SURPRISE_PERCENT_THOM" hidden="1">"c5187"</definedName>
    <definedName name="IQ_EST_FOOTNOTE" hidden="1">"c4540"</definedName>
    <definedName name="IQ_EST_FOOTNOTE_CIQ" hidden="1">"c12022"</definedName>
    <definedName name="IQ_EST_MAINT_CAPEX_DIFF" hidden="1">"c4456"</definedName>
    <definedName name="IQ_EST_MAINT_CAPEX_DIFF_CIQ" hidden="1">"c4985"</definedName>
    <definedName name="IQ_EST_MAINT_CAPEX_GROWTH_1YR" hidden="1">"c4429"</definedName>
    <definedName name="IQ_EST_MAINT_CAPEX_GROWTH_1YR_CIQ" hidden="1">"c4954"</definedName>
    <definedName name="IQ_EST_MAINT_CAPEX_GROWTH_2YR" hidden="1">"c4430"</definedName>
    <definedName name="IQ_EST_MAINT_CAPEX_GROWTH_2YR_CIQ" hidden="1">"c4955"</definedName>
    <definedName name="IQ_EST_MAINT_CAPEX_GROWTH_Q_1YR" hidden="1">"c4431"</definedName>
    <definedName name="IQ_EST_MAINT_CAPEX_GROWTH_Q_1YR_CIQ" hidden="1">"c4956"</definedName>
    <definedName name="IQ_EST_MAINT_CAPEX_SEQ_GROWTH_Q" hidden="1">"c4432"</definedName>
    <definedName name="IQ_EST_MAINT_CAPEX_SEQ_GROWTH_Q_CIQ" hidden="1">"c4957"</definedName>
    <definedName name="IQ_EST_MAINT_CAPEX_SURPRISE_PERCENT" hidden="1">"c4465"</definedName>
    <definedName name="IQ_EST_MAINT_CAPEX_SURPRISE_PERCENT_CIQ" hidden="1">"c5003"</definedName>
    <definedName name="IQ_EST_NAV_DIFF" hidden="1">"c1895"</definedName>
    <definedName name="IQ_EST_NAV_SHARE_SURPRISE_PERCENT" hidden="1">"c1896"</definedName>
    <definedName name="IQ_EST_NAV_SURPRISE_PERCENT" hidden="1">"c1896"</definedName>
    <definedName name="IQ_EST_NET_DEBT_DIFF" hidden="1">"c4466"</definedName>
    <definedName name="IQ_EST_NET_DEBT_DIFF_CIQ" hidden="1">"c5004"</definedName>
    <definedName name="IQ_EST_NET_DEBT_SURPRISE_PERCENT" hidden="1">"c4468"</definedName>
    <definedName name="IQ_EST_NET_DEBT_SURPRISE_PERCENT_CIQ" hidden="1">"c5006"</definedName>
    <definedName name="IQ_EST_NEXT_EARNINGS_DATE" hidden="1">"c13591"</definedName>
    <definedName name="IQ_EST_NI_DIFF" hidden="1">"c1885"</definedName>
    <definedName name="IQ_EST_NI_DIFF_CIQ" hidden="1">"c4755"</definedName>
    <definedName name="IQ_EST_NI_GW_DIFF" hidden="1">"c1887"</definedName>
    <definedName name="IQ_EST_NI_GW_DIFF_CIQ" hidden="1">"c4757"</definedName>
    <definedName name="IQ_EST_NI_GW_SURPRISE_PERCENT" hidden="1">"c1888"</definedName>
    <definedName name="IQ_EST_NI_GW_SURPRISE_PERCENT_CIQ" hidden="1">"c4758"</definedName>
    <definedName name="IQ_EST_NI_REPORT_DIFF" hidden="1">"c1889"</definedName>
    <definedName name="IQ_EST_NI_REPORT_DIFF_CIQ" hidden="1">"c4759"</definedName>
    <definedName name="IQ_EST_NI_REPORT_SURPRISE_PERCENT" hidden="1">"c1890"</definedName>
    <definedName name="IQ_EST_NI_REPORT_SURPRISE_PERCENT_CIQ" hidden="1">"c4760"</definedName>
    <definedName name="IQ_EST_NI_SBC_DIFF" hidden="1">"c4472"</definedName>
    <definedName name="IQ_EST_NI_SBC_DIFF_CIQ" hidden="1">"c5010"</definedName>
    <definedName name="IQ_EST_NI_SBC_GW_DIFF" hidden="1">"c4476"</definedName>
    <definedName name="IQ_EST_NI_SBC_GW_DIFF_CIQ" hidden="1">"c5014"</definedName>
    <definedName name="IQ_EST_NI_SBC_GW_SURPRISE_PERCENT" hidden="1">"c4485"</definedName>
    <definedName name="IQ_EST_NI_SBC_GW_SURPRISE_PERCENT_CIQ" hidden="1">"c5023"</definedName>
    <definedName name="IQ_EST_NI_SBC_SURPRISE_PERCENT" hidden="1">"c4491"</definedName>
    <definedName name="IQ_EST_NI_SBC_SURPRISE_PERCENT_CIQ" hidden="1">"c5029"</definedName>
    <definedName name="IQ_EST_NI_SURPRISE_PERCENT" hidden="1">"c1886"</definedName>
    <definedName name="IQ_EST_NI_SURPRISE_PERCENT_CIQ" hidden="1">"c4756"</definedName>
    <definedName name="IQ_EST_NUM_BUY" hidden="1">"c1759"</definedName>
    <definedName name="IQ_EST_NUM_HIGH_REC" hidden="1">"c5649"</definedName>
    <definedName name="IQ_EST_NUM_HIGH_REC_CIQ" hidden="1">"c3701"</definedName>
    <definedName name="IQ_EST_NUM_HIGHEST_REC" hidden="1">"c5648"</definedName>
    <definedName name="IQ_EST_NUM_HIGHEST_REC_CIQ" hidden="1">"c3700"</definedName>
    <definedName name="IQ_EST_NUM_HOLD" hidden="1">"c1761"</definedName>
    <definedName name="IQ_EST_NUM_LOW_REC" hidden="1">"c5651"</definedName>
    <definedName name="IQ_EST_NUM_LOW_REC_CIQ" hidden="1">"c3703"</definedName>
    <definedName name="IQ_EST_NUM_LOWEST_REC" hidden="1">"c5652"</definedName>
    <definedName name="IQ_EST_NUM_LOWEST_REC_CIQ" hidden="1">"c3704"</definedName>
    <definedName name="IQ_EST_NUM_NEUTRAL_REC" hidden="1">"c5650"</definedName>
    <definedName name="IQ_EST_NUM_NEUTRAL_REC_CIQ" hidden="1">"c3702"</definedName>
    <definedName name="IQ_EST_NUM_NO_OPINION" hidden="1">"c1758"</definedName>
    <definedName name="IQ_EST_NUM_NO_OPINION_CIQ" hidden="1">"c3699"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DIFF_CIQ" hidden="1">"c12017"</definedName>
    <definedName name="IQ_EST_OPER_INC_SURPRISE_PERCENT" hidden="1">"c1878"</definedName>
    <definedName name="IQ_EST_OPER_INC_SURPRISE_PERCENT_CIQ" hidden="1">"c12018"</definedName>
    <definedName name="IQ_EST_PRE_TAX_DIFF" hidden="1">"c1879"</definedName>
    <definedName name="IQ_EST_PRE_TAX_DIFF_CIQ" hidden="1">"c4749"</definedName>
    <definedName name="IQ_EST_PRE_TAX_GW_DIFF" hidden="1">"c1881"</definedName>
    <definedName name="IQ_EST_PRE_TAX_GW_DIFF_CIQ" hidden="1">"c4751"</definedName>
    <definedName name="IQ_EST_PRE_TAX_GW_SURPRISE_PERCENT" hidden="1">"c1882"</definedName>
    <definedName name="IQ_EST_PRE_TAX_GW_SURPRISE_PERCENT_CIQ" hidden="1">"c4752"</definedName>
    <definedName name="IQ_EST_PRE_TAX_REPORT_DIFF" hidden="1">"c1883"</definedName>
    <definedName name="IQ_EST_PRE_TAX_REPORT_DIFF_CIQ" hidden="1">"c4753"</definedName>
    <definedName name="IQ_EST_PRE_TAX_REPORT_SURPRISE_PERCENT" hidden="1">"c1884"</definedName>
    <definedName name="IQ_EST_PRE_TAX_REPORT_SURPRISE_PERCENT_CIQ" hidden="1">"c4754"</definedName>
    <definedName name="IQ_EST_PRE_TAX_SURPRISE_PERCENT" hidden="1">"c1880"</definedName>
    <definedName name="IQ_EST_PRE_TAX_SURPRISE_PERCENT_CIQ" hidden="1">"c4750"</definedName>
    <definedName name="IQ_EST_RECURRING_PROFIT_SHARE_DIFF" hidden="1">"c4505"</definedName>
    <definedName name="IQ_EST_RECURRING_PROFIT_SHARE_DIFF_CIQ" hidden="1">"c5043"</definedName>
    <definedName name="IQ_EST_RECURRING_PROFIT_SHARE_SURPRISE_PERCENT" hidden="1">"c4515"</definedName>
    <definedName name="IQ_EST_RECURRING_PROFIT_SHARE_SURPRISE_PERCENT_CIQ" hidden="1">"c5053"</definedName>
    <definedName name="IQ_EST_REV_DIFF" hidden="1">"c1865"</definedName>
    <definedName name="IQ_EST_REV_DIFF_CIQ" hidden="1">"c3717"</definedName>
    <definedName name="IQ_EST_REV_GROWTH_1YR" hidden="1">"c1638"</definedName>
    <definedName name="IQ_EST_REV_GROWTH_1YR_CIQ" hidden="1">"c3691"</definedName>
    <definedName name="IQ_EST_REV_GROWTH_2YR" hidden="1">"c1639"</definedName>
    <definedName name="IQ_EST_REV_GROWTH_2YR_CIQ" hidden="1">"c3692"</definedName>
    <definedName name="IQ_EST_REV_GROWTH_Q_1YR" hidden="1">"c1640"</definedName>
    <definedName name="IQ_EST_REV_GROWTH_Q_1YR_CIQ" hidden="1">"c3693"</definedName>
    <definedName name="IQ_EST_REV_SEQ_GROWTH_Q" hidden="1">"c1765"</definedName>
    <definedName name="IQ_EST_REV_SEQ_GROWTH_Q_CIQ" hidden="1">"c3694"</definedName>
    <definedName name="IQ_EST_REV_SURPRISE_PERCENT" hidden="1">"c1866"</definedName>
    <definedName name="IQ_EST_REV_SURPRISE_PERCENT_CIQ" hidden="1">"c3718"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VENT_ADDRESS" hidden="1">"c19167"</definedName>
    <definedName name="IQ_EVENT_ADVISORS" hidden="1">"c19147"</definedName>
    <definedName name="IQ_EVENT_AGENDA" hidden="1">"c19168"</definedName>
    <definedName name="IQ_EVENT_CALL_DESCRIPTION" hidden="1">"c19154"</definedName>
    <definedName name="IQ_EVENT_CONTACT" hidden="1">"c19160"</definedName>
    <definedName name="IQ_EVENT_DATE" hidden="1">"c13819"</definedName>
    <definedName name="IQ_EVENT_EMAIL" hidden="1">"c19162"</definedName>
    <definedName name="IQ_EVENT_ID" hidden="1">"c13818"</definedName>
    <definedName name="IQ_EVENT_LIVE_AUDIO_DETAILS_WEBCAST_URL" hidden="1">"c19153"</definedName>
    <definedName name="IQ_EVENT_LIVE_OTHER_PASSCODE" hidden="1">"c19152"</definedName>
    <definedName name="IQ_EVENT_LIVE_OTHER_PHONE_NUMBER" hidden="1">"c19151"</definedName>
    <definedName name="IQ_EVENT_LIVE_PASSCODE" hidden="1">"c19150"</definedName>
    <definedName name="IQ_EVENT_LIVE_PHONE_NUMBER" hidden="1">"c19149"</definedName>
    <definedName name="IQ_EVENT_MARKETINDICATOR" hidden="1">"c19166"</definedName>
    <definedName name="IQ_EVENT_OTHER_CONTACT" hidden="1">"c19163"</definedName>
    <definedName name="IQ_EVENT_OTHER_CONTACT_EMAIL" hidden="1">"c19165"</definedName>
    <definedName name="IQ_EVENT_OTHER_CONTACT_PHONE" hidden="1">"c19164"</definedName>
    <definedName name="IQ_EVENT_PHONE" hidden="1">"c19161"</definedName>
    <definedName name="IQ_EVENT_REPLAY_AUDIO_DETAILS_WEBCAST_URL" hidden="1">"c19159"</definedName>
    <definedName name="IQ_EVENT_REPLAY_BEGINS" hidden="1">"c19157"</definedName>
    <definedName name="IQ_EVENT_REPLAY_ENDS" hidden="1">"c19158"</definedName>
    <definedName name="IQ_EVENT_REPLAY_PASSCODE" hidden="1">"c19156"</definedName>
    <definedName name="IQ_EVENT_REPLAY_PHONE_NUMBER" hidden="1">"c19155"</definedName>
    <definedName name="IQ_EVENT_SITUATION" hidden="1">"c19148"</definedName>
    <definedName name="IQ_EVENT_SOURCE" hidden="1">"c19146"</definedName>
    <definedName name="IQ_EVENT_TIME" hidden="1">"c13820"</definedName>
    <definedName name="IQ_EVENT_TYPE" hidden="1">"c13821"</definedName>
    <definedName name="IQ_EXCEL_DATA_METHOD" hidden="1">"c16229"</definedName>
    <definedName name="IQ_EXCESS_ALLOWANCE_LL_LOSSES_THRIFT" hidden="1">"c25078"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IMBURSE_RENTAL_REVENUE" hidden="1">"c16064"</definedName>
    <definedName name="IQ_EXP_RETURN_PENSION_DOMESTIC" hidden="1">"c407"</definedName>
    <definedName name="IQ_EXP_RETURN_PENSION_FOREIGN" hidden="1">"c408"</definedName>
    <definedName name="IQ_EXPENSE_CODE_">9610001</definedName>
    <definedName name="IQ_EXPENSE_REIMBURSEMENTS" hidden="1">"c16020"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_USD" hidden="1">"c20650"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CM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_ITEMS_OTHER_ADJUSTMENTS_FOREIGN_FFIEC" hidden="1">"c15392"</definedName>
    <definedName name="IQ_EXTRAORDINARY_GAINS_FDIC" hidden="1">"c6586"</definedName>
    <definedName name="IQ_EXTRAORDINARY_ITEMS_AVG_ASSETS_THRIFT" hidden="1">"c25659"</definedName>
    <definedName name="IQ_EXTRAORDINARY_ITEMS_FFIEC" hidden="1">"c13033"</definedName>
    <definedName name="IQ_EXTRAORDINARY_ITEMS_THRIFT" hidden="1">"c24797"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DEBT" hidden="1">"c16007"</definedName>
    <definedName name="IQ_FAIR_VALUE_FDIC" hidden="1">"c6427"</definedName>
    <definedName name="IQ_FAIR_VALUE_FIN_INSTRUMENTS_NAV" hidden="1">"c16002"</definedName>
    <definedName name="IQ_FAIR_VALUE_FIN_INSTRUMENTS_NNAV" hidden="1">"c16006"</definedName>
    <definedName name="IQ_FAIR_VALUE_TRADING_PROP" hidden="1">"c16001"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CF_ACT_OR_EST" hidden="1">"c18270"</definedName>
    <definedName name="IQ_FCF_ACT_OR_EST_CIQ" hidden="1">"c18276"</definedName>
    <definedName name="IQ_FCF_EST" hidden="1">"c18118"</definedName>
    <definedName name="IQ_FCF_EST_CIQ" hidden="1">"c18186"</definedName>
    <definedName name="IQ_FCF_EST_NOTE" hidden="1">"c18239"</definedName>
    <definedName name="IQ_FCF_EST_NOTE_CIQ" hidden="1">"c18246"</definedName>
    <definedName name="IQ_FCF_GUIDANCE" hidden="1">"c18415"</definedName>
    <definedName name="IQ_FCF_HIGH_EST" hidden="1">"c18138"</definedName>
    <definedName name="IQ_FCF_HIGH_EST_CIQ" hidden="1">"c18200"</definedName>
    <definedName name="IQ_FCF_HIGH_GUIDANCE" hidden="1">"c18416"</definedName>
    <definedName name="IQ_FCF_LOW_EST" hidden="1">"c18148"</definedName>
    <definedName name="IQ_FCF_LOW_EST_CIQ" hidden="1">"c18207"</definedName>
    <definedName name="IQ_FCF_LOW_GUIDANCE" hidden="1">"c18417"</definedName>
    <definedName name="IQ_FCF_MEDIAN_EST" hidden="1">"c18128"</definedName>
    <definedName name="IQ_FCF_MEDIAN_EST_CIQ" hidden="1">"c18193"</definedName>
    <definedName name="IQ_FCF_NUM_EST" hidden="1">"c18168"</definedName>
    <definedName name="IQ_FCF_NUM_EST_CIQ" hidden="1">"c18221"</definedName>
    <definedName name="IQ_FCF_STDDEV_EST" hidden="1">"c18158"</definedName>
    <definedName name="IQ_FCF_STDDEV_EST_CIQ" hidden="1">"c18214"</definedName>
    <definedName name="IQ_FDI_INFLOWS" hidden="1">"c20651"</definedName>
    <definedName name="IQ_FDI_NET" hidden="1">"c20652"</definedName>
    <definedName name="IQ_FDI_OUTFLOWS" hidden="1">"c20653"</definedName>
    <definedName name="IQ_FDIC" hidden="1">"c417"</definedName>
    <definedName name="IQ_FDIC_CERT_NUMBER_FFIEC" hidden="1">"c20507"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_PURCHASED_SEC_SOLD_REPURCHASE_FFIEC" hidden="1">"c15489"</definedName>
    <definedName name="IQ_FED_FUND_PURCHASED_SEC_SOLD_REPURCHASE_THRIFT" hidden="1">"c24901"</definedName>
    <definedName name="IQ_FED_FUND_SOLD_SEC_PURCHASED_RESELL_FFIEC" hidden="1">"c15488"</definedName>
    <definedName name="IQ_FED_FUND_SOLD_SEC_PURCHASED_RESELL_THRIFT" hidden="1">"c24821"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PURCHASED_REPOS_TOTAL_ASSETS_THRIFT" hidden="1">"c25702"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ERAL_FUNDS_PURCHASED_SEC_SOLD_UNDER_AGREEMENTS_REPURCHASE_AMOUNTS_NETTED_THRIFT" hidden="1">"c25528"</definedName>
    <definedName name="IQ_FEDERAL_FUNDS_PURCHASED_SEC_SOLD_UNDER_AGREEMENTS_REPURCHASE_LEVEL_1_THRIFT" hidden="1">"c25524"</definedName>
    <definedName name="IQ_FEDERAL_FUNDS_PURCHASED_SEC_SOLD_UNDER_AGREEMENTS_REPURCHASE_LEVEL_2_THRIFT" hidden="1">"c25525"</definedName>
    <definedName name="IQ_FEDERAL_FUNDS_PURCHASED_SEC_SOLD_UNDER_AGREEMENTS_REPURCHASE_LEVEL_3_THRIFT" hidden="1">"c25526"</definedName>
    <definedName name="IQ_FEDERAL_FUNDS_PURCHASED_SEC_SOLD_UNDER_AGREEMENTS_REPURCHASE_TOTAL_AFTER_NETTING_THRIFT" hidden="1">"c25529"</definedName>
    <definedName name="IQ_FEDERAL_FUNDS_PURCHASED_SEC_SOLD_UNDER_AGREEMENTS_REPURCHASE_TOTAL_BEFORE_NETTING_THRIFT" hidden="1">"c25527"</definedName>
    <definedName name="IQ_FEDERAL_FUNDS_SOLD_SEC_PURCHASED_UNDER_AGREEMENTS_RESELL_AMOUNTS_NETTED_THRIFT" hidden="1">"c25480"</definedName>
    <definedName name="IQ_FEDERAL_FUNDS_SOLD_SEC_PURCHASED_UNDER_AGREEMENTS_RESELL_LEVEL_1_THRIFT" hidden="1">"c25476"</definedName>
    <definedName name="IQ_FEDERAL_FUNDS_SOLD_SEC_PURCHASED_UNDER_AGREEMENTS_RESELL_LEVEL_2_THRIFT" hidden="1">"c25477"</definedName>
    <definedName name="IQ_FEDERAL_FUNDS_SOLD_SEC_PURCHASED_UNDER_AGREEMENTS_RESELL_LEVEL_3_THRIFT" hidden="1">"c25478"</definedName>
    <definedName name="IQ_FEDERAL_FUNDS_SOLD_SEC_PURCHASED_UNDER_AGREEMENTS_RESELL_TOTAL_AFTER_NETTING_THRIFT" hidden="1">"c25481"</definedName>
    <definedName name="IQ_FEDERAL_FUNDS_SOLD_SEC_PURCHASED_UNDER_AGREEMENTS_RESELL_TOTAL_BEFORE_NETTING_THRIFT" hidden="1">"c25479"</definedName>
    <definedName name="IQ_FEDERAL_INC_TAXES_THRIFT" hidden="1">"c24816"</definedName>
    <definedName name="IQ_FEDFUNDS_PURCHASED_RELATED" hidden="1">"c19132"</definedName>
    <definedName name="IQ_FEDFUNDS_SOLD" hidden="1">"c2256"</definedName>
    <definedName name="IQ_FEDFUNDS_SOLD_RELATED" hidden="1">"c19130"</definedName>
    <definedName name="IQ_FEE_INCOME_COMM_LOANS_THRIFT" hidden="1">"c24751"</definedName>
    <definedName name="IQ_FEE_INCOME_CONSUMER_LOANS_THRIFT" hidden="1">"c24752"</definedName>
    <definedName name="IQ_FEE_INCOME_MORTGAGE_LOANS_THRIFT" hidden="1">"c24750"</definedName>
    <definedName name="IQ_FEES_COMMISSIONS_BROKERAGE_FFIEC" hidden="1">"c13005"</definedName>
    <definedName name="IQ_FEES_OTHER_INCOME" hidden="1">"c15257"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EST" hidden="1">"c4434"</definedName>
    <definedName name="IQ_FFO_ADJ_GUIDANCE" hidden="1">"c4436"</definedName>
    <definedName name="IQ_FFO_ADJ_HIGH_EST" hidden="1">"c4437"</definedName>
    <definedName name="IQ_FFO_ADJ_HIGH_GUIDANCE" hidden="1">"c4202"</definedName>
    <definedName name="IQ_FFO_ADJ_LOW_EST" hidden="1">"c4438"</definedName>
    <definedName name="IQ_FFO_ADJ_LOW_GUIDANCE" hidden="1">"c4242"</definedName>
    <definedName name="IQ_FFO_ADJ_MEDIAN_EST" hidden="1">"c4439"</definedName>
    <definedName name="IQ_FFO_ADJ_NUM_EST" hidden="1">"c4440"</definedName>
    <definedName name="IQ_FFO_ADJ_REIT_EST" hidden="1">"c26918"</definedName>
    <definedName name="IQ_FFO_ADJ_REIT_EST_CIQ" hidden="1">"c4959"</definedName>
    <definedName name="IQ_FFO_ADJ_REIT_EST_DOWN_2MONTH_CIQ" hidden="1">"c24662"</definedName>
    <definedName name="IQ_FFO_ADJ_REIT_EST_DOWN_3MONTH_CIQ" hidden="1">"c24666"</definedName>
    <definedName name="IQ_FFO_ADJ_REIT_EST_DOWN_MONTH_CIQ" hidden="1">"c24658"</definedName>
    <definedName name="IQ_FFO_ADJ_REIT_EST_NOTE_CIQ" hidden="1">"c24649"</definedName>
    <definedName name="IQ_FFO_ADJ_REIT_EST_NUM_ANALYSTS_2MONTH_CIQ" hidden="1">"c24660"</definedName>
    <definedName name="IQ_FFO_ADJ_REIT_EST_NUM_ANALYSTS_3MONTH_CIQ" hidden="1">"c24664"</definedName>
    <definedName name="IQ_FFO_ADJ_REIT_EST_NUM_ANALYSTS_MONTH_CIQ" hidden="1">"c24656"</definedName>
    <definedName name="IQ_FFO_ADJ_REIT_EST_TOTAL_REVISED_2MONTH_CIQ" hidden="1">"c24663"</definedName>
    <definedName name="IQ_FFO_ADJ_REIT_EST_TOTAL_REVISED_3MONTH_CIQ" hidden="1">"c24667"</definedName>
    <definedName name="IQ_FFO_ADJ_REIT_EST_TOTAL_REVISED_MONTH_CIQ" hidden="1">"c24659"</definedName>
    <definedName name="IQ_FFO_ADJ_REIT_EST_UP_2MONTH_CIQ" hidden="1">"c24661"</definedName>
    <definedName name="IQ_FFO_ADJ_REIT_EST_UP_3MONTH_CIQ" hidden="1">"c24665"</definedName>
    <definedName name="IQ_FFO_ADJ_REIT_EST_UP_MONTH_CIQ" hidden="1">"c24657"</definedName>
    <definedName name="IQ_FFO_ADJ_REIT_HIGH_EST" hidden="1">"c26919"</definedName>
    <definedName name="IQ_FFO_ADJ_REIT_HIGH_EST_CIQ" hidden="1">"c4962"</definedName>
    <definedName name="IQ_FFO_ADJ_REIT_LOW_EST" hidden="1">"c26920"</definedName>
    <definedName name="IQ_FFO_ADJ_REIT_LOW_EST_CIQ" hidden="1">"c4963"</definedName>
    <definedName name="IQ_FFO_ADJ_REIT_MEDIAN_EST" hidden="1">"c26921"</definedName>
    <definedName name="IQ_FFO_ADJ_REIT_MEDIAN_EST_CIQ" hidden="1">"c4964"</definedName>
    <definedName name="IQ_FFO_ADJ_REIT_NUM_EST" hidden="1">"c26922"</definedName>
    <definedName name="IQ_FFO_ADJ_REIT_NUM_EST_CIQ" hidden="1">"c4965"</definedName>
    <definedName name="IQ_FFO_ADJ_REIT_STDDEV_EST" hidden="1">"c26923"</definedName>
    <definedName name="IQ_FFO_ADJ_REIT_STDDEV_EST_CIQ" hidden="1">"c4966"</definedName>
    <definedName name="IQ_FFO_ADJ_STDDEV_EST" hidden="1">"c4441"</definedName>
    <definedName name="IQ_FFO_DILUTED" hidden="1">"c16186"</definedName>
    <definedName name="IQ_FFO_EST" hidden="1">"c418"</definedName>
    <definedName name="IQ_FFO_EST_THOM" hidden="1">"c3999"</definedName>
    <definedName name="IQ_FFO_GUIDANCE" hidden="1">"c4443"</definedName>
    <definedName name="IQ_FFO_HIGH_EST" hidden="1">"c419"</definedName>
    <definedName name="IQ_FFO_HIGH_EST_THOM" hidden="1">"c4001"</definedName>
    <definedName name="IQ_FFO_HIGH_GUIDANCE" hidden="1">"c4184"</definedName>
    <definedName name="IQ_FFO_LOW_EST" hidden="1">"c420"</definedName>
    <definedName name="IQ_FFO_LOW_EST_THOM" hidden="1">"c4002"</definedName>
    <definedName name="IQ_FFO_LOW_GUIDANCE" hidden="1">"c4224"</definedName>
    <definedName name="IQ_FFO_MEDIAN_EST" hidden="1">"c1665"</definedName>
    <definedName name="IQ_FFO_MEDIAN_EST_THOM" hidden="1">"c4000"</definedName>
    <definedName name="IQ_FFO_NUM_EST" hidden="1">"c421"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REIT_EST" hidden="1">"c26924"</definedName>
    <definedName name="IQ_FFO_REIT_EST_CIQ" hidden="1">"c4970"</definedName>
    <definedName name="IQ_FFO_REIT_EST_DOWN_2MONTH_CIQ" hidden="1">"c24643"</definedName>
    <definedName name="IQ_FFO_REIT_EST_DOWN_3MONTH_CIQ" hidden="1">"c24647"</definedName>
    <definedName name="IQ_FFO_REIT_EST_DOWN_MONTH_CIQ" hidden="1">"c24639"</definedName>
    <definedName name="IQ_FFO_REIT_EST_NOTE_CIQ" hidden="1">"c24630"</definedName>
    <definedName name="IQ_FFO_REIT_EST_NUM_ANALYSTS_2MONTH_CIQ" hidden="1">"c24641"</definedName>
    <definedName name="IQ_FFO_REIT_EST_NUM_ANALYSTS_3MONTH_CIQ" hidden="1">"c24645"</definedName>
    <definedName name="IQ_FFO_REIT_EST_NUM_ANALYSTS_MONTH_CIQ" hidden="1">"c24637"</definedName>
    <definedName name="IQ_FFO_REIT_EST_TOTAL_REVISED_2MONTH_CIQ" hidden="1">"c24644"</definedName>
    <definedName name="IQ_FFO_REIT_EST_TOTAL_REVISED_3MONTH_CIQ" hidden="1">"c24648"</definedName>
    <definedName name="IQ_FFO_REIT_EST_TOTAL_REVISED_MONTH_CIQ" hidden="1">"c24640"</definedName>
    <definedName name="IQ_FFO_REIT_EST_UP_2MONTH_CIQ" hidden="1">"c24642"</definedName>
    <definedName name="IQ_FFO_REIT_EST_UP_3MONTH_CIQ" hidden="1">"c24646"</definedName>
    <definedName name="IQ_FFO_REIT_EST_UP_MONTH_CIQ" hidden="1">"c24638"</definedName>
    <definedName name="IQ_FFO_REIT_HIGH_EST" hidden="1">"c26925"</definedName>
    <definedName name="IQ_FFO_REIT_HIGH_EST_CIQ" hidden="1">"c4977"</definedName>
    <definedName name="IQ_FFO_REIT_LOW_EST" hidden="1">"c26926"</definedName>
    <definedName name="IQ_FFO_REIT_LOW_EST_CIQ" hidden="1">"c4978"</definedName>
    <definedName name="IQ_FFO_REIT_MEDIAN_EST" hidden="1">"c26927"</definedName>
    <definedName name="IQ_FFO_REIT_MEDIAN_EST_CIQ" hidden="1">"c4979"</definedName>
    <definedName name="IQ_FFO_REIT_NUM_EST" hidden="1">"c26928"</definedName>
    <definedName name="IQ_FFO_REIT_NUM_EST_CIQ" hidden="1">"c4980"</definedName>
    <definedName name="IQ_FFO_REIT_STDDEV_EST" hidden="1">"c26929"</definedName>
    <definedName name="IQ_FFO_REIT_STDDEV_EST_CIQ" hidden="1">"c4981"</definedName>
    <definedName name="IQ_FFO_SHARE_ACT_OR_EST" hidden="1">"c2216"</definedName>
    <definedName name="IQ_FFO_SHARE_ACT_OR_EST_CIQ" hidden="1">"c4971"</definedName>
    <definedName name="IQ_FFO_SHARE_EST" hidden="1">"c418"</definedName>
    <definedName name="IQ_FFO_SHARE_EST_CIQ" hidden="1">"c3668"</definedName>
    <definedName name="IQ_FFO_SHARE_EST_DOWN_2MONTH" hidden="1">"c16585"</definedName>
    <definedName name="IQ_FFO_SHARE_EST_DOWN_2MONTH_CIQ" hidden="1">"c16849"</definedName>
    <definedName name="IQ_FFO_SHARE_EST_DOWN_3MONTH" hidden="1">"c16589"</definedName>
    <definedName name="IQ_FFO_SHARE_EST_DOWN_3MONTH_CIQ" hidden="1">"c16853"</definedName>
    <definedName name="IQ_FFO_SHARE_EST_DOWN_MONTH" hidden="1">"c16581"</definedName>
    <definedName name="IQ_FFO_SHARE_EST_DOWN_MONTH_CIQ" hidden="1">"c16845"</definedName>
    <definedName name="IQ_FFO_SHARE_EST_NUM_ANALYSTS_2MONTH" hidden="1">"c16583"</definedName>
    <definedName name="IQ_FFO_SHARE_EST_NUM_ANALYSTS_2MONTH_CIQ" hidden="1">"c16847"</definedName>
    <definedName name="IQ_FFO_SHARE_EST_NUM_ANALYSTS_3MONTH" hidden="1">"c16587"</definedName>
    <definedName name="IQ_FFO_SHARE_EST_NUM_ANALYSTS_3MONTH_CIQ" hidden="1">"c16851"</definedName>
    <definedName name="IQ_FFO_SHARE_EST_NUM_ANALYSTS_MONTH" hidden="1">"c16579"</definedName>
    <definedName name="IQ_FFO_SHARE_EST_NUM_ANALYSTS_MONTH_CIQ" hidden="1">"c16843"</definedName>
    <definedName name="IQ_FFO_SHARE_EST_TOTAL_REVISED_2MONTH" hidden="1">"c16586"</definedName>
    <definedName name="IQ_FFO_SHARE_EST_TOTAL_REVISED_2MONTH_CIQ" hidden="1">"c16850"</definedName>
    <definedName name="IQ_FFO_SHARE_EST_TOTAL_REVISED_3MONTH" hidden="1">"c16590"</definedName>
    <definedName name="IQ_FFO_SHARE_EST_TOTAL_REVISED_3MONTH_CIQ" hidden="1">"c16854"</definedName>
    <definedName name="IQ_FFO_SHARE_EST_TOTAL_REVISED_MONTH" hidden="1">"c16582"</definedName>
    <definedName name="IQ_FFO_SHARE_EST_TOTAL_REVISED_MONTH_CIQ" hidden="1">"c16846"</definedName>
    <definedName name="IQ_FFO_SHARE_EST_UP_2MONTH" hidden="1">"c16584"</definedName>
    <definedName name="IQ_FFO_SHARE_EST_UP_2MONTH_CIQ" hidden="1">"c16848"</definedName>
    <definedName name="IQ_FFO_SHARE_EST_UP_3MONTH" hidden="1">"c16588"</definedName>
    <definedName name="IQ_FFO_SHARE_EST_UP_3MONTH_CIQ" hidden="1">"c16852"</definedName>
    <definedName name="IQ_FFO_SHARE_EST_UP_MONTH" hidden="1">"c16580"</definedName>
    <definedName name="IQ_FFO_SHARE_EST_UP_MONTH_CIQ" hidden="1">"c16844"</definedName>
    <definedName name="IQ_FFO_SHARE_GUIDANCE" hidden="1">"c4447"</definedName>
    <definedName name="IQ_FFO_SHARE_HIGH_EST" hidden="1">"c419"</definedName>
    <definedName name="IQ_FFO_SHARE_HIGH_EST_CIQ" hidden="1">"c3670"</definedName>
    <definedName name="IQ_FFO_SHARE_HIGH_GUIDANCE" hidden="1">"c4203"</definedName>
    <definedName name="IQ_FFO_SHARE_LOW_EST" hidden="1">"c420"</definedName>
    <definedName name="IQ_FFO_SHARE_LOW_EST_CIQ" hidden="1">"c3671"</definedName>
    <definedName name="IQ_FFO_SHARE_LOW_GUIDANCE" hidden="1">"c4243"</definedName>
    <definedName name="IQ_FFO_SHARE_MEDIAN_EST" hidden="1">"c1665"</definedName>
    <definedName name="IQ_FFO_SHARE_MEDIAN_EST_CIQ" hidden="1">"c3669"</definedName>
    <definedName name="IQ_FFO_SHARE_NUM_EST" hidden="1">"c421"</definedName>
    <definedName name="IQ_FFO_SHARE_NUM_EST_CIQ" hidden="1">"c3672"</definedName>
    <definedName name="IQ_FFO_SHARE_STDDEV_EST" hidden="1">"c422"</definedName>
    <definedName name="IQ_FFO_SHARE_STDDEV_EST_CIQ" hidden="1">"c3673"</definedName>
    <definedName name="IQ_FFO_SHARES_BASIC" hidden="1">"c16185"</definedName>
    <definedName name="IQ_FFO_SHARES_DILUTED" hidden="1">"c16187"</definedName>
    <definedName name="IQ_FFO_STDDEV_EST" hidden="1">"c422"</definedName>
    <definedName name="IQ_FFO_STDDEV_EST_THOM" hidden="1">"c4004"</definedName>
    <definedName name="IQ_FFO_TOTAL_REVENUE" hidden="1">"c16060"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HLB_STOCK_NOT_CARRIED_FV_THRIFT" hidden="1">"c24880"</definedName>
    <definedName name="IQ_FIDUCIARY_ACTIVITIES_FDIC" hidden="1">"c6571"</definedName>
    <definedName name="IQ_FIDUCIARY_ACTIVITIES_INCOME_ADJUSTED_OPERATING_INCOME_THRIFT" hidden="1">"c25689"</definedName>
    <definedName name="IQ_FIDUCIARY_INCOME_OPERATING_INC_FFIEC" hidden="1">"c13383"</definedName>
    <definedName name="IQ_FIDUCIARY_MANAGED_ASSETS_THRIFT" hidden="1">"c25438"</definedName>
    <definedName name="IQ_FIDUCIARY_RELATED_SERVICES_EXP_THRIFT" hidden="1">"c24812"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ARCHITECTURE" hidden="1">"c20386"</definedName>
    <definedName name="IQ_FIN_COLLECTION_ID" hidden="1">"c13922"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MINORITY_INT_REDEEM" hidden="1">"c25788"</definedName>
    <definedName name="IQ_FIN_DIV_MINORITY_INTEREST" hidden="1">"c25790"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_INST_UNUSED_FFIEC" hidden="1">"c25860"</definedName>
    <definedName name="IQ_FIN_INSTANCE_ID" hidden="1">"c13921"</definedName>
    <definedName name="IQ_FIN_PERIOD_ID" hidden="1">"c13920"</definedName>
    <definedName name="IQ_FINANCIAL_ASSETS_CARRIED_FV_THROUGH_EARNINGS_THRIFT" hidden="1">"c24931"</definedName>
    <definedName name="IQ_FINANCIAL_ASSETS_HELD_TRADING_PURPOSES_THRIFT" hidden="1">"c24930"</definedName>
    <definedName name="IQ_FINANCIAL_LIABILITIES_CARRIED_FV_THROUGH_EARNINGS_THRIFT" hidden="1">"c24932"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BALANCE_PCT_GDP" hidden="1">"c20654"</definedName>
    <definedName name="IQ_FISCAL_Q" hidden="1">"c440"</definedName>
    <definedName name="IQ_FISCAL_Q_EST" hidden="1">"c6794"</definedName>
    <definedName name="IQ_FISCAL_Q_EST_CIQ" hidden="1">"c6806"</definedName>
    <definedName name="IQ_FISCAL_Y" hidden="1">"c441"</definedName>
    <definedName name="IQ_FISCAL_Y_EST" hidden="1">"c6795"</definedName>
    <definedName name="IQ_FISCAL_Y_EST_CIQ" hidden="1">"c6807"</definedName>
    <definedName name="IQ_FISCAL_YEAR_END_THRIFT" hidden="1">"c25020"</definedName>
    <definedName name="IQ_FIVE_PERCENT_CIQID" hidden="1">"c19094"</definedName>
    <definedName name="IQ_FIVE_PERCENT_DERIVATIVES" hidden="1">"c19096"</definedName>
    <definedName name="IQ_FIVE_PERCENT_NAME" hidden="1">"c19093"</definedName>
    <definedName name="IQ_FIVE_PERCENT_OWNER" hidden="1">"c442"</definedName>
    <definedName name="IQ_FIVE_PERCENT_PERCENT" hidden="1">"c19097"</definedName>
    <definedName name="IQ_FIVE_PERCENT_POSITION_DATE" hidden="1">"c19099"</definedName>
    <definedName name="IQ_FIVE_PERCENT_SHARES" hidden="1">"c19095"</definedName>
    <definedName name="IQ_FIVE_PERCENT_VALUE" hidden="1">"c19098"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IXED_RATE_DEBT" hidden="1">"c17894"</definedName>
    <definedName name="IQ_FIXED_RATE_DEBT_PCT" hidden="1">"c18008"</definedName>
    <definedName name="IQ_FLOAT" hidden="1">"c17421"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OTAL_DEPOSITS" hidden="1">"c15719"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REIGN_LOANS_TOTAL_LOANS" hidden="1">"c15714"</definedName>
    <definedName name="IQ_FOUNDATION_OVER_TOTAL" hidden="1">"c24735"</definedName>
    <definedName name="IQ_FOUNDATIONS_ENDOWMENT_ACCOUNTS_MANAGED_ASSETS_THRIFT" hidden="1">"c25354"</definedName>
    <definedName name="IQ_FOUNDATIONS_ENDOWMENT_ACCOUNTS_NONMANAGED_ASSETS_THRIFT" hidden="1">"c25375"</definedName>
    <definedName name="IQ_FOUNDATIONS_ENDOWMENT_ACCOUNTS_NUMBER_MANAGED_ACCOUNTS_THRIFT" hidden="1">"c25365"</definedName>
    <definedName name="IQ_FOUNDATIONS_ENDOWMENT_ACCOUNTS_NUMBER_NONMANAGED_ACCOUNTS_THRIFT" hidden="1">"c25387"</definedName>
    <definedName name="IQ_FOUNDATIONS_ENDOWMENTS_INC_THRIFT" hidden="1">"c24807"</definedName>
    <definedName name="IQ_FQ">500</definedName>
    <definedName name="IQ_FTOOL_CAPEX" hidden="1">"c16212"</definedName>
    <definedName name="IQ_FTOOL_CASH" hidden="1">"c16213"</definedName>
    <definedName name="IQ_FTOOL_CASH_INVEST" hidden="1">"c16214"</definedName>
    <definedName name="IQ_FTOOL_EBT" hidden="1">"c16215"</definedName>
    <definedName name="IQ_FTOOL_NI" hidden="1">"c16216"</definedName>
    <definedName name="IQ_FTOOL_NI_CF" hidden="1">"c16206"</definedName>
    <definedName name="IQ_FTOOL_NUMBER_SHAREHOLDERS" hidden="1">"c16207"</definedName>
    <definedName name="IQ_FTOOL_SHARES_PER_DR" hidden="1">"c16208"</definedName>
    <definedName name="IQ_FTOOL_TOTAL_ASSETS" hidden="1">"c16209"</definedName>
    <definedName name="IQ_FTOOL_TOTAL_LIAB_EQUITY" hidden="1">"c16210"</definedName>
    <definedName name="IQ_FTOOL_TOTAL_REV" hidden="1">"c16211"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BROKERED_TIME_DEPOSITS_THRIFT" hidden="1">"c25005"</definedName>
    <definedName name="IQ_FULLY_INSURED_DEPOSITS_FDIC" hidden="1">"c6487"</definedName>
    <definedName name="IQ_FUND_ANALYSIS" hidden="1">"c19198"</definedName>
    <definedName name="IQ_FUND_AUTHORIZED_SALE" hidden="1">"c19199"</definedName>
    <definedName name="IQ_FUND_BENCHMARK" hidden="1">"c19200"</definedName>
    <definedName name="IQ_FUND_BENCHMARK_ID" hidden="1">"c19201"</definedName>
    <definedName name="IQ_FUND_FEE_INC_NON_INT_INC_FFIEC" hidden="1">"c13493"</definedName>
    <definedName name="IQ_FUND_GEOGRAPHIC_MANDATE" hidden="1">"c19195"</definedName>
    <definedName name="IQ_FUND_MARKET_CAP_EMPHASIS" hidden="1">"c19197"</definedName>
    <definedName name="IQ_FUND_NAV" hidden="1">"c15225"</definedName>
    <definedName name="IQ_FUND_SECTOR_EMPHASIS" hidden="1">"c19196"</definedName>
    <definedName name="IQ_FUND_VEHICLE_TYPE" hidden="1">"c19194"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X_RATE" hidden="1">"c20655"</definedName>
    <definedName name="IQ_FX_RATE_FC" hidden="1">"c20656"</definedName>
    <definedName name="IQ_FX_RESERVES" hidden="1">"c20657"</definedName>
    <definedName name="IQ_FX_RESERVES_PCT_GDP" hidden="1">"c20658"</definedName>
    <definedName name="IQ_FX_RESERVES_PCT_GDP_FC" hidden="1">"c20659"</definedName>
    <definedName name="IQ_FY">1000</definedName>
    <definedName name="IQ_GA_EXP" hidden="1">"c2241"</definedName>
    <definedName name="IQ_GAAP_BS" hidden="1">"c6789"</definedName>
    <definedName name="IQ_GAAP_CF" hidden="1">"c6790"</definedName>
    <definedName name="IQ_GAAP_COMBINED_RATIO" hidden="1">"c2781"</definedName>
    <definedName name="IQ_GAAP_COMBINED_RATIO_EXCL_CL" hidden="1">"c2782"</definedName>
    <definedName name="IQ_GAAP_EST_CIQ" hidden="1">"c13924"</definedName>
    <definedName name="IQ_GAAP_EXPENSE_RATIO" hidden="1">"c2780"</definedName>
    <definedName name="IQ_GAAP_IS" hidden="1">"c6194"</definedName>
    <definedName name="IQ_GAAP_LOSS" hidden="1">"c2779"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CM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CM" hidden="1">"c454"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CM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CM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CM" hidden="1">"c1464"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CM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BARGAIN_PURCHASES_FFIEC" hidden="1">"c25844"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_AVAILABLE_SALE_AVG_ASSETS_THRIFT" hidden="1">"c25655"</definedName>
    <definedName name="IQ_GAINS_SEC_HELD_MATURITY_AVG_ASSETS_THRIFT" hidden="1">"c25654"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NERAL_ALLOWANCE" hidden="1">"c15248"</definedName>
    <definedName name="IQ_GENERAL_OBLIGATIONS_STATE_LOCAL_GOVERNMENTS_ELIGIBLE_20_PCT_RISK_WEIGHT_THRIFT" hidden="1">"c25059"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ICS_CODE" hidden="1">"c16201"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INTANGIBLE_ASSETS_THRIFT" hidden="1">"c24887"</definedName>
    <definedName name="IQ_GOODWILL_NET" hidden="1">"c1380"</definedName>
    <definedName name="IQ_GOODWILL_OTHER_INTANGIBLE_ASSETS_ADJUSTED_ASSETS_THRIFT" hidden="1">"c25032"</definedName>
    <definedName name="IQ_GOODWILL_OTHER_INTANGIBLE_ASSETS_T1_THRIFT" hidden="1">"c25023"</definedName>
    <definedName name="IQ_GOODWILL_OTHER_INTANGIBLE_ASSETS_THRIFT" hidden="1">"c24890"</definedName>
    <definedName name="IQ_GOODWILL_OTHER_INTANGIBLES_EXP_THRIFT" hidden="1">"c24791"</definedName>
    <definedName name="IQ_GOVT_CAPITAL_TRANSFER_PAYMENTS" hidden="1">"c20660"</definedName>
    <definedName name="IQ_GOVT_CAPITAL_TRANSFER_RECEIPTS" hidden="1">"c20661"</definedName>
    <definedName name="IQ_GOVT_CONSUM_FIXED_CAPITAL" hidden="1">"c20663"</definedName>
    <definedName name="IQ_GOVT_CONTRIBUTIONS_SOCIAL_INSURANCE" hidden="1">"c20664"</definedName>
    <definedName name="IQ_GOVT_CURRENT_EXPENDITURES" hidden="1">"c20665"</definedName>
    <definedName name="IQ_GOVT_CURRENT_RECEIPTS" hidden="1">"c20666"</definedName>
    <definedName name="IQ_GOVT_ENTERPRISE_SURPLUS" hidden="1">"c20667"</definedName>
    <definedName name="IQ_GOVT_EXPENDITURES" hidden="1">"c20668"</definedName>
    <definedName name="IQ_GOVT_EXPENDITURES_FEDERAL" hidden="1">"c20669"</definedName>
    <definedName name="IQ_GOVT_GROSS_INVEST" hidden="1">"c20673"</definedName>
    <definedName name="IQ_GOVT_GROSS_INVEST_EQUIP" hidden="1">"c20674"</definedName>
    <definedName name="IQ_GOVT_GROSS_INVEST_FEDERAL" hidden="1">"c20676"</definedName>
    <definedName name="IQ_GOVT_GROSS_INVEST_FEDERAL_DEF_EQUIP" hidden="1">"c20679"</definedName>
    <definedName name="IQ_GOVT_GROSS_INVEST_FEDERAL_DEFENSE_STRUCTURES" hidden="1">"c20677"</definedName>
    <definedName name="IQ_GOVT_GROSS_INVEST_FEDERAL_EQUIP" hidden="1">"c20680"</definedName>
    <definedName name="IQ_GOVT_GROSS_INVEST_FEDERAL_NONDEF_EQUIP" hidden="1">"c20682"</definedName>
    <definedName name="IQ_GOVT_GROSS_INVEST_FEDERAL_NONDEFENSE_STRUCTURES" hidden="1">"c24741"</definedName>
    <definedName name="IQ_GOVT_GROSS_INVEST_FEDERAL_STRUCTURES" hidden="1">"c20683"</definedName>
    <definedName name="IQ_GOVT_GROSS_INVEST_STATE_LOCAL_EQUIP" hidden="1">"c20685"</definedName>
    <definedName name="IQ_GOVT_GROSS_INVEST_STATE_LOCAL_STRUCTURES" hidden="1">"c20686"</definedName>
    <definedName name="IQ_GOVT_GROSS_INVEST_STRUCTURES" hidden="1">"c20687"</definedName>
    <definedName name="IQ_GOVT_INTEREST_PAYMENTS" hidden="1">"c20688"</definedName>
    <definedName name="IQ_GOVT_INTEREST_PAYMENTS_PERSON" hidden="1">"c20689"</definedName>
    <definedName name="IQ_GOVT_INTEREST_PAYMENTS_WORLD" hidden="1">"c20690"</definedName>
    <definedName name="IQ_GOVT_NET_BORROWING" hidden="1">"c20691"</definedName>
    <definedName name="IQ_GOVT_NET_PURCHASE_NONPRODUCED_ASSETS" hidden="1">"c20692"</definedName>
    <definedName name="IQ_GOVT_NET_SAVING" hidden="1">"c20693"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AL_EXPENDITURES" hidden="1">"c20694"</definedName>
    <definedName name="IQ_GOVT_REAL_EXPENDITURES_FEDERAL" hidden="1">"c20695"</definedName>
    <definedName name="IQ_GOVT_REAL_GROSS_INVEST" hidden="1">"c20699"</definedName>
    <definedName name="IQ_GOVT_REAL_GROSS_INVEST_EQUIP" hidden="1">"c20700"</definedName>
    <definedName name="IQ_GOVT_REAL_GROSS_INVEST_FEDERAL" hidden="1">"c20701"</definedName>
    <definedName name="IQ_GOVT_REAL_GROSS_INVEST_FEDERAL_DEF_EQUIP" hidden="1">"c20704"</definedName>
    <definedName name="IQ_GOVT_REAL_GROSS_INVEST_FEDERAL_DEFENSE_STRUCTURES" hidden="1">"c20702"</definedName>
    <definedName name="IQ_GOVT_REAL_GROSS_INVEST_FEDERAL_EQUIP" hidden="1">"c20705"</definedName>
    <definedName name="IQ_GOVT_REAL_GROSS_INVEST_FEDERAL_NONDEF_EQUIP" hidden="1">"c20707"</definedName>
    <definedName name="IQ_GOVT_REAL_GROSS_INVEST_FEDERAL_NONDEFENSE_STRUCTURES" hidden="1">"c24742"</definedName>
    <definedName name="IQ_GOVT_REAL_GROSS_INVEST_FEDERAL_STRUCTURES" hidden="1">"c20708"</definedName>
    <definedName name="IQ_GOVT_REAL_GROSS_INVEST_STATE_LOCAL_EQUIP" hidden="1">"c20710"</definedName>
    <definedName name="IQ_GOVT_REAL_GROSS_INVEST_STATE_LOCAL_STRUCTURES" hidden="1">"c20711"</definedName>
    <definedName name="IQ_GOVT_REAL_GROSS_INVEST_STRUCTURES" hidden="1">"c20712"</definedName>
    <definedName name="IQ_GOVT_REAL_RECEIPTS_CONSUM_INVEST_RESIDUAL" hidden="1">"c20717"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ASSETS" hidden="1">"c20719"</definedName>
    <definedName name="IQ_GOVT_RECEIPTS_ASSETS_DIVIDENDS" hidden="1">"c20720"</definedName>
    <definedName name="IQ_GOVT_RECEIPTS_ASSETS_INTEREST" hidden="1">"c20721"</definedName>
    <definedName name="IQ_GOVT_RECEIPTS_ASSETS_RENT" hidden="1">"c20722"</definedName>
    <definedName name="IQ_GOVT_RECEIPTS_EXPENSITURES_OTHER" hidden="1">"c20728"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TRANSFER" hidden="1">"c20729"</definedName>
    <definedName name="IQ_GOVT_RECEIPTS_TRANSFER_BUSINESS" hidden="1">"c20730"</definedName>
    <definedName name="IQ_GOVT_RECEIPTS_TRANSFER_PERSONAL" hidden="1">"c20731"</definedName>
    <definedName name="IQ_GOVT_RECEIPTS_YOY" hidden="1">"c7317"</definedName>
    <definedName name="IQ_GOVT_RECEIPTS_YOY_FC" hidden="1">"c8197"</definedName>
    <definedName name="IQ_GOVT_SOCIAL_BENEFITS" hidden="1">"c20732"</definedName>
    <definedName name="IQ_GOVT_SOCIAL_BENEFITS_PERSONS" hidden="1">"c20733"</definedName>
    <definedName name="IQ_GOVT_SOCIAL_BENEFITS_WORLD" hidden="1">"c20734"</definedName>
    <definedName name="IQ_GOVT_SOCIAL_INSURANCE_FUNDS" hidden="1">"c20735"</definedName>
    <definedName name="IQ_GOVT_SUBSIDIES" hidden="1">"c20736"</definedName>
    <definedName name="IQ_GOVT_TAX_RECEIPTS" hidden="1">"c20737"</definedName>
    <definedName name="IQ_GOVT_TAX_RECEIPTS_CORPORATE" hidden="1">"c20738"</definedName>
    <definedName name="IQ_GOVT_TAX_RECEIPTS_CORPORATE_FED_RESERVE" hidden="1">"c20739"</definedName>
    <definedName name="IQ_GOVT_TAX_RECEIPTS_CORPORATE_OTHER" hidden="1">"c20740"</definedName>
    <definedName name="IQ_GOVT_TAX_RECEIPTS_CUSTOMS" hidden="1">"c20741"</definedName>
    <definedName name="IQ_GOVT_TAX_RECEIPTS_EXCISE" hidden="1">"c20742"</definedName>
    <definedName name="IQ_GOVT_TAX_RECEIPTS_PERSONAL" hidden="1">"c20743"</definedName>
    <definedName name="IQ_GOVT_TAX_RECEIPTS_PRODUCTION_IMPORTS" hidden="1">"c20744"</definedName>
    <definedName name="IQ_GOVT_TAX_RECEIPTS_WORLD" hidden="1">"c20745"</definedName>
    <definedName name="IQ_GOVT_TOTAL_EXPENDITURES" hidden="1">"c20746"</definedName>
    <definedName name="IQ_GOVT_TOTAL_RECEIPTS" hidden="1">"c20747"</definedName>
    <definedName name="IQ_GOVT_TRANSFER_PAYMENTS" hidden="1">"c20748"</definedName>
    <definedName name="IQ_GOVT_TRANSFER_PAYMENTS_OTHER" hidden="1">"c20749"</definedName>
    <definedName name="IQ_GOVT_TRANSFER_PAYMENTS_OTHER_STATE_LOCAL" hidden="1">"c20750"</definedName>
    <definedName name="IQ_GOVT_TRANSFER_PAYMENTS_OTHER_WORLD" hidden="1">"c20751"</definedName>
    <definedName name="IQ_GOVT_WAGE_ACCRUAL" hidden="1">"c20752"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DD_BASIC" hidden="1">"c15776"</definedName>
    <definedName name="IQ_GROSS_ADD_BBAND" hidden="1">"c15779"</definedName>
    <definedName name="IQ_GROSS_ADD_DIG" hidden="1">"c15777"</definedName>
    <definedName name="IQ_GROSS_ADD_PHONE" hidden="1">"c15780"</definedName>
    <definedName name="IQ_GROSS_ADD_POSTPAID_WIRELESS" hidden="1">"c15750"</definedName>
    <definedName name="IQ_GROSS_ADD_PREPAID_WIRELESS" hidden="1">"c15751"</definedName>
    <definedName name="IQ_GROSS_ADD_RESELL_WHOLESALE_WIRELESS" hidden="1">"c15752"</definedName>
    <definedName name="IQ_GROSS_ADD_RGU" hidden="1">"c15781"</definedName>
    <definedName name="IQ_GROSS_ADD_SATELLITE" hidden="1">"c15778"</definedName>
    <definedName name="IQ_GROSS_ADD_TOTAL_WIRELESS" hidden="1">"c15753"</definedName>
    <definedName name="IQ_GROSS_AH_EARNED" hidden="1">"c2742"</definedName>
    <definedName name="IQ_GROSS_CLAIM_ADJ_EXP_RESERVE_BOP" hidden="1">"c15874"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GW" hidden="1">"c17750"</definedName>
    <definedName name="IQ_GROSS_INTAN_ASSETS" hidden="1">"c17748"</definedName>
    <definedName name="IQ_GROSS_LIFE_EARNED" hidden="1">"c2737"</definedName>
    <definedName name="IQ_GROSS_LIFE_IN_FORCE" hidden="1">"c2767"</definedName>
    <definedName name="IQ_GROSS_LOAN_AVG_LOANS_THRIFT" hidden="1">"c25636"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" hidden="1">"c15871"</definedName>
    <definedName name="IQ_GROSS_LOSSES_AVG_LOANS_FFIEC" hidden="1">"c13475"</definedName>
    <definedName name="IQ_GROSS_MARGIN" hidden="1">"c529"</definedName>
    <definedName name="IQ_GROSS_MARGIN_ACT_OR_EST" hidden="1">"c5554"</definedName>
    <definedName name="IQ_GROSS_MARGIN_ACT_OR_EST_CIQ" hidden="1">"c18263"</definedName>
    <definedName name="IQ_GROSS_MARGIN_EST" hidden="1">"c5547"</definedName>
    <definedName name="IQ_GROSS_MARGIN_EST_CIQ" hidden="1">"c18110"</definedName>
    <definedName name="IQ_GROSS_MARGIN_EST_DOWN_2MONTH" hidden="1">"c16381"</definedName>
    <definedName name="IQ_GROSS_MARGIN_EST_DOWN_3MONTH" hidden="1">"c16385"</definedName>
    <definedName name="IQ_GROSS_MARGIN_EST_DOWN_MONTH" hidden="1">"c16377"</definedName>
    <definedName name="IQ_GROSS_MARGIN_EST_NOTE_CIQ" hidden="1">"c18230"</definedName>
    <definedName name="IQ_GROSS_MARGIN_EST_NUM_ANALYSTS_2MONTH" hidden="1">"c16379"</definedName>
    <definedName name="IQ_GROSS_MARGIN_EST_NUM_ANALYSTS_3MONTH" hidden="1">"c16383"</definedName>
    <definedName name="IQ_GROSS_MARGIN_EST_NUM_ANALYSTS_MONTH" hidden="1">"c16375"</definedName>
    <definedName name="IQ_GROSS_MARGIN_EST_TOTAL_REVISED_2MONTH" hidden="1">"c16382"</definedName>
    <definedName name="IQ_GROSS_MARGIN_EST_TOTAL_REVISED_3MONTH" hidden="1">"c16386"</definedName>
    <definedName name="IQ_GROSS_MARGIN_EST_TOTAL_REVISED_MONTH" hidden="1">"c16378"</definedName>
    <definedName name="IQ_GROSS_MARGIN_EST_UP_2MONTH" hidden="1">"c16380"</definedName>
    <definedName name="IQ_GROSS_MARGIN_EST_UP_3MONTH" hidden="1">"c16384"</definedName>
    <definedName name="IQ_GROSS_MARGIN_EST_UP_MONTH" hidden="1">"c16376"</definedName>
    <definedName name="IQ_GROSS_MARGIN_GUIDANCE" hidden="1">"c18394"</definedName>
    <definedName name="IQ_GROSS_MARGIN_HIGH_EST" hidden="1">"c5549"</definedName>
    <definedName name="IQ_GROSS_MARGIN_HIGH_EST_CIQ" hidden="1">"c18130"</definedName>
    <definedName name="IQ_GROSS_MARGIN_HIGH_GUIDANCE" hidden="1">"c18395"</definedName>
    <definedName name="IQ_GROSS_MARGIN_LOW_EST" hidden="1">"c5550"</definedName>
    <definedName name="IQ_GROSS_MARGIN_LOW_EST_CIQ" hidden="1">"c18140"</definedName>
    <definedName name="IQ_GROSS_MARGIN_LOW_GUIDANCE" hidden="1">"c18396"</definedName>
    <definedName name="IQ_GROSS_MARGIN_MEDIAN_EST" hidden="1">"c5548"</definedName>
    <definedName name="IQ_GROSS_MARGIN_MEDIAN_EST_CIQ" hidden="1">"c18120"</definedName>
    <definedName name="IQ_GROSS_MARGIN_NUM_EST" hidden="1">"c5551"</definedName>
    <definedName name="IQ_GROSS_MARGIN_NUM_EST_CIQ" hidden="1">"c18160"</definedName>
    <definedName name="IQ_GROSS_MARGIN_STDDEV_EST" hidden="1">"c5552"</definedName>
    <definedName name="IQ_GROSS_MARGIN_STDDEV_EST_CIQ" hidden="1">"c18150"</definedName>
    <definedName name="IQ_GROSS_PC_EARNED" hidden="1">"c2747"</definedName>
    <definedName name="IQ_GROSS_PREMIUMS_WRITTEN_AVG_ASSETS" hidden="1">"c15893"</definedName>
    <definedName name="IQ_GROSS_PREMIUMS_WRITTEN_AVG_EQUITY" hidden="1">"c15892"</definedName>
    <definedName name="IQ_GROSS_PREMIUMS_WRITTEN_AVG_STATUTORY_SURPLUS" hidden="1">"c15894"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UARANTEED_PORTION_OTHER_LOANS_LEASES_EXCLUDE_REBOOKED_GNMA_LOANS_DUE_90_THRIFT" hidden="1">"c25280"</definedName>
    <definedName name="IQ_GUARANTEED_PORTION_OTHER_LOANS_LEASES_EXCLUDE_REBOOKED_GNMA_LOANS_NON_ACCRUAL_THRIFT" hidden="1">"c25301"</definedName>
    <definedName name="IQ_GUARTANTEED_PORTION_OTHER_LOANS_LEASES_EXCLUDE_REBOOKED_GNMA_LOANS_DUE_30_89_THRIFT" hidden="1">"c25259"</definedName>
    <definedName name="IQ_GVKEY" hidden="1">"c15590"</definedName>
    <definedName name="IQ_GVKEY_OTHER" hidden="1">"c15633"</definedName>
    <definedName name="IQ_GW" hidden="1">"c530"</definedName>
    <definedName name="IQ_GW_AMORT_BR" hidden="1">"c532"</definedName>
    <definedName name="IQ_GW_AMORT_CM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" hidden="1">"c19145"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CM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CM" hidden="1">"c1470"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"c24736"</definedName>
    <definedName name="IQ_HEDGING_ACTIVITIES" hidden="1">"c17899"</definedName>
    <definedName name="IQ_HEDGING_ACTIVITIES_PCT" hidden="1">"c18013"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_EXP_DIRECT_OPERATING_EXP" hidden="1">"c15981"</definedName>
    <definedName name="IQ_HG_CASINO_GROSS_PROFIT" hidden="1">"c15974"</definedName>
    <definedName name="IQ_HG_CASINO_MARGIN" hidden="1">"c15976"</definedName>
    <definedName name="IQ_HG_CASINO_OPERATING_MARGIN" hidden="1">"c15977"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CONFERENCE_SPACE" hidden="1">"c15971"</definedName>
    <definedName name="IQ_HG_EXP_CASINO" hidden="1">"c8733"</definedName>
    <definedName name="IQ_HG_EXP_DEVELOPMENT" hidden="1">"c8738"</definedName>
    <definedName name="IQ_HG_EXP_DIRECT_CASINO_GAMING" hidden="1">"c15994"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DIRECT_HOTEL_MOTEL" hidden="1">"c15995"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BEV_EXP_DIRECT_OPERATING_EXP" hidden="1">"c15980"</definedName>
    <definedName name="IQ_HG_FOOD_BEV_REV_TOTAL_REV" hidden="1">"c15983"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NUMBER_SUITES" hidden="1">"c15970"</definedName>
    <definedName name="IQ_HG_NUMBER_TABLES_AVG" hidden="1">"c15973"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PROMO_ALLOW_GROSS_OPERATING_REV" hidden="1">"c15979"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GROSS_OPERATING" hidden="1">"c15993"</definedName>
    <definedName name="IQ_HG_REV_INCENTIVE_MANAGEMENT_FEES" hidden="1">"c8727"</definedName>
    <definedName name="IQ_HG_REV_MANAGEMENT_FEES" hidden="1">"c8718"</definedName>
    <definedName name="IQ_HG_REV_OTHER_CASINO" hidden="1">"c15992"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SLOT_MACHINE" hidden="1">"c15990"</definedName>
    <definedName name="IQ_HG_REV_TABLE" hidden="1">"c15991"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EXP_DIRECT_OPERATING_EXP" hidden="1">"c15982"</definedName>
    <definedName name="IQ_HG_ROOM_GROSS_PROFIT" hidden="1">"c15975"</definedName>
    <definedName name="IQ_HG_ROOM_MARGIN" hidden="1">"c15978"</definedName>
    <definedName name="IQ_HG_ROOM_PROM_COSTS" hidden="1">"c8745"</definedName>
    <definedName name="IQ_HG_ROOM_REV_TOTAL_REV" hidden="1">"c15984"</definedName>
    <definedName name="IQ_HG_ROOMS_BEG" hidden="1">"c8600"</definedName>
    <definedName name="IQ_HG_SAME_PROPERTIES_CASINO_REV_CHANGE" hidden="1">"c15987"</definedName>
    <definedName name="IQ_HG_SAME_PROPERTIES_FOOD_BEV_REV_CHANGE" hidden="1">"c15989"</definedName>
    <definedName name="IQ_HG_SAME_PROPERTIES_ROOM_REV_CHANGE" hidden="1">"c15988"</definedName>
    <definedName name="IQ_HG_SAME_PROPERTIES_SLOT_MACHINE_REV_CHANGE" hidden="1">"c15985"</definedName>
    <definedName name="IQ_HG_SAME_PROPERTIES_TABLE_REV_CHANGE" hidden="1">"c15986"</definedName>
    <definedName name="IQ_HG_SLOT_MACHINES_AVG" hidden="1">"c15972"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"c16124"</definedName>
    <definedName name="IQ_HG_TABLE_GAMES_MANAGED" hidden="1">"c16125"</definedName>
    <definedName name="IQ_HG_TABLE_GAMES_OWNED" hidden="1">"c16123"</definedName>
    <definedName name="IQ_HG_TABLE_GAMES_TOTAL" hidden="1">"c16126"</definedName>
    <definedName name="IQ_HG_TABLES_JV" hidden="1">"c8643"</definedName>
    <definedName name="IQ_HG_TABLES_MANAGED" hidden="1">"c8644"</definedName>
    <definedName name="IQ_HG_TABLES_OWNED" hidden="1">"c8642"</definedName>
    <definedName name="IQ_HG_TABL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SULFUR_CONTENT_RESERVES_COAL" hidden="1">"c15928"</definedName>
    <definedName name="IQ_HIGH_SULFURE_RESERVES_TO_TOTAL_RESERVES_COAL" hidden="1">"c15963"</definedName>
    <definedName name="IQ_HIGH_TARGET_PRICE" hidden="1">"c1651"</definedName>
    <definedName name="IQ_HIGH_TARGET_PRICE_CIQ" hidden="1">"c4659"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FUND_CIQID" hidden="1">"c19084"</definedName>
    <definedName name="IQ_HOLDER_FUND_DERIVATIVES" hidden="1">"c19115"</definedName>
    <definedName name="IQ_HOLDER_FUND_NAME" hidden="1">"c19083"</definedName>
    <definedName name="IQ_HOLDER_FUND_NUMBER" hidden="1">"c19090"</definedName>
    <definedName name="IQ_HOLDER_FUND_PERCENT" hidden="1">"c19085"</definedName>
    <definedName name="IQ_HOLDER_FUND_POSITION_DATE" hidden="1">"c19088"</definedName>
    <definedName name="IQ_HOLDER_FUND_PRIMARY_ADVISOR" hidden="1">"c19089"</definedName>
    <definedName name="IQ_HOLDER_FUND_SHARES" hidden="1">"c19086"</definedName>
    <definedName name="IQ_HOLDER_FUND_VALUE" hidden="1">"c19087"</definedName>
    <definedName name="IQ_HOLDER_INSTITUTION_TYPE" hidden="1">"c24729"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LDINGS_AFRICA_MIDEAST_PERCENT" hidden="1">"c19235"</definedName>
    <definedName name="IQ_HOLDINGS_AFRICA_MIDEAST_VALUE" hidden="1">"c19234"</definedName>
    <definedName name="IQ_HOLDINGS_ASIA_PERCENT" hidden="1">"c19233"</definedName>
    <definedName name="IQ_HOLDINGS_ASIA_VALUE" hidden="1">"c19232"</definedName>
    <definedName name="IQ_HOLDINGS_CONSUMER_DISCRETIONARY_PERCENT" hidden="1">"c19213"</definedName>
    <definedName name="IQ_HOLDINGS_CONSUMER_DISCRETIONARY_VALUE" hidden="1">"c19212"</definedName>
    <definedName name="IQ_HOLDINGS_CONSUMER_STAPLES_PERCENT" hidden="1">"c19219"</definedName>
    <definedName name="IQ_HOLDINGS_CONSUMER_STAPLES_VALUE" hidden="1">"c19218"</definedName>
    <definedName name="IQ_HOLDINGS_ENERGY_PERCENT" hidden="1">"c19215"</definedName>
    <definedName name="IQ_HOLDINGS_ENERGY_VALUE" hidden="1">"c19214"</definedName>
    <definedName name="IQ_HOLDINGS_EQUITY_ASSETS" hidden="1">"c26966"</definedName>
    <definedName name="IQ_HOLDINGS_EUROPE_PERCENT" hidden="1">"c19229"</definedName>
    <definedName name="IQ_HOLDINGS_EUROPE_VALUE" hidden="1">"c19228"</definedName>
    <definedName name="IQ_HOLDINGS_FINANCIALS_PERCENT" hidden="1">"c19209"</definedName>
    <definedName name="IQ_HOLDINGS_FINANCIALS_VALUE" hidden="1">"c19208"</definedName>
    <definedName name="IQ_HOLDINGS_HEALTHCARE_PERCENT" hidden="1">"c19211"</definedName>
    <definedName name="IQ_HOLDINGS_HEALTHCARE_VALUE" hidden="1">"c19210"</definedName>
    <definedName name="IQ_HOLDINGS_INDUSTRIALS_PERCENT" hidden="1">"c19217"</definedName>
    <definedName name="IQ_HOLDINGS_INDUSTRIALS_VALUE" hidden="1">"c19216"</definedName>
    <definedName name="IQ_HOLDINGS_IT_PERCENT" hidden="1">"c19207"</definedName>
    <definedName name="IQ_HOLDINGS_IT_VALUE" hidden="1">"c19206"</definedName>
    <definedName name="IQ_HOLDINGS_LATIN_CARIBBEAN_PERCENT" hidden="1">"c19231"</definedName>
    <definedName name="IQ_HOLDINGS_LATIN_CARIBBEAN_VALUE" hidden="1">"c19230"</definedName>
    <definedName name="IQ_HOLDINGS_MATERIALS_PERCENT" hidden="1">"c19223"</definedName>
    <definedName name="IQ_HOLDINGS_MATERIALS_VALUE" hidden="1">"c19222"</definedName>
    <definedName name="IQ_HOLDINGS_TELECOMM_PERCENT" hidden="1">"c19221"</definedName>
    <definedName name="IQ_HOLDINGS_TELECOMM_VALUE" hidden="1">"c19220"</definedName>
    <definedName name="IQ_HOLDINGS_US_CANADA_PERCENT" hidden="1">"c19227"</definedName>
    <definedName name="IQ_HOLDINGS_US_CANADA_VALUE" hidden="1">"c19226"</definedName>
    <definedName name="IQ_HOLDINGS_UTILITIES_PERCENT" hidden="1">"c19225"</definedName>
    <definedName name="IQ_HOLDINGS_UTILITIES_VALUE" hidden="1">"c19224"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ANCELLATION_RATE" hidden="1">"c16192"</definedName>
    <definedName name="IQ_HOME_CANCELLATION_RATE_INCL_JV" hidden="1">"c16194"</definedName>
    <definedName name="IQ_HOME_CANCELLATION_RATE_JV" hidden="1">"c16193"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ANS_TOTAL_LOANS_THRIFT" hidden="1">"c25748"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MPROVEMENT_LOANS_NOT_SECURED_RE_THRIFT" hidden="1">"c24860"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BUILDING_COGS_SALES" hidden="1">"c15813"</definedName>
    <definedName name="IQ_HOMEBUILDING_INV_TURN" hidden="1">"c15819"</definedName>
    <definedName name="IQ_HOMEBUILDING_TURN" hidden="1">"c15820"</definedName>
    <definedName name="IQ_HOMEOWNERS_WRITTEN" hidden="1">"c546"</definedName>
    <definedName name="IQ_HOTEL_OPERATING_EXPENSE" hidden="1">"c16042"</definedName>
    <definedName name="IQ_HOTEL_OPERATING_REVENUE" hidden="1">"c16026"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30YR_MORTGAGE" hidden="1">"c20753"</definedName>
    <definedName name="IQ_HOUSING_COMPLETION" hidden="1">"c20754"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CONSTRUCTION_PERMITS" hidden="1">"c20755"</definedName>
    <definedName name="IQ_HOUSING_CONSTRUCTION_PRIVATE" hidden="1">"c20756"</definedName>
    <definedName name="IQ_HOUSING_EXISTING_HOME_SALES" hidden="1">"c20757"</definedName>
    <definedName name="IQ_HOUSING_HOMEOWNER_VACANCY" hidden="1">"c20758"</definedName>
    <definedName name="IQ_HOUSING_HOMEOWNERSHIP_RATE" hidden="1">"c20759"</definedName>
    <definedName name="IQ_HOUSING_MEDIAN_SALES_PRICE" hidden="1">"c20760"</definedName>
    <definedName name="IQ_HOUSING_NEW_HOME_SALES" hidden="1">"c20761"</definedName>
    <definedName name="IQ_HOUSING_PENDING_HOME_SALE_INDEX" hidden="1">"c20762"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RENTAL_VACANCY" hidden="1">"c20763"</definedName>
    <definedName name="IQ_HOUSING_START" hidden="1">"c20764"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_INV_SEC_THRIFT" hidden="1">"c25669"</definedName>
    <definedName name="IQ_HTM_SEC_TIER_1_CAPITAL_THRIFT" hidden="1">"c25629"</definedName>
    <definedName name="IQ_HTM_SECURITIES_TIER_1_FFIEC" hidden="1">"c13342"</definedName>
    <definedName name="IQ_HYBRID_CAPITAL" hidden="1">"c15245"</definedName>
    <definedName name="IQ_HYBRID_STRUCTURED_PRODUCTS_AFS_AMORT_COST_FFIEC" hidden="1">"c20502"</definedName>
    <definedName name="IQ_HYBRID_STRUCTURED_PRODUCTS_AFS_FAIR_VAL_FFIEC" hidden="1">"c20467"</definedName>
    <definedName name="IQ_HYBRID_STRUCTURED_PRODUCTS_AVAIL_SALE_FFIEC" hidden="1">"c15265"</definedName>
    <definedName name="IQ_HYBRID_STRUCTURED_PRODUCTS_FFIEC" hidden="1">"c15262"</definedName>
    <definedName name="IQ_HYBRID_STRUCTURED_PRODUCTS_HTM_AMORT_COST_FFIEC" hidden="1">"c20450"</definedName>
    <definedName name="IQ_HYBRID_STRUCTURED_PRODUCTS_HTM_FAIR_VAL_FFIEC" hidden="1">"c20485"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CT_UNRECOG_TAX_BENEFIT_EFFECTIVE_TAX" hidden="1">"c15748"</definedName>
    <definedName name="IQ_IMPAIR_CHARGES_DEBT_EQUITY_SEC_THRIFT" hidden="1">"c24777"</definedName>
    <definedName name="IQ_IMPAIR_OIL" hidden="1">"c547"</definedName>
    <definedName name="IQ_IMPAIRED_LOANS" hidden="1">"c15250"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ORTS_USD" hidden="1">"c20765"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CM" hidden="1">"c550"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BEFORE_EXTRAORDINARY_ITEMS_AVG_ASSETS_THRIFT" hidden="1">"c25658"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STATEMENT_AP" hidden="1">"c25877"</definedName>
    <definedName name="IQ_INCOME_STATEMENT_AP_CO" hidden="1">"c25878"</definedName>
    <definedName name="IQ_INCOME_STATEMENT_INDUSTRY" hidden="1">"c25873"</definedName>
    <definedName name="IQ_INCOME_STATEMENT_INDUSTRY_CO" hidden="1">"c25874"</definedName>
    <definedName name="IQ_INCOME_STATEMENT_STANDARD" hidden="1">"c25875"</definedName>
    <definedName name="IQ_INCOME_STATEMENT_STANDARD_CO" hidden="1">"c25876"</definedName>
    <definedName name="IQ_INCOME_TAX_FOREIGN_FFIEC" hidden="1">"c15391"</definedName>
    <definedName name="IQ_INCOME_TAXES_FDIC" hidden="1">"c6582"</definedName>
    <definedName name="IQ_INCOME_TAXES_FFIEC" hidden="1">"c13030"</definedName>
    <definedName name="IQ_INCOME_TAXES_PRETAX_NET_OPERATING_INCOME_THRIFT" hidden="1">"c25693"</definedName>
    <definedName name="IQ_INCOME_TAXES_THRIFT" hidden="1">"c24795"</definedName>
    <definedName name="IQ_INCREASE_INT_INCOME_FFIEC" hidden="1">"c13063"</definedName>
    <definedName name="IQ_IND_PROD_INDEX_GROWTH" hidden="1">"c20766"</definedName>
    <definedName name="IQ_INDEX_CURRENCY" hidden="1">"c15224"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PROVIDED_DIVIDEND" hidden="1">"c19252"</definedName>
    <definedName name="IQ_INDEX_SHARES" hidden="1">"c19193"</definedName>
    <definedName name="IQ_INDEX_TYPE" hidden="1">"c15223"</definedName>
    <definedName name="IQ_INDEXCONSTITUENT_CLOSEPRICE" hidden="1">"c19241"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LL_OTHER_COMP" hidden="1">"c19040"</definedName>
    <definedName name="IQ_INDIVIDUAL_ANNUAL_CASH_COMP" hidden="1">"c19041"</definedName>
    <definedName name="IQ_INDIVIDUAL_AS_REPORTED_COMP" hidden="1">"c19045"</definedName>
    <definedName name="IQ_INDIVIDUAL_AS_REPORTED_DIRECTOR_COMP" hidden="1">"c19057"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BONUS" hidden="1">"c19036"</definedName>
    <definedName name="IQ_INDIVIDUAL_CALCULATED_COMP" hidden="1">"c19043"</definedName>
    <definedName name="IQ_INDIVIDUAL_CHANGE_PENSION" hidden="1">"c19058"</definedName>
    <definedName name="IQ_INDIVIDUAL_DIRECT_FAX" hidden="1">"c15189"</definedName>
    <definedName name="IQ_INDIVIDUAL_DIRECT_PHONE" hidden="1">"c15188"</definedName>
    <definedName name="IQ_INDIVIDUAL_DIRECTOR_BONUS" hidden="1">"c19052"</definedName>
    <definedName name="IQ_INDIVIDUAL_DIRECTOR_CHANGE_PENSION" hidden="1">"c19053"</definedName>
    <definedName name="IQ_INDIVIDUAL_DIRECTOR_FEE" hidden="1">"c19049"</definedName>
    <definedName name="IQ_INDIVIDUAL_DIRECTOR_NON_EQUITY_COMP" hidden="1">"c19054"</definedName>
    <definedName name="IQ_INDIVIDUAL_DIRECTOR_OPTION_AWARDS" hidden="1">"c19050"</definedName>
    <definedName name="IQ_INDIVIDUAL_DIRECTOR_OTHER" hidden="1">"c19051"</definedName>
    <definedName name="IQ_INDIVIDUAL_DIRECTOR_STOCK_AWARDS" hidden="1">"c19055"</definedName>
    <definedName name="IQ_INDIVIDUAL_DIRECTOR_STOCK_GRANTS" hidden="1">"c19082"</definedName>
    <definedName name="IQ_INDIVIDUAL_DIRECTOR_STOCK_OPTIONS" hidden="1">"c19056"</definedName>
    <definedName name="IQ_INDIVIDUAL_EDUCATION" hidden="1">"c15203"</definedName>
    <definedName name="IQ_INDIVIDUAL_EMAIL" hidden="1">"c15193"</definedName>
    <definedName name="IQ_INDIVIDUAL_EQUITY_INCENTIVE" hidden="1">"c19078"</definedName>
    <definedName name="IQ_INDIVIDUAL_EST_PAYMENTS_CHANGE_CONTROL" hidden="1">"c19047"</definedName>
    <definedName name="IQ_INDIVIDUAL_EST_PAYMENTS_TERMINATION" hidden="1">"c19059"</definedName>
    <definedName name="IQ_INDIVIDUAL_EXERCISABLE_OPTIONS" hidden="1">"c19062"</definedName>
    <definedName name="IQ_INDIVIDUAL_EXERCISABLE_VALUES" hidden="1">"c19063"</definedName>
    <definedName name="IQ_INDIVIDUAL_EXERCISED_OPTIONS" hidden="1">"c19060"</definedName>
    <definedName name="IQ_INDIVIDUAL_EXERCISED_VALUES" hidden="1">"c19061"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LT_INCENTIVE" hidden="1">"c19039"</definedName>
    <definedName name="IQ_INDIVIDUAL_MAIN_FAX" hidden="1">"c15187"</definedName>
    <definedName name="IQ_INDIVIDUAL_MAIN_PHONE" hidden="1">"c15186"</definedName>
    <definedName name="IQ_INDIVIDUAL_MARKET_VALUE_SHARES_NOT_VESTED" hidden="1">"c19077"</definedName>
    <definedName name="IQ_INDIVIDUAL_MOBILE" hidden="1">"c15198"</definedName>
    <definedName name="IQ_INDIVIDUAL_NICKNAME" hidden="1">"c15192"</definedName>
    <definedName name="IQ_INDIVIDUAL_NON_EQUITY_INCENTIVE" hidden="1">"c19048"</definedName>
    <definedName name="IQ_INDIVIDUAL_NOTES" hidden="1">"c15204"</definedName>
    <definedName name="IQ_INDIVIDUAL_NUM_SHARED_NOT_VESTED" hidden="1">"c19076"</definedName>
    <definedName name="IQ_INDIVIDUAL_NUM_SHARES_ACQUIRED" hidden="1">"c19074"</definedName>
    <definedName name="IQ_INDIVIDUAL_OFFICE_ADDRESS" hidden="1">"c15185"</definedName>
    <definedName name="IQ_INDIVIDUAL_OPTION_AWARDS" hidden="1">"c19044"</definedName>
    <definedName name="IQ_INDIVIDUAL_OPTION_MARKET_PRICE" hidden="1">"c19073"</definedName>
    <definedName name="IQ_INDIVIDUAL_OPTION_PRICE" hidden="1">"c19072"</definedName>
    <definedName name="IQ_INDIVIDUAL_OTHER_ANNUAL_COMP" hidden="1">"c19037"</definedName>
    <definedName name="IQ_INDIVIDUAL_OTHER_COMP" hidden="1">"c19046"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RESTRICTED_STOCK_COMP" hidden="1">"c19038"</definedName>
    <definedName name="IQ_INDIVIDUAL_SALARY" hidden="1">"c19035"</definedName>
    <definedName name="IQ_INDIVIDUAL_SPECIALTY" hidden="1">"c15190"</definedName>
    <definedName name="IQ_INDIVIDUAL_ST_COMP" hidden="1">"c19042"</definedName>
    <definedName name="IQ_INDIVIDUAL_TITLE" hidden="1">"c15183"</definedName>
    <definedName name="IQ_INDIVIDUAL_TOTAL_NUM_STOCK_AWARDS" hidden="1">"c19081"</definedName>
    <definedName name="IQ_INDIVIDUAL_TOTAL_OPTIONS" hidden="1">"c19070"</definedName>
    <definedName name="IQ_INDIVIDUAL_TOTAL_STOCK_VALUE" hidden="1">"c19080"</definedName>
    <definedName name="IQ_INDIVIDUAL_TOTAL_VALUE_OPTIONS" hidden="1">"c19071"</definedName>
    <definedName name="IQ_INDIVIDUAL_UNCLASSIFIED_OPTIONS" hidden="1">"c19066"</definedName>
    <definedName name="IQ_INDIVIDUAL_UNCLASSIFIED_OPTIONS_VALUE" hidden="1">"c19067"</definedName>
    <definedName name="IQ_INDIVIDUAL_UNEARNED_STOCK_VALUE" hidden="1">"c19079"</definedName>
    <definedName name="IQ_INDIVIDUAL_UNEXERCISABLE_OPTIONS" hidden="1">"c19064"</definedName>
    <definedName name="IQ_INDIVIDUAL_UNEXERCISABLE_VALUES" hidden="1">"c19065"</definedName>
    <definedName name="IQ_INDIVIDUAL_UNEXERCISED_UNEARNED_OPTIONS" hidden="1">"c19068"</definedName>
    <definedName name="IQ_INDIVIDUAL_UNEXERCISED_UNEARNED_OPTIONS_VALUE" hidden="1">"c19069"</definedName>
    <definedName name="IQ_INDIVIDUAL_VALUE_VESTING" hidden="1">"c19075"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AUTO_SALES_DOMESTIC" hidden="1">"c20767"</definedName>
    <definedName name="IQ_INDUSTRIAL_AUTO_SALES_FOREIGN" hidden="1">"c20768"</definedName>
    <definedName name="IQ_INDUSTRIAL_AUTO_SALES_TOTAL" hidden="1">"c20769"</definedName>
    <definedName name="IQ_INDUSTRIAL_CAPACITY_UTILIZATION" hidden="1">"c20770"</definedName>
    <definedName name="IQ_INDUSTRIAL_IPI" hidden="1">"c20771"</definedName>
    <definedName name="IQ_INDUSTRIAL_MV_ASSEMBLIES_AUTO" hidden="1">"c20772"</definedName>
    <definedName name="IQ_INDUSTRIAL_MV_ASSEMBLIES_TOTAL" hidden="1">"c20773"</definedName>
    <definedName name="IQ_INDUSTRIAL_MV_ASSEMBLIES_TRUCKS" hidden="1">"c20774"</definedName>
    <definedName name="IQ_INDUSTRIAL_MV_ASSEMBLIES_TRUCKS_HEAVY" hidden="1">"c20775"</definedName>
    <definedName name="IQ_INDUSTRIAL_MV_ASSEMBLIES_TRUCKS_LIGHT" hidden="1">"c20776"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NAV_SHARE_EST" hidden="1">"c18117"</definedName>
    <definedName name="IQ_INDUSTRY_NAV_SHARE_EST_CIQ" hidden="1">"c18185"</definedName>
    <definedName name="IQ_INDUSTRY_NAV_SHARE_EST_NOTE" hidden="1">"c18238"</definedName>
    <definedName name="IQ_INDUSTRY_NAV_SHARE_EST_NOTE_CIQ" hidden="1">"c18245"</definedName>
    <definedName name="IQ_INDUSTRY_NAV_SHARE_HIGH_EST" hidden="1">"c18137"</definedName>
    <definedName name="IQ_INDUSTRY_NAV_SHARE_HIGH_EST_CIQ" hidden="1">"c18199"</definedName>
    <definedName name="IQ_INDUSTRY_NAV_SHARE_LOW_EST" hidden="1">"c18147"</definedName>
    <definedName name="IQ_INDUSTRY_NAV_SHARE_LOW_EST_CIQ" hidden="1">"c18206"</definedName>
    <definedName name="IQ_INDUSTRY_NAV_SHARE_MEDIAN_EST" hidden="1">"c18127"</definedName>
    <definedName name="IQ_INDUSTRY_NAV_SHARE_MEDIAN_EST_CIQ" hidden="1">"c18192"</definedName>
    <definedName name="IQ_INDUSTRY_NAV_SHARE_NUM_EST" hidden="1">"c18167"</definedName>
    <definedName name="IQ_INDUSTRY_NAV_SHARE_NUM_EST_CIQ" hidden="1">"c18220"</definedName>
    <definedName name="IQ_INDUSTRY_NAV_SHARE_STDDEV_EST" hidden="1">"c18157"</definedName>
    <definedName name="IQ_INDUSTRY_NAV_SHARE_STDDEV_EST_CIQ" hidden="1">"c18213"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CPI_APPAREL" hidden="1">"c20777"</definedName>
    <definedName name="IQ_INFLATION_CPI_EDUCATION" hidden="1">"c20778"</definedName>
    <definedName name="IQ_INFLATION_CPI_FOOD" hidden="1">"c20779"</definedName>
    <definedName name="IQ_INFLATION_CPI_HOUSING" hidden="1">"c20780"</definedName>
    <definedName name="IQ_INFLATION_CPI_MEDICAL" hidden="1">"c20781"</definedName>
    <definedName name="IQ_INFLATION_CPI_OTHER" hidden="1">"c20782"</definedName>
    <definedName name="IQ_INFLATION_CPI_RECREATION" hidden="1">"c20783"</definedName>
    <definedName name="IQ_INFLATION_CPI_TRANSPORTATION" hidden="1">"c20784"</definedName>
    <definedName name="IQ_INFLATION_CPI_TRANSPORTATION_PUBLIC" hidden="1">"c20785"</definedName>
    <definedName name="IQ_INFLATION_CPI_URBAN_ALL" hidden="1">"c20786"</definedName>
    <definedName name="IQ_INFLATION_PPI_FINISHED_GOODS" hidden="1">"c20787"</definedName>
    <definedName name="IQ_INFLATION_PPI_FINISHED_GOODS_EX_FOOD_ENERGY" hidden="1">"c20788"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ITIAL_TRANSACTION" hidden="1">"c18885"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CM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CIQID" hidden="1">"c19101"</definedName>
    <definedName name="IQ_INSIDER_DERIVATIVES" hidden="1">"c19102"</definedName>
    <definedName name="IQ_INSIDER_LOANS_FDIC" hidden="1">"c6365"</definedName>
    <definedName name="IQ_INSIDER_NAME" hidden="1">"c19100"</definedName>
    <definedName name="IQ_INSIDER_OVER_TOTAL" hidden="1">"c1581"</definedName>
    <definedName name="IQ_INSIDER_OWNER" hidden="1">"c577"</definedName>
    <definedName name="IQ_INSIDER_PERCENT" hidden="1">"c578"</definedName>
    <definedName name="IQ_INSIDER_POSITION_DATE" hidden="1">"c19104"</definedName>
    <definedName name="IQ_INSIDER_SHARES" hidden="1">"c579"</definedName>
    <definedName name="IQ_INSIDER_VALUE" hidden="1">"c19103"</definedName>
    <definedName name="IQ_INST_DEPOSITS" hidden="1">"c89"</definedName>
    <definedName name="IQ_INSTITUTION_TYPE" hidden="1">"c24730"</definedName>
    <definedName name="IQ_INSTITUTIONAL_CIQID" hidden="1">"c19106"</definedName>
    <definedName name="IQ_INSTITUTIONAL_DERIVATIVES" hidden="1">"c19107"</definedName>
    <definedName name="IQ_INSTITUTIONAL_NAME" hidden="1">"c19105"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POSITION_DATE" hidden="1">"c19109"</definedName>
    <definedName name="IQ_INSTITUTIONAL_SHARES" hidden="1">"c582"</definedName>
    <definedName name="IQ_INSTITUTIONAL_VALUE" hidden="1">"c19108"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SURED_GUARANTEED_AGENCY_US_SPONSORED_ENTERPRISE_THRIFT" hidden="1">"c24830"</definedName>
    <definedName name="IQ_INT_ADVANCES_FHLB_THRIFT" hidden="1">"c24759"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COMM_LOANS_LEASES_THRIFT" hidden="1">"c24748"</definedName>
    <definedName name="IQ_INT_CONSUMER_LOANS_LEASES_THRIFT" hidden="1">"c24749"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EPOSITS_INV_SEC_THRIFT" hidden="1">"c24745"</definedName>
    <definedName name="IQ_INT_DEPOSITS_THRIFT" hidden="1">"c24757"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ARNING_DEPOSITS_FHLBS_THRIFT" hidden="1">"c24819"</definedName>
    <definedName name="IQ_INT_ESCROWS_THRIFT" hidden="1">"c24758"</definedName>
    <definedName name="IQ_INT_EXP_AVG_ASSETS_FFIEC" hidden="1">"c13357"</definedName>
    <definedName name="IQ_INT_EXP_AVG_ASSETS_THRIFT" hidden="1">"c25648"</definedName>
    <definedName name="IQ_INT_EXP_AVG_EARNING_ASSETS_THRIFT" hidden="1">"c25667"</definedName>
    <definedName name="IQ_INT_EXP_BR" hidden="1">"c586"</definedName>
    <definedName name="IQ_INT_EXP_CM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FULLY_INSURED_BROKERED_DEPOSITS_THRIFT" hidden="1">"c24982"</definedName>
    <definedName name="IQ_INT_EXP_INCL_CAP" hidden="1">"c2988"</definedName>
    <definedName name="IQ_INT_EXP_INS" hidden="1">"c589"</definedName>
    <definedName name="IQ_INT_EXP_LTD" hidden="1">"c2086"</definedName>
    <definedName name="IQ_INT_EXP_OTHER_BROKERED_DEPOSITS_THRIFT" hidden="1">"c24983"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EXPENSE_AVG_ASSET" hidden="1">"c15705"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RE_LOANS_DOM_FFIEC" hidden="1">"c15353"</definedName>
    <definedName name="IQ_INT_FEE_INC_SECURED_RE_DOM_FFIEC" hidden="1">"c12977"</definedName>
    <definedName name="IQ_INT_FEE_INC_TAX_EXEMPT_OBLIGATIONS_DOM_FFIEC" hidden="1">"c15362"</definedName>
    <definedName name="IQ_INT_FEE_INC_TAXABLE_OBLIGATIONS_DOM_FFIEC" hidden="1">"c15361"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CM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AVG_ASSET" hidden="1">"c15704"</definedName>
    <definedName name="IQ_INT_INCOME_AVG_ASSETS_THRIFT" hidden="1">"c25647"</definedName>
    <definedName name="IQ_INT_INCOME_AVG_EARNING_ASSETS_THRIFT" hidden="1">"c25666"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MBS_THRIFT" hidden="1">"c24746"</definedName>
    <definedName name="IQ_INT_MORTGAGE_COLLATERALIZED_SEC_THRIFT" hidden="1">"c24761"</definedName>
    <definedName name="IQ_INT_MORTGAGE_LOANS_THRIFT" hidden="1">"c24747"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ONLY_STRIP_RECEIVABLES_OTHER_INSTRUMENTS_THRIFT" hidden="1">"c24891"</definedName>
    <definedName name="IQ_INT_OTHER_BORROWINGS_THRIFT" hidden="1">"c24762"</definedName>
    <definedName name="IQ_INT_RATE_EXPOSURE_FFIEC" hidden="1">"c13058"</definedName>
    <definedName name="IQ_INT_RATE_SPREAD" hidden="1">"c604"</definedName>
    <definedName name="IQ_INT_SAVINGS_DEPOSITS_MMDA_DOM_FFIEC" hidden="1">"c15364"</definedName>
    <definedName name="IQ_INT_SUB_DEBT_THRIFT" hidden="1">"c24760"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_TRANSACTION_ACCOUNTS_DOM_FFIEC" hidden="1">"c15363"</definedName>
    <definedName name="IQ_INT_YIELD_DEPOSITS_INV_SEC_THRIFT" hidden="1">"c25679"</definedName>
    <definedName name="IQ_INT_YIELD_MBS_THRIFT" hidden="1">"c25678"</definedName>
    <definedName name="IQ_INTANGIBLE_ASSETS_ADJUSTED_ASSETS_THRIFT" hidden="1">"c25036"</definedName>
    <definedName name="IQ_INTANGIBLE_ASSETS_T1_THRIFT" hidden="1">"c25027"</definedName>
    <definedName name="IQ_INTANGIBLES_NET" hidden="1">"c1407"</definedName>
    <definedName name="IQ_INTERBANK_RATIO" hidden="1">"c19134"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CASH_FOREIGN_FFIEC" hidden="1">"c12776"</definedName>
    <definedName name="IQ_INTEREST_BEARING_CASH_US_FFIEC" hidden="1">"c12775"</definedName>
    <definedName name="IQ_INTEREST_BEARING_DEPOSITS_ALL_OTHER_ACCOUNTS_THRIFT" hidden="1">"c25424"</definedName>
    <definedName name="IQ_INTEREST_BEARING_DEPOSITS_DOMESTIC_FDIC" hidden="1">"c6478"</definedName>
    <definedName name="IQ_INTEREST_BEARING_DEPOSITS_EMPLOYEE_BENEFIT_RETIREMENT_RELATED_ACCOUNTS_THRIFT" hidden="1">"c25408"</definedName>
    <definedName name="IQ_INTEREST_BEARING_DEPOSITS_FDIC" hidden="1">"c6373"</definedName>
    <definedName name="IQ_INTEREST_BEARING_DEPOSITS_FOREIGN_FDIC" hidden="1">"c6485"</definedName>
    <definedName name="IQ_INTEREST_BEARING_DEPOSITS_PERSONAL_TRUST_AGENCY_INV_MANAGEMENT_AGENCY_ACCOUNTS_THRIFT_THRIFT" hidden="1">"c25392"</definedName>
    <definedName name="IQ_INTEREST_BEARING_TRANS_DOM_QUARTERLY_AVG_FFIEC" hidden="1">"c15484"</definedName>
    <definedName name="IQ_INTEREST_CASH_DEPOSITS" hidden="1">"c2255"</definedName>
    <definedName name="IQ_INTEREST_CREDITED_DEPOSITS_THRIFT" hidden="1">"c25344"</definedName>
    <definedName name="IQ_INTEREST_EXP" hidden="1">"c618"</definedName>
    <definedName name="IQ_INTEREST_EXP_ACT_OR_EST" hidden="1">"c18267"</definedName>
    <definedName name="IQ_INTEREST_EXP_ACT_OR_EST_CIQ" hidden="1">"c18273"</definedName>
    <definedName name="IQ_INTEREST_EXP_EST" hidden="1">"c18114"</definedName>
    <definedName name="IQ_INTEREST_EXP_EST_CIQ" hidden="1">"c18182"</definedName>
    <definedName name="IQ_INTEREST_EXP_EST_NOTE" hidden="1">"c18235"</definedName>
    <definedName name="IQ_INTEREST_EXP_EST_NOTE_CIQ" hidden="1">"c18242"</definedName>
    <definedName name="IQ_INTEREST_EXP_GUIDANCE" hidden="1">"c18406"</definedName>
    <definedName name="IQ_INTEREST_EXP_HIGH_EST" hidden="1">"c18134"</definedName>
    <definedName name="IQ_INTEREST_EXP_HIGH_EST_CIQ" hidden="1">"c18196"</definedName>
    <definedName name="IQ_INTEREST_EXP_HIGH_GUIDANCE" hidden="1">"c18407"</definedName>
    <definedName name="IQ_INTEREST_EXP_LOW_EST" hidden="1">"c18144"</definedName>
    <definedName name="IQ_INTEREST_EXP_LOW_EST_CIQ" hidden="1">"c18203"</definedName>
    <definedName name="IQ_INTEREST_EXP_LOW_GUIDANCE" hidden="1">"c18408"</definedName>
    <definedName name="IQ_INTEREST_EXP_MEDIAN_EST" hidden="1">"c18124"</definedName>
    <definedName name="IQ_INTEREST_EXP_MEDIAN_EST_CIQ" hidden="1">"c18189"</definedName>
    <definedName name="IQ_INTEREST_EXP_NET" hidden="1">"c1450"</definedName>
    <definedName name="IQ_INTEREST_EXP_NON" hidden="1">"c1383"</definedName>
    <definedName name="IQ_INTEREST_EXP_NUM_EST" hidden="1">"c18164"</definedName>
    <definedName name="IQ_INTEREST_EXP_NUM_EST_CIQ" hidden="1">"c18217"</definedName>
    <definedName name="IQ_INTEREST_EXP_STDDEV_EST" hidden="1">"c18154"</definedName>
    <definedName name="IQ_INTEREST_EXP_STDDEV_EST_CIQ" hidden="1">"c18210"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PENALTIES_RECOG_BS_AFTER_TAX" hidden="1">"c15745"</definedName>
    <definedName name="IQ_INTEREST_PENALTIES_RECOG_BS_PRE_TAX" hidden="1">"c15744"</definedName>
    <definedName name="IQ_INTEREST_PENALTIES_RECOG_IS_AFTER_TAX" hidden="1">"c15743"</definedName>
    <definedName name="IQ_INTEREST_PENALTIES_RECOG_IS_PRE_TAX" hidden="1">"c15742"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TRACO_INC_CREDITS_FIDUCIARY_RELATED_SERVICES_THRIFT" hidden="1">"c24814"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IN_UNREGISTERED_FUNDS_PRIVATE_EQUITY_INV_ALL_OTHER_ACCOUNTS_THRIFT" hidden="1">"c25433"</definedName>
    <definedName name="IQ_INV_IN_UNREGISTERED_FUNDS_PRIVATE_EQUITY_INV_EMPLOYEE_BENEFIT_RETIREMENT_RELATED_ACCOUNTS_THRIFT" hidden="1">"c25417"</definedName>
    <definedName name="IQ_INV_IN_UNREGISTERED_FUNDS_PRIVATE_EQUITY_INV_PERSONAL_TRUST_AGENCY_INV_MANAGEMENT_ACCOUNTS_THRIFT" hidden="1">"c25401"</definedName>
    <definedName name="IQ_INV_MANAGEMENT_INV_ADVISORY_AGENCY_ACCOUNTS_GROSS_LOSSES_MANAGED_ACCOUNTS_THRIFT" hidden="1">"c25463"</definedName>
    <definedName name="IQ_INV_MANAGEMENT_INV_ADVISORY_AGENCY_ACCOUNTS_GROSS_LOSSES_NONMANAGED_ACCOUNTS_THRIFT" hidden="1">"c25468"</definedName>
    <definedName name="IQ_INV_MANAGEMENT_INV_ADVISORY_AGENCY_ACCOUNTS_MANAGED_ASSETS_THRIFT" hidden="1">"c25353"</definedName>
    <definedName name="IQ_INV_MANAGEMENT_INV_ADVISORY_AGENCY_ACCOUNTS_NONMANAGED_ASSETS_THRIFT" hidden="1">"c25374"</definedName>
    <definedName name="IQ_INV_MANAGEMENT_INV_ADVISORY_AGENCY_ACCOUNTS_NUMBER_MANAGED_ACCOUNTS_THRIFT" hidden="1">"c25364"</definedName>
    <definedName name="IQ_INV_MANAGEMENT_INV_ADVISORY_AGENCY_ACCOUNTS_NUMBER_NONMANAGED_ACCOUNTS_THRIFT" hidden="1">"c25386"</definedName>
    <definedName name="IQ_INV_MANAGEMENT_INV_ADVISORY_AGENCY_ACCOUNTS_RECOVERIES_THRIFT" hidden="1">"c25473"</definedName>
    <definedName name="IQ_INV_METHOD" hidden="1">"c621"</definedName>
    <definedName name="IQ_INV_MGMT_ADVISORY_AGENCY_ACCOUNTS_INC_THRIFT" hidden="1">"c24806"</definedName>
    <definedName name="IQ_INV_NONCONTROLLING_INTERESTS_IN_SUBS_T1_THRIFT" hidden="1">"c25022"</definedName>
    <definedName name="IQ_INV_REL_ID" hidden="1">"c15220"</definedName>
    <definedName name="IQ_INV_REL_NAME" hidden="1">"c15219"</definedName>
    <definedName name="IQ_INV_SEC_TOTAL_ASSETS_THRIFT" hidden="1">"c25697"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BREAKUP_ASSET_MBS" hidden="1">"c17796"</definedName>
    <definedName name="IQ_INVEST_BREAKUP_COMMON" hidden="1">"c17687"</definedName>
    <definedName name="IQ_INVEST_BREAKUP_CORP_DEBT" hidden="1">"c17684"</definedName>
    <definedName name="IQ_INVEST_BREAKUP_CORP_EQUITY" hidden="1">"c17689"</definedName>
    <definedName name="IQ_INVEST_BREAKUP_NON_US_GOVT" hidden="1">"c17794"</definedName>
    <definedName name="IQ_INVEST_BREAKUP_NOT_CLASSIFIED" hidden="1">"c17690"</definedName>
    <definedName name="IQ_INVEST_BREAKUP_OTHER_FIXED" hidden="1">"c17685"</definedName>
    <definedName name="IQ_INVEST_BREAKUP_PREFERRED" hidden="1">"c17688"</definedName>
    <definedName name="IQ_INVEST_BREAKUP_PUBLIC_UTIL_DEBT" hidden="1">"c17683"</definedName>
    <definedName name="IQ_INVEST_BREAKUP_STATE_MUNI" hidden="1">"c17795"</definedName>
    <definedName name="IQ_INVEST_BREAKUP_TOTAL_FIXED" hidden="1">"c17686"</definedName>
    <definedName name="IQ_INVEST_BREAKUP_TOTAL_INVEST" hidden="1">"c17691"</definedName>
    <definedName name="IQ_INVEST_BREAKUP_US_GOVT" hidden="1">"c17793"</definedName>
    <definedName name="IQ_INVEST_CREDIT_QUAL_AMORT_TYPE_1" hidden="1">"c17785"</definedName>
    <definedName name="IQ_INVEST_CREDIT_QUAL_AMORT_TYPE_1_PCT" hidden="1">"c17844"</definedName>
    <definedName name="IQ_INVEST_CREDIT_QUAL_AMORT_TYPE_2" hidden="1">"c17786"</definedName>
    <definedName name="IQ_INVEST_CREDIT_QUAL_AMORT_TYPE_2_PCT" hidden="1">"c17845"</definedName>
    <definedName name="IQ_INVEST_CREDIT_QUAL_AMORT_TYPE_3" hidden="1">"c17787"</definedName>
    <definedName name="IQ_INVEST_CREDIT_QUAL_AMORT_TYPE_3_PCT" hidden="1">"c17846"</definedName>
    <definedName name="IQ_INVEST_CREDIT_QUAL_AMORT_TYPE_4" hidden="1">"c17788"</definedName>
    <definedName name="IQ_INVEST_CREDIT_QUAL_AMORT_TYPE_4_PCT" hidden="1">"c17847"</definedName>
    <definedName name="IQ_INVEST_CREDIT_QUAL_AMORT_TYPE_5" hidden="1">"c17789"</definedName>
    <definedName name="IQ_INVEST_CREDIT_QUAL_AMORT_TYPE_5_PCT" hidden="1">"c17848"</definedName>
    <definedName name="IQ_INVEST_CREDIT_QUAL_AMORT_TYPE_6" hidden="1">"c17790"</definedName>
    <definedName name="IQ_INVEST_CREDIT_QUAL_AMORT_TYPE_6_PCT" hidden="1">"c17849"</definedName>
    <definedName name="IQ_INVEST_CREDIT_QUAL_AMORT_TYPE_OTHER" hidden="1">"c17791"</definedName>
    <definedName name="IQ_INVEST_CREDIT_QUAL_AMORT_TYPE_OTHER_PCT" hidden="1">"c17850"</definedName>
    <definedName name="IQ_INVEST_CREDIT_QUAL_AMORT_TYPE_TOTAL_FIXED" hidden="1">"c17792"</definedName>
    <definedName name="IQ_INVEST_CREDIT_QUAL_CV_TYPE_1" hidden="1">"c17769"</definedName>
    <definedName name="IQ_INVEST_CREDIT_QUAL_CV_TYPE_1_PCT" hidden="1">"c17830"</definedName>
    <definedName name="IQ_INVEST_CREDIT_QUAL_CV_TYPE_2" hidden="1">"c17770"</definedName>
    <definedName name="IQ_INVEST_CREDIT_QUAL_CV_TYPE_2_PCT" hidden="1">"c17831"</definedName>
    <definedName name="IQ_INVEST_CREDIT_QUAL_CV_TYPE_3" hidden="1">"c17771"</definedName>
    <definedName name="IQ_INVEST_CREDIT_QUAL_CV_TYPE_3_PCT" hidden="1">"c17832"</definedName>
    <definedName name="IQ_INVEST_CREDIT_QUAL_CV_TYPE_4" hidden="1">"c17772"</definedName>
    <definedName name="IQ_INVEST_CREDIT_QUAL_CV_TYPE_4_PCT" hidden="1">"c17833"</definedName>
    <definedName name="IQ_INVEST_CREDIT_QUAL_CV_TYPE_5" hidden="1">"c17773"</definedName>
    <definedName name="IQ_INVEST_CREDIT_QUAL_CV_TYPE_5_PCT" hidden="1">"c17834"</definedName>
    <definedName name="IQ_INVEST_CREDIT_QUAL_CV_TYPE_6" hidden="1">"c17774"</definedName>
    <definedName name="IQ_INVEST_CREDIT_QUAL_CV_TYPE_6_PCT" hidden="1">"c17835"</definedName>
    <definedName name="IQ_INVEST_CREDIT_QUAL_CV_TYPE_OTHER" hidden="1">"c17775"</definedName>
    <definedName name="IQ_INVEST_CREDIT_QUAL_CV_TYPE_OTHER_PCT" hidden="1">"c17836"</definedName>
    <definedName name="IQ_INVEST_CREDIT_QUAL_CV_TYPE_TOTAL_FIXED" hidden="1">"c17776"</definedName>
    <definedName name="IQ_INVEST_CREDIT_QUAL_FV_TYPE_1" hidden="1">"c17777"</definedName>
    <definedName name="IQ_INVEST_CREDIT_QUAL_FV_TYPE_1_PCT" hidden="1">"c17837"</definedName>
    <definedName name="IQ_INVEST_CREDIT_QUAL_FV_TYPE_2" hidden="1">"c17778"</definedName>
    <definedName name="IQ_INVEST_CREDIT_QUAL_FV_TYPE_2_PCT" hidden="1">"c17838"</definedName>
    <definedName name="IQ_INVEST_CREDIT_QUAL_FV_TYPE_3" hidden="1">"c17779"</definedName>
    <definedName name="IQ_INVEST_CREDIT_QUAL_FV_TYPE_3_PCT" hidden="1">"c17839"</definedName>
    <definedName name="IQ_INVEST_CREDIT_QUAL_FV_TYPE_4" hidden="1">"c17780"</definedName>
    <definedName name="IQ_INVEST_CREDIT_QUAL_FV_TYPE_4_PCT" hidden="1">"c17840"</definedName>
    <definedName name="IQ_INVEST_CREDIT_QUAL_FV_TYPE_5" hidden="1">"c17781"</definedName>
    <definedName name="IQ_INVEST_CREDIT_QUAL_FV_TYPE_5_PCT" hidden="1">"c17841"</definedName>
    <definedName name="IQ_INVEST_CREDIT_QUAL_FV_TYPE_6" hidden="1">"c17782"</definedName>
    <definedName name="IQ_INVEST_CREDIT_QUAL_FV_TYPE_6_PCT" hidden="1">"c17842"</definedName>
    <definedName name="IQ_INVEST_CREDIT_QUAL_FV_TYPE_OTHER" hidden="1">"c17783"</definedName>
    <definedName name="IQ_INVEST_CREDIT_QUAL_FV_TYPE_OTHER_PCT" hidden="1">"c17843"</definedName>
    <definedName name="IQ_INVEST_CREDIT_QUAL_FV_TYPE_TOTAL_FIXED" hidden="1">"c17784"</definedName>
    <definedName name="IQ_INVEST_CRITERIA_EBITDA_MAX" hidden="1">"c18907"</definedName>
    <definedName name="IQ_INVEST_CRITERIA_EBITDA_MIN" hidden="1">"c18906"</definedName>
    <definedName name="IQ_INVEST_CRITERIA_EQUITY_MAX" hidden="1">"c18901"</definedName>
    <definedName name="IQ_INVEST_CRITERIA_EQUITY_MIN" hidden="1">"c18900"</definedName>
    <definedName name="IQ_INVEST_CRITERIA_EV_MAX" hidden="1">"c18903"</definedName>
    <definedName name="IQ_INVEST_CRITERIA_EV_MIN" hidden="1">"c18902"</definedName>
    <definedName name="IQ_INVEST_CRITERIA_GEOGRAPHY" hidden="1">"c18898"</definedName>
    <definedName name="IQ_INVEST_CRITERIA_INDUSTRY" hidden="1">"c18897"</definedName>
    <definedName name="IQ_INVEST_CRITERIA_STAGES" hidden="1">"c18899"</definedName>
    <definedName name="IQ_INVEST_CRITERIA_TOT_REV_MAX" hidden="1">"c18905"</definedName>
    <definedName name="IQ_INVEST_CRITERIA_TOT_REV_MIN" hidden="1">"c18904"</definedName>
    <definedName name="IQ_INVEST_DEBT" hidden="1">"c625"</definedName>
    <definedName name="IQ_INVEST_DETAIL_AVAIL_SALE" hidden="1">"c17692"</definedName>
    <definedName name="IQ_INVEST_DETAIL_AVAIL_SALE_AMORT" hidden="1">"c17810"</definedName>
    <definedName name="IQ_INVEST_DETAIL_HELD_MATURITY" hidden="1">"c17807"</definedName>
    <definedName name="IQ_INVEST_DETAIL_OTHER" hidden="1">"c17809"</definedName>
    <definedName name="IQ_INVEST_DETAIL_TRADING" hidden="1">"c17808"</definedName>
    <definedName name="IQ_INVEST_DETAIL_TRADING_AMORT" hidden="1">"c17811"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CM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AT_AMORT_1_5_YR" hidden="1">"c17764"</definedName>
    <definedName name="IQ_INVEST_MAT_AMORT_1_5_YR_PCT" hidden="1">"c17825"</definedName>
    <definedName name="IQ_INVEST_MAT_AMORT_1_YR" hidden="1">"c17763"</definedName>
    <definedName name="IQ_INVEST_MAT_AMORT_1_YR_PCT" hidden="1">"c17824"</definedName>
    <definedName name="IQ_INVEST_MAT_AMORT_5_10_YR" hidden="1">"c17765"</definedName>
    <definedName name="IQ_INVEST_MAT_AMORT_5_10_YR_PCT" hidden="1">"c17826"</definedName>
    <definedName name="IQ_INVEST_MAT_AMORT_AFTER_10_YR" hidden="1">"c17766"</definedName>
    <definedName name="IQ_INVEST_MAT_AMORT_AFTER_10_YR_PCT" hidden="1">"c17827"</definedName>
    <definedName name="IQ_INVEST_MAT_AMORT_ASSET_MBS" hidden="1">"c17767"</definedName>
    <definedName name="IQ_INVEST_MAT_AMORT_ASSET_MBS_PCT" hidden="1">"c17828"</definedName>
    <definedName name="IQ_INVEST_MAT_AMORT_OTHER_FIXED" hidden="1">"c17768"</definedName>
    <definedName name="IQ_INVEST_MAT_AMORT_OTHER_FIXED_PCT" hidden="1">"c17829"</definedName>
    <definedName name="IQ_INVEST_MAT_CV_1_5_YR" hidden="1">"c17752"</definedName>
    <definedName name="IQ_INVEST_MAT_CV_1_5_YR_PCT" hidden="1">"c17813"</definedName>
    <definedName name="IQ_INVEST_MAT_CV_1_YR" hidden="1">"c17751"</definedName>
    <definedName name="IQ_INVEST_MAT_CV_1_YR_PCT" hidden="1">"c17812"</definedName>
    <definedName name="IQ_INVEST_MAT_CV_5_10_YR" hidden="1">"c17753"</definedName>
    <definedName name="IQ_INVEST_MAT_CV_5_10_YR_PCT" hidden="1">"c17814"</definedName>
    <definedName name="IQ_INVEST_MAT_CV_AFTER_10_YR" hidden="1">"c17754"</definedName>
    <definedName name="IQ_INVEST_MAT_CV_AFTER_10_YR_PCT" hidden="1">"c17815"</definedName>
    <definedName name="IQ_INVEST_MAT_CV_ASSET_MBS" hidden="1">"c17755"</definedName>
    <definedName name="IQ_INVEST_MAT_CV_ASSET_MBS_PCT" hidden="1">"c17816"</definedName>
    <definedName name="IQ_INVEST_MAT_CV_OTHER_FIXED" hidden="1">"c17756"</definedName>
    <definedName name="IQ_INVEST_MAT_CV_OTHER_FIXED_PCT" hidden="1">"c17817"</definedName>
    <definedName name="IQ_INVEST_MAT_FV_1_5_YR" hidden="1">"c17758"</definedName>
    <definedName name="IQ_INVEST_MAT_FV_1_5_YR_PCT" hidden="1">"c17819"</definedName>
    <definedName name="IQ_INVEST_MAT_FV_1_YR" hidden="1">"c17757"</definedName>
    <definedName name="IQ_INVEST_MAT_FV_1_YR_PCT" hidden="1">"c17818"</definedName>
    <definedName name="IQ_INVEST_MAT_FV_5_10_YR" hidden="1">"c17759"</definedName>
    <definedName name="IQ_INVEST_MAT_FV_5_10_YR_PCT" hidden="1">"c17820"</definedName>
    <definedName name="IQ_INVEST_MAT_FV_AFTER_10_YR" hidden="1">"c17760"</definedName>
    <definedName name="IQ_INVEST_MAT_FV_AFTER_10_YR_PCT" hidden="1">"c17821"</definedName>
    <definedName name="IQ_INVEST_MAT_FV_ASSET_MBS" hidden="1">"c17761"</definedName>
    <definedName name="IQ_INVEST_MAT_FV_ASSET_MBS_PCT" hidden="1">"c17822"</definedName>
    <definedName name="IQ_INVEST_MAT_FV_OTHER_FIXED" hidden="1">"c17762"</definedName>
    <definedName name="IQ_INVEST_MAT_FV_OTHER_FIXED_PCT" hidden="1">"c17823"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CM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ADVISOR" hidden="1">"c19236"</definedName>
    <definedName name="IQ_INVESTMENT_ADVISOR_ID" hidden="1">"c19237"</definedName>
    <definedName name="IQ_INVESTMENT_ADVISOR_PRIMARY" hidden="1">"c19239"</definedName>
    <definedName name="IQ_INVESTMENT_ADVISOR_PRIMARY_ID" hidden="1">"c19240"</definedName>
    <definedName name="IQ_INVESTMENT_ADVISOR_REL" hidden="1">"c19238"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NVESTMENT_PARTNERSHIP" hidden="1">"c16072"</definedName>
    <definedName name="IQ_INVESTMENTS_ALL" hidden="1">"c18891"</definedName>
    <definedName name="IQ_INVESTMENTS_ALL_COVER" hidden="1">"c19112"</definedName>
    <definedName name="IQ_INVESTMENTS_ALL_ID" hidden="1">"c18892"</definedName>
    <definedName name="IQ_INVESTMENTS_ALL_REL" hidden="1">"c18894"</definedName>
    <definedName name="IQ_INVESTMENTS_ALL_STAKE" hidden="1">"c18893"</definedName>
    <definedName name="IQ_INVESTMENTS_CURR" hidden="1">"c18881"</definedName>
    <definedName name="IQ_INVESTMENTS_CURR_COVER" hidden="1">"c19110"</definedName>
    <definedName name="IQ_INVESTMENTS_CURR_ID" hidden="1">"c18882"</definedName>
    <definedName name="IQ_INVESTMENTS_CURR_REL" hidden="1">"c18884"</definedName>
    <definedName name="IQ_INVESTMENTS_CURR_STAKE" hidden="1">"c18883"</definedName>
    <definedName name="IQ_INVESTMENTS_LP" hidden="1">"c18912"</definedName>
    <definedName name="IQ_INVESTMENTS_LP_ID" hidden="1">"c18913"</definedName>
    <definedName name="IQ_INVESTMENTS_LP_REL" hidden="1">"c18914"</definedName>
    <definedName name="IQ_INVESTMENTS_PENDING" hidden="1">"c18887"</definedName>
    <definedName name="IQ_INVESTMENTS_PENDING_COVER" hidden="1">"c19111"</definedName>
    <definedName name="IQ_INVESTMENTS_PENDING_ID" hidden="1">"c18888"</definedName>
    <definedName name="IQ_INVESTMENTS_PENDING_REL" hidden="1">"c18890"</definedName>
    <definedName name="IQ_INVESTMENTS_PENDING_STAKE" hidden="1">"c18889"</definedName>
    <definedName name="IQ_INVESTMENTS_PRIOR" hidden="1">"c18895"</definedName>
    <definedName name="IQ_INVESTMENTS_PRIOR_ID" hidden="1">"c18896"</definedName>
    <definedName name="IQ_INVESTORS_ALL" hidden="1">"c20509"</definedName>
    <definedName name="IQ_INVESTORS_ALL_COVER" hidden="1">"c20510"</definedName>
    <definedName name="IQ_INVESTORS_ALL_ID" hidden="1">"C20508"</definedName>
    <definedName name="IQ_INVESTORS_ALL_REL" hidden="1">"c20511"</definedName>
    <definedName name="IQ_INVESTORS_ALL_STAKE" hidden="1">"c20512"</definedName>
    <definedName name="IQ_INVESTORS_CURR" hidden="1">"c20514"</definedName>
    <definedName name="IQ_INVESTORS_CURR_COVER" hidden="1">"c20515"</definedName>
    <definedName name="IQ_INVESTORS_CURR_ID" hidden="1">"c20513"</definedName>
    <definedName name="IQ_INVESTORS_CURR_RECENT_AMOUNT" hidden="1">"c20516"</definedName>
    <definedName name="IQ_INVESTORS_CURR_REL" hidden="1">"c20517"</definedName>
    <definedName name="IQ_INVESTORS_CURR_STAKE" hidden="1">"c20518"</definedName>
    <definedName name="IQ_INVESTORS_CURR_TRANSACTION_DATE" hidden="1">"c20519"</definedName>
    <definedName name="IQ_INVESTORS_CURR_TRANSACTION_ID" hidden="1">"c20520"</definedName>
    <definedName name="IQ_INVESTORS_PENDING" hidden="1">"c20522"</definedName>
    <definedName name="IQ_INVESTORS_PENDING_COVER" hidden="1">"c20523"</definedName>
    <definedName name="IQ_INVESTORS_PENDING_ID" hidden="1">"c20521"</definedName>
    <definedName name="IQ_INVESTORS_PENDING_REL" hidden="1">"c20524"</definedName>
    <definedName name="IQ_INVESTORS_PENDING_STAKE" hidden="1">"c20525"</definedName>
    <definedName name="IQ_INVESTORS_PRIOR" hidden="1">"c20526"</definedName>
    <definedName name="IQ_INVESTORS_PRIOR_ID" hidden="1">"c20527"</definedName>
    <definedName name="IQ_IPRD" hidden="1">"c644"</definedName>
    <definedName name="IQ_IPRD_SUPPLE" hidden="1">"c13813"</definedName>
    <definedName name="IQ_IRA_KEOGH_ACCOUNTS_FDIC" hidden="1">"c6496"</definedName>
    <definedName name="IQ_IRA_KEOGH_ACCOUNTS_GREATER_THAN_100000_INCLUDED_IN_TIME_DEPOSITS_THRIFT" hidden="1">"c25004"</definedName>
    <definedName name="IQ_IRA_KEOGH_ACCOUNTS_THRIFT" hidden="1">"c24994"</definedName>
    <definedName name="IQ_IRAS_HSAS_SIMILAR_ACCOUNTS_MANAGED_ASSETS_THRIFT" hidden="1">"c25351"</definedName>
    <definedName name="IQ_IRAS_HSAS_SIMILAR_ACCOUNTS_NONMANAGED_ASSETS_THRIFT" hidden="1">"c25372"</definedName>
    <definedName name="IQ_IRAS_HSAS_SIMILAR_ACCOUNTS_NUMBER_MANAGED_ACCOUNTS_THRIFT" hidden="1">"c25362"</definedName>
    <definedName name="IQ_IRAS_HSAS_SIMILAR_ACCOUNTS_NUMBER_NONMANAGED_ACCOUNTS_THRIFT" hidden="1">"c25384"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FNMA_FHLMC_GNMA_THRIFT" hidden="1">"c24833"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ISSUES_IN_DEFAULT_PRINCIPAL_AMT_OUTSTANDING_THRIFT" hidden="1">"c25442"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KEY_PERSON_LIFE_INSURANCE_THRIFT" hidden="1">"c24885"</definedName>
    <definedName name="IQ_LABOR_BENEFITS_CIVILIANS" hidden="1">"c20789"</definedName>
    <definedName name="IQ_LABOR_BENEFITS_GOVT" hidden="1">"c20790"</definedName>
    <definedName name="IQ_LABOR_BENEFITS_PRIVATE_INDUSTRY" hidden="1">"c20791"</definedName>
    <definedName name="IQ_LABOR_COMP_CIVILIANS" hidden="1">"c20792"</definedName>
    <definedName name="IQ_LABOR_COMP_GOVT" hidden="1">"c20793"</definedName>
    <definedName name="IQ_LABOR_COMP_PRIVATE_INDUSTRY" hidden="1">"c20794"</definedName>
    <definedName name="IQ_LABOR_NONFARM_PAYROLL" hidden="1">"c20795"</definedName>
    <definedName name="IQ_LABOR_UNEMPLOYMENT_CLAIMS" hidden="1">"c20796"</definedName>
    <definedName name="IQ_LABOR_UNEMPLOYMENT_CLAIMS_4WEEK" hidden="1">"c20797"</definedName>
    <definedName name="IQ_LABOR_UNEMPLOYMENT_RATE" hidden="1">"c20798"</definedName>
    <definedName name="IQ_LABOR_UNEMPLOYMENT_RATE_PCT_INSURED" hidden="1">"c20799"</definedName>
    <definedName name="IQ_LABOR_WAGES_CIVILIANS" hidden="1">"c20800"</definedName>
    <definedName name="IQ_LABOR_WAGES_GOVT" hidden="1">"c20801"</definedName>
    <definedName name="IQ_LABOR_WAGES_PRIVATE_INDUSTRY" hidden="1">"c20802"</definedName>
    <definedName name="IQ_LAND" hidden="1">"c645"</definedName>
    <definedName name="IQ_LAND_LOANS_IN_PROCESS_FORECLOSURE_THRIFT" hidden="1">"c25309"</definedName>
    <definedName name="IQ_LAND_LOANS_TOTAL_LOANS_THRIFT" hidden="1">"c25747"</definedName>
    <definedName name="IQ_LAND_MINERAL_RIGHTS_TO_PPE_GROSS_COAL" hidden="1">"c15949"</definedName>
    <definedName name="IQ_LAND_MINERAL_RIGHTS_TO_PPE_NET_COAL" hidden="1">"c15950"</definedName>
    <definedName name="IQ_LAND_PML_ADJUSTED_NCOS_TOTAL_THRIFT" hidden="1">"c25208"</definedName>
    <definedName name="IQ_LAND_PML_GVA_CHARGE_OFFS_THRIFT" hidden="1">"c25123"</definedName>
    <definedName name="IQ_LAND_PML_GVA_RECOVERIES_THRIFT" hidden="1">"c25154"</definedName>
    <definedName name="IQ_LAND_PML_SVA_PROVISIONS_TRANSFERS_FROM_GVA_TOTAL_THRIFT" hidden="1">"c25177"</definedName>
    <definedName name="IQ_LANDS_MINERAL_RIGHTS_GROSS_COAL" hidden="1">"c15938"</definedName>
    <definedName name="IQ_LANDS_MINERAL_RIGHTS_NET_COAL" hidden="1">"c15939"</definedName>
    <definedName name="IQ_LAPSE_STATUTE_LIMITATIONS" hidden="1">"c15738"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_TRANSACTION" hidden="1">"c18886"</definedName>
    <definedName name="IQ_LATESTK" hidden="1">1000</definedName>
    <definedName name="IQ_LATESTQ" hidden="1">500</definedName>
    <definedName name="IQ_LEAD_UNDERWRITER" hidden="1">"c8957"</definedName>
    <definedName name="IQ_LEASE_EXPENSE" hidden="1">"c16039"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ASE_PMT_REC_AFTER_FIVE" hidden="1">"c16099"</definedName>
    <definedName name="IQ_LEASE_PMT_REC_CY" hidden="1">"c16093"</definedName>
    <definedName name="IQ_LEASE_PMT_REC_CY1" hidden="1">"c16094"</definedName>
    <definedName name="IQ_LEASE_PMT_REC_CY2" hidden="1">"c16095"</definedName>
    <definedName name="IQ_LEASE_PMT_REC_CY3" hidden="1">"c16096"</definedName>
    <definedName name="IQ_LEASE_PMT_REC_CY4" hidden="1">"c16097"</definedName>
    <definedName name="IQ_LEASE_PMT_REC_NEXT_FIVE" hidden="1">"c16098"</definedName>
    <definedName name="IQ_LEASE_PMT_REC_TOTAL" hidden="1">"c16100"</definedName>
    <definedName name="IQ_LEASE_RECEIVABLES_FOREIGN_FFIEC" hidden="1">"c13483"</definedName>
    <definedName name="IQ_LEASE_RECEIVABLES_THRIFT" hidden="1">"c24857"</definedName>
    <definedName name="IQ_LEASE_REVENUE" hidden="1">"c16023"</definedName>
    <definedName name="IQ_LEASE_TERMINATION_FEES" hidden="1">"c16182"</definedName>
    <definedName name="IQ_LEASED_RESERVES_COAL" hidden="1">"c15918"</definedName>
    <definedName name="IQ_LEASED_RESERVES_TO_TOTAL_RESERVES_COAL" hidden="1">"c15958"</definedName>
    <definedName name="IQ_LEASEHOLD_IMPROVEMENT" hidden="1">"c17549"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EXP_THRIFT" hidden="1">"c24789"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CM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TTERS_CREDIT_THRIFT" hidden="1">"c25612"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CENSED_WIRELESS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MITED_PARTNERS" hidden="1">"c18915"</definedName>
    <definedName name="IQ_LIMITED_PARTNERS_ID" hidden="1">"c18916"</definedName>
    <definedName name="IQ_LIMITED_PARTNERS_REL" hidden="1">"c19114"</definedName>
    <definedName name="IQ_LINE_EXTENSIONS_CABLE_INVEST" hidden="1">"c15803"</definedName>
    <definedName name="IQ_LIQUID_ASSETS_ASSETS_TOT_FFIEC" hidden="1">"c13439"</definedName>
    <definedName name="IQ_LIQUID_ASSETS_NON_LIQUID_ASSETS_THRIFT" hidden="1">"c25626"</definedName>
    <definedName name="IQ_LIQUID_ASSETS_NONCORE_FUNDING_FFIEC" hidden="1">"c13339"</definedName>
    <definedName name="IQ_LIQUID_ASSETS_TOTAL_ASSETS_THRIFT" hidden="1">"c25696"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L" hidden="1">"c656"</definedName>
    <definedName name="IQ_LL_ALLOWANCE_GROSS_LOANS_THRIFT" hidden="1">"c25637"</definedName>
    <definedName name="IQ_LL_ALLOWANCE_NET_LOANS_LOSSES_THRIFT" hidden="1">"c25642"</definedName>
    <definedName name="IQ_LL_ALLOWANCE_NONACCRUAL_ASSETS_THRIFT" hidden="1">"c25638"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ALLOWANCE_PAST_DUE_NONACCRUAL_LOANS_THRIFT" hidden="1">"c25643"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GROSS_LOANS_THRIFT" hidden="1">"c25736"</definedName>
    <definedName name="IQ_LOAN_LOSS_ALLOWANCE_NON_PERF_ASSETS_FFIEC" hidden="1">"c13912"</definedName>
    <definedName name="IQ_LOAN_LOSS_ALLOWANCE_NONCURRENT_LOANS_FDIC" hidden="1">"c6740"</definedName>
    <definedName name="IQ_LOAN_LOSS_PROVISION_FOREIGN_FFIEC" hidden="1">"c15382"</definedName>
    <definedName name="IQ_LOAN_LOSSES_AVERAGE_LOANS_FFIEC" hidden="1">"c13350"</definedName>
    <definedName name="IQ_LOAN_LOSSES_FDIC" hidden="1">"c6580"</definedName>
    <definedName name="IQ_LOAN_RECOVERIES_AVG_LOANS_THRIFT" hidden="1">"c25644"</definedName>
    <definedName name="IQ_LOAN_SERVICE_REV" hidden="1">"c658"</definedName>
    <definedName name="IQ_LOAN_SERVICING_FEES_THRIFT" hidden="1">"c24790"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CM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_LL_REC_DOM_FFIEC" hidden="1">"c25855"</definedName>
    <definedName name="IQ_LOANS_DEP_LL_REC_FFIEC" hidden="1">"c25851"</definedName>
    <definedName name="IQ_LOANS_DEP_OTHER_LL_REC_DOM_FFIEC" hidden="1">"c25854"</definedName>
    <definedName name="IQ_LOANS_DEP_OTHER_LL_REC_FFIEC" hidden="1">"c25850"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INDIVIDUALS_GROSS_LOANS_THRIFT" hidden="1">"c25733"</definedName>
    <definedName name="IQ_LOANS_INDIVIDUALS_RISK_BASED_CAPITAL_THRIFT" hidden="1">"c25718"</definedName>
    <definedName name="IQ_LOANS_LEASES_AMOUNTS_NETTED_THRIFT" hidden="1">"c25498"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DUE_30_89_THRIFT" hidden="1">"c25257"</definedName>
    <definedName name="IQ_LOANS_LEASES_HFS_DUE_90_THRIFT" hidden="1">"c25278"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HFS_NON_ACCRUAL_THRIFT" hidden="1">"c25299"</definedName>
    <definedName name="IQ_LOANS_LEASES_LEVEL_1_FFIEC" hidden="1">"c13217"</definedName>
    <definedName name="IQ_LOANS_LEASES_LEVEL_1_THRIFT" hidden="1">"c25494"</definedName>
    <definedName name="IQ_LOANS_LEASES_LEVEL_2_FFIEC" hidden="1">"c13225"</definedName>
    <definedName name="IQ_LOANS_LEASES_LEVEL_2_THRIFT" hidden="1">"c25495"</definedName>
    <definedName name="IQ_LOANS_LEASES_LEVEL_3_FFIEC" hidden="1">"c13233"</definedName>
    <definedName name="IQ_LOANS_LEASES_LEVEL_3_THRIFT" hidden="1">"c25496"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EASES_REPORTED_WHOLLY_PARTIALLY_GUARANT_US_GOVT_AGENCY_SPONS_ENTITY_DUE_30_89_THRIFT" hidden="1">"c25258"</definedName>
    <definedName name="IQ_LOANS_LEASES_REPORTED_WHOLLY_PARTIALLY_GUARANT_US_GOVT_AGENCY_SPONS_ENTITY_DUE_90_THRIFT" hidden="1">"c25279"</definedName>
    <definedName name="IQ_LOANS_LEASES_REPORTED_WHOLLY_PARTIALLY_GUARANT_US_GOVT_AGENCY_SPONS_ENTITY_NON_ACCRUAL_THRIFT" hidden="1">"c25300"</definedName>
    <definedName name="IQ_LOANS_LEASES_TOTAL_AFTER_NETTING_THRIFT" hidden="1">"c25499"</definedName>
    <definedName name="IQ_LOANS_LEASES_TOTAL_BEFORE_NETTING_THRIFT" hidden="1">"c25497"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E_CARRY_LL_REC_DOM_FFIEC" hidden="1">"c25856"</definedName>
    <definedName name="IQ_LOANS_PURCHASE_CARRY_LL_REC_FFIEC" hidden="1">"c25852"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_100000_THROUGH_250000_THRIFT" hidden="1">"c24968"</definedName>
    <definedName name="IQ_LOANS_SECURED_FARM_250000_THROUGH_500000_THRIFT" hidden="1">"c24970"</definedName>
    <definedName name="IQ_LOANS_SECURED_FARM_LESS_THAN_EQUAL_100000_THRIFT" hidden="1">"c24966"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SERVICED_OTHERS_THRIFT" hidden="1">"c24935"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RECOGNIZED_OCI_FFIEC" hidden="1">"c25847"</definedName>
    <definedName name="IQ_LOSS_TO_NET_EARNED" hidden="1">"c2751"</definedName>
    <definedName name="IQ_LOW_SULFUR_CONTENT_RESERVES_COAL" hidden="1">"c15924"</definedName>
    <definedName name="IQ_LOW_SULFURE_RESERVES_TO_TOTAL_RESERVES_COAL" hidden="1">"c15961"</definedName>
    <definedName name="IQ_LOW_TARGET_PRICE" hidden="1">"c1652"</definedName>
    <definedName name="IQ_LOW_TARGET_PRICE_CIQ" hidden="1">"c4660"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CM" hidden="1">"c676"</definedName>
    <definedName name="IQ_LT_DEBT_DERIVATIVES" hidden="1">"c17743"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CM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CM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INVEST" hidden="1">"c697"</definedName>
    <definedName name="IQ_LT_INVEST_BR" hidden="1">"c698"</definedName>
    <definedName name="IQ_LT_INVEST_CM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CRO_SURVEY_BUSINESS_BAROMETER" hidden="1">"c20803"</definedName>
    <definedName name="IQ_MACRO_SURVEY_BUSINESS_CONDITION" hidden="1">"c20804"</definedName>
    <definedName name="IQ_MACRO_SURVEY_BUSINESS_CONDITIONS" hidden="1">"c20805"</definedName>
    <definedName name="IQ_MACRO_SURVEY_CONSUMER_COMFORT" hidden="1">"c20806"</definedName>
    <definedName name="IQ_MACRO_SURVEY_CONSUMER_CONFIDENCE" hidden="1">"c20807"</definedName>
    <definedName name="IQ_MACRO_SURVEY_ISM_NONMANUFACTURING" hidden="1">"c20809"</definedName>
    <definedName name="IQ_MACRO_SURVEY_ISM_PMI" hidden="1">"c20810"</definedName>
    <definedName name="IQ_MACRO_SURVEY_LEADING_INDICATOR" hidden="1">"c20811"</definedName>
    <definedName name="IQ_MACRO_SURVEY_PMAC_DIFFUSION" hidden="1">"c20812"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EST" hidden="1">"c26930"</definedName>
    <definedName name="IQ_MAINT_CAPEX_EST_CIQ" hidden="1">"c4986"</definedName>
    <definedName name="IQ_MAINT_CAPEX_EST_DOWN_2MONTH_CIQ" hidden="1">"c24586"</definedName>
    <definedName name="IQ_MAINT_CAPEX_EST_DOWN_3MONTH_CIQ" hidden="1">"c24590"</definedName>
    <definedName name="IQ_MAINT_CAPEX_EST_DOWN_MONTH_CIQ" hidden="1">"c24582"</definedName>
    <definedName name="IQ_MAINT_CAPEX_EST_NOTE_CIQ" hidden="1">"c24573"</definedName>
    <definedName name="IQ_MAINT_CAPEX_EST_NUM_ANALYSTS_2MONTH_CIQ" hidden="1">"c24584"</definedName>
    <definedName name="IQ_MAINT_CAPEX_EST_NUM_ANALYSTS_3MONTH_CIQ" hidden="1">"c24588"</definedName>
    <definedName name="IQ_MAINT_CAPEX_EST_NUM_ANALYSTS_MONTH_CIQ" hidden="1">"c24580"</definedName>
    <definedName name="IQ_MAINT_CAPEX_EST_TOTAL_REVISED_2MONTH_CIQ" hidden="1">"c24587"</definedName>
    <definedName name="IQ_MAINT_CAPEX_EST_TOTAL_REVISED_3MONTH_CIQ" hidden="1">"c24591"</definedName>
    <definedName name="IQ_MAINT_CAPEX_EST_TOTAL_REVISED_MONTH_CIQ" hidden="1">"c24583"</definedName>
    <definedName name="IQ_MAINT_CAPEX_EST_UP_2MONTH_CIQ" hidden="1">"c24585"</definedName>
    <definedName name="IQ_MAINT_CAPEX_EST_UP_3MONTH_CIQ" hidden="1">"c24589"</definedName>
    <definedName name="IQ_MAINT_CAPEX_EST_UP_MONTH_CIQ" hidden="1">"c24581"</definedName>
    <definedName name="IQ_MAINT_CAPEX_GUIDANCE" hidden="1">"c4459"</definedName>
    <definedName name="IQ_MAINT_CAPEX_HIGH_EST" hidden="1">"c26931"</definedName>
    <definedName name="IQ_MAINT_CAPEX_HIGH_EST_CIQ" hidden="1">"c4989"</definedName>
    <definedName name="IQ_MAINT_CAPEX_HIGH_GUIDANCE" hidden="1">"c4197"</definedName>
    <definedName name="IQ_MAINT_CAPEX_LOW_EST" hidden="1">"c26932"</definedName>
    <definedName name="IQ_MAINT_CAPEX_LOW_EST_CIQ" hidden="1">"c4990"</definedName>
    <definedName name="IQ_MAINT_CAPEX_LOW_GUIDANCE" hidden="1">"c4237"</definedName>
    <definedName name="IQ_MAINT_CAPEX_MEDIAN_EST" hidden="1">"c26933"</definedName>
    <definedName name="IQ_MAINT_CAPEX_MEDIAN_EST_CIQ" hidden="1">"c4991"</definedName>
    <definedName name="IQ_MAINT_CAPEX_NUM_EST" hidden="1">"c26934"</definedName>
    <definedName name="IQ_MAINT_CAPEX_NUM_EST_CIQ" hidden="1">"c5001"</definedName>
    <definedName name="IQ_MAINT_CAPEX_STDDEV_EST" hidden="1">"c26935"</definedName>
    <definedName name="IQ_MAINT_CAPEX_STDDEV_EST_CIQ" hidden="1">"c5002"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NUFACTURING_INV_APPAREL" hidden="1">"c20813"</definedName>
    <definedName name="IQ_MANUFACTURING_INV_BEVERAGE" hidden="1">"c20814"</definedName>
    <definedName name="IQ_MANUFACTURING_INV_CHEMICALS" hidden="1">"c20815"</definedName>
    <definedName name="IQ_MANUFACTURING_INV_COMPUTER" hidden="1">"c20816"</definedName>
    <definedName name="IQ_MANUFACTURING_INV_DUR" hidden="1">"c20817"</definedName>
    <definedName name="IQ_MANUFACTURING_INV_DUR_MISC" hidden="1">"c20818"</definedName>
    <definedName name="IQ_MANUFACTURING_INV_ELECTRIC" hidden="1">"c20819"</definedName>
    <definedName name="IQ_MANUFACTURING_INV_FAB_METALS" hidden="1">"c20820"</definedName>
    <definedName name="IQ_MANUFACTURING_INV_FOOD" hidden="1">"c20821"</definedName>
    <definedName name="IQ_MANUFACTURING_INV_FURNITURE" hidden="1">"c20822"</definedName>
    <definedName name="IQ_MANUFACTURING_INV_LEATHER" hidden="1">"c20823"</definedName>
    <definedName name="IQ_MANUFACTURING_INV_MACHINERY" hidden="1">"c20824"</definedName>
    <definedName name="IQ_MANUFACTURING_INV_MINERAL" hidden="1">"c20825"</definedName>
    <definedName name="IQ_MANUFACTURING_INV_NONDUR" hidden="1">"c20826"</definedName>
    <definedName name="IQ_MANUFACTURING_INV_PAPER" hidden="1">"c20827"</definedName>
    <definedName name="IQ_MANUFACTURING_INV_PETROLEUM" hidden="1">"c20828"</definedName>
    <definedName name="IQ_MANUFACTURING_INV_PLASTICS" hidden="1">"c20829"</definedName>
    <definedName name="IQ_MANUFACTURING_INV_PRIMARY_METALS" hidden="1">"c20830"</definedName>
    <definedName name="IQ_MANUFACTURING_INV_PRINTING" hidden="1">"c20831"</definedName>
    <definedName name="IQ_MANUFACTURING_INV_SALES_RATIO" hidden="1">"c20832"</definedName>
    <definedName name="IQ_MANUFACTURING_INV_TEXTILE_MILLS" hidden="1">"c20833"</definedName>
    <definedName name="IQ_MANUFACTURING_INV_TEXTILE_PRODUCTS" hidden="1">"c20834"</definedName>
    <definedName name="IQ_MANUFACTURING_INV_TOTAL" hidden="1">"c20835"</definedName>
    <definedName name="IQ_MANUFACTURING_INV_TRANSPORTATION" hidden="1">"c20836"</definedName>
    <definedName name="IQ_MANUFACTURING_INV_WOOD" hidden="1">"c20837"</definedName>
    <definedName name="IQ_MANUFACTURING_NEW_ORDERS" hidden="1">"c20838"</definedName>
    <definedName name="IQ_MANUFACTURING_NEW_ORDERS_COMPUTERS" hidden="1">"c20839"</definedName>
    <definedName name="IQ_MANUFACTURING_NEW_ORDERS_DUR" hidden="1">"c20840"</definedName>
    <definedName name="IQ_MANUFACTURING_NEW_ORDERS_ELECTRIC" hidden="1">"c20841"</definedName>
    <definedName name="IQ_MANUFACTURING_NEW_ORDERS_FAB_METALS" hidden="1">"c20842"</definedName>
    <definedName name="IQ_MANUFACTURING_NEW_ORDERS_FURNITURE" hidden="1">"c20843"</definedName>
    <definedName name="IQ_MANUFACTURING_NEW_ORDERS_MACHINERY" hidden="1">"c20844"</definedName>
    <definedName name="IQ_MANUFACTURING_NEW_ORDERS_METALS" hidden="1">"c20845"</definedName>
    <definedName name="IQ_MANUFACTURING_NEW_ORDERS_NONDUR" hidden="1">"c20846"</definedName>
    <definedName name="IQ_MANUFACTURING_NEW_ORDERS_TRANSPORTATION" hidden="1">"c20847"</definedName>
    <definedName name="IQ_MANUFACTURING_SHIPMENTS_APPAREL" hidden="1">"c20848"</definedName>
    <definedName name="IQ_MANUFACTURING_SHIPMENTS_BEVERAGE" hidden="1">"c20849"</definedName>
    <definedName name="IQ_MANUFACTURING_SHIPMENTS_CHEMICALS" hidden="1">"c20850"</definedName>
    <definedName name="IQ_MANUFACTURING_SHIPMENTS_DUR" hidden="1">"c20851"</definedName>
    <definedName name="IQ_MANUFACTURING_SHIPMENTS_DUR_COMPUTER" hidden="1">"c20852"</definedName>
    <definedName name="IQ_MANUFACTURING_SHIPMENTS_DUR_ELECTRIC" hidden="1">"c20853"</definedName>
    <definedName name="IQ_MANUFACTURING_SHIPMENTS_DUR_FAB_METALS" hidden="1">"c20854"</definedName>
    <definedName name="IQ_MANUFACTURING_SHIPMENTS_DUR_FURNITURE" hidden="1">"c20855"</definedName>
    <definedName name="IQ_MANUFACTURING_SHIPMENTS_DUR_MACHINERY" hidden="1">"c20856"</definedName>
    <definedName name="IQ_MANUFACTURING_SHIPMENTS_DUR_MINERALS" hidden="1">"c20857"</definedName>
    <definedName name="IQ_MANUFACTURING_SHIPMENTS_DUR_MISC" hidden="1">"c20858"</definedName>
    <definedName name="IQ_MANUFACTURING_SHIPMENTS_DUR_PRIM_METALS" hidden="1">"c20859"</definedName>
    <definedName name="IQ_MANUFACTURING_SHIPMENTS_DUR_TRANSPORTATION" hidden="1">"c20860"</definedName>
    <definedName name="IQ_MANUFACTURING_SHIPMENTS_DUR_WOOD" hidden="1">"c20861"</definedName>
    <definedName name="IQ_MANUFACTURING_SHIPMENTS_FOOD" hidden="1">"c20862"</definedName>
    <definedName name="IQ_MANUFACTURING_SHIPMENTS_LEATHER" hidden="1">"c20863"</definedName>
    <definedName name="IQ_MANUFACTURING_SHIPMENTS_NONDUR" hidden="1">"c20864"</definedName>
    <definedName name="IQ_MANUFACTURING_SHIPMENTS_PAPER" hidden="1">"c20865"</definedName>
    <definedName name="IQ_MANUFACTURING_SHIPMENTS_PETROLEUM" hidden="1">"c20866"</definedName>
    <definedName name="IQ_MANUFACTURING_SHIPMENTS_PLASTICS" hidden="1">"c20867"</definedName>
    <definedName name="IQ_MANUFACTURING_SHIPMENTS_PRINTING" hidden="1">"c20868"</definedName>
    <definedName name="IQ_MANUFACTURING_SHIPMENTS_TEXTILE_MILLS" hidden="1">"c20869"</definedName>
    <definedName name="IQ_MANUFACTURING_SHIPMENTS_TEXTILE_PRODUCTS" hidden="1">"c20870"</definedName>
    <definedName name="IQ_MANUFACTURING_SHIPMENTS_TOTAL" hidden="1">"c20871"</definedName>
    <definedName name="IQ_MANUFACTURING_UNFILLED_ORDERS" hidden="1">"c20872"</definedName>
    <definedName name="IQ_MANUFACTURING_UNFILLED_ORDERS_COMPUTERS" hidden="1">"c20873"</definedName>
    <definedName name="IQ_MANUFACTURING_UNFILLED_ORDERS_DUR" hidden="1">"c20874"</definedName>
    <definedName name="IQ_MANUFACTURING_UNFILLED_ORDERS_ELECTRIC" hidden="1">"c20875"</definedName>
    <definedName name="IQ_MANUFACTURING_UNFILLED_ORDERS_FAB_METALS" hidden="1">"c20876"</definedName>
    <definedName name="IQ_MANUFACTURING_UNFILLED_ORDERS_FURNITURE" hidden="1">"c20877"</definedName>
    <definedName name="IQ_MANUFACTURING_UNFILLED_ORDERS_MACHINERY" hidden="1">"c20878"</definedName>
    <definedName name="IQ_MANUFACTURING_UNFILLED_ORDERS_METALS" hidden="1">"c20879"</definedName>
    <definedName name="IQ_MANUFACTURING_UNFILLED_ORDERS_TRANSPORTATION" hidden="1">"c20880"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RKETING_OTHER_PROF_SERVICES_THRIFT" hidden="1">"c24788"</definedName>
    <definedName name="IQ_MARKETING_PROMOTION_EXPENSE" hidden="1">"c16035"</definedName>
    <definedName name="IQ_MATERIALS_SUPPLES_INVENTORY_COAL" hidden="1">"c15942"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HTM_AMORT_COST_FFIEC" hidden="1">"c20444"</definedName>
    <definedName name="IQ_MBS_OTHER_ISSUED_FNMA_HTM_FAIR_VAL_FFIEC" hidden="1">"c20479"</definedName>
    <definedName name="IQ_MBS_OTHER_ISSUED_FNMA_OTHERS_AFS_AMORT_COST_FFIEC" hidden="1">"c20496"</definedName>
    <definedName name="IQ_MBS_OTHER_ISSUED_FNMA_OTHERS_AFS_FAIR_VAL_FFIEC" hidden="1">"c20461"</definedName>
    <definedName name="IQ_MBS_OTHER_ISSUED_FNMA_OTHERS_AVAIL_SALE_FFIEC" hidden="1">"c12799"</definedName>
    <definedName name="IQ_MBS_OTHER_ISSUED_FNMA_OTHERS_FFIEC" hidden="1">"c12785"</definedName>
    <definedName name="IQ_MBS_PASS_THROUGH_FNMA_AFS_AMORT_COST_FFIEC" hidden="1">"c20494"</definedName>
    <definedName name="IQ_MBS_PASS_THROUGH_FNMA_AFS_FAIR_VAL_FFIEC" hidden="1">"c20459"</definedName>
    <definedName name="IQ_MBS_PASS_THROUGH_FNMA_AVAIL_SALE_FFIEC" hidden="1">"c12797"</definedName>
    <definedName name="IQ_MBS_PASS_THROUGH_FNMA_FFIEC" hidden="1">"c12783"</definedName>
    <definedName name="IQ_MBS_PASS_THROUGH_FNMA_HTM_AMORT_COST_FFIEC" hidden="1">"c20442"</definedName>
    <definedName name="IQ_MBS_PASS_THROUGH_FNMA_HTM_FAIR_VAL_FFIEC" hidden="1">"c20477"</definedName>
    <definedName name="IQ_MBS_PASS_THROUGH_GNMA_AFS_AMORT_COST_FFIEC" hidden="1">"c20493"</definedName>
    <definedName name="IQ_MBS_PASS_THROUGH_GNMA_AFS_FAIR_VAL_FFIEC" hidden="1">"c20458"</definedName>
    <definedName name="IQ_MBS_PASS_THROUGH_GNMA_AVAIL_SALE_FFIEC" hidden="1">"c12796"</definedName>
    <definedName name="IQ_MBS_PASS_THROUGH_GNMA_FFIEC" hidden="1">"c12782"</definedName>
    <definedName name="IQ_MBS_PASS_THROUGH_GNMA_HTM_AMORT_COST_FFIEC" hidden="1">"c20441"</definedName>
    <definedName name="IQ_MBS_PASS_THROUGH_GNMA_HTM_FAIR_VAL_FFIEC" hidden="1">"c20476"</definedName>
    <definedName name="IQ_MBS_PASS_THROUGH_ISSUED_FNMA_GNMA_TRADING_DOM_FFIEC" hidden="1">"c12921"</definedName>
    <definedName name="IQ_MBS_PASS_THROUGH_OTHER_AFS_AMORT_COST_FFIEC" hidden="1">"c20495"</definedName>
    <definedName name="IQ_MBS_PASS_THROUGH_OTHER_AFS_FAIR_VAL_FFIEC" hidden="1">"c20460"</definedName>
    <definedName name="IQ_MBS_PASS_THROUGH_OTHER_AVAIL_SALE_FFIEC" hidden="1">"c12798"</definedName>
    <definedName name="IQ_MBS_PASS_THROUGH_OTHER_FFIEC" hidden="1">"c12784"</definedName>
    <definedName name="IQ_MBS_PASS_THROUGH_OTHER_HTM_AMORT_COST_FFIEC" hidden="1">"c20443"</definedName>
    <definedName name="IQ_MBS_PASS_THROUGH_OTHER_HTM_FAIR_VAL_FFIEC" hidden="1">"c20478"</definedName>
    <definedName name="IQ_MBS_QUARTERLY_AVG_FFIEC" hidden="1">"c15471"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COMMERCIAL_ASO_FEES" hidden="1">"c15862"</definedName>
    <definedName name="IQ_MC_COMMERCIAL_NON_RISK_MEMBERS" hidden="1">"c15835"</definedName>
    <definedName name="IQ_MC_COMMERCIAL_PREMIUMS" hidden="1">"c15852"</definedName>
    <definedName name="IQ_MC_DAYS_CLAIMS_PAYABLE" hidden="1">"c9937"</definedName>
    <definedName name="IQ_MC_DAYS_CLAIMS_PAYABLE_EXCL_CAPITATION" hidden="1">"c9938"</definedName>
    <definedName name="IQ_MC_DENTAL_MEMBERS" hidden="1">"c15832"</definedName>
    <definedName name="IQ_MC_DENTAL_PREMIUMS" hidden="1">"c15858"</definedName>
    <definedName name="IQ_MC_HMO_MEMBERS" hidden="1">"c15824"</definedName>
    <definedName name="IQ_MC_HMO_PREMIUMS" hidden="1">"c15850"</definedName>
    <definedName name="IQ_MC_INDEMNITY_MEMBERS" hidden="1">"c15825"</definedName>
    <definedName name="IQ_MC_INDEMNITY_PREMIUMS" hidden="1">"c15851"</definedName>
    <definedName name="IQ_MC_MEDICAID_ASO_FEES" hidden="1">"c15865"</definedName>
    <definedName name="IQ_MC_MEDICAID_MEMBERS" hidden="1">"c15830"</definedName>
    <definedName name="IQ_MC_MEDICAID_NON_RISK_MEMBERS" hidden="1">"c15838"</definedName>
    <definedName name="IQ_MC_MEDICAID_PREMIUMS" hidden="1">"c15856"</definedName>
    <definedName name="IQ_MC_MEDICAL_COST" hidden="1">"c15847"</definedName>
    <definedName name="IQ_MC_MEDICAL_COSTS_PMPM" hidden="1">"c9925"</definedName>
    <definedName name="IQ_MC_MEDICARE_ASO_FEES" hidden="1">"c15864"</definedName>
    <definedName name="IQ_MC_MEDICARE_MEMBERS" hidden="1">"c15828"</definedName>
    <definedName name="IQ_MC_MEDICARE_NON_RISK_MEMBERS" hidden="1">"c15837"</definedName>
    <definedName name="IQ_MC_MEDICARE_PART_D_MEMBERS" hidden="1">"c15829"</definedName>
    <definedName name="IQ_MC_MEDICARE_PART_D_PREMIUMS" hidden="1">"c15855"</definedName>
    <definedName name="IQ_MC_MEDICARE_PREMIUMS" hidden="1">"c15854"</definedName>
    <definedName name="IQ_MC_MILITARY_ASO_FEES" hidden="1">"c15863"</definedName>
    <definedName name="IQ_MC_MILITARY_MEMBERS" hidden="1">"c15827"</definedName>
    <definedName name="IQ_MC_MILITARY_NON_RISK_MEMBERS" hidden="1">"c15836"</definedName>
    <definedName name="IQ_MC_MILITARY_PREMIUMS" hidden="1">"c15853"</definedName>
    <definedName name="IQ_MC_NET_INVESTMENT_INCOME" hidden="1">"c15845"</definedName>
    <definedName name="IQ_MC_OTHER_REV" hidden="1">"c15846"</definedName>
    <definedName name="IQ_MC_PARENT_CASH" hidden="1">"c9942"</definedName>
    <definedName name="IQ_MC_PPO_POS_MEMBERS" hidden="1">"c15823"</definedName>
    <definedName name="IQ_MC_PPO_POS_PREMIUMS" hidden="1">"c15849"</definedName>
    <definedName name="IQ_MC_PREMIUMS" hidden="1">"c15861"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PECIALTY_ASO_FEES" hidden="1">"c15867"</definedName>
    <definedName name="IQ_MC_SPECIALTY_NON_RISK_MEMBERS" hidden="1">"c15840"</definedName>
    <definedName name="IQ_MC_STATUTORY_SURPLUS" hidden="1">"c2772"</definedName>
    <definedName name="IQ_MC_TANGIBLE_EQUITY_MEDICAL_COST" hidden="1">"c15848"</definedName>
    <definedName name="IQ_MC_TANGIBLE_EQUITY_PER_MEMBER" hidden="1">"c15843"</definedName>
    <definedName name="IQ_MC_TOTAL_ASO_FEES" hidden="1">"c15868"</definedName>
    <definedName name="IQ_MC_TOTAL_COMMERCIAL_MEMBERS" hidden="1">"c15826"</definedName>
    <definedName name="IQ_MC_TOTAL_COVERED_LIVES" hidden="1">"c9919"</definedName>
    <definedName name="IQ_MC_TOTAL_EQUITY_PER_MEMBER" hidden="1">"c15842"</definedName>
    <definedName name="IQ_MC_TOTAL_GOVT_ASO_FEES" hidden="1">"c15866"</definedName>
    <definedName name="IQ_MC_TOTAL_GOVT_MEMBERS" hidden="1">"c15831"</definedName>
    <definedName name="IQ_MC_TOTAL_GOVT_NON_RISK_MEMBERS" hidden="1">"c15839"</definedName>
    <definedName name="IQ_MC_TOTAL_GOVT_PREMIUMS" hidden="1">"c15857"</definedName>
    <definedName name="IQ_MC_TOTAL_MEMBERSHIP" hidden="1">"c9922"</definedName>
    <definedName name="IQ_MC_TOTAL_MEMBERSHIP_CAPITATION" hidden="1">"c9923"</definedName>
    <definedName name="IQ_MC_TOTAL_OTHER_MEMBERS" hidden="1">"c15833"</definedName>
    <definedName name="IQ_MC_TOTAL_OTHER_PREMIUMS" hidden="1">"c15859"</definedName>
    <definedName name="IQ_MC_TOTAL_RESERVES_PER_MEMBER" hidden="1">"c15844"</definedName>
    <definedName name="IQ_MC_TOTAL_SEPCIALTY_MEMBERS" hidden="1">"c15834"</definedName>
    <definedName name="IQ_MC_TOTAL_SEPCIALTY_PREMIUMS" hidden="1">"c15860"</definedName>
    <definedName name="IQ_MC_TOTAL_STATUTORY_CAPITAL_SURPLUS_PER_MEMBER" hidden="1">"c15841"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UM_SULFUR_CONTENT_RESERVES_COAL" hidden="1">"c15926"</definedName>
    <definedName name="IQ_MEDIUM_SULFURE_RESERVES_TO_TOTAL_RESERVES_COAL" hidden="1">"c15962"</definedName>
    <definedName name="IQ_MEMO_LOANS_SOLD_WITH_RECOURSE_120_DAYS_LESS_THRIFT" hidden="1">"c25337"</definedName>
    <definedName name="IQ_MEMO_LOANS_SOLD_WITH_RECOURSE_GREATER_THAN_120_DAYS_THRIFT" hidden="1">"c25338"</definedName>
    <definedName name="IQ_MEMO_REFINANCING_LOANS_THRIFT" hidden="1">"c25336"</definedName>
    <definedName name="IQ_MERGER" hidden="1">"c713"</definedName>
    <definedName name="IQ_MERGER_BNK" hidden="1">"c714"</definedName>
    <definedName name="IQ_MERGER_BR" hidden="1">"c715"</definedName>
    <definedName name="IQ_MERGER_CM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CM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ETRIC_NAME" hidden="1">"c18017"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LES_PASSED" hidden="1">"c2848"</definedName>
    <definedName name="IQ_MIN_USE_PER_SUB" hidden="1">"c15764"</definedName>
    <definedName name="IQ_MINE_DEVELOPMENT_GROSS_COAL" hidden="1">"c15940"</definedName>
    <definedName name="IQ_MINIMUM_RENTAL" hidden="1">"c26970"</definedName>
    <definedName name="IQ_MINORITY_INT_AVG_ASSETS_FFIEC" hidden="1">"c13367"</definedName>
    <definedName name="IQ_MINORITY_INT_AVG_ASSETS_THRIFT" hidden="1">"c25660"</definedName>
    <definedName name="IQ_MINORITY_INT_BS_FFIEC" hidden="1">"c12874"</definedName>
    <definedName name="IQ_MINORITY_INT_FFIEC" hidden="1">"c13031"</definedName>
    <definedName name="IQ_MINORITY_INT_REDEEM" hidden="1">"c25787"</definedName>
    <definedName name="IQ_MINORITY_INT_REDEEM_TOT" hidden="1">"c25789"</definedName>
    <definedName name="IQ_MINORITY_INT_THRIFT" hidden="1">"c24926"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CM" hidden="1">"c729"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NTUTES_USED_LOCAL" hidden="1">"c15808"</definedName>
    <definedName name="IQ_MINTUTES_USED_LONG_DIST" hidden="1">"c15809"</definedName>
    <definedName name="IQ_MISC_ADJUST_CF" hidden="1">"c736"</definedName>
    <definedName name="IQ_MISC_EARN_ADJ" hidden="1">"c1603"</definedName>
    <definedName name="IQ_MISCELLANEOUS_ASSETS_ALL_OTHER_ACCOUNTS_THRIFT" hidden="1">"c25437"</definedName>
    <definedName name="IQ_MISCELLANEOUS_ASSETS_EMPLOYEE_BENEFIT_RETIREMENT_RELATED_ACCOUNTS_THRIFT" hidden="1">"c25421"</definedName>
    <definedName name="IQ_MISCELLANEOUS_ASSETS_PERSONAL_TRUST_AGENCY_INV_MANAGEMENT_ACCOUNTS_THRIFT" hidden="1">"c25405"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NON_TRANS_ACCTS_FFIEC" hidden="1">"c15330"</definedName>
    <definedName name="IQ_MMDA_SAVINGS_TOT_DEPOSITS_FFIEC" hidden="1">"c13905"</definedName>
    <definedName name="IQ_MMDA_SAVINGS_TOTAL_DEPOSITS_THRIFT" hidden="1">"c25778"</definedName>
    <definedName name="IQ_MOBILE_HOME_LOANS_THRIFT" hidden="1">"c24863"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EY_MARKET_DEPOSIT_ACCOUNTS_THRIFT" hidden="1">"c24999"</definedName>
    <definedName name="IQ_MONEY_MKT_DEPOSITS_TOTAL_DEPOSITS" hidden="1">"c15720"</definedName>
    <definedName name="IQ_MONEY_MKT_SAVINGS_ACCT_DEPOSITS_TOTAL_DEPOSITS" hidden="1">"c15722"</definedName>
    <definedName name="IQ_MONEY_SUPPLY_M1" hidden="1">"c20881"</definedName>
    <definedName name="IQ_MONEY_SUPPLY_M2" hidden="1">"c20882"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ASSET_BACKED_SEC_ELIGIBLE_20_PCT_RISK_WEIGHT_THRIFT" hidden="1">"c25057"</definedName>
    <definedName name="IQ_MORTGAGE_ASSET_BACKED_SEC_ELIGIBLE_50_PCT_RISK_WEIGHT_THRIFT" hidden="1">"c25066"</definedName>
    <definedName name="IQ_MORTGAGE_BACKED_SEC_ADJUSTED_NCOS_THRIFT" hidden="1">"c25198"</definedName>
    <definedName name="IQ_MORTGAGE_BACKED_SEC_GVA_CHARGE_OFFS_THRIFT" hidden="1">"c25113"</definedName>
    <definedName name="IQ_MORTGAGE_BACKED_SEC_GVA_RECOVERIES_THRIFT" hidden="1">"c25144"</definedName>
    <definedName name="IQ_MORTGAGE_BACKED_SEC_INV_SEC_THRIFT" hidden="1">"c25673"</definedName>
    <definedName name="IQ_MORTGAGE_BACKED_SEC_SVA_PROVISIONS_TRANSFERS_FROM_GVA_THRIFT" hidden="1">"c25167"</definedName>
    <definedName name="IQ_MORTGAGE_BACKED_SECURITIES_FDIC" hidden="1">"c6402"</definedName>
    <definedName name="IQ_MORTGAGE_DEBT_UNDER_CAPITAL_LEASES_FFIEC" hidden="1">"c15276"</definedName>
    <definedName name="IQ_MORTGAGE_LOAN_SERVICING_FEES_THRIFT" hidden="1">"c24766"</definedName>
    <definedName name="IQ_MORTGAGE_LOANS_ADJUSTED_NCOS_TOTAL_THRIFT" hidden="1">"c25199"</definedName>
    <definedName name="IQ_MORTGAGE_LOANS_CASH_REPAYMENT_PRINCIPAL_THRIFT" hidden="1">"c25334"</definedName>
    <definedName name="IQ_MORTGAGE_LOANS_DEBITS_LESS_CREDITS_OTHER_THAN_REPAYMENT_PRINCIPAL_THRIFT" hidden="1">"c25335"</definedName>
    <definedName name="IQ_MORTGAGE_LOANS_FORECLOSED_DURING_QUARTER_TOTAL_THRIFT" hidden="1">"c25236"</definedName>
    <definedName name="IQ_MORTGAGE_LOANS_GROSS_LOANS_THRIFT" hidden="1">"c25721"</definedName>
    <definedName name="IQ_MORTGAGE_LOANS_GVA_RECOVERIES_TOTAL_THRIFT" hidden="1">"c25145"</definedName>
    <definedName name="IQ_MORTGAGE_LOANS_PARTICIPATIONS_PURCHASED_FROM_ENTITIES_OTHER_THAN_FEDERALLY_INSURED_DEPOSITORY_INSTITUTIONS_THEIR_SUBSIDIARIES_THRIFT" hidden="1">"c25326"</definedName>
    <definedName name="IQ_MORTGAGE_LOANS_PARTICIPATIONS_PURCHASED_SECURED_1_4_DWELLING_UNITS_THRIFT" hidden="1">"c25325"</definedName>
    <definedName name="IQ_MORTGAGE_LOANS_PARTICIPATIONS_PURCHASED_SECURED_HOME_EQUITY_JUNIOR_LIENS_THRIFT" hidden="1">"c25327"</definedName>
    <definedName name="IQ_MORTGAGE_LOANS_PARTICIPATIONS_PURCHASED_SECURED_MULTIFAMILY_5_MORE_DWELLING_UNITS_THRIFT" hidden="1">"c25328"</definedName>
    <definedName name="IQ_MORTGAGE_LOANS_PARTICIPATIONS_PURCHASED_SECURED_NONRES_THRIFT" hidden="1">"c25329"</definedName>
    <definedName name="IQ_MORTGAGE_LOANS_PARTICIPATIONS_SOLD_SECURED_1_4_DWELLING_UNITS_THRIFT" hidden="1">"c25330"</definedName>
    <definedName name="IQ_MORTGAGE_LOANS_PARTICIPATIONS_SOLD_SECURED_HOME_EQUITY_JUNIOR_LIENS_THRIFT" hidden="1">"c25331"</definedName>
    <definedName name="IQ_MORTGAGE_LOANS_PARTICIPATIONS_SOLD_SECURED_MULTIFAMILY_5_MORE_DWELLING_UNITS_THRIFT" hidden="1">"c25332"</definedName>
    <definedName name="IQ_MORTGAGE_LOANS_PARTICIPATIONS_SOLD_SECURED_NONRES_THRIFT" hidden="1">"c25333"</definedName>
    <definedName name="IQ_MORTGAGE_LOANS_RISK_BASED_CAPITAL_THRIFT" hidden="1">"c25706"</definedName>
    <definedName name="IQ_MORTGAGE_LOANS_SECURED_NON_RES_PROPERTY_100000_THROUGH_250000_THRIFT" hidden="1">"c24954"</definedName>
    <definedName name="IQ_MORTGAGE_LOANS_SECURED_NON_RES_PROPERTY_250000_THROUGH_1000000_THRIFT" hidden="1">"c24956"</definedName>
    <definedName name="IQ_MORTGAGE_LOANS_SECURED_NON_RES_PROPERTY_LESS_THAN_EQUAL_100000_THRIFT" hidden="1">"c24952"</definedName>
    <definedName name="IQ_MORTGAGE_LOANS_SVA_PROVISIONS_TRANSFERS_FROM_GVA_TOTAL_THRIFT" hidden="1">"c25168"</definedName>
    <definedName name="IQ_MORTGAGE_LOANS_TOTAL_GVA_CHARGE_OFFS_THRIFT" hidden="1">"c25114"</definedName>
    <definedName name="IQ_MORTGAGE_LOANS_TOTAL_LOANS_THRIFT" hidden="1">"c25740"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ORTGAGE_SERVICING_RIGHTS_AMOUNTS_NETTED_THRIFT" hidden="1">"c25504"</definedName>
    <definedName name="IQ_MORTGAGE_SERVICING_RIGHTS_LEVEL_1_THRIFT" hidden="1">"c25500"</definedName>
    <definedName name="IQ_MORTGAGE_SERVICING_RIGHTS_LEVEL_2_THRIFT" hidden="1">"c25501"</definedName>
    <definedName name="IQ_MORTGAGE_SERVICING_RIGHTS_LEVEL_3_THRIFT" hidden="1">"c25502"</definedName>
    <definedName name="IQ_MORTGAGE_SERVICING_RIGHTS_TOTAL_AFTER_NETTING_THRIFT" hidden="1">"c25505"</definedName>
    <definedName name="IQ_MORTGAGE_SERVICING_RIGHTS_TOTAL_BEFORE_NETTING_THRIFT" hidden="1">"c25503"</definedName>
    <definedName name="IQ_MTD" hidden="1">800000</definedName>
    <definedName name="IQ_MTM_ADJ" hidden="1">"c16000"</definedName>
    <definedName name="IQ_MULTI_RES_PROPERTIES_TRADING_DOM_FFIEC" hidden="1">"c12930"</definedName>
    <definedName name="IQ_MULTIFAM_5_LOANS_TOT_LOANS_FFIEC" hidden="1">"c13869"</definedName>
    <definedName name="IQ_MULTIFAMILY_5_MORE_DWELLING_UNITS_CONSTRUCTION_MORTGAGE_LOANS_ADJUSTED_NCOS_TOTAL_THRIFT" hidden="1">"c25201"</definedName>
    <definedName name="IQ_MULTIFAMILY_5_MORE_DWELLING_UNITS_CONSTRUCTION_MORTGAGE_LOANS_GVA_CHARGE_OFFS_THRIFT" hidden="1">"c25116"</definedName>
    <definedName name="IQ_MULTIFAMILY_5_MORE_DWELLING_UNITS_CONSTRUCTION_MORTGAGE_LOANS_GVA_RECOVERIES_THRIFT" hidden="1">"c25147"</definedName>
    <definedName name="IQ_MULTIFAMILY_5_MORE_DWELLING_UNITS_CONSTRUCTION_MORTGAGE_LOANS_SVA_PROVISIONS_TRANSFERS_FROM_GVA_TOTAL_THRIFT" hidden="1">"c25170"</definedName>
    <definedName name="IQ_MULTIFAMILY_5_MORE_DWELLING_UNITS_IN_PROCESS_FORECLOSURE_THRIFT" hidden="1">"c25307"</definedName>
    <definedName name="IQ_MULTIFAMILY_5_MORE_DWELLING_UNITS_PML_ADJUSTED_NCOS_TOTAL_THRIFT" hidden="1">"c25206"</definedName>
    <definedName name="IQ_MULTIFAMILY_5_MORE_DWELLING_UNITS_PML_GVA_CHARGE_OFFS_THRIFT" hidden="1">"c25121"</definedName>
    <definedName name="IQ_MULTIFAMILY_5_MORE_DWELLING_UNITS_PML_GVA_RECOVERIES_THRIFT" hidden="1">"c25152"</definedName>
    <definedName name="IQ_MULTIFAMILY_5_MORE_DWELLING_UNITS_PML_SVA_PROVISIONS_TRANSFERS_FROM_GVA_TOTAL_THRIFT" hidden="1">"c25175"</definedName>
    <definedName name="IQ_MULTIFAMILY_5_MORE_LOANS_TOTAL_LOANS_THRIFT" hidden="1">"c25745"</definedName>
    <definedName name="IQ_MULTIFAMILY_LOANS_GROSS_LOANS_FFIEC" hidden="1">"c13404"</definedName>
    <definedName name="IQ_MULTIFAMILY_LOANS_GROSS_LOANS_THRIFT" hidden="1">"c25729"</definedName>
    <definedName name="IQ_MULTIFAMILY_LOANS_RISK_BASED_CAPITAL_THRIFT" hidden="1">"c25714"</definedName>
    <definedName name="IQ_MULTIFAMILY_LOANS_RISK_BASED_FFIEC" hidden="1">"c13425"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MUNICIPAL_INVEST_SECURITIES_FFIEC" hidden="1">"c13459"</definedName>
    <definedName name="IQ_MUNICIPAL_SEC_INV_SEC_THRIFT" hidden="1">"c25672"</definedName>
    <definedName name="IQ_MUTUAL_FUND_ACQUISITIONS_OTHER" hidden="1">"c20425"</definedName>
    <definedName name="IQ_MUTUAL_FUND_APPRECIATION_DEPRECIATION" hidden="1">"c20424"</definedName>
    <definedName name="IQ_MUTUAL_FUND_BOP" hidden="1">"c20420"</definedName>
    <definedName name="IQ_MUTUAL_FUND_EOP" hidden="1">"c20426"</definedName>
    <definedName name="IQ_MUTUAL_FUND_NET_SALES" hidden="1">"c20423"</definedName>
    <definedName name="IQ_MUTUAL_FUND_REDEMPTIONS" hidden="1">"c20422"</definedName>
    <definedName name="IQ_MUTUAL_FUND_SALES" hidden="1">"c20421"</definedName>
    <definedName name="IQ_MUTUAL_FUNDS_EQUITY_ALL_OTHER_ACCOUNTS_THRIFT" hidden="1">"c25428"</definedName>
    <definedName name="IQ_MUTUAL_FUNDS_EQUITY_EMPLOYEE_BENEFIT_RETIREMENT_RELATED_ACCOUNTS_THRIFT" hidden="1">"c25412"</definedName>
    <definedName name="IQ_MUTUAL_FUNDS_EQUITY_PERSONAL_TRUST_AGENCY_INV_MANAGEMENT_ACCOUNTS_THRIFT" hidden="1">"c25396"</definedName>
    <definedName name="IQ_MUTUAL_FUNDS_MONEY_MARKET_ALL_OTHER_ACCOUNTS_THRIFT" hidden="1">"c25427"</definedName>
    <definedName name="IQ_MUTUAL_FUNDS_MONEY_MARKET_EMPLOYEE_BENEFIT_RETIREMENT_RELATED_ACCOUNTS_THRIFT" hidden="1">"c25411"</definedName>
    <definedName name="IQ_MUTUAL_FUNDS_MONEY_MARKET_PERSONAL_TRUST_AGENCY_INV_MANAGEMENT_ACCOUNTS_THRIFT" hidden="1">"c25395"</definedName>
    <definedName name="IQ_MUTUAL_FUNDS_OTHER_ALL_OTHER_ACCOUNTS_THRIFT" hidden="1">"c25429"</definedName>
    <definedName name="IQ_MUTUAL_FUNDS_OTHER_EMPLOYEE_BENEFIT_RETIREMENT_RELATED_ACCOUNTS_THRIFT" hidden="1">"c25413"</definedName>
    <definedName name="IQ_MUTUAL_FUNDS_OTHER_PERSONAL_TRUST_AGENCY_INV_MANAGEMENT_ACCOUNTS_THRIFT" hidden="1">"c25397"</definedName>
    <definedName name="IQ_NAMES_REVISION_DATE_" hidden="1">42786.783587963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TURAL_RESOURCES_COST" hidden="1">"c17550"</definedName>
    <definedName name="IQ_NAV_ACT_OR_EST" hidden="1">"c2225"</definedName>
    <definedName name="IQ_NAV_ACT_OR_EST_CIQ" hidden="1">"c18262"</definedName>
    <definedName name="IQ_NAV_EST" hidden="1">"c1751"</definedName>
    <definedName name="IQ_NAV_EST_CIQ" hidden="1">"c18109"</definedName>
    <definedName name="IQ_NAV_EST_DOWN_2MONTH" hidden="1">"c16501"</definedName>
    <definedName name="IQ_NAV_EST_DOWN_3MONTH" hidden="1">"c16505"</definedName>
    <definedName name="IQ_NAV_EST_DOWN_MONTH" hidden="1">"c16497"</definedName>
    <definedName name="IQ_NAV_EST_NOTE_CIQ" hidden="1">"c18229"</definedName>
    <definedName name="IQ_NAV_EST_NUM_ANALYSTS_2MONTH" hidden="1">"c16499"</definedName>
    <definedName name="IQ_NAV_EST_NUM_ANALYSTS_3MONTH" hidden="1">"c16503"</definedName>
    <definedName name="IQ_NAV_EST_NUM_ANALYSTS_MONTH" hidden="1">"c16495"</definedName>
    <definedName name="IQ_NAV_EST_TOTAL_REVISED_2MONTH" hidden="1">"c16502"</definedName>
    <definedName name="IQ_NAV_EST_TOTAL_REVISED_3MONTH" hidden="1">"c16506"</definedName>
    <definedName name="IQ_NAV_EST_TOTAL_REVISED_MONTH" hidden="1">"c16498"</definedName>
    <definedName name="IQ_NAV_EST_UP_2MONTH" hidden="1">"c16500"</definedName>
    <definedName name="IQ_NAV_EST_UP_3MONTH" hidden="1">"c16504"</definedName>
    <definedName name="IQ_NAV_EST_UP_MONTH" hidden="1">"c16496"</definedName>
    <definedName name="IQ_NAV_GUIDANCE" hidden="1">"c18391"</definedName>
    <definedName name="IQ_NAV_HIGH_EST" hidden="1">"c1753"</definedName>
    <definedName name="IQ_NAV_HIGH_EST_CIQ" hidden="1">"c18129"</definedName>
    <definedName name="IQ_NAV_HIGH_GUIDANCE" hidden="1">"c18392"</definedName>
    <definedName name="IQ_NAV_LOW_EST" hidden="1">"c1754"</definedName>
    <definedName name="IQ_NAV_LOW_EST_CIQ" hidden="1">"c18139"</definedName>
    <definedName name="IQ_NAV_LOW_GUIDANCE" hidden="1">"c18393"</definedName>
    <definedName name="IQ_NAV_MEDIAN_EST" hidden="1">"c1752"</definedName>
    <definedName name="IQ_NAV_MEDIAN_EST_CIQ" hidden="1">"c18119"</definedName>
    <definedName name="IQ_NAV_NUM_EST" hidden="1">"c1755"</definedName>
    <definedName name="IQ_NAV_NUM_EST_CIQ" hidden="1">"c18159"</definedName>
    <definedName name="IQ_NAV_RE" hidden="1">"c15996"</definedName>
    <definedName name="IQ_NAV_SHARE_ACT_OR_EST" hidden="1">"c2225"</definedName>
    <definedName name="IQ_NAV_SHARE_ACT_OR_EST_CIQ" hidden="1">"c12038"</definedName>
    <definedName name="IQ_NAV_SHARE_EST" hidden="1">"c5609"</definedName>
    <definedName name="IQ_NAV_SHARE_EST_CIQ" hidden="1">"c12032"</definedName>
    <definedName name="IQ_NAV_SHARE_EST_DOWN_2MONTH" hidden="1">"c16561"</definedName>
    <definedName name="IQ_NAV_SHARE_EST_DOWN_2MONTH_CIQ" hidden="1">"c16825"</definedName>
    <definedName name="IQ_NAV_SHARE_EST_DOWN_3MONTH" hidden="1">"c16565"</definedName>
    <definedName name="IQ_NAV_SHARE_EST_DOWN_3MONTH_CIQ" hidden="1">"c16829"</definedName>
    <definedName name="IQ_NAV_SHARE_EST_DOWN_MONTH" hidden="1">"c16557"</definedName>
    <definedName name="IQ_NAV_SHARE_EST_DOWN_MONTH_CIQ" hidden="1">"c16821"</definedName>
    <definedName name="IQ_NAV_SHARE_EST_NOTE" hidden="1">"c17522"</definedName>
    <definedName name="IQ_NAV_SHARE_EST_NOTE_CIQ" hidden="1">"c17475"</definedName>
    <definedName name="IQ_NAV_SHARE_EST_NUM_ANALYSTS_2MONTH" hidden="1">"c16559"</definedName>
    <definedName name="IQ_NAV_SHARE_EST_NUM_ANALYSTS_2MONTH_CIQ" hidden="1">"c16823"</definedName>
    <definedName name="IQ_NAV_SHARE_EST_NUM_ANALYSTS_3MONTH" hidden="1">"c16563"</definedName>
    <definedName name="IQ_NAV_SHARE_EST_NUM_ANALYSTS_3MONTH_CIQ" hidden="1">"c16827"</definedName>
    <definedName name="IQ_NAV_SHARE_EST_NUM_ANALYSTS_MONTH" hidden="1">"c16555"</definedName>
    <definedName name="IQ_NAV_SHARE_EST_NUM_ANALYSTS_MONTH_CIQ" hidden="1">"c16819"</definedName>
    <definedName name="IQ_NAV_SHARE_EST_TOTAL_REVISED_2MONTH" hidden="1">"c16562"</definedName>
    <definedName name="IQ_NAV_SHARE_EST_TOTAL_REVISED_2MONTH_CIQ" hidden="1">"c16826"</definedName>
    <definedName name="IQ_NAV_SHARE_EST_TOTAL_REVISED_3MONTH" hidden="1">"c16566"</definedName>
    <definedName name="IQ_NAV_SHARE_EST_TOTAL_REVISED_3MONTH_CIQ" hidden="1">"c16830"</definedName>
    <definedName name="IQ_NAV_SHARE_EST_TOTAL_REVISED_MONTH" hidden="1">"c16558"</definedName>
    <definedName name="IQ_NAV_SHARE_EST_TOTAL_REVISED_MONTH_CIQ" hidden="1">"c16822"</definedName>
    <definedName name="IQ_NAV_SHARE_EST_UP_2MONTH" hidden="1">"c16560"</definedName>
    <definedName name="IQ_NAV_SHARE_EST_UP_2MONTH_CIQ" hidden="1">"c16824"</definedName>
    <definedName name="IQ_NAV_SHARE_EST_UP_3MONTH" hidden="1">"c16564"</definedName>
    <definedName name="IQ_NAV_SHARE_EST_UP_3MONTH_CIQ" hidden="1">"c16828"</definedName>
    <definedName name="IQ_NAV_SHARE_EST_UP_MONTH" hidden="1">"c16556"</definedName>
    <definedName name="IQ_NAV_SHARE_EST_UP_MONTH_CIQ" hidden="1">"c16820"</definedName>
    <definedName name="IQ_NAV_SHARE_HIGH_EST" hidden="1">"c5612"</definedName>
    <definedName name="IQ_NAV_SHARE_HIGH_EST_CIQ" hidden="1">"c12035"</definedName>
    <definedName name="IQ_NAV_SHARE_LOW_EST" hidden="1">"c5613"</definedName>
    <definedName name="IQ_NAV_SHARE_LOW_EST_CIQ" hidden="1">"c12036"</definedName>
    <definedName name="IQ_NAV_SHARE_MEDIAN_EST" hidden="1">"c5610"</definedName>
    <definedName name="IQ_NAV_SHARE_MEDIAN_EST_CIQ" hidden="1">"c12033"</definedName>
    <definedName name="IQ_NAV_SHARE_NUM_EST" hidden="1">"c5614"</definedName>
    <definedName name="IQ_NAV_SHARE_NUM_EST_CIQ" hidden="1">"c12037"</definedName>
    <definedName name="IQ_NAV_SHARE_RE" hidden="1">"c16011"</definedName>
    <definedName name="IQ_NAV_SHARE_STDDEV_EST" hidden="1">"c5611"</definedName>
    <definedName name="IQ_NAV_SHARE_STDDEV_EST_CIQ" hidden="1">"c12034"</definedName>
    <definedName name="IQ_NAV_STDDEV_EST" hidden="1">"c1756"</definedName>
    <definedName name="IQ_NAV_STDDEV_EST_CIQ" hidden="1">"c18149"</definedName>
    <definedName name="IQ_NCLS_CLOSED_END_1_4_FAM_LOANS_TOT_LOANS_FFIEC" hidden="1">"c13891"</definedName>
    <definedName name="IQ_NCLS_CLOSED_END_1_4_FAMILY_LOANS_TOTAL_LOANS_THRIFT" hidden="1">"c25769"</definedName>
    <definedName name="IQ_NCLS_COMM_IND_LOANS_TOT_LOANS_FFIEC" hidden="1">"c13898"</definedName>
    <definedName name="IQ_NCLS_COMM_LOANS_TOTAL_LOANS_THRIFT" hidden="1">"c25775"</definedName>
    <definedName name="IQ_NCLS_COMM_RE_FARM_LOANS_TOT_LOANS_FFIEC" hidden="1">"c13897"</definedName>
    <definedName name="IQ_NCLS_COMM_RE_FARM_LOANS_TOTAL_LOANS_THRIFT" hidden="1">"c25771"</definedName>
    <definedName name="IQ_NCLS_COMM_RE_NONFARM_NONRES_TOT_LOANS_FFIEC" hidden="1">"c13896"</definedName>
    <definedName name="IQ_NCLS_COMM_RE_NONFARM_NONRESIDENTIAL_TOTAL_LOANS_THRIFT" hidden="1">"c25773"</definedName>
    <definedName name="IQ_NCLS_CONST_LAND_DEV_LOANS_TOT_LOANS_FFIEC" hidden="1">"c13890"</definedName>
    <definedName name="IQ_NCLS_CONSTRUCTION_LAND_DEVELOPMENT_LOANS_TOTAL_LOANS_THRIFT" hidden="1">"c25767"</definedName>
    <definedName name="IQ_NCLS_CONSUMER_LOANS_TOT_LOANS_FFIEC" hidden="1">"c13899"</definedName>
    <definedName name="IQ_NCLS_CONSUMER_LOANS_TOTAL_LOANS_THRIFT" hidden="1">"c25776"</definedName>
    <definedName name="IQ_NCLS_FARM_LOANS_TOT_LOANS_FFIEC" hidden="1">"c13895"</definedName>
    <definedName name="IQ_NCLS_HOME_EQUITY_LOANS_TOT_LOANS_FFIEC" hidden="1">"c13892"</definedName>
    <definedName name="IQ_NCLS_LAND_LOANS_TOTAL_LOANS_THRIFT" hidden="1">"c25772"</definedName>
    <definedName name="IQ_NCLS_MULTIFAM_5_LOANS_TOT_LOANS_FFIEC" hidden="1">"c13894"</definedName>
    <definedName name="IQ_NCLS_MULTIFAMILY_5_MORE_LOANS_TOTAL_LOANS_THRIFT" hidden="1">"c25770"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LS_TOTAL_1_4_FAMILY_LOANS_TOTAL_LOANS_THRIFT" hidden="1">"c25768"</definedName>
    <definedName name="IQ_NCLS_TOTAL_LOANS_TOTAL_LOANS_THRIFT" hidden="1">"c25765"</definedName>
    <definedName name="IQ_NCLS_TOTAL_MORTGAGE_LOANS_TOTAL_LOANS_THRIFT" hidden="1">"c25766"</definedName>
    <definedName name="IQ_NCLS_TOTAL_NON_RE_LOANS_TOTAL_LOANS_THRIFT" hidden="1">"c25774"</definedName>
    <definedName name="IQ_NCOS_CLOSED_END_1_4_FAM_LOANS_TOT_LOANS_FFIEC" hidden="1">"c13879"</definedName>
    <definedName name="IQ_NCOS_CLOSED_END_1_4_FAMILY_LOANS_TOTAL_LOANS_THRIFT" hidden="1">"c25757"</definedName>
    <definedName name="IQ_NCOS_COMM_IND_LOANS_TOT_LOANS_FFIEC" hidden="1">"c13886"</definedName>
    <definedName name="IQ_NCOS_COMM_LOANS_TOTAL_LOANS_THRIFT" hidden="1">"c25763"</definedName>
    <definedName name="IQ_NCOS_COMM_RE_FARM_LOANS_TOT_LOANS_FFIEC" hidden="1">"c13885"</definedName>
    <definedName name="IQ_NCOS_COMM_RE_FARM_LOANS_TOTAL_LOANS_THRIFT" hidden="1">"c25759"</definedName>
    <definedName name="IQ_NCOS_COMM_RE_NONFARM_NONRES_TOT_LOANS_FFIEC" hidden="1">"c13884"</definedName>
    <definedName name="IQ_NCOS_COMM_RE_NONFARM_NONRESIDENTIAL_TOTAL_LOANS_THRIFT" hidden="1">"c25761"</definedName>
    <definedName name="IQ_NCOS_CONST_LAND_DEV_LOANS_TOT_LOANS_FFIEC" hidden="1">"c13878"</definedName>
    <definedName name="IQ_NCOS_CONSTRUCTION_LAND_DEVELOPMENT_LOANS_TOTAL_LOANS_THRIFT" hidden="1">"c25755"</definedName>
    <definedName name="IQ_NCOS_CONSUMER_LOANS_TOT_LOANS_FFIEC" hidden="1">"c13887"</definedName>
    <definedName name="IQ_NCOS_CONSUMER_LOANS_TOTAL_LOANS_THRIFT" hidden="1">"c25764"</definedName>
    <definedName name="IQ_NCOS_FARM_LOANS_TOT_LOANS_FFIEC" hidden="1">"c13883"</definedName>
    <definedName name="IQ_NCOS_HOME_EQUITY_LOANS_TOT_LOANS_FFIEC" hidden="1">"c13880"</definedName>
    <definedName name="IQ_NCOS_LAND_LOANS_TOTAL_LOANS_THRIFT" hidden="1">"c25760"</definedName>
    <definedName name="IQ_NCOS_MULTIFAM_5_LOANS_TOT_LOANS_FFIEC" hidden="1">"c13882"</definedName>
    <definedName name="IQ_NCOS_MULTIFAMILY_5_MORE_LOANS_TOTAL_LOANS_THRIFT" hidden="1">"c25758"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COS_TOTAL_1_4_FAMILY_LOANS_TOTAL_LOANS_THRIFT" hidden="1">"c25756"</definedName>
    <definedName name="IQ_NCOS_TOTAL_LOANS_TOTAL_LOANS_THRIFT" hidden="1">"c25753"</definedName>
    <definedName name="IQ_NCOS_TOTAL_MORTGAGE_LOANS_TOTAL_LOANS_THRIFT" hidden="1">"c25754"</definedName>
    <definedName name="IQ_NCOS_TOTAL_NON_RE_LOANS_TOTAL_LOANS_THRIFT" hidden="1">"c25762"</definedName>
    <definedName name="IQ_NEGATIVE_FAIR_VALUE_DERIVATIVES_BENEFICIARY_FFIEC" hidden="1">"c13124"</definedName>
    <definedName name="IQ_NEGATIVE_FAIR_VALUE_DERIVATIVES_GUARANTOR_FFIEC" hidden="1">"c13117"</definedName>
    <definedName name="IQ_NET_ADD_BASIC" hidden="1">"c15782"</definedName>
    <definedName name="IQ_NET_ADD_BBAND" hidden="1">"c15785"</definedName>
    <definedName name="IQ_NET_ADD_DIG" hidden="1">"c15783"</definedName>
    <definedName name="IQ_NET_ADD_PHONE" hidden="1">"c15786"</definedName>
    <definedName name="IQ_NET_ADD_POSTPAID_WIRELESS" hidden="1">"c15754"</definedName>
    <definedName name="IQ_NET_ADD_PREPAID_WIRELESS" hidden="1">"c15755"</definedName>
    <definedName name="IQ_NET_ADD_RESELL_WHOLESALE_WIRELESS" hidden="1">"c15756"</definedName>
    <definedName name="IQ_NET_ADD_RGU" hidden="1">"c15787"</definedName>
    <definedName name="IQ_NET_ADD_SATELLITE" hidden="1">"c15784"</definedName>
    <definedName name="IQ_NET_ADD_TOTAL_WIRELESS" hidden="1">"c15757"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ADJ_EXP_RESERVE_BOP" hidden="1">"c15877"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CIQ" hidden="1">"c5070"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CIQ" hidden="1">"c3814"</definedName>
    <definedName name="IQ_NET_DEBT_EST_DOWN_2MONTH" hidden="1">"c16513"</definedName>
    <definedName name="IQ_NET_DEBT_EST_DOWN_2MONTH_CIQ" hidden="1">"c16777"</definedName>
    <definedName name="IQ_NET_DEBT_EST_DOWN_3MONTH" hidden="1">"c16517"</definedName>
    <definedName name="IQ_NET_DEBT_EST_DOWN_3MONTH_CIQ" hidden="1">"c16781"</definedName>
    <definedName name="IQ_NET_DEBT_EST_DOWN_MONTH" hidden="1">"c16509"</definedName>
    <definedName name="IQ_NET_DEBT_EST_DOWN_MONTH_CIQ" hidden="1">"c16773"</definedName>
    <definedName name="IQ_NET_DEBT_EST_NOTE" hidden="1">"c17518"</definedName>
    <definedName name="IQ_NET_DEBT_EST_NOTE_CIQ" hidden="1">"c17471"</definedName>
    <definedName name="IQ_NET_DEBT_EST_NUM_ANALYSTS_2MONTH" hidden="1">"c16511"</definedName>
    <definedName name="IQ_NET_DEBT_EST_NUM_ANALYSTS_2MONTH_CIQ" hidden="1">"c16775"</definedName>
    <definedName name="IQ_NET_DEBT_EST_NUM_ANALYSTS_3MONTH" hidden="1">"c16515"</definedName>
    <definedName name="IQ_NET_DEBT_EST_NUM_ANALYSTS_3MONTH_CIQ" hidden="1">"c16779"</definedName>
    <definedName name="IQ_NET_DEBT_EST_NUM_ANALYSTS_MONTH" hidden="1">"c16507"</definedName>
    <definedName name="IQ_NET_DEBT_EST_NUM_ANALYSTS_MONTH_CIQ" hidden="1">"c16771"</definedName>
    <definedName name="IQ_NET_DEBT_EST_TOTAL_REVISED_2MONTH" hidden="1">"c16514"</definedName>
    <definedName name="IQ_NET_DEBT_EST_TOTAL_REVISED_2MONTH_CIQ" hidden="1">"c16778"</definedName>
    <definedName name="IQ_NET_DEBT_EST_TOTAL_REVISED_3MONTH" hidden="1">"c16518"</definedName>
    <definedName name="IQ_NET_DEBT_EST_TOTAL_REVISED_3MONTH_CIQ" hidden="1">"c16782"</definedName>
    <definedName name="IQ_NET_DEBT_EST_TOTAL_REVISED_MONTH" hidden="1">"c16510"</definedName>
    <definedName name="IQ_NET_DEBT_EST_TOTAL_REVISED_MONTH_CIQ" hidden="1">"c16774"</definedName>
    <definedName name="IQ_NET_DEBT_EST_UP_2MONTH" hidden="1">"c16512"</definedName>
    <definedName name="IQ_NET_DEBT_EST_UP_2MONTH_CIQ" hidden="1">"c16776"</definedName>
    <definedName name="IQ_NET_DEBT_EST_UP_3MONTH" hidden="1">"c16516"</definedName>
    <definedName name="IQ_NET_DEBT_EST_UP_3MONTH_CIQ" hidden="1">"c16780"</definedName>
    <definedName name="IQ_NET_DEBT_EST_UP_MONTH" hidden="1">"c16508"</definedName>
    <definedName name="IQ_NET_DEBT_EST_UP_MONTH_CIQ" hidden="1">"c16772"</definedName>
    <definedName name="IQ_NET_DEBT_GUIDANCE" hidden="1">"c4467"</definedName>
    <definedName name="IQ_NET_DEBT_HIGH_EST" hidden="1">"c3518"</definedName>
    <definedName name="IQ_NET_DEBT_HIGH_EST_CIQ" hidden="1">"c3816"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CM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CIQ" hidden="1">"c3817"</definedName>
    <definedName name="IQ_NET_DEBT_LOW_GUIDANCE" hidden="1">"c4221"</definedName>
    <definedName name="IQ_NET_DEBT_MEDIAN_EST" hidden="1">"c3520"</definedName>
    <definedName name="IQ_NET_DEBT_MEDIAN_EST_CIQ" hidden="1">"c3815"</definedName>
    <definedName name="IQ_NET_DEBT_NUM_EST" hidden="1">"c3515"</definedName>
    <definedName name="IQ_NET_DEBT_NUM_EST_CIQ" hidden="1">"c3818"</definedName>
    <definedName name="IQ_NET_DEBT_STDDEV_EST" hidden="1">"c3516"</definedName>
    <definedName name="IQ_NET_DEBT_STDDEV_EST_CIQ" hidden="1">"c3819"</definedName>
    <definedName name="IQ_NET_EARNED" hidden="1">"c2734"</definedName>
    <definedName name="IQ_NET_FED_FUNDS_PURCHASED_TOTAL_ASSETS_THRIFT" hidden="1">"c25704"</definedName>
    <definedName name="IQ_NET_FIDUCIARY_RELATED_SERVICES_INC_THRIFT" hidden="1">"c24815"</definedName>
    <definedName name="IQ_NET_FUNDS_PURCHASED_ASSETS_TOT_FFIEC" hidden="1">"c13448"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AFS_SEC_THRIFT" hidden="1">"c24770"</definedName>
    <definedName name="IQ_NET_GAIN_SALE_LOANS_HELD_INV_THRIFT" hidden="1">"c24774"</definedName>
    <definedName name="IQ_NET_GAIN_SALE_LOANS_LEASES_HFS_THRIFT" hidden="1">"c24771"</definedName>
    <definedName name="IQ_NET_GAIN_SALE_OTHER_ASSETS_HELD_INV_THRIFT" hidden="1">"c24775"</definedName>
    <definedName name="IQ_NET_GAIN_SALE_OTHER_ASSETS_HFS_THRIFT" hidden="1">"c24772"</definedName>
    <definedName name="IQ_NET_GAIN_SALE_PREMISES_FIXED_ASSETS_EXP_FFIEC" hidden="1">"c15372"</definedName>
    <definedName name="IQ_NET_GAIN_SALE_PREMISES_FIXED_ASSETS_INC_FFIEC" hidden="1">"c15369"</definedName>
    <definedName name="IQ_NET_GAIN_SALE_SEC_HTM_THRIFT" hidden="1">"c24773"</definedName>
    <definedName name="IQ_NET_GAINS_FIN_ASSETS_LIABILITIES_FV_THRIFT" hidden="1">"c24776"</definedName>
    <definedName name="IQ_NET_IMPAIR_LOSS_FFIEC" hidden="1">"c25848"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AVG_ASSETS_THRIFT" hidden="1">"c25661"</definedName>
    <definedName name="IQ_NET_INCOME_FDIC" hidden="1">"c6587"</definedName>
    <definedName name="IQ_NET_INCOME_HOMEBUILDING_SALES" hidden="1">"c15818"</definedName>
    <definedName name="IQ_NET_INCOME_LH_FFIEC" hidden="1">"c13110"</definedName>
    <definedName name="IQ_NET_INCOME_LOCOM_ADJUST_THRIFT" hidden="1">"c24779"</definedName>
    <definedName name="IQ_NET_INCOME_LOSS_ATTRIBUTABLE_SAVINGS_ASSOCIATION_THRIFT" hidden="1">"c25009"</definedName>
    <definedName name="IQ_NET_INCOME_PC_FFIEC" hidden="1">"c13103"</definedName>
    <definedName name="IQ_NET_INCOME_REPOSSESS_ASSETS_THRIFT" hidden="1">"c24778"</definedName>
    <definedName name="IQ_NET_INCOME_SALE_ASSETS_HFS_AFS_SEC_THRIFT" hidden="1">"c24769"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CM" hidden="1">"c765"</definedName>
    <definedName name="IQ_NET_INT_INC_FIN" hidden="1">"c766"</definedName>
    <definedName name="IQ_NET_INT_INC_TOTAL_REV" hidden="1">"c767"</definedName>
    <definedName name="IQ_NET_INT_INCOME_AFTER_PROVISION_THRIFT" hidden="1">"c25871"</definedName>
    <definedName name="IQ_NET_INT_INCOME_AVG_ASSET" hidden="1">"c15706"</definedName>
    <definedName name="IQ_NET_INT_INCOME_AVG_ASSETS_THRIFT" hidden="1">"c25649"</definedName>
    <definedName name="IQ_NET_INT_INCOME_AVG_EARNING_ASSETS_THRIFT" hidden="1">"c25668"</definedName>
    <definedName name="IQ_NET_INT_INCOME_FFIEC" hidden="1">"c13001"</definedName>
    <definedName name="IQ_NET_INT_INCOME_FTE_FFIEC" hidden="1">"c13036"</definedName>
    <definedName name="IQ_NET_INT_INCOME_THRIFT" hidden="1">"c24765"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IFE_INS_IN_FORCE" hidden="1">"c2769"</definedName>
    <definedName name="IQ_NET_LOAN_LOSSES_AVG_LOANS_THRIFT" hidden="1">"c25635"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CORE_DEPOSITS_THRIFT" hidden="1">"c25628"</definedName>
    <definedName name="IQ_NET_LOANS_DEPOSITS_FFIEC" hidden="1">"c13340"</definedName>
    <definedName name="IQ_NET_LOANS_EQUITY_FFIEC" hidden="1">"c13347"</definedName>
    <definedName name="IQ_NET_LOANS_EQUITY_THRIFT" hidden="1">"c25632"</definedName>
    <definedName name="IQ_NET_LOANS_LEASES_CORE_DEPOSITS_FDIC" hidden="1">"c6743"</definedName>
    <definedName name="IQ_NET_LOANS_LEASES_DEPOSITS_FDIC" hidden="1">"c6742"</definedName>
    <definedName name="IQ_NET_LOANS_LEASES_LETTERS_CREDIT_TOTAL_ASSETS_THRIFT" hidden="1">"c25698"</definedName>
    <definedName name="IQ_NET_LOANS_LEASES_TOTAL_ASSETS_THRIFT" hidden="1">"c25694"</definedName>
    <definedName name="IQ_NET_LOANS_TOTAL_DEPOSITS" hidden="1">"c779"</definedName>
    <definedName name="IQ_NET_LOANS_TOTAL_DEPOSITS_THRIFT" hidden="1">"c25627"</definedName>
    <definedName name="IQ_NET_LOSSES" hidden="1">"c15873"</definedName>
    <definedName name="IQ_NET_LOSSES_FIDUCIARY_RELATED_SERVICES_THRIFT" hidden="1">"c24813"</definedName>
    <definedName name="IQ_NET_NEW_CLIENT_ASSETS" hidden="1">"c20430"</definedName>
    <definedName name="IQ_NET_NONCORE_FUNDING_DEPENDENCE_SHORT_TERM_THRIFT" hidden="1">"c25624"</definedName>
    <definedName name="IQ_NET_NONCORE_FUNDING_DEPENDENCE_THRIFT" hidden="1">"c25623"</definedName>
    <definedName name="IQ_NET_NONINTEREST_INC_EXP_INTERNATIONAL_OPS_FFIEC" hidden="1">"c15387"</definedName>
    <definedName name="IQ_NET_OCCUPANCY_EXP_ADJUSTED_OPERATING_INCOME_THRIFT" hidden="1">"c25686"</definedName>
    <definedName name="IQ_NET_OPERATING_INCOME_ASSETS_FDIC" hidden="1">"c6729"</definedName>
    <definedName name="IQ_NET_PC_WRITTEN" hidden="1">"c1027"</definedName>
    <definedName name="IQ_NET_PREMIUM_WRITTEN_STATUTORY_SURPLUS" hidden="1">"c15880"</definedName>
    <definedName name="IQ_NET_PREMIUMS_WRITTEN_AVG_ASSETS" hidden="1">"c15888"</definedName>
    <definedName name="IQ_NET_PREMIUMS_WRITTEN_AVG_EQUITY" hidden="1">"c15891"</definedName>
    <definedName name="IQ_NET_PREMIUMS_WRITTEN_AVG_STATUTORY_SURPLUS" hidden="1">"c15890"</definedName>
    <definedName name="IQ_NET_PREMIUMS_WRITTEN_GROSS_PREMIUMS_WRITTEN" hidden="1">"c15889"</definedName>
    <definedName name="IQ_NET_PROVISION_LOSS_GVA_THRIFT" hidden="1">"c25092"</definedName>
    <definedName name="IQ_NET_PROVISION_LOSS_SVA_THRIFT" hidden="1">"c25100"</definedName>
    <definedName name="IQ_NET_PROVISION_LOSS_TVA_THRIFT" hidden="1">"c25107"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ADJUSTED_OPERATING_INCOME_THRIFT" hidden="1">"c25690"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BASIS_ACCOUNTING_ADJUSTMENTS_SAVINGS_ASSOCIATION_THRIFT" hidden="1">"c25015"</definedName>
    <definedName name="IQ_NEW_DEPOSITS_RECEIVED_LESS_DEPOSITS_WITHDRAWN_THRIFT" hidden="1">"c25343"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DIV_AMOUNT" hidden="1">"c17414"</definedName>
    <definedName name="IQ_NEXT_DIV_PAYMENT_DATE" hidden="1">"c17413"</definedName>
    <definedName name="IQ_NEXT_DIV_PAYMENT_TYPE" hidden="1">"c17415"</definedName>
    <definedName name="IQ_NEXT_DIV_RECORD_DATE" hidden="1">"c17412"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XDIV_DATE" hidden="1">"c17411"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CIQ" hidden="1">"c5065"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ANK_AND_NONCONTROLLING_INTEREST_FFIEC" hidden="1">"c15365"</definedName>
    <definedName name="IQ_NI_BANK_NONCONTROLLING_INT_THRIFT" hidden="1">"c24798"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COMPANY" hidden="1">"c25786"</definedName>
    <definedName name="IQ_NI_EST" hidden="1">"c1716"</definedName>
    <definedName name="IQ_NI_EST_CIQ" hidden="1">"c4702"</definedName>
    <definedName name="IQ_NI_EST_DOWN_2MONTH" hidden="1">"c16429"</definedName>
    <definedName name="IQ_NI_EST_DOWN_2MONTH_CIQ" hidden="1">"c16717"</definedName>
    <definedName name="IQ_NI_EST_DOWN_3MONTH" hidden="1">"c16433"</definedName>
    <definedName name="IQ_NI_EST_DOWN_3MONTH_CIQ" hidden="1">"c16721"</definedName>
    <definedName name="IQ_NI_EST_DOWN_MONTH" hidden="1">"c16425"</definedName>
    <definedName name="IQ_NI_EST_DOWN_MONTH_CIQ" hidden="1">"c16713"</definedName>
    <definedName name="IQ_NI_EST_NOTE" hidden="1">"c17514"</definedName>
    <definedName name="IQ_NI_EST_NOTE_CIQ" hidden="1">"c17467"</definedName>
    <definedName name="IQ_NI_EST_NUM_ANALYSTS_2MONTH" hidden="1">"c16427"</definedName>
    <definedName name="IQ_NI_EST_NUM_ANALYSTS_2MONTH_CIQ" hidden="1">"c16715"</definedName>
    <definedName name="IQ_NI_EST_NUM_ANALYSTS_3MONTH" hidden="1">"c16431"</definedName>
    <definedName name="IQ_NI_EST_NUM_ANALYSTS_3MONTH_CIQ" hidden="1">"c16719"</definedName>
    <definedName name="IQ_NI_EST_NUM_ANALYSTS_MONTH" hidden="1">"c16423"</definedName>
    <definedName name="IQ_NI_EST_NUM_ANALYSTS_MONTH_CIQ" hidden="1">"c16711"</definedName>
    <definedName name="IQ_NI_EST_TOTAL_REVISED_2MONTH" hidden="1">"c16430"</definedName>
    <definedName name="IQ_NI_EST_TOTAL_REVISED_2MONTH_CIQ" hidden="1">"c16718"</definedName>
    <definedName name="IQ_NI_EST_TOTAL_REVISED_3MONTH" hidden="1">"c16434"</definedName>
    <definedName name="IQ_NI_EST_TOTAL_REVISED_3MONTH_CIQ" hidden="1">"c16722"</definedName>
    <definedName name="IQ_NI_EST_TOTAL_REVISED_MONTH" hidden="1">"c16426"</definedName>
    <definedName name="IQ_NI_EST_TOTAL_REVISED_MONTH_CIQ" hidden="1">"c16714"</definedName>
    <definedName name="IQ_NI_EST_UP_2MONTH" hidden="1">"c16428"</definedName>
    <definedName name="IQ_NI_EST_UP_2MONTH_CIQ" hidden="1">"c16716"</definedName>
    <definedName name="IQ_NI_EST_UP_3MONTH" hidden="1">"c16432"</definedName>
    <definedName name="IQ_NI_EST_UP_3MONTH_CIQ" hidden="1">"c16720"</definedName>
    <definedName name="IQ_NI_EST_UP_MONTH" hidden="1">"c16424"</definedName>
    <definedName name="IQ_NI_EST_UP_MONTH_CIQ" hidden="1">"c16712"</definedName>
    <definedName name="IQ_NI_FFIEC" hidden="1">"c13034"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EST" hidden="1">"c1723"</definedName>
    <definedName name="IQ_NI_GW_EST_CIQ" hidden="1">"c4709"</definedName>
    <definedName name="IQ_NI_GW_EST_DOWN_2MONTH" hidden="1">"c16453"</definedName>
    <definedName name="IQ_NI_GW_EST_DOWN_2MONTH_CIQ" hidden="1">"c16741"</definedName>
    <definedName name="IQ_NI_GW_EST_DOWN_3MONTH" hidden="1">"c16457"</definedName>
    <definedName name="IQ_NI_GW_EST_DOWN_3MONTH_CIQ" hidden="1">"c16745"</definedName>
    <definedName name="IQ_NI_GW_EST_DOWN_MONTH" hidden="1">"c16449"</definedName>
    <definedName name="IQ_NI_GW_EST_DOWN_MONTH_CIQ" hidden="1">"c16737"</definedName>
    <definedName name="IQ_NI_GW_EST_NOTE" hidden="1">"c17516"</definedName>
    <definedName name="IQ_NI_GW_EST_NOTE_CIQ" hidden="1">"c17469"</definedName>
    <definedName name="IQ_NI_GW_EST_NUM_ANALYSTS_2MONTH" hidden="1">"c16451"</definedName>
    <definedName name="IQ_NI_GW_EST_NUM_ANALYSTS_2MONTH_CIQ" hidden="1">"c16739"</definedName>
    <definedName name="IQ_NI_GW_EST_NUM_ANALYSTS_3MONTH" hidden="1">"c16455"</definedName>
    <definedName name="IQ_NI_GW_EST_NUM_ANALYSTS_3MONTH_CIQ" hidden="1">"c16743"</definedName>
    <definedName name="IQ_NI_GW_EST_NUM_ANALYSTS_MONTH" hidden="1">"c16447"</definedName>
    <definedName name="IQ_NI_GW_EST_NUM_ANALYSTS_MONTH_CIQ" hidden="1">"c16735"</definedName>
    <definedName name="IQ_NI_GW_EST_TOTAL_REVISED_2MONTH" hidden="1">"c16454"</definedName>
    <definedName name="IQ_NI_GW_EST_TOTAL_REVISED_2MONTH_CIQ" hidden="1">"c16742"</definedName>
    <definedName name="IQ_NI_GW_EST_TOTAL_REVISED_3MONTH" hidden="1">"c16458"</definedName>
    <definedName name="IQ_NI_GW_EST_TOTAL_REVISED_3MONTH_CIQ" hidden="1">"c16746"</definedName>
    <definedName name="IQ_NI_GW_EST_TOTAL_REVISED_MONTH" hidden="1">"c16450"</definedName>
    <definedName name="IQ_NI_GW_EST_TOTAL_REVISED_MONTH_CIQ" hidden="1">"c16738"</definedName>
    <definedName name="IQ_NI_GW_EST_UP_2MONTH" hidden="1">"c16452"</definedName>
    <definedName name="IQ_NI_GW_EST_UP_2MONTH_CIQ" hidden="1">"c16740"</definedName>
    <definedName name="IQ_NI_GW_EST_UP_3MONTH" hidden="1">"c16456"</definedName>
    <definedName name="IQ_NI_GW_EST_UP_3MONTH_CIQ" hidden="1">"c16744"</definedName>
    <definedName name="IQ_NI_GW_EST_UP_MONTH" hidden="1">"c16448"</definedName>
    <definedName name="IQ_NI_GW_EST_UP_MONTH_CIQ" hidden="1">"c16736"</definedName>
    <definedName name="IQ_NI_GW_GUIDANCE" hidden="1">"c4471"</definedName>
    <definedName name="IQ_NI_GW_HIGH_EST" hidden="1">"c1725"</definedName>
    <definedName name="IQ_NI_GW_HIGH_EST_CIQ" hidden="1">"c4711"</definedName>
    <definedName name="IQ_NI_GW_HIGH_GUIDANCE" hidden="1">"c4178"</definedName>
    <definedName name="IQ_NI_GW_LOW_EST" hidden="1">"c1726"</definedName>
    <definedName name="IQ_NI_GW_LOW_EST_CIQ" hidden="1">"c4712"</definedName>
    <definedName name="IQ_NI_GW_LOW_GUIDANCE" hidden="1">"c4218"</definedName>
    <definedName name="IQ_NI_GW_MEDIAN_EST" hidden="1">"c1724"</definedName>
    <definedName name="IQ_NI_GW_MEDIAN_EST_CIQ" hidden="1">"c4710"</definedName>
    <definedName name="IQ_NI_GW_NUM_EST" hidden="1">"c1727"</definedName>
    <definedName name="IQ_NI_GW_NUM_EST_CIQ" hidden="1">"c4713"</definedName>
    <definedName name="IQ_NI_GW_STDDEV_EST" hidden="1">"c1728"</definedName>
    <definedName name="IQ_NI_GW_STDDEV_EST_CIQ" hidden="1">"c4714"</definedName>
    <definedName name="IQ_NI_HIGH_EST" hidden="1">"c1718"</definedName>
    <definedName name="IQ_NI_HIGH_EST_CIQ" hidden="1">"c4704"</definedName>
    <definedName name="IQ_NI_HIGH_GUIDANCE" hidden="1">"c4176"</definedName>
    <definedName name="IQ_NI_LOW_EST" hidden="1">"c1719"</definedName>
    <definedName name="IQ_NI_LOW_EST_CIQ" hidden="1">"c4705"</definedName>
    <definedName name="IQ_NI_LOW_GUIDANCE" hidden="1">"c4216"</definedName>
    <definedName name="IQ_NI_MARGIN" hidden="1">"c794"</definedName>
    <definedName name="IQ_NI_MEDIAN_EST" hidden="1">"c1717"</definedName>
    <definedName name="IQ_NI_MEDIAN_EST_CIQ" hidden="1">"c4703"</definedName>
    <definedName name="IQ_NI_NON_CONTROLLING_INTERESTS_FFIEC" hidden="1">"c15366"</definedName>
    <definedName name="IQ_NI_NONCONTROLLING_INT_THRIFT" hidden="1">"c24799"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CIQ" hidden="1">"c4706"</definedName>
    <definedName name="IQ_NI_REPORTED_EST" hidden="1">"c1730"</definedName>
    <definedName name="IQ_NI_REPORTED_EST_CIQ" hidden="1">"c4716"</definedName>
    <definedName name="IQ_NI_REPORTED_EST_DOWN_2MONTH" hidden="1">"c16441"</definedName>
    <definedName name="IQ_NI_REPORTED_EST_DOWN_2MONTH_CIQ" hidden="1">"c16729"</definedName>
    <definedName name="IQ_NI_REPORTED_EST_DOWN_3MONTH" hidden="1">"c16445"</definedName>
    <definedName name="IQ_NI_REPORTED_EST_DOWN_3MONTH_CIQ" hidden="1">"c16733"</definedName>
    <definedName name="IQ_NI_REPORTED_EST_DOWN_MONTH" hidden="1">"c16437"</definedName>
    <definedName name="IQ_NI_REPORTED_EST_DOWN_MONTH_CIQ" hidden="1">"c16725"</definedName>
    <definedName name="IQ_NI_REPORTED_EST_NOTE" hidden="1">"c17515"</definedName>
    <definedName name="IQ_NI_REPORTED_EST_NOTE_CIQ" hidden="1">"c17468"</definedName>
    <definedName name="IQ_NI_REPORTED_EST_NUM_ANALYSTS_2MONTH" hidden="1">"c16439"</definedName>
    <definedName name="IQ_NI_REPORTED_EST_NUM_ANALYSTS_2MONTH_CIQ" hidden="1">"c16727"</definedName>
    <definedName name="IQ_NI_REPORTED_EST_NUM_ANALYSTS_3MONTH" hidden="1">"c16443"</definedName>
    <definedName name="IQ_NI_REPORTED_EST_NUM_ANALYSTS_3MONTH_CIQ" hidden="1">"c16731"</definedName>
    <definedName name="IQ_NI_REPORTED_EST_NUM_ANALYSTS_MONTH" hidden="1">"c16435"</definedName>
    <definedName name="IQ_NI_REPORTED_EST_NUM_ANALYSTS_MONTH_CIQ" hidden="1">"c16723"</definedName>
    <definedName name="IQ_NI_REPORTED_EST_TOTAL_REVISED_2MONTH" hidden="1">"c16442"</definedName>
    <definedName name="IQ_NI_REPORTED_EST_TOTAL_REVISED_2MONTH_CIQ" hidden="1">"c16730"</definedName>
    <definedName name="IQ_NI_REPORTED_EST_TOTAL_REVISED_3MONTH" hidden="1">"c16446"</definedName>
    <definedName name="IQ_NI_REPORTED_EST_TOTAL_REVISED_3MONTH_CIQ" hidden="1">"c16734"</definedName>
    <definedName name="IQ_NI_REPORTED_EST_TOTAL_REVISED_MONTH" hidden="1">"c16438"</definedName>
    <definedName name="IQ_NI_REPORTED_EST_TOTAL_REVISED_MONTH_CIQ" hidden="1">"c16726"</definedName>
    <definedName name="IQ_NI_REPORTED_EST_UP_2MONTH" hidden="1">"c16440"</definedName>
    <definedName name="IQ_NI_REPORTED_EST_UP_2MONTH_CIQ" hidden="1">"c16728"</definedName>
    <definedName name="IQ_NI_REPORTED_EST_UP_3MONTH" hidden="1">"c16444"</definedName>
    <definedName name="IQ_NI_REPORTED_EST_UP_3MONTH_CIQ" hidden="1">"c16732"</definedName>
    <definedName name="IQ_NI_REPORTED_EST_UP_MONTH" hidden="1">"c16436"</definedName>
    <definedName name="IQ_NI_REPORTED_EST_UP_MONTH_CIQ" hidden="1">"c16724"</definedName>
    <definedName name="IQ_NI_REPORTED_HIGH_EST" hidden="1">"c1732"</definedName>
    <definedName name="IQ_NI_REPORTED_HIGH_EST_CIQ" hidden="1">"c4718"</definedName>
    <definedName name="IQ_NI_REPORTED_LOW_EST" hidden="1">"c1733"</definedName>
    <definedName name="IQ_NI_REPORTED_LOW_EST_CIQ" hidden="1">"c4719"</definedName>
    <definedName name="IQ_NI_REPORTED_MEDIAN_EST" hidden="1">"c1731"</definedName>
    <definedName name="IQ_NI_REPORTED_MEDIAN_EST_CIQ" hidden="1">"c4717"</definedName>
    <definedName name="IQ_NI_REPORTED_NUM_EST" hidden="1">"c1734"</definedName>
    <definedName name="IQ_NI_REPORTED_NUM_EST_CIQ" hidden="1">"c4720"</definedName>
    <definedName name="IQ_NI_REPORTED_STDDEV_EST" hidden="1">"c1735"</definedName>
    <definedName name="IQ_NI_REPORTED_STDDEV_EST_CIQ" hidden="1">"c4721"</definedName>
    <definedName name="IQ_NI_SBC_ACT_OR_EST" hidden="1">"c4474"</definedName>
    <definedName name="IQ_NI_SBC_ACT_OR_EST_CIQ" hidden="1">"c5012"</definedName>
    <definedName name="IQ_NI_SBC_EST" hidden="1">"c4473"</definedName>
    <definedName name="IQ_NI_SBC_EST_CIQ" hidden="1">"c5011"</definedName>
    <definedName name="IQ_NI_SBC_GW_ACT_OR_EST" hidden="1">"c4478"</definedName>
    <definedName name="IQ_NI_SBC_GW_ACT_OR_EST_CIQ" hidden="1">"c5016"</definedName>
    <definedName name="IQ_NI_SBC_GW_EST" hidden="1">"c4477"</definedName>
    <definedName name="IQ_NI_SBC_GW_EST_CIQ" hidden="1">"c5015"</definedName>
    <definedName name="IQ_NI_SBC_GW_HIGH_EST" hidden="1">"c4480"</definedName>
    <definedName name="IQ_NI_SBC_GW_HIGH_EST_CIQ" hidden="1">"c5018"</definedName>
    <definedName name="IQ_NI_SBC_GW_LOW_EST" hidden="1">"c4481"</definedName>
    <definedName name="IQ_NI_SBC_GW_LOW_EST_CIQ" hidden="1">"c5019"</definedName>
    <definedName name="IQ_NI_SBC_GW_MEDIAN_EST" hidden="1">"c4482"</definedName>
    <definedName name="IQ_NI_SBC_GW_MEDIAN_EST_CIQ" hidden="1">"c5020"</definedName>
    <definedName name="IQ_NI_SBC_GW_NUM_EST" hidden="1">"c4483"</definedName>
    <definedName name="IQ_NI_SBC_GW_NUM_EST_CIQ" hidden="1">"c5021"</definedName>
    <definedName name="IQ_NI_SBC_GW_STDDEV_EST" hidden="1">"c4484"</definedName>
    <definedName name="IQ_NI_SBC_GW_STDDEV_EST_CIQ" hidden="1">"c5022"</definedName>
    <definedName name="IQ_NI_SBC_HIGH_EST" hidden="1">"c4486"</definedName>
    <definedName name="IQ_NI_SBC_HIGH_EST_CIQ" hidden="1">"c5024"</definedName>
    <definedName name="IQ_NI_SBC_LOW_EST" hidden="1">"c4487"</definedName>
    <definedName name="IQ_NI_SBC_LOW_EST_CIQ" hidden="1">"c5025"</definedName>
    <definedName name="IQ_NI_SBC_MEDIAN_EST" hidden="1">"c4488"</definedName>
    <definedName name="IQ_NI_SBC_MEDIAN_EST_CIQ" hidden="1">"c5026"</definedName>
    <definedName name="IQ_NI_SBC_NUM_EST" hidden="1">"c4489"</definedName>
    <definedName name="IQ_NI_SBC_NUM_EST_CIQ" hidden="1">"c5027"</definedName>
    <definedName name="IQ_NI_SBC_STDDEV_EST" hidden="1">"c4490"</definedName>
    <definedName name="IQ_NI_SBC_STDDEV_EST_CIQ" hidden="1">"c5028"</definedName>
    <definedName name="IQ_NI_SFAS" hidden="1">"c795"</definedName>
    <definedName name="IQ_NI_STDDEV_EST" hidden="1">"c1721"</definedName>
    <definedName name="IQ_NI_STDDEV_EST_CIQ" hidden="1">"c4707"</definedName>
    <definedName name="IQ_NI_SUBTOTAL_AP" hidden="1">"c8983"</definedName>
    <definedName name="IQ_NI_THRIFT" hidden="1">"c24800"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I_INCL_UNCONSOL" hidden="1">"c16068"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M_DOMESTIC_PURCHASES" hidden="1">"c20883"</definedName>
    <definedName name="IQ_NOM_EXPORT" hidden="1">"c20884"</definedName>
    <definedName name="IQ_NOM_EXPORT_GOODS" hidden="1">"c20885"</definedName>
    <definedName name="IQ_NOM_EXPORT_INCOME" hidden="1">"c20886"</definedName>
    <definedName name="IQ_NOM_EXPORT_SERVICES" hidden="1">"c20887"</definedName>
    <definedName name="IQ_NOM_GDP" hidden="1">"c20888"</definedName>
    <definedName name="IQ_NOM_GDP_RESIDUAL" hidden="1">"c20889"</definedName>
    <definedName name="IQ_NOM_GNP" hidden="1">"c20890"</definedName>
    <definedName name="IQ_NOM_GOVT_CONSUM_INVEST" hidden="1">"c20891"</definedName>
    <definedName name="IQ_NOM_GOVT_CONSUM_INVEST_DEF" hidden="1">"c20892"</definedName>
    <definedName name="IQ_NOM_GOVT_CONSUM_INVEST_DEF_CONSUM" hidden="1">"c20893"</definedName>
    <definedName name="IQ_NOM_GOVT_CONSUM_INVEST_DEF_INVEST" hidden="1">"c20894"</definedName>
    <definedName name="IQ_NOM_GOVT_CONSUM_INVEST_FEDERAL" hidden="1">"c20895"</definedName>
    <definedName name="IQ_NOM_GOVT_CONSUM_INVEST_NONDEF" hidden="1">"c20896"</definedName>
    <definedName name="IQ_NOM_GOVT_CONSUM_INVEST_NONDEF_CONSUM" hidden="1">"c20897"</definedName>
    <definedName name="IQ_NOM_GOVT_CONSUM_INVEST_NONDEF_INVEST" hidden="1">"c20898"</definedName>
    <definedName name="IQ_NOM_GOVT_CONSUM_INVEST_STATE_LOCAL" hidden="1">"c20899"</definedName>
    <definedName name="IQ_NOM_GOVT_CONSUM_INVEST_STATE_LOCAL_CONSUM" hidden="1">"c20900"</definedName>
    <definedName name="IQ_NOM_GOVT_CONSUM_INVEST_STATE_LOCAL_INVEST" hidden="1">"c20901"</definedName>
    <definedName name="IQ_NOM_IMPORT" hidden="1">"c20902"</definedName>
    <definedName name="IQ_NOM_IMPORT_GOODS" hidden="1">"c20903"</definedName>
    <definedName name="IQ_NOM_IMPORT_INCOME" hidden="1">"c20904"</definedName>
    <definedName name="IQ_NOM_IMPORT_SERVICES" hidden="1">"c20905"</definedName>
    <definedName name="IQ_NOM_NET_DOMESTIC_PRODUCTION" hidden="1">"c20906"</definedName>
    <definedName name="IQ_NOM_NET_EXPORT" hidden="1">"c20907"</definedName>
    <definedName name="IQ_NOM_PCE" hidden="1">"c20908"</definedName>
    <definedName name="IQ_NOM_PCE_CLOTHING" hidden="1">"c20909"</definedName>
    <definedName name="IQ_NOM_PCE_DUR_GOODS" hidden="1">"c20910"</definedName>
    <definedName name="IQ_NOM_PCE_DUR_GOODS_OTHER" hidden="1">"c20911"</definedName>
    <definedName name="IQ_NOM_PCE_FINANCIAL" hidden="1">"c20912"</definedName>
    <definedName name="IQ_NOM_PCE_FOOD_ACCOMADATIONS" hidden="1">"c20913"</definedName>
    <definedName name="IQ_NOM_PCE_FOOD_BEVERAGE" hidden="1">"c20914"</definedName>
    <definedName name="IQ_NOM_PCE_FURNISHINGS" hidden="1">"c20915"</definedName>
    <definedName name="IQ_NOM_PCE_GAS" hidden="1">"c20916"</definedName>
    <definedName name="IQ_NOM_PCE_GOOD" hidden="1">"c20917"</definedName>
    <definedName name="IQ_NOM_PCE_HEALTH_CARE" hidden="1">"c20918"</definedName>
    <definedName name="IQ_NOM_PCE_HOUSEHOLD_CONSUM" hidden="1">"c20919"</definedName>
    <definedName name="IQ_NOM_PCE_HOUSEHOLD_CONSUM_OTHER" hidden="1">"c20920"</definedName>
    <definedName name="IQ_NOM_PCE_HOUSING" hidden="1">"c20921"</definedName>
    <definedName name="IQ_NOM_PCE_MOTOR_VEHICLE" hidden="1">"c20922"</definedName>
    <definedName name="IQ_NOM_PCE_NONDUR_GOODS" hidden="1">"c20923"</definedName>
    <definedName name="IQ_NOM_PCE_NONDUR_GOODS_OTHER" hidden="1">"c20924"</definedName>
    <definedName name="IQ_NOM_PCE_NONPROFIT_CONSUM" hidden="1">"c20925"</definedName>
    <definedName name="IQ_NOM_PCE_NONPROFIT_OUTPUT" hidden="1">"c20926"</definedName>
    <definedName name="IQ_NOM_PCE_NONPROFIT_RECEIPTS" hidden="1">"c20927"</definedName>
    <definedName name="IQ_NOM_PCE_RECREATION_GOODS" hidden="1">"c20928"</definedName>
    <definedName name="IQ_NOM_PCE_RECREATION_SERVICES" hidden="1">"c20929"</definedName>
    <definedName name="IQ_NOM_PCE_SERVICES" hidden="1">"c20930"</definedName>
    <definedName name="IQ_NOM_PCE_TRANSPORTATION" hidden="1">"c20931"</definedName>
    <definedName name="IQ_NOM_PRIVATE_INVEST" hidden="1">"c20932"</definedName>
    <definedName name="IQ_NOM_PRIVATE_INVEST_EQUIP" hidden="1">"c20933"</definedName>
    <definedName name="IQ_NOM_PRIVATE_INVEST_EQUIP_OTHER" hidden="1">"c20934"</definedName>
    <definedName name="IQ_NOM_PRIVATE_INVEST_FIXED" hidden="1">"c20935"</definedName>
    <definedName name="IQ_NOM_PRIVATE_INVEST_INDUSTRIAL_EQUIP" hidden="1">"c20936"</definedName>
    <definedName name="IQ_NOM_PRIVATE_INVEST_INFO_EQUIP" hidden="1">"c20937"</definedName>
    <definedName name="IQ_NOM_PRIVATE_INVEST_INFO_EQUIP_COMPUTERS" hidden="1">"c20938"</definedName>
    <definedName name="IQ_NOM_PRIVATE_INVEST_INFO_EQUIP_OTHER" hidden="1">"c20939"</definedName>
    <definedName name="IQ_NOM_PRIVATE_INVEST_INFO_EQUIP_SOFTWARE" hidden="1">"c20940"</definedName>
    <definedName name="IQ_NOM_PRIVATE_INVEST_NONRES" hidden="1">"c20941"</definedName>
    <definedName name="IQ_NOM_PRIVATE_INVEST_PRIVATE_INV_CHANGE" hidden="1">"c20942"</definedName>
    <definedName name="IQ_NOM_PRIVATE_INVEST_PRIVATE_INV_FARMS" hidden="1">"c20943"</definedName>
    <definedName name="IQ_NOM_PRIVATE_INVEST_PRIVATE_INV_NONFARMS" hidden="1">"c20944"</definedName>
    <definedName name="IQ_NOM_PRIVATE_INVEST_RES" hidden="1">"c20945"</definedName>
    <definedName name="IQ_NOM_PRIVATE_INVEST_STRUCTURES" hidden="1">"c20946"</definedName>
    <definedName name="IQ_NOM_PRIVATE_INVEST_TRANSPORTATION_EQUIP" hidden="1">"c20947"</definedName>
    <definedName name="IQ_NOM_SALES_TO_DOMESTIC_PURCHASES" hidden="1">"c20948"</definedName>
    <definedName name="IQ_NOMINAL_GDP" hidden="1">"c20949"</definedName>
    <definedName name="IQ_NOMINAL_GDP_FC" hidden="1">"c20950"</definedName>
    <definedName name="IQ_NOMINAL_GDP_PER_CAPITA" hidden="1">"c20951"</definedName>
    <definedName name="IQ_NOMINAL_GDP_PER_CAPITA_FC" hidden="1">"c20952"</definedName>
    <definedName name="IQ_NON_ACCRU_ALLOW_RECEIVABLES_FFIEC" hidden="1">"c13353"</definedName>
    <definedName name="IQ_NON_ACCRUAL_ASSET_SOLD_DURING_QTR_FFIEC" hidden="1">"c15350"</definedName>
    <definedName name="IQ_NON_ACCRUAL_LOANS" hidden="1">"c796"</definedName>
    <definedName name="IQ_NON_CASH" hidden="1">"c1399"</definedName>
    <definedName name="IQ_NON_CASH_ITEMS" hidden="1">"c797"</definedName>
    <definedName name="IQ_NON_CD_DEPOSITS" hidden="1">"c15718"</definedName>
    <definedName name="IQ_NON_CD_DEPOSITS_TOTAL_DEPOSITS" hidden="1">"c15725"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"c800"</definedName>
    <definedName name="IQ_NON_INT_BEARING_DEMAND_DEPOSITS_THRIFT" hidden="1">"c25007"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AFTER_PROVISION_THRIFT" hidden="1">"c25872"</definedName>
    <definedName name="IQ_NON_INT_EXP_AVG_ASSETS_FFIEC" hidden="1">"c18878"</definedName>
    <definedName name="IQ_NON_INT_EXP_AVG_ASSETS_THRIFT" hidden="1">"c25784"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_THRIFT" hidden="1">"c24793"</definedName>
    <definedName name="IQ_NON_INT_EXPENSE_AVG_ASSET" hidden="1">"c15708"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ADJUSTED_OPERATING_INCOME_THRIFT" hidden="1">"c25688"</definedName>
    <definedName name="IQ_NON_INT_INCOME_AVG_ASSET" hidden="1">"c15707"</definedName>
    <definedName name="IQ_NON_INT_INCOME_AVG_ASSETS_THRIFT" hidden="1">"c25650"</definedName>
    <definedName name="IQ_NON_INT_INCOME_FFIEC" hidden="1">"c13017"</definedName>
    <definedName name="IQ_NON_INT_INCOME_THRIFT" hidden="1">"c24781"</definedName>
    <definedName name="IQ_NON_INTEREST_BEARING_DEPOSITS_ALL_OTHER_ACCOUNTS_THRIFT" hidden="1">"c25423"</definedName>
    <definedName name="IQ_NON_INTEREST_BEARING_DEPOSITS_EMPLOYEE_BENEFIT_RETIREMENT_RELATED_ACCOUNTS_THRIFT" hidden="1">"c25407"</definedName>
    <definedName name="IQ_NON_INTEREST_BEARING_DEPOSITS_PERSONAL_TRUST_AGENCY_INV_MANAGEMENT_ACCOUNTS_THRIFT" hidden="1">"c25391"</definedName>
    <definedName name="IQ_NON_INTEREST_EXP" hidden="1">"c1400"</definedName>
    <definedName name="IQ_NON_INTEREST_INC" hidden="1">"c1401"</definedName>
    <definedName name="IQ_NON_MORTGAGE_AGRICULTURE_FARMERS_COMM_LOANS_100000_THROUGH_250000_THRIFT" hidden="1">"c24974"</definedName>
    <definedName name="IQ_NON_MORTGAGE_AGRICULTURE_FARMERS_COMM_LOANS_250000_THROUGH_500000_THRIFT" hidden="1">"c24976"</definedName>
    <definedName name="IQ_NON_MORTGAGE_AGRICULTURE_FARMERS_COMM_LOANS_LESS_THAN_EQUAL_100000_THRIFT" hidden="1">"c24972"</definedName>
    <definedName name="IQ_NON_MORTGAGE_LOANS_ADJUSTED_NCOS_TOTAL_TOTAL_THRIFT" hidden="1">"c25209"</definedName>
    <definedName name="IQ_NON_MORTGAGE_LOANS_GVA_CHARGE_OFFS_TOTAL_THRIFT" hidden="1">"c25124"</definedName>
    <definedName name="IQ_NON_MORTGAGE_LOANS_GVA_RECOVERIES_TOTAL_THRIFT" hidden="1">"c25155"</definedName>
    <definedName name="IQ_NON_MORTGAGE_LOANS_SVA_PROVISIONS_TRANSFERS_FROM_GVA_TOTAL_TOTAL_THRIFT" hidden="1">"c25178"</definedName>
    <definedName name="IQ_NON_MORTGAGE_NON_AGRICULTURE_COMM_LOANS_100000_THROUGH_250000_THRIFT" hidden="1">"c24961"</definedName>
    <definedName name="IQ_NON_MORTGAGE_NON_AGRICULTURE_COMM_LOANS_250000_THROUGH_1000000_THRIFT" hidden="1">"c24963"</definedName>
    <definedName name="IQ_NON_MORTGAGE_NON_AGRICULTURE_COMM_LOANS_LESS_THAN_EQUAL_100000_THRIFT" hidden="1">"c24959"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EQUITY" hidden="1">"c15702"</definedName>
    <definedName name="IQ_NON_PERF_ASSETS_LOANS_OREO" hidden="1">"c15701"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RE_DA" hidden="1">"c16179"</definedName>
    <definedName name="IQ_NON_RENTAL_NOI" hidden="1">"c16066"</definedName>
    <definedName name="IQ_NON_RENTAL_OPERATING_EXPENSE" hidden="1">"c16046"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ORE_FUNDING_TOTAL_ASSETS_THRIFT" hidden="1">"c25700"</definedName>
    <definedName name="IQ_NONCUMULATIVE_PREF_THRIFT" hidden="1">"c24916"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DOM_FFIEC" hidden="1">"c15271"</definedName>
    <definedName name="IQ_NONFARM_NONRES_GROSS_LOANS_FFIEC" hidden="1">"c13405"</definedName>
    <definedName name="IQ_NONFARM_NONRES_LL_REC_DOM_FFIEC" hidden="1">"c13626"</definedName>
    <definedName name="IQ_NONFARM_NONRES_LOANS_GROSS_LOANS_THRIFT" hidden="1">"c25730"</definedName>
    <definedName name="IQ_NONFARM_NONRES_LOANS_RISK_BASED_CAPITAL_THRIFT" hidden="1">"c25715"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RES_PROPERTY_CONSTRUCTION_MORTGAGE_LOANS_GVA_CHARGE_OFFS_THRIFT" hidden="1">"c25117"</definedName>
    <definedName name="IQ_NONRES_PROPERTY_CONSTRUCTION_MORTGAGE_LOANS_GVA_RECOVERIES_THRIFT" hidden="1">"c25148"</definedName>
    <definedName name="IQ_NONRES_PROPERTY_DWELLING_UNITS_CONSTRUCTION_MORTGAGE_LOANS_ADJUSTED_NCOS_TOTAL_THRIFT" hidden="1">"c25202"</definedName>
    <definedName name="IQ_NONRES_PROPERTY_DWELLING_UNITS_CONSTRUCTION_MORTGAGE_LOANS_SVA_PROVISIONS_TRANSFERS_FROM_GVA_TOTAL_THRIFT" hidden="1">"c25171"</definedName>
    <definedName name="IQ_NONRES_PROPERTY_EXCEPT_LAND_IN_PROCESS_FORECLOSURE_THRIFT" hidden="1">"c25308"</definedName>
    <definedName name="IQ_NONRES_PROPERTY_EXCEPT_LAND_PML_ADJUSTED_NCOS_TOTAL_THRIFT" hidden="1">"c25207"</definedName>
    <definedName name="IQ_NONRES_PROPERTY_EXCEPT_LAND_PML_GVA_CHARGE_OFFS_THRIFT" hidden="1">"c25122"</definedName>
    <definedName name="IQ_NONRES_PROPERTY_EXCEPT_LAND_PML_GVA_RECOVERIES_THRIFT" hidden="1">"c25153"</definedName>
    <definedName name="IQ_NONRES_PROPERTY_EXCEPT_LAND_PML_SVA_PROVISIONS_TRANSFERS_FROM_GVA_TOTAL_THRIFT" hidden="1">"c25176"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OBLIGATIONS_FDIC_INC_COVERED_ASSETS_ELIGIBLE_0_PCT_RISK_WEIGHT_THRIFT" hidden="1">"c25053"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BER_ADRHOLDERS" hidden="1">"c1970"</definedName>
    <definedName name="IQ_NUMBER_CELL_SITES" hidden="1">"c15762"</definedName>
    <definedName name="IQ_NUMBER_DAYS" hidden="1">"c1904"</definedName>
    <definedName name="IQ_NUMBER_DEPOSIT_ACCOUNTS_EXCLUDING_RETIREMENT_ACCOUNTS_GREATER_THAN_250000_THRIFT" hidden="1">"c24989"</definedName>
    <definedName name="IQ_NUMBER_DEPOSIT_ACCOUNTS_EXCLUDING_RETIREMENT_ACCOUNTS_LESS_THAN_250000_THRIFT" hidden="1">"c24988"</definedName>
    <definedName name="IQ_NUMBER_DEPOSIT_ACCOUNTS_THRIFT" hidden="1">"c24987"</definedName>
    <definedName name="IQ_NUMBER_DEPOSITS_LESS_THAN_100K_FDIC" hidden="1">"c6495"</definedName>
    <definedName name="IQ_NUMBER_DEPOSITS_MORE_THAN_100K_FDIC" hidden="1">"c6493"</definedName>
    <definedName name="IQ_NUMBER_FIDUCIARY_MANAGED_ACCOUNTS_THRIFT" hidden="1">"c25439"</definedName>
    <definedName name="IQ_NUMBER_FTE_EMPLOYEES_THRIFT" hidden="1">"c24929"</definedName>
    <definedName name="IQ_NUMBER_ISSUES_IN_DEFAULT_THRIFT" hidden="1">"c25443"</definedName>
    <definedName name="IQ_NUMBER_LOANS_SECURED_FARM_100000_THROUGH_250000_THRIFT" hidden="1">"c24969"</definedName>
    <definedName name="IQ_NUMBER_LOANS_SECURED_FARM_250000_THROUGH_500000_THRIFT" hidden="1">"c24971"</definedName>
    <definedName name="IQ_NUMBER_LOANS_SECURED_FARM_LESS_THAN_EQUAL_100000_THRIFT" hidden="1">"c24967"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MORTGAGE_LOANS_SECURED_NON_RES_PROPERTY_100000_THROUGH_250000_THRIFT" hidden="1">"c24955"</definedName>
    <definedName name="IQ_NUMBER_MORTGAGE_LOANS_SECURED_NON_RES_PROPERTY_250000_THROUGH_1000000_THRIFT" hidden="1">"c24957"</definedName>
    <definedName name="IQ_NUMBER_MORTGAGE_LOANS_SECURED_NON_RES_PROPERTY_LESS_THAN_EQUAL_100000_THRIFT" hidden="1">"c24953"</definedName>
    <definedName name="IQ_NUMBER_MORTGAGE_LOANS_SECURED_NON_RES_PROPERTY_THRIFT" hidden="1">"c24958"</definedName>
    <definedName name="IQ_NUMBER_NON_MORTGAGE_AGRICULTURE_FARMERS_COMM_LOANS_100000_THROUGH_250000_THRIFT" hidden="1">"c24975"</definedName>
    <definedName name="IQ_NUMBER_NON_MORTGAGE_AGRICULTURE_FARMERS_COMM_LOANS_250000_THROUGH_500000_THRIFT" hidden="1">"c24977"</definedName>
    <definedName name="IQ_NUMBER_NON_MORTGAGE_AGRICULTURE_FARMERS_COMM_LOANS_LESS_THAN_EQUAL_100000_THRIFT" hidden="1">"c24973"</definedName>
    <definedName name="IQ_NUMBER_NON_MORTGAGE_LOANS_EXCEPT_CREDIT_CARD_LOANS_THRIFT" hidden="1">"c24965"</definedName>
    <definedName name="IQ_NUMBER_NON_MORTGAGE_NON_AGRICULTURE_COMM_LOANS_100000_THROUGH_250000_THRIFT" hidden="1">"c24962"</definedName>
    <definedName name="IQ_NUMBER_NON_MORTGAGE_NON_AGRICULTURE_COMM_LOANS_250000_THROUGH_1000000_THRIFT" hidden="1">"c24964"</definedName>
    <definedName name="IQ_NUMBER_NON_MORTGAGE_NON_AGRICULTURE_COMM_LOANS_LESS_THAN_EQUAL_100000_THRIFT" hidden="1">"c24960"</definedName>
    <definedName name="IQ_NUMBER_NONINTEREST_BEARING_TRANSACTION_ACCOUNTS_MORE_THAN_250000_THRIFT" hidden="1">"c25583"</definedName>
    <definedName name="IQ_NUMBER_RETIREMENT_DEPOSIT_ACCOUNTS_GREATER_THAN_250000_THRIFT" hidden="1">"c24993"</definedName>
    <definedName name="IQ_NUMBER_RETIREMENT_DEPOSIT_ACCOUNTS_LESS_THAN_250000_THRIFT" hidden="1">"c24992"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NUMBER_TRADES_EXECUTED" hidden="1">"c20428"</definedName>
    <definedName name="IQ_NUMBER_WIRELESS_TOWERS" hidden="1">"c15766"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AVG_ASSETS_THRIFT" hidden="1">"c25663"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ECD_LEAD_INDICATOR" hidden="1">"c20953"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FFICE_OCCUPANCY_EQUIP_EXP_THRIFT" hidden="1">"c24787"</definedName>
    <definedName name="IQ_OFFICE_PREMISES_EQUIPMENT_THRIFT" hidden="1">"c24882"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ITY_RESERVES_GAS" hidden="1">"c2050"</definedName>
    <definedName name="IQ_OG_EQUITY_RESERVES_NGL" hidden="1">"c2921"</definedName>
    <definedName name="IQ_OG_EQUITY_RESERVES_OIL" hidden="1">"c2038"</definedName>
    <definedName name="IQ_OG_EQUTY_RESERVES_GAS" hidden="1">"c2050"</definedName>
    <definedName name="IQ_OG_EQUTY_RESERVES_NGL" hidden="1">"c20388"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PRODUCTIVE_WELLS_DRILLED_GAS" hidden="1">"c15907"</definedName>
    <definedName name="IQ_OG_GROSS_DEVELOPMENT_PRODUCTIVE_WELLS_DRILLED_OIL" hidden="1">"c15906"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PRODUCTIVE_WELLS_DRILLED_GAS" hidden="1">"c15905"</definedName>
    <definedName name="IQ_OG_GROSS_EXPLORATORY_PRODUCTIVE_WELLS_DRILLED_OIL" hidden="1">"c15904"</definedName>
    <definedName name="IQ_OG_GROSS_EXPLORATORY_TOTAL_WELLS_DRILLED" hidden="1">"c10096"</definedName>
    <definedName name="IQ_OG_GROSS_OPERATED_WELLS" hidden="1">"c10092"</definedName>
    <definedName name="IQ_OG_GROSS_PRODUCING_WELLS_GAS" hidden="1">"c15897"</definedName>
    <definedName name="IQ_OG_GROSS_PRODUCING_WELLS_OIL" hidden="1">"c15896"</definedName>
    <definedName name="IQ_OG_GROSS_PRODUCTIVE_WELLS_DRILLED_GAS" hidden="1">"c15901"</definedName>
    <definedName name="IQ_OG_GROSS_PRODUCTIVE_WELLS_DRILLED_OIL" hidden="1">"c15900"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PRODUCTIVE_WELLS_DRILLED_GAS" hidden="1">"c15911"</definedName>
    <definedName name="IQ_OG_NET_DEVELOPMENT_PRODUCTIVE_WELLS_DRILLED_OIL" hidden="1">"c15910"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PRODUCTIVE_WELLS_DRILLED_GAS" hidden="1">"c15909"</definedName>
    <definedName name="IQ_OG_NET_EXPLORATORY_PRODUCTIVE_WELLS_DRILLED_OIL" hidden="1">"c15908"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ING_WELLS_GAS" hidden="1">"c15899"</definedName>
    <definedName name="IQ_OG_NET_PRODUCING_WELLS_OIL" hidden="1">"c15898"</definedName>
    <definedName name="IQ_OG_NET_PRODUCTIVE_WELLS_DRILLED_GAS" hidden="1">"c15903"</definedName>
    <definedName name="IQ_OG_NET_PRODUCTIVE_WELLS_DRILLED_OIL" hidden="1">"c15902"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_END_LINES_CREDIT_THRIFT" hidden="1">"c25608"</definedName>
    <definedName name="IQ_OPENPRICE" hidden="1">"c848"</definedName>
    <definedName name="IQ_OPER_INC" hidden="1">"c849"</definedName>
    <definedName name="IQ_OPER_INC_ACT_OR_EST" hidden="1">"c2220"</definedName>
    <definedName name="IQ_OPER_INC_ACT_OR_EST_CIQ" hidden="1">"c12019"</definedName>
    <definedName name="IQ_OPER_INC_BR" hidden="1">"c850"</definedName>
    <definedName name="IQ_OPER_INC_CM" hidden="1">"c850"</definedName>
    <definedName name="IQ_OPER_INC_EST" hidden="1">"c1688"</definedName>
    <definedName name="IQ_OPER_INC_EST_CIQ" hidden="1">"c12010"</definedName>
    <definedName name="IQ_OPER_INC_EST_DOWN_2MONTH" hidden="1">"c16369"</definedName>
    <definedName name="IQ_OPER_INC_EST_DOWN_3MONTH" hidden="1">"c16373"</definedName>
    <definedName name="IQ_OPER_INC_EST_DOWN_MONTH" hidden="1">"c16365"</definedName>
    <definedName name="IQ_OPER_INC_EST_NUM_ANALYSTS_2MONTH" hidden="1">"c16367"</definedName>
    <definedName name="IQ_OPER_INC_EST_NUM_ANALYSTS_3MONTH" hidden="1">"c16371"</definedName>
    <definedName name="IQ_OPER_INC_EST_NUM_ANALYSTS_MONTH" hidden="1">"c16363"</definedName>
    <definedName name="IQ_OPER_INC_EST_TOTAL_REVISED_2MONTH" hidden="1">"c16370"</definedName>
    <definedName name="IQ_OPER_INC_EST_TOTAL_REVISED_3MONTH" hidden="1">"c16374"</definedName>
    <definedName name="IQ_OPER_INC_EST_TOTAL_REVISED_MONTH" hidden="1">"c16366"</definedName>
    <definedName name="IQ_OPER_INC_EST_UP_2MONTH" hidden="1">"c16368"</definedName>
    <definedName name="IQ_OPER_INC_EST_UP_3MONTH" hidden="1">"c16372"</definedName>
    <definedName name="IQ_OPER_INC_EST_UP_MONTH" hidden="1">"c16364"</definedName>
    <definedName name="IQ_OPER_INC_FIN" hidden="1">"c851"</definedName>
    <definedName name="IQ_OPER_INC_HIGH_EST" hidden="1">"c1690"</definedName>
    <definedName name="IQ_OPER_INC_HIGH_EST_CIQ" hidden="1">"c12012"</definedName>
    <definedName name="IQ_OPER_INC_INS" hidden="1">"c852"</definedName>
    <definedName name="IQ_OPER_INC_LOW_EST" hidden="1">"c1691"</definedName>
    <definedName name="IQ_OPER_INC_LOW_EST_CIQ" hidden="1">"c12013"</definedName>
    <definedName name="IQ_OPER_INC_MARGIN" hidden="1">"c1448"</definedName>
    <definedName name="IQ_OPER_INC_MEDIAN_EST" hidden="1">"c1689"</definedName>
    <definedName name="IQ_OPER_INC_MEDIAN_EST_CIQ" hidden="1">"c12011"</definedName>
    <definedName name="IQ_OPER_INC_NUM_EST" hidden="1">"c1692"</definedName>
    <definedName name="IQ_OPER_INC_NUM_EST_CIQ" hidden="1">"c12014"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CIQ" hidden="1">"c12015"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NG_NOI_AVG_GROSS_PROP" hidden="1">"c16058"</definedName>
    <definedName name="IQ_OPERATIONS_EXP" hidden="1">"c855"</definedName>
    <definedName name="IQ_OPT_TOTAL_AGG_INT_VALUE_EXER" hidden="1">"c18441"</definedName>
    <definedName name="IQ_OPT_TOTAL_AGG_INT_VALUE_OUT" hidden="1">"c18437"</definedName>
    <definedName name="IQ_OPT_TOTAL_NUM_EXER" hidden="1">"c18439"</definedName>
    <definedName name="IQ_OPT_TOTAL_NUM_OUT" hidden="1">"c18435"</definedName>
    <definedName name="IQ_OPT_TOTAL_PLAN_NAME" hidden="1">"c18467"</definedName>
    <definedName name="IQ_OPT_TOTAL_PRICE_HIGH" hidden="1">"c18432"</definedName>
    <definedName name="IQ_OPT_TOTAL_PRICE_LOW" hidden="1">"c18431"</definedName>
    <definedName name="IQ_OPT_TOTAL_PRICE_RANGE" hidden="1">"c18433"</definedName>
    <definedName name="IQ_OPT_TOTAL_WTD_LIFE_EXER" hidden="1">"c18440"</definedName>
    <definedName name="IQ_OPT_TOTAL_WTD_LIFE_OUT" hidden="1">"c18436"</definedName>
    <definedName name="IQ_OPT_TOTAL_WTD_PRICE_EXER" hidden="1">"c18438"</definedName>
    <definedName name="IQ_OPT_TOTAL_WTD_PRICE_OUT" hidden="1">"c18434"</definedName>
    <definedName name="IQ_OPT_TRANCHE_AGG_INT_VALUE_EXER" hidden="1">"c18430"</definedName>
    <definedName name="IQ_OPT_TRANCHE_AGG_INT_VALUE_OUT" hidden="1">"c18426"</definedName>
    <definedName name="IQ_OPT_TRANCHE_CLASS_NAME" hidden="1">"c18419"</definedName>
    <definedName name="IQ_OPT_TRANCHE_NUM_EXER" hidden="1">"c18428"</definedName>
    <definedName name="IQ_OPT_TRANCHE_NUM_OUT" hidden="1">"c18424"</definedName>
    <definedName name="IQ_OPT_TRANCHE_PLAN_NAME" hidden="1">"c18418"</definedName>
    <definedName name="IQ_OPT_TRANCHE_PLAN_RANK" hidden="1">"c18466"</definedName>
    <definedName name="IQ_OPT_TRANCHE_PRICE_HIGH" hidden="1">"c18421"</definedName>
    <definedName name="IQ_OPT_TRANCHE_PRICE_LOW" hidden="1">"c18420"</definedName>
    <definedName name="IQ_OPT_TRANCHE_PRICE_RANGE" hidden="1">"c18422"</definedName>
    <definedName name="IQ_OPT_TRANCHE_WTD_LIFE_EXER" hidden="1">"c18429"</definedName>
    <definedName name="IQ_OPT_TRANCHE_WTD_LIFE_OUT" hidden="1">"c18425"</definedName>
    <definedName name="IQ_OPT_TRANCHE_WTD_PRICE_EXER" hidden="1">"c18427"</definedName>
    <definedName name="IQ_OPT_TRANCHE_WTD_PRICE_OUT" hidden="1">"c18423"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REO_OTHER_FFIEC" hidden="1">"c12833"</definedName>
    <definedName name="IQ_ORGANIC_GROWTH_RATE" hidden="1">"c20429"</definedName>
    <definedName name="IQ_OTHER_ACCRUED_INT_PAYABLE_THRIFT" hidden="1">"c24908"</definedName>
    <definedName name="IQ_OTHER_ADDITIONS_ADJUSTED_ASSETS_THRIFT" hidden="1">"c25037"</definedName>
    <definedName name="IQ_OTHER_ADDITIONS_T1_FFIEC" hidden="1">"c13142"</definedName>
    <definedName name="IQ_OTHER_ADDITIONS_T1_THRIFT" hidden="1">"c25028"</definedName>
    <definedName name="IQ_OTHER_ADDITIONS_T2_FFIEC" hidden="1">"c13148"</definedName>
    <definedName name="IQ_OTHER_ADDITIONS_T2_THRIFT" hidden="1">"c25044"</definedName>
    <definedName name="IQ_OTHER_ADJ_CLAIM_ADJ_EXP_INCURRED" hidden="1">"c15878"</definedName>
    <definedName name="IQ_OTHER_ADJ_CLAIM_ADJ_EXP_PAID" hidden="1">"c15879"</definedName>
    <definedName name="IQ_OTHER_ADJ_RESERVE_BOP" hidden="1">"c15876"</definedName>
    <definedName name="IQ_OTHER_ADJ_RESERVES" hidden="1">"c15882"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DJUSTMENTS_SAVINGS_ASSOCIATION_THRIFT" hidden="1">"c25018"</definedName>
    <definedName name="IQ_OTHER_AFFO" hidden="1">"c16180"</definedName>
    <definedName name="IQ_OTHER_AMORT" hidden="1">"c5563"</definedName>
    <definedName name="IQ_OTHER_AMORT_BNK" hidden="1">"c5565"</definedName>
    <definedName name="IQ_OTHER_AMORT_BR" hidden="1">"c5566"</definedName>
    <definedName name="IQ_OTHER_AMORT_CM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OCI_THRIFT" hidden="1">"c24923"</definedName>
    <definedName name="IQ_OTHER_ASSETS" hidden="1">"c860"</definedName>
    <definedName name="IQ_OTHER_ASSETS_ADJUSTED_NCOS_TOTAL_THRIFT" hidden="1">"c25227"</definedName>
    <definedName name="IQ_OTHER_ASSETS_BNK" hidden="1">"c861"</definedName>
    <definedName name="IQ_OTHER_ASSETS_BR" hidden="1">"c862"</definedName>
    <definedName name="IQ_OTHER_ASSETS_CM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GVA_CHARGE_OFFS_THRIFT" hidden="1">"c25142"</definedName>
    <definedName name="IQ_OTHER_ASSETS_GVA_RECOVERIES_THRIFT" hidden="1">"c25165"</definedName>
    <definedName name="IQ_OTHER_ASSETS_GVA_THRIFT" hidden="1">"c24893"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SVA_PROVISIONS_TRANSFERS_FROM_GVA_TOTAL_THRIFT" hidden="1">"c25196"</definedName>
    <definedName name="IQ_OTHER_ASSETS_THRIFT" hidden="1">"c24892"</definedName>
    <definedName name="IQ_OTHER_ASSETS_TOTAL_FFIEC" hidden="1">"c12841"</definedName>
    <definedName name="IQ_OTHER_ASSETS_UTI" hidden="1">"c866"</definedName>
    <definedName name="IQ_OTHER_BALANCE_CHANGES_OTHER_MORTGAGE_BACKED_SEC_THRIFT" hidden="1">"c25316"</definedName>
    <definedName name="IQ_OTHER_BALANCE_CHANGES_PASS_THROUGH_MORTGAGE_BACKED_SEC_THRIFT" hidden="1">"c25313"</definedName>
    <definedName name="IQ_OTHER_BANK_OWNED_LIFE_INSURANCE_THRIFT" hidden="1">"c24886"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FFIEC" hidden="1">"c12862"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BORROWED_MONEY_LT_FFIEC" hidden="1">"c12865"</definedName>
    <definedName name="IQ_OTHER_BORROWED_MONEY_ST_FFIEC" hidden="1">"c12864"</definedName>
    <definedName name="IQ_OTHER_BORROWINGS_AMOUNTS_NETTED_THRIFT" hidden="1">"c25546"</definedName>
    <definedName name="IQ_OTHER_BORROWINGS_LESS_THAN_1_YR_TOTAL_ASSETS_THRIFT" hidden="1">"c25705"</definedName>
    <definedName name="IQ_OTHER_BORROWINGS_LEVEL_1_THRIFT" hidden="1">"c25542"</definedName>
    <definedName name="IQ_OTHER_BORROWINGS_LEVEL_2_THRIFT" hidden="1">"c25543"</definedName>
    <definedName name="IQ_OTHER_BORROWINGS_LEVEL_3_THRIFT" hidden="1">"c25544"</definedName>
    <definedName name="IQ_OTHER_BORROWINGS_THRIFT" hidden="1">"c24904"</definedName>
    <definedName name="IQ_OTHER_BORROWINGS_TOTAL_AFTER_NETTING_THRIFT" hidden="1">"c25547"</definedName>
    <definedName name="IQ_OTHER_BORROWINGS_TOTAL_BEFORE_NETTING_THRIFT" hidden="1">"c25545"</definedName>
    <definedName name="IQ_OTHER_BROKERED_TIME_DEPOSITS_THRIFT" hidden="1">"c25006"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CM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CM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MON_PREFERRED_STOCKS_ALL_OTHER_ACCOUNTS_THRIFT" hidden="1">"c25434"</definedName>
    <definedName name="IQ_OTHER_COMMON_PREFERRED_STOCKS_EMPLOYEE_BENEFIT_RETIREMENT_RELATED_ACCOUNTS_THRIFT" hidden="1">"c25418"</definedName>
    <definedName name="IQ_OTHER_COMMON_PREFERRED_STOCKS_PERSONAL_TRUST_AGENCY_INV_MANAGEMENT_ACCOUNTS_THRIFT" hidden="1">"c25402"</definedName>
    <definedName name="IQ_OTHER_COMPREHENSIVE_INCOME_FDIC" hidden="1">"c6503"</definedName>
    <definedName name="IQ_OTHER_COMPREHENSIVE_INCOME_FFIEC" hidden="1">"c12970"</definedName>
    <definedName name="IQ_OTHER_COMPREHENSIVE_INCOME_SAVINGS_ASSOCIATION_THRIFT" hidden="1">"c25016"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GROSS_LOANS_THRIFT" hidden="1">"c25728"</definedName>
    <definedName name="IQ_OTHER_CONSTRUCTION_LOANS_NON_ACCRUAL_FFIEC" hidden="1">"c13312"</definedName>
    <definedName name="IQ_OTHER_CONSTRUCTION_LOANS_RISK_BASED_CAPITAL_THRIFT" hidden="1">"c25713"</definedName>
    <definedName name="IQ_OTHER_CONSTRUCTION_LOANS_UNUSED_FFIEC" hidden="1">"c13245"</definedName>
    <definedName name="IQ_OTHER_CONSTRUCTION_RISK_BASED_FFIEC" hidden="1">"c13424"</definedName>
    <definedName name="IQ_OTHER_CONSUMER_INC_LEASE_RECEIVABLES_THRIFT" hidden="1">"c24865"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ONTINGENT_LIABILITIES_THRIFT" hidden="1">"c25621"</definedName>
    <definedName name="IQ_OTHER_CREDIT_CARD_LINES_UNUSED_FFIEC" hidden="1">"c25863"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FS_AMORT_COST_FFIEC" hidden="1">"c20503"</definedName>
    <definedName name="IQ_OTHER_DEBT_SEC_DOM_AFS_FAIR_VAL_FFIEC" hidden="1">"c20468"</definedName>
    <definedName name="IQ_OTHER_DEBT_SEC_DOM_AVAIL_SALE_FFIEC" hidden="1">"c12803"</definedName>
    <definedName name="IQ_OTHER_DEBT_SEC_FOREIGN_AFS_AMORT_COST_FFIEC" hidden="1">"c20504"</definedName>
    <definedName name="IQ_OTHER_DEBT_SEC_FOREIGN_AFS_FAIR_VAL_FFIEC" hidden="1">"c20469"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DOM_HTM_AMORT_COST_FFIEC" hidden="1">"c20451"</definedName>
    <definedName name="IQ_OTHER_DEBT_SECURITIES_DOM_HTM_FAIR_VAL_FFIEC" hidden="1">"c20486"</definedName>
    <definedName name="IQ_OTHER_DEBT_SECURITIES_FOREIGN_FFIEC" hidden="1">"c12790"</definedName>
    <definedName name="IQ_OTHER_DEBT_SECURITIES_FOREIGN_HTM_AMORT_COST_FFIEC" hidden="1">"c20452"</definedName>
    <definedName name="IQ_OTHER_DEBT_SECURITIES_FOREIGN_HTM_FAIR_VAL_FFIEC" hidden="1">"c20487"</definedName>
    <definedName name="IQ_OTHER_DEBT_SECURITIES_QUARTERLY_AVG_FFIEC" hidden="1">"c15473"</definedName>
    <definedName name="IQ_OTHER_DEDUCTIONS_ADJUSTED_ASSETS_THRIFT" hidden="1">"c25034"</definedName>
    <definedName name="IQ_OTHER_DEDUCTIONS_LEVERAGE_RATIO_FFIEC" hidden="1">"c13158"</definedName>
    <definedName name="IQ_OTHER_DEDUCTIONS_T1_THRIFT" hidden="1">"c25025"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POSITS_TOTAL_DEPOSITS" hidden="1">"c15724"</definedName>
    <definedName name="IQ_OTHER_DERIVATIVES_BENEFICIARY_FFIEC" hidden="1">"c13122"</definedName>
    <definedName name="IQ_OTHER_DERIVATIVES_GUARANTOR_FFIEC" hidden="1">"c13115"</definedName>
    <definedName name="IQ_OTHER_DEVELOPMENT_EXPENSE" hidden="1">"c16041"</definedName>
    <definedName name="IQ_OTHER_DEVELOPMENT_REVENUE" hidden="1">"c16025"</definedName>
    <definedName name="IQ_OTHER_DOMESTIC_DEBT_SECURITIES_FDIC" hidden="1">"c6302"</definedName>
    <definedName name="IQ_OTHER_EARNING" hidden="1">"c1609"</definedName>
    <definedName name="IQ_OTHER_ELIGIBLE_0_PCT_RISK_WEIGHT_THRIFT" hidden="1">"c25054"</definedName>
    <definedName name="IQ_OTHER_ELIGIBLE_20_PCT_RISK_WEIGHT_THRIFT" hidden="1">"c25061"</definedName>
    <definedName name="IQ_OTHER_ELIGIBLE_50_PCT_RISK_WEIGHT_THRIFT" hidden="1">"c25068"</definedName>
    <definedName name="IQ_OTHER_EPRA_NAV_ADJ" hidden="1">"c16004"</definedName>
    <definedName name="IQ_OTHER_EPRA_NNAV_ADJ" hidden="1">"c16009"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ONENTS_THRIFT" hidden="1">"c24924"</definedName>
    <definedName name="IQ_OTHER_EQUITY_CAPITAL_COMPS_FFIEC" hidden="1">"c12880"</definedName>
    <definedName name="IQ_OTHER_EQUITY_CM" hidden="1">"c888"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INSTRUMENTS_T2_THRIFT" hidden="1">"c25042"</definedName>
    <definedName name="IQ_OTHER_EQUITY_INV_NOT_CARRIED_FV_THRIFT" hidden="1">"c24881"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AD" hidden="1">"c16184"</definedName>
    <definedName name="IQ_OTHER_FEES_CHARGES_THRIFT" hidden="1">"c24768"</definedName>
    <definedName name="IQ_OTHER_FIDUCIARY_ACCOUNTS_INC_THRIFT" hidden="1">"c24808"</definedName>
    <definedName name="IQ_OTHER_FIDUCIARY_ACCOUNTS_MANAGED_ASSETS_THRIFT" hidden="1">"c25355"</definedName>
    <definedName name="IQ_OTHER_FIDUCIARY_ACCOUNTS_NONMANAGED_ASSETS_THRIFT" hidden="1">"c25376"</definedName>
    <definedName name="IQ_OTHER_FIDUCIARY_ACCOUNTS_NUMBER_MANAGED_ACCOUNTS_THRIFT" hidden="1">"c25366"</definedName>
    <definedName name="IQ_OTHER_FIDUCIARY_ACCOUNTS_NUMBER_NONMANAGED_ACCOUNTS_THRIFT" hidden="1">"c25388"</definedName>
    <definedName name="IQ_OTHER_FIDUCIARY_ACCOUNTS_RELATED_SERVICES_GROSS_LOSSES_MANAGED_ACCOUNTS_THRIFT" hidden="1">"c25464"</definedName>
    <definedName name="IQ_OTHER_FIDUCIARY_ACCOUNTS_RELATED_SERVICES_GROSS_LOSSES_NONMANAGED_ACCOUNTS_THRIFT" hidden="1">"c25469"</definedName>
    <definedName name="IQ_OTHER_FIDUCIARY_ACCOUNTS_RELATED_SERVICES_RECOVERIES_THRIFT" hidden="1">"c25474"</definedName>
    <definedName name="IQ_OTHER_FIDUCIARY_RELATED_SERVICES_INC_THRIFT" hidden="1">"c24810"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CM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CM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SURANCE_PREMIUMS_FFIEC" hidden="1">"c13071"</definedName>
    <definedName name="IQ_OTHER_INT_EARNING_DEPOSITS_THRIFT" hidden="1">"c24820"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CM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_SEC_INV_SEC_THRIFT" hidden="1">"c25675"</definedName>
    <definedName name="IQ_OTHER_INV_SEC_THRIFT" hidden="1">"c24826"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CM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CM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CM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CM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DEFERRED_INCOME_THRIFT" hidden="1">"c24912"</definedName>
    <definedName name="IQ_OTHER_LIABILITIES_FDIC" hidden="1">"c6347"</definedName>
    <definedName name="IQ_OTHER_LIABILITIES_FFIEC" hidden="1">"c12872"</definedName>
    <definedName name="IQ_OTHER_LIABILITIES_THRIFT" hidden="1">"c24905"</definedName>
    <definedName name="IQ_OTHER_LIABILITIES_TOTAL_FFIEC" hidden="1">"c12869"</definedName>
    <definedName name="IQ_OTHER_LINES_CREDIT_THRIFT" hidden="1">"c25611"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EASES_GROSS_LOANS_THRIFT" hidden="1">"c25735"</definedName>
    <definedName name="IQ_OTHER_LOANS_LEASES_RISK_BASED_CAPITAL_THRIFT" hidden="1">"c25720"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OTAL_LOANS" hidden="1">"c15716"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CM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FS_AMORT_COST_FFIEC" hidden="1">"c20498"</definedName>
    <definedName name="IQ_OTHER_MBS_AFS_FAIR_VAL_FFIEC" hidden="1">"c20463"</definedName>
    <definedName name="IQ_OTHER_MBS_AVAIL_SALE_FFIEC" hidden="1">"c12801"</definedName>
    <definedName name="IQ_OTHER_MBS_EXCLUDING_BONDS_THRIFT" hidden="1">"c24832"</definedName>
    <definedName name="IQ_OTHER_MBS_FFIEC" hidden="1">"c12787"</definedName>
    <definedName name="IQ_OTHER_MBS_HTM_AMORT_COST_FFIEC" hidden="1">"c20446"</definedName>
    <definedName name="IQ_OTHER_MBS_HTM_FAIR_VAL_FFIEC" hidden="1">"c20481"</definedName>
    <definedName name="IQ_OTHER_MBS_ISSUED_FNMA_GNMA_TRADING_DOM_FFIEC" hidden="1">"c12922"</definedName>
    <definedName name="IQ_OTHER_MBS_ISSUED_FNMA_GNMA_TRADING_FFIEC" hidden="1">"c12817"</definedName>
    <definedName name="IQ_OTHER_MBS_THRIFT" hidden="1">"c24835"</definedName>
    <definedName name="IQ_OTHER_MBS_TRADING_DOM_FFIEC" hidden="1">"c12923"</definedName>
    <definedName name="IQ_OTHER_MBS_TRADING_FFIEC" hidden="1">"c12818"</definedName>
    <definedName name="IQ_OTHER_MINING_REVENUE_COAL" hidden="1">"c15931"</definedName>
    <definedName name="IQ_OTHER_NET" hidden="1">"c1453"</definedName>
    <definedName name="IQ_OTHER_NO_NINT_INCOME_THRIFT" hidden="1">"c24780"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HRIFT" hidden="1">"c24792"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ADJUSTED_OPERATING_INCOME_THRIFT" hidden="1">"c25691"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CM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CM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NONINTEREST_INC_FOREIGN_FFIEC" hidden="1">"c15380"</definedName>
    <definedName name="IQ_OTHER_NOTES_BONDS_ALL_OTHER_ACCOUNTS_THRIFT" hidden="1">"c25432"</definedName>
    <definedName name="IQ_OTHER_NOTES_BONDS_EMPLOYEE_BENEFIT_RETIREMENT_RELATED_ACCOUNTS_THRIFT" hidden="1">"c25416"</definedName>
    <definedName name="IQ_OTHER_NOTES_BONDS_PERSONAL_TRUST_AGENCY_INV_MANAGEMENT_ACCOUNTS_THRIFT" hidden="1">"c25400"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CM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CM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CM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CM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ERATING_EXPENSES_ADJUSTED_OPERATING_INCOME_THRIFT" hidden="1">"c25687"</definedName>
    <definedName name="IQ_OTHER_OPERATING_EXPENSES_AVG_ASSETS_THRIFT" hidden="1">"c25664"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"c24739"</definedName>
    <definedName name="IQ_OTHER_PASS_THROUGH_THRIFT" hidden="1">"c24831"</definedName>
    <definedName name="IQ_OTHER_PC_WRITTEN" hidden="1">"c1006"</definedName>
    <definedName name="IQ_OTHER_PML_SECURED_FIRST_LIEN_1_4_DWELLING_UNITS_DUE_30_89_THRIFT" hidden="1">"c25242"</definedName>
    <definedName name="IQ_OTHER_PML_SECURED_FIRST_LIEN_1_4_DWELLING_UNITS_DUE_90_THRIFT" hidden="1">"c25263"</definedName>
    <definedName name="IQ_OTHER_PML_SECURED_FIRST_LIEN_1_4_DWELLING_UNITS_NON_ACCRUAL_THRIFT" hidden="1">"c25284"</definedName>
    <definedName name="IQ_OTHER_PML_SECURED_JUNIOR_LIEN_1_4_DWELLING_UNITS_DUE_30_89_THRIFT" hidden="1">"c25243"</definedName>
    <definedName name="IQ_OTHER_PML_SECURED_JUNIOR_LIEN_1_4_DWELLING_UNITS_DUE_90_THRIFT" hidden="1">"c25264"</definedName>
    <definedName name="IQ_OTHER_PML_SECURED_JUNIOR_LIEN_1_4_DWELLING_UNITS_NON_ACCRUAL_THRIFT" hidden="1">"c25285"</definedName>
    <definedName name="IQ_OTHER_PROP" hidden="1">"c8764"</definedName>
    <definedName name="IQ_OTHER_PROP_OPERATING_EXPENSE" hidden="1">"c16043"</definedName>
    <definedName name="IQ_OTHER_PROP_OPERATING_REVENUE" hidden="1">"c16027"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NTAL" hidden="1">"c26971"</definedName>
    <definedName name="IQ_OTHER_REPOSSESSED_ASSETS_ADJUSTED_NCOS_TOTAL_THRIFT" hidden="1">"c25224"</definedName>
    <definedName name="IQ_OTHER_REPOSSESSED_ASSETS_GVA_CHARGE_OFFS_THRIFT" hidden="1">"c25139"</definedName>
    <definedName name="IQ_OTHER_REPOSSESSED_ASSETS_SVA_PROVISIONS_TRANSFERS_FROM_GVA_TOTAL_THRIFT" hidden="1">"c25193"</definedName>
    <definedName name="IQ_OTHER_RESIDUAL_INTERESTS_THRIFT" hidden="1">"c24940"</definedName>
    <definedName name="IQ_OTHER_REV" hidden="1">"c1010"</definedName>
    <definedName name="IQ_OTHER_REV_BR" hidden="1">"c1011"</definedName>
    <definedName name="IQ_OTHER_REV_CM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CM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SERVICE_CHARGES_COMM_FEE_DOM_FFIEC" hidden="1">"c25822"</definedName>
    <definedName name="IQ_OTHER_SHORT_TERM_OBLIGATIONS_ALL_OTHER_ACCOUNTS_THRIFT" hidden="1">"c25431"</definedName>
    <definedName name="IQ_OTHER_SHORT_TERM_OBLIGATIONS_EMPLOYEE_BENEFIT_RETIREMENT_RELATED_ACCOUNTS_THRIFT" hidden="1">"c25415"</definedName>
    <definedName name="IQ_OTHER_SHORT_TERM_OBLIGATIONS_PERSONAL_TRUST_AGENCY_INV_MANAGEMENT_ACCOUNTS_THRIFT" hidden="1">"c25399"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EMP_IMPAIR_LOSS_HTM_AFS_FFIEC" hidden="1">"c25845"</definedName>
    <definedName name="IQ_OTHER_TIME_DEPOSITS_THRIFT" hidden="1">"c25569"</definedName>
    <definedName name="IQ_OTHER_TRADING_ASSETS_FAIR_VALUE_TOT_FFIEC" hidden="1">"c15404"</definedName>
    <definedName name="IQ_OTHER_TRADING_ASSETS_FFIEC" hidden="1">"c12826"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ASSETS_TOTAL_FFIEC" hidden="1">"c12937"</definedName>
    <definedName name="IQ_OTHER_TRADING_LIABILITIES_FAIR_VALUE_TOT_FFIEC" hidden="1">"c15408"</definedName>
    <definedName name="IQ_OTHER_TRADING_LIABILITIES_FFIEC" hidden="1">"c12860"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CM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CM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ALANCE_CONTRACTUAL_PURCHASED_CREDIT_IMPAIRED_LOANS_THRIFT" hidden="1">"c25237"</definedName>
    <definedName name="IQ_OUTSTANDING_BS_DATE" hidden="1">"c2128"</definedName>
    <definedName name="IQ_OUTSTANDING_CHECKS_DRAWN_AGAINST_FHLBS_FEDERAL_RESERVE_BANKS_THRIFT" hidden="1">"c25571"</definedName>
    <definedName name="IQ_OUTSTANDING_COMMITMENTS_LOANS_CLOSED_LOANS_IN_PROCESS_MORTGAGE_CONSTRUCTION_LOANS_THRIFT" hidden="1">"c25591"</definedName>
    <definedName name="IQ_OUTSTANDING_COMMITMENTS_LOANS_CLOSED_LOANS_IN_PROCESS_NON_MORTGAGE_LOANS_THRIFT" hidden="1">"c25593"</definedName>
    <definedName name="IQ_OUTSTANDING_COMMITMENTS_LOANS_CLOSED_LOANS_IN_PROCESS_OTHER_MORTGAGE_LOANS_THRIFT" hidden="1">"c25592"</definedName>
    <definedName name="IQ_OUTSTANDING_COMMITMENTS_ORIGINATE_MORTGAGE_LOANS_SECURED_1_4_DWELLING_UNITS_THRIFT" hidden="1">"c25595"</definedName>
    <definedName name="IQ_OUTSTANDING_COMMITMENTS_ORIGINATE_MORTGAGE_LOANS_SECURED_ALL_OTHER_RE_THRIFT" hidden="1">"c25597"</definedName>
    <definedName name="IQ_OUTSTANDING_COMMITMENTS_ORIGINATE_MORTGAGE_LOANS_SECURED_MULTIFAMILY_5_MORE_DWELLING_UNITS_THRIFT" hidden="1">"c25596"</definedName>
    <definedName name="IQ_OUTSTANDING_COMMITMENTS_ORIGINATE_MORTGAGE_LOANS_SECURED_RE_THRIFT" hidden="1">"c25594"</definedName>
    <definedName name="IQ_OUTSTANDING_COMMITMENTS_ORIGINATE_NON_MORTGAGE_LOANS_THRIFT" hidden="1">"c25598"</definedName>
    <definedName name="IQ_OUTSTANDING_COMMITMENTS_PURCHASE_INV_SEC_THRIFT" hidden="1">"c25603"</definedName>
    <definedName name="IQ_OUTSTANDING_COMMITMENTS_PURCHASE_LOANS_THRIFT" hidden="1">"c25599"</definedName>
    <definedName name="IQ_OUTSTANDING_COMMITMENTS_PURCHASE_MORTGAGE_BACKED_SEC_THRIFT" hidden="1">"c25601"</definedName>
    <definedName name="IQ_OUTSTANDING_COMMITMENTS_SELL_INV_SEC_THRIFT" hidden="1">"c25604"</definedName>
    <definedName name="IQ_OUTSTANDING_COMMITMENTS_SELL_LOANS_THRIFT" hidden="1">"c25600"</definedName>
    <definedName name="IQ_OUTSTANDING_COMMITMENTS_SELL_MORTGAGE_BACKED_SEC_THRIFT" hidden="1">"c25602"</definedName>
    <definedName name="IQ_OUTSTANDING_COMMITMENTS_UNDISBURSED_BALANCE_LOANS_CLOSED_THRIFT" hidden="1">"c25590"</definedName>
    <definedName name="IQ_OUTSTANDING_FILING_DATE" hidden="1">"c2127"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DJUSTED_OPERATING_INCOME_THRIFT" hidden="1">"c25684"</definedName>
    <definedName name="IQ_OVERHEAD_EXP_AVG_ASSETS_FFIEC" hidden="1">"c13361"</definedName>
    <definedName name="IQ_OVERHEAD_EXP_AVG_ASSETS_THRIFT" hidden="1">"c25652"</definedName>
    <definedName name="IQ_OVERHEAD_EXP_REV_FFIEC" hidden="1">"c13494"</definedName>
    <definedName name="IQ_OVERHEAD_EXP_REVENUES_THRIFT" hidden="1">"c25683"</definedName>
    <definedName name="IQ_OVERHEAD_LESS_NON_INT_INCOME_ADJUSTED_OPERATING_INCOME_THRIFT" hidden="1">"c25692"</definedName>
    <definedName name="IQ_OVERHEAD_LESS_NON_INT_INCOME_AVG_ASSETS_THRIFT" hidden="1">"c25665"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D_RESERVES_COAL" hidden="1">"c15916"</definedName>
    <definedName name="IQ_OWNED_RESERVES_TO_TOTAL_RESERVES_COAL" hidden="1">"c15957"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S_THROUGH_MBS_THRIFT" hidden="1">"c24829"</definedName>
    <definedName name="IQ_PASSBOOK_ACCOUNTS_INC_NONDEMAND_ESCROWS_THRIFT" hidden="1">"c25000"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ST_DUE_LOANS_GROSS_LOANS_THRIFT" hidden="1">"c25737"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BV_FWD" hidden="1">"c15235"</definedName>
    <definedName name="IQ_PBV_FWD_CIQ" hidden="1">"c15236"</definedName>
    <definedName name="IQ_PC_EARNED" hidden="1">"c2749"</definedName>
    <definedName name="IQ_PC_GAAP_COMBINED_RATIO" hidden="1">"c20392"</definedName>
    <definedName name="IQ_PC_GAAP_COMBINED_RATIO_EXCL_CL" hidden="1">"c20393"</definedName>
    <definedName name="IQ_PC_GAAP_EXPENSE_RATIO" hidden="1">"c20391"</definedName>
    <definedName name="IQ_PC_GAAP_LOSS" hidden="1">"c20390"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FUND_DATE_EST" hidden="1">"c19174"</definedName>
    <definedName name="IQ_PE_FUND_DATE_MONTH" hidden="1">"c19172"</definedName>
    <definedName name="IQ_PE_FUND_DATE_YEAR" hidden="1">"c18925"</definedName>
    <definedName name="IQ_PE_FUND_FAMILIES" hidden="1">"c18917"</definedName>
    <definedName name="IQ_PE_FUND_FAMILIES_ID" hidden="1">"c18918"</definedName>
    <definedName name="IQ_PE_FUND_FAMILIES_REL" hidden="1">"c18919"</definedName>
    <definedName name="IQ_PE_FUND_ID" hidden="1">"c18923"</definedName>
    <definedName name="IQ_PE_FUND_INVEST_AMOUNT" hidden="1">"c18933"</definedName>
    <definedName name="IQ_PE_FUND_INVEST_DATE_MONTH" hidden="1">"c19173"</definedName>
    <definedName name="IQ_PE_FUND_INVEST_DATE_YEAR" hidden="1">"c18934"</definedName>
    <definedName name="IQ_PE_FUND_NAME" hidden="1">"c18922"</definedName>
    <definedName name="IQ_PE_FUND_SIZE" hidden="1">"c18924"</definedName>
    <definedName name="IQ_PE_FUND_STAGE" hidden="1">"c18928"</definedName>
    <definedName name="IQ_PE_FUND_TARGET_MAX" hidden="1">"c18927"</definedName>
    <definedName name="IQ_PE_FUND_TARGET_MIN" hidden="1">"c18926"</definedName>
    <definedName name="IQ_PE_FUND_TRANSACTION_COMMENTS" hidden="1">"c18931"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NETRATION_BASIC_CABLE" hidden="1">"c16204"</definedName>
    <definedName name="IQ_PENETRATION_BBAND" hidden="1">"c2852"</definedName>
    <definedName name="IQ_PENETRATION_BBAND_THP" hidden="1">"c2851"</definedName>
    <definedName name="IQ_PENETRATION_PHONE" hidden="1">"c2853"</definedName>
    <definedName name="IQ_PENETRATION_VIDEO" hidden="1">"c2850"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ASSETS_TEST_THRIFT" hidden="1">"c25587"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CFPS_12MONTHS" hidden="1">"c1812"</definedName>
    <definedName name="IQ_PERCENT_CHANGE_EST_CFPS_12MONTHS_CIQ" hidden="1">"c3755"</definedName>
    <definedName name="IQ_PERCENT_CHANGE_EST_CFPS_18MONTHS" hidden="1">"c1813"</definedName>
    <definedName name="IQ_PERCENT_CHANGE_EST_CFPS_18MONTHS_CIQ" hidden="1">"c3756"</definedName>
    <definedName name="IQ_PERCENT_CHANGE_EST_CFPS_3MONTHS" hidden="1">"c1809"</definedName>
    <definedName name="IQ_PERCENT_CHANGE_EST_CFPS_3MONTHS_CIQ" hidden="1">"c3752"</definedName>
    <definedName name="IQ_PERCENT_CHANGE_EST_CFPS_6MONTHS" hidden="1">"c1810"</definedName>
    <definedName name="IQ_PERCENT_CHANGE_EST_CFPS_6MONTHS_CIQ" hidden="1">"c3753"</definedName>
    <definedName name="IQ_PERCENT_CHANGE_EST_CFPS_9MONTHS" hidden="1">"c1811"</definedName>
    <definedName name="IQ_PERCENT_CHANGE_EST_CFPS_9MONTHS_CIQ" hidden="1">"c3754"</definedName>
    <definedName name="IQ_PERCENT_CHANGE_EST_CFPS_DAY" hidden="1">"c1806"</definedName>
    <definedName name="IQ_PERCENT_CHANGE_EST_CFPS_DAY_CIQ" hidden="1">"c3750"</definedName>
    <definedName name="IQ_PERCENT_CHANGE_EST_CFPS_MONTH" hidden="1">"c1808"</definedName>
    <definedName name="IQ_PERCENT_CHANGE_EST_CFPS_MONTH_CIQ" hidden="1">"c3751"</definedName>
    <definedName name="IQ_PERCENT_CHANGE_EST_CFPS_WEEK" hidden="1">"c1807"</definedName>
    <definedName name="IQ_PERCENT_CHANGE_EST_CFPS_WEEK_CIQ" hidden="1">"c3793"</definedName>
    <definedName name="IQ_PERCENT_CHANGE_EST_DPS_12MONTHS" hidden="1">"c1820"</definedName>
    <definedName name="IQ_PERCENT_CHANGE_EST_DPS_12MONTHS_CIQ" hidden="1">"c3762"</definedName>
    <definedName name="IQ_PERCENT_CHANGE_EST_DPS_18MONTHS" hidden="1">"c1821"</definedName>
    <definedName name="IQ_PERCENT_CHANGE_EST_DPS_18MONTHS_CIQ" hidden="1">"c3763"</definedName>
    <definedName name="IQ_PERCENT_CHANGE_EST_DPS_3MONTHS" hidden="1">"c1817"</definedName>
    <definedName name="IQ_PERCENT_CHANGE_EST_DPS_3MONTHS_CIQ" hidden="1">"c3759"</definedName>
    <definedName name="IQ_PERCENT_CHANGE_EST_DPS_6MONTHS" hidden="1">"c1818"</definedName>
    <definedName name="IQ_PERCENT_CHANGE_EST_DPS_6MONTHS_CIQ" hidden="1">"c3760"</definedName>
    <definedName name="IQ_PERCENT_CHANGE_EST_DPS_9MONTHS" hidden="1">"c1819"</definedName>
    <definedName name="IQ_PERCENT_CHANGE_EST_DPS_9MONTHS_CIQ" hidden="1">"c3761"</definedName>
    <definedName name="IQ_PERCENT_CHANGE_EST_DPS_DAY" hidden="1">"c1814"</definedName>
    <definedName name="IQ_PERCENT_CHANGE_EST_DPS_DAY_CIQ" hidden="1">"c3757"</definedName>
    <definedName name="IQ_PERCENT_CHANGE_EST_DPS_MONTH" hidden="1">"c1816"</definedName>
    <definedName name="IQ_PERCENT_CHANGE_EST_DPS_MONTH_CIQ" hidden="1">"c3758"</definedName>
    <definedName name="IQ_PERCENT_CHANGE_EST_DPS_WEEK" hidden="1">"c1815"</definedName>
    <definedName name="IQ_PERCENT_CHANGE_EST_DPS_WEEK_CIQ" hidden="1">"c3794"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FFO_12MONTHS" hidden="1">"c1828"</definedName>
    <definedName name="IQ_PERCENT_CHANGE_EST_FFO_12MONTHS_THOM" hidden="1">"c5248"</definedName>
    <definedName name="IQ_PERCENT_CHANGE_EST_FFO_18MONTHS" hidden="1">"c1829"</definedName>
    <definedName name="IQ_PERCENT_CHANGE_EST_FFO_18MONTHS_THOM" hidden="1">"c5249"</definedName>
    <definedName name="IQ_PERCENT_CHANGE_EST_FFO_3MONTHS" hidden="1">"c1825"</definedName>
    <definedName name="IQ_PERCENT_CHANGE_EST_FFO_3MONTHS_THOM" hidden="1">"c5245"</definedName>
    <definedName name="IQ_PERCENT_CHANGE_EST_FFO_6MONTHS" hidden="1">"c1826"</definedName>
    <definedName name="IQ_PERCENT_CHANGE_EST_FFO_6MONTHS_THOM" hidden="1">"c5246"</definedName>
    <definedName name="IQ_PERCENT_CHANGE_EST_FFO_9MONTHS" hidden="1">"c1827"</definedName>
    <definedName name="IQ_PERCENT_CHANGE_EST_FFO_9MONTHS_THOM" hidden="1">"c5247"</definedName>
    <definedName name="IQ_PERCENT_CHANGE_EST_FFO_DAY" hidden="1">"c1822"</definedName>
    <definedName name="IQ_PERCENT_CHANGE_EST_FFO_DAY_THOM" hidden="1">"c5243"</definedName>
    <definedName name="IQ_PERCENT_CHANGE_EST_FFO_MONTH" hidden="1">"c1824"</definedName>
    <definedName name="IQ_PERCENT_CHANGE_EST_FFO_MONTH_THOM" hidden="1">"c5244"</definedName>
    <definedName name="IQ_PERCENT_CHANGE_EST_FFO_SHARE_12MONTHS" hidden="1">"c1828"</definedName>
    <definedName name="IQ_PERCENT_CHANGE_EST_FFO_SHARE_12MONTHS_CIQ" hidden="1">"c3769"</definedName>
    <definedName name="IQ_PERCENT_CHANGE_EST_FFO_SHARE_18MONTHS" hidden="1">"c1829"</definedName>
    <definedName name="IQ_PERCENT_CHANGE_EST_FFO_SHARE_18MONTHS_CIQ" hidden="1">"c3770"</definedName>
    <definedName name="IQ_PERCENT_CHANGE_EST_FFO_SHARE_3MONTHS" hidden="1">"c1825"</definedName>
    <definedName name="IQ_PERCENT_CHANGE_EST_FFO_SHARE_3MONTHS_CIQ" hidden="1">"c3766"</definedName>
    <definedName name="IQ_PERCENT_CHANGE_EST_FFO_SHARE_6MONTHS" hidden="1">"c1826"</definedName>
    <definedName name="IQ_PERCENT_CHANGE_EST_FFO_SHARE_6MONTHS_CIQ" hidden="1">"c3767"</definedName>
    <definedName name="IQ_PERCENT_CHANGE_EST_FFO_SHARE_9MONTHS" hidden="1">"c1827"</definedName>
    <definedName name="IQ_PERCENT_CHANGE_EST_FFO_SHARE_9MONTHS_CIQ" hidden="1">"c3768"</definedName>
    <definedName name="IQ_PERCENT_CHANGE_EST_FFO_SHARE_DAY" hidden="1">"c1822"</definedName>
    <definedName name="IQ_PERCENT_CHANGE_EST_FFO_SHARE_DAY_CIQ" hidden="1">"c3764"</definedName>
    <definedName name="IQ_PERCENT_CHANGE_EST_FFO_SHARE_MONTH" hidden="1">"c1824"</definedName>
    <definedName name="IQ_PERCENT_CHANGE_EST_FFO_SHARE_MONTH_CIQ" hidden="1">"c3765"</definedName>
    <definedName name="IQ_PERCENT_CHANGE_EST_FFO_SHARE_WEEK" hidden="1">"c1823"</definedName>
    <definedName name="IQ_PERCENT_CHANGE_EST_FFO_SHARE_WEEK_CIQ" hidden="1">"c3795"</definedName>
    <definedName name="IQ_PERCENT_CHANGE_EST_FFO_WEEK" hidden="1">"c1823"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INSURED_FDIC" hidden="1">"c6374"</definedName>
    <definedName name="IQ_PERCENTAGE_RENT" hidden="1">"c16018"</definedName>
    <definedName name="IQ_PERCENTAGE_RENT_RENTAL_REVENUE" hidden="1">"c16063"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DATE_THRIFT" hidden="1">"c25897"</definedName>
    <definedName name="IQ_PERIODLENGTH_AP" hidden="1">"c11746"</definedName>
    <definedName name="IQ_PERIODLENGTH_CF" hidden="1">"c1502"</definedName>
    <definedName name="IQ_PERIODLENGTH_IS" hidden="1">"c1503"</definedName>
    <definedName name="IQ_PERMANENT_1_4_DWELLING_UNITS_ALL_OTHER_SECURED_FIRST_LIENS_THRIFT" hidden="1">"c24844"</definedName>
    <definedName name="IQ_PERMANENT_1_4_DWELLING_UNITS_ALL_OTHER_SECURED_JUNIOR_LIENS_THRIFT" hidden="1">"c24845"</definedName>
    <definedName name="IQ_PERMANENT_1_4_DWELLING_UNITS_REVOLVING_OPEN_END_LOANS_THRIFT" hidden="1">"c24843"</definedName>
    <definedName name="IQ_PERMANENT_LAND_THRIFT" hidden="1">"c24848"</definedName>
    <definedName name="IQ_PERMANENT_LOANS_SECURED_1_4_DWELLING_UNITS_FORECLOSED_DURING_QUARTER_THRIFT" hidden="1">"c25232"</definedName>
    <definedName name="IQ_PERMANENT_LOANS_SECURED_LAND_FORECLOSED_DURING_QUARTER_THRIFT" hidden="1">"c25235"</definedName>
    <definedName name="IQ_PERMANENT_LOANS_SECURED_MULTIFAMILY_5_MORE_DWELLING_UNITS_FORECLOSED_DURING_QUARTER_THRIFT" hidden="1">"c25233"</definedName>
    <definedName name="IQ_PERMANENT_LOANS_SECURED_NONRES_EXCEPT_LAND_FORECLOSED_DURING_QUARTER_THRIFT" hidden="1">"c25234"</definedName>
    <definedName name="IQ_PERMANENT_MORTGAGE_LOANS_THRIFT" hidden="1">"c24842"</definedName>
    <definedName name="IQ_PERMANENT_MULTIFAMILY_5_MORE_DWELLING_UNITS_THRIFT" hidden="1">"c24846"</definedName>
    <definedName name="IQ_PERMANENT_NONRES_PROPERTY_EXCEPT_LAND_THRIFT" hidden="1">"c24847"</definedName>
    <definedName name="IQ_PERPETUAL_PREF_STOCK_THRIFT" hidden="1">"c24914"</definedName>
    <definedName name="IQ_PERSON_INCOME" hidden="1">"c20954"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CURRENT_TAXES" hidden="1">"c20956"</definedName>
    <definedName name="IQ_PERSONAL_DISPOSABLE_INCOME" hidden="1">"c20957"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ASSETS" hidden="1">"c20958"</definedName>
    <definedName name="IQ_PERSONAL_INCOME_ASSETS_DIVIDEND" hidden="1">"c20959"</definedName>
    <definedName name="IQ_PERSONAL_INCOME_ASSETS_INTEREST" hidden="1">"c20960"</definedName>
    <definedName name="IQ_PERSONAL_INCOME_CHAINED_DOLLARS" hidden="1">"c20961"</definedName>
    <definedName name="IQ_PERSONAL_INCOME_COMPENSATION" hidden="1">"c20962"</definedName>
    <definedName name="IQ_PERSONAL_INCOME_EMPLOYER_GOVT_INSURANCE_CONTRIBUTION" hidden="1">"c20963"</definedName>
    <definedName name="IQ_PERSONAL_INCOME_EMPLOYER_PENSION_CONTRIBUTION" hidden="1">"c20964"</definedName>
    <definedName name="IQ_PERSONAL_INCOME_EX_TRANSFER_RECEIPTS" hidden="1">"c20965"</definedName>
    <definedName name="IQ_PERSONAL_INCOME_FC" hidden="1">"c7823"</definedName>
    <definedName name="IQ_PERSONAL_INCOME_GOVT_CONTRIBUTION_SOCIAL_INS" hidden="1">"c20966"</definedName>
    <definedName name="IQ_PERSONAL_INCOME_GOVT_SOCIAL_BENEFITS" hidden="1">"c20967"</definedName>
    <definedName name="IQ_PERSONAL_INCOME_GOVT_SOCIAL_BENEFITS_FAMILY" hidden="1">"c20968"</definedName>
    <definedName name="IQ_PERSONAL_INCOME_GOVT_SOCIAL_BENEFITS_OTHER" hidden="1">"c20969"</definedName>
    <definedName name="IQ_PERSONAL_INCOME_GOVT_SOCIAL_BENEFITS_UNEMPLOYMENT" hidden="1">"c20970"</definedName>
    <definedName name="IQ_PERSONAL_INCOME_GOVT_SOCIAL_BENEFITS_VETERANS" hidden="1">"c20971"</definedName>
    <definedName name="IQ_PERSONAL_INCOME_GOVT_SOCIAL_BENEFITS_WELFARE" hidden="1">"c20972"</definedName>
    <definedName name="IQ_PERSONAL_INCOME_PCT_CHANGE" hidden="1">"c20973"</definedName>
    <definedName name="IQ_PERSONAL_INCOME_PCT_CHANGE_CHAINED_DOLLARS" hidden="1">"c20974"</definedName>
    <definedName name="IQ_PERSONAL_INCOME_PER_CAPITA" hidden="1">"c20975"</definedName>
    <definedName name="IQ_PERSONAL_INCOME_PER_CAPITA_CHAINED_DOLLARS" hidden="1">"c20976"</definedName>
    <definedName name="IQ_PERSONAL_INCOME_POP" hidden="1">"c7163"</definedName>
    <definedName name="IQ_PERSONAL_INCOME_POP_FC" hidden="1">"c8043"</definedName>
    <definedName name="IQ_PERSONAL_INCOME_PROPIETOR" hidden="1">"c20977"</definedName>
    <definedName name="IQ_PERSONAL_INCOME_PROPIETOR_FARM" hidden="1">"c20978"</definedName>
    <definedName name="IQ_PERSONAL_INCOME_PROPIETOR_NONFARM" hidden="1">"c20979"</definedName>
    <definedName name="IQ_PERSONAL_INCOME_RENTAL" hidden="1">"c20980"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TRANSFER_RECEIPTS" hidden="1">"c20981"</definedName>
    <definedName name="IQ_PERSONAL_INCOME_TRANSFER_RECEIPTS_OTHER" hidden="1">"c20982"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WAGE_SUPPLEMENTS" hidden="1">"c20983"</definedName>
    <definedName name="IQ_PERSONAL_INCOME_WAGES" hidden="1">"c20984"</definedName>
    <definedName name="IQ_PERSONAL_INCOME_WAGES_GOVT" hidden="1">"c20985"</definedName>
    <definedName name="IQ_PERSONAL_INCOME_WAGES_PRIVATE_INDUSTRY" hidden="1">"c20986"</definedName>
    <definedName name="IQ_PERSONAL_INCOME_YOY" hidden="1">"c7383"</definedName>
    <definedName name="IQ_PERSONAL_INCOME_YOY_FC" hidden="1">"c8263"</definedName>
    <definedName name="IQ_PERSONAL_INTEREST_PAYMENTS" hidden="1">"c20987"</definedName>
    <definedName name="IQ_PERSONAL_OUTLAYS" hidden="1">"c20988"</definedName>
    <definedName name="IQ_PERSONAL_SAVINGS" hidden="1">"c20989"</definedName>
    <definedName name="IQ_PERSONAL_SAVINGS_PCT_INCOME" hidden="1">"c20990"</definedName>
    <definedName name="IQ_PERSONAL_TRANSFER_PAYMENTS" hidden="1">"c20991"</definedName>
    <definedName name="IQ_PERSONAL_TRANSFER_PAYMENTS_GOVT" hidden="1">"c20992"</definedName>
    <definedName name="IQ_PERSONAL_TRANSFER_PAYMENTS_WORLD" hidden="1">"c20993"</definedName>
    <definedName name="IQ_PERSONAL_TRUST_AGENCY_ACCOUNTS_GROSS_LOSSES_MANAGED_ACCOUNTS_THRIFT" hidden="1">"c25461"</definedName>
    <definedName name="IQ_PERSONAL_TRUST_AGENCY_ACCOUNTS_GROSS_LOSSES_NONMANAGED_ACCOUNTS_THRIFT" hidden="1">"c25466"</definedName>
    <definedName name="IQ_PERSONAL_TRUST_AGENCY_ACCOUNTS_INC_THRIFT" hidden="1">"c24801"</definedName>
    <definedName name="IQ_PERSONAL_TRUST_AGENCY_ACCOUNTS_MANAGED_ASSETS_THRIFT" hidden="1">"c25347"</definedName>
    <definedName name="IQ_PERSONAL_TRUST_AGENCY_ACCOUNTS_NONMANAGED_ASSETS_THRIFT" hidden="1">"c25368"</definedName>
    <definedName name="IQ_PERSONAL_TRUST_AGENCY_ACCOUNTS_NUMBER_MANAGED_ACCOUNTS_THRIFT" hidden="1">"c25358"</definedName>
    <definedName name="IQ_PERSONAL_TRUST_AGENCY_ACCOUNTS_NUMBER_NONMANAGED_ACCOUNTS_THRIFT" hidden="1">"c25380"</definedName>
    <definedName name="IQ_PERSONAL_TRUST_AGENCY_ACCOUNTS_RECOVERIES_THRIFT" hidden="1">"c25471"</definedName>
    <definedName name="IQ_PERSONNEL_EXP_ADJUSTED_OPERATING_INCOME_THRIFT" hidden="1">"c25685"</definedName>
    <definedName name="IQ_PERSONNEL_EXP_AVG_ASSETS_FFIEC" hidden="1">"c13371"</definedName>
    <definedName name="IQ_PERSONNEL_EXP_AVG_ASSETS_THRIFT" hidden="1">"c25662"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LOANS_THRIFT" hidden="1">"c24936"</definedName>
    <definedName name="IQ_PLEDGED_SEC_INVEST_SECURITIES_FFIEC" hidden="1">"c13467"</definedName>
    <definedName name="IQ_PLEDGED_SECURITIES_FDIC" hidden="1">"c6401"</definedName>
    <definedName name="IQ_PLEDGED_SECURITIES_FFIEC" hidden="1">"c24743"</definedName>
    <definedName name="IQ_PLEDGED_TRADING_ASSETS_THRIFT" hidden="1">"c24937"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L_SECURED_LAND_DUE_30_89_THRIFT" hidden="1">"c25246"</definedName>
    <definedName name="IQ_PML_SECURED_LAND_DUE_90_THRIFT" hidden="1">"c25267"</definedName>
    <definedName name="IQ_PML_SECURED_LAND_NON_ACCRUAL_THRIFT" hidden="1">"c25288"</definedName>
    <definedName name="IQ_PML_SECURED_MULTIFAMILY_5_MORE_DWELLING_UNITS_DUE_30_89_THRIFT" hidden="1">"c25244"</definedName>
    <definedName name="IQ_PML_SECURED_MULTIFAMILY_5_MORE_DWELLING_UNITS_DUE_90_THRIFT" hidden="1">"c25265"</definedName>
    <definedName name="IQ_PML_SECURED_MULTIFAMILY_5_MORE_DWELLING_UNITS_NON_ACCRUAL_THRIFT" hidden="1">"c25286"</definedName>
    <definedName name="IQ_PML_SECURED_NONRES_PROPERTY_EXCEPT_LAND_DUE_30_89_THRIFT" hidden="1">"c25245"</definedName>
    <definedName name="IQ_PML_SECURED_NONRES_PROPERTY_EXCEPT_LAND_DUE_90_THRIFT" hidden="1">"c25266"</definedName>
    <definedName name="IQ_PML_SECURED_NONRES_PROPERTY_EXCEPT_LAND_NON_ACCRUAL_THRIFT" hidden="1">"c25287"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PULATION" hidden="1">"c20994"</definedName>
    <definedName name="IQ_POPULATION_FC" hidden="1">"c20995"</definedName>
    <definedName name="IQ_PORTFOLIO_INVESTMENT_NET" hidden="1">"c20996"</definedName>
    <definedName name="IQ_PORTFOLIO_SHARES" hidden="1">"c19116"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CIQ" hidden="1">"c5064"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CM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CM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CM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DEPOSITS_FFIEC" hidden="1">"c15312"</definedName>
    <definedName name="IQ_PREFERRED_DEPOSITS_THRIFT" hidden="1">"c24996"</definedName>
    <definedName name="IQ_PREFERRED_FDIC" hidden="1">"c6349"</definedName>
    <definedName name="IQ_PREFERRED_LIST" hidden="1">"c13506"</definedName>
    <definedName name="IQ_PREFERRED_STOCK_DIVIDENDS_DECLARED_SAVINGS_ASSOCIATION_THRIFT" hidden="1">"c25010"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SIDENT_ID" hidden="1">"c15216"</definedName>
    <definedName name="IQ_PRESIDENT_NAME" hidden="1">"c15215"</definedName>
    <definedName name="IQ_PRETAX_GW_INC_EST" hidden="1">"c1702"</definedName>
    <definedName name="IQ_PRETAX_GW_INC_EST_CIQ" hidden="1">"c4688"</definedName>
    <definedName name="IQ_PRETAX_GW_INC_EST_DOWN_2MONTH" hidden="1">"c16417"</definedName>
    <definedName name="IQ_PRETAX_GW_INC_EST_DOWN_2MONTH_CIQ" hidden="1">"c16705"</definedName>
    <definedName name="IQ_PRETAX_GW_INC_EST_DOWN_3MONTH" hidden="1">"c16421"</definedName>
    <definedName name="IQ_PRETAX_GW_INC_EST_DOWN_3MONTH_CIQ" hidden="1">"c16709"</definedName>
    <definedName name="IQ_PRETAX_GW_INC_EST_DOWN_MONTH" hidden="1">"c16413"</definedName>
    <definedName name="IQ_PRETAX_GW_INC_EST_DOWN_MONTH_CIQ" hidden="1">"c16701"</definedName>
    <definedName name="IQ_PRETAX_GW_INC_EST_NOTE" hidden="1">"c17513"</definedName>
    <definedName name="IQ_PRETAX_GW_INC_EST_NOTE_CIQ" hidden="1">"c17466"</definedName>
    <definedName name="IQ_PRETAX_GW_INC_EST_NUM_ANALYSTS_2MONTH" hidden="1">"c16415"</definedName>
    <definedName name="IQ_PRETAX_GW_INC_EST_NUM_ANALYSTS_2MONTH_CIQ" hidden="1">"c16703"</definedName>
    <definedName name="IQ_PRETAX_GW_INC_EST_NUM_ANALYSTS_3MONTH" hidden="1">"c16419"</definedName>
    <definedName name="IQ_PRETAX_GW_INC_EST_NUM_ANALYSTS_3MONTH_CIQ" hidden="1">"c16707"</definedName>
    <definedName name="IQ_PRETAX_GW_INC_EST_NUM_ANALYSTS_MONTH" hidden="1">"c16411"</definedName>
    <definedName name="IQ_PRETAX_GW_INC_EST_NUM_ANALYSTS_MONTH_CIQ" hidden="1">"c16699"</definedName>
    <definedName name="IQ_PRETAX_GW_INC_EST_TOTAL_REVISED_2MONTH" hidden="1">"c16418"</definedName>
    <definedName name="IQ_PRETAX_GW_INC_EST_TOTAL_REVISED_2MONTH_CIQ" hidden="1">"c16706"</definedName>
    <definedName name="IQ_PRETAX_GW_INC_EST_TOTAL_REVISED_3MONTH" hidden="1">"c16422"</definedName>
    <definedName name="IQ_PRETAX_GW_INC_EST_TOTAL_REVISED_3MONTH_CIQ" hidden="1">"c16710"</definedName>
    <definedName name="IQ_PRETAX_GW_INC_EST_TOTAL_REVISED_MONTH" hidden="1">"c16414"</definedName>
    <definedName name="IQ_PRETAX_GW_INC_EST_TOTAL_REVISED_MONTH_CIQ" hidden="1">"c16702"</definedName>
    <definedName name="IQ_PRETAX_GW_INC_EST_UP_2MONTH" hidden="1">"c16416"</definedName>
    <definedName name="IQ_PRETAX_GW_INC_EST_UP_2MONTH_CIQ" hidden="1">"c16704"</definedName>
    <definedName name="IQ_PRETAX_GW_INC_EST_UP_3MONTH" hidden="1">"c16420"</definedName>
    <definedName name="IQ_PRETAX_GW_INC_EST_UP_3MONTH_CIQ" hidden="1">"c16708"</definedName>
    <definedName name="IQ_PRETAX_GW_INC_EST_UP_MONTH" hidden="1">"c16412"</definedName>
    <definedName name="IQ_PRETAX_GW_INC_EST_UP_MONTH_CIQ" hidden="1">"c16700"</definedName>
    <definedName name="IQ_PRETAX_GW_INC_HIGH_EST" hidden="1">"c1704"</definedName>
    <definedName name="IQ_PRETAX_GW_INC_HIGH_EST_CIQ" hidden="1">"c4690"</definedName>
    <definedName name="IQ_PRETAX_GW_INC_LOW_EST" hidden="1">"c1705"</definedName>
    <definedName name="IQ_PRETAX_GW_INC_LOW_EST_CIQ" hidden="1">"c4691"</definedName>
    <definedName name="IQ_PRETAX_GW_INC_MEDIAN_EST" hidden="1">"c1703"</definedName>
    <definedName name="IQ_PRETAX_GW_INC_MEDIAN_EST_CIQ" hidden="1">"c4689"</definedName>
    <definedName name="IQ_PRETAX_GW_INC_NUM_EST" hidden="1">"c1706"</definedName>
    <definedName name="IQ_PRETAX_GW_INC_NUM_EST_CIQ" hidden="1">"c4692"</definedName>
    <definedName name="IQ_PRETAX_GW_INC_STDDEV_EST" hidden="1">"c1707"</definedName>
    <definedName name="IQ_PRETAX_GW_INC_STDDEV_EST_CIQ" hidden="1">"c4693"</definedName>
    <definedName name="IQ_PRETAX_INC_AFTER_CAP_ALLOCATION_FOREIGN_FFIEC" hidden="1">"c15390"</definedName>
    <definedName name="IQ_PRETAX_INC_BEFORE_CAP_ALLOCATION_FOREIGN_FFIEC" hidden="1">"c15388"</definedName>
    <definedName name="IQ_PRETAX_INC_EST" hidden="1">"c1695"</definedName>
    <definedName name="IQ_PRETAX_INC_EST_CIQ" hidden="1">"c4681"</definedName>
    <definedName name="IQ_PRETAX_INC_EST_DOWN_2MONTH" hidden="1">"c16393"</definedName>
    <definedName name="IQ_PRETAX_INC_EST_DOWN_2MONTH_CIQ" hidden="1">"c16681"</definedName>
    <definedName name="IQ_PRETAX_INC_EST_DOWN_3MONTH" hidden="1">"c16397"</definedName>
    <definedName name="IQ_PRETAX_INC_EST_DOWN_3MONTH_CIQ" hidden="1">"c16685"</definedName>
    <definedName name="IQ_PRETAX_INC_EST_DOWN_MONTH" hidden="1">"c16389"</definedName>
    <definedName name="IQ_PRETAX_INC_EST_DOWN_MONTH_CIQ" hidden="1">"c16677"</definedName>
    <definedName name="IQ_PRETAX_INC_EST_NOTE" hidden="1">"c17511"</definedName>
    <definedName name="IQ_PRETAX_INC_EST_NOTE_CIQ" hidden="1">"c17464"</definedName>
    <definedName name="IQ_PRETAX_INC_EST_NUM_ANALYSTS_2MONTH" hidden="1">"c16391"</definedName>
    <definedName name="IQ_PRETAX_INC_EST_NUM_ANALYSTS_2MONTH_CIQ" hidden="1">"c16679"</definedName>
    <definedName name="IQ_PRETAX_INC_EST_NUM_ANALYSTS_3MONTH" hidden="1">"c16395"</definedName>
    <definedName name="IQ_PRETAX_INC_EST_NUM_ANALYSTS_3MONTH_CIQ" hidden="1">"c16683"</definedName>
    <definedName name="IQ_PRETAX_INC_EST_NUM_ANALYSTS_MONTH" hidden="1">"c16387"</definedName>
    <definedName name="IQ_PRETAX_INC_EST_NUM_ANALYSTS_MONTH_CIQ" hidden="1">"c16675"</definedName>
    <definedName name="IQ_PRETAX_INC_EST_TOTAL_REVISED_2MONTH" hidden="1">"c16394"</definedName>
    <definedName name="IQ_PRETAX_INC_EST_TOTAL_REVISED_2MONTH_CIQ" hidden="1">"c16682"</definedName>
    <definedName name="IQ_PRETAX_INC_EST_TOTAL_REVISED_3MONTH" hidden="1">"c16398"</definedName>
    <definedName name="IQ_PRETAX_INC_EST_TOTAL_REVISED_3MONTH_CIQ" hidden="1">"c16686"</definedName>
    <definedName name="IQ_PRETAX_INC_EST_TOTAL_REVISED_MONTH" hidden="1">"c16390"</definedName>
    <definedName name="IQ_PRETAX_INC_EST_TOTAL_REVISED_MONTH_CIQ" hidden="1">"c16678"</definedName>
    <definedName name="IQ_PRETAX_INC_EST_UP_2MONTH" hidden="1">"c16392"</definedName>
    <definedName name="IQ_PRETAX_INC_EST_UP_2MONTH_CIQ" hidden="1">"c16680"</definedName>
    <definedName name="IQ_PRETAX_INC_EST_UP_3MONTH" hidden="1">"c16396"</definedName>
    <definedName name="IQ_PRETAX_INC_EST_UP_3MONTH_CIQ" hidden="1">"c16684"</definedName>
    <definedName name="IQ_PRETAX_INC_EST_UP_MONTH" hidden="1">"c16388"</definedName>
    <definedName name="IQ_PRETAX_INC_EST_UP_MONTH_CIQ" hidden="1">"c16676"</definedName>
    <definedName name="IQ_PRETAX_INC_HIGH_EST" hidden="1">"c1697"</definedName>
    <definedName name="IQ_PRETAX_INC_HIGH_EST_CIQ" hidden="1">"c4683"</definedName>
    <definedName name="IQ_PRETAX_INC_LOW_EST" hidden="1">"c1698"</definedName>
    <definedName name="IQ_PRETAX_INC_LOW_EST_CIQ" hidden="1">"c4684"</definedName>
    <definedName name="IQ_PRETAX_INC_MEDIAN_EST" hidden="1">"c1696"</definedName>
    <definedName name="IQ_PRETAX_INC_MEDIAN_EST_CIQ" hidden="1">"c4682"</definedName>
    <definedName name="IQ_PRETAX_INC_NUM_EST" hidden="1">"c1699"</definedName>
    <definedName name="IQ_PRETAX_INC_NUM_EST_CIQ" hidden="1">"c4685"</definedName>
    <definedName name="IQ_PRETAX_INC_STDDEV_EST" hidden="1">"c1700"</definedName>
    <definedName name="IQ_PRETAX_INC_STDDEV_EST_CIQ" hidden="1">"c4686"</definedName>
    <definedName name="IQ_PRETAX_OPERATING_INC_AVG_ASSETS_FFIEC" hidden="1">"c13365"</definedName>
    <definedName name="IQ_PRETAX_REPORT_INC_EST" hidden="1">"c1709"</definedName>
    <definedName name="IQ_PRETAX_REPORT_INC_EST_CIQ" hidden="1">"c4695"</definedName>
    <definedName name="IQ_PRETAX_REPORT_INC_EST_DOWN_2MONTH" hidden="1">"c16405"</definedName>
    <definedName name="IQ_PRETAX_REPORT_INC_EST_DOWN_2MONTH_CIQ" hidden="1">"c16693"</definedName>
    <definedName name="IQ_PRETAX_REPORT_INC_EST_DOWN_3MONTH" hidden="1">"c16409"</definedName>
    <definedName name="IQ_PRETAX_REPORT_INC_EST_DOWN_3MONTH_CIQ" hidden="1">"c16697"</definedName>
    <definedName name="IQ_PRETAX_REPORT_INC_EST_DOWN_MONTH" hidden="1">"c16401"</definedName>
    <definedName name="IQ_PRETAX_REPORT_INC_EST_DOWN_MONTH_CIQ" hidden="1">"c16689"</definedName>
    <definedName name="IQ_PRETAX_REPORT_INC_EST_NOTE" hidden="1">"c17512"</definedName>
    <definedName name="IQ_PRETAX_REPORT_INC_EST_NOTE_CIQ" hidden="1">"c17465"</definedName>
    <definedName name="IQ_PRETAX_REPORT_INC_EST_NUM_ANALYSTS_2MONTH" hidden="1">"c16403"</definedName>
    <definedName name="IQ_PRETAX_REPORT_INC_EST_NUM_ANALYSTS_2MONTH_CIQ" hidden="1">"c16691"</definedName>
    <definedName name="IQ_PRETAX_REPORT_INC_EST_NUM_ANALYSTS_3MONTH" hidden="1">"c16407"</definedName>
    <definedName name="IQ_PRETAX_REPORT_INC_EST_NUM_ANALYSTS_3MONTH_CIQ" hidden="1">"c16695"</definedName>
    <definedName name="IQ_PRETAX_REPORT_INC_EST_NUM_ANALYSTS_MONTH" hidden="1">"c16399"</definedName>
    <definedName name="IQ_PRETAX_REPORT_INC_EST_NUM_ANALYSTS_MONTH_CIQ" hidden="1">"c16687"</definedName>
    <definedName name="IQ_PRETAX_REPORT_INC_EST_TOTAL_REVISED_2MONTH" hidden="1">"c16406"</definedName>
    <definedName name="IQ_PRETAX_REPORT_INC_EST_TOTAL_REVISED_2MONTH_CIQ" hidden="1">"c16694"</definedName>
    <definedName name="IQ_PRETAX_REPORT_INC_EST_TOTAL_REVISED_3MONTH" hidden="1">"c16410"</definedName>
    <definedName name="IQ_PRETAX_REPORT_INC_EST_TOTAL_REVISED_3MONTH_CIQ" hidden="1">"c16698"</definedName>
    <definedName name="IQ_PRETAX_REPORT_INC_EST_TOTAL_REVISED_MONTH" hidden="1">"c16402"</definedName>
    <definedName name="IQ_PRETAX_REPORT_INC_EST_TOTAL_REVISED_MONTH_CIQ" hidden="1">"c16690"</definedName>
    <definedName name="IQ_PRETAX_REPORT_INC_EST_UP_2MONTH" hidden="1">"c16404"</definedName>
    <definedName name="IQ_PRETAX_REPORT_INC_EST_UP_2MONTH_CIQ" hidden="1">"c16692"</definedName>
    <definedName name="IQ_PRETAX_REPORT_INC_EST_UP_3MONTH" hidden="1">"c16408"</definedName>
    <definedName name="IQ_PRETAX_REPORT_INC_EST_UP_3MONTH_CIQ" hidden="1">"c16696"</definedName>
    <definedName name="IQ_PRETAX_REPORT_INC_EST_UP_MONTH" hidden="1">"c16400"</definedName>
    <definedName name="IQ_PRETAX_REPORT_INC_EST_UP_MONTH_CIQ" hidden="1">"c16688"</definedName>
    <definedName name="IQ_PRETAX_REPORT_INC_HIGH_EST" hidden="1">"c1711"</definedName>
    <definedName name="IQ_PRETAX_REPORT_INC_HIGH_EST_CIQ" hidden="1">"c4697"</definedName>
    <definedName name="IQ_PRETAX_REPORT_INC_LOW_EST" hidden="1">"c1712"</definedName>
    <definedName name="IQ_PRETAX_REPORT_INC_LOW_EST_CIQ" hidden="1">"c4698"</definedName>
    <definedName name="IQ_PRETAX_REPORT_INC_MEDIAN_EST" hidden="1">"c1710"</definedName>
    <definedName name="IQ_PRETAX_REPORT_INC_MEDIAN_EST_CIQ" hidden="1">"c4696"</definedName>
    <definedName name="IQ_PRETAX_REPORT_INC_NUM_EST" hidden="1">"c1713"</definedName>
    <definedName name="IQ_PRETAX_REPORT_INC_NUM_EST_CIQ" hidden="1">"c4699"</definedName>
    <definedName name="IQ_PRETAX_REPORT_INC_STDDEV_EST" hidden="1">"c1714"</definedName>
    <definedName name="IQ_PRETAX_REPORT_INC_STDDEV_EST_CIQ" hidden="1">"c4700"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CFPS_FWD_CIQ" hidden="1">"c4046"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SALES" hidden="1">"c17552"</definedName>
    <definedName name="IQ_PRICE_TARGET" hidden="1">"c82"</definedName>
    <definedName name="IQ_PRICE_TARGET_BOTTOM_UP" hidden="1">"c5486"</definedName>
    <definedName name="IQ_PRICE_TARGET_BOTTOM_UP_CIQ" hidden="1">"c12023"</definedName>
    <definedName name="IQ_PRICE_TARGET_CIQ" hidden="1">"c3613"</definedName>
    <definedName name="IQ_PRICE_VOL_HIST_2YR" hidden="1">"c15637"</definedName>
    <definedName name="IQ_PRICE_VOL_HIST_3MTH" hidden="1">"c15634"</definedName>
    <definedName name="IQ_PRICE_VOL_HIST_5YR" hidden="1">"c15638"</definedName>
    <definedName name="IQ_PRICE_VOL_HIST_6MTH" hidden="1">"c15635"</definedName>
    <definedName name="IQ_PRICE_VOL_HIST_YR" hidden="1">"c15636"</definedName>
    <definedName name="IQ_PRICE_VOLATILITY_EST" hidden="1">"c4492"</definedName>
    <definedName name="IQ_PRICE_VOLATILITY_EST_CIQ" hidden="1">"c5030"</definedName>
    <definedName name="IQ_PRICE_VOLATILITY_HIGH" hidden="1">"c4493"</definedName>
    <definedName name="IQ_PRICE_VOLATILITY_HIGH_CIQ" hidden="1">"c5031"</definedName>
    <definedName name="IQ_PRICE_VOLATILITY_LOW" hidden="1">"c4494"</definedName>
    <definedName name="IQ_PRICE_VOLATILITY_LOW_CIQ" hidden="1">"c5032"</definedName>
    <definedName name="IQ_PRICE_VOLATILITY_MEDIAN" hidden="1">"c4495"</definedName>
    <definedName name="IQ_PRICE_VOLATILITY_MEDIAN_CIQ" hidden="1">"c5033"</definedName>
    <definedName name="IQ_PRICE_VOLATILITY_NUM" hidden="1">"c4496"</definedName>
    <definedName name="IQ_PRICE_VOLATILITY_NUM_CIQ" hidden="1">"c5034"</definedName>
    <definedName name="IQ_PRICE_VOLATILITY_STDDEV" hidden="1">"c4497"</definedName>
    <definedName name="IQ_PRICE_VOLATILITY_STDDEV_CIQ" hidden="1">"c5035"</definedName>
    <definedName name="IQ_PRICEDATE" hidden="1">"c1069"</definedName>
    <definedName name="IQ_PRICING_DATE" hidden="1">"c1613"</definedName>
    <definedName name="IQ_PRIMARY_EPS_TYPE" hidden="1">"c4498"</definedName>
    <definedName name="IQ_PRIMARY_EPS_TYPE_CIQ" hidden="1">"c5036"</definedName>
    <definedName name="IQ_PRIMARY_EST_CONSOLIDATION" hidden="1">"c16246"</definedName>
    <definedName name="IQ_PRIMARY_EST_CONSOLIDATION_CIQ" hidden="1">"c16247"</definedName>
    <definedName name="IQ_PRIMARY_INDUSTRY" hidden="1">"c1070"</definedName>
    <definedName name="IQ_PRIMARY_SIC_CODE" hidden="1">"c16218"</definedName>
    <definedName name="IQ_PRIMARY_SIC_INDUSTRY" hidden="1">"c16217"</definedName>
    <definedName name="IQ_PRINCIPAL_AMT" hidden="1">"c2157"</definedName>
    <definedName name="IQ_PRIOR_PERIOD_ADJUSTMENTS_SAVINGS_ASSOCIATION_THRIFT" hidden="1">"c25017"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BABLE_RESERVES_TO_TOTAL_RESERVES_COAL" hidden="1">"c15953"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DUCTION_TO_SOLD_COAL" hidden="1">"c15945"</definedName>
    <definedName name="IQ_PROFESSIONAL" hidden="1">"c1071"</definedName>
    <definedName name="IQ_PROFESSIONAL_ALL_OTHER_COMP" hidden="1">"c18944"</definedName>
    <definedName name="IQ_PROFESSIONAL_ANNUAL_CASH_COMP" hidden="1">"c18945"</definedName>
    <definedName name="IQ_PROFESSIONAL_AS_REPORTED_COMP" hidden="1">"c18949"</definedName>
    <definedName name="IQ_PROFESSIONAL_AS_REPORTED_DIRECTOR_COMP" hidden="1">"c18961"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BONUS" hidden="1">"c18940"</definedName>
    <definedName name="IQ_PROFESSIONAL_CALCULATED_COMP" hidden="1">"c18947"</definedName>
    <definedName name="IQ_PROFESSIONAL_CHANGE_PENSION" hidden="1">"c18962"</definedName>
    <definedName name="IQ_PROFESSIONAL_DIRECT_FAX" hidden="1">"c15166"</definedName>
    <definedName name="IQ_PROFESSIONAL_DIRECT_PHONE" hidden="1">"c15165"</definedName>
    <definedName name="IQ_PROFESSIONAL_DIRECTOR_BONUS" hidden="1">"c18956"</definedName>
    <definedName name="IQ_PROFESSIONAL_DIRECTOR_CHANGE_PENSION" hidden="1">"c18957"</definedName>
    <definedName name="IQ_PROFESSIONAL_DIRECTOR_FEE" hidden="1">"c18953"</definedName>
    <definedName name="IQ_PROFESSIONAL_DIRECTOR_NON_EQUITY_COMP" hidden="1">"c18958"</definedName>
    <definedName name="IQ_PROFESSIONAL_DIRECTOR_OPTION_AWARDS" hidden="1">"c18954"</definedName>
    <definedName name="IQ_PROFESSIONAL_DIRECTOR_OTHER" hidden="1">"c18955"</definedName>
    <definedName name="IQ_PROFESSIONAL_DIRECTOR_STOCK_AWARDS" hidden="1">"c18959"</definedName>
    <definedName name="IQ_PROFESSIONAL_DIRECTOR_STOCK_GRANTS" hidden="1">"c18986"</definedName>
    <definedName name="IQ_PROFESSIONAL_DIRECTOR_STOCK_OPTIONS" hidden="1">"c18960"</definedName>
    <definedName name="IQ_PROFESSIONAL_EMAIL" hidden="1">"c15167"</definedName>
    <definedName name="IQ_PROFESSIONAL_EQUITY_INCENTIVE" hidden="1">"c18982"</definedName>
    <definedName name="IQ_PROFESSIONAL_EST_PAYMENTS_CHANGE_CONTROL" hidden="1">"c18951"</definedName>
    <definedName name="IQ_PROFESSIONAL_EST_PAYMENTS_TERMINATION" hidden="1">"c18963"</definedName>
    <definedName name="IQ_PROFESSIONAL_EXERCISABLE_OPTIONS" hidden="1">"c18966"</definedName>
    <definedName name="IQ_PROFESSIONAL_EXERCISABLE_VALUES" hidden="1">"c18967"</definedName>
    <definedName name="IQ_PROFESSIONAL_EXERCISED_OPTIONS" hidden="1">"c18964"</definedName>
    <definedName name="IQ_PROFESSIONAL_EXERCISED_VALUES" hidden="1">"c18965"</definedName>
    <definedName name="IQ_PROFESSIONAL_ID" hidden="1">"c13755"</definedName>
    <definedName name="IQ_PROFESSIONAL_LT_INCENTIVE" hidden="1">"c18943"</definedName>
    <definedName name="IQ_PROFESSIONAL_MAIN_FAX" hidden="1">"c15164"</definedName>
    <definedName name="IQ_PROFESSIONAL_MAIN_PHONE" hidden="1">"c15163"</definedName>
    <definedName name="IQ_PROFESSIONAL_MARKET_VALUE_SHARES_NOT_VESTED" hidden="1">"c18981"</definedName>
    <definedName name="IQ_PROFESSIONAL_NON_EQUITY_INCENTIVE" hidden="1">"c18952"</definedName>
    <definedName name="IQ_PROFESSIONAL_NUM_SHARED_NOT_VESTED" hidden="1">"c18980"</definedName>
    <definedName name="IQ_PROFESSIONAL_NUM_SHARES_ACQUIRED" hidden="1">"c18978"</definedName>
    <definedName name="IQ_PROFESSIONAL_OFFICE_ADDRESS" hidden="1">"c15162"</definedName>
    <definedName name="IQ_PROFESSIONAL_OPTION_AWARDS" hidden="1">"c18948"</definedName>
    <definedName name="IQ_PROFESSIONAL_OPTION_MARKET_PRICE" hidden="1">"c18977"</definedName>
    <definedName name="IQ_PROFESSIONAL_OPTION_PRICE" hidden="1">"c18976"</definedName>
    <definedName name="IQ_PROFESSIONAL_OTHER_ANNUAL_COMP" hidden="1">"c18941"</definedName>
    <definedName name="IQ_PROFESSIONAL_OTHER_COMP" hidden="1">"c18950"</definedName>
    <definedName name="IQ_PROFESSIONAL_RESTRICTED_STOCK_COMP" hidden="1">"c18942"</definedName>
    <definedName name="IQ_PROFESSIONAL_SALARY" hidden="1">"c18939"</definedName>
    <definedName name="IQ_PROFESSIONAL_ST_COMP" hidden="1">"c18946"</definedName>
    <definedName name="IQ_PROFESSIONAL_TITLE" hidden="1">"c1072"</definedName>
    <definedName name="IQ_PROFESSIONAL_TOTAL_NUM_STOCK_AWARDS" hidden="1">"c18985"</definedName>
    <definedName name="IQ_PROFESSIONAL_TOTAL_OPTIONS" hidden="1">"c18974"</definedName>
    <definedName name="IQ_PROFESSIONAL_TOTAL_STOCK_VALUE" hidden="1">"c18984"</definedName>
    <definedName name="IQ_PROFESSIONAL_TOTAL_VALUE_OPTIONS" hidden="1">"c18975"</definedName>
    <definedName name="IQ_PROFESSIONAL_UNCLASSIFIED_OPTIONS" hidden="1">"c18970"</definedName>
    <definedName name="IQ_PROFESSIONAL_UNCLASSIFIED_OPTIONS_VALUE" hidden="1">"c18971"</definedName>
    <definedName name="IQ_PROFESSIONAL_UNEARNED_STOCK_VALUE" hidden="1">"c18983"</definedName>
    <definedName name="IQ_PROFESSIONAL_UNEXERCISABLE_OPTIONS" hidden="1">"c18968"</definedName>
    <definedName name="IQ_PROFESSIONAL_UNEXERCISABLE_VALUES" hidden="1">"c18969"</definedName>
    <definedName name="IQ_PROFESSIONAL_UNEXERCISED_UNEARNED_OPTIONS" hidden="1">"c18972"</definedName>
    <definedName name="IQ_PROFESSIONAL_UNEXERCISED_UNEARNED_OPTIONS_VALUE" hidden="1">"c18973"</definedName>
    <definedName name="IQ_PROFESSIONAL_VALUE_VESTING" hidden="1">"c18979"</definedName>
    <definedName name="IQ_PROFIT_AFTER_COST_CAPITAL_NEW_BUSINESS" hidden="1">"c9969"</definedName>
    <definedName name="IQ_PROFIT_BEFORE_COST_CAPITAL_NEW_BUSINESS" hidden="1">"c9967"</definedName>
    <definedName name="IQ_PROGRAMMING_COSTS" hidden="1">"c2884"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_MGMT_EXPENSE" hidden="1">"c16038"</definedName>
    <definedName name="IQ_PROP_MGMT_INCOME" hidden="1">"c16028"</definedName>
    <definedName name="IQ_PROP_OPERATING_EXPENSE" hidden="1">"c16037"</definedName>
    <definedName name="IQ_PROP_RENTAL_REVENUE" hidden="1">"c16019"</definedName>
    <definedName name="IQ_PROP_SALES_EXPENSE" hidden="1">"c16044"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PERTY_TAX_INSURANCE" hidden="1">"c16033"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EN_RESERVES_TO_TOTAL_RESERVES_COAL" hidden="1">"c15952"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AVG_LOANS" hidden="1">"c15717"</definedName>
    <definedName name="IQ_PROVISION_CHARGE_OFFS" hidden="1">"c1083"</definedName>
    <definedName name="IQ_PROVISION_LL_AVG_LOANS_THRIFT" hidden="1">"c25639"</definedName>
    <definedName name="IQ_PROVISION_LL_FFIEC" hidden="1">"c13019"</definedName>
    <definedName name="IQ_PROVISION_LL_INT_BEARING_ASSETS_THRIFT" hidden="1">"c24783"</definedName>
    <definedName name="IQ_PROVISION_LL_NET_LOSSES_THRIFT" hidden="1">"c25640"</definedName>
    <definedName name="IQ_PROVISION_LL_NON_INT_BEARING_ASSETS_THRIFT" hidden="1">"c24784"</definedName>
    <definedName name="IQ_PROVISION_LOAN_LL_AVG_ASSETS_THRIFT" hidden="1">"c25785"</definedName>
    <definedName name="IQ_PROVISION_LOAN_LOSS_AVG_ASSETS_FFIEC" hidden="1">"c18879"</definedName>
    <definedName name="IQ_PROVISION_LOAN_LOSSES_AVG_ASSETS_THRIFT" hidden="1">"c25653"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SGR_REV" hidden="1">"c19125"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OAL" hidden="1">"c15934"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D_PRODUCTION_TO_SOLD_COAL" hidden="1">"c15947"</definedName>
    <definedName name="IQ_PURCHASED_TO_PRODUCTION_COAL" hidden="1">"c15948"</definedName>
    <definedName name="IQ_PURCHASED_TO_SOLD_COAL" hidden="1">"c15946"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ES_OTHER_MORTGAGE_BACKED_SEC_THRIFT" hidden="1">"c25314"</definedName>
    <definedName name="IQ_PURCHASES_PASS_THROUGH_MORTGAGE_BACKED_SEC_THRIFT" hidden="1">"c25311"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MULTIFAMILY_RES_MORTGAGE_LOANS_ELIGIBLE_50_PCT_RISK_WEIGHT_THRIFT" hidden="1">"c25065"</definedName>
    <definedName name="IQ_QUALIFYING_SINGLE_FAMILY_RES_MORTGAGE_LOANS_ELIGIBLE_50_PCT_RISK_WEIGHT_THRIFT" hidden="1">"c25064"</definedName>
    <definedName name="IQ_QUALIFYING_SUB_DEBT_REDEEM_PREF_T2_FFIEC" hidden="1">"c13144"</definedName>
    <definedName name="IQ_QUALIFYING_SUB_DEBT_REDEEMABLE_PREFERRED_T2_THRIFT" hidden="1">"c25041"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TE_COUNTRY" hidden="1">"c19247"</definedName>
    <definedName name="IQ_RATE_LEVEL" hidden="1">"c19251"</definedName>
    <definedName name="IQ_RATE_NAME" hidden="1">"c19249"</definedName>
    <definedName name="IQ_RATE_TERM" hidden="1">"c19248"</definedName>
    <definedName name="IQ_RATE_TYPE" hidden="1">"c19246"</definedName>
    <definedName name="IQ_RAW_INV" hidden="1">"c1089"</definedName>
    <definedName name="IQ_RAW_SALEABLE_INVENTORY_COAL" hidden="1">"c15941"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DWELLING_UNITS_REPOSSESSED_ASSETS_ADJUSTED_NCOS_TOTAL_THRIFT" hidden="1">"c25220"</definedName>
    <definedName name="IQ_RE_1_4_DWELLING_UNITS_REPOSSESSED_ASSETS_GVA_CHARGE_OFFS_THRIFT" hidden="1">"c25135"</definedName>
    <definedName name="IQ_RE_1_4_DWELLING_UNITS_REPOSSESSED_ASSETS_SVA_PROVISIONS_TRANSFERS_FROM_GVA_TOTAL_THRIFT" hidden="1">"c25189"</definedName>
    <definedName name="IQ_RE_1_4_RISK_BASED_FFIEC" hidden="1">"c13418"</definedName>
    <definedName name="IQ_RE_ACQ_SATISFACTION_DEBTS_FFIEC" hidden="1">"c12832"</definedName>
    <definedName name="IQ_RE_ALL_OTHER_ACCOUNTS_THRIFT" hidden="1">"c25436"</definedName>
    <definedName name="IQ_RE_ASSET_DEVELOPMENT_PROP" hidden="1">"c19136"</definedName>
    <definedName name="IQ_RE_ASSET_INVESTMENT_PROP" hidden="1">"c19135"</definedName>
    <definedName name="IQ_RE_ASSET_OTHER_PROP" hidden="1">"c19137"</definedName>
    <definedName name="IQ_RE_ASSET_TOTAL_PROP" hidden="1">"c19138"</definedName>
    <definedName name="IQ_RE_CONSTRUCTION_REPOSSESSED_ASSETS_ADJUSTED_NCOS_TOTAL_THRIFT" hidden="1">"c25219"</definedName>
    <definedName name="IQ_RE_CONSTRUCTION_REPOSSESSED_ASSETS_GVA_CHARGE_OFFS_THRIFT" hidden="1">"c25134"</definedName>
    <definedName name="IQ_RE_CONSTRUCTION_REPOSSESSED_ASSETS_SVA_PROVISIONS_TRANSFERS_FROM_GVA_TOTAL_THRIFT" hidden="1">"c25188"</definedName>
    <definedName name="IQ_RE_DEPR_AMORT" hidden="1">"c8750"</definedName>
    <definedName name="IQ_RE_DEPRECIATION" hidden="1">"c16045"</definedName>
    <definedName name="IQ_RE_EMPLOYEE_BENEFIT_RETIREMENT_RELATED_ACCOUNTS_THRIFT" hidden="1">"c25420"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HELD_INV_ADJUSTED_NCOS_THRIFT" hidden="1">"c25225"</definedName>
    <definedName name="IQ_RE_HELD_INV_GVA_CHARGE_OFFS_THRIFT" hidden="1">"c25140"</definedName>
    <definedName name="IQ_RE_HELD_INV_SVA_PROVISIONS_TRANSFERS_FROM_GVA_THRIFT" hidden="1">"c25194"</definedName>
    <definedName name="IQ_RE_HELD_INV_THRIFT" hidden="1">"c24878"</definedName>
    <definedName name="IQ_RE_INVEST_FDIC" hidden="1">"c6331"</definedName>
    <definedName name="IQ_RE_LAND_REPOSSESSED_ASSETS_ADJUSTED_NCOS_TOTAL_THRIFT" hidden="1">"c25223"</definedName>
    <definedName name="IQ_RE_LAND_REPOSSESSED_ASSETS_GVA_CHARGE_OFFS_THRIFT" hidden="1">"c25138"</definedName>
    <definedName name="IQ_RE_LAND_REPOSSESSED_ASSETS_SVA_PROVISIONS_TRANSFERS_FROM_GVA_TOTAL_THRIFT" hidden="1">"c25192"</definedName>
    <definedName name="IQ_RE_LOANS_1_4_GROSS_LOANS_FFIEC" hidden="1">"c13397"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DUE_30_89_FFIEC" hidden="1">"c25826"</definedName>
    <definedName name="IQ_RE_LOANS_DUE_90_FFIEC" hidden="1">"c25827"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LOANS_NON_ACCRUAL_FFIEC" hidden="1">"c25828"</definedName>
    <definedName name="IQ_RE_LOANS_SECURED_1_4_FAMILY_GROSS_LOANS_THRIFT" hidden="1">"c25722"</definedName>
    <definedName name="IQ_RE_LOANS_SECURED_1_4_FAMILY_RISK_BASED_CAPITAL_THRIFT" hidden="1">"c25707"</definedName>
    <definedName name="IQ_RE_LOANS_SECURED_LAND_GROSS_LOANS_THRIFT" hidden="1">"c25731"</definedName>
    <definedName name="IQ_RE_LOANS_SECURED_LAND_RISK_BASED_CAPITAL_THRIFT" hidden="1">"c25716"</definedName>
    <definedName name="IQ_RE_MAINT_CAPEX" hidden="1">"c8755"</definedName>
    <definedName name="IQ_RE_MINORITY_INTEREST" hidden="1">"c8752"</definedName>
    <definedName name="IQ_RE_MORTGAGES_ALL_OTHER_ACCOUNTS_THRIFT" hidden="1">"c25435"</definedName>
    <definedName name="IQ_RE_MORTGAGES_EMPLOYEE_BENEFIT_RETIREMENT_RELATED_ACCOUNTS_THRIFT" hidden="1">"c25419"</definedName>
    <definedName name="IQ_RE_MORTGAGES_PERSONAL_TRUST_AGENCY_INV_MANAGEMENT_ACCOUNTS_THRIFT" hidden="1">"c25403"</definedName>
    <definedName name="IQ_RE_MULTIFAMILY_5_MORE_DWELLING_UNITS_REPOSSESSED_ASSETS_ADJUSTED_NCOS_TOTAL_THRIFT" hidden="1">"c25221"</definedName>
    <definedName name="IQ_RE_MULTIFAMILY_5_MORE_DWELLING_UNITS_REPOSSESSED_ASSETS_GVA_CHARGE_OFFS_THRIFT" hidden="1">"c25136"</definedName>
    <definedName name="IQ_RE_MULTIFAMILY_5_MORE_DWELLING_UNITS_REPOSSESSED_ASSETS_SVA_PROVISIONS_TRANSFERS_FROM_GVA_TOTAL_THRIFT" hidden="1">"c25190"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NONRES_EXCEPT_LAND_REPOSSESSED_ASSETS_ADJUSTED_NCOS_TOTAL_THRIFT" hidden="1">"c25222"</definedName>
    <definedName name="IQ_RE_NONRES_EXCEPT_LAND_REPOSSESSED_ASSETS_GVA_CHARGE_OFFS_THRIFT" hidden="1">"c25137"</definedName>
    <definedName name="IQ_RE_NONRES_EXCEPT_LAND_REPOSSESSED_ASSETS_SVA_PROVISIONS_TRANSFERS_FROM_GVA_TOTAL_THRIFT" hidden="1">"c25191"</definedName>
    <definedName name="IQ_RE_OTHER_ITEMS" hidden="1">"c8753"</definedName>
    <definedName name="IQ_RE_PERSONAL_TRUST_AGENCY_INV_MANAGEMENT_ACCOUNTS_THRIFT" hidden="1">"c25404"</definedName>
    <definedName name="IQ_RE_RENTAL_EXPENSE" hidden="1">"c16036"</definedName>
    <definedName name="IQ_RE_RISK_BASED_FFIEC" hidden="1">"c13417"</definedName>
    <definedName name="IQ_REAL_DOMESTIC_PURCHASES" hidden="1">"c20997"</definedName>
    <definedName name="IQ_REAL_ESTATE" hidden="1">"c1093"</definedName>
    <definedName name="IQ_REAL_ESTATE_ASSETS" hidden="1">"c1094"</definedName>
    <definedName name="IQ_REAL_EXPORT" hidden="1">"c20998"</definedName>
    <definedName name="IQ_REAL_EXPORT_GOODS" hidden="1">"c20999"</definedName>
    <definedName name="IQ_REAL_EXPORT_INCOME" hidden="1">"c21000"</definedName>
    <definedName name="IQ_REAL_EXPORT_SERVICES" hidden="1">"c21001"</definedName>
    <definedName name="IQ_REAL_FIXED_INVESTMENT" hidden="1">"c21002"</definedName>
    <definedName name="IQ_REAL_GDP" hidden="1">"c21003"</definedName>
    <definedName name="IQ_REAL_GDP_FC" hidden="1">"c21004"</definedName>
    <definedName name="IQ_REAL_GDP_GROWTH" hidden="1">"c21005"</definedName>
    <definedName name="IQ_REAL_GDP_GROWTH_FC" hidden="1">"c21006"</definedName>
    <definedName name="IQ_REAL_GDP_USD" hidden="1">"c21007"</definedName>
    <definedName name="IQ_REAL_GDP_USD_FC" hidden="1">"c21008"</definedName>
    <definedName name="IQ_REAL_GNP" hidden="1">"c21009"</definedName>
    <definedName name="IQ_REAL_GOVT_CONSUM_INVEST" hidden="1">"c21010"</definedName>
    <definedName name="IQ_REAL_GOVT_CONSUM_INVEST_DEF" hidden="1">"c21011"</definedName>
    <definedName name="IQ_REAL_GOVT_CONSUM_INVEST_DEF_CONSUM" hidden="1">"c21012"</definedName>
    <definedName name="IQ_REAL_GOVT_CONSUM_INVEST_DEF_INVEST" hidden="1">"c21013"</definedName>
    <definedName name="IQ_REAL_GOVT_CONSUM_INVEST_FEDERAL" hidden="1">"c21014"</definedName>
    <definedName name="IQ_REAL_GOVT_CONSUM_INVEST_NONDEF" hidden="1">"c21015"</definedName>
    <definedName name="IQ_REAL_GOVT_CONSUM_INVEST_NONDEF_CONSUM" hidden="1">"c21016"</definedName>
    <definedName name="IQ_REAL_GOVT_CONSUM_INVEST_NONDEF_INVEST" hidden="1">"c21017"</definedName>
    <definedName name="IQ_REAL_GOVT_CONSUM_INVEST_STATE_LOCAL" hidden="1">"c21018"</definedName>
    <definedName name="IQ_REAL_GOVT_CONSUM_INVEST_STATE_LOCAL_CONSUM" hidden="1">"c21019"</definedName>
    <definedName name="IQ_REAL_GOVT_CONSUM_INVEST_STATE_LOCAL_INVEST" hidden="1">"c21020"</definedName>
    <definedName name="IQ_REAL_IMPORT" hidden="1">"c21021"</definedName>
    <definedName name="IQ_REAL_IMPORT_GOODS" hidden="1">"c21022"</definedName>
    <definedName name="IQ_REAL_IMPORT_INCOME" hidden="1">"c21023"</definedName>
    <definedName name="IQ_REAL_IMPORT_SERVICES" hidden="1">"c21024"</definedName>
    <definedName name="IQ_REAL_NET_DOMESTIC_PRODUCTION" hidden="1">"c21025"</definedName>
    <definedName name="IQ_REAL_NET_EXPORT" hidden="1">"c21026"</definedName>
    <definedName name="IQ_REAL_PCE" hidden="1">"c21027"</definedName>
    <definedName name="IQ_REAL_PCE_CLOTHING" hidden="1">"c21028"</definedName>
    <definedName name="IQ_REAL_PCE_DUR_GOODS" hidden="1">"c21029"</definedName>
    <definedName name="IQ_REAL_PCE_DUR_GOODS_OTHER" hidden="1">"c21030"</definedName>
    <definedName name="IQ_REAL_PCE_FINANCIAL" hidden="1">"c21031"</definedName>
    <definedName name="IQ_REAL_PCE_FOOD_ACCOMADATIONS" hidden="1">"c21032"</definedName>
    <definedName name="IQ_REAL_PCE_FOOD_BEVERAGE" hidden="1">"c21033"</definedName>
    <definedName name="IQ_REAL_PCE_FURNISHINGS" hidden="1">"c21034"</definedName>
    <definedName name="IQ_REAL_PCE_GAS" hidden="1">"c21035"</definedName>
    <definedName name="IQ_REAL_PCE_GOOD" hidden="1">"c21036"</definedName>
    <definedName name="IQ_REAL_PCE_HEALTH_CARE" hidden="1">"c21037"</definedName>
    <definedName name="IQ_REAL_PCE_HOUSEHOLD_CONSUM" hidden="1">"c21038"</definedName>
    <definedName name="IQ_REAL_PCE_HOUSEHOLD_CONSUM_OTHER" hidden="1">"c21039"</definedName>
    <definedName name="IQ_REAL_PCE_HOUSING" hidden="1">"c21040"</definedName>
    <definedName name="IQ_REAL_PCE_MOTOR_VEHICLE" hidden="1">"c21041"</definedName>
    <definedName name="IQ_REAL_PCE_NONDUR_GOODS" hidden="1">"c21042"</definedName>
    <definedName name="IQ_REAL_PCE_NONDUR_GOODS_OTHER" hidden="1">"c21043"</definedName>
    <definedName name="IQ_REAL_PCE_NONPROFIT_CONSUM" hidden="1">"c21044"</definedName>
    <definedName name="IQ_REAL_PCE_NONPROFIT_OUTPUT" hidden="1">"c21045"</definedName>
    <definedName name="IQ_REAL_PCE_NONPROFIT_RECEIPTS" hidden="1">"c21046"</definedName>
    <definedName name="IQ_REAL_PCE_RECREATION_GOODS" hidden="1">"c21047"</definedName>
    <definedName name="IQ_REAL_PCE_RECREATION_SERVICES" hidden="1">"c21048"</definedName>
    <definedName name="IQ_REAL_PCE_SERVICES" hidden="1">"c21049"</definedName>
    <definedName name="IQ_REAL_PCE_TRANSPORTATION" hidden="1">"c21050"</definedName>
    <definedName name="IQ_REAL_PRIVATE_CONSUM_GROWTH" hidden="1">"c21051"</definedName>
    <definedName name="IQ_REAL_PRIVATE_INVEST" hidden="1">"c21052"</definedName>
    <definedName name="IQ_REAL_PRIVATE_INVEST_EQUIP" hidden="1">"c21053"</definedName>
    <definedName name="IQ_REAL_PRIVATE_INVEST_EQUIP_OTHER" hidden="1">"c21054"</definedName>
    <definedName name="IQ_REAL_PRIVATE_INVEST_FIXED" hidden="1">"c21055"</definedName>
    <definedName name="IQ_REAL_PRIVATE_INVEST_INDUSTRIAL_EQUIP" hidden="1">"c21056"</definedName>
    <definedName name="IQ_REAL_PRIVATE_INVEST_INFO_EQUIP" hidden="1">"c21057"</definedName>
    <definedName name="IQ_REAL_PRIVATE_INVEST_INFO_EQUIP_COMPUTERS" hidden="1">"c21058"</definedName>
    <definedName name="IQ_REAL_PRIVATE_INVEST_INFO_EQUIP_OTHER" hidden="1">"c21059"</definedName>
    <definedName name="IQ_REAL_PRIVATE_INVEST_INFO_EQUIP_SOFTWARE" hidden="1">"c21060"</definedName>
    <definedName name="IQ_REAL_PRIVATE_INVEST_NONRES" hidden="1">"c21061"</definedName>
    <definedName name="IQ_REAL_PRIVATE_INVEST_PRIVATE_INV_CHANGE" hidden="1">"c21062"</definedName>
    <definedName name="IQ_REAL_PRIVATE_INVEST_PRIVATE_INV_FARMS" hidden="1">"c21063"</definedName>
    <definedName name="IQ_REAL_PRIVATE_INVEST_PRIVATE_INV_NONFARMS" hidden="1">"c21064"</definedName>
    <definedName name="IQ_REAL_PRIVATE_INVEST_RES" hidden="1">"c21065"</definedName>
    <definedName name="IQ_REAL_PRIVATE_INVEST_STRUCTURES" hidden="1">"c21066"</definedName>
    <definedName name="IQ_REAL_PRIVATE_INVEST_TRANSPORTATION_EQUIP" hidden="1">"c21067"</definedName>
    <definedName name="IQ_REAL_SALES_TO_DOMESTIC_PURCHASES" hidden="1">"c21068"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BOOKED_GNMA_LOANS_REPURCHASED_ELIGIBLE_REPURCHASE_DUE_30_89_THRIFT" hidden="1">"c25260"</definedName>
    <definedName name="IQ_REBOOKED_GNMA_LOANS_REPURCHASED_ELIGIBLE_REPURCHASE_DUE_90_THRIFT" hidden="1">"c25281"</definedName>
    <definedName name="IQ_REBOOKED_GNMA_LOANS_REPURCHASED_ELIGIBLE_REPURCHASE_NON_ACCRUAL_THRIFT" hidden="1">"c25302"</definedName>
    <definedName name="IQ_RECENT_FUNDS" hidden="1">"c18908"</definedName>
    <definedName name="IQ_RECENT_FUNDS_ID" hidden="1">"c18909"</definedName>
    <definedName name="IQ_RECIPROCAL_BROKERED_DEPOSITS_THRIFT" hidden="1">"c24997"</definedName>
    <definedName name="IQ_RECORDED_INV_PURCHASED_CREDIT_IMPAIRED_LOANS_THRIFT" hidden="1">"c25238"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GVA_THRIFT" hidden="1">"c25094"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OVERIES_TVA_THRIFT" hidden="1">"c25108"</definedName>
    <definedName name="IQ_RECURRING_PROFIT_ACT_OR_EST" hidden="1">"c4507"</definedName>
    <definedName name="IQ_RECURRING_PROFIT_ACT_OR_EST_CIQ" hidden="1">"c5045"</definedName>
    <definedName name="IQ_RECURRING_PROFIT_EST" hidden="1">"c4499"</definedName>
    <definedName name="IQ_RECURRING_PROFIT_EST_CIQ" hidden="1">"c5037"</definedName>
    <definedName name="IQ_RECURRING_PROFIT_HIGH_EST" hidden="1">"c4501"</definedName>
    <definedName name="IQ_RECURRING_PROFIT_HIGH_EST_CIQ" hidden="1">"c5039"</definedName>
    <definedName name="IQ_RECURRING_PROFIT_LOW_EST" hidden="1">"c4502"</definedName>
    <definedName name="IQ_RECURRING_PROFIT_LOW_EST_CIQ" hidden="1">"c5040"</definedName>
    <definedName name="IQ_RECURRING_PROFIT_MEDIAN_EST" hidden="1">"c4503"</definedName>
    <definedName name="IQ_RECURRING_PROFIT_MEDIAN_EST_CIQ" hidden="1">"c5041"</definedName>
    <definedName name="IQ_RECURRING_PROFIT_NUM_EST" hidden="1">"c4504"</definedName>
    <definedName name="IQ_RECURRING_PROFIT_NUM_EST_CIQ" hidden="1">"c5042"</definedName>
    <definedName name="IQ_RECURRING_PROFIT_SHARE_ACT_OR_EST" hidden="1">"c4508"</definedName>
    <definedName name="IQ_RECURRING_PROFIT_SHARE_ACT_OR_EST_CIQ" hidden="1">"c5046"</definedName>
    <definedName name="IQ_RECURRING_PROFIT_SHARE_EST" hidden="1">"c4506"</definedName>
    <definedName name="IQ_RECURRING_PROFIT_SHARE_EST_CIQ" hidden="1">"c5044"</definedName>
    <definedName name="IQ_RECURRING_PROFIT_SHARE_HIGH_EST" hidden="1">"c4510"</definedName>
    <definedName name="IQ_RECURRING_PROFIT_SHARE_HIGH_EST_CIQ" hidden="1">"c5048"</definedName>
    <definedName name="IQ_RECURRING_PROFIT_SHARE_LOW_EST" hidden="1">"c4511"</definedName>
    <definedName name="IQ_RECURRING_PROFIT_SHARE_LOW_EST_CIQ" hidden="1">"c5049"</definedName>
    <definedName name="IQ_RECURRING_PROFIT_SHARE_MEDIAN_EST" hidden="1">"c4512"</definedName>
    <definedName name="IQ_RECURRING_PROFIT_SHARE_MEDIAN_EST_CIQ" hidden="1">"c5050"</definedName>
    <definedName name="IQ_RECURRING_PROFIT_SHARE_NUM_EST" hidden="1">"c4513"</definedName>
    <definedName name="IQ_RECURRING_PROFIT_SHARE_NUM_EST_CIQ" hidden="1">"c5051"</definedName>
    <definedName name="IQ_RECURRING_PROFIT_SHARE_STDDEV_EST" hidden="1">"c4514"</definedName>
    <definedName name="IQ_RECURRING_PROFIT_SHARE_STDDEV_EST_CIQ" hidden="1">"c5052"</definedName>
    <definedName name="IQ_RECURRING_PROFIT_STDDEV_EST" hidden="1">"c4516"</definedName>
    <definedName name="IQ_RECURRING_PROFIT_STDDEV_EST_CIQ" hidden="1">"c5054"</definedName>
    <definedName name="IQ_REDEEM_PREF_STOCK" hidden="1">"c1417"</definedName>
    <definedName name="IQ_REDUCTION_TAX_POSITION_CURRENT_YR" hidden="1">"c15734"</definedName>
    <definedName name="IQ_REDUCTION_TAX_POSITION_PRIOR_YRS" hidden="1">"c15736"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TATED" hidden="1">"c16221"</definedName>
    <definedName name="IQ_REINSTATEMENT_DATE" hidden="1">"c16222"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AVG_PROP" hidden="1">"c16056"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NOI" hidden="1">"c16065"</definedName>
    <definedName name="IQ_RENTAL_NOI_AVG_GROSS_PROP" hidden="1">"c16057"</definedName>
    <definedName name="IQ_RENTAL_NOI_TOTAL_RENT_REVENUE" hidden="1">"c16061"</definedName>
    <definedName name="IQ_RENTAL_REV" hidden="1">"c1101"</definedName>
    <definedName name="IQ_REPAIRS_MAINTENANCE" hidden="1">"c16032"</definedName>
    <definedName name="IQ_REPO" hidden="1">"c19133"</definedName>
    <definedName name="IQ_REPOSSESS_1_4_DWELLING_UNITS_RE_THRIFT" hidden="1">"c24871"</definedName>
    <definedName name="IQ_REPOSSESS_ASSETS_THRIFT" hidden="1">"c24869"</definedName>
    <definedName name="IQ_REPOSSESS_CONSTRUCTION_RE_THRIFT" hidden="1">"c24870"</definedName>
    <definedName name="IQ_REPOSSESS_GVA_THRIFT" hidden="1">"c24877"</definedName>
    <definedName name="IQ_REPOSSESS_LAND_THRIFT" hidden="1">"c24874"</definedName>
    <definedName name="IQ_REPOSSESS_MULTIFAMILY_5_MORE_DWELLING_UNITS_RE_THRIFT" hidden="1">"c24872"</definedName>
    <definedName name="IQ_REPOSSESS_NONRES_EXCEPT_LAND_RE_THRIFT" hidden="1">"c24873"</definedName>
    <definedName name="IQ_REPOSSESS_OTHER_ASSETS_THRIFT" hidden="1">"c24876"</definedName>
    <definedName name="IQ_REPOSSESS_US_GOVT_GUARANTEED_INSURED_RE_OWNED_THRIFT" hidden="1">"c24875"</definedName>
    <definedName name="IQ_REPOSSESSED_ASSETS_TOTAL_ADJUSTED_NCOS_TOTAL_THRIFT" hidden="1">"c25218"</definedName>
    <definedName name="IQ_REPOSSESSED_ASSETS_TOTAL_GVA_CHARGE_OFFS_THRIFT" hidden="1">"c25133"</definedName>
    <definedName name="IQ_REPOSSESSED_ASSETS_TOTAL_SVA_PROVISIONS_TRANSFERS_FROM_GVA_TOTAL_THRIFT" hidden="1">"c25187"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IDUAL_INTERESTS_INT_ONLY_STRIPS_THRIFT" hidden="1">"c24939"</definedName>
    <definedName name="IQ_RESIDUAL_INTERESTS_THRIFT" hidden="1">"c24938"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CM" hidden="1">"c1106"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ATALOG_REVENUES" hidden="1">"c9903"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NV_BUILDING_MATERIAL" hidden="1">"c21069"</definedName>
    <definedName name="IQ_RETAIL_INV_CLOTHING" hidden="1">"c21070"</definedName>
    <definedName name="IQ_RETAIL_INV_DEPT_STORE" hidden="1">"c21071"</definedName>
    <definedName name="IQ_RETAIL_INV_FOOD" hidden="1">"c21072"</definedName>
    <definedName name="IQ_RETAIL_INV_FURNITURE" hidden="1">"c21073"</definedName>
    <definedName name="IQ_RETAIL_INV_GENERAL" hidden="1">"c21074"</definedName>
    <definedName name="IQ_RETAIL_INV_MOTOR_VEHICLE" hidden="1">"c21075"</definedName>
    <definedName name="IQ_RETAIL_INV_SALES_RATIO_BUILDING" hidden="1">"c21076"</definedName>
    <definedName name="IQ_RETAIL_INV_SALES_RATIO_CLOTHING" hidden="1">"c21077"</definedName>
    <definedName name="IQ_RETAIL_INV_SALES_RATIO_DEPT_STORE" hidden="1">"c21078"</definedName>
    <definedName name="IQ_RETAIL_INV_SALES_RATIO_FOOD" hidden="1">"c21079"</definedName>
    <definedName name="IQ_RETAIL_INV_SALES_RATIO_FURNITURE" hidden="1">"c21080"</definedName>
    <definedName name="IQ_RETAIL_INV_SALES_RATIO_GENERAL" hidden="1">"c21081"</definedName>
    <definedName name="IQ_RETAIL_INV_SALES_RATIO_MV" hidden="1">"c21082"</definedName>
    <definedName name="IQ_RETAIL_INV_SALES_RATIO_TOTAL" hidden="1">"c21083"</definedName>
    <definedName name="IQ_RETAIL_INV_SALES_RATIO_TOTAL_EX_MV" hidden="1">"c21084"</definedName>
    <definedName name="IQ_RETAIL_INV_TOTAL" hidden="1">"c21085"</definedName>
    <definedName name="IQ_RETAIL_INV_TOTAL_EX_MOTOR_VEHICLE" hidden="1">"c21086"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NLINE_REVENUES" hidden="1">"c9904"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REVENUES" hidden="1">"c9902"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BUILDING_MATERIAL" hidden="1">"c21087"</definedName>
    <definedName name="IQ_RETAIL_SALES_CATALOG" hidden="1">"c16128"</definedName>
    <definedName name="IQ_RETAIL_SALES_CLOTHING" hidden="1">"c21088"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FOODSTUFF" hidden="1">"c21089"</definedName>
    <definedName name="IQ_RETAIL_SALES_FURNITURE" hidden="1">"c21090"</definedName>
    <definedName name="IQ_RETAIL_SALES_GAS" hidden="1">"c21091"</definedName>
    <definedName name="IQ_RETAIL_SALES_GENERAL" hidden="1">"c21092"</definedName>
    <definedName name="IQ_RETAIL_SALES_HEALTH" hidden="1">"c21093"</definedName>
    <definedName name="IQ_RETAIL_SALES_MISC" hidden="1">"c21094"</definedName>
    <definedName name="IQ_RETAIL_SALES_MOTOR_VEHICLE" hidden="1">"c21095"</definedName>
    <definedName name="IQ_RETAIL_SALES_NONSTORES" hidden="1">"c21096"</definedName>
    <definedName name="IQ_RETAIL_SALES_ONLINE" hidden="1">"c16129"</definedName>
    <definedName name="IQ_RETAIL_SALES_POP" hidden="1">"c7223"</definedName>
    <definedName name="IQ_RETAIL_SALES_POP_FC" hidden="1">"c8103"</definedName>
    <definedName name="IQ_RETAIL_SALES_RETAIL" hidden="1">"c16127"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PORTING_GOODS" hidden="1">"c21097"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TOTAL" hidden="1">"c21098"</definedName>
    <definedName name="IQ_RETAIL_SALES_TOTAL_EX_MOTOR_VEHICLE" hidden="1">"c21099"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LES_YOY_PCT" hidden="1">"c21100"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L_WHOLESALE_REVENUES" hidden="1">"c15895"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EQUITY_THRIFT" hidden="1">"c25633"</definedName>
    <definedName name="IQ_RETAINED_EARNINGS_FFIEC" hidden="1">"c12878"</definedName>
    <definedName name="IQ_RETAINED_EARNINGS_THRIFT" hidden="1">"c24919"</definedName>
    <definedName name="IQ_RETIREMENT_DEFINED_BENEFIT_INC_THRIFT" hidden="1">"c24803"</definedName>
    <definedName name="IQ_RETIREMENT_DEFINED_CONT_INC_THRIFT" hidden="1">"c24802"</definedName>
    <definedName name="IQ_RETIREMENT_DEPOSITS_LESS_THAN_250000_THRIFT" hidden="1">"c24990"</definedName>
    <definedName name="IQ_RETIREMENT_DEPOSITS_WITH_BALANCES_GREATER_THAN_250000_THRIFT" hidden="1">"c24991"</definedName>
    <definedName name="IQ_RETIREMENT_OTHER_RETIREMENT_ACCOUNTS_INC_THRIFT" hidden="1">"c24804"</definedName>
    <definedName name="IQ_RETIREMENT_RELATED_EMPLOYEE_BENEFIT_ACCOUNTS_GROSS_LOSSES_MANAGED_ACCOUNTS_THRIFT" hidden="1">"c25462"</definedName>
    <definedName name="IQ_RETIREMENT_RELATED_EMPLOYEE_BENEFIT_ACCOUNTS_GROSS_LOSSES_NONMANAGED_ACCOUNTS_THRIFT" hidden="1">"c25467"</definedName>
    <definedName name="IQ_RETIREMENT_RELATED_EMPLOYEE_BENEFIT_ACCOUNTS_RECOVERIES_THRIFT" hidden="1">"c25472"</definedName>
    <definedName name="IQ_RETIREMENT_RELATED_TRUST_AGENCY_ACCOUNTS_EMPLOYEE_BENEFIT_DEFINED_BENEFIT_MANAGED_ASSETS_THRIFT" hidden="1">"c25349"</definedName>
    <definedName name="IQ_RETIREMENT_RELATED_TRUST_AGENCY_ACCOUNTS_EMPLOYEE_BENEFIT_DEFINED_BENEFIT_NONMANAGED_ASSETS_THRIFT" hidden="1">"c25370"</definedName>
    <definedName name="IQ_RETIREMENT_RELATED_TRUST_AGENCY_ACCOUNTS_EMPLOYEE_BENEFIT_DEFINED_BENEFIT_NUMBER_MANAGED_ACCOUNTS_THRIFT" hidden="1">"c25360"</definedName>
    <definedName name="IQ_RETIREMENT_RELATED_TRUST_AGENCY_ACCOUNTS_EMPLOYEE_BENEFIT_DEFINED_BENEFIT_NUMBER_NONMANAGED_ACCOUNTS_THRIFT" hidden="1">"c25382"</definedName>
    <definedName name="IQ_RETIREMENT_RELATED_TRUST_AGENCY_ACCOUNTS_EMPLOYEE_BENEFIT_DEFINED_CONTRIBUTION_MANAGED_ASSETS_THRIFT" hidden="1">"c25348"</definedName>
    <definedName name="IQ_RETIREMENT_RELATED_TRUST_AGENCY_ACCOUNTS_EMPLOYEE_BENEFIT_DEFINED_CONTRIBUTION_NONMANAGED_ASSETS_THRIFT" hidden="1">"c25369"</definedName>
    <definedName name="IQ_RETIREMENT_RELATED_TRUST_AGENCY_ACCOUNTS_EMPLOYEE_BENEFIT_DEFINED_CONTRIBUTION_NUMBER_MANAGED_ACCOUNTS_THRIFT" hidden="1">"c25359"</definedName>
    <definedName name="IQ_RETIREMENT_RELATED_TRUST_AGENCY_ACCOUNTS_EMPLOYEE_BENEFIT_DEFINED_CONTRIBUTION_NUMBER_NONMANAGED_ACCOUNTS_THRIFT" hidden="1">"c25381"</definedName>
    <definedName name="IQ_RETIREMENT_RELATED_TRUST_AGENCY_ACCOUNTS_EMPLOYEE_BENEFIT_OTHER_MANAGED_ASSETS_THRIFT" hidden="1">"c25350"</definedName>
    <definedName name="IQ_RETIREMENT_RELATED_TRUST_AGENCY_ACCOUNTS_EMPLOYEE_BENEFIT_OTHER_NONMANAGED_ASSETS_THRIFT" hidden="1">"c25371"</definedName>
    <definedName name="IQ_RETIREMENT_RELATED_TRUST_AGENCY_ACCOUNTS_EMPLOYEE_BENEFIT_OTHER_NUMBER_MANAGED_ACCOUNTS_THRIFT" hidden="1">"c25361"</definedName>
    <definedName name="IQ_RETIREMENT_RELATED_TRUST_AGENCY_ACCOUNTS_EMPLOYEE_BENEFIT_OTHER_NUMBER_NONMANAGED_ACCOUNTS_THRIFT" hidden="1">"c25383"</definedName>
    <definedName name="IQ_RETURN_ASSETS" hidden="1">"c1113"</definedName>
    <definedName name="IQ_RETURN_ASSETS_ACT_OR_EST" hidden="1">"c3585"</definedName>
    <definedName name="IQ_RETURN_ASSETS_ACT_OR_EST_CIQ" hidden="1">"c12020"</definedName>
    <definedName name="IQ_RETURN_ASSETS_BANK" hidden="1">"c1114"</definedName>
    <definedName name="IQ_RETURN_ASSETS_BROK" hidden="1">"c1115"</definedName>
    <definedName name="IQ_RETURN_ASSETS_CM" hidden="1">"c1115"</definedName>
    <definedName name="IQ_RETURN_ASSETS_EST" hidden="1">"c3529"</definedName>
    <definedName name="IQ_RETURN_ASSETS_EST_CIQ" hidden="1">"c3828"</definedName>
    <definedName name="IQ_RETURN_ASSETS_EST_DOWN_2MONTH" hidden="1">"c16537"</definedName>
    <definedName name="IQ_RETURN_ASSETS_EST_DOWN_2MONTH_CIQ" hidden="1">"c16801"</definedName>
    <definedName name="IQ_RETURN_ASSETS_EST_DOWN_3MONTH" hidden="1">"c16541"</definedName>
    <definedName name="IQ_RETURN_ASSETS_EST_DOWN_3MONTH_CIQ" hidden="1">"c16805"</definedName>
    <definedName name="IQ_RETURN_ASSETS_EST_DOWN_MONTH" hidden="1">"c16533"</definedName>
    <definedName name="IQ_RETURN_ASSETS_EST_DOWN_MONTH_CIQ" hidden="1">"c16797"</definedName>
    <definedName name="IQ_RETURN_ASSETS_EST_NOTE" hidden="1">"c17520"</definedName>
    <definedName name="IQ_RETURN_ASSETS_EST_NOTE_CIQ" hidden="1">"c17473"</definedName>
    <definedName name="IQ_RETURN_ASSETS_EST_NUM_ANALYSTS_2MONTH" hidden="1">"c16535"</definedName>
    <definedName name="IQ_RETURN_ASSETS_EST_NUM_ANALYSTS_2MONTH_CIQ" hidden="1">"c16799"</definedName>
    <definedName name="IQ_RETURN_ASSETS_EST_NUM_ANALYSTS_3MONTH" hidden="1">"c16539"</definedName>
    <definedName name="IQ_RETURN_ASSETS_EST_NUM_ANALYSTS_3MONTH_CIQ" hidden="1">"c16803"</definedName>
    <definedName name="IQ_RETURN_ASSETS_EST_NUM_ANALYSTS_MONTH" hidden="1">"c16531"</definedName>
    <definedName name="IQ_RETURN_ASSETS_EST_NUM_ANALYSTS_MONTH_CIQ" hidden="1">"c16795"</definedName>
    <definedName name="IQ_RETURN_ASSETS_EST_TOTAL_REVISED_2MONTH" hidden="1">"c16538"</definedName>
    <definedName name="IQ_RETURN_ASSETS_EST_TOTAL_REVISED_2MONTH_CIQ" hidden="1">"c16802"</definedName>
    <definedName name="IQ_RETURN_ASSETS_EST_TOTAL_REVISED_3MONTH" hidden="1">"c16542"</definedName>
    <definedName name="IQ_RETURN_ASSETS_EST_TOTAL_REVISED_3MONTH_CIQ" hidden="1">"c16806"</definedName>
    <definedName name="IQ_RETURN_ASSETS_EST_TOTAL_REVISED_MONTH" hidden="1">"c16534"</definedName>
    <definedName name="IQ_RETURN_ASSETS_EST_TOTAL_REVISED_MONTH_CIQ" hidden="1">"c16798"</definedName>
    <definedName name="IQ_RETURN_ASSETS_EST_UP_2MONTH" hidden="1">"c16536"</definedName>
    <definedName name="IQ_RETURN_ASSETS_EST_UP_2MONTH_CIQ" hidden="1">"c16800"</definedName>
    <definedName name="IQ_RETURN_ASSETS_EST_UP_3MONTH" hidden="1">"c16540"</definedName>
    <definedName name="IQ_RETURN_ASSETS_EST_UP_3MONTH_CIQ" hidden="1">"c16804"</definedName>
    <definedName name="IQ_RETURN_ASSETS_EST_UP_MONTH" hidden="1">"c16532"</definedName>
    <definedName name="IQ_RETURN_ASSETS_EST_UP_MONTH_CIQ" hidden="1">"c16796"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CIQ" hidden="1">"c3830"</definedName>
    <definedName name="IQ_RETURN_ASSETS_HIGH_GUIDANCE" hidden="1">"c4183"</definedName>
    <definedName name="IQ_RETURN_ASSETS_LOW_EST" hidden="1">"c3531"</definedName>
    <definedName name="IQ_RETURN_ASSETS_LOW_EST_CIQ" hidden="1">"c3831"</definedName>
    <definedName name="IQ_RETURN_ASSETS_LOW_GUIDANCE" hidden="1">"c4223"</definedName>
    <definedName name="IQ_RETURN_ASSETS_MEDIAN_EST" hidden="1">"c3532"</definedName>
    <definedName name="IQ_RETURN_ASSETS_MEDIAN_EST_CIQ" hidden="1">"c3829"</definedName>
    <definedName name="IQ_RETURN_ASSETS_NUM_EST" hidden="1">"c3527"</definedName>
    <definedName name="IQ_RETURN_ASSETS_NUM_EST_CIQ" hidden="1">"c3832"</definedName>
    <definedName name="IQ_RETURN_ASSETS_STDDEV_EST" hidden="1">"c3528"</definedName>
    <definedName name="IQ_RETURN_ASSETS_STDDEV_EST_CIQ" hidden="1">"c3833"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CIQ" hidden="1">"c12021"</definedName>
    <definedName name="IQ_RETURN_EQUITY_BANK" hidden="1">"c1119"</definedName>
    <definedName name="IQ_RETURN_EQUITY_BROK" hidden="1">"c1120"</definedName>
    <definedName name="IQ_RETURN_EQUITY_CM" hidden="1">"c1120"</definedName>
    <definedName name="IQ_RETURN_EQUITY_EST" hidden="1">"c3535"</definedName>
    <definedName name="IQ_RETURN_EQUITY_EST_CIQ" hidden="1">"c3821"</definedName>
    <definedName name="IQ_RETURN_EQUITY_EST_DOWN_2MONTH" hidden="1">"c16549"</definedName>
    <definedName name="IQ_RETURN_EQUITY_EST_DOWN_2MONTH_CIQ" hidden="1">"c16813"</definedName>
    <definedName name="IQ_RETURN_EQUITY_EST_DOWN_3MONTH" hidden="1">"c16553"</definedName>
    <definedName name="IQ_RETURN_EQUITY_EST_DOWN_3MONTH_CIQ" hidden="1">"c16817"</definedName>
    <definedName name="IQ_RETURN_EQUITY_EST_DOWN_MONTH" hidden="1">"c16545"</definedName>
    <definedName name="IQ_RETURN_EQUITY_EST_DOWN_MONTH_CIQ" hidden="1">"c16809"</definedName>
    <definedName name="IQ_RETURN_EQUITY_EST_NOTE" hidden="1">"c17521"</definedName>
    <definedName name="IQ_RETURN_EQUITY_EST_NOTE_CIQ" hidden="1">"c17474"</definedName>
    <definedName name="IQ_RETURN_EQUITY_EST_NUM_ANALYSTS_2MONTH" hidden="1">"c16547"</definedName>
    <definedName name="IQ_RETURN_EQUITY_EST_NUM_ANALYSTS_2MONTH_CIQ" hidden="1">"c16811"</definedName>
    <definedName name="IQ_RETURN_EQUITY_EST_NUM_ANALYSTS_3MONTH" hidden="1">"c16551"</definedName>
    <definedName name="IQ_RETURN_EQUITY_EST_NUM_ANALYSTS_3MONTH_CIQ" hidden="1">"c16815"</definedName>
    <definedName name="IQ_RETURN_EQUITY_EST_NUM_ANALYSTS_MONTH" hidden="1">"c16543"</definedName>
    <definedName name="IQ_RETURN_EQUITY_EST_NUM_ANALYSTS_MONTH_CIQ" hidden="1">"c16807"</definedName>
    <definedName name="IQ_RETURN_EQUITY_EST_TOTAL_REVISED_2MONTH" hidden="1">"c16550"</definedName>
    <definedName name="IQ_RETURN_EQUITY_EST_TOTAL_REVISED_2MONTH_CIQ" hidden="1">"c16814"</definedName>
    <definedName name="IQ_RETURN_EQUITY_EST_TOTAL_REVISED_3MONTH" hidden="1">"c16554"</definedName>
    <definedName name="IQ_RETURN_EQUITY_EST_TOTAL_REVISED_3MONTH_CIQ" hidden="1">"c16818"</definedName>
    <definedName name="IQ_RETURN_EQUITY_EST_TOTAL_REVISED_MONTH" hidden="1">"c16546"</definedName>
    <definedName name="IQ_RETURN_EQUITY_EST_TOTAL_REVISED_MONTH_CIQ" hidden="1">"c16810"</definedName>
    <definedName name="IQ_RETURN_EQUITY_EST_UP_2MONTH" hidden="1">"c16548"</definedName>
    <definedName name="IQ_RETURN_EQUITY_EST_UP_2MONTH_CIQ" hidden="1">"c16812"</definedName>
    <definedName name="IQ_RETURN_EQUITY_EST_UP_3MONTH" hidden="1">"c16552"</definedName>
    <definedName name="IQ_RETURN_EQUITY_EST_UP_3MONTH_CIQ" hidden="1">"c16816"</definedName>
    <definedName name="IQ_RETURN_EQUITY_EST_UP_MONTH" hidden="1">"c16544"</definedName>
    <definedName name="IQ_RETURN_EQUITY_EST_UP_MONTH_CIQ" hidden="1">"c16808"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CIQ" hidden="1">"c3823"</definedName>
    <definedName name="IQ_RETURN_EQUITY_HIGH_GUIDANCE" hidden="1">"c4182"</definedName>
    <definedName name="IQ_RETURN_EQUITY_LOW_EST" hidden="1">"c3537"</definedName>
    <definedName name="IQ_RETURN_EQUITY_LOW_EST_CIQ" hidden="1">"c3824"</definedName>
    <definedName name="IQ_RETURN_EQUITY_LOW_GUIDANCE" hidden="1">"c4222"</definedName>
    <definedName name="IQ_RETURN_EQUITY_MEDIAN_EST" hidden="1">"c3538"</definedName>
    <definedName name="IQ_RETURN_EQUITY_MEDIAN_EST_CIQ" hidden="1">"c3822"</definedName>
    <definedName name="IQ_RETURN_EQUITY_NUM_EST" hidden="1">"c3533"</definedName>
    <definedName name="IQ_RETURN_EQUITY_NUM_EST_CIQ" hidden="1">"c3825"</definedName>
    <definedName name="IQ_RETURN_EQUITY_STDDEV_EST" hidden="1">"c3534"</definedName>
    <definedName name="IQ_RETURN_EQUITY_STDDEV_EST_CIQ" hidden="1">"c3826"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BEFORE_LOAN_LOSS_FOREIGN_FFIEC" hidden="1">"c15381"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ALUATION_NON_TRADING_PROP" hidden="1">"c15999"</definedName>
    <definedName name="IQ_REVENUE" hidden="1">"c1422"</definedName>
    <definedName name="IQ_REVENUE_ACT_OR_EST" hidden="1">"c2214"</definedName>
    <definedName name="IQ_REVENUE_ACT_OR_EST_CIQ" hidden="1">"c5059"</definedName>
    <definedName name="IQ_REVENUE_ADVERTISING" hidden="1">"c2880"</definedName>
    <definedName name="IQ_REVENUE_ANALOG_CABLE" hidden="1">"c2875"</definedName>
    <definedName name="IQ_REVENUE_BASIC_CABLE" hidden="1">"c2877"</definedName>
    <definedName name="IQ_REVENUE_BBAND" hidden="1">"c2878"</definedName>
    <definedName name="IQ_REVENUE_BEFORE_LL_FFIEC" hidden="1">"c13018"</definedName>
    <definedName name="IQ_REVENUE_BEFORE_LL_THRIFT" hidden="1">"c24782"</definedName>
    <definedName name="IQ_REVENUE_COMMERCIAL" hidden="1">"c2881"</definedName>
    <definedName name="IQ_REVENUE_DIGITAL_CABLE" hidden="1">"c2876"</definedName>
    <definedName name="IQ_REVENUE_EST" hidden="1">"c1126"</definedName>
    <definedName name="IQ_REVENUE_EST_BOTTOM_UP" hidden="1">"c5488"</definedName>
    <definedName name="IQ_REVENUE_EST_BOTTOM_UP_CIQ" hidden="1">"c12025"</definedName>
    <definedName name="IQ_REVENUE_EST_CIQ" hidden="1">"c3616"</definedName>
    <definedName name="IQ_REVENUE_EST_DOWN_2MONTH" hidden="1">"c16285"</definedName>
    <definedName name="IQ_REVENUE_EST_DOWN_2MONTH_CIQ" hidden="1">"c16609"</definedName>
    <definedName name="IQ_REVENUE_EST_DOWN_3MONTH" hidden="1">"c16289"</definedName>
    <definedName name="IQ_REVENUE_EST_DOWN_3MONTH_CIQ" hidden="1">"c16613"</definedName>
    <definedName name="IQ_REVENUE_EST_DOWN_MONTH" hidden="1">"c16281"</definedName>
    <definedName name="IQ_REVENUE_EST_DOWN_MONTH_CIQ" hidden="1">"c16605"</definedName>
    <definedName name="IQ_REVENUE_EST_NOTE" hidden="1">"c17502"</definedName>
    <definedName name="IQ_REVENUE_EST_NOTE_CIQ" hidden="1">"c17455"</definedName>
    <definedName name="IQ_REVENUE_EST_NUM_ANALYSTS_2MONTH" hidden="1">"c16283"</definedName>
    <definedName name="IQ_REVENUE_EST_NUM_ANALYSTS_2MONTH_CIQ" hidden="1">"c16607"</definedName>
    <definedName name="IQ_REVENUE_EST_NUM_ANALYSTS_3MONTH" hidden="1">"c16287"</definedName>
    <definedName name="IQ_REVENUE_EST_NUM_ANALYSTS_3MONTH_CIQ" hidden="1">"c16611"</definedName>
    <definedName name="IQ_REVENUE_EST_NUM_ANALYSTS_MONTH" hidden="1">"c16279"</definedName>
    <definedName name="IQ_REVENUE_EST_NUM_ANALYSTS_MONTH_CIQ" hidden="1">"c16603"</definedName>
    <definedName name="IQ_REVENUE_EST_TOTAL_REVISED_2MONTH" hidden="1">"c16286"</definedName>
    <definedName name="IQ_REVENUE_EST_TOTAL_REVISED_2MONTH_CIQ" hidden="1">"c16610"</definedName>
    <definedName name="IQ_REVENUE_EST_TOTAL_REVISED_3MONTH" hidden="1">"c16290"</definedName>
    <definedName name="IQ_REVENUE_EST_TOTAL_REVISED_3MONTH_CIQ" hidden="1">"c16614"</definedName>
    <definedName name="IQ_REVENUE_EST_TOTAL_REVISED_MONTH" hidden="1">"c16282"</definedName>
    <definedName name="IQ_REVENUE_EST_TOTAL_REVISED_MONTH_CIQ" hidden="1">"c16606"</definedName>
    <definedName name="IQ_REVENUE_EST_UP_2MONTH" hidden="1">"c16284"</definedName>
    <definedName name="IQ_REVENUE_EST_UP_2MONTH_CIQ" hidden="1">"c16608"</definedName>
    <definedName name="IQ_REVENUE_EST_UP_3MONTH" hidden="1">"c16288"</definedName>
    <definedName name="IQ_REVENUE_EST_UP_3MONTH_CIQ" hidden="1">"c16612"</definedName>
    <definedName name="IQ_REVENUE_EST_UP_MONTH" hidden="1">"c16280"</definedName>
    <definedName name="IQ_REVENUE_EST_UP_MONTH_CIQ" hidden="1">"c16604"</definedName>
    <definedName name="IQ_REVENUE_GUIDANCE" hidden="1">"c4519"</definedName>
    <definedName name="IQ_REVENUE_HIGH_EST" hidden="1">"c1127"</definedName>
    <definedName name="IQ_REVENUE_HIGH_EST_CIQ" hidden="1">"c3618"</definedName>
    <definedName name="IQ_REVENUE_HIGH_GUIDANCE" hidden="1">"c4169"</definedName>
    <definedName name="IQ_REVENUE_LOW_EST" hidden="1">"c1128"</definedName>
    <definedName name="IQ_REVENUE_LOW_EST_CIQ" hidden="1">"c3619"</definedName>
    <definedName name="IQ_REVENUE_LOW_GUIDANCE" hidden="1">"c4209"</definedName>
    <definedName name="IQ_REVENUE_MEDIAN_EST" hidden="1">"c1662"</definedName>
    <definedName name="IQ_REVENUE_MEDIAN_EST_CIQ" hidden="1">"c3617"</definedName>
    <definedName name="IQ_REVENUE_NUM_EST" hidden="1">"c1129"</definedName>
    <definedName name="IQ_REVENUE_NUM_EST_CIQ" hidden="1">"c3620"</definedName>
    <definedName name="IQ_REVENUE_OTHER" hidden="1">"c2882"</definedName>
    <definedName name="IQ_REVENUE_PHONE" hidden="1">"c2879"</definedName>
    <definedName name="IQ_REVENUE_TOTAL" hidden="1">"c2883"</definedName>
    <definedName name="IQ_REVENUES_SATELLITE" hidden="1">"c15792"</definedName>
    <definedName name="IQ_REVENUES_WIRELESS" hidden="1">"c15793"</definedName>
    <definedName name="IQ_REVERSE_REPO" hidden="1">"c19131"</definedName>
    <definedName name="IQ_REVISION_DATE_" hidden="1">40697.4632291667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GROSS_LOANS_THRIFT" hidden="1">"c25723"</definedName>
    <definedName name="IQ_REVOLVING_LOANS_RISK_BASED_CAPITAL_THRIFT" hidden="1">"c25708"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OPEN_END_PML_SECURED_1_4_DWELLING_UNITS_DUE_30_89_THRIFT" hidden="1">"c25241"</definedName>
    <definedName name="IQ_REVOLVING_OPEN_END_PML_SECURED_1_4_DWELLING_UNITS_DUE_90_THRIFT" hidden="1">"c25262"</definedName>
    <definedName name="IQ_REVOLVING_OPEN_END_PML_SECURED_1_4_DWELLING_UNITS_NON_ACCRUAL_THRIFT" hidden="1">"c25283"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GU" hidden="1">"c2863"</definedName>
    <definedName name="IQ_RISK_ADJ_BANK_ASSETS" hidden="1">"c2670"</definedName>
    <definedName name="IQ_RISK_WEIGHTED_ASSETS_0_PCT_FFIEC" hidden="1">"c18874"</definedName>
    <definedName name="IQ_RISK_WEIGHTED_ASSETS_100_PCT_FFIEC" hidden="1">"c18877"</definedName>
    <definedName name="IQ_RISK_WEIGHTED_ASSETS_20_PCT_FFIEC" hidden="1">"c18875"</definedName>
    <definedName name="IQ_RISK_WEIGHTED_ASSETS_50_PCT_FFIEC" hidden="1">"c18876"</definedName>
    <definedName name="IQ_RISK_WEIGHTED_ASSETS_BEFORE_EXCESS_ALLOWANCE_LL_LOSSES_THRIFT" hidden="1">"c25077"</definedName>
    <definedName name="IQ_RISK_WEIGHTED_ASSETS_FDIC" hidden="1">"c6370"</definedName>
    <definedName name="IQ_RISK_WEIGHTED_ASSETS_LOW_LEVEL_RECOURSE_RESIDUAL_INTERESTS_THRIFT" hidden="1">"c25075"</definedName>
    <definedName name="IQ_ROAM_MIN_USE_OTHER_CARRIERS" hidden="1">"c15765"</definedName>
    <definedName name="IQ_ROYALTIES_DUE_AFTER_FIVE" hidden="1">"c15969"</definedName>
    <definedName name="IQ_ROYALTIES_DUE_CY" hidden="1">"c15964"</definedName>
    <definedName name="IQ_ROYALTIES_DUE_CY1" hidden="1">"c15965"</definedName>
    <definedName name="IQ_ROYALTIES_DUE_CY2" hidden="1">"c15966"</definedName>
    <definedName name="IQ_ROYALTIES_DUE_CY3" hidden="1">"c15967"</definedName>
    <definedName name="IQ_ROYALTIES_DUE_CY4" hidden="1">"c15968"</definedName>
    <definedName name="IQ_ROYALTY_REVENUE_COAL" hidden="1">"c15932"</definedName>
    <definedName name="IQ_RSI" hidden="1">"c12704"</definedName>
    <definedName name="IQ_RSI_ADJ" hidden="1">"c12705"</definedName>
    <definedName name="IQ_RSSD_ID_FFIEC" hidden="1">"c20506"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IES_EMPLOYEE_BENEFITS_THRIFT" hidden="1">"c24786"</definedName>
    <definedName name="IQ_SALARIES_OTHER_BENEFITS" hidden="1">"c16176"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CM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CM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PROCEEDS_RENTAL_ASSETS" hidden="1">"c26974"</definedName>
    <definedName name="IQ_SALE_PROP" hidden="1">"c16029"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CM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COAL" hidden="1">"c15930"</definedName>
    <definedName name="IQ_SALES_COMM_NON_MORTGAGE_LOANS_THRIFT" hidden="1">"c25340"</definedName>
    <definedName name="IQ_SALES_CONSUMER_NON_MORTGAGE_LOANS_THRIFT" hidden="1">"c25342"</definedName>
    <definedName name="IQ_SALES_MARKETING" hidden="1">"c2240"</definedName>
    <definedName name="IQ_SALES_OTHER_MORTGAGE_BACKED_SEC_THRIFT" hidden="1">"c25315"</definedName>
    <definedName name="IQ_SALES_PASS_THROUGH_MORTGAGE_BACKED_SEC_THRIFT" hidden="1">"c25312"</definedName>
    <definedName name="IQ_SALES_TO_TOTAL_REVENUE_COAL" hidden="1">"c15943"</definedName>
    <definedName name="IQ_SAME_PROP_AGG_GLA" hidden="1">"c16055"</definedName>
    <definedName name="IQ_SAME_PROP_AGG_UNITS" hidden="1">"c16053"</definedName>
    <definedName name="IQ_SAME_PROP_EXPENSE" hidden="1">"c16050"</definedName>
    <definedName name="IQ_SAME_PROP_EXPENSE_GROWTH" hidden="1">"c16051"</definedName>
    <definedName name="IQ_SAME_PROP_NUMBER_PROP" hidden="1">"c16052"</definedName>
    <definedName name="IQ_SAME_PROP_PORTFOLIO_AREA" hidden="1">"c16054"</definedName>
    <definedName name="IQ_SAME_PROP_REV_GROWTH" hidden="1">"c16049"</definedName>
    <definedName name="IQ_SAME_PROP_REVENUE" hidden="1">"c16048"</definedName>
    <definedName name="IQ_SAME_STORE" hidden="1">"c1149"</definedName>
    <definedName name="IQ_SAME_STORE_ACT_OR_EST" hidden="1">"c18269"</definedName>
    <definedName name="IQ_SAME_STORE_ACT_OR_EST_CIQ" hidden="1">"c18275"</definedName>
    <definedName name="IQ_SAME_STORE_EST" hidden="1">"c18116"</definedName>
    <definedName name="IQ_SAME_STORE_EST_CIQ" hidden="1">"c18184"</definedName>
    <definedName name="IQ_SAME_STORE_EST_NOTE" hidden="1">"c18237"</definedName>
    <definedName name="IQ_SAME_STORE_EST_NOTE_CIQ" hidden="1">"c18244"</definedName>
    <definedName name="IQ_SAME_STORE_FRANCHISE" hidden="1">"c2900"</definedName>
    <definedName name="IQ_SAME_STORE_GUIDANCE" hidden="1">"c18412"</definedName>
    <definedName name="IQ_SAME_STORE_HIGH_EST" hidden="1">"c18136"</definedName>
    <definedName name="IQ_SAME_STORE_HIGH_EST_CIQ" hidden="1">"c18198"</definedName>
    <definedName name="IQ_SAME_STORE_HIGH_GUIDANCE" hidden="1">"c18413"</definedName>
    <definedName name="IQ_SAME_STORE_LOW_EST" hidden="1">"c18146"</definedName>
    <definedName name="IQ_SAME_STORE_LOW_EST_CIQ" hidden="1">"c18205"</definedName>
    <definedName name="IQ_SAME_STORE_LOW_GUIDANCE" hidden="1">"c18414"</definedName>
    <definedName name="IQ_SAME_STORE_MEDIAN_EST" hidden="1">"c18126"</definedName>
    <definedName name="IQ_SAME_STORE_MEDIAN_EST_CIQ" hidden="1">"c18191"</definedName>
    <definedName name="IQ_SAME_STORE_NUM_EST" hidden="1">"c18166"</definedName>
    <definedName name="IQ_SAME_STORE_NUM_EST_CIQ" hidden="1">"c18219"</definedName>
    <definedName name="IQ_SAME_STORE_OWNED" hidden="1">"c2908"</definedName>
    <definedName name="IQ_SAME_STORE_STDDEV_EST" hidden="1">"c18156"</definedName>
    <definedName name="IQ_SAME_STORE_STDDEV_EST_CIQ" hidden="1">"c18212"</definedName>
    <definedName name="IQ_SAME_STORE_TOTAL" hidden="1">"c2892"</definedName>
    <definedName name="IQ_SAVING_DEP" hidden="1">"c1150"</definedName>
    <definedName name="IQ_SAVINGS_ACCT_DEPOSITS_TOTAL_DEPOSITS" hidden="1">"c15721"</definedName>
    <definedName name="IQ_SAVINGS_ASSOCIATION_EQUITY_CAPITAL_BEGINNING_BALANCE_FROM_PRIOR_QTR_THRIFT" hidden="1">"c25008"</definedName>
    <definedName name="IQ_SAVINGS_ASSOCIATION_EQUITY_CAPITAL_ENDING_BALANCE_THRIFT" hidden="1">"c25019"</definedName>
    <definedName name="IQ_SAVINGS_DEPOSITS_NON_TRANS_ACCTS_FFIEC" hidden="1">"c15329"</definedName>
    <definedName name="IQ_SAVINGS_DEPOSITS_QUARTERLY_AVG_FFIEC" hidden="1">"c15485"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CALABLE_INFRASTRUCTURE_CABLE_INVEST" hidden="1">"c15802"</definedName>
    <definedName name="IQ_SEC_1_4_CONSTRUCTION_DOM_CHARGE_OFFS_FFIEC" hidden="1">"c13165"</definedName>
    <definedName name="IQ_SEC_1_4_CONSTRUCTION_DOM_RECOV_FFIEC" hidden="1">"c13187"</definedName>
    <definedName name="IQ_SEC_BACKED_NON_MORTGAGE_LOANS_THRIFT" hidden="1">"c24825"</definedName>
    <definedName name="IQ_SEC_BACKED_US_GOVT_ELIGIBLE_0_PCT_RISK_WEIGHT_THRIFT" hidden="1">"c25052"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FS_AMORT_COST_FFIEC" hidden="1">"c20492"</definedName>
    <definedName name="IQ_SEC_ISSUED_US_AFS_FAIR_VAL_FFIEC" hidden="1">"c20457"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NON_ACCRUAL_FFIEC" hidden="1">"c15462"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NON_ACCRUAL_FFIEC" hidden="1">"c15461"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RISK_WEIGHTED_100_PCT_MORE_UNDER_RATINGS_THRIFT" hidden="1">"c25071"</definedName>
    <definedName name="IQ_SEC_SOLD_REPURCHASE_FFIEC" hidden="1">"c12857"</definedName>
    <definedName name="IQ_SEC_SOLD_UNDER_AGREEMENTS_REPURCHASE_THRIFT" hidden="1">"c25574"</definedName>
    <definedName name="IQ_SECOND_LIEN_BONDS_NOTES" hidden="1">"c17893"</definedName>
    <definedName name="IQ_SECOND_LIEN_BONDS_NOTES_PCT" hidden="1">"c18007"</definedName>
    <definedName name="IQ_SECOND_LIEN_DEBT" hidden="1">"c17898"</definedName>
    <definedName name="IQ_SECOND_LIEN_DEBT_PCT" hidden="1">"c18012"</definedName>
    <definedName name="IQ_SECOND_LIEN_LOANS" hidden="1">"c17892"</definedName>
    <definedName name="IQ_SECOND_LIEN_LOANS_PCT" hidden="1">"c18006"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COMMERCIAL_LOANS_THRIFT" hidden="1">"c24854"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FED_FUNDS_PURCHASED_TOTAL_ASSETS_THRIFT" hidden="1">"c25703"</definedName>
    <definedName name="IQ_SECURED_FEDERAL_FUNDS_PURCHASED_THRIFT" hidden="1">"c25573"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AFS_AMORT_COST_FFIEC" hidden="1">"c20488"</definedName>
    <definedName name="IQ_SECURITIES_AFS_FAIR_VAL_FFIEC" hidden="1">"c20453"</definedName>
    <definedName name="IQ_SECURITIES_GAINS_FDIC" hidden="1">"c6584"</definedName>
    <definedName name="IQ_SECURITIES_HELD_MATURITY_FFIEC" hidden="1">"c12777"</definedName>
    <definedName name="IQ_SECURITIES_HTM_AMORT_COST_FFIEC" hidden="1">"c20436"</definedName>
    <definedName name="IQ_SECURITIES_HTM_FAIR_VAL_FFIEC" hidden="1">"c20471"</definedName>
    <definedName name="IQ_SECURITIES_ISSUED_STATES_FDIC" hidden="1">"c6300"</definedName>
    <definedName name="IQ_SECURITIES_ISSUED_US_FFIEC" hidden="1">"c12781"</definedName>
    <definedName name="IQ_SECURITIES_ISSUED_US_HTM_AMORT_COST_FFIEC" hidden="1">"c20440"</definedName>
    <definedName name="IQ_SECURITIES_ISSUED_US_HTM_FAIR_VAL_FFIEC" hidden="1">"c20475"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STATE_POLI_SUBD_QUARTERLY_AVG_FFIEC" hidden="1">"c15470"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IZED_DEBT" hidden="1">"c17897"</definedName>
    <definedName name="IQ_SECURITIZED_DEBT_PCT" hidden="1">"c18011"</definedName>
    <definedName name="IQ_SECURITY_ACTIVE_STATUS" hidden="1">"c15160"</definedName>
    <definedName name="IQ_SECURITY_BORROW" hidden="1">"c1152"</definedName>
    <definedName name="IQ_SECURITY_FEATURES" hidden="1">"c17681"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COMM_FEE_DOM_FFIEC" hidden="1">"c25821"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ASSETS_MORTGAGE_LOANS_THRIFT" hidden="1">"c24888"</definedName>
    <definedName name="IQ_SERVICING_ASSETS_NON_MORTGAGE_LOANS_THRIFT" hidden="1">"c24889"</definedName>
    <definedName name="IQ_SERVICING_FEES_FFIEC" hidden="1">"c13011"</definedName>
    <definedName name="IQ_SERVICING_FEES_OPERATING_INC_FFIEC" hidden="1">"c13389"</definedName>
    <definedName name="IQ_SETTLEMENTS_TAX_AUTHORITIES" hidden="1">"c15737"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_PARTNERSHIP_ASSETS" hidden="1">"c16071"</definedName>
    <definedName name="IQ_SHARE_PARTNERSHIP_CONSOL_JV_DEBT" hidden="1">"c19139"</definedName>
    <definedName name="IQ_SHARE_PARTNERSHIP_CURRENT_ASSETS" hidden="1">"c16069"</definedName>
    <definedName name="IQ_SHARE_PARTNERSHIP_CURRENT_LIAB" hidden="1">"c16073"</definedName>
    <definedName name="IQ_SHARE_PARTNERSHIP_CURRENT_TAX" hidden="1">"c16091"</definedName>
    <definedName name="IQ_SHARE_PARTNERSHIP_DEBT" hidden="1">"c16078"</definedName>
    <definedName name="IQ_SHARE_PARTNERSHIP_DEFERRED_TAX" hidden="1">"c16092"</definedName>
    <definedName name="IQ_SHARE_PARTNERSHIP_DEPRECIATION" hidden="1">"c16089"</definedName>
    <definedName name="IQ_SHARE_PARTNERSHIP_FLOAT_DEBT" hidden="1">"c16077"</definedName>
    <definedName name="IQ_SHARE_PARTNERSHIP_FR_DEBT" hidden="1">"c16076"</definedName>
    <definedName name="IQ_SHARE_PARTNERSHIP_INT_EXPENSE" hidden="1">"c16088"</definedName>
    <definedName name="IQ_SHARE_PARTNERSHIP_INT_INCOME" hidden="1">"c16090"</definedName>
    <definedName name="IQ_SHARE_PARTNERSHIP_LIAB" hidden="1">"c16075"</definedName>
    <definedName name="IQ_SHARE_PARTNERSHIP_LT_ASSETS" hidden="1">"c16070"</definedName>
    <definedName name="IQ_SHARE_PARTNERSHIP_NOI" hidden="1">"c16084"</definedName>
    <definedName name="IQ_SHARE_PARTNERSHIP_NON_CURRENT_LIAB" hidden="1">"c16074"</definedName>
    <definedName name="IQ_SHARE_PARTNERSHIP_OPEX" hidden="1">"c16086"</definedName>
    <definedName name="IQ_SHARE_PARTNERSHIP_OTHER_EXPENSE" hidden="1">"c16087"</definedName>
    <definedName name="IQ_SHARE_PARTNERSHIP_OTHER_INCOME" hidden="1">"c16085"</definedName>
    <definedName name="IQ_SHARE_PARTNERSHIP_REVENUE" hidden="1">"c16083"</definedName>
    <definedName name="IQ_SHARE_RE_ASSET" hidden="1">"c16082"</definedName>
    <definedName name="IQ_SHARE_RE_ASSET_DEVELOP_PROP" hidden="1">"c16080"</definedName>
    <definedName name="IQ_SHARE_RE_ASSET_INV_PROP" hidden="1">"c16079"</definedName>
    <definedName name="IQ_SHARE_RE_ASSET_OTHER" hidden="1">"c16081"</definedName>
    <definedName name="IQ_SHAREOUTSTANDING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BUSINESS_DESCRIPTION" hidden="1">"c24668"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POSITIONS_FFIEC" hidden="1">"c12859"</definedName>
    <definedName name="IQ_SHORT_TERM_INV_SHORT_TERM_NONCORE_FUNDING_THRIFT" hidden="1">"c25625"</definedName>
    <definedName name="IQ_SHORT_TERM_INV_TOTAL_ASSETS_THRIFT" hidden="1">"c25695"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LD_COAL" hidden="1">"c15936"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QUALITY_RANKING_DESCRIPTION" hidden="1">"c17410"</definedName>
    <definedName name="IQ_SP_QUALITY_RANKING_VALUE" hidden="1">"c17409"</definedName>
    <definedName name="IQ_SP_REASON" hidden="1">"c2174"</definedName>
    <definedName name="IQ_SP_STARS_DESCRIPTION" hidden="1">"c17408"</definedName>
    <definedName name="IQ_SP_STARS_VALUE" hidden="1">"c17407"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CM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ALTIES" hidden="1">"c18932"</definedName>
    <definedName name="IQ_SPECIFIC_ALLOWANCE" hidden="1">"c15247"</definedName>
    <definedName name="IQ_SPONSORS" hidden="1">"c18920"</definedName>
    <definedName name="IQ_SPONSORS_ID" hidden="1">"c18921"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ECURED_BONDS_NOTES" hidden="1">"c17889"</definedName>
    <definedName name="IQ_SR_SECURED_BONDS_NOTES_PCT" hidden="1">"c18003"</definedName>
    <definedName name="IQ_SR_SECURED_LOANS" hidden="1">"c17888"</definedName>
    <definedName name="IQ_SR_SECURED_LOANS_PCT" hidden="1">"c18002"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R_UNSECURED_BONDS_NOTES" hidden="1">"c17891"</definedName>
    <definedName name="IQ_SR_UNSECURED_BONDS_NOTES_PCT" hidden="1">"c18005"</definedName>
    <definedName name="IQ_ST_DEBT" hidden="1">"c1176"</definedName>
    <definedName name="IQ_ST_DEBT_BNK" hidden="1">"c1177"</definedName>
    <definedName name="IQ_ST_DEBT_BR" hidden="1">"c1178"</definedName>
    <definedName name="IQ_ST_DEBT_CM" hidden="1">"c1178"</definedName>
    <definedName name="IQ_ST_DEBT_DERIVATIVES" hidden="1">"c17741"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CM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CM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NDBY_LETTERS_CREDIT_THRIFT" hidden="1">"c25614"</definedName>
    <definedName name="IQ_STANDBY_LOC_FHLB_BANK_BEHALF_OFF_BS_FFIEC" hidden="1">"c15412"</definedName>
    <definedName name="IQ_STATE" hidden="1">"c1200"</definedName>
    <definedName name="IQ_STATE_COUNTY_MUNICIPAL_OBLIGATIONS_ALL_OTHER_ACCOUNTS_THRIFT" hidden="1">"c25426"</definedName>
    <definedName name="IQ_STATE_COUNTY_MUNICIPAL_OBLIGATIONS_EMPLOYEE_BENEFIT_RETIREMENT_RELATED_ACCOUNTS_THRIFT" hidden="1">"c25410"</definedName>
    <definedName name="IQ_STATE_COUNTY_MUNICIPAL_OBLIGATIONS_PERSONAL_TRUST_AGENCY_INV_MANAGEMENT_ACCOUNTS_THRIFT" hidden="1">"c25394"</definedName>
    <definedName name="IQ_STATE_LOCAL_OTHER_INC_TAXES_THRIFT" hidden="1">"c24817"</definedName>
    <definedName name="IQ_STATE_LOCAL_REVENUE_BONDS_ELIGIBLE_50_PCT_RISK_WEIGHT_THRIFT" hidden="1">"c25067"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_MUNI_OBLIGATIONS_THRIFT" hidden="1">"c24824"</definedName>
    <definedName name="IQ_STATE_OF_INC" hidden="1">"c18104"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ATUTORY_SURPLUS_GAAP_EQUITY" hidden="1">"c15883"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EST_CIQ" hidden="1">"c5073"</definedName>
    <definedName name="IQ_STOCK_BASED_EXPLORE_DRILL" hidden="1">"c13851"</definedName>
    <definedName name="IQ_STOCK_BASED_GA" hidden="1">"c2993"</definedName>
    <definedName name="IQ_STOCK_BASED_HIGH_EST" hidden="1">"c4521"</definedName>
    <definedName name="IQ_STOCK_BASED_HIGH_EST_CIQ" hidden="1">"c5074"</definedName>
    <definedName name="IQ_STOCK_BASED_LOW_EST" hidden="1">"c4522"</definedName>
    <definedName name="IQ_STOCK_BASED_LOW_EST_CIQ" hidden="1">"c5075"</definedName>
    <definedName name="IQ_STOCK_BASED_MEDIAN_EST" hidden="1">"c4523"</definedName>
    <definedName name="IQ_STOCK_BASED_MEDIAN_EST_CIQ" hidden="1">"c5076"</definedName>
    <definedName name="IQ_STOCK_BASED_NUM_EST" hidden="1">"c4524"</definedName>
    <definedName name="IQ_STOCK_BASED_NUM_EST_CIQ" hidden="1">"c5077"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STDDEV_EST_CIQ" hidden="1">"c5078"</definedName>
    <definedName name="IQ_STOCK_BASED_TOTAL" hidden="1">"c3040"</definedName>
    <definedName name="IQ_STOCK_ISSUED_SAVINGS_ASSOCIATION_THRIFT" hidden="1">"c25012"</definedName>
    <definedName name="IQ_STOCK_MARKET_INDEX" hidden="1">"c21101"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OCK_RETIRED_SAVINGS_ASSOCIATION_THRIFT" hidden="1">"c25013"</definedName>
    <definedName name="IQ_STRAIGHT_LINE_RENT_ADJ" hidden="1">"c16178"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TYLE_GROWTH_VALUE" hidden="1">"c19203"</definedName>
    <definedName name="IQ_STYLE_HIGH_YIELD" hidden="1">"c19204"</definedName>
    <definedName name="IQ_STYLE_MARKET_CAP" hidden="1">"c19202"</definedName>
    <definedName name="IQ_STYLE_REPORTED" hidden="1">"c19205"</definedName>
    <definedName name="IQ_SUB_BONDS_NOTES" hidden="1">"c2503"</definedName>
    <definedName name="IQ_SUB_BONDS_NOTES_PCT" hidden="1">"c2504"</definedName>
    <definedName name="IQ_SUB_DEBENTURES_THRIFT" hidden="1">"c24902"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FFIEC" hidden="1">"c12867"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B_NOTES_PAYABLE_UNCONSOLIDATED_TRUSTS_FFIEC" hidden="1">"c12868"</definedName>
    <definedName name="IQ_SUBORDINATED_DEBENTURES_AMOUNTS_NETTED_THRIFT" hidden="1">"c25540"</definedName>
    <definedName name="IQ_SUBORDINATED_DEBENTURES_LEVEL_1_THRIFT" hidden="1">"c25536"</definedName>
    <definedName name="IQ_SUBORDINATED_DEBENTURES_LEVEL_2_THRIFT" hidden="1">"c25537"</definedName>
    <definedName name="IQ_SUBORDINATED_DEBENTURES_LEVEL_3_THRIFT" hidden="1">"c25538"</definedName>
    <definedName name="IQ_SUBORDINATED_DEBENTURES_TOTAL_AFTER_NETTING_THRIFT" hidden="1">"c25541"</definedName>
    <definedName name="IQ_SUBORDINATED_DEBENTURES_TOTAL_BEFORE_NETTING_THRIFT" hidden="1">"c25539"</definedName>
    <definedName name="IQ_SUBORDINATED_DEBENTURES_WITH_REMAINING_MATURITY_ONE_YEAR_LESS_THRIFT" hidden="1">"c25577"</definedName>
    <definedName name="IQ_SUBORDINATED_DEBENTURES_WITH_REMAINING_MATURITY_OVER_ONE_YEAR_THRIFT" hidden="1">"c25578"</definedName>
    <definedName name="IQ_SUBS_ANALOG_CABLE" hidden="1">"c2855"</definedName>
    <definedName name="IQ_SUBS_BASIC_CABLE" hidden="1">"c16205"</definedName>
    <definedName name="IQ_SUBS_BBAND" hidden="1">"c2858"</definedName>
    <definedName name="IQ_SUBS_BUNDLED" hidden="1">"c2861"</definedName>
    <definedName name="IQ_SUBS_DIG_CABLE" hidden="1">"c2856"</definedName>
    <definedName name="IQ_SUBS_NON_VIDEO" hidden="1">"c2860"</definedName>
    <definedName name="IQ_SUBS_PHONE" hidden="1">"c2859"</definedName>
    <definedName name="IQ_SUBS_POSTPAID_WIRELESS" hidden="1">"c2118"</definedName>
    <definedName name="IQ_SUBS_PREPAID_WIRELESS" hidden="1">"c2117"</definedName>
    <definedName name="IQ_SUBS_RESELL_WHOLESALE_WIRELESS" hidden="1">"c15749"</definedName>
    <definedName name="IQ_SUBS_TOTAL" hidden="1">"c2862"</definedName>
    <definedName name="IQ_SUBS_TOTAL_WIRELESS" hidden="1">"c2119"</definedName>
    <definedName name="IQ_SUBS_VIDEO" hidden="1">"c2857"</definedName>
    <definedName name="IQ_SUPPLIES_FFIEC" hidden="1">"c13050"</definedName>
    <definedName name="IQ_SUPPORT_INFRASTRUCTURE_CABLE_INVEST" hidden="1">"c15805"</definedName>
    <definedName name="IQ_SURFACE_RESERVES_COAL" hidden="1">"c15920"</definedName>
    <definedName name="IQ_SURFACE_RESERVES_TO_TOTAL_RESERVES_COAL" hidden="1">"c15959"</definedName>
    <definedName name="IQ_SURPLUS_FDIC" hidden="1">"c6351"</definedName>
    <definedName name="IQ_SURPLUS_FFIEC" hidden="1">"c12877"</definedName>
    <definedName name="IQ_SVA" hidden="1">"c1214"</definedName>
    <definedName name="IQ_SYNTH_STRUCTURED_PRODUCTS_AFS_AMORT_COST_FFIEC" hidden="1">"c20501"</definedName>
    <definedName name="IQ_SYNTH_STRUCTURED_PRODUCTS_AFS_FAIR_VAL_FFIEC" hidden="1">"c20466"</definedName>
    <definedName name="IQ_SYNTH_STRUCTURED_PRODUCTS_HTM_AMORT_COST_FFIEC" hidden="1">"c20449"</definedName>
    <definedName name="IQ_SYNTH_STRUCTURED_PRODUCTS_HTM_FAIR_VAL_FFIEC" hidden="1">"c20484"</definedName>
    <definedName name="IQ_SYNTHETIC_STRUCTURED_PRODUCTS_AVAIL_SALE_FFIEC" hidden="1">"c15264"</definedName>
    <definedName name="IQ_SYNTHETIC_STRUCTURED_PRODUCTS_FFIEC" hidden="1">"c15261"</definedName>
    <definedName name="IQ_TANGIBLE_ASSETS_FFIEC" hidden="1">"c13916"</definedName>
    <definedName name="IQ_TANGIBLE_ASSETS_THRIFT" hidden="1">"c25088"</definedName>
    <definedName name="IQ_TANGIBLE_COMMON_EQUITY_FFIEC" hidden="1">"c13914"</definedName>
    <definedName name="IQ_TANGIBLE_COMMON_EQUITY_THRIFT" hidden="1">"c25086"</definedName>
    <definedName name="IQ_TANGIBLE_EQUITY_ASSETS_FFIEC" hidden="1">"c13346"</definedName>
    <definedName name="IQ_TANGIBLE_EQUITY_FFIEC" hidden="1">"c13915"</definedName>
    <definedName name="IQ_TANGIBLE_EQUITY_RATIO_THRIFT" hidden="1">"c25084"</definedName>
    <definedName name="IQ_TANGIBLE_EQUITY_THRIFT" hidden="1">"c25087"</definedName>
    <definedName name="IQ_TANGIBLE_TIER_1_LEVERAGE_FFIEC" hidden="1">"c13345"</definedName>
    <definedName name="IQ_TANGIBLE_TIER_1_LEVERAGE_RATIO_THRIFT" hidden="1">"c25631"</definedName>
    <definedName name="IQ_TARGET_PRICE_NUM" hidden="1">"c1653"</definedName>
    <definedName name="IQ_TARGET_PRICE_NUM_CIQ" hidden="1">"c4661"</definedName>
    <definedName name="IQ_TARGET_PRICE_STDDEV" hidden="1">"c1654"</definedName>
    <definedName name="IQ_TARGET_PRICE_STDDEV_CIQ" hidden="1">"c4662"</definedName>
    <definedName name="IQ_TARP_INIT_INVEST_AMT" hidden="1">"c17863"</definedName>
    <definedName name="IQ_TARP_INIT_INVEST_DATE_ANN" hidden="1">"c17861"</definedName>
    <definedName name="IQ_TARP_INIT_INVEST_DATE_CLOSED" hidden="1">"c17862"</definedName>
    <definedName name="IQ_TARP_INVESTOR_STATUS" hidden="1">"c17865"</definedName>
    <definedName name="IQ_TARP_REMAINING_AMT" hidden="1">"c17869"</definedName>
    <definedName name="IQ_TARP_REMAINING_SEC_DES" hidden="1">"c17870"</definedName>
    <definedName name="IQ_TARP_REPAYMENT_DISP" hidden="1">"c17866"</definedName>
    <definedName name="IQ_TARP_REPAYMENT_DISP_AMT" hidden="1">"c17868"</definedName>
    <definedName name="IQ_TARP_REPAYMENT_DISP_DATE" hidden="1">"c17867"</definedName>
    <definedName name="IQ_TARP_ROUND" hidden="1">"c17859"</definedName>
    <definedName name="IQ_TARP_STATUS" hidden="1">"c17864"</definedName>
    <definedName name="IQ_TARP_TR_AMT" hidden="1">"c17857"</definedName>
    <definedName name="IQ_TARP_TR_DATE" hidden="1">"c17856"</definedName>
    <definedName name="IQ_TARP_TR_TYPE" hidden="1">"c17858"</definedName>
    <definedName name="IQ_TARP_TRANSACTION_ID" hidden="1">"c17871"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BV_SHARE_REPORTED" hidden="1">"c19140"</definedName>
    <definedName name="IQ_TELECOM_FFIEC" hidden="1">"c13057"</definedName>
    <definedName name="IQ_TEMPLATE" hidden="1">"c1521"</definedName>
    <definedName name="IQ_TENANT" hidden="1">"c1218"</definedName>
    <definedName name="IQ_TENANT_LEASE_COMMISSION" hidden="1">"c16177"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CIQ" hidden="1">"c4047"</definedName>
    <definedName name="IQ_TEV_EBITDA" hidden="1">"c1222"</definedName>
    <definedName name="IQ_TEV_EBITDA_AVG" hidden="1">"c1223"</definedName>
    <definedName name="IQ_TEV_EBITDA_CAPEX" hidden="1">"c17553"</definedName>
    <definedName name="IQ_TEV_EBITDA_FWD" hidden="1">"c1224"</definedName>
    <definedName name="IQ_TEV_EBITDA_FWD_CIQ" hidden="1">"c4043"</definedName>
    <definedName name="IQ_TEV_EMPLOYEE_AVG" hidden="1">"c1225"</definedName>
    <definedName name="IQ_TEV_EST" hidden="1">"c4526"</definedName>
    <definedName name="IQ_TEV_EST_CIQ" hidden="1">"c5079"</definedName>
    <definedName name="IQ_TEV_EST_DOWN_2MONTH" hidden="1">"c16489"</definedName>
    <definedName name="IQ_TEV_EST_DOWN_3MONTH" hidden="1">"c16493"</definedName>
    <definedName name="IQ_TEV_EST_DOWN_MONTH" hidden="1">"c16485"</definedName>
    <definedName name="IQ_TEV_EST_NOTE_CIQ" hidden="1">"c18231"</definedName>
    <definedName name="IQ_TEV_EST_NUM_ANALYSTS_2MONTH" hidden="1">"c16487"</definedName>
    <definedName name="IQ_TEV_EST_NUM_ANALYSTS_3MONTH" hidden="1">"c16491"</definedName>
    <definedName name="IQ_TEV_EST_NUM_ANALYSTS_MONTH" hidden="1">"c16483"</definedName>
    <definedName name="IQ_TEV_EST_TOTAL_REVISED_2MONTH" hidden="1">"c16490"</definedName>
    <definedName name="IQ_TEV_EST_TOTAL_REVISED_3MONTH" hidden="1">"c16494"</definedName>
    <definedName name="IQ_TEV_EST_TOTAL_REVISED_MONTH" hidden="1">"c16486"</definedName>
    <definedName name="IQ_TEV_EST_UP_2MONTH" hidden="1">"c16488"</definedName>
    <definedName name="IQ_TEV_EST_UP_3MONTH" hidden="1">"c16492"</definedName>
    <definedName name="IQ_TEV_EST_UP_MONTH" hidden="1">"c16484"</definedName>
    <definedName name="IQ_TEV_HIGH_EST" hidden="1">"c4527"</definedName>
    <definedName name="IQ_TEV_HIGH_EST_CIQ" hidden="1">"c5080"</definedName>
    <definedName name="IQ_TEV_LOW_EST" hidden="1">"c4528"</definedName>
    <definedName name="IQ_TEV_LOW_EST_CIQ" hidden="1">"c5081"</definedName>
    <definedName name="IQ_TEV_MEDIAN_EST" hidden="1">"c4529"</definedName>
    <definedName name="IQ_TEV_MEDIAN_EST_CIQ" hidden="1">"c5082"</definedName>
    <definedName name="IQ_TEV_NUM_EST" hidden="1">"c4530"</definedName>
    <definedName name="IQ_TEV_NUM_EST_CIQ" hidden="1">"c5083"</definedName>
    <definedName name="IQ_TEV_STDDEV_EST" hidden="1">"c4531"</definedName>
    <definedName name="IQ_TEV_STDDEV_EST_CIQ" hidden="1">"c5084"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CAPITAL_RATIO_THRIFT" hidden="1">"c25081"</definedName>
    <definedName name="IQ_TIER_1_CAPITAL_REQUIREMENT_ADJUSTED_ASSETS_THRIFT" hidden="1">"c25039"</definedName>
    <definedName name="IQ_TIER_1_CAPITAL_T1_THRIFT" hidden="1">"c25029"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1_RISK_BASED_CAPITAL_RATIO_THRIFT" hidden="1">"c25083"</definedName>
    <definedName name="IQ_TIER_2_CAPITAL_FFIEC" hidden="1">"c13149"</definedName>
    <definedName name="IQ_TIER_2_CAPITAL_T2_THRIFT" hidden="1">"c25045"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100000_MORE_TOTAL_ASSETS_THRIFT" hidden="1">"c25701"</definedName>
    <definedName name="IQ_TIME_DEPOSITS_100000_THROUGH_250000_THRIFT" hidden="1">"c25002"</definedName>
    <definedName name="IQ_TIME_DEPOSITS_GREATER_100000_TOTAL_DEPOSITS_THRIFT" hidden="1">"c25779"</definedName>
    <definedName name="IQ_TIME_DEPOSITS_GREATER_THAN_250000_THRIFT" hidden="1">"c25003"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IME_DEPOSITS_THRIFT" hidden="1">"c25001"</definedName>
    <definedName name="IQ_TIME_DEPOSITS_TOTAL_DEPOSITS" hidden="1">"c15723"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1_4_FAMILY_LOANS_TOTAL_LOANS_THRIFT" hidden="1">"c25741"</definedName>
    <definedName name="IQ_TOTAL_ALLOWABLE_EXCLUSIONS_THRIFT" hidden="1">"c25567"</definedName>
    <definedName name="IQ_TOTAL_AR_BR" hidden="1">"c1231"</definedName>
    <definedName name="IQ_TOTAL_AR_CM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ADJUSTED_ASSETS_THRIFT" hidden="1">"c25030"</definedName>
    <definedName name="IQ_TOTAL_ASSETS_BNK_SUBTOTAL_AP" hidden="1">"c13644"</definedName>
    <definedName name="IQ_TOTAL_ASSETS_FAIR_VALUE_TOT_FFIEC" hidden="1">"c15405"</definedName>
    <definedName name="IQ_TOTAL_ASSETS_FDIC" hidden="1">"c6339"</definedName>
    <definedName name="IQ_TOTAL_ASSETS_FFIEC" hidden="1">"c12849"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SSETS_LH_FFIEC" hidden="1">"c13106"</definedName>
    <definedName name="IQ_TOTAL_ASSETS_MANAGED_PROP_MUTUAL_FUNDS_ANNUITIES_THRIFT" hidden="1">"c24941"</definedName>
    <definedName name="IQ_TOTAL_ASSETS_MEASURED_FV_RECURRING_BASIS_AMOUNTS_NETTED_THRIFT" hidden="1">"c25522"</definedName>
    <definedName name="IQ_TOTAL_ASSETS_MEASURED_FV_RECURRING_BASIS_LEVEL_1_THRIFT" hidden="1">"c25518"</definedName>
    <definedName name="IQ_TOTAL_ASSETS_MEASURED_FV_RECURRING_BASIS_LEVEL_2_THRIFT" hidden="1">"c25519"</definedName>
    <definedName name="IQ_TOTAL_ASSETS_MEASURED_FV_RECURRING_BASIS_LEVEL_3_THRIFT" hidden="1">"c25520"</definedName>
    <definedName name="IQ_TOTAL_ASSETS_MEASURED_FV_RECURRING_BASIS_TOTAL_AFTER_NETTING_THRIFT" hidden="1">"c25523"</definedName>
    <definedName name="IQ_TOTAL_ASSETS_MEASURED_FV_RECURRING_BASIS_TOTAL_BEFORE_NETTING_THRIFT" hidden="1">"c25521"</definedName>
    <definedName name="IQ_TOTAL_ASSETS_PC_FFIEC" hidden="1">"c13099"</definedName>
    <definedName name="IQ_TOTAL_ASSETS_SUBTOTAL_AP" hidden="1">"c8985"</definedName>
    <definedName name="IQ_TOTAL_ASSETS_THRIFT" hidden="1">"c24894"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BORROWINGS_THRIFT" hidden="1">"c24899"</definedName>
    <definedName name="IQ_TOTAL_BROKER_ORIGINATED_DEPOSITS_FULLY_INSURED_THRIFT" hidden="1">"c24978"</definedName>
    <definedName name="IQ_TOTAL_BROKER_ORIGINATED_DEPOSITS_OTHER_THRIFT" hidden="1">"c24981"</definedName>
    <definedName name="IQ_TOTAL_BROKERED_DEPOSIT_FFIEC" hidden="1">"c15304"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EPOSITS_INV_SEC_THRIFT" hidden="1">"c24828"</definedName>
    <definedName name="IQ_TOTAL_CASH_DIVID" hidden="1">"c1455"</definedName>
    <definedName name="IQ_TOTAL_CASH_DUE_DEPOSITORY_INSTIT_DOM_FFIEC" hidden="1">"c15291"</definedName>
    <definedName name="IQ_TOTAL_CASH_DUE_DEPOSITORY_INSTIT_FFIEC" hidden="1">"c15285"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EQUITY_FFIEC" hidden="1">"c13913"</definedName>
    <definedName name="IQ_TOTAL_COMMON_EQUITY_THRIFT" hidden="1">"c25085"</definedName>
    <definedName name="IQ_TOTAL_COMMON_EQUITY_TOTAL_ASSETS_FFIEC" hidden="1">"c13864"</definedName>
    <definedName name="IQ_TOTAL_COMMON_EQUITY_TOTAL_ASSETS_THRIFT" hidden="1">"c25739"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LIAB" hidden="1">"c1431"</definedName>
    <definedName name="IQ_TOTAL_DAILY_AVERAGE_ALLOWABLE_EXCLUSIONS_THRIFT" hidden="1">"c25580"</definedName>
    <definedName name="IQ_TOTAL_DAILY_AVERAGE_FOREIGN_DEPOSITS_THRIFT" hidden="1">"c25581"</definedName>
    <definedName name="IQ_TOTAL_DAILY_AVERAGE_GROSS_DEPOSIT_LIABILITIES_BEFORE_EXCLUSIONS_THRIFT" hidden="1">"c25579"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ST_CIQ" hidden="1">"c5085"</definedName>
    <definedName name="IQ_TOTAL_DEBT_EXCL_FIN" hidden="1">"c2937"</definedName>
    <definedName name="IQ_TOTAL_DEBT_HIGH_EST" hidden="1">"c4534"</definedName>
    <definedName name="IQ_TOTAL_DEBT_HIGH_EST_CIQ" hidden="1">"c5087"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CM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EST_CIQ" hidden="1">"c5088"</definedName>
    <definedName name="IQ_TOTAL_DEBT_MEDIAN_EST" hidden="1">"c4536"</definedName>
    <definedName name="IQ_TOTAL_DEBT_MEDIAN_EST_CIQ" hidden="1">"c5089"</definedName>
    <definedName name="IQ_TOTAL_DEBT_NON_CURRENT" hidden="1">"c6191"</definedName>
    <definedName name="IQ_TOTAL_DEBT_NUM_EST" hidden="1">"c4537"</definedName>
    <definedName name="IQ_TOTAL_DEBT_NUM_EST_CIQ" hidden="1">"c5090"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CM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BT_STDDEV_EST_CIQ" hidden="1">"c5091"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FFIEC" hidden="1">"c13623"</definedName>
    <definedName name="IQ_TOTAL_DEPOSITS_SUPPLE" hidden="1">"c15253"</definedName>
    <definedName name="IQ_TOTAL_DEPOSITS_THRIFT" hidden="1">"c24984"</definedName>
    <definedName name="IQ_TOTAL_DIV_PAID_CF" hidden="1">"c1266"</definedName>
    <definedName name="IQ_TOTAL_DIVIDEND_INCOME_THRIFT" hidden="1">"c24756"</definedName>
    <definedName name="IQ_TOTAL_EARNING_ASSETS_QUARTERLY_AVG_FFIEC" hidden="1">"c25823"</definedName>
    <definedName name="IQ_TOTAL_ELIGIBLE_0_PCT_RISK_WEIGHT_THRIFT" hidden="1">"c25050"</definedName>
    <definedName name="IQ_TOTAL_ELIGIBLE_100_PCT_RISK_WEIGHT_THRIFT" hidden="1">"c25070"</definedName>
    <definedName name="IQ_TOTAL_ELIGIBLE_20_PCT_RISK_WEIGHT_THRIFT" hidden="1">"c25056"</definedName>
    <definedName name="IQ_TOTAL_ELIGIBLE_50_PCT_RISK_WEIGHT_THRIFT" hidden="1">"c25063"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INC_MINORITY_INT_THRIFT" hidden="1">"c24927"</definedName>
    <definedName name="IQ_TOTAL_EQUITY_CAPITAL_T1_FFIEC" hidden="1">"c13130"</definedName>
    <definedName name="IQ_TOTAL_EQUITY_CAPITAL_T1_THRIFT" hidden="1">"c25021"</definedName>
    <definedName name="IQ_TOTAL_EQUITY_CAPITAL_THRIFT" hidden="1">"c24925"</definedName>
    <definedName name="IQ_TOTAL_EQUITY_FFIEC" hidden="1">"c12881"</definedName>
    <definedName name="IQ_TOTAL_EQUITY_INCL_MINORITY_INTEREST_FFIEC" hidden="1">"c15278"</definedName>
    <definedName name="IQ_TOTAL_EQUITY_INV_NOT_CARRIED_FV_THRIFT" hidden="1">"c24879"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EQUITY_TOTAL_ASSETS_THRIFT" hidden="1">"c25738"</definedName>
    <definedName name="IQ_TOTAL_FIDUCIARY_ACCOUNTS_MANAGED_ASSETS_THRIFT" hidden="1">"c25346"</definedName>
    <definedName name="IQ_TOTAL_FIDUCIARY_ACCOUNTS_NONMANAGED_ASSETS_THRIFT" hidden="1">"c25367"</definedName>
    <definedName name="IQ_TOTAL_FIDUCIARY_ACCOUNTS_NUMBER_MANAGED_ACCOUNTS_THRIFT" hidden="1">"c25357"</definedName>
    <definedName name="IQ_TOTAL_FIDUCIARY_ACCOUNTS_NUMBER_NONMANAGED_ACCOUNTS_THRIFT" hidden="1">"c25379"</definedName>
    <definedName name="IQ_TOTAL_FOREIGN_DEPOSITS_FFIEC" hidden="1">"c15348"</definedName>
    <definedName name="IQ_TOTAL_FOREIGN_DEPOSITS_INCLUDED_IN_TOTAL_ALLOWABLE_EXCLUSIONS_THRIFT" hidden="1">"c25568"</definedName>
    <definedName name="IQ_TOTAL_FOREIGN_LOANS_QUARTERLY_AVG_FFIEC" hidden="1">"c15482"</definedName>
    <definedName name="IQ_TOTAL_GROSS_DEPOSIT_LIABILITIES_BEFORE_EXCLUSIONS_THRIFT" hidden="1">"c25566"</definedName>
    <definedName name="IQ_TOTAL_GROSS_FIDUCIARY_RELATED_SERVICES_INC_THRIFT" hidden="1">"c24811"</definedName>
    <definedName name="IQ_TOTAL_GROSS_LOSSES_MANAGED_ACCOUNTS_THRIFT" hidden="1">"c25465"</definedName>
    <definedName name="IQ_TOTAL_GROSS_LOSSES_NONMANAGED_ACCOUNTS_THRIFT" hidden="1">"c25470"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_EXP_THRIFT" hidden="1">"c24764"</definedName>
    <definedName name="IQ_TOTAL_INT_EXPENSE_FFIEC" hidden="1">"c13000"</definedName>
    <definedName name="IQ_TOTAL_INT_INCOME_FFIEC" hidden="1">"c12989"</definedName>
    <definedName name="IQ_TOTAL_INT_INCOME_THRIFT" hidden="1">"c24753"</definedName>
    <definedName name="IQ_TOTAL_INTEREST_EXP" hidden="1">"c1382"</definedName>
    <definedName name="IQ_TOTAL_INTEREST_EXP_FOREIGN_FFIEC" hidden="1">"c15374"</definedName>
    <definedName name="IQ_TOTAL_INTEREST_INC_FOREIGN_FFIEC" hidden="1">"c15373"</definedName>
    <definedName name="IQ_TOTAL_INVENTORY" hidden="1">"c1385"</definedName>
    <definedName name="IQ_TOTAL_INVEST" hidden="1">"c1275"</definedName>
    <definedName name="IQ_TOTAL_IRA_KEOGH_PLAN_ACCOUNTS_FFIEC" hidden="1">"c15303"</definedName>
    <definedName name="IQ_TOTAL_LEASES_TOTAL_LOANS_THRIFT" hidden="1">"c25751"</definedName>
    <definedName name="IQ_TOTAL_LIAB" hidden="1">"c1276"</definedName>
    <definedName name="IQ_TOTAL_LIAB_BNK" hidden="1">"c1277"</definedName>
    <definedName name="IQ_TOTAL_LIAB_BR" hidden="1">"c1278"</definedName>
    <definedName name="IQ_TOTAL_LIAB_CM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EQUITY_THRIFT" hidden="1">"c24928"</definedName>
    <definedName name="IQ_TOTAL_LIABILITIES_FAIR_VALUE_TOT_FFIEC" hidden="1">"c15411"</definedName>
    <definedName name="IQ_TOTAL_LIABILITIES_FDIC" hidden="1">"c6348"</definedName>
    <definedName name="IQ_TOTAL_LIABILITIES_FFIEC" hidden="1">"c12873"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IABILITIES_MEASURED_FV_RECURRING_BASIS_AMOUNTS_NETTED_THRIFT" hidden="1">"c25564"</definedName>
    <definedName name="IQ_TOTAL_LIABILITIES_MEASURED_FV_RECURRING_BASIS_LEVEL_1_THRIFT" hidden="1">"c25560"</definedName>
    <definedName name="IQ_TOTAL_LIABILITIES_MEASURED_FV_RECURRING_BASIS_LEVEL_2_THRIFT" hidden="1">"c25561"</definedName>
    <definedName name="IQ_TOTAL_LIABILITIES_MEASURED_FV_RECURRING_BASIS_LEVEL_3_THRIFT" hidden="1">"c25562"</definedName>
    <definedName name="IQ_TOTAL_LIABILITIES_MEASURED_FV_RECURRING_BASIS_TOTAL_AFTER_NETTING_THRIFT" hidden="1">"c25565"</definedName>
    <definedName name="IQ_TOTAL_LIABILITIES_MEASURED_FV_RECURRING_BASIS_TOTAL_BEFORE_NETTING_THRIFT" hidden="1">"c25563"</definedName>
    <definedName name="IQ_TOTAL_LIABILITIES_THRIFT" hidden="1">"c24913"</definedName>
    <definedName name="IQ_TOTAL_LL_DOMESTIC_QUARTERLY_AVG_FFIEC" hidden="1">"c25825"</definedName>
    <definedName name="IQ_TOTAL_LL_FOREIGN_QUARTERLY_AVG_FFIEC" hidden="1">"c25824"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DOM_QUARTERLY_AVG_FFIEC" hidden="1">"c15475"</definedName>
    <definedName name="IQ_TOTAL_LOANS_IN_PROCESS_FORECLOSURE_THRIFT" hidden="1">"c25310"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MANAGED_ASSETS_ALL_OTHER_ACCOUNTS_THRIFT" hidden="1">"c25422"</definedName>
    <definedName name="IQ_TOTAL_MANAGED_ASSETS_EMPLOYEE_BENEFIT_RETIREMENT_RELATED_ACCOUNTS_THRIFT" hidden="1">"c25406"</definedName>
    <definedName name="IQ_TOTAL_MANAGED_ASSETS_PERSONAL_TRUST_AGENCY_INV_MANAGEMENT_ACCOUNTS_THRIFT" hidden="1">"c25390"</definedName>
    <definedName name="IQ_TOTAL_MBS_THRIFT" hidden="1">"c24837"</definedName>
    <definedName name="IQ_TOTAL_MORTGAGE_LOANS_THRIFT" hidden="1">"c24852"</definedName>
    <definedName name="IQ_TOTAL_MORTGAGE_NON_MORTGAGE_LOANS_DUE_30_89_THRIFT" hidden="1">"c25255"</definedName>
    <definedName name="IQ_TOTAL_MORTGAGE_NON_MORTGAGE_LOANS_DUE_90_THRIFT" hidden="1">"c25276"</definedName>
    <definedName name="IQ_TOTAL_MORTGAGE_NON_MORTGAGE_LOANS_NON_ACCRUAL_THRIFT" hidden="1">"c25297"</definedName>
    <definedName name="IQ_TOTAL_NON_MORTGAGE_LOANS_THRIFT" hidden="1">"c24868"</definedName>
    <definedName name="IQ_TOTAL_NON_RE_LOANS_TOTAL_LOANS_THRIFT" hidden="1">"c25752"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CM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ERATING_EXPENSE" hidden="1">"c16047"</definedName>
    <definedName name="IQ_TOTAL_OPERATING_REVENUE" hidden="1">"c16030"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ASSETS_THRIFT" hidden="1">"c24883"</definedName>
    <definedName name="IQ_TOTAL_OTHER_OPER" hidden="1">"c1289"</definedName>
    <definedName name="IQ_TOTAL_OTHER_TEMP_IMPAIR_LOSS_FFIEC" hidden="1">"c25846"</definedName>
    <definedName name="IQ_TOTAL_OTHER_UNUSED_FFIEC" hidden="1">"c25858"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AMT_ASSETS_COVERED_RECOURSE_OBLIGATIONS_DIRECT_CREDIT_SUBSTITUTES_THRIFT" hidden="1">"c25615"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_LOANS_TOTAL_LOANS" hidden="1">"c15715"</definedName>
    <definedName name="IQ_TOTAL_RE_NOI_AVG_GROSS_PROP" hidden="1">"c16059"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COVERIES_THRIFT" hidden="1">"c25475"</definedName>
    <definedName name="IQ_TOTAL_RENTAL_REVENUE" hidden="1">"c16022"</definedName>
    <definedName name="IQ_TOTAL_RESERVES" hidden="1">"c21102"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CM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EVENUE_FOREIGN_FFIEC" hidden="1">"c15383"</definedName>
    <definedName name="IQ_TOTAL_REVENUE_THRIFT" hidden="1">"c24785"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BASED_CAPITAL_RATIO_THRIFT" hidden="1">"c25082"</definedName>
    <definedName name="IQ_TOTAL_RISK_BASED_CAPITAL_REQUIREMENT_THRIFT" hidden="1">"c25080"</definedName>
    <definedName name="IQ_TOTAL_RISK_BASED_CAPITAL_THRIFT" hidden="1">"c25049"</definedName>
    <definedName name="IQ_TOTAL_RISK_WEIGHTED_ASSETS_FFIEC" hidden="1">"c13858"</definedName>
    <definedName name="IQ_TOTAL_RISK_WEIGHTED_ASSETS_THRIFT" hidden="1">"c25079"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R_SECURED" hidden="1">"c17890"</definedName>
    <definedName name="IQ_TOTAL_SR_SECURED_EBITDA" hidden="1">"c17901"</definedName>
    <definedName name="IQ_TOTAL_SR_SECURED_EBITDA_CAPEX" hidden="1">"c17902"</definedName>
    <definedName name="IQ_TOTAL_SR_SECURED_PCT" hidden="1">"c18004"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DEPOSITS_TOTAL_DEPOSITS_THRIFT" hidden="1">"c25780"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TRADING_LIAB_FOREIGN_FFIEC" hidden="1">"c15296"</definedName>
    <definedName name="IQ_TOTAL_TRANS_ACCTS_FFIEC" hidden="1">"c15321"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CM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DJ_SIZE_FINAL" hidden="1">"c16265"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NKY_ADVISOR_CLIENT_NAME_LIST" hidden="1">"c17671"</definedName>
    <definedName name="IQ_TR_BNKY_ADVISOR_FEE_LIST" hidden="1">"c17673"</definedName>
    <definedName name="IQ_TR_BNKY_ADVISOR_FEE_PCT_LIST" hidden="1">"c17674"</definedName>
    <definedName name="IQ_TR_BNKY_ADVISOR_ID_LIST" hidden="1">"c17670"</definedName>
    <definedName name="IQ_TR_BNKY_ADVISOR_NAME_LIST" hidden="1">"c17669"</definedName>
    <definedName name="IQ_TR_BNKY_ADVISOR_ROLE_LIST" hidden="1">"c17672"</definedName>
    <definedName name="IQ_TR_BNKY_AFFILIATES_JOINT_ADMIN" hidden="1">"c17636"</definedName>
    <definedName name="IQ_TR_BNKY_AFFILIATES_JOINT_ADMIN_LIST" hidden="1">"c17656"</definedName>
    <definedName name="IQ_TR_BNKY_CASE_CONSOLIDATED_DATE" hidden="1">"c17632"</definedName>
    <definedName name="IQ_TR_BNKY_CASE_FILING_FEE_PAID" hidden="1">"c17634"</definedName>
    <definedName name="IQ_TR_BNKY_CASE_NUMBER" hidden="1">"c17627"</definedName>
    <definedName name="IQ_TR_BNKY_CASH_IN_HAND" hidden="1">"c17651"</definedName>
    <definedName name="IQ_TR_BNKY_COURT" hidden="1">"c17626"</definedName>
    <definedName name="IQ_TR_BNKY_CREDITOR_CLAIM_AMT_LIST" hidden="1">"c17660"</definedName>
    <definedName name="IQ_TR_BNKY_CREDITOR_ID_LIST" hidden="1">"c17658"</definedName>
    <definedName name="IQ_TR_BNKY_CREDITOR_NAME_LIST" hidden="1">"c17657"</definedName>
    <definedName name="IQ_TR_BNKY_CREDITOR_REL_LIST" hidden="1">"c17659"</definedName>
    <definedName name="IQ_TR_BNKY_CREDITORS" hidden="1">"c17635"</definedName>
    <definedName name="IQ_TR_BNKY_DIP_COMMITMENT_FEE_LIST" hidden="1">"c17667"</definedName>
    <definedName name="IQ_TR_BNKY_DIP_FIN_PROVIDED" hidden="1">"c17640"</definedName>
    <definedName name="IQ_TR_BNKY_DIP_FIN_PROVIDED_LIST" hidden="1">"c17665"</definedName>
    <definedName name="IQ_TR_BNKY_DIP_FIN_PROVIDERS" hidden="1">"c17639"</definedName>
    <definedName name="IQ_TR_BNKY_DIP_FIN_SECURITY_TYPES" hidden="1">"c17642"</definedName>
    <definedName name="IQ_TR_BNKY_DIP_FIN_UTILIZED" hidden="1">"c17641"</definedName>
    <definedName name="IQ_TR_BNKY_DIP_ID_LIST" hidden="1">"c17662"</definedName>
    <definedName name="IQ_TR_BNKY_DIP_LEAD_PROVIDER_LIST" hidden="1">"c17668"</definedName>
    <definedName name="IQ_TR_BNKY_DIP_LIBOR_SPREAD_LIST" hidden="1">"c17666"</definedName>
    <definedName name="IQ_TR_BNKY_DIP_MATURITY_DATE_LIST" hidden="1">"c17664"</definedName>
    <definedName name="IQ_TR_BNKY_DIP_NAME_LIST" hidden="1">"c17661"</definedName>
    <definedName name="IQ_TR_BNKY_DIP_SECURITY_LIST" hidden="1">"c17663"</definedName>
    <definedName name="IQ_TR_BNKY_DISMISSED_DATE" hidden="1">"c17633"</definedName>
    <definedName name="IQ_TR_BNKY_EMERGED_REORG_DATE" hidden="1">"c17630"</definedName>
    <definedName name="IQ_TR_BNKY_FEATURES_LIST" hidden="1">"c17655"</definedName>
    <definedName name="IQ_TR_BNKY_FILING_TYPE" hidden="1">"c17624"</definedName>
    <definedName name="IQ_TR_BNKY_INVOL_PETITION_FILED_DATE" hidden="1">"c17629"</definedName>
    <definedName name="IQ_TR_BNKY_ISSUANCE_DEBT" hidden="1">"c17648"</definedName>
    <definedName name="IQ_TR_BNKY_ISSUANCE_EQUITY" hidden="1">"c17649"</definedName>
    <definedName name="IQ_TR_BNKY_LEAD_ASSETS_INIT_FILING" hidden="1">"c17645"</definedName>
    <definedName name="IQ_TR_BNKY_LEAD_ASSETS_INIT_FILING_LIST" hidden="1">"c17678"</definedName>
    <definedName name="IQ_TR_BNKY_LEAD_DEBTOR" hidden="1">"c17643"</definedName>
    <definedName name="IQ_TR_BNKY_LEAD_DEBTOR_LIST" hidden="1">"c17675"</definedName>
    <definedName name="IQ_TR_BNKY_LEAD_LIAB_INIT_FILING" hidden="1">"c17644"</definedName>
    <definedName name="IQ_TR_BNKY_LEAD_LIAB_INIT_FILING_LIST" hidden="1">"c17677"</definedName>
    <definedName name="IQ_TR_BNKY_LEAD_REV_ANN" hidden="1">"c17646"</definedName>
    <definedName name="IQ_TR_BNKY_LEAD_REV_ANN_LIST" hidden="1">"c17679"</definedName>
    <definedName name="IQ_TR_BNKY_LEAD_STOCK_PRICE_ANN" hidden="1">"c17647"</definedName>
    <definedName name="IQ_TR_BNKY_LEAD_STOCK_PRICE_ANN_LIST" hidden="1">"c17680"</definedName>
    <definedName name="IQ_TR_BNKY_LEAD_TYPE_LIST" hidden="1">"c17676"</definedName>
    <definedName name="IQ_TR_BNKY_LIQUIDATED_DATE" hidden="1">"c17631"</definedName>
    <definedName name="IQ_TR_BNKY_PRE_BANKRUPTCY_SITUATION" hidden="1">"c17637"</definedName>
    <definedName name="IQ_TR_BNKY_RESOLUTION" hidden="1">"c17638"</definedName>
    <definedName name="IQ_TR_BNKY_RESTRUCTURING_WEBSITE" hidden="1">"c17625"</definedName>
    <definedName name="IQ_TR_BNKY_SALE_ASSETS" hidden="1">"c17650"</definedName>
    <definedName name="IQ_TR_BNKY_TOTAL_CLAIMANTS_AMT" hidden="1">"c17653"</definedName>
    <definedName name="IQ_TR_BNKY_TOTAL_FIN_PROVIDED" hidden="1">"c17652"</definedName>
    <definedName name="IQ_TR_BNKY_TOTAL_PAYMENTS_CLAIMANTS" hidden="1">"c17654"</definedName>
    <definedName name="IQ_TR_BNKY_VOL_PETITION_FILED_DATE" hidden="1">"c17628"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CONSID_PCT_FINAL" hidden="1">"c16268"</definedName>
    <definedName name="IQ_TR_CASH_ST_INVEST" hidden="1">"c3025"</definedName>
    <definedName name="IQ_TR_CASH_ST_INVEST_FINAL" hidden="1">"c16266"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ISSUE" hidden="1">"c17571"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BT_CONSID_PCT_FINAL" hidden="1">"c16274"</definedName>
    <definedName name="IQ_TR_DEF_AGRMT_DATE" hidden="1">"c2285"</definedName>
    <definedName name="IQ_TR_DISCLOSED_FEES_EXP" hidden="1">"c2288"</definedName>
    <definedName name="IQ_TR_EARNOUTS" hidden="1">"c3023"</definedName>
    <definedName name="IQ_TR_EARNOUTS_FINAL" hidden="1">"c16262"</definedName>
    <definedName name="IQ_TR_EX_OVER_SHARES_ISSUE" hidden="1">"c17566"</definedName>
    <definedName name="IQ_TR_EXPIRED_DATE" hidden="1">"c2412"</definedName>
    <definedName name="IQ_TR_GROSS_OFFERING_AMT" hidden="1">"c2262"</definedName>
    <definedName name="IQ_TR_GROSS_PROCEEDS_ISSUE" hidden="1">"c17568"</definedName>
    <definedName name="IQ_TR_HYBRID_CONSID_PCT" hidden="1">"c2300"</definedName>
    <definedName name="IQ_TR_HYBRID_CONSID_PCT_FINAL" hidden="1">"c16276"</definedName>
    <definedName name="IQ_TR_IMPLIED_EQ" hidden="1">"c3018"</definedName>
    <definedName name="IQ_TR_IMPLIED_EQ_BV" hidden="1">"c3019"</definedName>
    <definedName name="IQ_TR_IMPLIED_EQ_BV_FINAL" hidden="1">"c16255"</definedName>
    <definedName name="IQ_TR_IMPLIED_EQ_FINAL" hidden="1">"c16253"</definedName>
    <definedName name="IQ_TR_IMPLIED_EQ_NI_LTM" hidden="1">"c3020"</definedName>
    <definedName name="IQ_TR_IMPLIED_EQ_NI_LTM_FINAL" hidden="1">"c16254"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_FINAL" hidden="1">"c16252"</definedName>
    <definedName name="IQ_TR_IMPLIED_EV_EBIT_FWD" hidden="1">"c17878"</definedName>
    <definedName name="IQ_TR_IMPLIED_EV_EBITDA" hidden="1">"c2303"</definedName>
    <definedName name="IQ_TR_IMPLIED_EV_EBITDA_FINAL" hidden="1">"c16251"</definedName>
    <definedName name="IQ_TR_IMPLIED_EV_EBITDA_FWD" hidden="1">"c17877"</definedName>
    <definedName name="IQ_TR_IMPLIED_EV_FINAL" hidden="1">"c16249"</definedName>
    <definedName name="IQ_TR_IMPLIED_EV_NI_LTM" hidden="1">"c2307"</definedName>
    <definedName name="IQ_TR_IMPLIED_EV_REV" hidden="1">"c2304"</definedName>
    <definedName name="IQ_TR_IMPLIED_EV_REV_FINAL" hidden="1">"c16250"</definedName>
    <definedName name="IQ_TR_IMPLIED_EV_REV_FWD" hidden="1">"c17876"</definedName>
    <definedName name="IQ_TR_INIT_FILED_DATE" hidden="1">"c3495"</definedName>
    <definedName name="IQ_TR_IPO_TRANSACTION_ID" hidden="1">"c17554"</definedName>
    <definedName name="IQ_TR_LEAD_UNDERWRITERS" hidden="1">"c17576"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ASSUM_LIABILITIES_FINAL" hidden="1">"c16264"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FFER_PER_SHARE_FINAL" hidden="1">"c16257"</definedName>
    <definedName name="IQ_TR_OFFER_PRICE_BV_FWD" hidden="1">"c17880"</definedName>
    <definedName name="IQ_TR_OFFER_PRICE_EARNINGS_FWD" hidden="1">"c17879"</definedName>
    <definedName name="IQ_TR_OPTIONS_CONSID_PCT" hidden="1">"c2311"</definedName>
    <definedName name="IQ_TR_OPTIONS_CONSID_PCT_FINAL" hidden="1">"c16278"</definedName>
    <definedName name="IQ_TR_OTHER_CONSID" hidden="1">"c3022"</definedName>
    <definedName name="IQ_TR_OTHER_CONSID_FINAL" hidden="1">"c16261"</definedName>
    <definedName name="IQ_TR_PCT_SOUGHT" hidden="1">"c2309"</definedName>
    <definedName name="IQ_TR_PCT_SOUGHT_ACQUIRED_FINAL" hidden="1">"c16256"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_1D_PRICE" hidden="1">"c19180"</definedName>
    <definedName name="IQ_TR_PO_1D_RETURN" hidden="1">"c19179"</definedName>
    <definedName name="IQ_TR_PO_1M_PRICE" hidden="1">"c19184"</definedName>
    <definedName name="IQ_TR_PO_1M_RETURN" hidden="1">"c19183"</definedName>
    <definedName name="IQ_TR_PO_1W_PRICE" hidden="1">"c19182"</definedName>
    <definedName name="IQ_TR_PO_1W_RETURN" hidden="1">"c19181"</definedName>
    <definedName name="IQ_TR_PO_1Y_PRICE" hidden="1">"c19190"</definedName>
    <definedName name="IQ_TR_PO_1Y_RETURN" hidden="1">"c19189"</definedName>
    <definedName name="IQ_TR_PO_3M_PRICE" hidden="1">"c19186"</definedName>
    <definedName name="IQ_TR_PO_3M_RETURN" hidden="1">"c19185"</definedName>
    <definedName name="IQ_TR_PO_6M_PRICE" hidden="1">"c19188"</definedName>
    <definedName name="IQ_TR_PO_6M_RETURN" hidden="1">"c19187"</definedName>
    <definedName name="IQ_TR_PO_DISCOUNT_SHARE" hidden="1">"c17562"</definedName>
    <definedName name="IQ_TR_PO_ISSUE_CURRENCY" hidden="1">"c17557"</definedName>
    <definedName name="IQ_TR_PO_NET_PROCEEDS_SHARE" hidden="1">"c17563"</definedName>
    <definedName name="IQ_TR_PO_PRICE_RANGE" hidden="1">"c17559"</definedName>
    <definedName name="IQ_TR_PO_PRICE_RANGE_HIGH" hidden="1">"c17560"</definedName>
    <definedName name="IQ_TR_PO_PRICE_RANGE_LOW" hidden="1">"c17561"</definedName>
    <definedName name="IQ_TR_PO_PRICE_SHARE" hidden="1">"c17558"</definedName>
    <definedName name="IQ_TR_PO_SHARES_OFFERED" hidden="1">"c17564"</definedName>
    <definedName name="IQ_TR_PO_SHARES_OFFERED_EX_OVER" hidden="1">"c17567"</definedName>
    <definedName name="IQ_TR_PO_TICKER" hidden="1">"c17556"</definedName>
    <definedName name="IQ_TR_PO_TRADING_ITEM_CIQID" hidden="1">"c17555"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F_CONSID_PCT_FINAL" hidden="1">"c16272"</definedName>
    <definedName name="IQ_TR_PREMONEY_VAL" hidden="1">"c2287"</definedName>
    <definedName name="IQ_TR_PRINTING_FEES" hidden="1">"c2276"</definedName>
    <definedName name="IQ_TR_PROCEEDS_EX_OVER_ISSUE" hidden="1">"c17574"</definedName>
    <definedName name="IQ_TR_PT_MONETARY_VALUES" hidden="1">"c2415"</definedName>
    <definedName name="IQ_TR_PT_NUMBER_SHARES" hidden="1">"c2417"</definedName>
    <definedName name="IQ_TR_PT_OFFER_PER_SHARE" hidden="1">"c18872"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_OVER_SHARES_ISSUE" hidden="1">"c17565"</definedName>
    <definedName name="IQ_TR_REG_OVER_VALUE_ISSUE" hidden="1">"c17572"</definedName>
    <definedName name="IQ_TR_REGISTRATION_FEES" hidden="1">"c2274"</definedName>
    <definedName name="IQ_TR_REMAIN_MONETARY_VALUE" hidden="1">"c18099"</definedName>
    <definedName name="IQ_TR_REMAIN_NUMBER_SHARES" hidden="1">"c18101"</definedName>
    <definedName name="IQ_TR_REMAIN_PCT_SHARES" hidden="1">"c18100"</definedName>
    <definedName name="IQ_TR_RENEWAL_BUYBACK" hidden="1">"c2413"</definedName>
    <definedName name="IQ_TR_ROUND_NUMBER" hidden="1">"c2295"</definedName>
    <definedName name="IQ_TR_SEC_FEES" hidden="1">"c13642"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DILUT_EPS_EXCL" hidden="1">"c17703"</definedName>
    <definedName name="IQ_TR_SELLER_EARNING_CO" hidden="1">"c17702"</definedName>
    <definedName name="IQ_TR_SELLER_EBIT" hidden="1">"c17700"</definedName>
    <definedName name="IQ_TR_SELLER_EBITDA" hidden="1">"c17699"</definedName>
    <definedName name="IQ_TR_SELLER_ID" hidden="1">"c2406"</definedName>
    <definedName name="IQ_TR_SELLER_MIN_INT" hidden="1">"c17707"</definedName>
    <definedName name="IQ_TR_SELLER_NET_DEBT" hidden="1">"c17709"</definedName>
    <definedName name="IQ_TR_SELLER_NI" hidden="1">"c17701"</definedName>
    <definedName name="IQ_TR_SELLER_TOTAL_ASSETS" hidden="1">"c17710"</definedName>
    <definedName name="IQ_TR_SELLER_TOTAL_CASH_ST_INVEST" hidden="1">"c17708"</definedName>
    <definedName name="IQ_TR_SELLER_TOTAL_COMMON_EQ" hidden="1">"c17704"</definedName>
    <definedName name="IQ_TR_SELLER_TOTAL_DEBT" hidden="1">"c17705"</definedName>
    <definedName name="IQ_TR_SELLER_TOTAL_PREF" hidden="1">"c17706"</definedName>
    <definedName name="IQ_TR_SELLER_TOTAL_REV" hidden="1">"c17698"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ISSUE" hidden="1">"c17570"</definedName>
    <definedName name="IQ_TR_SH_NET_PROCEEDS_PCT" hidden="1">"c2271"</definedName>
    <definedName name="IQ_TR_SHELF_EXP_EXPIRATION_DATE" hidden="1">"c18102"</definedName>
    <definedName name="IQ_TR_SHELF_EXPIRED_DATE" hidden="1">"c18103"</definedName>
    <definedName name="IQ_TR_SPECIAL_COMMITTEE" hidden="1">"c2362"</definedName>
    <definedName name="IQ_TR_SPIN_DEF_AGRMT_DATE" hidden="1">"c17696"</definedName>
    <definedName name="IQ_TR_SPIN_DIST_RATIO_FINAL" hidden="1">"c17734"</definedName>
    <definedName name="IQ_TR_SPIN_DIST_RATIO_OFFER" hidden="1">"c17728"</definedName>
    <definedName name="IQ_TR_SPIN_DIST_SHARES_FINAL" hidden="1">"c17852"</definedName>
    <definedName name="IQ_TR_SPIN_DIST_SHARES_OFFER" hidden="1">"c17729"</definedName>
    <definedName name="IQ_TR_SPIN_DIST_VALUE" hidden="1">"c17711"</definedName>
    <definedName name="IQ_TR_SPIN_DIST_VALUE_FINAL" hidden="1">"c17722"</definedName>
    <definedName name="IQ_TR_SPIN_DIST_VALUE_OFFER" hidden="1">"c17712"</definedName>
    <definedName name="IQ_TR_SPIN_IMPLIED_EQ_BV_OFFER" hidden="1">"c17721"</definedName>
    <definedName name="IQ_TR_SPIN_IMPLIED_EQ_NI_LTM_OFFER" hidden="1">"c17720"</definedName>
    <definedName name="IQ_TR_SPIN_IMPLIED_EQ_OFFER" hidden="1">"c17714"</definedName>
    <definedName name="IQ_TR_SPIN_IMPLIED_EV_EBIT_OFFER" hidden="1">"c17719"</definedName>
    <definedName name="IQ_TR_SPIN_IMPLIED_EV_EBITDA_OFFER" hidden="1">"c17718"</definedName>
    <definedName name="IQ_TR_SPIN_IMPLIED_EV_OFFER" hidden="1">"c17716"</definedName>
    <definedName name="IQ_TR_SPIN_IMPLIED_EV_REV_OFFER" hidden="1">"c17717"</definedName>
    <definedName name="IQ_TR_SPIN_NET_ASSUM_LIAB_OFFER" hidden="1">"c17715"</definedName>
    <definedName name="IQ_TR_SPIN_PARENT_SHARES_OUT_FINAL" hidden="1">"c17733"</definedName>
    <definedName name="IQ_TR_SPIN_PARENT_SHARES_OUT_OFFER" hidden="1">"c17727"</definedName>
    <definedName name="IQ_TR_SPIN_PCT_DIST_FINAL" hidden="1">"c17723"</definedName>
    <definedName name="IQ_TR_SPIN_PCT_DIST_OFFER" hidden="1">"c17713"</definedName>
    <definedName name="IQ_TR_SPIN_RECORD_DATE" hidden="1">"c17697"</definedName>
    <definedName name="IQ_TR_SPIN_SECURITY_CIQID" hidden="1">"c17724"</definedName>
    <definedName name="IQ_TR_SPIN_SECURITY_PCT_DIST_FINAL" hidden="1">"c17732"</definedName>
    <definedName name="IQ_TR_SPIN_SECURITY_PCT_DIST_OFFER" hidden="1">"c17726"</definedName>
    <definedName name="IQ_TR_SPIN_SECURITY_PRICE_FINAL" hidden="1">"c17731"</definedName>
    <definedName name="IQ_TR_SPIN_SECURITY_PRICE_OFFER" hidden="1">"c17725"</definedName>
    <definedName name="IQ_TR_SPIN_VALUE_CONSID_FINAL" hidden="1">"c17853"</definedName>
    <definedName name="IQ_TR_SPIN_VALUE_CONSID_OFFER" hidden="1">"c17730"</definedName>
    <definedName name="IQ_TR_STATUS" hidden="1">"c2399"</definedName>
    <definedName name="IQ_TR_STOCK_CONSID_PCT" hidden="1">"c2312"</definedName>
    <definedName name="IQ_TR_STOCK_CONSID_PCT_FINAL" hidden="1">"c16270"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BV_SHARE_EST" hidden="1">"c17885"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_EST" hidden="1">"c17883"</definedName>
    <definedName name="IQ_TR_TARGET_EBITDA" hidden="1">"c2334"</definedName>
    <definedName name="IQ_TR_TARGET_EBITDA_EQ_INC" hidden="1">"c3608"</definedName>
    <definedName name="IQ_TR_TARGET_EBITDA_EST" hidden="1">"c17882"</definedName>
    <definedName name="IQ_TR_TARGET_EPS_EST" hidden="1">"c17884"</definedName>
    <definedName name="IQ_TR_TARGET_EST_CURRENCY" hidden="1">"c17886"</definedName>
    <definedName name="IQ_TR_TARGET_EST_DATE" hidden="1">"c17887"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REVENUE_EST" hidden="1">"c17881"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"c13640"</definedName>
    <definedName name="IQ_TR_TERM_FEE_PCT" hidden="1">"c13641"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ASH_FINAL" hidden="1">"c16267"</definedName>
    <definedName name="IQ_TR_TOTAL_CONSID_SH" hidden="1">"c2316"</definedName>
    <definedName name="IQ_TR_TOTAL_CONSID_SH_FINAL" hidden="1">"c16260"</definedName>
    <definedName name="IQ_TR_TOTAL_DEBT" hidden="1">"c2317"</definedName>
    <definedName name="IQ_TR_TOTAL_DEBT_FINAL" hidden="1">"c16273"</definedName>
    <definedName name="IQ_TR_TOTAL_EX_OVER_VALUE_ISSUE" hidden="1">"c17573"</definedName>
    <definedName name="IQ_TR_TOTAL_GROSS_TV" hidden="1">"c2318"</definedName>
    <definedName name="IQ_TR_TOTAL_GROSS_TV_FINAL" hidden="1">"c16259"</definedName>
    <definedName name="IQ_TR_TOTAL_HYBRID" hidden="1">"c2319"</definedName>
    <definedName name="IQ_TR_TOTAL_HYBRID_FINAL" hidden="1">"c16275"</definedName>
    <definedName name="IQ_TR_TOTAL_LEGAL_FEES" hidden="1">"c2272"</definedName>
    <definedName name="IQ_TR_TOTAL_NET_TV" hidden="1">"c2320"</definedName>
    <definedName name="IQ_TR_TOTAL_NET_TV_FINAL" hidden="1">"c16258"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OPTIONS_BUYER_FINAL" hidden="1">"c16277"</definedName>
    <definedName name="IQ_TR_TOTAL_OPTIONS_FINAL" hidden="1">"c16263"</definedName>
    <definedName name="IQ_TR_TOTAL_PREFERRED" hidden="1">"c2321"</definedName>
    <definedName name="IQ_TR_TOTAL_PREFERRED_FINAL" hidden="1">"c16271"</definedName>
    <definedName name="IQ_TR_TOTAL_REG_AMT" hidden="1">"c2261"</definedName>
    <definedName name="IQ_TR_TOTAL_STOCK" hidden="1">"c2323"</definedName>
    <definedName name="IQ_TR_TOTAL_STOCK_FINAL" hidden="1">"c16269"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UNDERWRITER_COMP_ISSUE" hidden="1">"c17569"</definedName>
    <definedName name="IQ_TR_UNDERWRITERS_OTHER" hidden="1">"c17577"</definedName>
    <definedName name="IQ_TR_WITHDRAWN_DTE" hidden="1">"c2266"</definedName>
    <definedName name="IQ_TRADE_AR" hidden="1">"c1345"</definedName>
    <definedName name="IQ_TRADE_BALANCE_USD" hidden="1">"c21103"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FOREIGN_FFIEC" hidden="1">"c15377"</definedName>
    <definedName name="IQ_TRADING_REV_OPERATING_INC_FFIEC" hidden="1">"c13385"</definedName>
    <definedName name="IQ_TRADING_REVENUE_FFIEC" hidden="1">"c13004"</definedName>
    <definedName name="IQ_TRADING_SEC_AMOUNTS_NETTED_THRIFT" hidden="1">"c25486"</definedName>
    <definedName name="IQ_TRADING_SEC_LEVEL_1_THRIFT" hidden="1">"c25482"</definedName>
    <definedName name="IQ_TRADING_SEC_LEVEL_2_THRIFT" hidden="1">"c25483"</definedName>
    <definedName name="IQ_TRADING_SEC_LEVEL_3_THRIFT" hidden="1">"c25484"</definedName>
    <definedName name="IQ_TRADING_SEC_TOTAL_AFTER_NETTING_THRIFT" hidden="1">"c25487"</definedName>
    <definedName name="IQ_TRADING_SEC_TOTAL_BEFORE_NETTING_THRIFT" hidden="1">"c25485"</definedName>
    <definedName name="IQ_TRANS_ACCTS_TOT_DEPOSITS_FFIEC" hidden="1">"c13904"</definedName>
    <definedName name="IQ_TRANS_IMPACT_FIN_48_CURRENT_ASSETS" hidden="1">"c15727"</definedName>
    <definedName name="IQ_TRANS_IMPACT_FIN_48_CURRENT_LIABILITIES" hidden="1">"c15729"</definedName>
    <definedName name="IQ_TRANS_IMPACT_FIN_48_LT_ASSETS" hidden="1">"c15728"</definedName>
    <definedName name="IQ_TRANS_IMPACT_FIN_48_NON_CURRENT_LIABILITIES" hidden="1">"c15730"</definedName>
    <definedName name="IQ_TRANS_IMPACT_FIN_48_RETAINED_EARNINGS" hidden="1">"c15731"</definedName>
    <definedName name="IQ_TRANSACTION_ACCOUNTS_FDIC" hidden="1">"c6544"</definedName>
    <definedName name="IQ_TRANSACTION_ACCOUNTS_INC_DEMAND_DEPOSITS_THRIFT" hidden="1">"c24998"</definedName>
    <definedName name="IQ_TRANSACTION_ACCOUNTS_TOTAL_DEPOSITS_THRIFT" hidden="1">"c25777"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ANSFER_AGENT_REGISTRAR_PAYING_AGENT_OTHER_CORPORATE_AGENCY_NUMBER_ISSUES_THRIFT" hidden="1">"c25444"</definedName>
    <definedName name="IQ_TRANSFERS_GVA_THRIFT" hidden="1">"c25093"</definedName>
    <definedName name="IQ_TRANSFERS_SVA_THRIFT" hidden="1">"c25101"</definedName>
    <definedName name="IQ_TREASURER_ID" hidden="1">"c15214"</definedName>
    <definedName name="IQ_TREASURER_NAME" hidden="1">"c15213"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CM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EASURY_STOCK_TRANSACTIONS_FFIEC" hidden="1">"c15352"</definedName>
    <definedName name="IQ_TROUBLED_DEBT_RESTRUCTURED_DUE_30_89_THRIFT" hidden="1">"c25256"</definedName>
    <definedName name="IQ_TROUBLED_DEBT_RESTRUCTURED_DUE_90_THRIFT" hidden="1">"c25277"</definedName>
    <definedName name="IQ_TROUBLED_DEBT_RESTRUCTURED_NON_ACCRUAL_THRIFT" hidden="1">"c25298"</definedName>
    <definedName name="IQ_TROUBLED_DEBT_RESTRUCTURED_THRIFT" hidden="1">"c25230"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AMORTIZED_YIELD_ADJUSTMENTS_THRIFT" hidden="1">"c24898"</definedName>
    <definedName name="IQ_UNASSIGNED_RESERVES_COAL" hidden="1">"c15914"</definedName>
    <definedName name="IQ_UNASSIGNED_RESERVES_TO_TOTAL_RESERVES_COAL" hidden="1">"c15956"</definedName>
    <definedName name="IQ_UNCLASSIFIED_PROPERTY_OPERATING_EXPENSE" hidden="1">"c16034"</definedName>
    <definedName name="IQ_UNCLASSIFIED_RENTAL_INCOME" hidden="1">"c16021"</definedName>
    <definedName name="IQ_UNCONSOL_BEDS" hidden="1">"c8783"</definedName>
    <definedName name="IQ_UNCONSOL_NOI" hidden="1">"c16067"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GROUND_RESERVES_COAL" hidden="1">"c15922"</definedName>
    <definedName name="IQ_UNDERGROUND_RESERVES_TO_TOTAL_RESERVES_COAL" hidden="1">"c15960"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SECURITIZED" hidden="1">"c17900"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CM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_RATE" hidden="1">"c21104"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NSURED_DEPOSITS_THRIFT" hidden="1">"c24995"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REALIZED_GAINS_AFS_EQUITY_SEC_T2_THRIFT" hidden="1">"c25040"</definedName>
    <definedName name="IQ_UNRECOG_TAX_BENEFIT_BEG_PERIOD" hidden="1">"c15732"</definedName>
    <definedName name="IQ_UNRECOG_TAX_BENEFIT_END_PERIOD" hidden="1">"c15740"</definedName>
    <definedName name="IQ_UNRECOG_TAX_BENEFIT_OTHER_ADJ" hidden="1">"c15739"</definedName>
    <definedName name="IQ_UNSECURED_COMMERCIAL_LOANS_THRIFT" hidden="1">"c24855"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SECURED_FEDERAL_FUNDS_PURCHASED_THRIFT" hidden="1">"c25572"</definedName>
    <definedName name="IQ_UNSECURED_OTHER_BORROWINGS_WITH_REMAINING_MATURITY_ONE_YEAR_LESS_THRIFT" hidden="1">"c25575"</definedName>
    <definedName name="IQ_UNSECURED_OTHER_BORROWINGS_WITH_REMAINING_MATURITY_OVER_ONE_YEAR_THRIFT" hidden="1">"c25576"</definedName>
    <definedName name="IQ_UNUSED_LINES_CREDIT_COMM_LINES_THRIFT" hidden="1">"c25607"</definedName>
    <definedName name="IQ_UNUSED_LINES_CREDIT_REVOLVING_OPEN_END_LOANS_1_4_DWELLING_UNITS_THRIFT" hidden="1">"c25606"</definedName>
    <definedName name="IQ_UNUSED_LINES_CREDIT_THRIFT" hidden="1">"c25605"</definedName>
    <definedName name="IQ_UNUSED_LOAN_COMMITMENTS_FDIC" hidden="1">"c6368"</definedName>
    <definedName name="IQ_UNUSUAL_EXP" hidden="1">"c1456"</definedName>
    <definedName name="IQ_UPGRADE_REBUILD_CABLE_INVEST" hidden="1">"c15804"</definedName>
    <definedName name="IQ_US_ADDRESS_LEASE_FIN_REC_FFIEC" hidden="1">"c13624"</definedName>
    <definedName name="IQ_US_AGENCY_OBLIG_FFIEC" hidden="1">"c12779"</definedName>
    <definedName name="IQ_US_AGENCY_OBLIG_HTM_AMORT_COST_FFIEC" hidden="1">"c20438"</definedName>
    <definedName name="IQ_US_AGENCY_OBLIG_HTM_FAIR_VAL_FFIEC" hidden="1">"c20473"</definedName>
    <definedName name="IQ_US_AGENCY_OBLIG_TRADING_DOM_FFIEC" hidden="1">"c12919"</definedName>
    <definedName name="IQ_US_AGENCY_OBLIG_TRADING_FFIEC" hidden="1">"c12814"</definedName>
    <definedName name="IQ_US_AGENCY_OBLIGATIONS_AFS_AMORT_COST_FFIEC" hidden="1">"c20490"</definedName>
    <definedName name="IQ_US_AGENCY_OBLIGATIONS_AFS_FAIR_VAL_FFIEC" hidden="1">"c20455"</definedName>
    <definedName name="IQ_US_AGENCY_OBLIGATIONS_AVAIL_SALE_FFIEC" hidden="1">"c12793"</definedName>
    <definedName name="IQ_US_AGENCY_SPONSORED_ENTERPRISE_SEC_THRIFT" hidden="1">"c24822"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AGENCY_SPONSORED_ENTERPRISE_SEC_INV_SEC_THRIFT" hidden="1">"c25671"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FS_AMORT_COST_FFIEC" hidden="1">"c20491"</definedName>
    <definedName name="IQ_US_SPONSORED_AGENCY_OBLIG_AFS_FAIR_VAL_FFIEC" hidden="1">"c20456"</definedName>
    <definedName name="IQ_US_SPONSORED_AGENCY_OBLIG_AVAIL_SALE_FFIEC" hidden="1">"c12794"</definedName>
    <definedName name="IQ_US_SPONSORED_AGENCY_OBLIG_FFIEC" hidden="1">"c12780"</definedName>
    <definedName name="IQ_US_SPONSORED_AGENCY_OBLIG_HTM_AMORT_COST_FFIEC" hidden="1">"c20439"</definedName>
    <definedName name="IQ_US_SPONSORED_AGENCY_OBLIG_HTM_FAIR_VAL_FFIEC" hidden="1">"c20474"</definedName>
    <definedName name="IQ_US_TREASURY_SEC_AFS_AMORT_COST_FFIEC" hidden="1">"c20489"</definedName>
    <definedName name="IQ_US_TREASURY_SEC_AFS_FAIR_VAL_FFIEC" hidden="1">"c20454"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S_TREASURY_SECURITIES_HTM_AMORT_COST_FFIEC" hidden="1">"c20437"</definedName>
    <definedName name="IQ_US_TREASURY_SECURITIES_HTM_FAIR_VAL_FFIEC" hidden="1">"c20472"</definedName>
    <definedName name="IQ_US_TREASURY_US_GOVT_AGENCY_OBLIGATIONS_ALL_OTHER_ACCOUNTS_THRIFT" hidden="1">"c25425"</definedName>
    <definedName name="IQ_US_TREASURY_US_GOVT_AGENCY_OBLIGATIONS_EMPLOYEE_BENEFIT_RETIREMENT_RELATED_ACCOUNTS_THRIFT" hidden="1">"c25409"</definedName>
    <definedName name="IQ_US_TREASURY_US_GOVT_AGENCY_OBLIGATIONS_PERSONAL_TRUST_AGENCY_INV_MANAGEMENT_ACCOUNTS_THRIFT" hidden="1">"c25393"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TILITY_EXPENSE" hidden="1">"c16031"</definedName>
    <definedName name="IQ_UV_PENSION_LIAB" hidden="1">"c1332"</definedName>
    <definedName name="IQ_VALUATION_ALLOWANCES_FDIC" hidden="1">"c6400"</definedName>
    <definedName name="IQ_VALUE_CUSTOMER_ASSETS" hidden="1">"c20433"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DEBT" hidden="1">"c17895"</definedName>
    <definedName name="IQ_VARIABLE_RATE_DEBT_PCT" hidden="1">"c18009"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HICLE_LOANS" hidden="1">"c15249"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ICE_SUB_BASIC_SUB" hidden="1">"c16203"</definedName>
    <definedName name="IQ_VOICE_SUB_TOTAL_HOMES_PASSED" hidden="1">"c15770"</definedName>
    <definedName name="IQ_VOICE_SUB_VIDEO_SUB" hidden="1">"c15789"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_TOTAL_AGG_INT_VALUE_EXER" hidden="1">"c18465"</definedName>
    <definedName name="IQ_WAR_TOTAL_AGG_INT_VALUE_OUT" hidden="1">"c18461"</definedName>
    <definedName name="IQ_WAR_TOTAL_NUM_EXER" hidden="1">"c18463"</definedName>
    <definedName name="IQ_WAR_TOTAL_NUM_OUT" hidden="1">"c18459"</definedName>
    <definedName name="IQ_WAR_TOTAL_PLAN_NAME" hidden="1">"c18469"</definedName>
    <definedName name="IQ_WAR_TOTAL_PRICE_HIGH" hidden="1">"c18456"</definedName>
    <definedName name="IQ_WAR_TOTAL_PRICE_LOW" hidden="1">"c18455"</definedName>
    <definedName name="IQ_WAR_TOTAL_PRICE_RANGE" hidden="1">"c18457"</definedName>
    <definedName name="IQ_WAR_TOTAL_WTD_LIFE_EXER" hidden="1">"c18464"</definedName>
    <definedName name="IQ_WAR_TOTAL_WTD_LIFE_OUT" hidden="1">"c18460"</definedName>
    <definedName name="IQ_WAR_TOTAL_WTD_PRICE_EXER" hidden="1">"c18462"</definedName>
    <definedName name="IQ_WAR_TOTAL_WTD_PRICE_OUT" hidden="1">"c18458"</definedName>
    <definedName name="IQ_WAR_TRANCHE_AGG_INT_VALUE_EXER" hidden="1">"c18454"</definedName>
    <definedName name="IQ_WAR_TRANCHE_AGG_INT_VALUE_OUT" hidden="1">"c18450"</definedName>
    <definedName name="IQ_WAR_TRANCHE_CLASS_NAME" hidden="1">"c18443"</definedName>
    <definedName name="IQ_WAR_TRANCHE_NUM_EXER" hidden="1">"c18452"</definedName>
    <definedName name="IQ_WAR_TRANCHE_NUM_OUT" hidden="1">"c18448"</definedName>
    <definedName name="IQ_WAR_TRANCHE_PLAN_NAME" hidden="1">"c18442"</definedName>
    <definedName name="IQ_WAR_TRANCHE_PLAN_RANK" hidden="1">"c18468"</definedName>
    <definedName name="IQ_WAR_TRANCHE_PRICE_HIGH" hidden="1">"c18445"</definedName>
    <definedName name="IQ_WAR_TRANCHE_PRICE_LOW" hidden="1">"c18444"</definedName>
    <definedName name="IQ_WAR_TRANCHE_PRICE_RANGE" hidden="1">"c18446"</definedName>
    <definedName name="IQ_WAR_TRANCHE_WTD_LIFE_EXER" hidden="1">"c18453"</definedName>
    <definedName name="IQ_WAR_TRANCHE_WTD_LIFE_OUT" hidden="1">"c18449"</definedName>
    <definedName name="IQ_WAR_TRANCHE_WTD_PRICE_EXER" hidden="1">"c18451"</definedName>
    <definedName name="IQ_WAR_TRANCHE_WTD_PRICE_OUT" hidden="1">"c18447"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HOLESALE_INV_ALCOHOL" hidden="1">"c21105"</definedName>
    <definedName name="IQ_WHOLESALE_INV_APPAREL" hidden="1">"c21106"</definedName>
    <definedName name="IQ_WHOLESALE_INV_CHEMICALS" hidden="1">"c21107"</definedName>
    <definedName name="IQ_WHOLESALE_INV_COMPUTER" hidden="1">"c21108"</definedName>
    <definedName name="IQ_WHOLESALE_INV_DRUGS" hidden="1">"c21109"</definedName>
    <definedName name="IQ_WHOLESALE_INV_DUR" hidden="1">"c21110"</definedName>
    <definedName name="IQ_WHOLESALE_INV_DUR_MISC" hidden="1">"c21111"</definedName>
    <definedName name="IQ_WHOLESALE_INV_ELECTRIC" hidden="1">"c21112"</definedName>
    <definedName name="IQ_WHOLESALE_INV_EQUIP" hidden="1">"c21113"</definedName>
    <definedName name="IQ_WHOLESALE_INV_FARM_PRODUCT" hidden="1">"c21114"</definedName>
    <definedName name="IQ_WHOLESALE_INV_FURNITURE" hidden="1">"c21115"</definedName>
    <definedName name="IQ_WHOLESALE_INV_GROCERIES" hidden="1">"c21116"</definedName>
    <definedName name="IQ_WHOLESALE_INV_HARDWARE" hidden="1">"c21117"</definedName>
    <definedName name="IQ_WHOLESALE_INV_LUMBER" hidden="1">"c21118"</definedName>
    <definedName name="IQ_WHOLESALE_INV_MACHINERY" hidden="1">"c21119"</definedName>
    <definedName name="IQ_WHOLESALE_INV_METALS_MINERALS" hidden="1">"c21120"</definedName>
    <definedName name="IQ_WHOLESALE_INV_MOTOR_VEHICLE" hidden="1">"c21121"</definedName>
    <definedName name="IQ_WHOLESALE_INV_NONDUR" hidden="1">"c21122"</definedName>
    <definedName name="IQ_WHOLESALE_INV_NONDUR_MISC" hidden="1">"c21123"</definedName>
    <definedName name="IQ_WHOLESALE_INV_PAPER" hidden="1">"c21124"</definedName>
    <definedName name="IQ_WHOLESALE_INV_PETROLEUM" hidden="1">"c21125"</definedName>
    <definedName name="IQ_WHOLESALE_INV_SALES_RATIO_ALCOHOL" hidden="1">"c21126"</definedName>
    <definedName name="IQ_WHOLESALE_INV_SALES_RATIO_APPAREL" hidden="1">"c21127"</definedName>
    <definedName name="IQ_WHOLESALE_INV_SALES_RATIO_CHEMICALS" hidden="1">"c21128"</definedName>
    <definedName name="IQ_WHOLESALE_INV_SALES_RATIO_COMPUTER" hidden="1">"c21129"</definedName>
    <definedName name="IQ_WHOLESALE_INV_SALES_RATIO_DRUGS" hidden="1">"c21130"</definedName>
    <definedName name="IQ_WHOLESALE_INV_SALES_RATIO_DUR" hidden="1">"c21131"</definedName>
    <definedName name="IQ_WHOLESALE_INV_SALES_RATIO_DUR_MISC" hidden="1">"c21132"</definedName>
    <definedName name="IQ_WHOLESALE_INV_SALES_RATIO_ELECTRIC" hidden="1">"c21133"</definedName>
    <definedName name="IQ_WHOLESALE_INV_SALES_RATIO_EQUIP" hidden="1">"c21134"</definedName>
    <definedName name="IQ_WHOLESALE_INV_SALES_RATIO_FARM_PRODUCT" hidden="1">"c21135"</definedName>
    <definedName name="IQ_WHOLESALE_INV_SALES_RATIO_FURNITURE" hidden="1">"c21136"</definedName>
    <definedName name="IQ_WHOLESALE_INV_SALES_RATIO_GROCERIES" hidden="1">"c21137"</definedName>
    <definedName name="IQ_WHOLESALE_INV_SALES_RATIO_HARDWARE" hidden="1">"c21138"</definedName>
    <definedName name="IQ_WHOLESALE_INV_SALES_RATIO_LUMBER" hidden="1">"c21139"</definedName>
    <definedName name="IQ_WHOLESALE_INV_SALES_RATIO_MACHINERY" hidden="1">"c21140"</definedName>
    <definedName name="IQ_WHOLESALE_INV_SALES_RATIO_METALS_MINERALS" hidden="1">"c21141"</definedName>
    <definedName name="IQ_WHOLESALE_INV_SALES_RATIO_MOTOR_VEHICLE" hidden="1">"c21142"</definedName>
    <definedName name="IQ_WHOLESALE_INV_SALES_RATIO_NONDUR" hidden="1">"c21143"</definedName>
    <definedName name="IQ_WHOLESALE_INV_SALES_RATIO_NONDUR_MISC" hidden="1">"c21144"</definedName>
    <definedName name="IQ_WHOLESALE_INV_SALES_RATIO_PAPER" hidden="1">"c21145"</definedName>
    <definedName name="IQ_WHOLESALE_INV_SALES_RATIO_PETROLEUM" hidden="1">"c21146"</definedName>
    <definedName name="IQ_WHOLESALE_INV_SALES_RATIO_TOTAL" hidden="1">"c21147"</definedName>
    <definedName name="IQ_WHOLESALE_INV_TOTAL" hidden="1">"c21148"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LCOHOL" hidden="1">"c21149"</definedName>
    <definedName name="IQ_WHOLESALE_SALES_APPAREL" hidden="1">"c21150"</definedName>
    <definedName name="IQ_WHOLESALE_SALES_APR" hidden="1">"c7688"</definedName>
    <definedName name="IQ_WHOLESALE_SALES_APR_FC" hidden="1">"c8568"</definedName>
    <definedName name="IQ_WHOLESALE_SALES_CHEMICALS" hidden="1">"c21151"</definedName>
    <definedName name="IQ_WHOLESALE_SALES_COMPUTER" hidden="1">"c21152"</definedName>
    <definedName name="IQ_WHOLESALE_SALES_DRUGS" hidden="1">"c21153"</definedName>
    <definedName name="IQ_WHOLESALE_SALES_DUR" hidden="1">"c21154"</definedName>
    <definedName name="IQ_WHOLESALE_SALES_DUR_MISC" hidden="1">"c21155"</definedName>
    <definedName name="IQ_WHOLESALE_SALES_ELECTRIC" hidden="1">"c21156"</definedName>
    <definedName name="IQ_WHOLESALE_SALES_EQUIP" hidden="1">"c21157"</definedName>
    <definedName name="IQ_WHOLESALE_SALES_FARM_PRODUCT" hidden="1">"c21158"</definedName>
    <definedName name="IQ_WHOLESALE_SALES_FC" hidden="1">"c7908"</definedName>
    <definedName name="IQ_WHOLESALE_SALES_FURNITURE" hidden="1">"c21159"</definedName>
    <definedName name="IQ_WHOLESALE_SALES_GROCERIES" hidden="1">"c21160"</definedName>
    <definedName name="IQ_WHOLESALE_SALES_HARDWARE" hidden="1">"c21161"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LUMBER" hidden="1">"c21162"</definedName>
    <definedName name="IQ_WHOLESALE_SALES_MACHINERY" hidden="1">"c21163"</definedName>
    <definedName name="IQ_WHOLESALE_SALES_METALS_MINERALS" hidden="1">"c21164"</definedName>
    <definedName name="IQ_WHOLESALE_SALES_MOTOR_VEHICLE" hidden="1">"c21165"</definedName>
    <definedName name="IQ_WHOLESALE_SALES_NONDUR" hidden="1">"c21166"</definedName>
    <definedName name="IQ_WHOLESALE_SALES_NONDUR_MISC" hidden="1">"c21167"</definedName>
    <definedName name="IQ_WHOLESALE_SALES_PAPER" hidden="1">"c21168"</definedName>
    <definedName name="IQ_WHOLESALE_SALES_PETROLEUM" hidden="1">"c21169"</definedName>
    <definedName name="IQ_WHOLESALE_SALES_POP" hidden="1">"c7248"</definedName>
    <definedName name="IQ_WHOLESALE_SALES_POP_FC" hidden="1">"c8128"</definedName>
    <definedName name="IQ_WHOLESALE_SALES_TOTAL" hidden="1">"c21170"</definedName>
    <definedName name="IQ_WHOLESALE_SALES_YOY" hidden="1">"c7468"</definedName>
    <definedName name="IQ_WHOLESALE_SALES_YOY_FC" hidden="1">"c8348"</definedName>
    <definedName name="IQ_WIP_INV" hidden="1">"c1335"</definedName>
    <definedName name="IQ_WIRELESS_PENETRATION" hidden="1">"c15767"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WTD_AVG_IR_AFTER_FIVE" hidden="1">"c15700"</definedName>
    <definedName name="IQ_WTD_AVG_IR_CY" hidden="1">"c15695"</definedName>
    <definedName name="IQ_WTD_AVG_IR_CY1" hidden="1">"c15696"</definedName>
    <definedName name="IQ_WTD_AVG_IR_CY2" hidden="1">"c15697"</definedName>
    <definedName name="IQ_WTD_AVG_IR_CY3" hidden="1">"c15698"</definedName>
    <definedName name="IQ_WTD_AVG_IR_CY4" hidden="1">"c15699"</definedName>
    <definedName name="IQ_WTD_AVG_IR_LT_DEBT" hidden="1">"c15693"</definedName>
    <definedName name="IQ_WTD_AVG_IR_TOTAL_DEBT" hidden="1">"c15694"</definedName>
    <definedName name="IQ_XDIV_DATE" hidden="1">"c2203"</definedName>
    <definedName name="IQ_XDIV_DATE_LIST" hidden="1">"c17416"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IELD_CURVE_LIST" hidden="1">"c19250"</definedName>
    <definedName name="IQ_YIELD_FED_FUNDS_SOLD_FFIEC" hidden="1">"c13487"</definedName>
    <definedName name="IQ_YIELD_TRADING_ASSETS_FFIEC" hidden="1">"c13488"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_ZERO_COUPON_DEBT" hidden="1">"c17896"</definedName>
    <definedName name="IQ_ZERO_COUPON_DEBT_PCT" hidden="1">"c18010"</definedName>
    <definedName name="jjj" hidden="1">#REF!</definedName>
    <definedName name="jz" hidden="1">#REF!</definedName>
    <definedName name="k" hidden="1">{#N/A,#N/A,FALSE,"Summary";#N/A,#N/A,FALSE,"Assumptions";#N/A,#N/A,FALSE,"Lease-up";#N/A,#N/A,FALSE,"DrawSchedule"}</definedName>
    <definedName name="Land_Cost">Summary!$E$35</definedName>
    <definedName name="lank" hidden="1">#REF!</definedName>
    <definedName name="Law_Account" hidden="1">#REF!</definedName>
    <definedName name="Law_Account_Subaccount" hidden="1">#REF!</definedName>
    <definedName name="Law_Accounting_Unit" hidden="1">#REF!</definedName>
    <definedName name="Law_Company" hidden="1">#REF!</definedName>
    <definedName name="Legal_Closing">Summary!$E$41</definedName>
    <definedName name="Lws_FormVersion_6.1" hidden="1">#REF!</definedName>
    <definedName name="Lws_SSType_Columns" hidden="1">#REF!</definedName>
    <definedName name="Mezzanine_Provider">Summary!$D$69</definedName>
    <definedName name="Muni_Fees">Summary!$E$44</definedName>
    <definedName name="OneBROneBA_wtavg_SF">Summary!$D$25</definedName>
    <definedName name="Order2" hidden="1">255</definedName>
    <definedName name="ProjectName">{"Client Name or Project Name"}</definedName>
    <definedName name="PT" hidden="1">{"ODB",#N/A,FALSE,"Hold Scenario"}</definedName>
    <definedName name="SoftCost_Conting">Summary!$E$52</definedName>
    <definedName name="Soils_Testing">Summary!$E$39</definedName>
    <definedName name="Sort2" hidden="1">#REF!</definedName>
    <definedName name="SR_Loan_Provider">Summary!$D$70</definedName>
    <definedName name="Startup_Costs">Summary!$E$46</definedName>
    <definedName name="Studio_wtavg_SF">Summary!$D$24</definedName>
    <definedName name="Survey">Summary!$E$38</definedName>
    <definedName name="Taxes_Insurance">Summary!$E$42</definedName>
    <definedName name="ThreeBRThreeBA_wtavg_SF">Summary!$D$27</definedName>
    <definedName name="Total_Costs_Before_Mezz_Interest">Summary!$E$58</definedName>
    <definedName name="Total_Number_Units">Summary!$F$28</definedName>
    <definedName name="Total_Unit_wtavg_SF">Summary!$D$28</definedName>
    <definedName name="TwoBRTwoBA_wgtav">Summary!$D$26</definedName>
    <definedName name="wrn" hidden="1">{#N/A,#N/A,FALSE,"ZellLurieFinSummary";#N/A,#N/A,FALSE,"FirstCapFinSummary";#N/A,#N/A,FALSE,"ZM I-III Consol FinSummary"}</definedName>
    <definedName name="wrn.10._.Year._.Analysis." hidden="1">{"Data Input",#N/A,TRUE,"Data Input";"10-Yr Cash Flow",#N/A,TRUE,"Cash Flow";"10-Yr Value",#N/A,TRUE,"Value "}</definedName>
    <definedName name="wrn.15._.Year._.Analysis." hidden="1">{"Data Input",#N/A,TRUE,"Data Input";"15-Yr Cash Flow",#N/A,TRUE,"Cash Flow";"15-Yr Value",#N/A,TRUE,"Value "}</definedName>
    <definedName name="wrn.222W83._.RR." hidden="1">{"aa",#N/A,FALSE,"222W83 Resid ";"bbb",#N/A,FALSE,"222W83 Resid ";"cc",#N/A,FALSE,"222W83 Resid "}</definedName>
    <definedName name="wrn.360w55._.RR." hidden="1">{"aa",#N/A,FALSE,"360 West 55th";"bb",#N/A,FALSE,"360 West 55th";"cc",#N/A,FALSE,"360 West 55th"}</definedName>
    <definedName name="wrn.Acquistion._.Status." hidden="1">{#N/A,#N/A,FALSE,"zm III";#N/A,#N/A,FALSE,"deal flow";#N/A,#N/A,FALSE,"Pending deals"}</definedName>
    <definedName name="wrn.ALL.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boardPackage." hidden="1">{#N/A,#N/A,FALSE,"ZM I-III Consol FinSummary";#N/A,#N/A,FALSE,"ZM1 FinSummary";#N/A,#N/A,FALSE,"ZM2 FinSummary";#N/A,#N/A,FALSE,"ZM3 FinSummary";#N/A,#N/A,FALSE,"FirstCapFinSummary";#N/A,#N/A,FALSE,"ZellLurieFinSummary";#N/A,#N/A,FALSE,"PortfolioOverview";#N/A,#N/A,FALSE,"Portfolio FinSummary";#N/A,#N/A,FALSE,"OverviewbyState";#N/A,#N/A,FALSE,"portfolio";#N/A,#N/A,FALSE,"ZM123";#N/A,#N/A,FALSE,"FCOccy";#N/A,#N/A,FALSE,"ZL";#N/A,#N/A,FALSE,"ZM ROll SbyS";#N/A,#N/A,FALSE,"zmlConsildated";#N/A,#N/A,FALSE,"FC Roll";#N/A,#N/A,FALSE,"ZL Roll";#N/A,#N/A,FALSE,"Retention";#N/A,#N/A,FALSE,"ConsZM123DebtMaturity";#N/A,#N/A,FALSE,"zm1DebtMaturity";#N/A,#N/A,FALSE,"ZM2DebtMaturity";#N/A,#N/A,FALSE,"ZM3DebtMaturity";#N/A,#N/A,FALSE,"FCDebtMaturity";#N/A,#N/A,FALSE,"ZLDebtMaturity";#N/A,#N/A,FALSE,"Corporate";#N/A,#N/A,FALSE,"SALEDATA";#N/A,#N/A,FALSE,"Pending deals";#N/A,#N/A,FALSE,"zm III";#N/A,#N/A,FALSE,"deal flow";#N/A,#N/A,FALSE,"96Tran";#N/A,#N/A,FALSE,"z4Sources &amp; Uses";#N/A,#N/A,FALSE,"z3 Sources &amp; Uses";#N/A,#N/A,FALSE,"z2 Sources and Uses";#N/A,#N/A,FALSE,"z1 Sources &amp; Uses"}</definedName>
    <definedName name="wrn.Debt._.Maturity." hidden="1">{#N/A,#N/A,FALSE,"ZLDebtMaturity";#N/A,#N/A,FALSE,"FCDebtMaturity";#N/A,#N/A,FALSE,"ZM3DebtMaturity";#N/A,#N/A,FALSE,"ZM2DebtMaturity";#N/A,#N/A,FALSE,"zm1DebtMaturity";#N/A,#N/A,FALSE,"ConsZM123DebtMaturity"}</definedName>
    <definedName name="wrn.DIP._.Analysis." hidden="1">{#N/A,#N/A,FALSE,"Assumptions";#N/A,#N/A,FALSE,"Qtrprofma ";#N/A,#N/A,FALSE,"Consolidated";#N/A,#N/A,FALSE,"Qtrly Revenues";#N/A,#N/A,FALSE,"Rent Roll";#N/A,#N/A,FALSE,"8yr Expense Budget"}</definedName>
    <definedName name="wrn.Full._.Report." hidden="1">{"Consolidated",#N/A,FALSE,"Consolidated";"Revenues",#N/A,FALSE,"Revenues";"Capital Items",#N/A,FALSE,"Capital Items";"Year 1",#N/A,FALSE,"Year 1 Proforma";#N/A,#N/A,FALSE,"8 Year ProFma";"Expenses",#N/A,FALSE,"Standard Expense"}</definedName>
    <definedName name="wrn.LeasingResults." hidden="1">{#N/A,#N/A,FALSE,"Retention";#N/A,#N/A,FALSE,"ZL Roll";#N/A,#N/A,FALSE,"FC Roll";#N/A,#N/A,FALSE,"zmlConsildated";#N/A,#N/A,FALSE,"ZM ROll SbyS";#N/A,#N/A,FALSE,"ZL";#N/A,#N/A,FALSE,"FCOccy";#N/A,#N/A,FALSE,"ZM123";#N/A,#N/A,FALSE,"portfolio"}</definedName>
    <definedName name="wrn.ODB." hidden="1">{"ODB",#N/A,FALSE,"Hold Scenario"}</definedName>
    <definedName name="wrn.PorfolioFinancialSummary." hidden="1">{#N/A,#N/A,FALSE,"ZellLurieFinSummary";#N/A,#N/A,FALSE,"FirstCapFinSummary";#N/A,#N/A,FALSE,"ZM I-III Consol FinSummary"}</definedName>
    <definedName name="wrn.print." hidden="1">{#N/A,"no hsd",FALSE,"Cap Rate";#N/A,"hsd",FALSE,"Cap Rate";#N/A,"hsd1",FALSE,"NAV Analysis";#N/A,"nohsd1",FALSE,"NAV Analysis"}</definedName>
    <definedName name="wrn.PrintAll." hidden="1">{#N/A,#N/A,FALSE,"OpEx (PP)";#N/A,#N/A,FALSE,"Lease Comps (O)-BT";#N/A,#N/A,FALSE,"OpEx (CC)";#N/A,#N/A,FALSE,"Value (PP-Base)";#N/A,#N/A,FALSE,"Value (CC-Base)";#N/A,#N/A,FALSE,"Sales Comps (R)";#N/A,#N/A,FALSE,"Sales Comps (O)"}</definedName>
    <definedName name="wrn.Report." hidden="1">{#N/A,#N/A,FALSE,"Loan Summary";#N/A,#N/A,FALSE,"NOI";"RR and Expir",#N/A,FALSE,"Rental";"Sales History",#N/A,FALSE,"Rental";#N/A,#N/A,FALSE,"Reserves"}</definedName>
    <definedName name="wrn.Summary." hidden="1">{"Office Properties",#N/A,FALSE,"Consolidation";"Residential Summary",#N/A,FALSE,"Consolidation";"Retail Properties",#N/A,FALSE,"Consolidation"}</definedName>
    <definedName name="wrn.Template.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mtest." hidden="1">{#N/A,#N/A,FALSE,"Summary";#N/A,#N/A,FALSE,"Assumptions";#N/A,#N/A,FALSE,"Lease-up";#N/A,#N/A,FALSE,"DrawSchedule"}</definedName>
    <definedName name="wrn.tmtest._1" hidden="1">{#N/A,#N/A,FALSE,"Summary";#N/A,#N/A,FALSE,"Assumptions";#N/A,#N/A,FALSE,"Lease-up";#N/A,#N/A,FALSE,"DrawSchedule"}</definedName>
    <definedName name="wrn.ZML123._.Financial._.Summaries." hidden="1">{#N/A,#N/A,FALSE,"ZM3 FinSummary";#N/A,#N/A,FALSE,"ZM2 FinSummary";#N/A,#N/A,FALSE,"ZM1 FinSummary"}</definedName>
    <definedName name="solver_adj" localSheetId="0" hidden="1">Summary!$H$52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Summary!$E$58</definedName>
    <definedName name="solver_pre" localSheetId="0" hidden="1">0.000001</definedName>
    <definedName name="solver_rbv" localSheetId="0" hidden="1">1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89477032</definedName>
    <definedName name="solver_ver" localSheetId="0" hidden="1">3</definedName>
    <definedName name="_xlnm.Print_Titles" localSheetId="0">'Summary'!$1:$3</definedName>
    <definedName name="_xlnm.Print_Area" localSheetId="0">'Summary'!$A$1:$I$85</definedName>
    <definedName name="solver_adj" localSheetId="3" hidden="1">'Draw and Leaseup Schedule'!#REF!</definedName>
    <definedName name="solver_cvg" localSheetId="3" hidden="1">0.0001</definedName>
    <definedName name="solver_drv" localSheetId="3" hidden="1">1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lin" localSheetId="3" hidden="1">2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0</definedName>
    <definedName name="solver_nwt" localSheetId="3" hidden="1">1</definedName>
    <definedName name="solver_opt" localSheetId="3" hidden="1">'Draw and Leaseup Schedule'!#REF!</definedName>
    <definedName name="solver_pre" localSheetId="3" hidden="1">0.000001</definedName>
    <definedName name="solver_rbv" localSheetId="3" hidden="1">1</definedName>
    <definedName name="solver_rlx" localSheetId="3" hidden="1">1</definedName>
    <definedName name="solver_rsd" localSheetId="3" hidden="1">0</definedName>
    <definedName name="solver_scl" localSheetId="3" hidden="1">2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3</definedName>
    <definedName name="solver_val" localSheetId="3" hidden="1">0.09</definedName>
    <definedName name="solver_ver" localSheetId="3" hidden="1">3</definedName>
    <definedName name="_xlnm.Print_Titles" localSheetId="3">'Draw and Leaseup Schedule'!$5:$13,'Draw and Leaseup Schedule'!$B:$D</definedName>
    <definedName name="_xlnm.Print_Area" localSheetId="3">'Draw and Leaseup Schedule'!$B$5:$AO$117</definedName>
    <definedName name="solver_adj" localSheetId="4" hidden="1">'Exit Summary Calculations'!$D$79</definedName>
    <definedName name="solver_cvg" localSheetId="4" hidden="1">0.0001</definedName>
    <definedName name="solver_drv" localSheetId="4" hidden="1">1</definedName>
    <definedName name="solver_eng" localSheetId="4" hidden="1">1</definedName>
    <definedName name="solver_est" localSheetId="4" hidden="1">1</definedName>
    <definedName name="solver_itr" localSheetId="4" hidden="1">2147483647</definedName>
    <definedName name="solver_lin" localSheetId="4" hidden="1">2</definedName>
    <definedName name="solver_mip" localSheetId="4" hidden="1">2147483647</definedName>
    <definedName name="solver_mni" localSheetId="4" hidden="1">30</definedName>
    <definedName name="solver_mrt" localSheetId="4" hidden="1">0.075</definedName>
    <definedName name="solver_msl" localSheetId="4" hidden="1">2</definedName>
    <definedName name="solver_neg" localSheetId="4" hidden="1">1</definedName>
    <definedName name="solver_nod" localSheetId="4" hidden="1">2147483647</definedName>
    <definedName name="solver_num" localSheetId="4" hidden="1">0</definedName>
    <definedName name="solver_nwt" localSheetId="4" hidden="1">1</definedName>
    <definedName name="solver_opt" localSheetId="4" hidden="1">'Exit Summary Calculations'!#REF!</definedName>
    <definedName name="solver_pre" localSheetId="4" hidden="1">0.000001</definedName>
    <definedName name="solver_rbv" localSheetId="4" hidden="1">1</definedName>
    <definedName name="solver_rlx" localSheetId="4" hidden="1">1</definedName>
    <definedName name="solver_rsd" localSheetId="4" hidden="1">0</definedName>
    <definedName name="solver_scl" localSheetId="4" hidden="1">2</definedName>
    <definedName name="solver_sho" localSheetId="4" hidden="1">2</definedName>
    <definedName name="solver_ssz" localSheetId="4" hidden="1">100</definedName>
    <definedName name="solver_tim" localSheetId="4" hidden="1">2147483647</definedName>
    <definedName name="solver_tol" localSheetId="4" hidden="1">0.01</definedName>
    <definedName name="solver_typ" localSheetId="4" hidden="1">3</definedName>
    <definedName name="solver_val" localSheetId="4" hidden="1">0.09</definedName>
    <definedName name="solver_ver" localSheetId="4" hidden="1">3</definedName>
    <definedName name="_xlnm.Print_Titles" localSheetId="4">'Exit Summary Calculations'!$6:$13,'Exit Summary Calculations'!$A:$D</definedName>
    <definedName name="solver_adj" localSheetId="5" hidden="1">'Exit Summary'!#REF!</definedName>
    <definedName name="solver_cvg" localSheetId="5" hidden="1">0.0001</definedName>
    <definedName name="solver_drv" localSheetId="5" hidden="1">1</definedName>
    <definedName name="solver_eng" localSheetId="5" hidden="1">1</definedName>
    <definedName name="solver_est" localSheetId="5" hidden="1">1</definedName>
    <definedName name="solver_itr" localSheetId="5" hidden="1">2147483647</definedName>
    <definedName name="solver_mip" localSheetId="5" hidden="1">2147483647</definedName>
    <definedName name="solver_mni" localSheetId="5" hidden="1">30</definedName>
    <definedName name="solver_mrt" localSheetId="5" hidden="1">0.075</definedName>
    <definedName name="solver_msl" localSheetId="5" hidden="1">2</definedName>
    <definedName name="solver_neg" localSheetId="5" hidden="1">1</definedName>
    <definedName name="solver_nod" localSheetId="5" hidden="1">2147483647</definedName>
    <definedName name="solver_num" localSheetId="5" hidden="1">0</definedName>
    <definedName name="solver_nwt" localSheetId="5" hidden="1">1</definedName>
    <definedName name="solver_opt" localSheetId="5" hidden="1">'Exit Summary'!#REF!</definedName>
    <definedName name="solver_pre" localSheetId="5" hidden="1">0.000001</definedName>
    <definedName name="solver_rbv" localSheetId="5" hidden="1">1</definedName>
    <definedName name="solver_rlx" localSheetId="5" hidden="1">2</definedName>
    <definedName name="solver_rsd" localSheetId="5" hidden="1">0</definedName>
    <definedName name="solver_scl" localSheetId="5" hidden="1">1</definedName>
    <definedName name="solver_sho" localSheetId="5" hidden="1">2</definedName>
    <definedName name="solver_ssz" localSheetId="5" hidden="1">100</definedName>
    <definedName name="solver_tim" localSheetId="5" hidden="1">2147483647</definedName>
    <definedName name="solver_tol" localSheetId="5" hidden="1">0.01</definedName>
    <definedName name="solver_typ" localSheetId="5" hidden="1">3</definedName>
    <definedName name="solver_val" localSheetId="5" hidden="1">54357247</definedName>
    <definedName name="solver_ver" localSheetId="5" hidden="1">3</definedName>
    <definedName name="_xlnm.Print_Area" localSheetId="5">'Exit Summary'!$A$2:$T$68</definedName>
    <definedName name="Hard_Costs" localSheetId="7">#REF!</definedName>
    <definedName name="SoftCost_Conting" localSheetId="7">#REF!</definedName>
    <definedName name="wrn.tmtest." localSheetId="7" hidden="1">{#N/A,#N/A,FALSE,"Summary";#N/A,#N/A,FALSE,"Assumptions";#N/A,#N/A,FALSE,"Lease-up";#N/A,#N/A,FALSE,"DrawSchedule"}</definedName>
    <definedName name="_xlnm.Print_Titles" localSheetId="8">'Forward Curves-Monthly'!$A:$A</definedName>
    <definedName name="_xlnm.Print_Area" localSheetId="8">'Forward Curves-Monthly'!$A$1:$FN$91</definedName>
  </definedNames>
  <calcPr calcId="191028" fullCalcOnLoad="1"/>
</workbook>
</file>

<file path=xl/styles.xml><?xml version="1.0" encoding="utf-8"?>
<styleSheet xmlns="http://schemas.openxmlformats.org/spreadsheetml/2006/main">
  <numFmts count="34">
    <numFmt numFmtId="164" formatCode="0.0%"/>
    <numFmt numFmtId="165" formatCode="_(* #,##0_);_(* \(#,##0\);_(* &quot;-&quot;??_);_(@_)"/>
    <numFmt numFmtId="166" formatCode="&quot;$&quot;#,##0.00"/>
    <numFmt numFmtId="167" formatCode="&quot;$&quot;#,##0"/>
    <numFmt numFmtId="168" formatCode="[$-409]m/d/yy\ h:mm\ AM/PM;@"/>
    <numFmt numFmtId="169" formatCode="&quot;$&quot;0.00\ &quot;PSF&quot;"/>
    <numFmt numFmtId="170" formatCode="0.0%\ &quot;of EGI&quot;"/>
    <numFmt numFmtId="171" formatCode="[$-409]mmm\-yy;@"/>
    <numFmt numFmtId="172" formatCode="&quot;For &quot;####"/>
    <numFmt numFmtId="173" formatCode="0.0"/>
    <numFmt numFmtId="174" formatCode="[$-409]mmmm\ d\,\ yyyy;@"/>
    <numFmt numFmtId="175" formatCode="_(&quot;$&quot;* #,##0.00_);_(&quot;$&quot;* \(#,##0.00\);_(&quot;$&quot;* &quot;-&quot;??_);_(@_)"/>
    <numFmt numFmtId="176" formatCode="_(&quot;$&quot;* #,##0_);_(&quot;$&quot;* \(#,##0\);_(&quot;$&quot;* &quot;-&quot;??_);_(@_)"/>
    <numFmt numFmtId="177" formatCode="[$-409]d\-mmm\-yy;@"/>
    <numFmt numFmtId="178" formatCode="mm/dd/yyyy"/>
    <numFmt numFmtId="179" formatCode="0.00000000%"/>
    <numFmt numFmtId="180" formatCode="0.0000"/>
    <numFmt numFmtId="181" formatCode="_(* #,##0.00000_);_(* \(#,##0.00000\);_(* &quot;-&quot;??_);_(@_)"/>
    <numFmt numFmtId="182" formatCode="#,##0.0"/>
    <numFmt numFmtId="183" formatCode="_(* #,##0.00_);_(* \(#,##0.00\);_(* &quot;-&quot;_);_(@_)"/>
    <numFmt numFmtId="184" formatCode="0.0000%"/>
    <numFmt numFmtId="185" formatCode="&quot;Q&quot;0"/>
    <numFmt numFmtId="186" formatCode="0.000"/>
    <numFmt numFmtId="187" formatCode="&quot;$&quot;#,##0.000"/>
    <numFmt numFmtId="188" formatCode="&quot;$&quot;#,##0.00_);[Red]\(&quot;$&quot;#,##0.00\)"/>
    <numFmt numFmtId="189" formatCode="_([$$-409]* #,##0.00_);_([$$-409]* \(#,##0.00\);_([$$-409]* &quot;-&quot;??_);_(@_)"/>
    <numFmt numFmtId="190" formatCode="_(* #,##0.000000_);_(* \(#,##0.000000\);_(* &quot;-&quot;_);_(@_)"/>
    <numFmt numFmtId="191" formatCode="0.000%"/>
    <numFmt numFmtId="192" formatCode="0.00000000000"/>
    <numFmt numFmtId="193" formatCode="_([$$-409]* #,##0_);_([$$-409]* \(#,##0\);_([$$-409]* &quot;-&quot;??_);_(@_)"/>
    <numFmt numFmtId="194" formatCode="_(* #,##0.000_);_(* \(#,##0.000\);_(* &quot;-&quot;??_);_(@_)"/>
    <numFmt numFmtId="195" formatCode="_-&quot;$&quot;* #,##0_-;\-&quot;$&quot;* #,##0_-;_-&quot;$&quot;* &quot;-&quot;??_-;_-@_-"/>
    <numFmt numFmtId="196" formatCode="0.000_)"/>
    <numFmt numFmtId="197" formatCode="0.00_)"/>
  </numFmts>
  <fonts count="113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sz val="10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8"/>
      <scheme val="minor"/>
    </font>
    <font>
      <name val="Arial"/>
      <family val="2"/>
      <sz val="10"/>
    </font>
    <font>
      <name val="Times"/>
      <family val="1"/>
      <sz val="11"/>
    </font>
    <font>
      <name val="Helvetica"/>
      <family val="2"/>
      <b val="1"/>
      <i val="1"/>
      <sz val="16"/>
    </font>
    <font>
      <name val="Calibri"/>
      <family val="2"/>
      <color theme="1"/>
      <sz val="20"/>
      <u val="single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4"/>
      <sz val="11"/>
      <scheme val="minor"/>
    </font>
    <font>
      <name val="Calibri"/>
      <family val="2"/>
      <sz val="11"/>
      <u val="single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i val="1"/>
      <sz val="11"/>
      <scheme val="minor"/>
    </font>
    <font>
      <name val="Calibri"/>
      <family val="2"/>
      <color indexed="10"/>
      <sz val="11"/>
      <scheme val="minor"/>
    </font>
    <font>
      <name val="Calibri"/>
      <family val="2"/>
      <color rgb="FF0000FF"/>
      <sz val="11"/>
      <scheme val="minor"/>
    </font>
    <font>
      <name val="Calibri"/>
      <family val="2"/>
      <sz val="12"/>
      <scheme val="minor"/>
    </font>
    <font>
      <name val="Calibri"/>
      <family val="2"/>
      <color theme="3" tint="0.3999755851924192"/>
      <sz val="11"/>
      <scheme val="minor"/>
    </font>
    <font>
      <name val="Calibri"/>
      <family val="2"/>
      <b val="1"/>
      <sz val="11"/>
      <u val="single"/>
      <scheme val="minor"/>
    </font>
    <font>
      <name val="Calibri"/>
      <family val="2"/>
      <color indexed="12"/>
      <sz val="11"/>
      <scheme val="minor"/>
    </font>
    <font>
      <name val="Calibri"/>
      <family val="2"/>
      <b val="1"/>
      <i val="1"/>
      <sz val="11"/>
      <scheme val="minor"/>
    </font>
    <font>
      <name val="Calibri"/>
      <family val="2"/>
      <b val="1"/>
      <color indexed="10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0070C0"/>
      <sz val="20"/>
      <u val="single"/>
      <scheme val="minor"/>
    </font>
    <font>
      <name val="Calibri"/>
      <family val="2"/>
      <color rgb="FF0070C0"/>
      <sz val="10"/>
      <scheme val="minor"/>
    </font>
    <font>
      <name val="Calibri"/>
      <family val="2"/>
      <color theme="0"/>
      <sz val="10"/>
      <scheme val="minor"/>
    </font>
    <font>
      <name val="Calibri"/>
      <family val="2"/>
      <color theme="0"/>
      <sz val="14"/>
      <u val="single"/>
      <scheme val="minor"/>
    </font>
    <font>
      <name val="Calibri"/>
      <family val="2"/>
      <color theme="0"/>
      <sz val="10"/>
      <u val="single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strike val="1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0"/>
      <sz val="11"/>
      <u val="single"/>
      <scheme val="minor"/>
    </font>
    <font>
      <name val="Calibri"/>
      <family val="2"/>
      <color theme="0"/>
      <sz val="11"/>
      <u val="single"/>
      <scheme val="minor"/>
    </font>
    <font>
      <name val="Times New Roman"/>
      <family val="1"/>
      <sz val="12"/>
    </font>
    <font>
      <name val="Arial"/>
      <family val="2"/>
      <sz val="12"/>
    </font>
    <font>
      <name val="Times New Roman"/>
      <family val="1"/>
      <sz val="10"/>
    </font>
    <font>
      <name val="Calibri"/>
      <family val="2"/>
      <b val="1"/>
      <color indexed="12"/>
      <sz val="11"/>
      <scheme val="minor"/>
    </font>
    <font>
      <name val="Calibri"/>
      <family val="2"/>
      <b val="1"/>
      <color rgb="FFC00000"/>
      <sz val="14"/>
      <scheme val="minor"/>
    </font>
    <font>
      <name val="Calibri"/>
      <family val="2"/>
      <b val="1"/>
      <color theme="1"/>
      <sz val="10"/>
      <u val="single"/>
      <scheme val="minor"/>
    </font>
    <font>
      <name val="Calibri"/>
      <family val="2"/>
      <color theme="4" tint="-0.249977111117893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i val="1"/>
      <color rgb="FFFF0000"/>
      <sz val="12"/>
      <scheme val="minor"/>
    </font>
    <font>
      <name val="Calibri"/>
      <family val="2"/>
      <color rgb="FF0070C0"/>
      <sz val="12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rgb="FF0070C0"/>
      <sz val="14"/>
      <scheme val="minor"/>
    </font>
    <font>
      <name val="Calibri"/>
      <family val="2"/>
      <b val="1"/>
      <i val="1"/>
      <color theme="1"/>
      <sz val="14"/>
      <scheme val="minor"/>
    </font>
    <font>
      <name val="Calibri"/>
      <family val="2"/>
      <b val="1"/>
      <sz val="12"/>
      <scheme val="minor"/>
    </font>
    <font>
      <name val="Calibri"/>
      <family val="2"/>
      <b val="1"/>
      <color theme="1"/>
      <sz val="16"/>
      <u val="single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b val="1"/>
      <color theme="1"/>
      <sz val="10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b val="1"/>
      <color theme="1"/>
      <sz val="11"/>
      <u val="singleAccounting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b val="1"/>
      <color rgb="FF0070C0"/>
      <sz val="12"/>
      <scheme val="minor"/>
    </font>
    <font>
      <name val="Arial"/>
      <family val="2"/>
      <color indexed="22"/>
      <sz val="8"/>
    </font>
    <font>
      <name val="Arial"/>
      <family val="2"/>
      <b val="1"/>
      <color indexed="22"/>
      <sz val="10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b val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sz val="8"/>
    </font>
    <font>
      <name val="Arial"/>
      <family val="2"/>
      <b val="1"/>
      <sz val="8"/>
    </font>
    <font>
      <name val="Calibri"/>
      <family val="2"/>
      <i val="1"/>
      <color rgb="FFFF0000"/>
      <sz val="11"/>
      <scheme val="minor"/>
    </font>
    <font>
      <name val="Calibri"/>
      <family val="2"/>
      <color theme="1"/>
      <sz val="11"/>
      <u val="singleAccounting"/>
      <scheme val="minor"/>
    </font>
    <font>
      <name val="Arial Nova"/>
      <family val="2"/>
      <b val="1"/>
      <color theme="0"/>
      <sz val="12"/>
    </font>
    <font>
      <name val="Arial Nova"/>
      <family val="2"/>
      <b val="1"/>
      <color theme="0"/>
      <sz val="12"/>
      <u val="single"/>
    </font>
    <font>
      <name val="Arial Nova"/>
      <family val="2"/>
      <color theme="0"/>
      <sz val="12"/>
    </font>
    <font>
      <name val="Arial Nova"/>
      <family val="2"/>
      <color theme="1"/>
      <sz val="12"/>
    </font>
    <font>
      <name val="Arial Nova"/>
      <family val="2"/>
      <b val="1"/>
      <color theme="1"/>
      <sz val="12"/>
    </font>
    <font>
      <name val="Arial Nova"/>
      <family val="2"/>
      <b val="1"/>
      <sz val="12"/>
    </font>
    <font>
      <name val="Arial Nova"/>
      <family val="2"/>
      <color rgb="FF0070C0"/>
      <sz val="12"/>
    </font>
    <font>
      <name val="Arial Nova"/>
      <family val="2"/>
      <color theme="0"/>
      <sz val="12"/>
      <u val="single"/>
    </font>
    <font>
      <name val="Arial Nova"/>
      <family val="2"/>
      <color theme="1"/>
      <sz val="12"/>
      <u val="single"/>
    </font>
    <font>
      <name val="Arial Nova"/>
      <family val="2"/>
      <sz val="12"/>
    </font>
    <font>
      <name val="Arial Nova"/>
      <family val="2"/>
      <b val="1"/>
      <color theme="1"/>
      <sz val="12"/>
      <u val="single"/>
    </font>
    <font>
      <name val="Arial Nova"/>
      <family val="2"/>
      <b val="1"/>
      <color theme="0"/>
      <sz val="14"/>
    </font>
    <font>
      <name val="Arial"/>
      <family val="2"/>
      <sz val="10"/>
    </font>
    <font>
      <name val="Montserrat Medium"/>
      <b val="1"/>
      <color rgb="FFFFFFFF"/>
      <sz val="11"/>
    </font>
    <font>
      <name val="Montserrat Medium"/>
      <color theme="1"/>
      <sz val="11"/>
    </font>
    <font>
      <name val="Montserrat Medium"/>
      <b val="1"/>
      <color rgb="FF012F87"/>
      <sz val="11"/>
    </font>
    <font>
      <name val="Montserrat Medium"/>
      <b val="1"/>
      <color rgb="FF000000"/>
      <sz val="11"/>
    </font>
    <font>
      <name val="Montserrat Medium"/>
      <color rgb="FF000000"/>
      <sz val="11"/>
    </font>
    <font>
      <name val="Montserrat Medium"/>
      <i val="1"/>
      <color rgb="FF000000"/>
      <sz val="11"/>
    </font>
    <font>
      <name val="Montserrat Medium"/>
      <sz val="11"/>
    </font>
    <font>
      <name val="Arial Nova"/>
      <family val="2"/>
      <b val="1"/>
      <color theme="1"/>
      <sz val="11"/>
    </font>
    <font>
      <color rgb="FF0070C0"/>
    </font>
  </fonts>
  <fills count="2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CAEAC0"/>
        <bgColor indexed="64"/>
      </patternFill>
    </fill>
    <fill>
      <patternFill patternType="solid">
        <fgColor rgb="FFD0E8F0"/>
        <bgColor indexed="64"/>
      </patternFill>
    </fill>
    <fill>
      <patternFill patternType="solid">
        <fgColor rgb="FFFFFFB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12F87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3A369"/>
      </patternFill>
    </fill>
    <fill>
      <patternFill patternType="solid">
        <fgColor rgb="FF003057"/>
      </patternFill>
    </fill>
  </fills>
  <borders count="6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theme="0" tint="-0.1499984740745262"/>
      </bottom>
      <diagonal/>
    </border>
    <border>
      <left/>
      <right/>
      <top style="thin">
        <color theme="0" tint="-0.1499984740745262"/>
      </top>
      <bottom style="thin">
        <color theme="0" tint="-0.1499984740745262"/>
      </bottom>
      <diagonal/>
    </border>
    <border>
      <left/>
      <right/>
      <top style="thin">
        <color theme="0" tint="-0.1499984740745262"/>
      </top>
      <bottom style="thin">
        <color auto="1"/>
      </bottom>
      <diagonal/>
    </border>
    <border>
      <left/>
      <right/>
      <top style="double">
        <color auto="1"/>
      </top>
      <bottom style="thin">
        <color theme="0" tint="-0.1499984740745262"/>
      </bottom>
      <diagonal/>
    </border>
    <border>
      <left/>
      <right/>
      <top/>
      <bottom style="thin">
        <color theme="0" tint="-0.1499984740745262"/>
      </bottom>
      <diagonal/>
    </border>
    <border>
      <left/>
      <right/>
      <top style="thin">
        <color auto="1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thin">
        <color auto="1"/>
      </bottom>
      <diagonal/>
    </border>
    <border>
      <left/>
      <right/>
      <top style="thin">
        <color theme="0" tint="-0.1499984740745262"/>
      </top>
      <bottom style="double">
        <color auto="1"/>
      </bottom>
      <diagonal/>
    </border>
    <border>
      <left/>
      <right/>
      <top/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0" tint="-0.1499679555650502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984740745262"/>
      </bottom>
      <diagonal/>
    </border>
    <border>
      <left/>
      <right style="thin">
        <color indexed="64"/>
      </right>
      <top style="thin">
        <color theme="0" tint="-0.1499984740745262"/>
      </top>
      <bottom style="thin">
        <color theme="0" tint="-0.1499984740745262"/>
      </bottom>
      <diagonal/>
    </border>
    <border>
      <left/>
      <right style="thin">
        <color indexed="64"/>
      </right>
      <top style="thin">
        <color theme="0" tint="-0.1499984740745262"/>
      </top>
      <bottom/>
      <diagonal/>
    </border>
    <border>
      <left/>
      <right/>
      <top style="double">
        <color auto="1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012F87"/>
      </top>
      <bottom style="medium">
        <color rgb="FF012F87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12F87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89">
    <xf numFmtId="0" fontId="13" fillId="0" borderId="0"/>
    <xf numFmtId="43" fontId="13" fillId="0" borderId="0"/>
    <xf numFmtId="9" fontId="13" fillId="0" borderId="0"/>
    <xf numFmtId="0" fontId="17" fillId="0" borderId="0"/>
    <xf numFmtId="0" fontId="18" fillId="0" borderId="0"/>
    <xf numFmtId="0" fontId="14" fillId="0" borderId="0"/>
    <xf numFmtId="9" fontId="14" fillId="0" borderId="0"/>
    <xf numFmtId="43" fontId="14" fillId="0" borderId="0"/>
    <xf numFmtId="0" fontId="103" fillId="0" borderId="0"/>
    <xf numFmtId="43" fontId="103" fillId="0" borderId="0"/>
    <xf numFmtId="44" fontId="103" fillId="0" borderId="0"/>
    <xf numFmtId="9" fontId="103" fillId="0" borderId="0"/>
    <xf numFmtId="196" fontId="21" fillId="0" borderId="0"/>
    <xf numFmtId="196" fontId="21" fillId="0" borderId="0"/>
    <xf numFmtId="196" fontId="21" fillId="0" borderId="0"/>
    <xf numFmtId="196" fontId="21" fillId="0" borderId="0"/>
    <xf numFmtId="196" fontId="21" fillId="0" borderId="0"/>
    <xf numFmtId="196" fontId="21" fillId="0" borderId="0"/>
    <xf numFmtId="196" fontId="21" fillId="0" borderId="0"/>
    <xf numFmtId="196" fontId="21" fillId="0" borderId="0"/>
    <xf numFmtId="197" fontId="22" fillId="0" borderId="0"/>
    <xf numFmtId="44" fontId="13" fillId="0" borderId="0"/>
    <xf numFmtId="43" fontId="13" fillId="0" borderId="0"/>
    <xf numFmtId="3" fontId="58" fillId="0" borderId="0"/>
    <xf numFmtId="1" fontId="59" fillId="0" borderId="0"/>
    <xf numFmtId="1" fontId="59" fillId="0" borderId="0"/>
    <xf numFmtId="0" fontId="6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14" fillId="0" borderId="0"/>
    <xf numFmtId="0" fontId="14" fillId="0" borderId="0"/>
    <xf numFmtId="43" fontId="14" fillId="0" borderId="0"/>
    <xf numFmtId="44" fontId="14" fillId="0" borderId="0"/>
    <xf numFmtId="0" fontId="13" fillId="0" borderId="0"/>
    <xf numFmtId="9" fontId="13" fillId="0" borderId="0"/>
    <xf numFmtId="0" fontId="14" fillId="0" borderId="0"/>
    <xf numFmtId="9" fontId="14" fillId="0" borderId="0"/>
    <xf numFmtId="0" fontId="14" fillId="0" borderId="0"/>
    <xf numFmtId="9" fontId="14" fillId="0" borderId="0"/>
    <xf numFmtId="0" fontId="80" fillId="0" borderId="0"/>
    <xf numFmtId="0" fontId="14" fillId="0" borderId="0"/>
    <xf numFmtId="9" fontId="14" fillId="0" borderId="0"/>
    <xf numFmtId="43" fontId="14" fillId="0" borderId="0"/>
    <xf numFmtId="0" fontId="14" fillId="0" borderId="0"/>
    <xf numFmtId="0" fontId="14" fillId="0" borderId="0"/>
    <xf numFmtId="43" fontId="14" fillId="0" borderId="0"/>
    <xf numFmtId="44" fontId="14" fillId="0" borderId="0"/>
    <xf numFmtId="0" fontId="14" fillId="0" borderId="0"/>
    <xf numFmtId="9" fontId="14" fillId="0" borderId="0"/>
    <xf numFmtId="0" fontId="14" fillId="0" borderId="0"/>
    <xf numFmtId="9" fontId="14" fillId="0" borderId="0"/>
    <xf numFmtId="0" fontId="103" fillId="0" borderId="0" applyAlignment="1">
      <alignment vertical="center"/>
    </xf>
    <xf numFmtId="9" fontId="103" fillId="0" borderId="0"/>
    <xf numFmtId="44" fontId="103" fillId="0" borderId="0"/>
    <xf numFmtId="42" fontId="103" fillId="0" borderId="0"/>
    <xf numFmtId="43" fontId="103" fillId="0" borderId="0"/>
    <xf numFmtId="41" fontId="103" fillId="0" borderId="0"/>
    <xf numFmtId="0" fontId="14" fillId="0" borderId="0"/>
    <xf numFmtId="0" fontId="14" fillId="0" borderId="0"/>
    <xf numFmtId="9" fontId="14" fillId="0" borderId="0"/>
    <xf numFmtId="43" fontId="14" fillId="0" borderId="0"/>
    <xf numFmtId="0" fontId="14" fillId="0" borderId="0"/>
    <xf numFmtId="0" fontId="14" fillId="0" borderId="0"/>
    <xf numFmtId="43" fontId="14" fillId="0" borderId="0"/>
    <xf numFmtId="44" fontId="14" fillId="0" borderId="0"/>
    <xf numFmtId="0" fontId="14" fillId="0" borderId="0"/>
    <xf numFmtId="9" fontId="14" fillId="0" borderId="0"/>
    <xf numFmtId="0" fontId="14" fillId="0" borderId="0"/>
    <xf numFmtId="9" fontId="14" fillId="0" borderId="0"/>
    <xf numFmtId="0" fontId="14" fillId="0" borderId="0"/>
    <xf numFmtId="9" fontId="14" fillId="0" borderId="0"/>
    <xf numFmtId="43" fontId="14" fillId="0" borderId="0"/>
    <xf numFmtId="0" fontId="14" fillId="0" borderId="0"/>
    <xf numFmtId="0" fontId="14" fillId="0" borderId="0"/>
    <xf numFmtId="43" fontId="14" fillId="0" borderId="0"/>
    <xf numFmtId="44" fontId="14" fillId="0" borderId="0"/>
    <xf numFmtId="0" fontId="14" fillId="0" borderId="0"/>
    <xf numFmtId="9" fontId="14" fillId="0" borderId="0"/>
    <xf numFmtId="0" fontId="14" fillId="0" borderId="0"/>
    <xf numFmtId="9" fontId="14" fillId="0" borderId="0"/>
    <xf numFmtId="0" fontId="103" fillId="0" borderId="0" applyAlignment="1">
      <alignment vertical="center"/>
    </xf>
    <xf numFmtId="9" fontId="103" fillId="0" borderId="0"/>
    <xf numFmtId="44" fontId="103" fillId="0" borderId="0"/>
    <xf numFmtId="42" fontId="103" fillId="0" borderId="0"/>
    <xf numFmtId="43" fontId="103" fillId="0" borderId="0"/>
    <xf numFmtId="41" fontId="103" fillId="0" borderId="0"/>
    <xf numFmtId="0" fontId="14" fillId="0" borderId="0"/>
  </cellStyleXfs>
  <cellXfs count="1393">
    <xf numFmtId="0" fontId="0" fillId="0" borderId="0" pivotButton="0" quotePrefix="0" xfId="0"/>
    <xf numFmtId="0" fontId="16" fillId="0" borderId="0" pivotButton="0" quotePrefix="0" xfId="0"/>
    <xf numFmtId="0" fontId="29" fillId="0" borderId="1" pivotButton="0" quotePrefix="0" xfId="0"/>
    <xf numFmtId="0" fontId="15" fillId="0" borderId="0" pivotButton="0" quotePrefix="0" xfId="0"/>
    <xf numFmtId="0" fontId="12" fillId="0" borderId="0" pivotButton="0" quotePrefix="0" xfId="0"/>
    <xf numFmtId="0" fontId="15" fillId="0" borderId="0" applyAlignment="1" pivotButton="0" quotePrefix="0" xfId="0">
      <alignment horizontal="center"/>
    </xf>
    <xf numFmtId="0" fontId="34" fillId="0" borderId="0" pivotButton="0" quotePrefix="0" xfId="0"/>
    <xf numFmtId="0" fontId="26" fillId="0" borderId="0" pivotButton="0" quotePrefix="0" xfId="0"/>
    <xf numFmtId="0" fontId="29" fillId="2" borderId="0" applyAlignment="1" pivotButton="0" quotePrefix="0" xfId="0">
      <alignment horizontal="center"/>
    </xf>
    <xf numFmtId="0" fontId="25" fillId="0" borderId="0" pivotButton="0" quotePrefix="0" xfId="0"/>
    <xf numFmtId="16" fontId="25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164" fontId="37" fillId="0" borderId="0" pivotButton="0" quotePrefix="0" xfId="2"/>
    <xf numFmtId="10" fontId="37" fillId="0" borderId="0" pivotButton="0" quotePrefix="0" xfId="2"/>
    <xf numFmtId="10" fontId="37" fillId="0" borderId="0" pivotButton="0" quotePrefix="0" xfId="0"/>
    <xf numFmtId="0" fontId="37" fillId="0" borderId="0" pivotButton="0" quotePrefix="0" xfId="0"/>
    <xf numFmtId="37" fontId="34" fillId="0" borderId="0" applyAlignment="1" pivotButton="0" quotePrefix="0" xfId="0">
      <alignment horizontal="right"/>
    </xf>
    <xf numFmtId="0" fontId="14" fillId="0" borderId="0" pivotButton="0" quotePrefix="0" xfId="31"/>
    <xf numFmtId="0" fontId="25" fillId="4" borderId="0" pivotButton="0" quotePrefix="0" xfId="31"/>
    <xf numFmtId="165" fontId="25" fillId="4" borderId="0" pivotButton="0" quotePrefix="0" xfId="33"/>
    <xf numFmtId="165" fontId="25" fillId="4" borderId="0" pivotButton="0" quotePrefix="0" xfId="33"/>
    <xf numFmtId="43" fontId="25" fillId="4" borderId="0" pivotButton="0" quotePrefix="0" xfId="33"/>
    <xf numFmtId="9" fontId="25" fillId="4" borderId="0" pivotButton="0" quotePrefix="0" xfId="32"/>
    <xf numFmtId="43" fontId="29" fillId="0" borderId="0" pivotButton="0" quotePrefix="0" xfId="1"/>
    <xf numFmtId="0" fontId="23" fillId="0" borderId="0" pivotButton="0" quotePrefix="0" xfId="0"/>
    <xf numFmtId="37" fontId="15" fillId="0" borderId="0" pivotButton="0" quotePrefix="0" xfId="31"/>
    <xf numFmtId="0" fontId="11" fillId="0" borderId="0" pivotButton="0" quotePrefix="0" xfId="0"/>
    <xf numFmtId="165" fontId="29" fillId="0" borderId="0" pivotButton="0" quotePrefix="0" xfId="1"/>
    <xf numFmtId="43" fontId="29" fillId="0" borderId="0" pivotButton="0" quotePrefix="0" xfId="1"/>
    <xf numFmtId="165" fontId="29" fillId="0" borderId="0" pivotButton="0" quotePrefix="0" xfId="0"/>
    <xf numFmtId="164" fontId="25" fillId="0" borderId="0" pivotButton="0" quotePrefix="0" xfId="2"/>
    <xf numFmtId="165" fontId="30" fillId="0" borderId="0" pivotButton="0" quotePrefix="0" xfId="1"/>
    <xf numFmtId="165" fontId="30" fillId="0" borderId="0" pivotButton="0" quotePrefix="0" xfId="0"/>
    <xf numFmtId="0" fontId="31" fillId="0" borderId="0" pivotButton="0" quotePrefix="0" xfId="0"/>
    <xf numFmtId="9" fontId="31" fillId="0" borderId="0" pivotButton="0" quotePrefix="0" xfId="2"/>
    <xf numFmtId="37" fontId="25" fillId="0" borderId="0" pivotButton="0" quotePrefix="0" xfId="0"/>
    <xf numFmtId="9" fontId="34" fillId="0" borderId="0" pivotButton="0" quotePrefix="0" xfId="2"/>
    <xf numFmtId="165" fontId="25" fillId="0" borderId="0" pivotButton="0" quotePrefix="0" xfId="1"/>
    <xf numFmtId="43" fontId="25" fillId="0" borderId="0" pivotButton="0" quotePrefix="0" xfId="1"/>
    <xf numFmtId="164" fontId="30" fillId="0" borderId="0" applyAlignment="1" pivotButton="0" quotePrefix="0" xfId="2">
      <alignment horizontal="left"/>
    </xf>
    <xf numFmtId="164" fontId="30" fillId="2" borderId="0" applyAlignment="1" pivotButton="0" quotePrefix="0" xfId="2">
      <alignment horizontal="right"/>
    </xf>
    <xf numFmtId="165" fontId="25" fillId="0" borderId="0" pivotButton="0" quotePrefix="0" xfId="0"/>
    <xf numFmtId="10" fontId="29" fillId="0" borderId="0" pivotButton="0" quotePrefix="0" xfId="2"/>
    <xf numFmtId="0" fontId="26" fillId="0" borderId="0" applyAlignment="1" pivotButton="0" quotePrefix="0" xfId="0">
      <alignment horizontal="left"/>
    </xf>
    <xf numFmtId="0" fontId="29" fillId="0" borderId="0" pivotButton="0" quotePrefix="0" xfId="0"/>
    <xf numFmtId="0" fontId="26" fillId="0" borderId="0" applyAlignment="1" pivotButton="0" quotePrefix="0" xfId="0">
      <alignment horizontal="right"/>
    </xf>
    <xf numFmtId="0" fontId="29" fillId="0" borderId="0" pivotButton="0" quotePrefix="1" xfId="0"/>
    <xf numFmtId="0" fontId="29" fillId="0" borderId="0" applyAlignment="1" pivotButton="0" quotePrefix="0" xfId="0">
      <alignment horizontal="left"/>
    </xf>
    <xf numFmtId="0" fontId="29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center"/>
    </xf>
    <xf numFmtId="0" fontId="33" fillId="0" borderId="0" applyAlignment="1" pivotButton="0" quotePrefix="0" xfId="0">
      <alignment horizontal="center"/>
    </xf>
    <xf numFmtId="0" fontId="40" fillId="0" borderId="0" applyAlignment="1" pivotButton="0" quotePrefix="0" xfId="0">
      <alignment horizontal="center"/>
    </xf>
    <xf numFmtId="0" fontId="26" fillId="0" borderId="0" applyAlignment="1" pivotButton="0" quotePrefix="0" xfId="0">
      <alignment vertical="top"/>
    </xf>
    <xf numFmtId="164" fontId="30" fillId="2" borderId="0" applyAlignment="1" pivotButton="0" quotePrefix="0" xfId="2">
      <alignment horizontal="center"/>
    </xf>
    <xf numFmtId="164" fontId="30" fillId="0" borderId="0" applyAlignment="1" pivotButton="0" quotePrefix="0" xfId="2">
      <alignment horizontal="center"/>
    </xf>
    <xf numFmtId="0" fontId="42" fillId="0" borderId="0" applyAlignment="1" pivotButton="0" quotePrefix="0" xfId="0">
      <alignment horizontal="right" vertical="top"/>
    </xf>
    <xf numFmtId="0" fontId="33" fillId="0" borderId="0" applyAlignment="1" pivotButton="0" quotePrefix="0" xfId="0">
      <alignment horizontal="center" vertical="top"/>
    </xf>
    <xf numFmtId="0" fontId="33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horizontal="center" vertical="top"/>
    </xf>
    <xf numFmtId="0" fontId="40" fillId="0" borderId="0" applyAlignment="1" pivotButton="0" quotePrefix="0" xfId="0">
      <alignment horizontal="center" vertical="center"/>
    </xf>
    <xf numFmtId="165" fontId="29" fillId="0" borderId="0" applyAlignment="1" pivotButton="0" quotePrefix="0" xfId="1">
      <alignment horizontal="right"/>
    </xf>
    <xf numFmtId="166" fontId="36" fillId="0" borderId="0" applyAlignment="1" pivotButton="0" quotePrefix="0" xfId="0">
      <alignment horizontal="right"/>
    </xf>
    <xf numFmtId="0" fontId="36" fillId="0" borderId="0" applyAlignment="1" pivotButton="0" quotePrefix="0" xfId="0">
      <alignment horizontal="right"/>
    </xf>
    <xf numFmtId="165" fontId="26" fillId="0" borderId="0" applyAlignment="1" pivotButton="0" quotePrefix="0" xfId="1">
      <alignment horizontal="right"/>
    </xf>
    <xf numFmtId="43" fontId="26" fillId="0" borderId="0" pivotButton="0" quotePrefix="0" xfId="1"/>
    <xf numFmtId="164" fontId="29" fillId="0" borderId="0" applyAlignment="1" pivotButton="0" quotePrefix="0" xfId="2">
      <alignment horizontal="right"/>
    </xf>
    <xf numFmtId="0" fontId="29" fillId="0" borderId="0" applyAlignment="1" pivotButton="0" quotePrefix="0" xfId="0">
      <alignment horizontal="right"/>
    </xf>
    <xf numFmtId="43" fontId="26" fillId="0" borderId="0" applyAlignment="1" pivotButton="0" quotePrefix="0" xfId="1">
      <alignment horizontal="right"/>
    </xf>
    <xf numFmtId="43" fontId="29" fillId="0" borderId="0" applyAlignment="1" pivotButton="0" quotePrefix="0" xfId="1">
      <alignment horizontal="right"/>
    </xf>
    <xf numFmtId="167" fontId="43" fillId="0" borderId="0" applyAlignment="1" pivotButton="0" quotePrefix="0" xfId="0">
      <alignment horizontal="right"/>
    </xf>
    <xf numFmtId="0" fontId="33" fillId="0" borderId="0" pivotButton="0" quotePrefix="0" xfId="0"/>
    <xf numFmtId="0" fontId="26" fillId="0" borderId="10" pivotButton="0" quotePrefix="0" xfId="0"/>
    <xf numFmtId="0" fontId="29" fillId="0" borderId="10" pivotButton="0" quotePrefix="0" xfId="0"/>
    <xf numFmtId="0" fontId="30" fillId="2" borderId="0" pivotButton="0" quotePrefix="0" xfId="0"/>
    <xf numFmtId="164" fontId="30" fillId="2" borderId="0" pivotButton="0" quotePrefix="0" xfId="2"/>
    <xf numFmtId="41" fontId="32" fillId="0" borderId="0" pivotButton="0" quotePrefix="0" xfId="0"/>
    <xf numFmtId="41" fontId="29" fillId="0" borderId="0" pivotButton="0" quotePrefix="0" xfId="0"/>
    <xf numFmtId="41" fontId="29" fillId="0" borderId="1" pivotButton="0" quotePrefix="0" xfId="0"/>
    <xf numFmtId="41" fontId="37" fillId="0" borderId="0" pivotButton="0" quotePrefix="0" xfId="2"/>
    <xf numFmtId="41" fontId="25" fillId="0" borderId="4" pivotButton="0" quotePrefix="0" xfId="1"/>
    <xf numFmtId="0" fontId="46" fillId="2" borderId="0" pivotButton="0" quotePrefix="0" xfId="0"/>
    <xf numFmtId="0" fontId="47" fillId="2" borderId="0" pivotButton="0" quotePrefix="0" xfId="0"/>
    <xf numFmtId="0" fontId="47" fillId="0" borderId="0" pivotButton="0" quotePrefix="0" xfId="0"/>
    <xf numFmtId="17" fontId="29" fillId="0" borderId="0" pivotButton="0" quotePrefix="0" xfId="0"/>
    <xf numFmtId="0" fontId="48" fillId="6" borderId="0" pivotButton="0" quotePrefix="0" xfId="0"/>
    <xf numFmtId="0" fontId="49" fillId="6" borderId="0" pivotButton="0" quotePrefix="0" xfId="0"/>
    <xf numFmtId="9" fontId="50" fillId="6" borderId="0" pivotButton="0" quotePrefix="0" xfId="2"/>
    <xf numFmtId="0" fontId="49" fillId="6" borderId="0" applyAlignment="1" pivotButton="0" quotePrefix="0" xfId="0">
      <alignment horizontal="left"/>
    </xf>
    <xf numFmtId="0" fontId="51" fillId="6" borderId="0" applyAlignment="1" pivotButton="0" quotePrefix="0" xfId="0">
      <alignment horizontal="right"/>
    </xf>
    <xf numFmtId="0" fontId="48" fillId="6" borderId="0" pivotButton="0" quotePrefix="1" xfId="0"/>
    <xf numFmtId="165" fontId="25" fillId="0" borderId="11" pivotButton="0" quotePrefix="0" xfId="0"/>
    <xf numFmtId="165" fontId="25" fillId="0" borderId="11" pivotButton="0" quotePrefix="0" xfId="1"/>
    <xf numFmtId="164" fontId="25" fillId="0" borderId="11" pivotButton="0" quotePrefix="0" xfId="2"/>
    <xf numFmtId="37" fontId="25" fillId="0" borderId="11" pivotButton="0" quotePrefix="0" xfId="0"/>
    <xf numFmtId="164" fontId="25" fillId="0" borderId="11" pivotButton="0" quotePrefix="0" xfId="2"/>
    <xf numFmtId="41" fontId="25" fillId="0" borderId="11" pivotButton="0" quotePrefix="0" xfId="167"/>
    <xf numFmtId="164" fontId="29" fillId="0" borderId="14" pivotButton="0" quotePrefix="0" xfId="2"/>
    <xf numFmtId="43" fontId="29" fillId="0" borderId="14" pivotButton="0" quotePrefix="0" xfId="1"/>
    <xf numFmtId="165" fontId="29" fillId="0" borderId="15" pivotButton="0" quotePrefix="0" xfId="1"/>
    <xf numFmtId="164" fontId="29" fillId="0" borderId="15" pivotButton="0" quotePrefix="0" xfId="2"/>
    <xf numFmtId="43" fontId="29" fillId="0" borderId="15" pivotButton="0" quotePrefix="0" xfId="1"/>
    <xf numFmtId="165" fontId="29" fillId="0" borderId="16" pivotButton="0" quotePrefix="0" xfId="1"/>
    <xf numFmtId="43" fontId="29" fillId="0" borderId="16" pivotButton="0" quotePrefix="0" xfId="1"/>
    <xf numFmtId="41" fontId="29" fillId="0" borderId="14" pivotButton="0" quotePrefix="0" xfId="1"/>
    <xf numFmtId="0" fontId="30" fillId="0" borderId="15" pivotButton="0" quotePrefix="0" xfId="0"/>
    <xf numFmtId="41" fontId="29" fillId="0" borderId="15" pivotButton="0" quotePrefix="0" xfId="1"/>
    <xf numFmtId="41" fontId="30" fillId="2" borderId="15" pivotButton="0" quotePrefix="0" xfId="1"/>
    <xf numFmtId="41" fontId="30" fillId="2" borderId="16" pivotButton="0" quotePrefix="0" xfId="1"/>
    <xf numFmtId="41" fontId="29" fillId="0" borderId="16" pivotButton="0" quotePrefix="0" xfId="1"/>
    <xf numFmtId="10" fontId="30" fillId="2" borderId="14" pivotButton="0" quotePrefix="0" xfId="2"/>
    <xf numFmtId="165" fontId="29" fillId="0" borderId="14" pivotButton="0" quotePrefix="0" xfId="1"/>
    <xf numFmtId="10" fontId="30" fillId="2" borderId="15" pivotButton="0" quotePrefix="0" xfId="2"/>
    <xf numFmtId="165" fontId="29" fillId="0" borderId="15" pivotButton="0" quotePrefix="0" xfId="1"/>
    <xf numFmtId="165" fontId="30" fillId="0" borderId="15" pivotButton="0" quotePrefix="0" xfId="1"/>
    <xf numFmtId="10" fontId="30" fillId="2" borderId="16" pivotButton="0" quotePrefix="0" xfId="2"/>
    <xf numFmtId="165" fontId="29" fillId="0" borderId="16" pivotButton="0" quotePrefix="0" xfId="1"/>
    <xf numFmtId="0" fontId="30" fillId="2" borderId="14" pivotButton="0" quotePrefix="0" xfId="0"/>
    <xf numFmtId="41" fontId="29" fillId="0" borderId="14" pivotButton="0" quotePrefix="0" xfId="0"/>
    <xf numFmtId="0" fontId="30" fillId="2" borderId="15" pivotButton="0" quotePrefix="0" xfId="0"/>
    <xf numFmtId="41" fontId="29" fillId="0" borderId="15" pivotButton="0" quotePrefix="0" xfId="0"/>
    <xf numFmtId="0" fontId="30" fillId="2" borderId="16" pivotButton="0" quotePrefix="0" xfId="0"/>
    <xf numFmtId="41" fontId="29" fillId="0" borderId="16" pivotButton="0" quotePrefix="0" xfId="0"/>
    <xf numFmtId="164" fontId="30" fillId="2" borderId="16" pivotButton="0" quotePrefix="0" xfId="2"/>
    <xf numFmtId="9" fontId="25" fillId="0" borderId="0" applyAlignment="1" pivotButton="0" quotePrefix="0" xfId="2">
      <alignment horizontal="center"/>
    </xf>
    <xf numFmtId="0" fontId="31" fillId="0" borderId="14" applyAlignment="1" pivotButton="0" quotePrefix="1" xfId="0">
      <alignment horizontal="center"/>
    </xf>
    <xf numFmtId="0" fontId="31" fillId="0" borderId="14" applyAlignment="1" pivotButton="0" quotePrefix="0" xfId="0">
      <alignment horizontal="center"/>
    </xf>
    <xf numFmtId="165" fontId="30" fillId="2" borderId="14" pivotButton="0" quotePrefix="0" xfId="1"/>
    <xf numFmtId="165" fontId="30" fillId="2" borderId="15" pivotButton="0" quotePrefix="0" xfId="1"/>
    <xf numFmtId="165" fontId="30" fillId="2" borderId="16" pivotButton="0" quotePrefix="0" xfId="1"/>
    <xf numFmtId="165" fontId="25" fillId="0" borderId="14" pivotButton="0" quotePrefix="0" xfId="1"/>
    <xf numFmtId="164" fontId="25" fillId="0" borderId="14" pivotButton="0" quotePrefix="0" xfId="2"/>
    <xf numFmtId="164" fontId="29" fillId="0" borderId="15" pivotButton="0" quotePrefix="0" xfId="2"/>
    <xf numFmtId="164" fontId="29" fillId="0" borderId="16" pivotButton="0" quotePrefix="0" xfId="2"/>
    <xf numFmtId="0" fontId="25" fillId="0" borderId="2" applyAlignment="1" pivotButton="0" quotePrefix="0" xfId="0">
      <alignment horizontal="center"/>
    </xf>
    <xf numFmtId="43" fontId="29" fillId="0" borderId="15" pivotButton="0" quotePrefix="0" xfId="1"/>
    <xf numFmtId="165" fontId="29" fillId="0" borderId="1" applyAlignment="1" pivotButton="0" quotePrefix="0" xfId="1">
      <alignment horizontal="right"/>
    </xf>
    <xf numFmtId="165" fontId="29" fillId="0" borderId="13" applyAlignment="1" pivotButton="0" quotePrefix="0" xfId="1">
      <alignment horizontal="right"/>
    </xf>
    <xf numFmtId="165" fontId="29" fillId="0" borderId="14" applyAlignment="1" pivotButton="0" quotePrefix="0" xfId="1">
      <alignment horizontal="right"/>
    </xf>
    <xf numFmtId="0" fontId="29" fillId="0" borderId="14" pivotButton="0" quotePrefix="0" xfId="0"/>
    <xf numFmtId="43" fontId="29" fillId="0" borderId="14" applyAlignment="1" pivotButton="0" quotePrefix="0" xfId="1">
      <alignment horizontal="right"/>
    </xf>
    <xf numFmtId="37" fontId="29" fillId="0" borderId="14" applyAlignment="1" pivotButton="0" quotePrefix="0" xfId="1">
      <alignment horizontal="right"/>
    </xf>
    <xf numFmtId="165" fontId="29" fillId="0" borderId="15" applyAlignment="1" pivotButton="0" quotePrefix="0" xfId="1">
      <alignment horizontal="right"/>
    </xf>
    <xf numFmtId="43" fontId="29" fillId="0" borderId="15" applyAlignment="1" pivotButton="0" quotePrefix="0" xfId="1">
      <alignment horizontal="right"/>
    </xf>
    <xf numFmtId="41" fontId="29" fillId="0" borderId="15" applyAlignment="1" pivotButton="0" quotePrefix="0" xfId="1">
      <alignment horizontal="right"/>
    </xf>
    <xf numFmtId="165" fontId="29" fillId="0" borderId="16" applyAlignment="1" pivotButton="0" quotePrefix="0" xfId="1">
      <alignment horizontal="right"/>
    </xf>
    <xf numFmtId="0" fontId="29" fillId="0" borderId="16" pivotButton="0" quotePrefix="0" xfId="0"/>
    <xf numFmtId="43" fontId="29" fillId="0" borderId="16" applyAlignment="1" pivotButton="0" quotePrefix="0" xfId="1">
      <alignment horizontal="right"/>
    </xf>
    <xf numFmtId="41" fontId="29" fillId="0" borderId="16" applyAlignment="1" pivotButton="0" quotePrefix="0" xfId="1">
      <alignment horizontal="right"/>
    </xf>
    <xf numFmtId="165" fontId="26" fillId="0" borderId="12" applyAlignment="1" pivotButton="0" quotePrefix="0" xfId="1">
      <alignment horizontal="right"/>
    </xf>
    <xf numFmtId="43" fontId="26" fillId="0" borderId="12" pivotButton="0" quotePrefix="0" xfId="1"/>
    <xf numFmtId="43" fontId="26" fillId="0" borderId="12" applyAlignment="1" pivotButton="0" quotePrefix="0" xfId="1">
      <alignment horizontal="right"/>
    </xf>
    <xf numFmtId="165" fontId="29" fillId="0" borderId="17" applyAlignment="1" pivotButton="0" quotePrefix="0" xfId="1">
      <alignment horizontal="right"/>
    </xf>
    <xf numFmtId="43" fontId="29" fillId="0" borderId="17" applyAlignment="1" pivotButton="0" quotePrefix="0" xfId="1">
      <alignment horizontal="right"/>
    </xf>
    <xf numFmtId="165" fontId="26" fillId="0" borderId="18" applyAlignment="1" pivotButton="0" quotePrefix="0" xfId="1">
      <alignment horizontal="right"/>
    </xf>
    <xf numFmtId="43" fontId="26" fillId="0" borderId="18" applyAlignment="1" pivotButton="0" quotePrefix="0" xfId="1">
      <alignment horizontal="right"/>
    </xf>
    <xf numFmtId="165" fontId="26" fillId="0" borderId="11" applyAlignment="1" pivotButton="0" quotePrefix="0" xfId="1">
      <alignment horizontal="right"/>
    </xf>
    <xf numFmtId="43" fontId="26" fillId="0" borderId="11" applyAlignment="1" pivotButton="0" quotePrefix="0" xfId="1">
      <alignment horizontal="right"/>
    </xf>
    <xf numFmtId="0" fontId="35" fillId="0" borderId="0" applyAlignment="1" pivotButton="0" quotePrefix="0" xfId="0">
      <alignment horizontal="left" indent="1"/>
    </xf>
    <xf numFmtId="165" fontId="26" fillId="0" borderId="14" applyAlignment="1" pivotButton="0" quotePrefix="0" xfId="1">
      <alignment horizontal="right"/>
    </xf>
    <xf numFmtId="165" fontId="26" fillId="0" borderId="16" applyAlignment="1" pivotButton="0" quotePrefix="0" xfId="1">
      <alignment horizontal="right"/>
    </xf>
    <xf numFmtId="165" fontId="26" fillId="0" borderId="17" applyAlignment="1" pivotButton="0" quotePrefix="0" xfId="1">
      <alignment horizontal="right"/>
    </xf>
    <xf numFmtId="167" fontId="43" fillId="0" borderId="14" applyAlignment="1" pivotButton="0" quotePrefix="0" xfId="0">
      <alignment horizontal="right"/>
    </xf>
    <xf numFmtId="43" fontId="26" fillId="0" borderId="14" applyAlignment="1" pivotButton="0" quotePrefix="0" xfId="1">
      <alignment horizontal="right"/>
    </xf>
    <xf numFmtId="167" fontId="43" fillId="0" borderId="16" applyAlignment="1" pivotButton="0" quotePrefix="0" xfId="0">
      <alignment horizontal="right"/>
    </xf>
    <xf numFmtId="43" fontId="29" fillId="0" borderId="18" applyAlignment="1" pivotButton="0" quotePrefix="0" xfId="1">
      <alignment horizontal="right"/>
    </xf>
    <xf numFmtId="165" fontId="25" fillId="0" borderId="12" pivotButton="0" quotePrefix="0" xfId="1"/>
    <xf numFmtId="43" fontId="25" fillId="0" borderId="12" pivotButton="0" quotePrefix="0" xfId="1"/>
    <xf numFmtId="165" fontId="29" fillId="0" borderId="4" applyAlignment="1" pivotButton="0" quotePrefix="0" xfId="1">
      <alignment horizontal="right"/>
    </xf>
    <xf numFmtId="165" fontId="44" fillId="0" borderId="12" pivotButton="0" quotePrefix="0" xfId="0"/>
    <xf numFmtId="43" fontId="44" fillId="0" borderId="12" pivotButton="0" quotePrefix="0" xfId="1"/>
    <xf numFmtId="0" fontId="44" fillId="0" borderId="0" pivotButton="0" quotePrefix="0" xfId="0"/>
    <xf numFmtId="0" fontId="48" fillId="6" borderId="8" pivotButton="0" quotePrefix="0" xfId="0"/>
    <xf numFmtId="0" fontId="49" fillId="6" borderId="1" pivotButton="0" quotePrefix="0" xfId="0"/>
    <xf numFmtId="0" fontId="48" fillId="6" borderId="1" pivotButton="0" quotePrefix="0" xfId="0"/>
    <xf numFmtId="0" fontId="48" fillId="6" borderId="9" pivotButton="0" quotePrefix="0" xfId="0"/>
    <xf numFmtId="0" fontId="30" fillId="0" borderId="0" applyAlignment="1" pivotButton="0" quotePrefix="0" xfId="1">
      <alignment horizontal="left"/>
    </xf>
    <xf numFmtId="0" fontId="26" fillId="0" borderId="0" applyAlignment="1" pivotButton="0" quotePrefix="0" xfId="1">
      <alignment horizontal="center"/>
    </xf>
    <xf numFmtId="168" fontId="29" fillId="0" borderId="0" applyAlignment="1" pivotButton="0" quotePrefix="0" xfId="0">
      <alignment horizontal="left"/>
    </xf>
    <xf numFmtId="165" fontId="29" fillId="0" borderId="0" applyAlignment="1" pivotButton="0" quotePrefix="0" xfId="1">
      <alignment horizontal="left"/>
    </xf>
    <xf numFmtId="165" fontId="29" fillId="0" borderId="0" applyAlignment="1" pivotButton="0" quotePrefix="0" xfId="1">
      <alignment horizontal="right"/>
    </xf>
    <xf numFmtId="165" fontId="30" fillId="2" borderId="0" applyAlignment="1" pivotButton="0" quotePrefix="0" xfId="1">
      <alignment horizontal="right"/>
    </xf>
    <xf numFmtId="165" fontId="30" fillId="0" borderId="0" applyAlignment="1" pivotButton="0" quotePrefix="0" xfId="1">
      <alignment horizontal="right"/>
    </xf>
    <xf numFmtId="0" fontId="40" fillId="0" borderId="0" pivotButton="0" quotePrefix="0" xfId="0"/>
    <xf numFmtId="0" fontId="41" fillId="0" borderId="0" applyAlignment="1" pivotButton="0" quotePrefix="0" xfId="1">
      <alignment horizontal="center"/>
    </xf>
    <xf numFmtId="0" fontId="41" fillId="0" borderId="0" applyAlignment="1" pivotButton="0" quotePrefix="0" xfId="0">
      <alignment horizontal="center"/>
    </xf>
    <xf numFmtId="169" fontId="29" fillId="0" borderId="0" applyAlignment="1" pivotButton="0" quotePrefix="0" xfId="1">
      <alignment horizontal="right"/>
    </xf>
    <xf numFmtId="43" fontId="30" fillId="2" borderId="0" applyAlignment="1" pivotButton="0" quotePrefix="0" xfId="1">
      <alignment horizontal="right"/>
    </xf>
    <xf numFmtId="0" fontId="35" fillId="0" borderId="0" applyAlignment="1" pivotButton="0" quotePrefix="0" xfId="0">
      <alignment horizontal="center"/>
    </xf>
    <xf numFmtId="43" fontId="35" fillId="0" borderId="0" applyAlignment="1" pivotButton="0" quotePrefix="0" xfId="1">
      <alignment horizontal="center"/>
    </xf>
    <xf numFmtId="43" fontId="41" fillId="0" borderId="0" pivotButton="0" quotePrefix="0" xfId="1"/>
    <xf numFmtId="170" fontId="29" fillId="0" borderId="0" applyAlignment="1" pivotButton="0" quotePrefix="0" xfId="2">
      <alignment horizontal="right"/>
    </xf>
    <xf numFmtId="166" fontId="29" fillId="0" borderId="0" pivotButton="0" quotePrefix="0" xfId="0"/>
    <xf numFmtId="0" fontId="48" fillId="6" borderId="0" applyAlignment="1" pivotButton="0" quotePrefix="0" xfId="0">
      <alignment horizontal="center"/>
    </xf>
    <xf numFmtId="165" fontId="44" fillId="0" borderId="0" pivotButton="0" quotePrefix="0" xfId="0"/>
    <xf numFmtId="43" fontId="44" fillId="0" borderId="0" pivotButton="0" quotePrefix="0" xfId="0"/>
    <xf numFmtId="0" fontId="44" fillId="0" borderId="15" applyAlignment="1" pivotButton="0" quotePrefix="0" xfId="0">
      <alignment horizontal="left" indent="1"/>
    </xf>
    <xf numFmtId="0" fontId="44" fillId="0" borderId="16" applyAlignment="1" pivotButton="0" quotePrefix="0" xfId="0">
      <alignment horizontal="left" indent="1"/>
    </xf>
    <xf numFmtId="41" fontId="26" fillId="0" borderId="11" applyAlignment="1" pivotButton="0" quotePrefix="0" xfId="1">
      <alignment horizontal="center"/>
    </xf>
    <xf numFmtId="2" fontId="29" fillId="0" borderId="2" applyAlignment="1" pivotButton="0" quotePrefix="0" xfId="1">
      <alignment horizontal="right"/>
    </xf>
    <xf numFmtId="0" fontId="30" fillId="2" borderId="19" pivotButton="0" quotePrefix="0" xfId="0"/>
    <xf numFmtId="41" fontId="30" fillId="2" borderId="19" pivotButton="0" quotePrefix="0" xfId="0"/>
    <xf numFmtId="0" fontId="30" fillId="2" borderId="20" pivotButton="0" quotePrefix="0" xfId="0"/>
    <xf numFmtId="41" fontId="30" fillId="2" borderId="20" pivotButton="0" quotePrefix="0" xfId="0"/>
    <xf numFmtId="41" fontId="30" fillId="2" borderId="21" pivotButton="0" quotePrefix="0" xfId="0"/>
    <xf numFmtId="0" fontId="44" fillId="0" borderId="0" applyAlignment="1" pivotButton="0" quotePrefix="0" xfId="0">
      <alignment horizontal="left" indent="2"/>
    </xf>
    <xf numFmtId="164" fontId="25" fillId="0" borderId="18" pivotButton="0" quotePrefix="0" xfId="2"/>
    <xf numFmtId="165" fontId="26" fillId="0" borderId="18" pivotButton="0" quotePrefix="0" xfId="0"/>
    <xf numFmtId="10" fontId="52" fillId="5" borderId="6" applyAlignment="1" pivotButton="0" quotePrefix="0" xfId="2">
      <alignment horizontal="center" vertical="center"/>
    </xf>
    <xf numFmtId="0" fontId="52" fillId="0" borderId="0" applyAlignment="1" pivotButton="0" quotePrefix="0" xfId="0">
      <alignment vertical="center"/>
    </xf>
    <xf numFmtId="0" fontId="53" fillId="0" borderId="0" applyAlignment="1" pivotButton="0" quotePrefix="0" xfId="0">
      <alignment vertical="center"/>
    </xf>
    <xf numFmtId="17" fontId="32" fillId="0" borderId="0" pivotButton="0" quotePrefix="0" xfId="0"/>
    <xf numFmtId="171" fontId="30" fillId="2" borderId="19" pivotButton="0" quotePrefix="0" xfId="0"/>
    <xf numFmtId="171" fontId="30" fillId="2" borderId="20" pivotButton="0" quotePrefix="0" xfId="0"/>
    <xf numFmtId="0" fontId="32" fillId="2" borderId="20" pivotButton="0" quotePrefix="0" xfId="0"/>
    <xf numFmtId="9" fontId="32" fillId="2" borderId="20" pivotButton="0" quotePrefix="0" xfId="2"/>
    <xf numFmtId="0" fontId="34" fillId="0" borderId="21" pivotButton="0" quotePrefix="0" xfId="0"/>
    <xf numFmtId="1" fontId="29" fillId="0" borderId="0" applyAlignment="1" pivotButton="0" quotePrefix="0" xfId="0">
      <alignment horizontal="right"/>
    </xf>
    <xf numFmtId="9" fontId="29" fillId="0" borderId="19" applyAlignment="1" pivotButton="0" quotePrefix="0" xfId="2">
      <alignment horizontal="center"/>
    </xf>
    <xf numFmtId="9" fontId="29" fillId="0" borderId="20" applyAlignment="1" pivotButton="0" quotePrefix="0" xfId="2">
      <alignment horizontal="center"/>
    </xf>
    <xf numFmtId="9" fontId="39" fillId="0" borderId="16" applyAlignment="1" pivotButton="0" quotePrefix="0" xfId="2">
      <alignment horizontal="center"/>
    </xf>
    <xf numFmtId="0" fontId="54" fillId="0" borderId="0" applyAlignment="1" pivotButton="0" quotePrefix="0" xfId="0">
      <alignment horizontal="center"/>
    </xf>
    <xf numFmtId="43" fontId="29" fillId="0" borderId="20" pivotButton="0" quotePrefix="0" xfId="1"/>
    <xf numFmtId="0" fontId="29" fillId="0" borderId="19" pivotButton="0" quotePrefix="0" xfId="31"/>
    <xf numFmtId="41" fontId="29" fillId="0" borderId="19" applyAlignment="1" pivotButton="0" quotePrefix="0" xfId="31">
      <alignment horizontal="right"/>
    </xf>
    <xf numFmtId="0" fontId="29" fillId="0" borderId="19" applyAlignment="1" pivotButton="0" quotePrefix="0" xfId="31">
      <alignment horizontal="right"/>
    </xf>
    <xf numFmtId="0" fontId="14" fillId="0" borderId="20" pivotButton="0" quotePrefix="0" xfId="31"/>
    <xf numFmtId="41" fontId="29" fillId="0" borderId="20" applyAlignment="1" pivotButton="0" quotePrefix="0" xfId="31">
      <alignment horizontal="right"/>
    </xf>
    <xf numFmtId="0" fontId="29" fillId="0" borderId="20" applyAlignment="1" pivotButton="0" quotePrefix="0" xfId="31">
      <alignment horizontal="right"/>
    </xf>
    <xf numFmtId="165" fontId="29" fillId="0" borderId="20" applyAlignment="1" pivotButton="0" quotePrefix="0" xfId="1">
      <alignment horizontal="right"/>
    </xf>
    <xf numFmtId="0" fontId="28" fillId="6" borderId="0" applyAlignment="1" pivotButton="0" quotePrefix="0" xfId="31">
      <alignment horizontal="left" vertical="center"/>
    </xf>
    <xf numFmtId="0" fontId="28" fillId="6" borderId="0" applyAlignment="1" pivotButton="0" quotePrefix="0" xfId="31">
      <alignment horizontal="right" vertical="center"/>
    </xf>
    <xf numFmtId="0" fontId="29" fillId="0" borderId="0" applyAlignment="1" pivotButton="0" quotePrefix="0" xfId="0">
      <alignment horizontal="left" indent="1"/>
    </xf>
    <xf numFmtId="37" fontId="10" fillId="0" borderId="0" pivotButton="0" quotePrefix="0" xfId="31"/>
    <xf numFmtId="0" fontId="26" fillId="0" borderId="0" pivotButton="0" quotePrefix="0" xfId="31"/>
    <xf numFmtId="37" fontId="25" fillId="0" borderId="0" pivotButton="0" quotePrefix="0" xfId="31"/>
    <xf numFmtId="37" fontId="25" fillId="0" borderId="0" applyAlignment="1" pivotButton="0" quotePrefix="0" xfId="31">
      <alignment horizontal="center"/>
    </xf>
    <xf numFmtId="0" fontId="28" fillId="7" borderId="0" applyAlignment="1" pivotButton="0" quotePrefix="0" xfId="31">
      <alignment horizontal="center" wrapText="1"/>
    </xf>
    <xf numFmtId="0" fontId="14" fillId="0" borderId="2" applyAlignment="1" pivotButton="0" quotePrefix="0" xfId="31">
      <alignment horizontal="center" vertical="center"/>
    </xf>
    <xf numFmtId="0" fontId="28" fillId="0" borderId="0" pivotButton="0" quotePrefix="0" xfId="31"/>
    <xf numFmtId="165" fontId="29" fillId="0" borderId="19" pivotButton="0" quotePrefix="0" xfId="1"/>
    <xf numFmtId="165" fontId="29" fillId="0" borderId="20" pivotButton="0" quotePrefix="0" xfId="1"/>
    <xf numFmtId="37" fontId="56" fillId="6" borderId="0" pivotButton="0" quotePrefix="0" xfId="31"/>
    <xf numFmtId="37" fontId="28" fillId="6" borderId="0" pivotButton="0" quotePrefix="0" xfId="31"/>
    <xf numFmtId="37" fontId="24" fillId="6" borderId="0" applyAlignment="1" pivotButton="0" quotePrefix="0" xfId="31">
      <alignment horizontal="center"/>
    </xf>
    <xf numFmtId="37" fontId="56" fillId="6" borderId="0" applyAlignment="1" pivotButton="0" quotePrefix="0" xfId="31">
      <alignment horizontal="center"/>
    </xf>
    <xf numFmtId="37" fontId="56" fillId="6" borderId="0" applyAlignment="1" pivotButton="0" quotePrefix="0" xfId="31">
      <alignment horizontal="right"/>
    </xf>
    <xf numFmtId="37" fontId="57" fillId="6" borderId="0" pivotButton="0" quotePrefix="0" xfId="31"/>
    <xf numFmtId="164" fontId="28" fillId="6" borderId="0" pivotButton="0" quotePrefix="0" xfId="32"/>
    <xf numFmtId="164" fontId="37" fillId="0" borderId="20" pivotButton="0" quotePrefix="0" xfId="32"/>
    <xf numFmtId="37" fontId="31" fillId="0" borderId="21" pivotButton="0" quotePrefix="0" xfId="31"/>
    <xf numFmtId="37" fontId="25" fillId="0" borderId="11" pivotButton="0" quotePrefix="0" xfId="31"/>
    <xf numFmtId="37" fontId="25" fillId="0" borderId="19" pivotButton="0" quotePrefix="0" xfId="31"/>
    <xf numFmtId="37" fontId="25" fillId="0" borderId="20" pivotButton="0" quotePrefix="0" xfId="31"/>
    <xf numFmtId="43" fontId="26" fillId="0" borderId="12" pivotButton="0" quotePrefix="0" xfId="1"/>
    <xf numFmtId="167" fontId="25" fillId="0" borderId="12" pivotButton="0" quotePrefix="0" xfId="0"/>
    <xf numFmtId="164" fontId="29" fillId="0" borderId="19" pivotButton="0" quotePrefix="0" xfId="2"/>
    <xf numFmtId="43" fontId="29" fillId="0" borderId="19" pivotButton="0" quotePrefix="0" xfId="1"/>
    <xf numFmtId="165" fontId="29" fillId="0" borderId="19" pivotButton="0" quotePrefix="0" xfId="0"/>
    <xf numFmtId="164" fontId="29" fillId="0" borderId="20" pivotButton="0" quotePrefix="0" xfId="2"/>
    <xf numFmtId="165" fontId="29" fillId="0" borderId="20" pivotButton="0" quotePrefix="0" xfId="0"/>
    <xf numFmtId="165" fontId="29" fillId="0" borderId="21" pivotButton="0" quotePrefix="0" xfId="1"/>
    <xf numFmtId="164" fontId="29" fillId="0" borderId="21" pivotButton="0" quotePrefix="0" xfId="2"/>
    <xf numFmtId="43" fontId="29" fillId="0" borderId="21" pivotButton="0" quotePrefix="0" xfId="1"/>
    <xf numFmtId="165" fontId="29" fillId="0" borderId="21" pivotButton="0" quotePrefix="0" xfId="0"/>
    <xf numFmtId="10" fontId="30" fillId="2" borderId="20" pivotButton="0" quotePrefix="0" xfId="2"/>
    <xf numFmtId="0" fontId="45" fillId="0" borderId="0" pivotButton="0" quotePrefix="0" xfId="0"/>
    <xf numFmtId="164" fontId="30" fillId="2" borderId="20" pivotButton="0" quotePrefix="0" xfId="2"/>
    <xf numFmtId="10" fontId="15" fillId="0" borderId="0" pivotButton="0" quotePrefix="0" xfId="0"/>
    <xf numFmtId="3" fontId="52" fillId="0" borderId="0" applyAlignment="1" applyProtection="1" pivotButton="0" quotePrefix="0" xfId="179">
      <alignment horizontal="left"/>
      <protection locked="0" hidden="0"/>
    </xf>
    <xf numFmtId="167" fontId="52" fillId="0" borderId="0" applyProtection="1" pivotButton="0" quotePrefix="0" xfId="180">
      <protection locked="0" hidden="0"/>
    </xf>
    <xf numFmtId="167" fontId="52" fillId="0" borderId="0" applyAlignment="1" applyProtection="1" pivotButton="0" quotePrefix="0" xfId="180">
      <alignment horizontal="center"/>
      <protection locked="0" hidden="0"/>
    </xf>
    <xf numFmtId="3" fontId="52" fillId="0" borderId="0" applyProtection="1" pivotButton="0" quotePrefix="0" xfId="179">
      <protection locked="0" hidden="0"/>
    </xf>
    <xf numFmtId="3" fontId="52" fillId="0" borderId="0" applyAlignment="1" applyProtection="1" pivotButton="0" quotePrefix="0" xfId="179">
      <alignment horizontal="center"/>
      <protection locked="0" hidden="0"/>
    </xf>
    <xf numFmtId="3" fontId="29" fillId="0" borderId="0" applyAlignment="1" applyProtection="1" pivotButton="0" quotePrefix="0" xfId="179">
      <alignment horizontal="left"/>
      <protection locked="0" hidden="0"/>
    </xf>
    <xf numFmtId="3" fontId="29" fillId="0" borderId="0" applyProtection="1" pivotButton="0" quotePrefix="0" xfId="179">
      <protection locked="0" hidden="0"/>
    </xf>
    <xf numFmtId="3" fontId="29" fillId="0" borderId="0" applyAlignment="1" applyProtection="1" pivotButton="0" quotePrefix="0" xfId="179">
      <alignment horizontal="center"/>
      <protection locked="0" hidden="0"/>
    </xf>
    <xf numFmtId="3" fontId="26" fillId="0" borderId="0" applyAlignment="1" pivotButton="0" quotePrefix="0" xfId="179">
      <alignment horizontal="center"/>
    </xf>
    <xf numFmtId="167" fontId="29" fillId="0" borderId="0" applyProtection="1" pivotButton="0" quotePrefix="0" xfId="180">
      <protection locked="0" hidden="0"/>
    </xf>
    <xf numFmtId="3" fontId="26" fillId="0" borderId="0" applyAlignment="1" applyProtection="1" pivotButton="0" quotePrefix="0" xfId="179">
      <alignment horizontal="left"/>
      <protection locked="0" hidden="0"/>
    </xf>
    <xf numFmtId="3" fontId="26" fillId="0" borderId="0" applyProtection="1" pivotButton="0" quotePrefix="0" xfId="179">
      <protection locked="0" hidden="0"/>
    </xf>
    <xf numFmtId="3" fontId="26" fillId="0" borderId="0" applyAlignment="1" applyProtection="1" pivotButton="0" quotePrefix="0" xfId="179">
      <alignment horizontal="center"/>
      <protection locked="0" hidden="0"/>
    </xf>
    <xf numFmtId="167" fontId="29" fillId="0" borderId="0" applyAlignment="1" applyProtection="1" pivotButton="0" quotePrefix="0" xfId="180">
      <alignment horizontal="center"/>
      <protection locked="0" hidden="0"/>
    </xf>
    <xf numFmtId="167" fontId="26" fillId="0" borderId="0" applyAlignment="1" pivotButton="0" quotePrefix="0" xfId="181">
      <alignment horizontal="center"/>
    </xf>
    <xf numFmtId="164" fontId="29" fillId="0" borderId="0" applyProtection="1" pivotButton="0" quotePrefix="0" xfId="179">
      <protection locked="0" hidden="0"/>
    </xf>
    <xf numFmtId="3" fontId="29" fillId="8" borderId="0" applyAlignment="1" applyProtection="1" pivotButton="0" quotePrefix="0" xfId="179">
      <alignment horizontal="left"/>
      <protection locked="0" hidden="0"/>
    </xf>
    <xf numFmtId="3" fontId="29" fillId="8" borderId="0" applyProtection="1" pivotButton="0" quotePrefix="0" xfId="179">
      <protection locked="0" hidden="0"/>
    </xf>
    <xf numFmtId="167" fontId="61" fillId="8" borderId="0" applyAlignment="1" applyProtection="1" pivotButton="0" quotePrefix="0" xfId="180">
      <alignment horizontal="center"/>
      <protection locked="0" hidden="0"/>
    </xf>
    <xf numFmtId="167" fontId="26" fillId="8" borderId="0" applyAlignment="1" pivotButton="0" quotePrefix="0" xfId="181">
      <alignment horizontal="center"/>
    </xf>
    <xf numFmtId="167" fontId="29" fillId="8" borderId="0" applyProtection="1" pivotButton="0" quotePrefix="0" xfId="180">
      <protection locked="0" hidden="0"/>
    </xf>
    <xf numFmtId="167" fontId="61" fillId="8" borderId="0" applyAlignment="1" applyProtection="1" pivotButton="0" quotePrefix="0" xfId="181">
      <alignment horizontal="center"/>
      <protection locked="0" hidden="0"/>
    </xf>
    <xf numFmtId="3" fontId="26" fillId="8" borderId="0" applyAlignment="1" applyProtection="1" pivotButton="0" quotePrefix="0" xfId="179">
      <alignment horizontal="left"/>
      <protection locked="0" hidden="0"/>
    </xf>
    <xf numFmtId="3" fontId="26" fillId="8" borderId="0" applyProtection="1" pivotButton="0" quotePrefix="0" xfId="179">
      <protection locked="0" hidden="0"/>
    </xf>
    <xf numFmtId="167" fontId="41" fillId="8" borderId="0" applyProtection="1" pivotButton="0" quotePrefix="0" xfId="180">
      <protection locked="0" hidden="0"/>
    </xf>
    <xf numFmtId="167" fontId="26" fillId="8" borderId="0" applyAlignment="1" applyProtection="1" pivotButton="0" quotePrefix="0" xfId="180">
      <alignment horizontal="left"/>
      <protection locked="0" hidden="0"/>
    </xf>
    <xf numFmtId="167" fontId="26" fillId="8" borderId="0" applyProtection="1" pivotButton="0" quotePrefix="0" xfId="180">
      <protection locked="0" hidden="0"/>
    </xf>
    <xf numFmtId="167" fontId="26" fillId="8" borderId="0" applyAlignment="1" pivotButton="0" quotePrefix="0" xfId="180">
      <alignment horizontal="center"/>
    </xf>
    <xf numFmtId="167" fontId="29" fillId="8" borderId="0" applyAlignment="1" applyProtection="1" pivotButton="0" quotePrefix="0" xfId="180">
      <alignment horizontal="left"/>
      <protection locked="0" hidden="0"/>
    </xf>
    <xf numFmtId="3" fontId="29" fillId="9" borderId="3" applyAlignment="1" applyProtection="1" pivotButton="0" quotePrefix="1" xfId="179">
      <alignment horizontal="left"/>
      <protection locked="0" hidden="0"/>
    </xf>
    <xf numFmtId="3" fontId="29" fillId="9" borderId="4" applyProtection="1" pivotButton="0" quotePrefix="0" xfId="179">
      <protection locked="0" hidden="0"/>
    </xf>
    <xf numFmtId="3" fontId="29" fillId="9" borderId="5" applyProtection="1" pivotButton="0" quotePrefix="0" xfId="179">
      <protection locked="0" hidden="0"/>
    </xf>
    <xf numFmtId="3" fontId="29" fillId="8" borderId="7" applyProtection="1" pivotButton="0" quotePrefix="0" xfId="179">
      <protection locked="0" hidden="0"/>
    </xf>
    <xf numFmtId="167" fontId="29" fillId="8" borderId="10" applyProtection="1" pivotButton="0" quotePrefix="0" xfId="180">
      <protection locked="0" hidden="0"/>
    </xf>
    <xf numFmtId="3" fontId="29" fillId="8" borderId="0" applyAlignment="1" applyProtection="1" pivotButton="0" quotePrefix="0" xfId="179">
      <alignment horizontal="left" vertical="top"/>
      <protection locked="0" hidden="0"/>
    </xf>
    <xf numFmtId="167" fontId="29" fillId="8" borderId="0" applyAlignment="1" pivotButton="0" quotePrefix="0" xfId="181">
      <alignment horizontal="center"/>
    </xf>
    <xf numFmtId="167" fontId="29" fillId="8" borderId="0" applyAlignment="1" applyProtection="1" pivotButton="0" quotePrefix="0" xfId="180">
      <alignment horizontal="center"/>
      <protection locked="0" hidden="0"/>
    </xf>
    <xf numFmtId="166" fontId="26" fillId="8" borderId="0" applyAlignment="1" pivotButton="0" quotePrefix="0" xfId="181">
      <alignment horizontal="center"/>
    </xf>
    <xf numFmtId="3" fontId="42" fillId="8" borderId="0" applyProtection="1" pivotButton="0" quotePrefix="0" xfId="179">
      <protection locked="0" hidden="0"/>
    </xf>
    <xf numFmtId="167" fontId="29" fillId="0" borderId="0" applyAlignment="1" applyProtection="1" pivotButton="0" quotePrefix="0" xfId="181">
      <alignment horizontal="center"/>
      <protection locked="0" hidden="0"/>
    </xf>
    <xf numFmtId="4" fontId="29" fillId="0" borderId="0" applyProtection="1" pivotButton="0" quotePrefix="0" xfId="179">
      <protection locked="0" hidden="0"/>
    </xf>
    <xf numFmtId="167" fontId="26" fillId="0" borderId="0" applyAlignment="1" applyProtection="1" pivotButton="0" quotePrefix="0" xfId="180">
      <alignment horizontal="left"/>
      <protection locked="0" hidden="0"/>
    </xf>
    <xf numFmtId="167" fontId="26" fillId="0" borderId="0" applyAlignment="1" pivotButton="0" quotePrefix="0" xfId="180">
      <alignment horizontal="center"/>
    </xf>
    <xf numFmtId="167" fontId="29" fillId="0" borderId="0" applyAlignment="1" applyProtection="1" pivotButton="0" quotePrefix="0" xfId="180">
      <alignment horizontal="left"/>
      <protection locked="0" hidden="0"/>
    </xf>
    <xf numFmtId="41" fontId="30" fillId="2" borderId="0" applyAlignment="1" pivotButton="0" quotePrefix="0" xfId="1">
      <alignment horizontal="left"/>
    </xf>
    <xf numFmtId="167" fontId="30" fillId="2" borderId="0" applyAlignment="1" pivotButton="0" quotePrefix="0" xfId="1">
      <alignment horizontal="center"/>
    </xf>
    <xf numFmtId="41" fontId="29" fillId="0" borderId="0" applyAlignment="1" pivotButton="0" quotePrefix="0" xfId="1">
      <alignment horizontal="left"/>
    </xf>
    <xf numFmtId="167" fontId="26" fillId="8" borderId="0" applyAlignment="1" applyProtection="1" pivotButton="0" quotePrefix="0" xfId="181">
      <alignment horizontal="center"/>
      <protection locked="0" hidden="0"/>
    </xf>
    <xf numFmtId="41" fontId="30" fillId="2" borderId="15" pivotButton="0" quotePrefix="0" xfId="2"/>
    <xf numFmtId="41" fontId="29" fillId="0" borderId="15" applyAlignment="1" pivotButton="0" quotePrefix="0" xfId="1">
      <alignment horizontal="center"/>
    </xf>
    <xf numFmtId="164" fontId="61" fillId="0" borderId="0" applyAlignment="1" applyProtection="1" pivotButton="0" quotePrefix="0" xfId="2">
      <alignment horizontal="left"/>
      <protection locked="0" hidden="0"/>
    </xf>
    <xf numFmtId="0" fontId="34" fillId="0" borderId="0" applyAlignment="1" pivotButton="0" quotePrefix="0" xfId="0">
      <alignment horizontal="left"/>
    </xf>
    <xf numFmtId="167" fontId="26" fillId="0" borderId="1" applyAlignment="1" pivotButton="0" quotePrefix="0" xfId="181">
      <alignment horizontal="center"/>
    </xf>
    <xf numFmtId="167" fontId="52" fillId="10" borderId="0" applyProtection="1" pivotButton="0" quotePrefix="0" xfId="180">
      <protection locked="0" hidden="0"/>
    </xf>
    <xf numFmtId="167" fontId="62" fillId="10" borderId="6" applyAlignment="1" pivotButton="0" quotePrefix="0" xfId="180">
      <alignment horizontal="center"/>
    </xf>
    <xf numFmtId="0" fontId="55" fillId="0" borderId="0" applyAlignment="1" pivotButton="0" quotePrefix="0" xfId="0">
      <alignment horizontal="center" vertical="center"/>
    </xf>
    <xf numFmtId="3" fontId="15" fillId="0" borderId="0" pivotButton="0" quotePrefix="0" xfId="0"/>
    <xf numFmtId="41" fontId="25" fillId="0" borderId="0" pivotButton="0" quotePrefix="0" xfId="0"/>
    <xf numFmtId="41" fontId="26" fillId="0" borderId="0" pivotButton="0" quotePrefix="0" xfId="0"/>
    <xf numFmtId="0" fontId="25" fillId="0" borderId="0" applyAlignment="1" pivotButton="0" quotePrefix="0" xfId="0">
      <alignment horizontal="right"/>
    </xf>
    <xf numFmtId="10" fontId="26" fillId="0" borderId="20" pivotButton="0" quotePrefix="0" xfId="32"/>
    <xf numFmtId="37" fontId="26" fillId="0" borderId="20" pivotButton="0" quotePrefix="0" xfId="31"/>
    <xf numFmtId="167" fontId="29" fillId="8" borderId="7" applyProtection="1" pivotButton="0" quotePrefix="0" xfId="180">
      <protection locked="0" hidden="0"/>
    </xf>
    <xf numFmtId="164" fontId="41" fillId="8" borderId="0" applyProtection="1" pivotButton="0" quotePrefix="0" xfId="2">
      <protection locked="0" hidden="0"/>
    </xf>
    <xf numFmtId="3" fontId="29" fillId="8" borderId="10" applyProtection="1" pivotButton="0" quotePrefix="0" xfId="179">
      <protection locked="0" hidden="0"/>
    </xf>
    <xf numFmtId="43" fontId="41" fillId="8" borderId="0" applyProtection="1" pivotButton="0" quotePrefix="0" xfId="1">
      <protection locked="0" hidden="0"/>
    </xf>
    <xf numFmtId="172" fontId="29" fillId="8" borderId="7" applyAlignment="1" applyProtection="1" pivotButton="0" quotePrefix="0" xfId="179">
      <alignment horizontal="left" vertical="center"/>
      <protection locked="0" hidden="0"/>
    </xf>
    <xf numFmtId="9" fontId="29" fillId="8" borderId="10" applyProtection="1" pivotButton="0" quotePrefix="0" xfId="2">
      <protection locked="0" hidden="0"/>
    </xf>
    <xf numFmtId="164" fontId="29" fillId="8" borderId="10" applyProtection="1" pivotButton="0" quotePrefix="0" xfId="2">
      <protection locked="0" hidden="0"/>
    </xf>
    <xf numFmtId="164" fontId="29" fillId="8" borderId="10" applyAlignment="1" applyProtection="1" pivotButton="0" quotePrefix="0" xfId="2">
      <alignment horizontal="center" vertical="center"/>
      <protection locked="0" hidden="0"/>
    </xf>
    <xf numFmtId="167" fontId="26" fillId="8" borderId="2" applyProtection="1" pivotButton="0" quotePrefix="0" xfId="180">
      <protection locked="0" hidden="0"/>
    </xf>
    <xf numFmtId="2" fontId="29" fillId="8" borderId="10" applyProtection="1" pivotButton="0" quotePrefix="0" xfId="180">
      <protection locked="0" hidden="0"/>
    </xf>
    <xf numFmtId="1" fontId="29" fillId="8" borderId="10" applyProtection="1" pivotButton="0" quotePrefix="0" xfId="180">
      <protection locked="0" hidden="0"/>
    </xf>
    <xf numFmtId="167" fontId="29" fillId="5" borderId="4" applyProtection="1" pivotButton="0" quotePrefix="0" xfId="180">
      <protection locked="0" hidden="0"/>
    </xf>
    <xf numFmtId="167" fontId="29" fillId="5" borderId="5" applyProtection="1" pivotButton="0" quotePrefix="0" xfId="180">
      <protection locked="0" hidden="0"/>
    </xf>
    <xf numFmtId="1" fontId="26" fillId="5" borderId="3" applyProtection="1" pivotButton="0" quotePrefix="0" xfId="1">
      <protection locked="0" hidden="0"/>
    </xf>
    <xf numFmtId="167" fontId="29" fillId="8" borderId="0" applyAlignment="1" applyProtection="1" pivotButton="0" quotePrefix="0" xfId="180">
      <alignment horizontal="left" vertical="top" wrapText="1"/>
      <protection locked="0" hidden="0"/>
    </xf>
    <xf numFmtId="167" fontId="29" fillId="8" borderId="10" applyAlignment="1" applyProtection="1" pivotButton="0" quotePrefix="0" xfId="180">
      <alignment horizontal="left" vertical="top" wrapText="1"/>
      <protection locked="0" hidden="0"/>
    </xf>
    <xf numFmtId="0" fontId="63" fillId="0" borderId="0" pivotButton="0" quotePrefix="0" xfId="0"/>
    <xf numFmtId="41" fontId="29" fillId="0" borderId="0" applyAlignment="1" pivotButton="0" quotePrefix="0" xfId="0">
      <alignment horizontal="right"/>
    </xf>
    <xf numFmtId="173" fontId="32" fillId="2" borderId="21" pivotButton="0" quotePrefix="0" xfId="0"/>
    <xf numFmtId="41" fontId="30" fillId="0" borderId="0" pivotButton="0" quotePrefix="0" xfId="0"/>
    <xf numFmtId="41" fontId="30" fillId="0" borderId="13" pivotButton="0" quotePrefix="0" xfId="0"/>
    <xf numFmtId="167" fontId="33" fillId="8" borderId="0" applyProtection="1" pivotButton="0" quotePrefix="0" xfId="180">
      <protection locked="0" hidden="0"/>
    </xf>
    <xf numFmtId="167" fontId="29" fillId="8" borderId="0" applyAlignment="1" applyProtection="1" pivotButton="0" quotePrefix="0" xfId="180">
      <alignment vertical="top" wrapText="1"/>
      <protection locked="0" hidden="0"/>
    </xf>
    <xf numFmtId="3" fontId="29" fillId="8" borderId="7" applyAlignment="1" applyProtection="1" pivotButton="0" quotePrefix="0" xfId="179">
      <alignment horizontal="right"/>
      <protection locked="0" hidden="0"/>
    </xf>
    <xf numFmtId="41" fontId="29" fillId="8" borderId="0" applyProtection="1" pivotButton="0" quotePrefix="0" xfId="179">
      <protection locked="0" hidden="0"/>
    </xf>
    <xf numFmtId="41" fontId="29" fillId="8" borderId="0" applyAlignment="1" applyProtection="1" pivotButton="0" quotePrefix="0" xfId="179">
      <alignment vertical="top"/>
      <protection locked="0" hidden="0"/>
    </xf>
    <xf numFmtId="9" fontId="64" fillId="3" borderId="10" applyProtection="1" pivotButton="0" quotePrefix="0" xfId="2">
      <protection locked="0" hidden="0"/>
    </xf>
    <xf numFmtId="0" fontId="0" fillId="0" borderId="9" pivotButton="0" quotePrefix="0" xfId="0"/>
    <xf numFmtId="0" fontId="0" fillId="0" borderId="7" applyAlignment="1" pivotButton="0" quotePrefix="0" xfId="0">
      <alignment horizontal="left"/>
    </xf>
    <xf numFmtId="0" fontId="0" fillId="0" borderId="10" pivotButton="0" quotePrefix="0" xfId="0"/>
    <xf numFmtId="0" fontId="65" fillId="0" borderId="2" pivotButton="0" quotePrefix="0" xfId="0"/>
    <xf numFmtId="0" fontId="65" fillId="0" borderId="3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8" applyAlignment="1" pivotButton="0" quotePrefix="0" xfId="0">
      <alignment horizontal="left"/>
    </xf>
    <xf numFmtId="0" fontId="0" fillId="0" borderId="1" pivotButton="0" quotePrefix="0" xfId="0"/>
    <xf numFmtId="0" fontId="65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66" fillId="0" borderId="0" applyAlignment="1" pivotButton="0" quotePrefix="0" xfId="0">
      <alignment horizontal="right"/>
    </xf>
    <xf numFmtId="164" fontId="0" fillId="0" borderId="0" pivotButton="0" quotePrefix="0" xfId="0"/>
    <xf numFmtId="164" fontId="67" fillId="3" borderId="0" pivotButton="0" quotePrefix="0" xfId="2"/>
    <xf numFmtId="164" fontId="38" fillId="0" borderId="0" pivotButton="0" quotePrefix="0" xfId="2"/>
    <xf numFmtId="0" fontId="65" fillId="11" borderId="2" applyAlignment="1" pivotButton="0" quotePrefix="0" xfId="0">
      <alignment horizontal="right"/>
    </xf>
    <xf numFmtId="164" fontId="65" fillId="11" borderId="2" pivotButton="0" quotePrefix="0" xfId="0"/>
    <xf numFmtId="0" fontId="0" fillId="11" borderId="2" pivotButton="0" quotePrefix="0" xfId="0"/>
    <xf numFmtId="10" fontId="29" fillId="11" borderId="2" pivotButton="0" quotePrefix="0" xfId="0"/>
    <xf numFmtId="9" fontId="29" fillId="0" borderId="0" pivotButton="0" quotePrefix="0" xfId="2"/>
    <xf numFmtId="167" fontId="30" fillId="2" borderId="20" pivotButton="0" quotePrefix="0" xfId="2"/>
    <xf numFmtId="0" fontId="68" fillId="0" borderId="0" pivotButton="0" quotePrefix="0" xfId="0"/>
    <xf numFmtId="0" fontId="68" fillId="3" borderId="0" pivotButton="0" quotePrefix="0" xfId="0"/>
    <xf numFmtId="0" fontId="69" fillId="3" borderId="0" applyAlignment="1" pivotButton="0" quotePrefix="0" xfId="0">
      <alignment horizontal="left"/>
    </xf>
    <xf numFmtId="0" fontId="70" fillId="0" borderId="0" pivotButton="0" quotePrefix="0" xfId="0"/>
    <xf numFmtId="0" fontId="71" fillId="12" borderId="2" applyAlignment="1" pivotButton="0" quotePrefix="0" xfId="0">
      <alignment horizontal="center"/>
    </xf>
    <xf numFmtId="0" fontId="65" fillId="12" borderId="2" applyAlignment="1" pivotButton="0" quotePrefix="0" xfId="0">
      <alignment horizontal="center"/>
    </xf>
    <xf numFmtId="0" fontId="30" fillId="2" borderId="15" applyAlignment="1" pivotButton="0" quotePrefix="1" xfId="0">
      <alignment horizontal="left" indent="1"/>
    </xf>
    <xf numFmtId="0" fontId="30" fillId="2" borderId="16" applyAlignment="1" pivotButton="0" quotePrefix="1" xfId="0">
      <alignment horizontal="left" indent="1"/>
    </xf>
    <xf numFmtId="0" fontId="72" fillId="0" borderId="0" pivotButton="0" quotePrefix="0" xfId="0"/>
    <xf numFmtId="174" fontId="30" fillId="2" borderId="0" applyAlignment="1" pivotButton="0" quotePrefix="0" xfId="0">
      <alignment horizontal="left"/>
    </xf>
    <xf numFmtId="175" fontId="25" fillId="0" borderId="2" pivotButton="0" quotePrefix="0" xfId="167"/>
    <xf numFmtId="10" fontId="25" fillId="0" borderId="2" pivotButton="0" quotePrefix="0" xfId="2"/>
    <xf numFmtId="176" fontId="28" fillId="0" borderId="2" pivotButton="0" quotePrefix="0" xfId="167"/>
    <xf numFmtId="10" fontId="25" fillId="0" borderId="0" pivotButton="0" quotePrefix="0" xfId="0"/>
    <xf numFmtId="9" fontId="29" fillId="3" borderId="0" pivotButton="0" quotePrefix="0" xfId="2"/>
    <xf numFmtId="37" fontId="25" fillId="0" borderId="4" pivotButton="0" quotePrefix="0" xfId="31"/>
    <xf numFmtId="164" fontId="25" fillId="0" borderId="4" pivotButton="0" quotePrefix="0" xfId="32"/>
    <xf numFmtId="164" fontId="25" fillId="0" borderId="4" pivotButton="0" quotePrefix="0" xfId="32"/>
    <xf numFmtId="9" fontId="25" fillId="0" borderId="4" pivotButton="0" quotePrefix="0" xfId="2"/>
    <xf numFmtId="9" fontId="25" fillId="0" borderId="20" pivotButton="0" quotePrefix="0" xfId="2"/>
    <xf numFmtId="37" fontId="25" fillId="0" borderId="23" pivotButton="0" quotePrefix="0" xfId="31"/>
    <xf numFmtId="164" fontId="30" fillId="2" borderId="23" pivotButton="0" quotePrefix="0" xfId="32"/>
    <xf numFmtId="37" fontId="25" fillId="0" borderId="21" pivotButton="0" quotePrefix="0" xfId="31"/>
    <xf numFmtId="37" fontId="34" fillId="0" borderId="0" applyAlignment="1" pivotButton="0" quotePrefix="0" xfId="31">
      <alignment horizontal="right"/>
    </xf>
    <xf numFmtId="10" fontId="26" fillId="0" borderId="0" pivotButton="0" quotePrefix="0" xfId="32"/>
    <xf numFmtId="9" fontId="25" fillId="0" borderId="0" pivotButton="0" quotePrefix="0" xfId="2"/>
    <xf numFmtId="177" fontId="30" fillId="2" borderId="0" applyAlignment="1" pivotButton="0" quotePrefix="0" xfId="0">
      <alignment horizontal="left"/>
    </xf>
    <xf numFmtId="0" fontId="74" fillId="0" borderId="0" pivotButton="0" quotePrefix="0" xfId="0"/>
    <xf numFmtId="164" fontId="29" fillId="3" borderId="0" pivotButton="0" quotePrefix="0" xfId="2"/>
    <xf numFmtId="10" fontId="29" fillId="3" borderId="0" pivotButton="0" quotePrefix="0" xfId="2"/>
    <xf numFmtId="41" fontId="77" fillId="0" borderId="0" applyAlignment="1" pivotButton="0" quotePrefix="0" xfId="0">
      <alignment horizontal="center"/>
    </xf>
    <xf numFmtId="10" fontId="55" fillId="0" borderId="0" pivotButton="0" quotePrefix="0" xfId="0"/>
    <xf numFmtId="0" fontId="55" fillId="0" borderId="0" pivotButton="0" quotePrefix="0" xfId="0"/>
    <xf numFmtId="175" fontId="30" fillId="2" borderId="28" pivotButton="0" quotePrefix="0" xfId="1"/>
    <xf numFmtId="175" fontId="30" fillId="2" borderId="29" pivotButton="0" quotePrefix="0" xfId="1"/>
    <xf numFmtId="176" fontId="29" fillId="0" borderId="29" pivotButton="0" quotePrefix="0" xfId="1"/>
    <xf numFmtId="176" fontId="29" fillId="0" borderId="30" pivotButton="0" quotePrefix="0" xfId="1"/>
    <xf numFmtId="176" fontId="25" fillId="0" borderId="27" pivotButton="0" quotePrefix="0" xfId="0"/>
    <xf numFmtId="175" fontId="25" fillId="0" borderId="6" pivotButton="0" quotePrefix="0" xfId="167"/>
    <xf numFmtId="10" fontId="30" fillId="2" borderId="0" pivotButton="0" quotePrefix="0" xfId="2"/>
    <xf numFmtId="176" fontId="30" fillId="2" borderId="30" pivotButton="0" quotePrefix="0" xfId="1"/>
    <xf numFmtId="0" fontId="67" fillId="0" borderId="24" applyAlignment="1" pivotButton="0" quotePrefix="0" xfId="0">
      <alignment horizontal="left"/>
    </xf>
    <xf numFmtId="0" fontId="67" fillId="0" borderId="0" applyAlignment="1" pivotButton="0" quotePrefix="0" xfId="0">
      <alignment horizontal="center"/>
    </xf>
    <xf numFmtId="164" fontId="67" fillId="0" borderId="0" pivotButton="0" quotePrefix="0" xfId="0"/>
    <xf numFmtId="0" fontId="67" fillId="0" borderId="0" pivotButton="0" quotePrefix="0" xfId="0"/>
    <xf numFmtId="164" fontId="79" fillId="11" borderId="2" pivotButton="0" quotePrefix="0" xfId="0"/>
    <xf numFmtId="0" fontId="29" fillId="2" borderId="0" pivotButton="0" quotePrefix="0" xfId="0"/>
    <xf numFmtId="174" fontId="29" fillId="2" borderId="0" applyAlignment="1" pivotButton="0" quotePrefix="0" xfId="0">
      <alignment horizontal="left"/>
    </xf>
    <xf numFmtId="43" fontId="29" fillId="0" borderId="14" pivotButton="0" quotePrefix="0" xfId="1"/>
    <xf numFmtId="43" fontId="29" fillId="0" borderId="16" pivotButton="0" quotePrefix="0" xfId="1"/>
    <xf numFmtId="43" fontId="26" fillId="0" borderId="11" applyAlignment="1" pivotButton="0" quotePrefix="0" xfId="1">
      <alignment horizontal="center"/>
    </xf>
    <xf numFmtId="41" fontId="29" fillId="0" borderId="31" pivotButton="0" quotePrefix="0" xfId="0"/>
    <xf numFmtId="43" fontId="25" fillId="0" borderId="0" applyAlignment="1" pivotButton="0" quotePrefix="0" xfId="1">
      <alignment horizontal="left"/>
    </xf>
    <xf numFmtId="0" fontId="25" fillId="0" borderId="0" applyAlignment="1" pivotButton="0" quotePrefix="0" xfId="1">
      <alignment horizontal="left"/>
    </xf>
    <xf numFmtId="37" fontId="25" fillId="0" borderId="1" pivotButton="0" quotePrefix="0" xfId="0"/>
    <xf numFmtId="164" fontId="25" fillId="0" borderId="1" pivotButton="0" quotePrefix="0" xfId="2"/>
    <xf numFmtId="164" fontId="25" fillId="0" borderId="0" pivotButton="0" quotePrefix="0" xfId="2"/>
    <xf numFmtId="165" fontId="29" fillId="0" borderId="14" pivotButton="0" quotePrefix="0" xfId="1"/>
    <xf numFmtId="164" fontId="29" fillId="0" borderId="16" pivotButton="0" quotePrefix="0" xfId="2"/>
    <xf numFmtId="37" fontId="0" fillId="0" borderId="0" pivotButton="0" quotePrefix="0" xfId="0"/>
    <xf numFmtId="43" fontId="15" fillId="13" borderId="0" applyAlignment="1" pivotButton="0" quotePrefix="0" xfId="1">
      <alignment horizontal="left"/>
    </xf>
    <xf numFmtId="10" fontId="30" fillId="2" borderId="21" pivotButton="0" quotePrefix="0" xfId="32"/>
    <xf numFmtId="164" fontId="30" fillId="0" borderId="23" pivotButton="0" quotePrefix="0" xfId="32"/>
    <xf numFmtId="164" fontId="29" fillId="0" borderId="23" pivotButton="0" quotePrefix="0" xfId="32"/>
    <xf numFmtId="10" fontId="29" fillId="0" borderId="23" pivotButton="0" quotePrefix="0" xfId="32"/>
    <xf numFmtId="164" fontId="29" fillId="0" borderId="20" pivotButton="0" quotePrefix="0" xfId="32"/>
    <xf numFmtId="0" fontId="31" fillId="0" borderId="38" applyAlignment="1" pivotButton="0" quotePrefix="0" xfId="0">
      <alignment horizontal="center"/>
    </xf>
    <xf numFmtId="0" fontId="20" fillId="8" borderId="0" pivotButton="0" quotePrefix="0" xfId="183"/>
    <xf numFmtId="10" fontId="20" fillId="8" borderId="0" pivotButton="0" quotePrefix="0" xfId="183"/>
    <xf numFmtId="10" fontId="20" fillId="3" borderId="0" pivotButton="0" quotePrefix="0" xfId="183"/>
    <xf numFmtId="0" fontId="20" fillId="15" borderId="0" pivotButton="0" quotePrefix="0" xfId="183"/>
    <xf numFmtId="178" fontId="84" fillId="15" borderId="0" pivotButton="0" quotePrefix="0" xfId="183"/>
    <xf numFmtId="49" fontId="26" fillId="0" borderId="0" applyAlignment="1" pivotButton="0" quotePrefix="0" xfId="0">
      <alignment horizontal="right"/>
    </xf>
    <xf numFmtId="41" fontId="45" fillId="0" borderId="0" pivotButton="0" quotePrefix="0" xfId="0"/>
    <xf numFmtId="10" fontId="25" fillId="0" borderId="0" pivotButton="0" quotePrefix="0" xfId="2"/>
    <xf numFmtId="165" fontId="15" fillId="0" borderId="0" pivotButton="0" quotePrefix="0" xfId="0"/>
    <xf numFmtId="179" fontId="20" fillId="8" borderId="0" pivotButton="0" quotePrefix="0" xfId="183"/>
    <xf numFmtId="10" fontId="26" fillId="0" borderId="0" pivotButton="0" quotePrefix="0" xfId="2"/>
    <xf numFmtId="180" fontId="29" fillId="8" borderId="0" applyProtection="1" pivotButton="0" quotePrefix="0" xfId="2">
      <protection locked="0" hidden="0"/>
    </xf>
    <xf numFmtId="176" fontId="30" fillId="2" borderId="29" pivotButton="0" quotePrefix="0" xfId="1"/>
    <xf numFmtId="167" fontId="30" fillId="2" borderId="0" applyAlignment="1" pivotButton="0" quotePrefix="0" xfId="1">
      <alignment horizontal="center"/>
    </xf>
    <xf numFmtId="10" fontId="14" fillId="0" borderId="0" pivotButton="0" quotePrefix="0" xfId="31"/>
    <xf numFmtId="43" fontId="15" fillId="0" borderId="0" pivotButton="0" quotePrefix="0" xfId="0"/>
    <xf numFmtId="176" fontId="29" fillId="0" borderId="0" pivotButton="0" quotePrefix="0" xfId="195"/>
    <xf numFmtId="181" fontId="73" fillId="12" borderId="0" pivotButton="0" quotePrefix="0" xfId="1"/>
    <xf numFmtId="0" fontId="55" fillId="10" borderId="0" pivotButton="0" quotePrefix="0" xfId="195"/>
    <xf numFmtId="0" fontId="55" fillId="0" borderId="0" pivotButton="0" quotePrefix="0" xfId="195"/>
    <xf numFmtId="175" fontId="55" fillId="0" borderId="0" pivotButton="0" quotePrefix="0" xfId="195"/>
    <xf numFmtId="43" fontId="25" fillId="0" borderId="35" applyAlignment="1" pivotButton="0" quotePrefix="0" xfId="1">
      <alignment vertical="center"/>
    </xf>
    <xf numFmtId="165" fontId="45" fillId="10" borderId="49" pivotButton="0" quotePrefix="0" xfId="195"/>
    <xf numFmtId="9" fontId="45" fillId="10" borderId="50" pivotButton="0" quotePrefix="0" xfId="195"/>
    <xf numFmtId="0" fontId="45" fillId="10" borderId="50" pivotButton="0" quotePrefix="0" xfId="195"/>
    <xf numFmtId="43" fontId="25" fillId="0" borderId="44" applyAlignment="1" pivotButton="0" quotePrefix="0" xfId="1">
      <alignment vertical="center"/>
    </xf>
    <xf numFmtId="165" fontId="25" fillId="0" borderId="24" applyAlignment="1" pivotButton="0" quotePrefix="0" xfId="1">
      <alignment vertical="center"/>
    </xf>
    <xf numFmtId="165" fontId="25" fillId="0" borderId="48" applyAlignment="1" pivotButton="0" quotePrefix="0" xfId="1">
      <alignment vertical="center"/>
    </xf>
    <xf numFmtId="165" fontId="55" fillId="10" borderId="50" pivotButton="0" quotePrefix="0" xfId="195"/>
    <xf numFmtId="43" fontId="25" fillId="0" borderId="45" applyAlignment="1" pivotButton="0" quotePrefix="0" xfId="1">
      <alignment vertical="center"/>
    </xf>
    <xf numFmtId="165" fontId="25" fillId="0" borderId="53" applyAlignment="1" pivotButton="0" quotePrefix="0" xfId="1">
      <alignment vertical="center"/>
    </xf>
    <xf numFmtId="165" fontId="25" fillId="0" borderId="54" applyAlignment="1" pivotButton="0" quotePrefix="0" xfId="1">
      <alignment vertical="center"/>
    </xf>
    <xf numFmtId="165" fontId="55" fillId="10" borderId="55" pivotButton="0" quotePrefix="0" xfId="195"/>
    <xf numFmtId="176" fontId="90" fillId="0" borderId="0" pivotButton="0" quotePrefix="0" xfId="195"/>
    <xf numFmtId="181" fontId="90" fillId="0" borderId="0" pivotButton="0" quotePrefix="0" xfId="1"/>
    <xf numFmtId="165" fontId="90" fillId="0" borderId="0" pivotButton="0" quotePrefix="0" xfId="1"/>
    <xf numFmtId="164" fontId="37" fillId="19" borderId="27" applyAlignment="1" pivotButton="0" quotePrefix="0" xfId="2">
      <alignment horizontal="center"/>
    </xf>
    <xf numFmtId="10" fontId="37" fillId="19" borderId="42" applyAlignment="1" pivotButton="0" quotePrefix="0" xfId="2">
      <alignment horizontal="center"/>
    </xf>
    <xf numFmtId="164" fontId="37" fillId="0" borderId="0" applyAlignment="1" pivotButton="0" quotePrefix="0" xfId="2">
      <alignment horizontal="center"/>
    </xf>
    <xf numFmtId="37" fontId="55" fillId="5" borderId="20" pivotButton="0" quotePrefix="0" xfId="31"/>
    <xf numFmtId="0" fontId="15" fillId="0" borderId="32" pivotButton="0" quotePrefix="0" xfId="0"/>
    <xf numFmtId="0" fontId="15" fillId="0" borderId="45" pivotButton="0" quotePrefix="0" xfId="0"/>
    <xf numFmtId="0" fontId="80" fillId="0" borderId="0" pivotButton="0" quotePrefix="0" xfId="197"/>
    <xf numFmtId="0" fontId="20" fillId="8" borderId="40" pivotButton="0" quotePrefix="0" xfId="197"/>
    <xf numFmtId="0" fontId="20" fillId="14" borderId="0" pivotButton="0" quotePrefix="0" xfId="197"/>
    <xf numFmtId="0" fontId="84" fillId="14" borderId="0" pivotButton="0" quotePrefix="0" xfId="197"/>
    <xf numFmtId="0" fontId="88" fillId="8" borderId="0" pivotButton="0" quotePrefix="0" xfId="197"/>
    <xf numFmtId="0" fontId="87" fillId="8" borderId="0" pivotButton="0" quotePrefix="0" xfId="197"/>
    <xf numFmtId="164" fontId="30" fillId="2" borderId="15" applyAlignment="1" pivotButton="0" quotePrefix="0" xfId="2">
      <alignment horizontal="left"/>
    </xf>
    <xf numFmtId="165" fontId="55" fillId="0" borderId="0" pivotButton="0" quotePrefix="0" xfId="1"/>
    <xf numFmtId="37" fontId="25" fillId="5" borderId="20" pivotButton="0" quotePrefix="0" xfId="31"/>
    <xf numFmtId="43" fontId="14" fillId="0" borderId="0" pivotButton="0" quotePrefix="0" xfId="31"/>
    <xf numFmtId="0" fontId="25" fillId="5" borderId="0" pivotButton="0" quotePrefix="0" xfId="0"/>
    <xf numFmtId="0" fontId="25" fillId="5" borderId="32" pivotButton="0" quotePrefix="0" xfId="0"/>
    <xf numFmtId="0" fontId="25" fillId="5" borderId="33" pivotButton="0" quotePrefix="0" xfId="0"/>
    <xf numFmtId="0" fontId="25" fillId="5" borderId="35" pivotButton="0" quotePrefix="0" xfId="0"/>
    <xf numFmtId="165" fontId="0" fillId="0" borderId="0" pivotButton="0" quotePrefix="0" xfId="1"/>
    <xf numFmtId="182" fontId="29" fillId="0" borderId="0" applyAlignment="1" applyProtection="1" pivotButton="0" quotePrefix="0" xfId="179">
      <alignment horizontal="left"/>
      <protection locked="0" hidden="0"/>
    </xf>
    <xf numFmtId="14" fontId="29" fillId="0" borderId="0" applyAlignment="1" applyProtection="1" pivotButton="0" quotePrefix="0" xfId="180">
      <alignment horizontal="left"/>
      <protection locked="0" hidden="0"/>
    </xf>
    <xf numFmtId="164" fontId="29" fillId="8" borderId="0" applyProtection="1" pivotButton="0" quotePrefix="0" xfId="2">
      <protection locked="0" hidden="0"/>
    </xf>
    <xf numFmtId="10" fontId="29" fillId="0" borderId="0" applyProtection="1" pivotButton="0" quotePrefix="0" xfId="2">
      <protection locked="0" hidden="0"/>
    </xf>
    <xf numFmtId="167" fontId="26" fillId="8" borderId="0" applyAlignment="1" pivotButton="0" quotePrefix="0" xfId="181">
      <alignment horizontal="left"/>
    </xf>
    <xf numFmtId="37" fontId="92" fillId="6" borderId="0" pivotButton="0" quotePrefix="0" xfId="31"/>
    <xf numFmtId="37" fontId="91" fillId="6" borderId="0" applyAlignment="1" pivotButton="0" quotePrefix="0" xfId="31">
      <alignment horizontal="center"/>
    </xf>
    <xf numFmtId="0" fontId="93" fillId="6" borderId="0" pivotButton="0" quotePrefix="0" xfId="0"/>
    <xf numFmtId="0" fontId="94" fillId="13" borderId="0" pivotButton="0" quotePrefix="0" xfId="0"/>
    <xf numFmtId="37" fontId="94" fillId="13" borderId="0" pivotButton="0" quotePrefix="0" xfId="31"/>
    <xf numFmtId="10" fontId="94" fillId="13" borderId="0" pivotButton="0" quotePrefix="0" xfId="2"/>
    <xf numFmtId="0" fontId="94" fillId="13" borderId="0" applyAlignment="1" pivotButton="0" quotePrefix="0" xfId="0">
      <alignment horizontal="left" indent="1"/>
    </xf>
    <xf numFmtId="37" fontId="94" fillId="0" borderId="0" pivotButton="0" quotePrefix="0" xfId="31"/>
    <xf numFmtId="10" fontId="97" fillId="2" borderId="0" pivotButton="0" quotePrefix="0" xfId="32"/>
    <xf numFmtId="37" fontId="94" fillId="13" borderId="11" pivotButton="0" quotePrefix="0" xfId="31"/>
    <xf numFmtId="0" fontId="95" fillId="13" borderId="11" applyAlignment="1" pivotButton="0" quotePrefix="0" xfId="0">
      <alignment horizontal="left" indent="1"/>
    </xf>
    <xf numFmtId="9" fontId="98" fillId="6" borderId="0" pivotButton="0" quotePrefix="0" xfId="2"/>
    <xf numFmtId="0" fontId="99" fillId="13" borderId="0" pivotButton="0" quotePrefix="0" xfId="0"/>
    <xf numFmtId="9" fontId="99" fillId="13" borderId="0" pivotButton="0" quotePrefix="0" xfId="2"/>
    <xf numFmtId="37" fontId="94" fillId="13" borderId="0" applyAlignment="1" pivotButton="0" quotePrefix="0" xfId="31">
      <alignment horizontal="left" indent="1"/>
    </xf>
    <xf numFmtId="41" fontId="100" fillId="13" borderId="0" pivotButton="0" quotePrefix="0" xfId="0"/>
    <xf numFmtId="164" fontId="100" fillId="13" borderId="0" pivotButton="0" quotePrefix="0" xfId="2"/>
    <xf numFmtId="165" fontId="94" fillId="13" borderId="0" pivotButton="0" quotePrefix="0" xfId="1"/>
    <xf numFmtId="43" fontId="94" fillId="13" borderId="0" pivotButton="0" quotePrefix="0" xfId="1"/>
    <xf numFmtId="37" fontId="95" fillId="13" borderId="1" pivotButton="0" quotePrefix="0" xfId="31"/>
    <xf numFmtId="164" fontId="97" fillId="13" borderId="1" pivotButton="0" quotePrefix="0" xfId="32"/>
    <xf numFmtId="37" fontId="94" fillId="13" borderId="1" pivotButton="0" quotePrefix="0" xfId="31"/>
    <xf numFmtId="0" fontId="95" fillId="13" borderId="11" pivotButton="0" quotePrefix="0" xfId="0"/>
    <xf numFmtId="37" fontId="95" fillId="13" borderId="11" pivotButton="0" quotePrefix="0" xfId="0"/>
    <xf numFmtId="164" fontId="95" fillId="13" borderId="11" pivotButton="0" quotePrefix="0" xfId="2"/>
    <xf numFmtId="165" fontId="94" fillId="13" borderId="11" pivotButton="0" quotePrefix="0" xfId="1"/>
    <xf numFmtId="43" fontId="94" fillId="13" borderId="11" pivotButton="0" quotePrefix="0" xfId="1"/>
    <xf numFmtId="164" fontId="97" fillId="13" borderId="0" pivotButton="0" quotePrefix="0" xfId="32"/>
    <xf numFmtId="10" fontId="100" fillId="13" borderId="0" pivotButton="0" quotePrefix="0" xfId="32"/>
    <xf numFmtId="0" fontId="95" fillId="13" borderId="0" pivotButton="0" quotePrefix="0" xfId="0"/>
    <xf numFmtId="37" fontId="95" fillId="13" borderId="0" pivotButton="0" quotePrefix="0" xfId="0"/>
    <xf numFmtId="9" fontId="101" fillId="13" borderId="0" pivotButton="0" quotePrefix="0" xfId="2"/>
    <xf numFmtId="37" fontId="95" fillId="13" borderId="0" pivotButton="0" quotePrefix="0" xfId="31"/>
    <xf numFmtId="0" fontId="95" fillId="13" borderId="0" applyAlignment="1" pivotButton="0" quotePrefix="0" xfId="0">
      <alignment horizontal="center"/>
    </xf>
    <xf numFmtId="164" fontId="97" fillId="2" borderId="0" pivotButton="0" quotePrefix="0" xfId="32"/>
    <xf numFmtId="0" fontId="94" fillId="13" borderId="1" applyAlignment="1" pivotButton="0" quotePrefix="0" xfId="0">
      <alignment horizontal="left" indent="1"/>
    </xf>
    <xf numFmtId="41" fontId="94" fillId="13" borderId="1" pivotButton="0" quotePrefix="0" xfId="167"/>
    <xf numFmtId="164" fontId="100" fillId="13" borderId="1" pivotButton="0" quotePrefix="0" xfId="2"/>
    <xf numFmtId="41" fontId="94" fillId="13" borderId="1" pivotButton="0" quotePrefix="0" xfId="1"/>
    <xf numFmtId="183" fontId="94" fillId="13" borderId="1" pivotButton="0" quotePrefix="0" xfId="1"/>
    <xf numFmtId="41" fontId="94" fillId="13" borderId="0" pivotButton="0" quotePrefix="0" xfId="167"/>
    <xf numFmtId="41" fontId="94" fillId="13" borderId="0" pivotButton="0" quotePrefix="0" xfId="1"/>
    <xf numFmtId="183" fontId="94" fillId="13" borderId="0" pivotButton="0" quotePrefix="0" xfId="1"/>
    <xf numFmtId="164" fontId="100" fillId="13" borderId="0" pivotButton="0" quotePrefix="0" xfId="32"/>
    <xf numFmtId="41" fontId="95" fillId="13" borderId="11" pivotButton="0" quotePrefix="0" xfId="167"/>
    <xf numFmtId="41" fontId="94" fillId="13" borderId="11" pivotButton="0" quotePrefix="0" xfId="1"/>
    <xf numFmtId="183" fontId="94" fillId="13" borderId="11" pivotButton="0" quotePrefix="0" xfId="1"/>
    <xf numFmtId="37" fontId="95" fillId="13" borderId="4" pivotButton="0" quotePrefix="0" xfId="31"/>
    <xf numFmtId="164" fontId="94" fillId="13" borderId="4" pivotButton="0" quotePrefix="0" xfId="2"/>
    <xf numFmtId="0" fontId="102" fillId="6" borderId="0" pivotButton="0" quotePrefix="0" xfId="0"/>
    <xf numFmtId="37" fontId="102" fillId="6" borderId="0" pivotButton="0" quotePrefix="0" xfId="31"/>
    <xf numFmtId="3" fontId="94" fillId="13" borderId="0" applyAlignment="1" pivotButton="0" quotePrefix="0" xfId="0">
      <alignment horizontal="right" indent="1"/>
    </xf>
    <xf numFmtId="4" fontId="94" fillId="13" borderId="0" applyAlignment="1" pivotButton="0" quotePrefix="0" xfId="0">
      <alignment horizontal="right" indent="1"/>
    </xf>
    <xf numFmtId="3" fontId="95" fillId="13" borderId="11" applyAlignment="1" pivotButton="0" quotePrefix="0" xfId="0">
      <alignment horizontal="right" indent="1"/>
    </xf>
    <xf numFmtId="4" fontId="95" fillId="13" borderId="11" applyAlignment="1" pivotButton="0" quotePrefix="0" xfId="0">
      <alignment horizontal="right" indent="1"/>
    </xf>
    <xf numFmtId="37" fontId="15" fillId="0" borderId="0" pivotButton="0" quotePrefix="0" xfId="0"/>
    <xf numFmtId="37" fontId="94" fillId="13" borderId="0" pivotButton="0" quotePrefix="0" xfId="0"/>
    <xf numFmtId="37" fontId="91" fillId="6" borderId="0" pivotButton="0" quotePrefix="0" xfId="31"/>
    <xf numFmtId="9" fontId="94" fillId="13" borderId="0" pivotButton="0" quotePrefix="0" xfId="2"/>
    <xf numFmtId="39" fontId="94" fillId="13" borderId="0" pivotButton="0" quotePrefix="0" xfId="0"/>
    <xf numFmtId="41" fontId="15" fillId="0" borderId="0" pivotButton="0" quotePrefix="0" xfId="0"/>
    <xf numFmtId="0" fontId="94" fillId="13" borderId="0" applyAlignment="1" pivotButton="0" quotePrefix="0" xfId="0">
      <alignment horizontal="left"/>
    </xf>
    <xf numFmtId="38" fontId="94" fillId="13" borderId="0" applyAlignment="1" pivotButton="0" quotePrefix="0" xfId="0">
      <alignment horizontal="center"/>
    </xf>
    <xf numFmtId="38" fontId="94" fillId="13" borderId="24" applyAlignment="1" pivotButton="0" quotePrefix="0" xfId="0">
      <alignment horizontal="center"/>
    </xf>
    <xf numFmtId="10" fontId="94" fillId="13" borderId="2" applyAlignment="1" pivotButton="0" quotePrefix="0" xfId="2">
      <alignment horizontal="center"/>
    </xf>
    <xf numFmtId="0" fontId="25" fillId="5" borderId="45" pivotButton="0" quotePrefix="0" xfId="0"/>
    <xf numFmtId="0" fontId="25" fillId="5" borderId="40" pivotButton="0" quotePrefix="0" xfId="0"/>
    <xf numFmtId="0" fontId="5" fillId="0" borderId="0" pivotButton="0" quotePrefix="0" xfId="195"/>
    <xf numFmtId="0" fontId="5" fillId="0" borderId="0" pivotButton="0" quotePrefix="0" xfId="0"/>
    <xf numFmtId="10" fontId="37" fillId="0" borderId="0" pivotButton="0" quotePrefix="0" xfId="196"/>
    <xf numFmtId="43" fontId="27" fillId="0" borderId="24" pivotButton="0" quotePrefix="0" xfId="1"/>
    <xf numFmtId="3" fontId="45" fillId="10" borderId="52" pivotButton="0" quotePrefix="0" xfId="195"/>
    <xf numFmtId="9" fontId="29" fillId="0" borderId="0" pivotButton="0" quotePrefix="0" xfId="2"/>
    <xf numFmtId="9" fontId="29" fillId="0" borderId="0" pivotButton="0" quotePrefix="0" xfId="2"/>
    <xf numFmtId="0" fontId="33" fillId="2" borderId="0" pivotButton="0" quotePrefix="0" xfId="0"/>
    <xf numFmtId="0" fontId="26" fillId="12" borderId="2" applyAlignment="1" pivotButton="0" quotePrefix="0" xfId="0">
      <alignment horizontal="center"/>
    </xf>
    <xf numFmtId="0" fontId="25" fillId="12" borderId="2" applyAlignment="1" pivotButton="0" quotePrefix="0" xfId="0">
      <alignment horizontal="center"/>
    </xf>
    <xf numFmtId="184" fontId="45" fillId="0" borderId="0" pivotButton="0" quotePrefix="0" xfId="2"/>
    <xf numFmtId="183" fontId="45" fillId="0" borderId="0" pivotButton="0" quotePrefix="0" xfId="0"/>
    <xf numFmtId="0" fontId="81" fillId="8" borderId="0" pivotButton="0" quotePrefix="0" xfId="0"/>
    <xf numFmtId="0" fontId="20" fillId="8" borderId="0" pivotButton="0" quotePrefix="0" xfId="0"/>
    <xf numFmtId="0" fontId="82" fillId="8" borderId="0" pivotButton="0" quotePrefix="0" xfId="0"/>
    <xf numFmtId="14" fontId="83" fillId="8" borderId="0" applyAlignment="1" pivotButton="0" quotePrefix="0" xfId="0">
      <alignment horizontal="left"/>
    </xf>
    <xf numFmtId="0" fontId="20" fillId="16" borderId="8" pivotButton="0" quotePrefix="0" xfId="0"/>
    <xf numFmtId="0" fontId="20" fillId="16" borderId="1" pivotButton="0" quotePrefix="0" xfId="0"/>
    <xf numFmtId="185" fontId="84" fillId="16" borderId="7" pivotButton="0" quotePrefix="0" xfId="0"/>
    <xf numFmtId="178" fontId="84" fillId="17" borderId="13" applyAlignment="1" pivotButton="0" quotePrefix="0" xfId="0">
      <alignment horizontal="center"/>
    </xf>
    <xf numFmtId="0" fontId="20" fillId="8" borderId="9" pivotButton="0" quotePrefix="0" xfId="0"/>
    <xf numFmtId="0" fontId="20" fillId="8" borderId="0" applyAlignment="1" pivotButton="0" quotePrefix="0" xfId="0">
      <alignment horizontal="center"/>
    </xf>
    <xf numFmtId="14" fontId="20" fillId="8" borderId="0" applyAlignment="1" pivotButton="0" quotePrefix="0" xfId="0">
      <alignment horizontal="center"/>
    </xf>
    <xf numFmtId="186" fontId="20" fillId="8" borderId="0" applyAlignment="1" pivotButton="0" quotePrefix="0" xfId="0">
      <alignment horizontal="center"/>
    </xf>
    <xf numFmtId="0" fontId="84" fillId="18" borderId="10" pivotButton="0" quotePrefix="0" xfId="0"/>
    <xf numFmtId="10" fontId="85" fillId="18" borderId="0" applyAlignment="1" applyProtection="1" pivotButton="0" quotePrefix="0" xfId="0">
      <alignment horizontal="center"/>
      <protection locked="0" hidden="0"/>
    </xf>
    <xf numFmtId="0" fontId="84" fillId="8" borderId="10" pivotButton="0" quotePrefix="0" xfId="0"/>
    <xf numFmtId="10" fontId="86" fillId="8" borderId="0" applyAlignment="1" applyProtection="1" pivotButton="0" quotePrefix="0" xfId="0">
      <alignment horizontal="center"/>
      <protection locked="0" hidden="0"/>
    </xf>
    <xf numFmtId="0" fontId="84" fillId="0" borderId="10" pivotButton="0" quotePrefix="0" xfId="0"/>
    <xf numFmtId="167" fontId="37" fillId="8" borderId="10" applyProtection="1" pivotButton="0" quotePrefix="0" xfId="180">
      <protection locked="0" hidden="0"/>
    </xf>
    <xf numFmtId="43" fontId="29" fillId="8" borderId="0" applyProtection="1" pivotButton="0" quotePrefix="0" xfId="1">
      <protection locked="0" hidden="0"/>
    </xf>
    <xf numFmtId="165" fontId="29" fillId="8" borderId="0" applyProtection="1" pivotButton="0" quotePrefix="0" xfId="1">
      <protection locked="0" hidden="0"/>
    </xf>
    <xf numFmtId="167" fontId="29" fillId="8" borderId="0" applyAlignment="1" applyProtection="1" pivotButton="0" quotePrefix="0" xfId="180">
      <alignment horizontal="right"/>
      <protection locked="0" hidden="0"/>
    </xf>
    <xf numFmtId="167" fontId="61" fillId="8" borderId="0" applyAlignment="1" applyProtection="1" pivotButton="0" quotePrefix="0" xfId="180">
      <alignment horizontal="left"/>
      <protection locked="0" hidden="0"/>
    </xf>
    <xf numFmtId="167" fontId="61" fillId="8" borderId="0" applyAlignment="1" applyProtection="1" pivotButton="0" quotePrefix="0" xfId="181">
      <alignment horizontal="left"/>
      <protection locked="0" hidden="0"/>
    </xf>
    <xf numFmtId="167" fontId="52" fillId="0" borderId="0" applyAlignment="1" applyProtection="1" pivotButton="0" quotePrefix="0" xfId="180">
      <alignment horizontal="left"/>
      <protection locked="0" hidden="0"/>
    </xf>
    <xf numFmtId="167" fontId="62" fillId="10" borderId="0" applyAlignment="1" applyProtection="1" pivotButton="0" quotePrefix="0" xfId="180">
      <alignment horizontal="left"/>
      <protection locked="0" hidden="0"/>
    </xf>
    <xf numFmtId="3" fontId="26" fillId="0" borderId="0" applyAlignment="1" pivotButton="0" quotePrefix="0" xfId="179">
      <alignment horizontal="left"/>
    </xf>
    <xf numFmtId="167" fontId="26" fillId="0" borderId="0" applyAlignment="1" applyProtection="1" pivotButton="0" quotePrefix="0" xfId="181">
      <alignment horizontal="left"/>
      <protection locked="0" hidden="0"/>
    </xf>
    <xf numFmtId="167" fontId="61" fillId="0" borderId="0" applyAlignment="1" applyProtection="1" pivotButton="0" quotePrefix="0" xfId="181">
      <alignment horizontal="left"/>
      <protection locked="0" hidden="0"/>
    </xf>
    <xf numFmtId="167" fontId="26" fillId="8" borderId="0" applyAlignment="1" applyProtection="1" pivotButton="0" quotePrefix="0" xfId="181">
      <alignment horizontal="left" vertical="top"/>
      <protection locked="0" hidden="0"/>
    </xf>
    <xf numFmtId="167" fontId="61" fillId="8" borderId="0" applyAlignment="1" pivotButton="0" quotePrefix="0" xfId="181">
      <alignment horizontal="left"/>
    </xf>
    <xf numFmtId="167" fontId="26" fillId="8" borderId="0" applyAlignment="1" pivotButton="0" quotePrefix="0" xfId="180">
      <alignment horizontal="left"/>
    </xf>
    <xf numFmtId="167" fontId="29" fillId="8" borderId="0" applyAlignment="1" pivotButton="0" quotePrefix="0" xfId="181">
      <alignment horizontal="left"/>
    </xf>
    <xf numFmtId="167" fontId="29" fillId="0" borderId="0" applyAlignment="1" applyProtection="1" pivotButton="0" quotePrefix="0" xfId="181">
      <alignment horizontal="left"/>
      <protection locked="0" hidden="0"/>
    </xf>
    <xf numFmtId="0" fontId="104" fillId="21" borderId="0" applyAlignment="1" pivotButton="0" quotePrefix="0" xfId="0">
      <alignment horizontal="left" wrapText="1" readingOrder="1"/>
    </xf>
    <xf numFmtId="0" fontId="104" fillId="21" borderId="0" applyAlignment="1" pivotButton="0" quotePrefix="0" xfId="0">
      <alignment horizontal="center" wrapText="1" readingOrder="1"/>
    </xf>
    <xf numFmtId="0" fontId="105" fillId="13" borderId="0" applyAlignment="1" pivotButton="0" quotePrefix="0" xfId="0">
      <alignment horizontal="left" indent="1"/>
    </xf>
    <xf numFmtId="3" fontId="105" fillId="13" borderId="0" applyAlignment="1" pivotButton="0" quotePrefix="0" xfId="0">
      <alignment horizontal="right" indent="1"/>
    </xf>
    <xf numFmtId="4" fontId="105" fillId="13" borderId="0" applyAlignment="1" pivotButton="0" quotePrefix="0" xfId="0">
      <alignment horizontal="right" indent="1"/>
    </xf>
    <xf numFmtId="0" fontId="106" fillId="22" borderId="56" applyAlignment="1" pivotButton="0" quotePrefix="0" xfId="0">
      <alignment horizontal="left" wrapText="1" readingOrder="1"/>
    </xf>
    <xf numFmtId="167" fontId="106" fillId="22" borderId="56" applyAlignment="1" pivotButton="0" quotePrefix="0" xfId="0">
      <alignment horizontal="right" wrapText="1" indent="1" readingOrder="1"/>
    </xf>
    <xf numFmtId="166" fontId="106" fillId="22" borderId="56" applyAlignment="1" pivotButton="0" quotePrefix="0" xfId="0">
      <alignment horizontal="right" wrapText="1" indent="1" readingOrder="1"/>
    </xf>
    <xf numFmtId="0" fontId="107" fillId="23" borderId="0" applyAlignment="1" pivotButton="0" quotePrefix="0" xfId="0">
      <alignment horizontal="left" wrapText="1" readingOrder="1"/>
    </xf>
    <xf numFmtId="37" fontId="108" fillId="23" borderId="0" applyAlignment="1" pivotButton="0" quotePrefix="0" xfId="0">
      <alignment horizontal="right" wrapText="1" indent="1" readingOrder="1"/>
    </xf>
    <xf numFmtId="0" fontId="108" fillId="23" borderId="0" applyAlignment="1" pivotButton="0" quotePrefix="0" xfId="0">
      <alignment horizontal="left" wrapText="1" readingOrder="1"/>
    </xf>
    <xf numFmtId="0" fontId="108" fillId="23" borderId="57" applyAlignment="1" pivotButton="0" quotePrefix="0" xfId="0">
      <alignment horizontal="left" wrapText="1" readingOrder="1"/>
    </xf>
    <xf numFmtId="37" fontId="108" fillId="23" borderId="57" applyAlignment="1" pivotButton="0" quotePrefix="0" xfId="0">
      <alignment horizontal="right" wrapText="1" indent="1" readingOrder="1"/>
    </xf>
    <xf numFmtId="0" fontId="107" fillId="23" borderId="58" applyAlignment="1" pivotButton="0" quotePrefix="0" xfId="0">
      <alignment horizontal="left" wrapText="1" readingOrder="1"/>
    </xf>
    <xf numFmtId="37" fontId="107" fillId="23" borderId="58" applyAlignment="1" pivotButton="0" quotePrefix="0" xfId="0">
      <alignment horizontal="right" wrapText="1" indent="1" readingOrder="1"/>
    </xf>
    <xf numFmtId="0" fontId="108" fillId="23" borderId="57" applyAlignment="1" pivotButton="0" quotePrefix="0" xfId="0">
      <alignment horizontal="left" readingOrder="1"/>
    </xf>
    <xf numFmtId="37" fontId="108" fillId="21" borderId="0" applyAlignment="1" pivotButton="0" quotePrefix="0" xfId="0">
      <alignment horizontal="right" wrapText="1" indent="1" readingOrder="1"/>
    </xf>
    <xf numFmtId="0" fontId="109" fillId="23" borderId="58" applyAlignment="1" pivotButton="0" quotePrefix="0" xfId="0">
      <alignment horizontal="left" wrapText="1" readingOrder="1"/>
    </xf>
    <xf numFmtId="37" fontId="108" fillId="23" borderId="58" applyAlignment="1" pivotButton="0" quotePrefix="0" xfId="0">
      <alignment horizontal="right" wrapText="1" indent="1" readingOrder="1"/>
    </xf>
    <xf numFmtId="0" fontId="107" fillId="23" borderId="59" applyAlignment="1" pivotButton="0" quotePrefix="0" xfId="0">
      <alignment horizontal="left" wrapText="1" readingOrder="1"/>
    </xf>
    <xf numFmtId="37" fontId="107" fillId="23" borderId="59" applyAlignment="1" pivotButton="0" quotePrefix="0" xfId="0">
      <alignment horizontal="right" wrapText="1" indent="1" readingOrder="1"/>
    </xf>
    <xf numFmtId="0" fontId="104" fillId="21" borderId="0" applyAlignment="1" pivotButton="0" quotePrefix="0" xfId="0">
      <alignment horizontal="right" wrapText="1" readingOrder="1"/>
    </xf>
    <xf numFmtId="0" fontId="104" fillId="13" borderId="0" applyAlignment="1" pivotButton="0" quotePrefix="0" xfId="0">
      <alignment horizontal="right" wrapText="1" readingOrder="1"/>
    </xf>
    <xf numFmtId="41" fontId="110" fillId="13" borderId="0" pivotButton="0" quotePrefix="0" xfId="0"/>
    <xf numFmtId="164" fontId="110" fillId="13" borderId="0" pivotButton="0" quotePrefix="0" xfId="2"/>
    <xf numFmtId="3" fontId="106" fillId="22" borderId="56" applyAlignment="1" pivotButton="0" quotePrefix="0" xfId="0">
      <alignment horizontal="right" wrapText="1" readingOrder="1"/>
    </xf>
    <xf numFmtId="164" fontId="106" fillId="22" borderId="56" applyAlignment="1" pivotButton="0" quotePrefix="0" xfId="2">
      <alignment horizontal="right" wrapText="1" readingOrder="1"/>
    </xf>
    <xf numFmtId="164" fontId="106" fillId="13" borderId="0" applyAlignment="1" pivotButton="0" quotePrefix="0" xfId="2">
      <alignment horizontal="right" wrapText="1" readingOrder="1"/>
    </xf>
    <xf numFmtId="0" fontId="111" fillId="13" borderId="0" pivotButton="0" quotePrefix="0" xfId="0"/>
    <xf numFmtId="0" fontId="111" fillId="13" borderId="0" applyAlignment="1" pivotButton="0" quotePrefix="0" xfId="0">
      <alignment horizontal="center"/>
    </xf>
    <xf numFmtId="9" fontId="111" fillId="13" borderId="0" applyAlignment="1" pivotButton="0" quotePrefix="0" xfId="2">
      <alignment horizontal="center"/>
    </xf>
    <xf numFmtId="10" fontId="106" fillId="22" borderId="56" applyAlignment="1" pivotButton="0" quotePrefix="0" xfId="0">
      <alignment horizontal="right" wrapText="1" readingOrder="1"/>
    </xf>
    <xf numFmtId="10" fontId="106" fillId="13" borderId="0" applyAlignment="1" pivotButton="0" quotePrefix="0" xfId="0">
      <alignment horizontal="right" wrapText="1" readingOrder="1"/>
    </xf>
    <xf numFmtId="10" fontId="29" fillId="5" borderId="55" pivotButton="0" quotePrefix="0" xfId="2"/>
    <xf numFmtId="0" fontId="15" fillId="13" borderId="0" pivotButton="0" quotePrefix="0" xfId="0"/>
    <xf numFmtId="10" fontId="29" fillId="13" borderId="0" pivotButton="0" quotePrefix="0" xfId="2"/>
    <xf numFmtId="165" fontId="29" fillId="20" borderId="6" pivotButton="0" quotePrefix="0" xfId="0"/>
    <xf numFmtId="0" fontId="0" fillId="0" borderId="13" pivotButton="0" quotePrefix="0" xfId="0"/>
    <xf numFmtId="14" fontId="0" fillId="0" borderId="0" pivotButton="0" quotePrefix="0" xfId="0"/>
    <xf numFmtId="164" fontId="67" fillId="3" borderId="0" pivotButton="0" quotePrefix="0" xfId="2"/>
    <xf numFmtId="167" fontId="30" fillId="0" borderId="0" applyProtection="1" pivotButton="0" quotePrefix="0" xfId="180">
      <protection locked="0" hidden="0"/>
    </xf>
    <xf numFmtId="10" fontId="29" fillId="0" borderId="0" applyProtection="1" pivotButton="0" quotePrefix="0" xfId="2">
      <protection locked="0" hidden="0"/>
    </xf>
    <xf numFmtId="3" fontId="29" fillId="0" borderId="0" applyProtection="1" pivotButton="0" quotePrefix="1" xfId="179">
      <protection locked="0" hidden="0"/>
    </xf>
    <xf numFmtId="9" fontId="41" fillId="8" borderId="0" applyProtection="1" pivotButton="0" quotePrefix="0" xfId="2">
      <protection locked="0" hidden="0"/>
    </xf>
    <xf numFmtId="4" fontId="29" fillId="8" borderId="0" applyProtection="1" pivotButton="0" quotePrefix="0" xfId="179">
      <protection locked="0" hidden="0"/>
    </xf>
    <xf numFmtId="166" fontId="29" fillId="8" borderId="0" applyProtection="1" pivotButton="0" quotePrefix="0" xfId="180">
      <protection locked="0" hidden="0"/>
    </xf>
    <xf numFmtId="187" fontId="29" fillId="8" borderId="0" applyProtection="1" pivotButton="0" quotePrefix="0" xfId="180">
      <protection locked="0" hidden="0"/>
    </xf>
    <xf numFmtId="164" fontId="28" fillId="0" borderId="0" pivotButton="0" quotePrefix="0" xfId="32"/>
    <xf numFmtId="164" fontId="29" fillId="0" borderId="0" pivotButton="0" quotePrefix="0" xfId="32"/>
    <xf numFmtId="37" fontId="28" fillId="0" borderId="0" pivotButton="0" quotePrefix="0" xfId="31"/>
    <xf numFmtId="3" fontId="29" fillId="0" borderId="0" applyAlignment="1" pivotButton="0" quotePrefix="0" xfId="179">
      <alignment horizontal="left"/>
    </xf>
    <xf numFmtId="167" fontId="29" fillId="0" borderId="0" pivotButton="0" quotePrefix="0" xfId="180"/>
    <xf numFmtId="0" fontId="29" fillId="0" borderId="0" pivotButton="0" quotePrefix="0" xfId="180"/>
    <xf numFmtId="3" fontId="29" fillId="0" borderId="0" pivotButton="0" quotePrefix="0" xfId="179"/>
    <xf numFmtId="167" fontId="29" fillId="0" borderId="0" pivotButton="0" quotePrefix="0" xfId="179"/>
    <xf numFmtId="0" fontId="29" fillId="0" borderId="0" pivotButton="0" quotePrefix="0" xfId="182"/>
    <xf numFmtId="9" fontId="29" fillId="8" borderId="0" applyProtection="1" pivotButton="0" quotePrefix="0" xfId="2">
      <protection locked="0" hidden="0"/>
    </xf>
    <xf numFmtId="0" fontId="14" fillId="0" borderId="25" pivotButton="0" quotePrefix="0" xfId="31"/>
    <xf numFmtId="165" fontId="29" fillId="0" borderId="25" applyAlignment="1" pivotButton="0" quotePrefix="0" xfId="1">
      <alignment horizontal="right"/>
    </xf>
    <xf numFmtId="0" fontId="29" fillId="0" borderId="25" applyAlignment="1" pivotButton="0" quotePrefix="0" xfId="31">
      <alignment horizontal="right"/>
    </xf>
    <xf numFmtId="188" fontId="31" fillId="0" borderId="14" applyAlignment="1" pivotButton="0" quotePrefix="1" xfId="0">
      <alignment horizontal="center"/>
    </xf>
    <xf numFmtId="188" fontId="31" fillId="0" borderId="14" applyAlignment="1" pivotButton="0" quotePrefix="0" xfId="0">
      <alignment horizontal="center"/>
    </xf>
    <xf numFmtId="188" fontId="29" fillId="0" borderId="15" pivotButton="0" quotePrefix="0" xfId="1"/>
    <xf numFmtId="188" fontId="29" fillId="0" borderId="15" pivotButton="0" quotePrefix="0" xfId="0"/>
    <xf numFmtId="188" fontId="30" fillId="0" borderId="16" pivotButton="0" quotePrefix="0" xfId="0"/>
    <xf numFmtId="188" fontId="25" fillId="0" borderId="14" pivotButton="0" quotePrefix="0" xfId="1"/>
    <xf numFmtId="188" fontId="25" fillId="0" borderId="11" pivotButton="0" quotePrefix="0" xfId="1"/>
    <xf numFmtId="188" fontId="25" fillId="0" borderId="0" pivotButton="0" quotePrefix="0" xfId="1"/>
    <xf numFmtId="188" fontId="30" fillId="2" borderId="14" pivotButton="0" quotePrefix="0" xfId="1"/>
    <xf numFmtId="188" fontId="30" fillId="2" borderId="15" pivotButton="0" quotePrefix="0" xfId="1"/>
    <xf numFmtId="188" fontId="30" fillId="2" borderId="22" pivotButton="0" quotePrefix="0" xfId="1"/>
    <xf numFmtId="188" fontId="26" fillId="0" borderId="18" pivotButton="0" quotePrefix="0" xfId="1"/>
    <xf numFmtId="188" fontId="25" fillId="0" borderId="18" pivotButton="0" quotePrefix="0" xfId="0"/>
    <xf numFmtId="188" fontId="29" fillId="2" borderId="15" pivotButton="0" quotePrefix="0" xfId="1"/>
    <xf numFmtId="188" fontId="30" fillId="2" borderId="16" pivotButton="0" quotePrefix="0" xfId="1"/>
    <xf numFmtId="188" fontId="25" fillId="0" borderId="0" pivotButton="0" quotePrefix="0" xfId="0"/>
    <xf numFmtId="188" fontId="25" fillId="0" borderId="11" pivotButton="0" quotePrefix="0" xfId="0"/>
    <xf numFmtId="188" fontId="30" fillId="0" borderId="14" pivotButton="0" quotePrefix="0" xfId="1"/>
    <xf numFmtId="188" fontId="30" fillId="0" borderId="15" pivotButton="0" quotePrefix="0" xfId="1"/>
    <xf numFmtId="188" fontId="26" fillId="0" borderId="18" pivotButton="0" quotePrefix="0" xfId="0"/>
    <xf numFmtId="188" fontId="32" fillId="2" borderId="16" pivotButton="0" quotePrefix="0" xfId="1"/>
    <xf numFmtId="188" fontId="29" fillId="0" borderId="16" pivotButton="0" quotePrefix="0" xfId="0"/>
    <xf numFmtId="188" fontId="32" fillId="2" borderId="15" pivotButton="0" quotePrefix="0" xfId="1"/>
    <xf numFmtId="43" fontId="26" fillId="0" borderId="0" applyAlignment="1" pivotButton="0" quotePrefix="0" xfId="0">
      <alignment horizontal="center"/>
    </xf>
    <xf numFmtId="0" fontId="25" fillId="0" borderId="13" applyAlignment="1" pivotButton="0" quotePrefix="0" xfId="0">
      <alignment horizontal="center"/>
    </xf>
    <xf numFmtId="0" fontId="29" fillId="0" borderId="13" pivotButton="0" quotePrefix="0" xfId="0"/>
    <xf numFmtId="3" fontId="29" fillId="0" borderId="13" applyProtection="1" pivotButton="0" quotePrefix="0" xfId="179">
      <protection locked="0" hidden="0"/>
    </xf>
    <xf numFmtId="167" fontId="29" fillId="0" borderId="13" applyProtection="1" pivotButton="0" quotePrefix="0" xfId="180">
      <protection locked="0" hidden="0"/>
    </xf>
    <xf numFmtId="41" fontId="29" fillId="8" borderId="13" applyAlignment="1" applyProtection="1" pivotButton="0" quotePrefix="0" xfId="179">
      <alignment vertical="top"/>
      <protection locked="0" hidden="0"/>
    </xf>
    <xf numFmtId="167" fontId="64" fillId="3" borderId="13" applyProtection="1" pivotButton="0" quotePrefix="0" xfId="180">
      <protection locked="0" hidden="0"/>
    </xf>
    <xf numFmtId="9" fontId="41" fillId="8" borderId="13" applyProtection="1" pivotButton="0" quotePrefix="0" xfId="2">
      <protection locked="0" hidden="0"/>
    </xf>
    <xf numFmtId="3" fontId="29" fillId="8" borderId="13" applyProtection="1" pivotButton="0" quotePrefix="0" xfId="179">
      <protection locked="0" hidden="0"/>
    </xf>
    <xf numFmtId="167" fontId="29" fillId="8" borderId="13" applyProtection="1" pivotButton="0" quotePrefix="0" xfId="180">
      <protection locked="0" hidden="0"/>
    </xf>
    <xf numFmtId="167" fontId="26" fillId="0" borderId="13" applyAlignment="1" pivotButton="0" quotePrefix="0" xfId="181">
      <alignment horizontal="center"/>
    </xf>
    <xf numFmtId="17" fontId="26" fillId="0" borderId="13" applyAlignment="1" pivotButton="0" quotePrefix="0" xfId="0">
      <alignment horizontal="center"/>
    </xf>
    <xf numFmtId="17" fontId="25" fillId="0" borderId="13" applyAlignment="1" pivotButton="0" quotePrefix="0" xfId="0">
      <alignment horizontal="center"/>
    </xf>
    <xf numFmtId="41" fontId="32" fillId="0" borderId="13" pivotButton="0" quotePrefix="0" xfId="0"/>
    <xf numFmtId="41" fontId="29" fillId="0" borderId="13" pivotButton="0" quotePrefix="0" xfId="0"/>
    <xf numFmtId="41" fontId="45" fillId="0" borderId="13" pivotButton="0" quotePrefix="0" xfId="0"/>
    <xf numFmtId="10" fontId="94" fillId="13" borderId="13" applyAlignment="1" pivotButton="0" quotePrefix="0" xfId="2">
      <alignment horizontal="left"/>
    </xf>
    <xf numFmtId="10" fontId="94" fillId="13" borderId="13" applyAlignment="1" pivotButton="0" quotePrefix="0" xfId="2">
      <alignment horizontal="center"/>
    </xf>
    <xf numFmtId="0" fontId="95" fillId="13" borderId="13" pivotButton="0" quotePrefix="0" xfId="0"/>
    <xf numFmtId="0" fontId="96" fillId="13" borderId="13" applyAlignment="1" pivotButton="0" quotePrefix="0" xfId="1">
      <alignment horizontal="center"/>
    </xf>
    <xf numFmtId="0" fontId="95" fillId="13" borderId="13" applyAlignment="1" pivotButton="0" quotePrefix="0" xfId="0">
      <alignment horizontal="center"/>
    </xf>
    <xf numFmtId="9" fontId="95" fillId="13" borderId="13" applyAlignment="1" pivotButton="0" quotePrefix="0" xfId="2">
      <alignment horizontal="center"/>
    </xf>
    <xf numFmtId="41" fontId="94" fillId="13" borderId="13" pivotButton="0" quotePrefix="0" xfId="0"/>
    <xf numFmtId="165" fontId="94" fillId="13" borderId="13" pivotButton="0" quotePrefix="0" xfId="1"/>
    <xf numFmtId="43" fontId="94" fillId="13" borderId="13" pivotButton="0" quotePrefix="0" xfId="1"/>
    <xf numFmtId="41" fontId="100" fillId="13" borderId="13" pivotButton="0" quotePrefix="0" xfId="0"/>
    <xf numFmtId="41" fontId="94" fillId="13" borderId="13" pivotButton="0" quotePrefix="0" xfId="1"/>
    <xf numFmtId="43" fontId="94" fillId="13" borderId="13" pivotButton="0" quotePrefix="0" xfId="0"/>
    <xf numFmtId="37" fontId="94" fillId="5" borderId="13" pivotButton="0" quotePrefix="0" xfId="0"/>
    <xf numFmtId="37" fontId="94" fillId="13" borderId="13" pivotButton="0" quotePrefix="0" xfId="0"/>
    <xf numFmtId="0" fontId="94" fillId="13" borderId="13" pivotButton="0" quotePrefix="0" xfId="0"/>
    <xf numFmtId="0" fontId="20" fillId="14" borderId="13" pivotButton="0" quotePrefix="0" xfId="197"/>
    <xf numFmtId="0" fontId="2" fillId="0" borderId="0" pivotButton="0" quotePrefix="0" xfId="0"/>
    <xf numFmtId="0" fontId="2" fillId="0" borderId="19" pivotButton="0" quotePrefix="0" xfId="0"/>
    <xf numFmtId="0" fontId="2" fillId="0" borderId="20" pivotButton="0" quotePrefix="0" xfId="0"/>
    <xf numFmtId="10" fontId="2" fillId="0" borderId="25" pivotButton="0" quotePrefix="0" xfId="2"/>
    <xf numFmtId="10" fontId="2" fillId="0" borderId="0" pivotButton="0" quotePrefix="0" xfId="0"/>
    <xf numFmtId="9" fontId="2" fillId="0" borderId="20" pivotButton="0" quotePrefix="0" xfId="2"/>
    <xf numFmtId="0" fontId="2" fillId="0" borderId="21" pivotButton="0" quotePrefix="0" xfId="0"/>
    <xf numFmtId="171" fontId="2" fillId="0" borderId="2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165" fontId="2" fillId="0" borderId="19" pivotButton="0" quotePrefix="0" xfId="1"/>
    <xf numFmtId="165" fontId="2" fillId="0" borderId="20" pivotButton="0" quotePrefix="0" xfId="1"/>
    <xf numFmtId="165" fontId="2" fillId="0" borderId="21" pivotButton="0" quotePrefix="0" xfId="1"/>
    <xf numFmtId="43" fontId="2" fillId="0" borderId="0" pivotButton="0" quotePrefix="0" xfId="0"/>
    <xf numFmtId="175" fontId="2" fillId="0" borderId="0" pivotButton="0" quotePrefix="0" xfId="167"/>
    <xf numFmtId="165" fontId="2" fillId="0" borderId="0" pivotButton="0" quotePrefix="0" xfId="1"/>
    <xf numFmtId="164" fontId="2" fillId="0" borderId="0" pivotButton="0" quotePrefix="0" xfId="2"/>
    <xf numFmtId="165" fontId="2" fillId="0" borderId="0" pivotButton="0" quotePrefix="0" xfId="1"/>
    <xf numFmtId="164" fontId="2" fillId="0" borderId="0" pivotButton="0" quotePrefix="0" xfId="2"/>
    <xf numFmtId="167" fontId="2" fillId="0" borderId="0" pivotButton="0" quotePrefix="0" xfId="0"/>
    <xf numFmtId="0" fontId="2" fillId="0" borderId="14" applyAlignment="1" pivotButton="0" quotePrefix="0" xfId="0">
      <alignment horizontal="left" indent="1"/>
    </xf>
    <xf numFmtId="0" fontId="2" fillId="0" borderId="14" pivotButton="0" quotePrefix="0" xfId="0"/>
    <xf numFmtId="165" fontId="2" fillId="0" borderId="0" pivotButton="0" quotePrefix="0" xfId="1"/>
    <xf numFmtId="41" fontId="2" fillId="0" borderId="14" pivotButton="0" quotePrefix="0" xfId="0"/>
    <xf numFmtId="0" fontId="2" fillId="0" borderId="15" applyAlignment="1" pivotButton="0" quotePrefix="0" xfId="0">
      <alignment horizontal="left" indent="1"/>
    </xf>
    <xf numFmtId="0" fontId="2" fillId="0" borderId="15" pivotButton="0" quotePrefix="0" xfId="0"/>
    <xf numFmtId="41" fontId="2" fillId="0" borderId="15" pivotButton="0" quotePrefix="0" xfId="0"/>
    <xf numFmtId="0" fontId="2" fillId="0" borderId="16" pivotButton="0" quotePrefix="0" xfId="0"/>
    <xf numFmtId="41" fontId="2" fillId="0" borderId="16" pivotButton="0" quotePrefix="0" xfId="0"/>
    <xf numFmtId="165" fontId="2" fillId="0" borderId="0" pivotButton="0" quotePrefix="0" xfId="0"/>
    <xf numFmtId="189" fontId="2" fillId="0" borderId="0" pivotButton="0" quotePrefix="0" xfId="0"/>
    <xf numFmtId="0" fontId="2" fillId="0" borderId="8" pivotButton="0" quotePrefix="0" xfId="0"/>
    <xf numFmtId="0" fontId="2" fillId="0" borderId="7" pivotButton="0" quotePrefix="0" xfId="0"/>
    <xf numFmtId="189" fontId="2" fillId="0" borderId="0" pivotButton="0" quotePrefix="0" xfId="167"/>
    <xf numFmtId="165" fontId="2" fillId="0" borderId="12" pivotButton="0" quotePrefix="0" xfId="0"/>
    <xf numFmtId="175" fontId="2" fillId="0" borderId="0" pivotButton="0" quotePrefix="0" xfId="167"/>
    <xf numFmtId="175" fontId="2" fillId="0" borderId="0" pivotButton="0" quotePrefix="0" xfId="0"/>
    <xf numFmtId="9" fontId="2" fillId="0" borderId="0" pivotButton="0" quotePrefix="0" xfId="2"/>
    <xf numFmtId="0" fontId="2" fillId="2" borderId="7" pivotButton="0" quotePrefix="0" xfId="0"/>
    <xf numFmtId="0" fontId="2" fillId="0" borderId="0" applyAlignment="1" pivotButton="0" quotePrefix="0" xfId="0">
      <alignment horizontal="left" indent="1"/>
    </xf>
    <xf numFmtId="0" fontId="2" fillId="0" borderId="26" pivotButton="0" quotePrefix="0" xfId="0"/>
    <xf numFmtId="0" fontId="2" fillId="0" borderId="0" applyAlignment="1" pivotButton="0" quotePrefix="0" xfId="0">
      <alignment horizontal="right"/>
    </xf>
    <xf numFmtId="3" fontId="2" fillId="0" borderId="0" pivotButton="0" quotePrefix="0" xfId="0"/>
    <xf numFmtId="176" fontId="2" fillId="0" borderId="0" pivotButton="0" quotePrefix="0" xfId="0"/>
    <xf numFmtId="10" fontId="2" fillId="5" borderId="34" pivotButton="0" quotePrefix="0" xfId="0"/>
    <xf numFmtId="41" fontId="2" fillId="0" borderId="0" pivotButton="0" quotePrefix="0" xfId="0"/>
    <xf numFmtId="10" fontId="2" fillId="5" borderId="36" pivotButton="0" quotePrefix="0" xfId="0"/>
    <xf numFmtId="10" fontId="2" fillId="5" borderId="46" pivotButton="0" quotePrefix="0" xfId="0"/>
    <xf numFmtId="43" fontId="2" fillId="0" borderId="0" applyAlignment="1" pivotButton="0" quotePrefix="0" xfId="0">
      <alignment horizontal="center"/>
    </xf>
    <xf numFmtId="165" fontId="2" fillId="0" borderId="14" pivotButton="0" quotePrefix="0" xfId="1"/>
    <xf numFmtId="43" fontId="2" fillId="0" borderId="14" pivotButton="0" quotePrefix="0" xfId="1"/>
    <xf numFmtId="165" fontId="2" fillId="0" borderId="15" pivotButton="0" quotePrefix="0" xfId="1"/>
    <xf numFmtId="43" fontId="2" fillId="0" borderId="15" pivotButton="0" quotePrefix="0" xfId="1"/>
    <xf numFmtId="165" fontId="2" fillId="0" borderId="16" pivotButton="0" quotePrefix="0" xfId="1"/>
    <xf numFmtId="0" fontId="2" fillId="0" borderId="16" applyAlignment="1" pivotButton="0" quotePrefix="0" xfId="0">
      <alignment horizontal="left" indent="1"/>
    </xf>
    <xf numFmtId="43" fontId="2" fillId="0" borderId="16" pivotButton="0" quotePrefix="0" xfId="1"/>
    <xf numFmtId="165" fontId="2" fillId="0" borderId="11" pivotButton="0" quotePrefix="0" xfId="1"/>
    <xf numFmtId="43" fontId="2" fillId="0" borderId="11" pivotButton="0" quotePrefix="0" xfId="1"/>
    <xf numFmtId="41" fontId="2" fillId="0" borderId="31" pivotButton="0" quotePrefix="0" xfId="0"/>
    <xf numFmtId="165" fontId="2" fillId="0" borderId="31" pivotButton="0" quotePrefix="0" xfId="1"/>
    <xf numFmtId="43" fontId="2" fillId="0" borderId="31" pivotButton="0" quotePrefix="0" xfId="1"/>
    <xf numFmtId="43" fontId="2" fillId="0" borderId="0" pivotButton="0" quotePrefix="0" xfId="1"/>
    <xf numFmtId="164" fontId="2" fillId="0" borderId="0" pivotButton="0" quotePrefix="0" xfId="0"/>
    <xf numFmtId="41" fontId="2" fillId="0" borderId="14" pivotButton="0" quotePrefix="0" xfId="167"/>
    <xf numFmtId="41" fontId="2" fillId="0" borderId="14" pivotButton="0" quotePrefix="0" xfId="1"/>
    <xf numFmtId="183" fontId="2" fillId="0" borderId="14" pivotButton="0" quotePrefix="0" xfId="1"/>
    <xf numFmtId="41" fontId="2" fillId="0" borderId="15" pivotButton="0" quotePrefix="0" xfId="167"/>
    <xf numFmtId="41" fontId="2" fillId="0" borderId="15" pivotButton="0" quotePrefix="0" xfId="1"/>
    <xf numFmtId="183" fontId="2" fillId="0" borderId="15" pivotButton="0" quotePrefix="0" xfId="1"/>
    <xf numFmtId="41" fontId="2" fillId="0" borderId="11" pivotButton="0" quotePrefix="0" xfId="1"/>
    <xf numFmtId="183" fontId="2" fillId="0" borderId="11" pivotButton="0" quotePrefix="0" xfId="1"/>
    <xf numFmtId="41" fontId="2" fillId="0" borderId="31" pivotButton="0" quotePrefix="0" xfId="1"/>
    <xf numFmtId="43" fontId="2" fillId="0" borderId="31" pivotButton="0" quotePrefix="0" xfId="0"/>
    <xf numFmtId="41" fontId="2" fillId="0" borderId="0" pivotButton="0" quotePrefix="0" xfId="1"/>
    <xf numFmtId="2" fontId="2" fillId="0" borderId="0" pivotButton="0" quotePrefix="0" xfId="1"/>
    <xf numFmtId="0" fontId="2" fillId="0" borderId="0" pivotButton="0" quotePrefix="0" xfId="1"/>
    <xf numFmtId="43" fontId="2" fillId="0" borderId="0" applyAlignment="1" pivotButton="0" quotePrefix="0" xfId="1">
      <alignment horizontal="right"/>
    </xf>
    <xf numFmtId="43" fontId="2" fillId="0" borderId="0" applyAlignment="1" pivotButton="0" quotePrefix="0" xfId="1">
      <alignment horizontal="left"/>
    </xf>
    <xf numFmtId="0" fontId="2" fillId="0" borderId="0" applyAlignment="1" pivotButton="0" quotePrefix="1" xfId="0">
      <alignment horizontal="center"/>
    </xf>
    <xf numFmtId="188" fontId="2" fillId="0" borderId="15" pivotButton="0" quotePrefix="0" xfId="1"/>
    <xf numFmtId="188" fontId="2" fillId="0" borderId="15" pivotButton="0" quotePrefix="0" xfId="0"/>
    <xf numFmtId="164" fontId="2" fillId="0" borderId="15" pivotButton="0" quotePrefix="0" xfId="2"/>
    <xf numFmtId="165" fontId="2" fillId="0" borderId="15" pivotButton="0" quotePrefix="0" xfId="0"/>
    <xf numFmtId="165" fontId="2" fillId="0" borderId="14" pivotButton="0" quotePrefix="0" xfId="1"/>
    <xf numFmtId="165" fontId="2" fillId="0" borderId="15" pivotButton="0" quotePrefix="0" xfId="1"/>
    <xf numFmtId="43" fontId="2" fillId="0" borderId="0" applyAlignment="1" pivotButton="0" quotePrefix="0" xfId="1">
      <alignment horizontal="right"/>
    </xf>
    <xf numFmtId="165" fontId="2" fillId="0" borderId="16" pivotButton="0" quotePrefix="0" xfId="1"/>
    <xf numFmtId="43" fontId="2" fillId="2" borderId="0" applyAlignment="1" pivotButton="0" quotePrefix="0" xfId="1">
      <alignment horizontal="right"/>
    </xf>
    <xf numFmtId="188" fontId="2" fillId="0" borderId="16" pivotButton="0" quotePrefix="0" xfId="1"/>
    <xf numFmtId="164" fontId="2" fillId="0" borderId="16" pivotButton="0" quotePrefix="0" xfId="2"/>
    <xf numFmtId="188" fontId="2" fillId="0" borderId="16" pivotButton="0" quotePrefix="0" xfId="0"/>
    <xf numFmtId="165" fontId="2" fillId="0" borderId="16" pivotButton="0" quotePrefix="0" xfId="0"/>
    <xf numFmtId="9" fontId="2" fillId="0" borderId="0" applyAlignment="1" pivotButton="0" quotePrefix="0" xfId="2">
      <alignment horizontal="center"/>
    </xf>
    <xf numFmtId="165" fontId="2" fillId="0" borderId="11" pivotButton="0" quotePrefix="0" xfId="1"/>
    <xf numFmtId="9" fontId="2" fillId="0" borderId="0" applyAlignment="1" pivotButton="0" quotePrefix="0" xfId="2">
      <alignment horizontal="center"/>
    </xf>
    <xf numFmtId="9" fontId="2" fillId="0" borderId="19" applyAlignment="1" pivotButton="0" quotePrefix="0" xfId="2">
      <alignment horizontal="center"/>
    </xf>
    <xf numFmtId="41" fontId="2" fillId="0" borderId="19" pivotButton="0" quotePrefix="0" xfId="0"/>
    <xf numFmtId="9" fontId="2" fillId="0" borderId="20" applyAlignment="1" pivotButton="0" quotePrefix="0" xfId="2">
      <alignment horizontal="center"/>
    </xf>
    <xf numFmtId="41" fontId="2" fillId="0" borderId="20" pivotButton="0" quotePrefix="0" xfId="0"/>
    <xf numFmtId="188" fontId="2" fillId="0" borderId="0" pivotButton="0" quotePrefix="0" xfId="0"/>
    <xf numFmtId="188" fontId="2" fillId="0" borderId="0" applyAlignment="1" pivotButton="0" quotePrefix="0" xfId="0">
      <alignment horizontal="center"/>
    </xf>
    <xf numFmtId="0" fontId="2" fillId="2" borderId="21" pivotButton="0" quotePrefix="0" xfId="0"/>
    <xf numFmtId="9" fontId="2" fillId="0" borderId="21" applyAlignment="1" pivotButton="0" quotePrefix="0" xfId="2">
      <alignment horizontal="center"/>
    </xf>
    <xf numFmtId="41" fontId="2" fillId="0" borderId="21" pivotButton="0" quotePrefix="0" xfId="0"/>
    <xf numFmtId="188" fontId="2" fillId="0" borderId="0" applyAlignment="1" pivotButton="0" quotePrefix="1" xfId="0">
      <alignment horizontal="center"/>
    </xf>
    <xf numFmtId="41" fontId="2" fillId="0" borderId="11" pivotButton="0" quotePrefix="0" xfId="0"/>
    <xf numFmtId="188" fontId="2" fillId="0" borderId="14" pivotButton="0" quotePrefix="0" xfId="0"/>
    <xf numFmtId="164" fontId="2" fillId="0" borderId="14" pivotButton="0" quotePrefix="0" xfId="2"/>
    <xf numFmtId="165" fontId="2" fillId="0" borderId="14" pivotButton="0" quotePrefix="0" xfId="0"/>
    <xf numFmtId="0" fontId="2" fillId="0" borderId="13" applyAlignment="1" pivotButton="0" quotePrefix="0" xfId="0">
      <alignment horizontal="right"/>
    </xf>
    <xf numFmtId="0" fontId="2" fillId="0" borderId="13" applyAlignment="1" pivotButton="0" quotePrefix="0" xfId="0">
      <alignment horizontal="center"/>
    </xf>
    <xf numFmtId="166" fontId="2" fillId="0" borderId="13" applyAlignment="1" pivotButton="0" quotePrefix="0" xfId="0">
      <alignment horizontal="center"/>
    </xf>
    <xf numFmtId="0" fontId="2" fillId="0" borderId="13" pivotButton="0" quotePrefix="0" xfId="0"/>
    <xf numFmtId="3" fontId="2" fillId="0" borderId="0" applyAlignment="1" pivotButton="0" quotePrefix="0" xfId="0">
      <alignment horizontal="center"/>
    </xf>
    <xf numFmtId="188" fontId="2" fillId="0" borderId="22" pivotButton="0" quotePrefix="0" xfId="0"/>
    <xf numFmtId="164" fontId="2" fillId="0" borderId="22" pivotButton="0" quotePrefix="0" xfId="2"/>
    <xf numFmtId="165" fontId="2" fillId="0" borderId="22" pivotButton="0" quotePrefix="0" xfId="0"/>
    <xf numFmtId="188" fontId="2" fillId="0" borderId="0" pivotButton="0" quotePrefix="0" xfId="1"/>
    <xf numFmtId="166" fontId="2" fillId="0" borderId="0" pivotButton="0" quotePrefix="0" xfId="0"/>
    <xf numFmtId="3" fontId="2" fillId="0" borderId="1" applyAlignment="1" pivotButton="0" quotePrefix="0" xfId="0">
      <alignment horizontal="center"/>
    </xf>
    <xf numFmtId="165" fontId="2" fillId="13" borderId="0" pivotButton="0" quotePrefix="0" xfId="0"/>
    <xf numFmtId="9" fontId="2" fillId="0" borderId="0" pivotButton="0" quotePrefix="0" xfId="1"/>
    <xf numFmtId="9" fontId="2" fillId="0" borderId="0" pivotButton="0" quotePrefix="0" xfId="0"/>
    <xf numFmtId="165" fontId="2" fillId="0" borderId="0" applyAlignment="1" pivotButton="0" quotePrefix="0" xfId="1">
      <alignment horizontal="left"/>
    </xf>
    <xf numFmtId="0" fontId="2" fillId="0" borderId="1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61" pivotButton="0" quotePrefix="0" xfId="0"/>
    <xf numFmtId="43" fontId="2" fillId="0" borderId="14" pivotButton="0" quotePrefix="0" xfId="1"/>
    <xf numFmtId="43" fontId="2" fillId="0" borderId="15" pivotButton="0" quotePrefix="0" xfId="1"/>
    <xf numFmtId="43" fontId="2" fillId="0" borderId="0" pivotButton="0" quotePrefix="0" xfId="1"/>
    <xf numFmtId="43" fontId="2" fillId="0" borderId="16" pivotButton="0" quotePrefix="0" xfId="1"/>
    <xf numFmtId="165" fontId="2" fillId="0" borderId="4" pivotButton="0" quotePrefix="0" xfId="1"/>
    <xf numFmtId="43" fontId="2" fillId="0" borderId="4" pivotButton="0" quotePrefix="0" xfId="1"/>
    <xf numFmtId="165" fontId="2" fillId="0" borderId="1" pivotButton="0" quotePrefix="0" xfId="0"/>
    <xf numFmtId="43" fontId="2" fillId="0" borderId="1" pivotButton="0" quotePrefix="0" xfId="0"/>
    <xf numFmtId="165" fontId="2" fillId="0" borderId="13" pivotButton="0" quotePrefix="0" xfId="0"/>
    <xf numFmtId="43" fontId="2" fillId="0" borderId="13" pivotButton="0" quotePrefix="0" xfId="0"/>
    <xf numFmtId="167" fontId="29" fillId="8" borderId="61" applyProtection="1" pivotButton="0" quotePrefix="0" xfId="180">
      <protection locked="0" hidden="0"/>
    </xf>
    <xf numFmtId="3" fontId="29" fillId="8" borderId="60" applyProtection="1" pivotButton="0" quotePrefix="0" xfId="179">
      <protection locked="0" hidden="0"/>
    </xf>
    <xf numFmtId="3" fontId="29" fillId="8" borderId="61" applyProtection="1" pivotButton="0" quotePrefix="0" xfId="179">
      <protection locked="0" hidden="0"/>
    </xf>
    <xf numFmtId="167" fontId="29" fillId="8" borderId="60" applyProtection="1" pivotButton="0" quotePrefix="0" xfId="180">
      <protection locked="0" hidden="0"/>
    </xf>
    <xf numFmtId="43" fontId="2" fillId="0" borderId="19" pivotButton="0" quotePrefix="0" xfId="33"/>
    <xf numFmtId="9" fontId="2" fillId="0" borderId="19" pivotButton="0" quotePrefix="0" xfId="32"/>
    <xf numFmtId="0" fontId="2" fillId="0" borderId="20" pivotButton="0" quotePrefix="0" xfId="31"/>
    <xf numFmtId="43" fontId="2" fillId="0" borderId="20" pivotButton="0" quotePrefix="0" xfId="33"/>
    <xf numFmtId="9" fontId="2" fillId="0" borderId="20" pivotButton="0" quotePrefix="0" xfId="32"/>
    <xf numFmtId="43" fontId="2" fillId="0" borderId="25" pivotButton="0" quotePrefix="0" xfId="33"/>
    <xf numFmtId="9" fontId="2" fillId="0" borderId="25" pivotButton="0" quotePrefix="0" xfId="32"/>
    <xf numFmtId="165" fontId="2" fillId="0" borderId="0" pivotButton="0" quotePrefix="0" xfId="1"/>
    <xf numFmtId="37" fontId="2" fillId="0" borderId="0" pivotButton="0" quotePrefix="0" xfId="0"/>
    <xf numFmtId="190" fontId="2" fillId="0" borderId="0" pivotButton="0" quotePrefix="0" xfId="0"/>
    <xf numFmtId="37" fontId="2" fillId="0" borderId="13" pivotButton="0" quotePrefix="0" xfId="0"/>
    <xf numFmtId="0" fontId="2" fillId="0" borderId="32" pivotButton="0" quotePrefix="0" xfId="0"/>
    <xf numFmtId="0" fontId="2" fillId="0" borderId="33" pivotButton="0" quotePrefix="0" xfId="0"/>
    <xf numFmtId="0" fontId="2" fillId="0" borderId="34" applyAlignment="1" pivotButton="0" quotePrefix="0" xfId="0">
      <alignment horizontal="right"/>
    </xf>
    <xf numFmtId="0" fontId="2" fillId="0" borderId="35" pivotButton="0" quotePrefix="0" xfId="0"/>
    <xf numFmtId="0" fontId="2" fillId="0" borderId="36" pivotButton="0" quotePrefix="0" xfId="0"/>
    <xf numFmtId="41" fontId="2" fillId="0" borderId="13" pivotButton="0" quotePrefix="0" xfId="0"/>
    <xf numFmtId="164" fontId="2" fillId="0" borderId="0" applyAlignment="1" pivotButton="0" quotePrefix="0" xfId="2">
      <alignment horizontal="center"/>
    </xf>
    <xf numFmtId="186" fontId="2" fillId="0" borderId="0" applyAlignment="1" pivotButton="0" quotePrefix="0" xfId="0">
      <alignment horizontal="center"/>
    </xf>
    <xf numFmtId="0" fontId="2" fillId="0" borderId="37" pivotButton="0" quotePrefix="0" xfId="0"/>
    <xf numFmtId="1" fontId="2" fillId="0" borderId="39" pivotButton="0" quotePrefix="0" xfId="0"/>
    <xf numFmtId="165" fontId="2" fillId="0" borderId="0" pivotButton="0" quotePrefix="0" xfId="1"/>
    <xf numFmtId="41" fontId="29" fillId="0" borderId="62" pivotButton="0" quotePrefix="0" xfId="0"/>
    <xf numFmtId="167" fontId="2" fillId="0" borderId="0" applyAlignment="1" pivotButton="0" quotePrefix="0" xfId="167">
      <alignment horizontal="left"/>
    </xf>
    <xf numFmtId="164" fontId="2" fillId="0" borderId="0" applyAlignment="1" pivotButton="0" quotePrefix="0" xfId="2">
      <alignment horizontal="left"/>
    </xf>
    <xf numFmtId="41" fontId="2" fillId="0" borderId="4" pivotButton="0" quotePrefix="0" xfId="0"/>
    <xf numFmtId="9" fontId="2" fillId="0" borderId="0" pivotButton="0" quotePrefix="0" xfId="2"/>
    <xf numFmtId="41" fontId="2" fillId="0" borderId="0" pivotButton="0" quotePrefix="0" xfId="1"/>
    <xf numFmtId="37" fontId="2" fillId="0" borderId="0" applyAlignment="1" pivotButton="0" quotePrefix="0" xfId="0">
      <alignment horizontal="center"/>
    </xf>
    <xf numFmtId="10" fontId="2" fillId="0" borderId="0" pivotButton="0" quotePrefix="0" xfId="2"/>
    <xf numFmtId="41" fontId="2" fillId="0" borderId="0" applyAlignment="1" pivotButton="0" quotePrefix="0" xfId="0">
      <alignment horizontal="center"/>
    </xf>
    <xf numFmtId="10" fontId="2" fillId="0" borderId="0" pivotButton="0" quotePrefix="0" xfId="2"/>
    <xf numFmtId="37" fontId="2" fillId="0" borderId="0" applyAlignment="1" pivotButton="0" quotePrefix="1" xfId="0">
      <alignment horizontal="left"/>
    </xf>
    <xf numFmtId="164" fontId="2" fillId="0" borderId="0" pivotButton="0" quotePrefix="0" xfId="2"/>
    <xf numFmtId="191" fontId="2" fillId="0" borderId="0" pivotButton="0" quotePrefix="0" xfId="2"/>
    <xf numFmtId="37" fontId="2" fillId="0" borderId="0" pivotButton="0" quotePrefix="0" xfId="31"/>
    <xf numFmtId="37" fontId="2" fillId="0" borderId="23" pivotButton="0" quotePrefix="0" xfId="31"/>
    <xf numFmtId="41" fontId="2" fillId="0" borderId="23" pivotButton="0" quotePrefix="0" xfId="31"/>
    <xf numFmtId="9" fontId="2" fillId="0" borderId="23" pivotButton="0" quotePrefix="0" xfId="32"/>
    <xf numFmtId="37" fontId="2" fillId="0" borderId="20" pivotButton="0" quotePrefix="0" xfId="31"/>
    <xf numFmtId="41" fontId="2" fillId="0" borderId="20" pivotButton="0" quotePrefix="0" xfId="31"/>
    <xf numFmtId="37" fontId="2" fillId="0" borderId="21" pivotButton="0" quotePrefix="0" xfId="31"/>
    <xf numFmtId="41" fontId="2" fillId="0" borderId="21" pivotButton="0" quotePrefix="0" xfId="31"/>
    <xf numFmtId="9" fontId="2" fillId="0" borderId="21" pivotButton="0" quotePrefix="0" xfId="32"/>
    <xf numFmtId="9" fontId="2" fillId="0" borderId="0" pivotButton="0" quotePrefix="0" xfId="2"/>
    <xf numFmtId="41" fontId="2" fillId="0" borderId="11" pivotButton="0" quotePrefix="0" xfId="31"/>
    <xf numFmtId="9" fontId="2" fillId="0" borderId="11" pivotButton="0" quotePrefix="0" xfId="32"/>
    <xf numFmtId="175" fontId="2" fillId="0" borderId="0" pivotButton="0" quotePrefix="0" xfId="167"/>
    <xf numFmtId="9" fontId="2" fillId="0" borderId="0" pivotButton="0" quotePrefix="0" xfId="32"/>
    <xf numFmtId="10" fontId="2" fillId="0" borderId="0" pivotButton="0" quotePrefix="0" xfId="2"/>
    <xf numFmtId="175" fontId="2" fillId="0" borderId="0" pivotButton="0" quotePrefix="0" xfId="167"/>
    <xf numFmtId="192" fontId="2" fillId="0" borderId="0" pivotButton="0" quotePrefix="0" xfId="32"/>
    <xf numFmtId="37" fontId="2" fillId="0" borderId="19" pivotButton="0" quotePrefix="0" xfId="31"/>
    <xf numFmtId="38" fontId="2" fillId="0" borderId="2" pivotButton="0" quotePrefix="0" xfId="31"/>
    <xf numFmtId="37" fontId="2" fillId="0" borderId="20" applyAlignment="1" pivotButton="0" quotePrefix="0" xfId="31">
      <alignment horizontal="left" indent="1"/>
    </xf>
    <xf numFmtId="37" fontId="2" fillId="0" borderId="21" applyAlignment="1" pivotButton="0" quotePrefix="0" xfId="31">
      <alignment horizontal="left" indent="1"/>
    </xf>
    <xf numFmtId="37" fontId="2" fillId="0" borderId="0" applyAlignment="1" pivotButton="0" quotePrefix="0" xfId="31">
      <alignment horizontal="left" indent="1"/>
    </xf>
    <xf numFmtId="37" fontId="2" fillId="0" borderId="25" pivotButton="0" quotePrefix="0" xfId="31"/>
    <xf numFmtId="37" fontId="2" fillId="0" borderId="13" applyAlignment="1" pivotButton="0" quotePrefix="0" xfId="31">
      <alignment horizontal="left" indent="1"/>
    </xf>
    <xf numFmtId="193" fontId="2" fillId="0" borderId="0" pivotButton="0" quotePrefix="0" xfId="0"/>
    <xf numFmtId="10" fontId="2" fillId="0" borderId="0" pivotButton="0" quotePrefix="0" xfId="2"/>
    <xf numFmtId="164" fontId="2" fillId="0" borderId="0" pivotButton="0" quotePrefix="0" xfId="2"/>
    <xf numFmtId="164" fontId="2" fillId="0" borderId="0" pivotButton="0" quotePrefix="0" xfId="32"/>
    <xf numFmtId="164" fontId="2" fillId="0" borderId="0" pivotButton="0" quotePrefix="0" xfId="32"/>
    <xf numFmtId="164" fontId="2" fillId="0" borderId="20" pivotButton="0" quotePrefix="0" xfId="32"/>
    <xf numFmtId="37" fontId="2" fillId="0" borderId="20" applyAlignment="1" pivotButton="0" quotePrefix="0" xfId="31">
      <alignment horizontal="right"/>
    </xf>
    <xf numFmtId="37" fontId="2" fillId="0" borderId="0" applyAlignment="1" pivotButton="0" quotePrefix="0" xfId="31">
      <alignment horizontal="right"/>
    </xf>
    <xf numFmtId="164" fontId="2" fillId="0" borderId="0" pivotButton="0" quotePrefix="0" xfId="2"/>
    <xf numFmtId="39" fontId="2" fillId="0" borderId="0" pivotButton="0" quotePrefix="0" xfId="31"/>
    <xf numFmtId="164" fontId="2" fillId="0" borderId="0" pivotButton="0" quotePrefix="0" xfId="32"/>
    <xf numFmtId="9" fontId="2" fillId="0" borderId="0" pivotButton="0" quotePrefix="0" xfId="2"/>
    <xf numFmtId="38" fontId="94" fillId="13" borderId="63" applyAlignment="1" pivotButton="0" quotePrefix="0" xfId="0">
      <alignment horizontal="center"/>
    </xf>
    <xf numFmtId="0" fontId="2" fillId="0" borderId="0" pivotButton="0" quotePrefix="0" xfId="195"/>
    <xf numFmtId="10" fontId="2" fillId="0" borderId="0" pivotButton="0" quotePrefix="0" xfId="196"/>
    <xf numFmtId="0" fontId="2" fillId="0" borderId="0" applyAlignment="1" pivotButton="0" quotePrefix="0" xfId="195">
      <alignment horizontal="center"/>
    </xf>
    <xf numFmtId="176" fontId="2" fillId="0" borderId="0" pivotButton="0" quotePrefix="0" xfId="195"/>
    <xf numFmtId="194" fontId="2" fillId="10" borderId="0" pivotButton="0" quotePrefix="0" xfId="195"/>
    <xf numFmtId="181" fontId="2" fillId="0" borderId="0" pivotButton="0" quotePrefix="0" xfId="1"/>
    <xf numFmtId="0" fontId="2" fillId="10" borderId="0" pivotButton="0" quotePrefix="0" xfId="195"/>
    <xf numFmtId="181" fontId="2" fillId="0" borderId="0" pivotButton="0" quotePrefix="0" xfId="0"/>
    <xf numFmtId="175" fontId="2" fillId="0" borderId="0" pivotButton="0" quotePrefix="0" xfId="195"/>
    <xf numFmtId="0" fontId="2" fillId="0" borderId="26" applyAlignment="1" pivotButton="0" quotePrefix="0" xfId="0">
      <alignment vertical="center"/>
    </xf>
    <xf numFmtId="0" fontId="2" fillId="0" borderId="47" applyAlignment="1" pivotButton="0" quotePrefix="0" xfId="0">
      <alignment horizontal="center" vertical="center"/>
    </xf>
    <xf numFmtId="0" fontId="2" fillId="0" borderId="42" applyAlignment="1" pivotButton="0" quotePrefix="0" xfId="0">
      <alignment horizontal="center" vertical="center"/>
    </xf>
    <xf numFmtId="165" fontId="2" fillId="0" borderId="24" applyAlignment="1" pivotButton="0" quotePrefix="0" xfId="1">
      <alignment vertical="center"/>
    </xf>
    <xf numFmtId="165" fontId="2" fillId="0" borderId="24" applyAlignment="1" pivotButton="0" quotePrefix="0" xfId="0">
      <alignment vertical="center"/>
    </xf>
    <xf numFmtId="165" fontId="2" fillId="0" borderId="48" applyAlignment="1" pivotButton="0" quotePrefix="0" xfId="0">
      <alignment vertical="center"/>
    </xf>
    <xf numFmtId="9" fontId="2" fillId="0" borderId="24" applyAlignment="1" pivotButton="0" quotePrefix="0" xfId="2">
      <alignment vertical="center"/>
    </xf>
    <xf numFmtId="0" fontId="2" fillId="0" borderId="48" applyAlignment="1" pivotButton="0" quotePrefix="0" xfId="0">
      <alignment vertical="center"/>
    </xf>
    <xf numFmtId="0" fontId="2" fillId="0" borderId="24" applyAlignment="1" pivotButton="0" quotePrefix="0" xfId="0">
      <alignment vertical="center"/>
    </xf>
    <xf numFmtId="165" fontId="2" fillId="0" borderId="63" applyAlignment="1" pivotButton="0" quotePrefix="0" xfId="1">
      <alignment vertical="center"/>
    </xf>
    <xf numFmtId="0" fontId="2" fillId="0" borderId="51" applyAlignment="1" pivotButton="0" quotePrefix="0" xfId="0">
      <alignment vertical="center"/>
    </xf>
    <xf numFmtId="165" fontId="2" fillId="0" borderId="0" pivotButton="0" quotePrefix="0" xfId="196"/>
    <xf numFmtId="0" fontId="2" fillId="3" borderId="26" pivotButton="0" quotePrefix="0" xfId="195"/>
    <xf numFmtId="0" fontId="2" fillId="3" borderId="43" pivotButton="0" quotePrefix="0" xfId="195"/>
    <xf numFmtId="164" fontId="2" fillId="3" borderId="26" pivotButton="0" quotePrefix="0" xfId="2"/>
    <xf numFmtId="0" fontId="2" fillId="3" borderId="41" pivotButton="0" quotePrefix="0" xfId="195"/>
    <xf numFmtId="10" fontId="2" fillId="0" borderId="0" applyAlignment="1" pivotButton="0" quotePrefix="0" xfId="2">
      <alignment horizontal="center"/>
    </xf>
    <xf numFmtId="0" fontId="2" fillId="3" borderId="26" applyAlignment="1" pivotButton="0" quotePrefix="0" xfId="195">
      <alignment horizontal="left"/>
    </xf>
    <xf numFmtId="0" fontId="2" fillId="3" borderId="41" applyAlignment="1" pivotButton="0" quotePrefix="0" xfId="195">
      <alignment horizontal="right"/>
    </xf>
    <xf numFmtId="176" fontId="2" fillId="3" borderId="42" pivotButton="0" quotePrefix="0" xfId="195"/>
    <xf numFmtId="176" fontId="2" fillId="0" borderId="0" applyAlignment="1" pivotButton="0" quotePrefix="0" xfId="2">
      <alignment horizontal="center"/>
    </xf>
    <xf numFmtId="165" fontId="2" fillId="0" borderId="0" pivotButton="0" quotePrefix="0" xfId="195"/>
    <xf numFmtId="195" fontId="2" fillId="0" borderId="0" pivotButton="0" quotePrefix="0" xfId="195"/>
    <xf numFmtId="164" fontId="2" fillId="0" borderId="0" pivotButton="0" quotePrefix="0" xfId="196"/>
    <xf numFmtId="0" fontId="67" fillId="0" borderId="63" applyAlignment="1" pivotButton="0" quotePrefix="0" xfId="0">
      <alignment horizontal="left"/>
    </xf>
    <xf numFmtId="0" fontId="0" fillId="0" borderId="60" applyAlignment="1" pivotButton="0" quotePrefix="0" xfId="0">
      <alignment horizontal="left"/>
    </xf>
    <xf numFmtId="0" fontId="0" fillId="0" borderId="61" pivotButton="0" quotePrefix="0" xfId="0"/>
    <xf numFmtId="167" fontId="29" fillId="8" borderId="10" applyAlignment="1" applyProtection="1" pivotButton="0" quotePrefix="0" xfId="180">
      <alignment horizontal="left" vertical="top" wrapText="1"/>
      <protection locked="0" hidden="0"/>
    </xf>
    <xf numFmtId="167" fontId="29" fillId="8" borderId="13" applyAlignment="1" applyProtection="1" pivotButton="0" quotePrefix="0" xfId="180">
      <alignment horizontal="center"/>
      <protection locked="0" hidden="0"/>
    </xf>
    <xf numFmtId="167" fontId="29" fillId="8" borderId="0" applyAlignment="1" applyProtection="1" pivotButton="0" quotePrefix="0" xfId="180">
      <alignment horizontal="center" wrapText="1"/>
      <protection locked="0" hidden="0"/>
    </xf>
    <xf numFmtId="167" fontId="29" fillId="8" borderId="13" applyAlignment="1" applyProtection="1" pivotButton="0" quotePrefix="0" xfId="180">
      <alignment horizontal="center" wrapText="1"/>
      <protection locked="0" hidden="0"/>
    </xf>
    <xf numFmtId="0" fontId="78" fillId="0" borderId="26" applyAlignment="1" pivotButton="0" quotePrefix="0" xfId="0">
      <alignment horizontal="center"/>
    </xf>
    <xf numFmtId="0" fontId="78" fillId="0" borderId="27" applyAlignment="1" pivotButton="0" quotePrefix="0" xfId="0">
      <alignment horizontal="center"/>
    </xf>
    <xf numFmtId="0" fontId="25" fillId="0" borderId="60" applyAlignment="1" pivotButton="0" quotePrefix="0" xfId="0">
      <alignment horizontal="center"/>
    </xf>
    <xf numFmtId="0" fontId="25" fillId="0" borderId="61" applyAlignment="1" pivotButton="0" quotePrefix="0" xfId="0">
      <alignment horizontal="center"/>
    </xf>
    <xf numFmtId="0" fontId="26" fillId="0" borderId="3" applyAlignment="1" pivotButton="0" quotePrefix="0" xfId="0">
      <alignment horizontal="center"/>
    </xf>
    <xf numFmtId="0" fontId="26" fillId="0" borderId="4" applyAlignment="1" pivotButton="0" quotePrefix="0" xfId="0">
      <alignment horizontal="center"/>
    </xf>
    <xf numFmtId="0" fontId="26" fillId="0" borderId="5" applyAlignment="1" pivotButton="0" quotePrefix="0" xfId="0">
      <alignment horizontal="center"/>
    </xf>
    <xf numFmtId="167" fontId="26" fillId="0" borderId="3" applyAlignment="1" pivotButton="0" quotePrefix="0" xfId="0">
      <alignment horizontal="center"/>
    </xf>
    <xf numFmtId="167" fontId="26" fillId="0" borderId="4" applyAlignment="1" pivotButton="0" quotePrefix="0" xfId="0">
      <alignment horizontal="center"/>
    </xf>
    <xf numFmtId="167" fontId="26" fillId="0" borderId="5" applyAlignment="1" pivotButton="0" quotePrefix="0" xfId="0">
      <alignment horizontal="center"/>
    </xf>
    <xf numFmtId="0" fontId="25" fillId="0" borderId="3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0" fontId="25" fillId="0" borderId="5" applyAlignment="1" pivotButton="0" quotePrefix="0" xfId="0">
      <alignment horizontal="center"/>
    </xf>
    <xf numFmtId="0" fontId="55" fillId="0" borderId="0" applyAlignment="1" pivotButton="0" quotePrefix="0" xfId="0">
      <alignment horizontal="left" vertical="top" wrapText="1"/>
    </xf>
    <xf numFmtId="37" fontId="25" fillId="0" borderId="13" applyAlignment="1" pivotButton="0" quotePrefix="0" xfId="31">
      <alignment horizontal="center"/>
    </xf>
    <xf numFmtId="37" fontId="25" fillId="0" borderId="10" applyAlignment="1" pivotButton="0" quotePrefix="0" xfId="31">
      <alignment horizontal="right" vertical="center" textRotation="90"/>
    </xf>
    <xf numFmtId="10" fontId="102" fillId="6" borderId="0" applyAlignment="1" pivotButton="0" quotePrefix="0" xfId="2">
      <alignment horizontal="left"/>
    </xf>
    <xf numFmtId="0" fontId="2" fillId="0" borderId="26" applyAlignment="1" pivotButton="0" quotePrefix="0" xfId="0">
      <alignment horizontal="center" vertical="center"/>
    </xf>
    <xf numFmtId="0" fontId="2" fillId="0" borderId="41" applyAlignment="1" pivotButton="0" quotePrefix="0" xfId="0">
      <alignment horizontal="center" vertical="center"/>
    </xf>
    <xf numFmtId="0" fontId="2" fillId="0" borderId="27" applyAlignment="1" pivotButton="0" quotePrefix="0" xfId="0">
      <alignment horizontal="center" vertical="center"/>
    </xf>
    <xf numFmtId="0" fontId="89" fillId="10" borderId="32" applyAlignment="1" pivotButton="0" quotePrefix="0" xfId="195">
      <alignment horizontal="center"/>
    </xf>
    <xf numFmtId="0" fontId="89" fillId="10" borderId="34" applyAlignment="1" pivotButton="0" quotePrefix="0" xfId="195">
      <alignment horizontal="center"/>
    </xf>
    <xf numFmtId="0" fontId="45" fillId="10" borderId="45" applyAlignment="1" pivotButton="0" quotePrefix="0" xfId="195">
      <alignment horizontal="center"/>
    </xf>
    <xf numFmtId="0" fontId="45" fillId="10" borderId="46" applyAlignment="1" pivotButton="0" quotePrefix="0" xfId="195">
      <alignment horizontal="center"/>
    </xf>
    <xf numFmtId="0" fontId="25" fillId="2" borderId="26" applyAlignment="1" pivotButton="0" quotePrefix="0" xfId="195">
      <alignment horizontal="center"/>
    </xf>
    <xf numFmtId="0" fontId="25" fillId="2" borderId="41" applyAlignment="1" pivotButton="0" quotePrefix="0" xfId="195">
      <alignment horizontal="center"/>
    </xf>
    <xf numFmtId="0" fontId="25" fillId="2" borderId="27" applyAlignment="1" pivotButton="0" quotePrefix="0" xfId="195">
      <alignment horizontal="center"/>
    </xf>
    <xf numFmtId="177" fontId="30" fillId="2" borderId="0" applyAlignment="1" pivotButton="0" quotePrefix="0" xfId="0">
      <alignment horizontal="left"/>
    </xf>
    <xf numFmtId="167" fontId="30" fillId="2" borderId="20" pivotButton="0" quotePrefix="0" xfId="2"/>
    <xf numFmtId="171" fontId="30" fillId="2" borderId="19" pivotButton="0" quotePrefix="0" xfId="0"/>
    <xf numFmtId="171" fontId="30" fillId="2" borderId="20" pivotButton="0" quotePrefix="0" xfId="0"/>
    <xf numFmtId="171" fontId="2" fillId="0" borderId="20" pivotButton="0" quotePrefix="0" xfId="0"/>
    <xf numFmtId="173" fontId="32" fillId="2" borderId="21" pivotButton="0" quotePrefix="0" xfId="0"/>
    <xf numFmtId="165" fontId="2" fillId="0" borderId="19" pivotButton="0" quotePrefix="0" xfId="1"/>
    <xf numFmtId="165" fontId="29" fillId="0" borderId="19" pivotButton="0" quotePrefix="0" xfId="1"/>
    <xf numFmtId="164" fontId="29" fillId="0" borderId="19" pivotButton="0" quotePrefix="0" xfId="2"/>
    <xf numFmtId="165" fontId="29" fillId="0" borderId="19" pivotButton="0" quotePrefix="0" xfId="0"/>
    <xf numFmtId="165" fontId="2" fillId="0" borderId="20" pivotButton="0" quotePrefix="0" xfId="1"/>
    <xf numFmtId="165" fontId="29" fillId="0" borderId="20" pivotButton="0" quotePrefix="0" xfId="1"/>
    <xf numFmtId="164" fontId="29" fillId="0" borderId="20" pivotButton="0" quotePrefix="0" xfId="2"/>
    <xf numFmtId="165" fontId="29" fillId="0" borderId="20" pivotButton="0" quotePrefix="0" xfId="0"/>
    <xf numFmtId="165" fontId="2" fillId="0" borderId="21" pivotButton="0" quotePrefix="0" xfId="1"/>
    <xf numFmtId="165" fontId="29" fillId="0" borderId="21" pivotButton="0" quotePrefix="0" xfId="1"/>
    <xf numFmtId="164" fontId="29" fillId="0" borderId="21" pivotButton="0" quotePrefix="0" xfId="2"/>
    <xf numFmtId="165" fontId="29" fillId="0" borderId="21" pivotButton="0" quotePrefix="0" xfId="0"/>
    <xf numFmtId="165" fontId="25" fillId="0" borderId="0" pivotButton="0" quotePrefix="0" xfId="1"/>
    <xf numFmtId="164" fontId="25" fillId="0" borderId="0" pivotButton="0" quotePrefix="0" xfId="2"/>
    <xf numFmtId="167" fontId="25" fillId="0" borderId="12" pivotButton="0" quotePrefix="0" xfId="0"/>
    <xf numFmtId="175" fontId="2" fillId="0" borderId="0" pivotButton="0" quotePrefix="0" xfId="167"/>
    <xf numFmtId="165" fontId="2" fillId="0" borderId="0" pivotButton="0" quotePrefix="0" xfId="1"/>
    <xf numFmtId="165" fontId="30" fillId="0" borderId="0" pivotButton="0" quotePrefix="0" xfId="1"/>
    <xf numFmtId="164" fontId="2" fillId="0" borderId="0" pivotButton="0" quotePrefix="0" xfId="2"/>
    <xf numFmtId="165" fontId="30" fillId="0" borderId="0" pivotButton="0" quotePrefix="0" xfId="0"/>
    <xf numFmtId="167" fontId="2" fillId="0" borderId="0" pivotButton="0" quotePrefix="0" xfId="0"/>
    <xf numFmtId="165" fontId="29" fillId="0" borderId="14" pivotButton="0" quotePrefix="0" xfId="1"/>
    <xf numFmtId="165" fontId="29" fillId="0" borderId="15" pivotButton="0" quotePrefix="0" xfId="1"/>
    <xf numFmtId="165" fontId="30" fillId="0" borderId="15" pivotButton="0" quotePrefix="0" xfId="1"/>
    <xf numFmtId="165" fontId="29" fillId="0" borderId="16" pivotButton="0" quotePrefix="0" xfId="1"/>
    <xf numFmtId="165" fontId="25" fillId="0" borderId="11" pivotButton="0" quotePrefix="0" xfId="0"/>
    <xf numFmtId="165" fontId="2" fillId="0" borderId="0" pivotButton="0" quotePrefix="0" xfId="0"/>
    <xf numFmtId="0" fontId="78" fillId="0" borderId="64" applyAlignment="1" pivotButton="0" quotePrefix="0" xfId="0">
      <alignment horizontal="center"/>
    </xf>
    <xf numFmtId="0" fontId="0" fillId="0" borderId="27" pivotButton="0" quotePrefix="0" xfId="0"/>
    <xf numFmtId="189" fontId="2" fillId="0" borderId="0" pivotButton="0" quotePrefix="0" xfId="0"/>
    <xf numFmtId="0" fontId="25" fillId="0" borderId="63" applyAlignment="1" pivotButton="0" quotePrefix="0" xfId="0">
      <alignment horizontal="center"/>
    </xf>
    <xf numFmtId="175" fontId="30" fillId="2" borderId="28" pivotButton="0" quotePrefix="0" xfId="1"/>
    <xf numFmtId="176" fontId="30" fillId="2" borderId="29" pivotButton="0" quotePrefix="0" xfId="1"/>
    <xf numFmtId="189" fontId="2" fillId="0" borderId="0" pivotButton="0" quotePrefix="0" xfId="167"/>
    <xf numFmtId="165" fontId="2" fillId="0" borderId="12" pivotButton="0" quotePrefix="0" xfId="0"/>
    <xf numFmtId="175" fontId="30" fillId="2" borderId="29" pivotButton="0" quotePrefix="0" xfId="1"/>
    <xf numFmtId="176" fontId="29" fillId="0" borderId="29" pivotButton="0" quotePrefix="0" xfId="1"/>
    <xf numFmtId="176" fontId="29" fillId="0" borderId="30" pivotButton="0" quotePrefix="0" xfId="1"/>
    <xf numFmtId="164" fontId="30" fillId="2" borderId="20" pivotButton="0" quotePrefix="0" xfId="2"/>
    <xf numFmtId="175" fontId="2" fillId="0" borderId="0" pivotButton="0" quotePrefix="0" xfId="0"/>
    <xf numFmtId="176" fontId="30" fillId="2" borderId="30" pivotButton="0" quotePrefix="0" xfId="1"/>
    <xf numFmtId="176" fontId="25" fillId="0" borderId="27" pivotButton="0" quotePrefix="0" xfId="0"/>
    <xf numFmtId="175" fontId="25" fillId="0" borderId="6" pivotButton="0" quotePrefix="0" xfId="167"/>
    <xf numFmtId="176" fontId="2" fillId="0" borderId="0" pivotButton="0" quotePrefix="0" xfId="0"/>
    <xf numFmtId="0" fontId="25" fillId="24" borderId="32" pivotButton="0" quotePrefix="0" xfId="0"/>
    <xf numFmtId="0" fontId="25" fillId="24" borderId="33" pivotButton="0" quotePrefix="0" xfId="0"/>
    <xf numFmtId="10" fontId="2" fillId="24" borderId="34" pivotButton="0" quotePrefix="0" xfId="0"/>
    <xf numFmtId="0" fontId="25" fillId="24" borderId="35" pivotButton="0" quotePrefix="0" xfId="0"/>
    <xf numFmtId="0" fontId="25" fillId="24" borderId="0" pivotButton="0" quotePrefix="0" xfId="0"/>
    <xf numFmtId="10" fontId="2" fillId="24" borderId="36" pivotButton="0" quotePrefix="0" xfId="0"/>
    <xf numFmtId="0" fontId="25" fillId="24" borderId="45" pivotButton="0" quotePrefix="0" xfId="0"/>
    <xf numFmtId="0" fontId="25" fillId="24" borderId="40" pivotButton="0" quotePrefix="0" xfId="0"/>
    <xf numFmtId="10" fontId="2" fillId="24" borderId="46" pivotButton="0" quotePrefix="0" xfId="0"/>
    <xf numFmtId="164" fontId="29" fillId="0" borderId="14" pivotButton="0" quotePrefix="0" xfId="2"/>
    <xf numFmtId="165" fontId="2" fillId="0" borderId="14" pivotButton="0" quotePrefix="0" xfId="1"/>
    <xf numFmtId="164" fontId="29" fillId="0" borderId="15" pivotButton="0" quotePrefix="0" xfId="2"/>
    <xf numFmtId="165" fontId="2" fillId="0" borderId="15" pivotButton="0" quotePrefix="0" xfId="1"/>
    <xf numFmtId="164" fontId="30" fillId="2" borderId="15" applyAlignment="1" pivotButton="0" quotePrefix="0" xfId="2">
      <alignment horizontal="left"/>
    </xf>
    <xf numFmtId="165" fontId="2" fillId="0" borderId="16" pivotButton="0" quotePrefix="0" xfId="1"/>
    <xf numFmtId="164" fontId="30" fillId="2" borderId="16" pivotButton="0" quotePrefix="0" xfId="2"/>
    <xf numFmtId="164" fontId="29" fillId="0" borderId="16" pivotButton="0" quotePrefix="0" xfId="2"/>
    <xf numFmtId="164" fontId="25" fillId="0" borderId="11" pivotButton="0" quotePrefix="0" xfId="2"/>
    <xf numFmtId="165" fontId="2" fillId="0" borderId="11" pivotButton="0" quotePrefix="0" xfId="1"/>
    <xf numFmtId="164" fontId="25" fillId="0" borderId="1" pivotButton="0" quotePrefix="0" xfId="2"/>
    <xf numFmtId="165" fontId="2" fillId="0" borderId="31" pivotButton="0" quotePrefix="0" xfId="1"/>
    <xf numFmtId="164" fontId="2" fillId="0" borderId="0" pivotButton="0" quotePrefix="0" xfId="0"/>
    <xf numFmtId="183" fontId="2" fillId="0" borderId="14" pivotButton="0" quotePrefix="0" xfId="1"/>
    <xf numFmtId="183" fontId="2" fillId="0" borderId="15" pivotButton="0" quotePrefix="0" xfId="1"/>
    <xf numFmtId="183" fontId="2" fillId="0" borderId="11" pivotButton="0" quotePrefix="0" xfId="1"/>
    <xf numFmtId="168" fontId="29" fillId="0" borderId="0" applyAlignment="1" pivotButton="0" quotePrefix="0" xfId="0">
      <alignment horizontal="left"/>
    </xf>
    <xf numFmtId="165" fontId="29" fillId="0" borderId="0" applyAlignment="1" pivotButton="0" quotePrefix="0" xfId="1">
      <alignment horizontal="left"/>
    </xf>
    <xf numFmtId="165" fontId="29" fillId="0" borderId="0" applyAlignment="1" pivotButton="0" quotePrefix="0" xfId="1">
      <alignment horizontal="right"/>
    </xf>
    <xf numFmtId="165" fontId="30" fillId="2" borderId="0" applyAlignment="1" pivotButton="0" quotePrefix="0" xfId="1">
      <alignment horizontal="right"/>
    </xf>
    <xf numFmtId="165" fontId="30" fillId="0" borderId="0" applyAlignment="1" pivotButton="0" quotePrefix="0" xfId="1">
      <alignment horizontal="right"/>
    </xf>
    <xf numFmtId="188" fontId="31" fillId="0" borderId="14" applyAlignment="1" pivotButton="0" quotePrefix="1" xfId="0">
      <alignment horizontal="center"/>
    </xf>
    <xf numFmtId="188" fontId="31" fillId="0" borderId="14" applyAlignment="1" pivotButton="0" quotePrefix="0" xfId="0">
      <alignment horizontal="center"/>
    </xf>
    <xf numFmtId="188" fontId="2" fillId="0" borderId="15" pivotButton="0" quotePrefix="0" xfId="1"/>
    <xf numFmtId="188" fontId="2" fillId="0" borderId="15" pivotButton="0" quotePrefix="0" xfId="0"/>
    <xf numFmtId="164" fontId="2" fillId="0" borderId="15" pivotButton="0" quotePrefix="0" xfId="2"/>
    <xf numFmtId="188" fontId="30" fillId="2" borderId="15" pivotButton="0" quotePrefix="0" xfId="1"/>
    <xf numFmtId="169" fontId="29" fillId="0" borderId="0" applyAlignment="1" pivotButton="0" quotePrefix="0" xfId="1">
      <alignment horizontal="right"/>
    </xf>
    <xf numFmtId="165" fontId="2" fillId="0" borderId="15" pivotButton="0" quotePrefix="0" xfId="0"/>
    <xf numFmtId="188" fontId="29" fillId="0" borderId="15" pivotButton="0" quotePrefix="0" xfId="1"/>
    <xf numFmtId="188" fontId="32" fillId="2" borderId="15" pivotButton="0" quotePrefix="0" xfId="1"/>
    <xf numFmtId="165" fontId="30" fillId="2" borderId="14" pivotButton="0" quotePrefix="0" xfId="1"/>
    <xf numFmtId="188" fontId="29" fillId="0" borderId="15" pivotButton="0" quotePrefix="0" xfId="0"/>
    <xf numFmtId="165" fontId="30" fillId="2" borderId="15" pivotButton="0" quotePrefix="0" xfId="1"/>
    <xf numFmtId="165" fontId="30" fillId="2" borderId="16" pivotButton="0" quotePrefix="0" xfId="1"/>
    <xf numFmtId="188" fontId="2" fillId="0" borderId="16" pivotButton="0" quotePrefix="0" xfId="1"/>
    <xf numFmtId="188" fontId="30" fillId="0" borderId="16" pivotButton="0" quotePrefix="0" xfId="0"/>
    <xf numFmtId="164" fontId="2" fillId="0" borderId="16" pivotButton="0" quotePrefix="0" xfId="2"/>
    <xf numFmtId="188" fontId="32" fillId="2" borderId="16" pivotButton="0" quotePrefix="0" xfId="1"/>
    <xf numFmtId="188" fontId="2" fillId="0" borderId="16" pivotButton="0" quotePrefix="0" xfId="0"/>
    <xf numFmtId="165" fontId="2" fillId="0" borderId="16" pivotButton="0" quotePrefix="0" xfId="0"/>
    <xf numFmtId="188" fontId="25" fillId="0" borderId="14" pivotButton="0" quotePrefix="0" xfId="1"/>
    <xf numFmtId="164" fontId="25" fillId="0" borderId="14" pivotButton="0" quotePrefix="0" xfId="2"/>
    <xf numFmtId="165" fontId="25" fillId="0" borderId="14" pivotButton="0" quotePrefix="0" xfId="1"/>
    <xf numFmtId="164" fontId="30" fillId="2" borderId="0" pivotButton="0" quotePrefix="0" xfId="2"/>
    <xf numFmtId="164" fontId="30" fillId="0" borderId="0" applyAlignment="1" pivotButton="0" quotePrefix="0" xfId="2">
      <alignment horizontal="left"/>
    </xf>
    <xf numFmtId="188" fontId="25" fillId="0" borderId="11" pivotButton="0" quotePrefix="0" xfId="1"/>
    <xf numFmtId="165" fontId="25" fillId="0" borderId="11" pivotButton="0" quotePrefix="0" xfId="1"/>
    <xf numFmtId="188" fontId="25" fillId="0" borderId="0" pivotButton="0" quotePrefix="0" xfId="1"/>
    <xf numFmtId="188" fontId="2" fillId="0" borderId="0" pivotButton="0" quotePrefix="0" xfId="0"/>
    <xf numFmtId="188" fontId="2" fillId="0" borderId="0" applyAlignment="1" pivotButton="0" quotePrefix="0" xfId="0">
      <alignment horizontal="center"/>
    </xf>
    <xf numFmtId="188" fontId="2" fillId="0" borderId="0" applyAlignment="1" pivotButton="0" quotePrefix="1" xfId="0">
      <alignment horizontal="center"/>
    </xf>
    <xf numFmtId="188" fontId="30" fillId="2" borderId="14" pivotButton="0" quotePrefix="0" xfId="1"/>
    <xf numFmtId="188" fontId="2" fillId="0" borderId="14" pivotButton="0" quotePrefix="0" xfId="0"/>
    <xf numFmtId="164" fontId="2" fillId="0" borderId="14" pivotButton="0" quotePrefix="0" xfId="2"/>
    <xf numFmtId="188" fontId="30" fillId="0" borderId="14" pivotButton="0" quotePrefix="0" xfId="1"/>
    <xf numFmtId="165" fontId="2" fillId="0" borderId="14" pivotButton="0" quotePrefix="0" xfId="0"/>
    <xf numFmtId="188" fontId="30" fillId="0" borderId="15" pivotButton="0" quotePrefix="0" xfId="1"/>
    <xf numFmtId="166" fontId="2" fillId="0" borderId="13" applyAlignment="1" pivotButton="0" quotePrefix="0" xfId="0">
      <alignment horizontal="center"/>
    </xf>
    <xf numFmtId="188" fontId="30" fillId="2" borderId="22" pivotButton="0" quotePrefix="0" xfId="1"/>
    <xf numFmtId="188" fontId="2" fillId="0" borderId="22" pivotButton="0" quotePrefix="0" xfId="0"/>
    <xf numFmtId="164" fontId="2" fillId="0" borderId="22" pivotButton="0" quotePrefix="0" xfId="2"/>
    <xf numFmtId="165" fontId="2" fillId="0" borderId="22" pivotButton="0" quotePrefix="0" xfId="0"/>
    <xf numFmtId="188" fontId="26" fillId="0" borderId="18" pivotButton="0" quotePrefix="0" xfId="1"/>
    <xf numFmtId="188" fontId="25" fillId="0" borderId="18" pivotButton="0" quotePrefix="0" xfId="0"/>
    <xf numFmtId="164" fontId="25" fillId="0" borderId="18" pivotButton="0" quotePrefix="0" xfId="2"/>
    <xf numFmtId="188" fontId="26" fillId="0" borderId="18" pivotButton="0" quotePrefix="0" xfId="0"/>
    <xf numFmtId="165" fontId="26" fillId="0" borderId="18" pivotButton="0" quotePrefix="0" xfId="0"/>
    <xf numFmtId="188" fontId="29" fillId="2" borderId="15" pivotButton="0" quotePrefix="0" xfId="1"/>
    <xf numFmtId="164" fontId="30" fillId="2" borderId="0" applyAlignment="1" pivotButton="0" quotePrefix="0" xfId="2">
      <alignment horizontal="right"/>
    </xf>
    <xf numFmtId="188" fontId="30" fillId="2" borderId="16" pivotButton="0" quotePrefix="0" xfId="1"/>
    <xf numFmtId="188" fontId="29" fillId="0" borderId="16" pivotButton="0" quotePrefix="0" xfId="0"/>
    <xf numFmtId="188" fontId="25" fillId="0" borderId="0" pivotButton="0" quotePrefix="0" xfId="0"/>
    <xf numFmtId="165" fontId="25" fillId="0" borderId="0" pivotButton="0" quotePrefix="0" xfId="0"/>
    <xf numFmtId="188" fontId="2" fillId="0" borderId="0" pivotButton="0" quotePrefix="0" xfId="1"/>
    <xf numFmtId="188" fontId="25" fillId="0" borderId="11" pivotButton="0" quotePrefix="0" xfId="0"/>
    <xf numFmtId="166" fontId="2" fillId="0" borderId="0" pivotButton="0" quotePrefix="0" xfId="0"/>
    <xf numFmtId="165" fontId="29" fillId="0" borderId="0" pivotButton="0" quotePrefix="0" xfId="0"/>
    <xf numFmtId="165" fontId="29" fillId="20" borderId="6" pivotButton="0" quotePrefix="0" xfId="0"/>
    <xf numFmtId="10" fontId="29" fillId="24" borderId="55" pivotButton="0" quotePrefix="0" xfId="2"/>
    <xf numFmtId="165" fontId="2" fillId="13" borderId="0" pivotButton="0" quotePrefix="0" xfId="0"/>
    <xf numFmtId="165" fontId="2" fillId="0" borderId="0" applyAlignment="1" pivotButton="0" quotePrefix="0" xfId="1">
      <alignment horizontal="left"/>
    </xf>
    <xf numFmtId="0" fontId="26" fillId="0" borderId="2" applyAlignment="1" pivotButton="0" quotePrefix="0" xfId="0">
      <alignment horizontal="center"/>
    </xf>
    <xf numFmtId="164" fontId="30" fillId="2" borderId="0" applyAlignment="1" pivotButton="0" quotePrefix="0" xfId="2">
      <alignment horizontal="center"/>
    </xf>
    <xf numFmtId="164" fontId="30" fillId="0" borderId="0" applyAlignment="1" pivotButton="0" quotePrefix="0" xfId="2">
      <alignment horizontal="center"/>
    </xf>
    <xf numFmtId="167" fontId="26" fillId="0" borderId="2" applyAlignment="1" pivotButton="0" quotePrefix="0" xfId="0">
      <alignment horizontal="center"/>
    </xf>
    <xf numFmtId="165" fontId="29" fillId="0" borderId="14" applyAlignment="1" pivotButton="0" quotePrefix="0" xfId="1">
      <alignment horizontal="right"/>
    </xf>
    <xf numFmtId="165" fontId="29" fillId="0" borderId="15" applyAlignment="1" pivotButton="0" quotePrefix="0" xfId="1">
      <alignment horizontal="right"/>
    </xf>
    <xf numFmtId="165" fontId="29" fillId="0" borderId="0" pivotButton="0" quotePrefix="0" xfId="1"/>
    <xf numFmtId="166" fontId="36" fillId="0" borderId="0" applyAlignment="1" pivotButton="0" quotePrefix="0" xfId="0">
      <alignment horizontal="right"/>
    </xf>
    <xf numFmtId="165" fontId="29" fillId="0" borderId="16" applyAlignment="1" pivotButton="0" quotePrefix="0" xfId="1">
      <alignment horizontal="right"/>
    </xf>
    <xf numFmtId="165" fontId="26" fillId="0" borderId="12" applyAlignment="1" pivotButton="0" quotePrefix="0" xfId="1">
      <alignment horizontal="right"/>
    </xf>
    <xf numFmtId="164" fontId="29" fillId="0" borderId="0" applyAlignment="1" pivotButton="0" quotePrefix="0" xfId="2">
      <alignment horizontal="right"/>
    </xf>
    <xf numFmtId="165" fontId="29" fillId="0" borderId="17" applyAlignment="1" pivotButton="0" quotePrefix="0" xfId="1">
      <alignment horizontal="right"/>
    </xf>
    <xf numFmtId="165" fontId="26" fillId="0" borderId="18" applyAlignment="1" pivotButton="0" quotePrefix="0" xfId="1">
      <alignment horizontal="right"/>
    </xf>
    <xf numFmtId="165" fontId="26" fillId="0" borderId="0" applyAlignment="1" pivotButton="0" quotePrefix="0" xfId="1">
      <alignment horizontal="right"/>
    </xf>
    <xf numFmtId="165" fontId="26" fillId="0" borderId="14" applyAlignment="1" pivotButton="0" quotePrefix="0" xfId="1">
      <alignment horizontal="right"/>
    </xf>
    <xf numFmtId="165" fontId="26" fillId="0" borderId="16" applyAlignment="1" pivotButton="0" quotePrefix="0" xfId="1">
      <alignment horizontal="right"/>
    </xf>
    <xf numFmtId="165" fontId="26" fillId="0" borderId="11" applyAlignment="1" pivotButton="0" quotePrefix="0" xfId="1">
      <alignment horizontal="right"/>
    </xf>
    <xf numFmtId="165" fontId="26" fillId="0" borderId="17" applyAlignment="1" pivotButton="0" quotePrefix="0" xfId="1">
      <alignment horizontal="right"/>
    </xf>
    <xf numFmtId="167" fontId="43" fillId="0" borderId="14" applyAlignment="1" pivotButton="0" quotePrefix="0" xfId="0">
      <alignment horizontal="right"/>
    </xf>
    <xf numFmtId="167" fontId="43" fillId="0" borderId="16" applyAlignment="1" pivotButton="0" quotePrefix="0" xfId="0">
      <alignment horizontal="right"/>
    </xf>
    <xf numFmtId="167" fontId="43" fillId="0" borderId="0" applyAlignment="1" pivotButton="0" quotePrefix="0" xfId="0">
      <alignment horizontal="right"/>
    </xf>
    <xf numFmtId="166" fontId="29" fillId="0" borderId="0" pivotButton="0" quotePrefix="0" xfId="0"/>
    <xf numFmtId="10" fontId="52" fillId="24" borderId="6" applyAlignment="1" pivotButton="0" quotePrefix="0" xfId="2">
      <alignment horizontal="center" vertical="center"/>
    </xf>
    <xf numFmtId="165" fontId="25" fillId="0" borderId="12" pivotButton="0" quotePrefix="0" xfId="1"/>
    <xf numFmtId="165" fontId="2" fillId="0" borderId="4" pivotButton="0" quotePrefix="0" xfId="1"/>
    <xf numFmtId="165" fontId="29" fillId="0" borderId="4" applyAlignment="1" pivotButton="0" quotePrefix="0" xfId="1">
      <alignment horizontal="right"/>
    </xf>
    <xf numFmtId="165" fontId="44" fillId="0" borderId="12" pivotButton="0" quotePrefix="0" xfId="0"/>
    <xf numFmtId="165" fontId="2" fillId="0" borderId="1" pivotButton="0" quotePrefix="0" xfId="0"/>
    <xf numFmtId="165" fontId="29" fillId="0" borderId="1" applyAlignment="1" pivotButton="0" quotePrefix="0" xfId="1">
      <alignment horizontal="right"/>
    </xf>
    <xf numFmtId="165" fontId="2" fillId="0" borderId="13" pivotButton="0" quotePrefix="0" xfId="0"/>
    <xf numFmtId="165" fontId="29" fillId="0" borderId="13" applyAlignment="1" pivotButton="0" quotePrefix="0" xfId="1">
      <alignment horizontal="right"/>
    </xf>
    <xf numFmtId="165" fontId="44" fillId="0" borderId="0" pivotButton="0" quotePrefix="0" xfId="0"/>
    <xf numFmtId="167" fontId="29" fillId="0" borderId="0" applyAlignment="1" applyProtection="1" pivotButton="0" quotePrefix="0" xfId="180">
      <alignment horizontal="left"/>
      <protection locked="0" hidden="0"/>
    </xf>
    <xf numFmtId="167" fontId="29" fillId="0" borderId="0" applyProtection="1" pivotButton="0" quotePrefix="0" xfId="180">
      <protection locked="0" hidden="0"/>
    </xf>
    <xf numFmtId="167" fontId="29" fillId="0" borderId="0" applyAlignment="1" applyProtection="1" pivotButton="0" quotePrefix="0" xfId="180">
      <alignment horizontal="center"/>
      <protection locked="0" hidden="0"/>
    </xf>
    <xf numFmtId="167" fontId="26" fillId="0" borderId="0" applyAlignment="1" pivotButton="0" quotePrefix="0" xfId="180">
      <alignment horizontal="center"/>
    </xf>
    <xf numFmtId="167" fontId="52" fillId="0" borderId="0" applyProtection="1" pivotButton="0" quotePrefix="0" xfId="180">
      <protection locked="0" hidden="0"/>
    </xf>
    <xf numFmtId="167" fontId="52" fillId="0" borderId="0" applyAlignment="1" applyProtection="1" pivotButton="0" quotePrefix="0" xfId="180">
      <alignment horizontal="center"/>
      <protection locked="0" hidden="0"/>
    </xf>
    <xf numFmtId="167" fontId="52" fillId="0" borderId="0" applyAlignment="1" applyProtection="1" pivotButton="0" quotePrefix="0" xfId="180">
      <alignment horizontal="left"/>
      <protection locked="0" hidden="0"/>
    </xf>
    <xf numFmtId="167" fontId="62" fillId="10" borderId="6" applyAlignment="1" pivotButton="0" quotePrefix="0" xfId="180">
      <alignment horizontal="center"/>
    </xf>
    <xf numFmtId="167" fontId="62" fillId="10" borderId="0" applyAlignment="1" applyProtection="1" pivotButton="0" quotePrefix="0" xfId="180">
      <alignment horizontal="left"/>
      <protection locked="0" hidden="0"/>
    </xf>
    <xf numFmtId="167" fontId="52" fillId="10" borderId="0" applyProtection="1" pivotButton="0" quotePrefix="0" xfId="180">
      <protection locked="0" hidden="0"/>
    </xf>
    <xf numFmtId="167" fontId="29" fillId="0" borderId="13" applyProtection="1" pivotButton="0" quotePrefix="0" xfId="180">
      <protection locked="0" hidden="0"/>
    </xf>
    <xf numFmtId="167" fontId="26" fillId="0" borderId="0" applyAlignment="1" pivotButton="0" quotePrefix="0" xfId="181">
      <alignment horizontal="center"/>
    </xf>
    <xf numFmtId="167" fontId="26" fillId="0" borderId="0" applyAlignment="1" applyProtection="1" pivotButton="0" quotePrefix="0" xfId="181">
      <alignment horizontal="left"/>
      <protection locked="0" hidden="0"/>
    </xf>
    <xf numFmtId="182" fontId="29" fillId="0" borderId="0" applyAlignment="1" applyProtection="1" pivotButton="0" quotePrefix="0" xfId="179">
      <alignment horizontal="left"/>
      <protection locked="0" hidden="0"/>
    </xf>
    <xf numFmtId="167" fontId="30" fillId="2" borderId="0" applyAlignment="1" pivotButton="0" quotePrefix="0" xfId="1">
      <alignment horizontal="center"/>
    </xf>
    <xf numFmtId="167" fontId="61" fillId="0" borderId="0" applyAlignment="1" applyProtection="1" pivotButton="0" quotePrefix="0" xfId="181">
      <alignment horizontal="left"/>
      <protection locked="0" hidden="0"/>
    </xf>
    <xf numFmtId="164" fontId="29" fillId="0" borderId="0" applyProtection="1" pivotButton="0" quotePrefix="0" xfId="179">
      <protection locked="0" hidden="0"/>
    </xf>
    <xf numFmtId="164" fontId="61" fillId="0" borderId="0" applyAlignment="1" applyProtection="1" pivotButton="0" quotePrefix="0" xfId="2">
      <alignment horizontal="left"/>
      <protection locked="0" hidden="0"/>
    </xf>
    <xf numFmtId="167" fontId="61" fillId="8" borderId="0" applyAlignment="1" applyProtection="1" pivotButton="0" quotePrefix="0" xfId="180">
      <alignment horizontal="center"/>
      <protection locked="0" hidden="0"/>
    </xf>
    <xf numFmtId="167" fontId="61" fillId="8" borderId="0" applyAlignment="1" applyProtection="1" pivotButton="0" quotePrefix="0" xfId="181">
      <alignment horizontal="left"/>
      <protection locked="0" hidden="0"/>
    </xf>
    <xf numFmtId="167" fontId="30" fillId="0" borderId="0" applyProtection="1" pivotButton="0" quotePrefix="0" xfId="180">
      <protection locked="0" hidden="0"/>
    </xf>
    <xf numFmtId="167" fontId="29" fillId="8" borderId="0" applyProtection="1" pivotButton="0" quotePrefix="0" xfId="180">
      <protection locked="0" hidden="0"/>
    </xf>
    <xf numFmtId="167" fontId="26" fillId="8" borderId="0" applyAlignment="1" pivotButton="0" quotePrefix="0" xfId="181">
      <alignment horizontal="center"/>
    </xf>
    <xf numFmtId="164" fontId="29" fillId="8" borderId="0" applyProtection="1" pivotButton="0" quotePrefix="0" xfId="2">
      <protection locked="0" hidden="0"/>
    </xf>
    <xf numFmtId="167" fontId="61" fillId="8" borderId="0" applyAlignment="1" applyProtection="1" pivotButton="0" quotePrefix="0" xfId="180">
      <alignment horizontal="left"/>
      <protection locked="0" hidden="0"/>
    </xf>
    <xf numFmtId="167" fontId="41" fillId="8" borderId="0" applyProtection="1" pivotButton="0" quotePrefix="0" xfId="180">
      <protection locked="0" hidden="0"/>
    </xf>
    <xf numFmtId="167" fontId="26" fillId="8" borderId="0" applyAlignment="1" applyProtection="1" pivotButton="0" quotePrefix="0" xfId="180">
      <alignment horizontal="left"/>
      <protection locked="0" hidden="0"/>
    </xf>
    <xf numFmtId="167" fontId="26" fillId="8" borderId="0" applyProtection="1" pivotButton="0" quotePrefix="0" xfId="180">
      <protection locked="0" hidden="0"/>
    </xf>
    <xf numFmtId="167" fontId="26" fillId="8" borderId="0" applyAlignment="1" pivotButton="0" quotePrefix="0" xfId="180">
      <alignment horizontal="center"/>
    </xf>
    <xf numFmtId="167" fontId="29" fillId="8" borderId="0" applyAlignment="1" applyProtection="1" pivotButton="0" quotePrefix="0" xfId="180">
      <alignment horizontal="left"/>
      <protection locked="0" hidden="0"/>
    </xf>
    <xf numFmtId="167" fontId="61" fillId="8" borderId="0" applyAlignment="1" applyProtection="1" pivotButton="0" quotePrefix="0" xfId="181">
      <alignment horizontal="center"/>
      <protection locked="0" hidden="0"/>
    </xf>
    <xf numFmtId="167" fontId="29" fillId="0" borderId="0" pivotButton="0" quotePrefix="0" xfId="180"/>
    <xf numFmtId="167" fontId="29" fillId="0" borderId="0" pivotButton="0" quotePrefix="0" xfId="179"/>
    <xf numFmtId="167" fontId="29" fillId="8" borderId="13" applyAlignment="1" applyProtection="1" pivotButton="0" quotePrefix="0" xfId="180">
      <alignment horizontal="center" wrapText="1"/>
      <protection locked="0" hidden="0"/>
    </xf>
    <xf numFmtId="0" fontId="0" fillId="0" borderId="0" applyProtection="1" pivotButton="0" quotePrefix="0" xfId="0">
      <protection locked="0" hidden="0"/>
    </xf>
    <xf numFmtId="167" fontId="29" fillId="8" borderId="13" applyAlignment="1" applyProtection="1" pivotButton="0" quotePrefix="0" xfId="180">
      <alignment horizontal="center"/>
      <protection locked="0" hidden="0"/>
    </xf>
    <xf numFmtId="0" fontId="0" fillId="0" borderId="13" applyProtection="1" pivotButton="0" quotePrefix="0" xfId="0">
      <protection locked="0" hidden="0"/>
    </xf>
    <xf numFmtId="1" fontId="26" fillId="24" borderId="3" applyProtection="1" pivotButton="0" quotePrefix="0" xfId="1">
      <protection locked="0" hidden="0"/>
    </xf>
    <xf numFmtId="167" fontId="29" fillId="24" borderId="4" applyProtection="1" pivotButton="0" quotePrefix="0" xfId="180">
      <protection locked="0" hidden="0"/>
    </xf>
    <xf numFmtId="167" fontId="29" fillId="24" borderId="5" applyProtection="1" pivotButton="0" quotePrefix="0" xfId="180">
      <protection locked="0" hidden="0"/>
    </xf>
    <xf numFmtId="172" fontId="29" fillId="8" borderId="7" applyAlignment="1" applyProtection="1" pivotButton="0" quotePrefix="0" xfId="179">
      <alignment horizontal="left" vertical="center"/>
      <protection locked="0" hidden="0"/>
    </xf>
    <xf numFmtId="164" fontId="29" fillId="8" borderId="10" applyAlignment="1" applyProtection="1" pivotButton="0" quotePrefix="0" xfId="2">
      <alignment horizontal="center" vertical="center"/>
      <protection locked="0" hidden="0"/>
    </xf>
    <xf numFmtId="167" fontId="29" fillId="8" borderId="7" applyProtection="1" pivotButton="0" quotePrefix="0" xfId="180">
      <protection locked="0" hidden="0"/>
    </xf>
    <xf numFmtId="167" fontId="37" fillId="8" borderId="10" applyProtection="1" pivotButton="0" quotePrefix="0" xfId="180">
      <protection locked="0" hidden="0"/>
    </xf>
    <xf numFmtId="167" fontId="29" fillId="8" borderId="10" applyProtection="1" pivotButton="0" quotePrefix="0" xfId="180">
      <protection locked="0" hidden="0"/>
    </xf>
    <xf numFmtId="167" fontId="29" fillId="8" borderId="0" applyAlignment="1" applyProtection="1" pivotButton="0" quotePrefix="0" xfId="180">
      <alignment vertical="top" wrapText="1"/>
      <protection locked="0" hidden="0"/>
    </xf>
    <xf numFmtId="167" fontId="29" fillId="8" borderId="10" applyAlignment="1" applyProtection="1" pivotButton="0" quotePrefix="0" xfId="180">
      <alignment horizontal="left" vertical="top" wrapText="1"/>
      <protection locked="0" hidden="0"/>
    </xf>
    <xf numFmtId="167" fontId="29" fillId="8" borderId="61" applyProtection="1" pivotButton="0" quotePrefix="0" xfId="180">
      <protection locked="0" hidden="0"/>
    </xf>
    <xf numFmtId="167" fontId="26" fillId="8" borderId="0" applyAlignment="1" applyProtection="1" pivotButton="0" quotePrefix="0" xfId="181">
      <alignment horizontal="left" vertical="top"/>
      <protection locked="0" hidden="0"/>
    </xf>
    <xf numFmtId="0" fontId="0" fillId="0" borderId="10" applyProtection="1" pivotButton="0" quotePrefix="0" xfId="0">
      <protection locked="0" hidden="0"/>
    </xf>
    <xf numFmtId="167" fontId="29" fillId="8" borderId="0" applyAlignment="1" applyProtection="1" pivotButton="0" quotePrefix="0" xfId="180">
      <alignment horizontal="left" vertical="top" wrapText="1"/>
      <protection locked="0" hidden="0"/>
    </xf>
    <xf numFmtId="167" fontId="64" fillId="3" borderId="13" applyProtection="1" pivotButton="0" quotePrefix="0" xfId="180">
      <protection locked="0" hidden="0"/>
    </xf>
    <xf numFmtId="167" fontId="26" fillId="8" borderId="2" applyProtection="1" pivotButton="0" quotePrefix="0" xfId="180">
      <protection locked="0" hidden="0"/>
    </xf>
    <xf numFmtId="164" fontId="29" fillId="8" borderId="10" applyProtection="1" pivotButton="0" quotePrefix="0" xfId="2">
      <protection locked="0" hidden="0"/>
    </xf>
    <xf numFmtId="164" fontId="41" fillId="8" borderId="0" applyProtection="1" pivotButton="0" quotePrefix="0" xfId="2">
      <protection locked="0" hidden="0"/>
    </xf>
    <xf numFmtId="167" fontId="29" fillId="8" borderId="60" applyProtection="1" pivotButton="0" quotePrefix="0" xfId="180">
      <protection locked="0" hidden="0"/>
    </xf>
    <xf numFmtId="167" fontId="29" fillId="8" borderId="13" applyProtection="1" pivotButton="0" quotePrefix="0" xfId="180">
      <protection locked="0" hidden="0"/>
    </xf>
    <xf numFmtId="167" fontId="33" fillId="8" borderId="0" applyProtection="1" pivotButton="0" quotePrefix="0" xfId="180">
      <protection locked="0" hidden="0"/>
    </xf>
    <xf numFmtId="180" fontId="29" fillId="8" borderId="0" applyProtection="1" pivotButton="0" quotePrefix="0" xfId="2">
      <protection locked="0" hidden="0"/>
    </xf>
    <xf numFmtId="167" fontId="61" fillId="8" borderId="0" applyAlignment="1" pivotButton="0" quotePrefix="0" xfId="181">
      <alignment horizontal="left"/>
    </xf>
    <xf numFmtId="167" fontId="29" fillId="8" borderId="0" applyAlignment="1" applyProtection="1" pivotButton="0" quotePrefix="0" xfId="180">
      <alignment horizontal="right"/>
      <protection locked="0" hidden="0"/>
    </xf>
    <xf numFmtId="165" fontId="29" fillId="8" borderId="0" applyProtection="1" pivotButton="0" quotePrefix="0" xfId="1">
      <protection locked="0" hidden="0"/>
    </xf>
    <xf numFmtId="167" fontId="26" fillId="8" borderId="0" applyAlignment="1" pivotButton="0" quotePrefix="0" xfId="181">
      <alignment horizontal="left"/>
    </xf>
    <xf numFmtId="167" fontId="26" fillId="8" borderId="0" applyAlignment="1" pivotButton="0" quotePrefix="0" xfId="180">
      <alignment horizontal="left"/>
    </xf>
    <xf numFmtId="166" fontId="29" fillId="8" borderId="0" applyProtection="1" pivotButton="0" quotePrefix="0" xfId="180">
      <protection locked="0" hidden="0"/>
    </xf>
    <xf numFmtId="187" fontId="29" fillId="8" borderId="0" applyProtection="1" pivotButton="0" quotePrefix="0" xfId="180">
      <protection locked="0" hidden="0"/>
    </xf>
    <xf numFmtId="167" fontId="29" fillId="8" borderId="0" applyAlignment="1" applyProtection="1" pivotButton="0" quotePrefix="0" xfId="180">
      <alignment horizontal="center"/>
      <protection locked="0" hidden="0"/>
    </xf>
    <xf numFmtId="167" fontId="26" fillId="8" borderId="0" applyAlignment="1" applyProtection="1" pivotButton="0" quotePrefix="0" xfId="181">
      <alignment horizontal="center"/>
      <protection locked="0" hidden="0"/>
    </xf>
    <xf numFmtId="166" fontId="26" fillId="8" borderId="0" applyAlignment="1" pivotButton="0" quotePrefix="0" xfId="181">
      <alignment horizontal="center"/>
    </xf>
    <xf numFmtId="167" fontId="29" fillId="8" borderId="0" applyAlignment="1" pivotButton="0" quotePrefix="0" xfId="181">
      <alignment horizontal="center"/>
    </xf>
    <xf numFmtId="167" fontId="29" fillId="8" borderId="0" applyAlignment="1" pivotButton="0" quotePrefix="0" xfId="181">
      <alignment horizontal="left"/>
    </xf>
    <xf numFmtId="167" fontId="29" fillId="0" borderId="0" applyAlignment="1" applyProtection="1" pivotButton="0" quotePrefix="0" xfId="181">
      <alignment horizontal="center"/>
      <protection locked="0" hidden="0"/>
    </xf>
    <xf numFmtId="167" fontId="26" fillId="0" borderId="1" applyAlignment="1" pivotButton="0" quotePrefix="0" xfId="181">
      <alignment horizontal="center"/>
    </xf>
    <xf numFmtId="167" fontId="29" fillId="0" borderId="0" applyAlignment="1" applyProtection="1" pivotButton="0" quotePrefix="0" xfId="181">
      <alignment horizontal="left"/>
      <protection locked="0" hidden="0"/>
    </xf>
    <xf numFmtId="167" fontId="26" fillId="0" borderId="0" applyAlignment="1" applyProtection="1" pivotButton="0" quotePrefix="0" xfId="180">
      <alignment horizontal="left"/>
      <protection locked="0" hidden="0"/>
    </xf>
    <xf numFmtId="167" fontId="26" fillId="0" borderId="13" applyAlignment="1" pivotButton="0" quotePrefix="0" xfId="181">
      <alignment horizontal="center"/>
    </xf>
    <xf numFmtId="165" fontId="29" fillId="0" borderId="20" applyAlignment="1" pivotButton="0" quotePrefix="0" xfId="1">
      <alignment horizontal="right"/>
    </xf>
    <xf numFmtId="165" fontId="29" fillId="0" borderId="25" applyAlignment="1" pivotButton="0" quotePrefix="0" xfId="1">
      <alignment horizontal="right"/>
    </xf>
    <xf numFmtId="165" fontId="25" fillId="4" borderId="0" pivotButton="0" quotePrefix="0" xfId="33"/>
    <xf numFmtId="174" fontId="29" fillId="2" borderId="0" applyAlignment="1" pivotButton="0" quotePrefix="0" xfId="0">
      <alignment horizontal="left"/>
    </xf>
    <xf numFmtId="190" fontId="2" fillId="0" borderId="0" pivotButton="0" quotePrefix="0" xfId="0"/>
    <xf numFmtId="164" fontId="2" fillId="0" borderId="0" applyAlignment="1" pivotButton="0" quotePrefix="0" xfId="2">
      <alignment horizontal="center"/>
    </xf>
    <xf numFmtId="186" fontId="2" fillId="0" borderId="0" applyAlignment="1" pivotButton="0" quotePrefix="0" xfId="0">
      <alignment horizontal="center"/>
    </xf>
    <xf numFmtId="167" fontId="2" fillId="0" borderId="0" applyAlignment="1" pivotButton="0" quotePrefix="0" xfId="167">
      <alignment horizontal="left"/>
    </xf>
    <xf numFmtId="164" fontId="2" fillId="0" borderId="0" applyAlignment="1" pivotButton="0" quotePrefix="0" xfId="2">
      <alignment horizontal="left"/>
    </xf>
    <xf numFmtId="165" fontId="55" fillId="0" borderId="0" pivotButton="0" quotePrefix="0" xfId="1"/>
    <xf numFmtId="164" fontId="37" fillId="0" borderId="0" pivotButton="0" quotePrefix="0" xfId="2"/>
    <xf numFmtId="184" fontId="45" fillId="0" borderId="0" pivotButton="0" quotePrefix="0" xfId="2"/>
    <xf numFmtId="183" fontId="45" fillId="0" borderId="0" pivotButton="0" quotePrefix="0" xfId="0"/>
    <xf numFmtId="174" fontId="30" fillId="2" borderId="0" applyAlignment="1" pivotButton="0" quotePrefix="0" xfId="0">
      <alignment horizontal="left"/>
    </xf>
    <xf numFmtId="164" fontId="29" fillId="3" borderId="0" pivotButton="0" quotePrefix="0" xfId="2"/>
    <xf numFmtId="165" fontId="15" fillId="0" borderId="0" pivotButton="0" quotePrefix="0" xfId="0"/>
    <xf numFmtId="191" fontId="2" fillId="0" borderId="0" pivotButton="0" quotePrefix="0" xfId="2"/>
    <xf numFmtId="192" fontId="2" fillId="0" borderId="0" pivotButton="0" quotePrefix="0" xfId="32"/>
    <xf numFmtId="176" fontId="28" fillId="0" borderId="2" pivotButton="0" quotePrefix="0" xfId="167"/>
    <xf numFmtId="175" fontId="25" fillId="0" borderId="2" pivotButton="0" quotePrefix="0" xfId="167"/>
    <xf numFmtId="37" fontId="55" fillId="24" borderId="20" pivotButton="0" quotePrefix="0" xfId="31"/>
    <xf numFmtId="164" fontId="37" fillId="0" borderId="20" pivotButton="0" quotePrefix="0" xfId="32"/>
    <xf numFmtId="164" fontId="30" fillId="0" borderId="23" pivotButton="0" quotePrefix="0" xfId="32"/>
    <xf numFmtId="164" fontId="30" fillId="2" borderId="23" pivotButton="0" quotePrefix="0" xfId="32"/>
    <xf numFmtId="164" fontId="29" fillId="0" borderId="23" pivotButton="0" quotePrefix="0" xfId="32"/>
    <xf numFmtId="165" fontId="0" fillId="0" borderId="0" pivotButton="0" quotePrefix="0" xfId="1"/>
    <xf numFmtId="164" fontId="28" fillId="0" borderId="0" pivotButton="0" quotePrefix="0" xfId="32"/>
    <xf numFmtId="193" fontId="2" fillId="0" borderId="0" pivotButton="0" quotePrefix="0" xfId="0"/>
    <xf numFmtId="37" fontId="25" fillId="24" borderId="20" pivotButton="0" quotePrefix="0" xfId="31"/>
    <xf numFmtId="164" fontId="25" fillId="0" borderId="4" pivotButton="0" quotePrefix="0" xfId="32"/>
    <xf numFmtId="164" fontId="28" fillId="6" borderId="0" pivotButton="0" quotePrefix="0" xfId="32"/>
    <xf numFmtId="164" fontId="2" fillId="0" borderId="0" pivotButton="0" quotePrefix="0" xfId="32"/>
    <xf numFmtId="164" fontId="29" fillId="0" borderId="20" pivotButton="0" quotePrefix="0" xfId="32"/>
    <xf numFmtId="164" fontId="2" fillId="0" borderId="20" pivotButton="0" quotePrefix="0" xfId="32"/>
    <xf numFmtId="164" fontId="29" fillId="0" borderId="0" pivotButton="0" quotePrefix="0" xfId="32"/>
    <xf numFmtId="0" fontId="104" fillId="25" borderId="0" applyAlignment="1" pivotButton="0" quotePrefix="0" xfId="0">
      <alignment horizontal="left" wrapText="1" readingOrder="1"/>
    </xf>
    <xf numFmtId="0" fontId="104" fillId="25" borderId="0" applyAlignment="1" pivotButton="0" quotePrefix="0" xfId="0">
      <alignment horizontal="center" wrapText="1" readingOrder="1"/>
    </xf>
    <xf numFmtId="37" fontId="108" fillId="25" borderId="0" applyAlignment="1" pivotButton="0" quotePrefix="0" xfId="0">
      <alignment horizontal="right" wrapText="1" indent="1" readingOrder="1"/>
    </xf>
    <xf numFmtId="167" fontId="106" fillId="22" borderId="56" applyAlignment="1" pivotButton="0" quotePrefix="0" xfId="0">
      <alignment horizontal="right" wrapText="1" indent="1" readingOrder="1"/>
    </xf>
    <xf numFmtId="0" fontId="104" fillId="25" borderId="0" applyAlignment="1" pivotButton="0" quotePrefix="0" xfId="0">
      <alignment horizontal="right" wrapText="1" readingOrder="1"/>
    </xf>
    <xf numFmtId="164" fontId="100" fillId="13" borderId="0" pivotButton="0" quotePrefix="0" xfId="2"/>
    <xf numFmtId="165" fontId="94" fillId="13" borderId="0" pivotButton="0" quotePrefix="0" xfId="1"/>
    <xf numFmtId="164" fontId="110" fillId="13" borderId="0" pivotButton="0" quotePrefix="0" xfId="2"/>
    <xf numFmtId="164" fontId="97" fillId="13" borderId="1" pivotButton="0" quotePrefix="0" xfId="32"/>
    <xf numFmtId="164" fontId="95" fillId="13" borderId="11" pivotButton="0" quotePrefix="0" xfId="2"/>
    <xf numFmtId="165" fontId="94" fillId="13" borderId="11" pivotButton="0" quotePrefix="0" xfId="1"/>
    <xf numFmtId="164" fontId="106" fillId="22" borderId="56" applyAlignment="1" pivotButton="0" quotePrefix="0" xfId="2">
      <alignment horizontal="right" wrapText="1" readingOrder="1"/>
    </xf>
    <xf numFmtId="164" fontId="106" fillId="13" borderId="0" applyAlignment="1" pivotButton="0" quotePrefix="0" xfId="2">
      <alignment horizontal="right" wrapText="1" readingOrder="1"/>
    </xf>
    <xf numFmtId="164" fontId="97" fillId="13" borderId="0" pivotButton="0" quotePrefix="0" xfId="32"/>
    <xf numFmtId="165" fontId="94" fillId="13" borderId="13" pivotButton="0" quotePrefix="0" xfId="1"/>
    <xf numFmtId="164" fontId="97" fillId="2" borderId="0" pivotButton="0" quotePrefix="0" xfId="32"/>
    <xf numFmtId="164" fontId="100" fillId="13" borderId="1" pivotButton="0" quotePrefix="0" xfId="2"/>
    <xf numFmtId="183" fontId="94" fillId="13" borderId="1" pivotButton="0" quotePrefix="0" xfId="1"/>
    <xf numFmtId="183" fontId="94" fillId="13" borderId="0" pivotButton="0" quotePrefix="0" xfId="1"/>
    <xf numFmtId="164" fontId="100" fillId="13" borderId="0" pivotButton="0" quotePrefix="0" xfId="32"/>
    <xf numFmtId="183" fontId="94" fillId="13" borderId="11" pivotButton="0" quotePrefix="0" xfId="1"/>
    <xf numFmtId="164" fontId="94" fillId="13" borderId="4" pivotButton="0" quotePrefix="0" xfId="2"/>
    <xf numFmtId="37" fontId="94" fillId="24" borderId="13" pivotButton="0" quotePrefix="0" xfId="0"/>
    <xf numFmtId="166" fontId="106" fillId="22" borderId="56" applyAlignment="1" pivotButton="0" quotePrefix="0" xfId="0">
      <alignment horizontal="right" wrapText="1" indent="1" readingOrder="1"/>
    </xf>
    <xf numFmtId="176" fontId="29" fillId="0" borderId="0" pivotButton="0" quotePrefix="0" xfId="195"/>
    <xf numFmtId="176" fontId="2" fillId="0" borderId="0" pivotButton="0" quotePrefix="0" xfId="195"/>
    <xf numFmtId="181" fontId="73" fillId="12" borderId="0" pivotButton="0" quotePrefix="0" xfId="1"/>
    <xf numFmtId="194" fontId="2" fillId="10" borderId="0" pivotButton="0" quotePrefix="0" xfId="195"/>
    <xf numFmtId="181" fontId="2" fillId="0" borderId="0" pivotButton="0" quotePrefix="0" xfId="1"/>
    <xf numFmtId="175" fontId="55" fillId="0" borderId="0" pivotButton="0" quotePrefix="0" xfId="195"/>
    <xf numFmtId="181" fontId="2" fillId="0" borderId="0" pivotButton="0" quotePrefix="0" xfId="0"/>
    <xf numFmtId="175" fontId="2" fillId="0" borderId="0" pivotButton="0" quotePrefix="0" xfId="195"/>
    <xf numFmtId="0" fontId="2" fillId="0" borderId="64" applyAlignment="1" pivotButton="0" quotePrefix="0" xfId="0">
      <alignment horizontal="center" vertical="center"/>
    </xf>
    <xf numFmtId="0" fontId="0" fillId="0" borderId="66" pivotButton="0" quotePrefix="0" xfId="0"/>
    <xf numFmtId="0" fontId="89" fillId="10" borderId="49" applyAlignment="1" pivotButton="0" quotePrefix="0" xfId="195">
      <alignment horizontal="center"/>
    </xf>
    <xf numFmtId="0" fontId="0" fillId="0" borderId="34" pivotButton="0" quotePrefix="0" xfId="0"/>
    <xf numFmtId="0" fontId="45" fillId="10" borderId="55" applyAlignment="1" pivotButton="0" quotePrefix="0" xfId="195">
      <alignment horizontal="center"/>
    </xf>
    <xf numFmtId="0" fontId="0" fillId="0" borderId="46" pivotButton="0" quotePrefix="0" xfId="0"/>
    <xf numFmtId="165" fontId="2" fillId="0" borderId="24" applyAlignment="1" pivotButton="0" quotePrefix="0" xfId="1">
      <alignment vertical="center"/>
    </xf>
    <xf numFmtId="165" fontId="2" fillId="0" borderId="24" applyAlignment="1" pivotButton="0" quotePrefix="0" xfId="0">
      <alignment vertical="center"/>
    </xf>
    <xf numFmtId="165" fontId="2" fillId="0" borderId="48" applyAlignment="1" pivotButton="0" quotePrefix="0" xfId="0">
      <alignment vertical="center"/>
    </xf>
    <xf numFmtId="165" fontId="45" fillId="10" borderId="49" pivotButton="0" quotePrefix="0" xfId="195"/>
    <xf numFmtId="165" fontId="2" fillId="0" borderId="63" applyAlignment="1" pivotButton="0" quotePrefix="0" xfId="1">
      <alignment vertical="center"/>
    </xf>
    <xf numFmtId="165" fontId="25" fillId="0" borderId="24" applyAlignment="1" pivotButton="0" quotePrefix="0" xfId="1">
      <alignment vertical="center"/>
    </xf>
    <xf numFmtId="165" fontId="25" fillId="0" borderId="48" applyAlignment="1" pivotButton="0" quotePrefix="0" xfId="1">
      <alignment vertical="center"/>
    </xf>
    <xf numFmtId="165" fontId="55" fillId="10" borderId="50" pivotButton="0" quotePrefix="0" xfId="195"/>
    <xf numFmtId="165" fontId="25" fillId="0" borderId="53" applyAlignment="1" pivotButton="0" quotePrefix="0" xfId="1">
      <alignment vertical="center"/>
    </xf>
    <xf numFmtId="165" fontId="25" fillId="0" borderId="54" applyAlignment="1" pivotButton="0" quotePrefix="0" xfId="1">
      <alignment vertical="center"/>
    </xf>
    <xf numFmtId="165" fontId="55" fillId="10" borderId="55" pivotButton="0" quotePrefix="0" xfId="195"/>
    <xf numFmtId="176" fontId="90" fillId="0" borderId="0" pivotButton="0" quotePrefix="0" xfId="195"/>
    <xf numFmtId="181" fontId="90" fillId="0" borderId="0" pivotButton="0" quotePrefix="0" xfId="1"/>
    <xf numFmtId="165" fontId="90" fillId="0" borderId="0" pivotButton="0" quotePrefix="0" xfId="1"/>
    <xf numFmtId="165" fontId="2" fillId="0" borderId="0" pivotButton="0" quotePrefix="0" xfId="196"/>
    <xf numFmtId="164" fontId="37" fillId="19" borderId="27" applyAlignment="1" pivotButton="0" quotePrefix="0" xfId="2">
      <alignment horizontal="center"/>
    </xf>
    <xf numFmtId="0" fontId="25" fillId="2" borderId="64" applyAlignment="1" pivotButton="0" quotePrefix="0" xfId="195">
      <alignment horizontal="center"/>
    </xf>
    <xf numFmtId="164" fontId="2" fillId="3" borderId="26" pivotButton="0" quotePrefix="0" xfId="2"/>
    <xf numFmtId="176" fontId="2" fillId="3" borderId="42" pivotButton="0" quotePrefix="0" xfId="195"/>
    <xf numFmtId="176" fontId="2" fillId="0" borderId="0" applyAlignment="1" pivotButton="0" quotePrefix="0" xfId="2">
      <alignment horizontal="center"/>
    </xf>
    <xf numFmtId="164" fontId="37" fillId="0" borderId="0" applyAlignment="1" pivotButton="0" quotePrefix="0" xfId="2">
      <alignment horizontal="center"/>
    </xf>
    <xf numFmtId="165" fontId="2" fillId="0" borderId="0" pivotButton="0" quotePrefix="0" xfId="195"/>
    <xf numFmtId="195" fontId="2" fillId="0" borderId="0" pivotButton="0" quotePrefix="0" xfId="195"/>
    <xf numFmtId="164" fontId="2" fillId="0" borderId="0" pivotButton="0" quotePrefix="0" xfId="196"/>
    <xf numFmtId="178" fontId="84" fillId="15" borderId="0" pivotButton="0" quotePrefix="0" xfId="183"/>
    <xf numFmtId="185" fontId="84" fillId="16" borderId="7" pivotButton="0" quotePrefix="0" xfId="0"/>
    <xf numFmtId="178" fontId="84" fillId="17" borderId="13" applyAlignment="1" pivotButton="0" quotePrefix="0" xfId="0">
      <alignment horizontal="center"/>
    </xf>
    <xf numFmtId="186" fontId="20" fillId="8" borderId="0" applyAlignment="1" pivotButton="0" quotePrefix="0" xfId="0">
      <alignment horizontal="center"/>
    </xf>
    <xf numFmtId="179" fontId="20" fillId="8" borderId="0" pivotButton="0" quotePrefix="0" xfId="183"/>
    <xf numFmtId="164" fontId="67" fillId="0" borderId="0" pivotButton="0" quotePrefix="0" xfId="0"/>
    <xf numFmtId="164" fontId="0" fillId="0" borderId="0" pivotButton="0" quotePrefix="0" xfId="0"/>
    <xf numFmtId="164" fontId="79" fillId="11" borderId="2" pivotButton="0" quotePrefix="0" xfId="0"/>
    <xf numFmtId="164" fontId="65" fillId="11" borderId="2" pivotButton="0" quotePrefix="0" xfId="0"/>
    <xf numFmtId="164" fontId="38" fillId="0" borderId="0" pivotButton="0" quotePrefix="0" xfId="2"/>
    <xf numFmtId="164" fontId="67" fillId="3" borderId="0" pivotButton="0" quotePrefix="0" xfId="2"/>
    <xf numFmtId="41" fontId="112" fillId="0" borderId="19" applyAlignment="1" pivotButton="0" quotePrefix="0" xfId="31">
      <alignment horizontal="right"/>
    </xf>
    <xf numFmtId="0" fontId="112" fillId="0" borderId="19" applyAlignment="1" pivotButton="0" quotePrefix="0" xfId="31">
      <alignment horizontal="right"/>
    </xf>
    <xf numFmtId="165" fontId="112" fillId="0" borderId="20" applyAlignment="1" pivotButton="0" quotePrefix="0" xfId="1">
      <alignment horizontal="right"/>
    </xf>
    <xf numFmtId="41" fontId="112" fillId="0" borderId="20" applyAlignment="1" pivotButton="0" quotePrefix="0" xfId="31">
      <alignment horizontal="right"/>
    </xf>
    <xf numFmtId="0" fontId="112" fillId="0" borderId="20" applyAlignment="1" pivotButton="0" quotePrefix="0" xfId="31">
      <alignment horizontal="right"/>
    </xf>
    <xf numFmtId="165" fontId="112" fillId="0" borderId="25" applyAlignment="1" pivotButton="0" quotePrefix="0" xfId="1">
      <alignment horizontal="right"/>
    </xf>
    <xf numFmtId="0" fontId="112" fillId="0" borderId="25" applyAlignment="1" pivotButton="0" quotePrefix="0" xfId="31">
      <alignment horizontal="right"/>
    </xf>
    <xf numFmtId="0" fontId="112" fillId="2" borderId="20" pivotButton="0" quotePrefix="0" xfId="0"/>
    <xf numFmtId="9" fontId="112" fillId="2" borderId="20" pivotButton="0" quotePrefix="0" xfId="2"/>
    <xf numFmtId="173" fontId="112" fillId="2" borderId="21" pivotButton="0" quotePrefix="0" xfId="0"/>
    <xf numFmtId="9" fontId="112" fillId="8" borderId="10" applyProtection="1" pivotButton="0" quotePrefix="0" xfId="2">
      <protection locked="0" hidden="0"/>
    </xf>
    <xf numFmtId="167" fontId="112" fillId="8" borderId="61" applyProtection="1" pivotButton="0" quotePrefix="0" xfId="180">
      <protection locked="0" hidden="0"/>
    </xf>
    <xf numFmtId="9" fontId="112" fillId="3" borderId="10" applyProtection="1" pivotButton="0" quotePrefix="0" xfId="2">
      <protection locked="0" hidden="0"/>
    </xf>
    <xf numFmtId="167" fontId="112" fillId="3" borderId="13" applyProtection="1" pivotButton="0" quotePrefix="0" xfId="180">
      <protection locked="0" hidden="0"/>
    </xf>
    <xf numFmtId="1" fontId="112" fillId="8" borderId="10" applyProtection="1" pivotButton="0" quotePrefix="0" xfId="180">
      <protection locked="0" hidden="0"/>
    </xf>
    <xf numFmtId="10" fontId="112" fillId="0" borderId="2" pivotButton="0" quotePrefix="0" xfId="2"/>
    <xf numFmtId="10" fontId="112" fillId="13" borderId="13" applyAlignment="1" pivotButton="0" quotePrefix="0" xfId="2">
      <alignment horizontal="center"/>
    </xf>
    <xf numFmtId="9" fontId="112" fillId="0" borderId="24" applyAlignment="1" pivotButton="0" quotePrefix="0" xfId="2">
      <alignment vertical="center"/>
    </xf>
    <xf numFmtId="43" fontId="112" fillId="0" borderId="24" pivotButton="0" quotePrefix="0" xfId="1"/>
    <xf numFmtId="0" fontId="112" fillId="0" borderId="24" applyAlignment="1" pivotButton="0" quotePrefix="0" xfId="0">
      <alignment vertical="center"/>
    </xf>
  </cellXfs>
  <cellStyles count="89">
    <cellStyle name="Normal" xfId="0" builtinId="0"/>
    <cellStyle name="Comma" xfId="1" builtinId="3"/>
    <cellStyle name="Percent" xfId="2" builtinId="5"/>
    <cellStyle name="Hyperlink" xfId="3" builtinId="8" hidden="1"/>
    <cellStyle name="Followed Hyperlink" xfId="4" builtinId="9" hidden="1"/>
    <cellStyle name="Normal 2" xfId="5"/>
    <cellStyle name="Percent 2" xfId="6"/>
    <cellStyle name="Comma 2" xfId="7"/>
    <cellStyle name="Normal 2 2" xfId="8"/>
    <cellStyle name="Comma 2 2" xfId="9"/>
    <cellStyle name="Currency 2" xfId="10"/>
    <cellStyle name="Percent 2 2" xfId="11"/>
    <cellStyle name="Comma  - Style1" xfId="12"/>
    <cellStyle name="Comma  - Style2" xfId="13"/>
    <cellStyle name="Comma  - Style3" xfId="14"/>
    <cellStyle name="Comma  - Style4" xfId="15"/>
    <cellStyle name="Comma  - Style5" xfId="16"/>
    <cellStyle name="Comma  - Style6" xfId="17"/>
    <cellStyle name="Comma  - Style7" xfId="18"/>
    <cellStyle name="Comma  - Style8" xfId="19"/>
    <cellStyle name="Normal - Style1" xfId="20"/>
    <cellStyle name="Currency" xfId="21" builtinId="4"/>
    <cellStyle name="Comma 3" xfId="22"/>
    <cellStyle name="Normal 3" xfId="23"/>
    <cellStyle name="Normal_H" xfId="24"/>
    <cellStyle name="Normal_Returns" xfId="25"/>
    <cellStyle name="Normal_Assumptions" xfId="26"/>
    <cellStyle name="Normal 4" xfId="27"/>
    <cellStyle name="Normal 5" xfId="28"/>
    <cellStyle name="Normal 6" xfId="29"/>
    <cellStyle name="Normal 7" xfId="30"/>
    <cellStyle name="Normal 17" xfId="31"/>
    <cellStyle name="Normal 4 2 3 2" xfId="32"/>
    <cellStyle name="Comma 4 2 5" xfId="33"/>
    <cellStyle name="Currency 3 2 3 2" xfId="34"/>
    <cellStyle name="Normal 2 7" xfId="35"/>
    <cellStyle name="Percent 2 6" xfId="36"/>
    <cellStyle name="Normal 4 2" xfId="37"/>
    <cellStyle name="Percent 3" xfId="38"/>
    <cellStyle name="Normal 4 3" xfId="39"/>
    <cellStyle name="Percent 3 2" xfId="40"/>
    <cellStyle name="Normal 8" xfId="41"/>
    <cellStyle name="Normal 2 3" xfId="42"/>
    <cellStyle name="Percent 2 3" xfId="43"/>
    <cellStyle name="Comma 2 3" xfId="44"/>
    <cellStyle name="Normal 17 2" xfId="45"/>
    <cellStyle name="Normal 4 2 3 2 2" xfId="46"/>
    <cellStyle name="Comma 4 2 5 2" xfId="47"/>
    <cellStyle name="Currency 3 2 3 2 2" xfId="48"/>
    <cellStyle name="Normal 4 2 2" xfId="49"/>
    <cellStyle name="Percent 3 3" xfId="50"/>
    <cellStyle name="Normal 4 3 2" xfId="51"/>
    <cellStyle name="Percent 3 2 2" xfId="52"/>
    <cellStyle name="Normal 9" xfId="53"/>
    <cellStyle name="Percent 4" xfId="54"/>
    <cellStyle name="Currency 3" xfId="55"/>
    <cellStyle name="Currency [0] 2" xfId="56"/>
    <cellStyle name="Comma 4" xfId="57"/>
    <cellStyle name="Comma [0] 2" xfId="58"/>
    <cellStyle name="Normal 2 5" xfId="59"/>
    <cellStyle name="Normal 2 4" xfId="60"/>
    <cellStyle name="Percent 2 4" xfId="61"/>
    <cellStyle name="Comma 2 4" xfId="62"/>
    <cellStyle name="Normal 17 3" xfId="63"/>
    <cellStyle name="Normal 4 2 3 2 3" xfId="64"/>
    <cellStyle name="Comma 4 2 5 3" xfId="65"/>
    <cellStyle name="Currency 3 2 3 2 3" xfId="66"/>
    <cellStyle name="Normal 4 2 3" xfId="67"/>
    <cellStyle name="Percent 3 4" xfId="68"/>
    <cellStyle name="Normal 4 3 3" xfId="69"/>
    <cellStyle name="Percent 3 2 3" xfId="70"/>
    <cellStyle name="Normal 2 3 2" xfId="71"/>
    <cellStyle name="Percent 2 3 2" xfId="72"/>
    <cellStyle name="Comma 2 3 2" xfId="73"/>
    <cellStyle name="Normal 17 2 2" xfId="74"/>
    <cellStyle name="Normal 4 2 3 2 2 2" xfId="75"/>
    <cellStyle name="Comma 4 2 5 2 2" xfId="76"/>
    <cellStyle name="Currency 3 2 3 2 2 2" xfId="77"/>
    <cellStyle name="Normal 4 2 2 2" xfId="78"/>
    <cellStyle name="Percent 3 3 2" xfId="79"/>
    <cellStyle name="Normal 4 3 2 2" xfId="80"/>
    <cellStyle name="Percent 3 2 2 2" xfId="81"/>
    <cellStyle name="Normal 9 2" xfId="82"/>
    <cellStyle name="Percent 4 2" xfId="83"/>
    <cellStyle name="Currency 3 2" xfId="84"/>
    <cellStyle name="Currency [0] 2 2" xfId="85"/>
    <cellStyle name="Comma 4 2" xfId="86"/>
    <cellStyle name="Comma [0] 2 2" xfId="87"/>
    <cellStyle name="Normal 2 5 2" xfId="8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3862660944206009"/>
          <y val="0.03902439024390244"/>
          <w val="0.9288779889638259"/>
          <h val="0.748780487804878"/>
        </manualLayout>
      </layout>
      <lineChart>
        <grouping val="standard"/>
        <varyColors val="0"/>
        <ser>
          <idx val="0"/>
          <order val="0"/>
          <tx>
            <strRef>
              <f>'Forward Curves-Monthly'!$A$8</f>
              <strCache>
                <ptCount val="1"/>
                <pt idx="0">
                  <v>1 Month USD SOFR Forward Curve</v>
                </pt>
              </strCache>
            </strRef>
          </tx>
          <spPr>
            <a:ln xmlns:a="http://schemas.openxmlformats.org/drawingml/2006/main" w="12700">
              <a:solidFill>
                <a:srgbClr val="FF99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'Forward Curves-Monthly'!$B$6:$FN$6</f>
              <numCache>
                <formatCode>mm/dd/yyyy</formatCode>
                <ptCount val="169"/>
                <pt idx="0">
                  <v>46035</v>
                </pt>
                <pt idx="1">
                  <v>46066</v>
                </pt>
                <pt idx="2">
                  <v>46094</v>
                </pt>
                <pt idx="3">
                  <v>46125</v>
                </pt>
                <pt idx="4">
                  <v>46155</v>
                </pt>
                <pt idx="5">
                  <v>46188</v>
                </pt>
                <pt idx="6">
                  <v>46216</v>
                </pt>
                <pt idx="7">
                  <v>46247</v>
                </pt>
                <pt idx="8">
                  <v>46279</v>
                </pt>
                <pt idx="9">
                  <v>46308</v>
                </pt>
                <pt idx="10">
                  <v>46339</v>
                </pt>
                <pt idx="11">
                  <v>46370</v>
                </pt>
                <pt idx="12">
                  <v>46400</v>
                </pt>
                <pt idx="13">
                  <v>46434</v>
                </pt>
                <pt idx="14">
                  <v>46461</v>
                </pt>
                <pt idx="15">
                  <v>46490</v>
                </pt>
                <pt idx="16">
                  <v>46520</v>
                </pt>
                <pt idx="17">
                  <v>46552</v>
                </pt>
                <pt idx="18">
                  <v>46581</v>
                </pt>
                <pt idx="19">
                  <v>46612</v>
                </pt>
                <pt idx="20">
                  <v>46643</v>
                </pt>
                <pt idx="21">
                  <v>46673</v>
                </pt>
                <pt idx="22">
                  <v>46706</v>
                </pt>
                <pt idx="23">
                  <v>46734</v>
                </pt>
                <pt idx="24">
                  <v>46765</v>
                </pt>
                <pt idx="25">
                  <v>46797</v>
                </pt>
                <pt idx="26">
                  <v>46825</v>
                </pt>
                <pt idx="27">
                  <v>46856</v>
                </pt>
                <pt idx="28">
                  <v>46888</v>
                </pt>
                <pt idx="29">
                  <v>46917</v>
                </pt>
                <pt idx="30">
                  <v>46947</v>
                </pt>
                <pt idx="31">
                  <v>46979</v>
                </pt>
                <pt idx="32">
                  <v>47009</v>
                </pt>
                <pt idx="33">
                  <v>47039</v>
                </pt>
                <pt idx="34">
                  <v>47070</v>
                </pt>
                <pt idx="35">
                  <v>47100</v>
                </pt>
                <pt idx="36">
                  <v>47134</v>
                </pt>
                <pt idx="37">
                  <v>47162</v>
                </pt>
                <pt idx="38">
                  <v>47190</v>
                </pt>
                <pt idx="39">
                  <v>47221</v>
                </pt>
                <pt idx="40">
                  <v>47252</v>
                </pt>
                <pt idx="41">
                  <v>47282</v>
                </pt>
                <pt idx="42">
                  <v>47312</v>
                </pt>
                <pt idx="43">
                  <v>47343</v>
                </pt>
                <pt idx="44">
                  <v>47374</v>
                </pt>
                <pt idx="45">
                  <v>47406</v>
                </pt>
                <pt idx="46">
                  <v>47435</v>
                </pt>
                <pt idx="47">
                  <v>47465</v>
                </pt>
                <pt idx="48">
                  <v>47497</v>
                </pt>
                <pt idx="49">
                  <v>47527</v>
                </pt>
                <pt idx="50">
                  <v>47555</v>
                </pt>
                <pt idx="51">
                  <v>47588</v>
                </pt>
                <pt idx="52">
                  <v>47616</v>
                </pt>
                <pt idx="53">
                  <v>47647</v>
                </pt>
                <pt idx="54">
                  <v>47679</v>
                </pt>
                <pt idx="55">
                  <v>47708</v>
                </pt>
                <pt idx="56">
                  <v>47739</v>
                </pt>
                <pt idx="57">
                  <v>47771</v>
                </pt>
                <pt idx="58">
                  <v>47800</v>
                </pt>
                <pt idx="59">
                  <v>47830</v>
                </pt>
                <pt idx="60">
                  <v>47861</v>
                </pt>
                <pt idx="61">
                  <v>47892</v>
                </pt>
                <pt idx="62">
                  <v>47920</v>
                </pt>
                <pt idx="63">
                  <v>47952</v>
                </pt>
                <pt idx="64">
                  <v>47981</v>
                </pt>
                <pt idx="65">
                  <v>48012</v>
                </pt>
                <pt idx="66">
                  <v>48043</v>
                </pt>
                <pt idx="67">
                  <v>48073</v>
                </pt>
                <pt idx="68">
                  <v>48106</v>
                </pt>
                <pt idx="69">
                  <v>48135</v>
                </pt>
                <pt idx="70">
                  <v>48165</v>
                </pt>
                <pt idx="71">
                  <v>48197</v>
                </pt>
                <pt idx="72">
                  <v>48226</v>
                </pt>
                <pt idx="73">
                  <v>48257</v>
                </pt>
                <pt idx="74">
                  <v>48288</v>
                </pt>
                <pt idx="75">
                  <v>48317</v>
                </pt>
                <pt idx="76">
                  <v>48347</v>
                </pt>
                <pt idx="77">
                  <v>48379</v>
                </pt>
                <pt idx="78">
                  <v>48408</v>
                </pt>
                <pt idx="79">
                  <v>48439</v>
                </pt>
                <pt idx="80">
                  <v>48470</v>
                </pt>
                <pt idx="81">
                  <v>48500</v>
                </pt>
                <pt idx="82">
                  <v>48533</v>
                </pt>
                <pt idx="83">
                  <v>48561</v>
                </pt>
                <pt idx="84">
                  <v>48592</v>
                </pt>
                <pt idx="85">
                  <v>48624</v>
                </pt>
                <pt idx="86">
                  <v>48652</v>
                </pt>
                <pt idx="87">
                  <v>48682</v>
                </pt>
                <pt idx="88">
                  <v>48712</v>
                </pt>
                <pt idx="89">
                  <v>48743</v>
                </pt>
                <pt idx="90">
                  <v>48773</v>
                </pt>
                <pt idx="91">
                  <v>48806</v>
                </pt>
                <pt idx="92">
                  <v>48835</v>
                </pt>
                <pt idx="93">
                  <v>48865</v>
                </pt>
                <pt idx="94">
                  <v>48897</v>
                </pt>
                <pt idx="95">
                  <v>48926</v>
                </pt>
                <pt idx="96">
                  <v>48957</v>
                </pt>
                <pt idx="97">
                  <v>48988</v>
                </pt>
                <pt idx="98">
                  <v>49016</v>
                </pt>
                <pt idx="99">
                  <v>49047</v>
                </pt>
                <pt idx="100">
                  <v>49079</v>
                </pt>
                <pt idx="101">
                  <v>49108</v>
                </pt>
                <pt idx="102">
                  <v>49138</v>
                </pt>
                <pt idx="103">
                  <v>49170</v>
                </pt>
                <pt idx="104">
                  <v>49200</v>
                </pt>
                <pt idx="105">
                  <v>49230</v>
                </pt>
                <pt idx="106">
                  <v>49261</v>
                </pt>
                <pt idx="107">
                  <v>49291</v>
                </pt>
                <pt idx="108">
                  <v>49325</v>
                </pt>
                <pt idx="109">
                  <v>49353</v>
                </pt>
                <pt idx="110">
                  <v>49381</v>
                </pt>
                <pt idx="111">
                  <v>49412</v>
                </pt>
                <pt idx="112">
                  <v>49443</v>
                </pt>
                <pt idx="113">
                  <v>49473</v>
                </pt>
                <pt idx="114">
                  <v>49503</v>
                </pt>
                <pt idx="115">
                  <v>49534</v>
                </pt>
                <pt idx="116">
                  <v>49565</v>
                </pt>
                <pt idx="117">
                  <v>49597</v>
                </pt>
                <pt idx="118">
                  <v>49626</v>
                </pt>
                <pt idx="119">
                  <v>49656</v>
                </pt>
                <pt idx="120">
                  <v>49688</v>
                </pt>
                <pt idx="121">
                  <v>49734</v>
                </pt>
                <pt idx="122">
                  <v>49765</v>
                </pt>
                <pt idx="123">
                  <v>49795</v>
                </pt>
                <pt idx="124">
                  <v>49826</v>
                </pt>
                <pt idx="125">
                  <v>49856</v>
                </pt>
                <pt idx="126">
                  <v>49887</v>
                </pt>
                <pt idx="127">
                  <v>49918</v>
                </pt>
                <pt idx="128">
                  <v>49948</v>
                </pt>
                <pt idx="129">
                  <v>49979</v>
                </pt>
                <pt idx="130">
                  <v>50009</v>
                </pt>
                <pt idx="131">
                  <v>50040</v>
                </pt>
                <pt idx="132">
                  <v>50071</v>
                </pt>
                <pt idx="133">
                  <v>50099</v>
                </pt>
                <pt idx="134">
                  <v>50130</v>
                </pt>
                <pt idx="135">
                  <v>50160</v>
                </pt>
                <pt idx="136">
                  <v>50191</v>
                </pt>
                <pt idx="137">
                  <v>50221</v>
                </pt>
                <pt idx="138">
                  <v>50252</v>
                </pt>
                <pt idx="139">
                  <v>50283</v>
                </pt>
                <pt idx="140">
                  <v>50313</v>
                </pt>
                <pt idx="141">
                  <v>50344</v>
                </pt>
                <pt idx="142">
                  <v>50374</v>
                </pt>
                <pt idx="143">
                  <v>50405</v>
                </pt>
                <pt idx="144">
                  <v>50436</v>
                </pt>
                <pt idx="145">
                  <v>50464</v>
                </pt>
                <pt idx="146">
                  <v>50495</v>
                </pt>
                <pt idx="147">
                  <v>50525</v>
                </pt>
                <pt idx="148">
                  <v>50556</v>
                </pt>
                <pt idx="149">
                  <v>50586</v>
                </pt>
                <pt idx="150">
                  <v>50617</v>
                </pt>
                <pt idx="151">
                  <v>50648</v>
                </pt>
                <pt idx="152">
                  <v>50678</v>
                </pt>
                <pt idx="153">
                  <v>50709</v>
                </pt>
                <pt idx="154">
                  <v>50739</v>
                </pt>
                <pt idx="155">
                  <v>50770</v>
                </pt>
                <pt idx="156">
                  <v>50801</v>
                </pt>
                <pt idx="157">
                  <v>50829</v>
                </pt>
                <pt idx="158">
                  <v>50860</v>
                </pt>
                <pt idx="159">
                  <v>50890</v>
                </pt>
                <pt idx="160">
                  <v>50921</v>
                </pt>
                <pt idx="161">
                  <v>50951</v>
                </pt>
                <pt idx="162">
                  <v>50982</v>
                </pt>
                <pt idx="163">
                  <v>51013</v>
                </pt>
                <pt idx="164">
                  <v>51043</v>
                </pt>
                <pt idx="165">
                  <v>51074</v>
                </pt>
                <pt idx="166">
                  <v>51104</v>
                </pt>
                <pt idx="167">
                  <v>51135</v>
                </pt>
                <pt idx="168">
                  <v>51166</v>
                </pt>
              </numCache>
            </numRef>
          </cat>
          <val>
            <numRef>
              <f>'Forward Curves-Monthly'!$B$8:$FN$8</f>
              <numCache>
                <formatCode>0.00%</formatCode>
                <ptCount val="169"/>
                <pt idx="0">
                  <v>0.0367532</v>
                </pt>
                <pt idx="1">
                  <v>0.0366817</v>
                </pt>
                <pt idx="2">
                  <v>0.0362892</v>
                </pt>
                <pt idx="3">
                  <v>0.0358654</v>
                </pt>
                <pt idx="4">
                  <v>0.0354297</v>
                </pt>
                <pt idx="5">
                  <v>0.0343825</v>
                </pt>
                <pt idx="6">
                  <v>0.033776</v>
                </pt>
                <pt idx="7">
                  <v>0.0337776</v>
                </pt>
                <pt idx="8">
                  <v>0.0323953</v>
                </pt>
                <pt idx="9">
                  <v>0.0322982</v>
                </pt>
                <pt idx="10">
                  <v>0.0322982</v>
                </pt>
                <pt idx="11">
                  <v>0.0316857</v>
                </pt>
                <pt idx="12">
                  <v>0.0316477</v>
                </pt>
                <pt idx="13">
                  <v>0.0316393</v>
                </pt>
                <pt idx="14">
                  <v>0.0316798</v>
                </pt>
                <pt idx="15">
                  <v>0.0316809</v>
                </pt>
                <pt idx="16">
                  <v>0.0316837</v>
                </pt>
                <pt idx="17">
                  <v>0.031838</v>
                </pt>
                <pt idx="18">
                  <v>0.0319526</v>
                </pt>
                <pt idx="19">
                  <v>0.032075</v>
                </pt>
                <pt idx="20">
                  <v>0.0322057</v>
                </pt>
                <pt idx="21">
                  <v>0.032359</v>
                </pt>
                <pt idx="22">
                  <v>0.0325159</v>
                </pt>
                <pt idx="23">
                  <v>0.0326741</v>
                </pt>
                <pt idx="24">
                  <v>0.0328578</v>
                </pt>
                <pt idx="25">
                  <v>0.0330275</v>
                </pt>
                <pt idx="26">
                  <v>0.0331919</v>
                </pt>
                <pt idx="27">
                  <v>0.0333638</v>
                </pt>
                <pt idx="28">
                  <v>0.0335275</v>
                </pt>
                <pt idx="29">
                  <v>0.0336712</v>
                </pt>
                <pt idx="30">
                  <v>0.0338276</v>
                </pt>
                <pt idx="31">
                  <v>0.0339767</v>
                </pt>
                <pt idx="32">
                  <v>0.0341117</v>
                </pt>
                <pt idx="33">
                  <v>0.0342498</v>
                </pt>
                <pt idx="34">
                  <v>0.0343799</v>
                </pt>
                <pt idx="35">
                  <v>0.0345197</v>
                </pt>
                <pt idx="36">
                  <v>0.0346453</v>
                </pt>
                <pt idx="37">
                  <v>0.0347455</v>
                </pt>
                <pt idx="38">
                  <v>0.034867</v>
                </pt>
                <pt idx="39">
                  <v>0.0349886</v>
                </pt>
                <pt idx="40">
                  <v>0.0351094</v>
                </pt>
                <pt idx="41">
                  <v>0.0352219</v>
                </pt>
                <pt idx="42">
                  <v>0.035341</v>
                </pt>
                <pt idx="43">
                  <v>0.0354595</v>
                </pt>
                <pt idx="44">
                  <v>0.0355809</v>
                </pt>
                <pt idx="45">
                  <v>0.0356979</v>
                </pt>
                <pt idx="46">
                  <v>0.0358029</v>
                </pt>
                <pt idx="47">
                  <v>0.0359219</v>
                </pt>
                <pt idx="48">
                  <v>0.0360373</v>
                </pt>
                <pt idx="49">
                  <v>0.0361404</v>
                </pt>
                <pt idx="50">
                  <v>0.0362691</v>
                </pt>
                <pt idx="51">
                  <v>0.0363907</v>
                </pt>
                <pt idx="52">
                  <v>0.0365107</v>
                </pt>
                <pt idx="53">
                  <v>0.0366468</v>
                </pt>
                <pt idx="54">
                  <v>0.0367828</v>
                </pt>
                <pt idx="55">
                  <v>0.036913</v>
                </pt>
                <pt idx="56">
                  <v>0.03706</v>
                </pt>
                <pt idx="57">
                  <v>0.0372068</v>
                </pt>
                <pt idx="58">
                  <v>0.0373426</v>
                </pt>
                <pt idx="59">
                  <v>0.0374954</v>
                </pt>
                <pt idx="60">
                  <v>0.0376512</v>
                </pt>
                <pt idx="61">
                  <v>0.0377923</v>
                </pt>
                <pt idx="62">
                  <v>0.0379476</v>
                </pt>
                <pt idx="63">
                  <v>0.0380936</v>
                </pt>
                <pt idx="64">
                  <v>0.0382361</v>
                </pt>
                <pt idx="65">
                  <v>0.0383814</v>
                </pt>
                <pt idx="66">
                  <v>0.0385244</v>
                </pt>
                <pt idx="67">
                  <v>0.0386691</v>
                </pt>
                <pt idx="68">
                  <v>0.0388034</v>
                </pt>
                <pt idx="69">
                  <v>0.0389348</v>
                </pt>
                <pt idx="70">
                  <v>0.0390683</v>
                </pt>
                <pt idx="71">
                  <v>0.0391996</v>
                </pt>
                <pt idx="72">
                  <v>0.0393202</v>
                </pt>
                <pt idx="73">
                  <v>0.0394469</v>
                </pt>
                <pt idx="74">
                  <v>0.0395712</v>
                </pt>
                <pt idx="75">
                  <v>0.0396812</v>
                </pt>
                <pt idx="76">
                  <v>0.0398053</v>
                </pt>
                <pt idx="77">
                  <v>0.0399183</v>
                </pt>
                <pt idx="78">
                  <v>0.04003</v>
                </pt>
                <pt idx="79">
                  <v>0.0401428</v>
                </pt>
                <pt idx="80">
                  <v>0.0402492</v>
                </pt>
                <pt idx="81">
                  <v>0.0403657</v>
                </pt>
                <pt idx="82">
                  <v>0.0404663</v>
                </pt>
                <pt idx="83">
                  <v>0.0405636</v>
                </pt>
                <pt idx="84">
                  <v>0.040669</v>
                </pt>
                <pt idx="85">
                  <v>0.0407576</v>
                </pt>
                <pt idx="86">
                  <v>0.0408606</v>
                </pt>
                <pt idx="87">
                  <v>0.0409543</v>
                </pt>
                <pt idx="88">
                  <v>0.0410558</v>
                </pt>
                <pt idx="89">
                  <v>0.0411525</v>
                </pt>
                <pt idx="90">
                  <v>0.0412619</v>
                </pt>
                <pt idx="91">
                  <v>0.041361</v>
                </pt>
                <pt idx="92">
                  <v>0.041451</v>
                </pt>
                <pt idx="93">
                  <v>0.0415562</v>
                </pt>
                <pt idx="94">
                  <v>0.0416518</v>
                </pt>
                <pt idx="95">
                  <v>0.0417496</v>
                </pt>
                <pt idx="96">
                  <v>0.0418498</v>
                </pt>
                <pt idx="97">
                  <v>0.0419378</v>
                </pt>
                <pt idx="98">
                  <v>0.0420404</v>
                </pt>
                <pt idx="99">
                  <v>0.0421444</v>
                </pt>
                <pt idx="100">
                  <v>0.0422435</v>
                </pt>
                <pt idx="101">
                  <v>0.0423328</v>
                </pt>
                <pt idx="102">
                  <v>0.0424376</v>
                </pt>
                <pt idx="103">
                  <v>0.0425364</v>
                </pt>
                <pt idx="104">
                  <v>0.0426286</v>
                </pt>
                <pt idx="105">
                  <v>0.0427291</v>
                </pt>
                <pt idx="106">
                  <v>0.0428244</v>
                </pt>
                <pt idx="107">
                  <v>0.0429372</v>
                </pt>
                <pt idx="108">
                  <v>0.0430337</v>
                </pt>
                <pt idx="109">
                  <v>0.0431108</v>
                </pt>
                <pt idx="110">
                  <v>0.0432129</v>
                </pt>
                <pt idx="111">
                  <v>0.043312</v>
                </pt>
                <pt idx="112">
                  <v>0.043411</v>
                </pt>
                <pt idx="113">
                  <v>0.0435026</v>
                </pt>
                <pt idx="114">
                  <v>0.0436025</v>
                </pt>
                <pt idx="115">
                  <v>0.0437013</v>
                </pt>
                <pt idx="116">
                  <v>0.0438043</v>
                </pt>
                <pt idx="117">
                  <v>0.0439018</v>
                </pt>
                <pt idx="118">
                  <v>0.0439898</v>
                </pt>
                <pt idx="119">
                  <v>0.0440937</v>
                </pt>
                <pt idx="120">
                  <v>0.0441907</v>
                </pt>
                <pt idx="121">
                  <v>0.0311111483386123</v>
                </pt>
                <pt idx="122">
                  <v>0.03116330192764683</v>
                </pt>
                <pt idx="123">
                  <v>0.03121114956119886</v>
                </pt>
                <pt idx="124">
                  <v>0.03126420117590657</v>
                </pt>
                <pt idx="125">
                  <v>0.03130596512542017</v>
                </pt>
                <pt idx="126">
                  <v>0.03135107698894035</v>
                </pt>
                <pt idx="127">
                  <v>0.03139554857470396</v>
                </pt>
                <pt idx="128">
                  <v>0.0314261587816581</v>
                </pt>
                <pt idx="129">
                  <v>0.03146501075446691</v>
                </pt>
                <pt idx="130">
                  <v>0.03149889181594201</v>
                </pt>
                <pt idx="131">
                  <v>0.03152940139981936</v>
                </pt>
                <pt idx="132">
                  <v>0.03155436413379054</v>
                </pt>
                <pt idx="133">
                  <v>0.03158140156525491</v>
                </pt>
                <pt idx="134">
                  <v>0.03160124410258684</v>
                </pt>
                <pt idx="135">
                  <v>0.03161856716894018</v>
                </pt>
                <pt idx="136">
                  <v>0.03163399083080107</v>
                </pt>
                <pt idx="137">
                  <v>0.03164257538047632</v>
                </pt>
                <pt idx="138">
                  <v>0.0316518054838364</v>
                </pt>
                <pt idx="139">
                  <v>0.03165468490645416</v>
                </pt>
                <pt idx="140">
                  <v>0.03165016776529202</v>
                </pt>
                <pt idx="141">
                  <v>0.03165030374540988</v>
                </pt>
                <pt idx="142">
                  <v>0.03164013610115912</v>
                </pt>
                <pt idx="143">
                  <v>0.03162991855777132</v>
                </pt>
                <pt idx="144">
                  <v>0.03161130538412404</v>
                </pt>
                <pt idx="145">
                  <v>0.03159485421716605</v>
                </pt>
                <pt idx="146">
                  <v>0.03157695857632073</v>
                </pt>
                <pt idx="147">
                  <v>0.03155440370651696</v>
                </pt>
                <pt idx="148">
                  <v>0.03153550346594659</v>
                </pt>
                <pt idx="149">
                  <v>0.03151281139891626</v>
                </pt>
                <pt idx="150">
                  <v>0.03148789703583244</v>
                </pt>
                <pt idx="151">
                  <v>0.0314662689427611</v>
                </pt>
                <pt idx="152">
                  <v>0.03143572506044435</v>
                </pt>
                <pt idx="153">
                  <v>0.03141205139692497</v>
                </pt>
                <pt idx="154">
                  <v>0.03138530908644555</v>
                </pt>
                <pt idx="155">
                  <v>0.0313582437276654</v>
                </pt>
                <pt idx="156">
                  <v>0.03132408016046284</v>
                </pt>
                <pt idx="157">
                  <v>0.03129427022055947</v>
                </pt>
                <pt idx="158">
                  <v>0.03126117598873741</v>
                </pt>
                <pt idx="159">
                  <v>0.03122233557599063</v>
                </pt>
                <pt idx="160">
                  <v>0.03118936103358317</v>
                </pt>
                <pt idx="161">
                  <v>0.03114717940211431</v>
                </pt>
                <pt idx="162">
                  <v>0.03110581488616616</v>
                </pt>
                <pt idx="163">
                  <v>0.03106887358304258</v>
                </pt>
                <pt idx="164">
                  <v>0.03102066026650637</v>
                </pt>
                <pt idx="165">
                  <v>0.03097882253446075</v>
                </pt>
                <pt idx="166">
                  <v>0.03093357042382738</v>
                </pt>
                <pt idx="167">
                  <v>0.03088113333449788</v>
                </pt>
                <pt idx="168">
                  <v>0.03083222432493571</v>
                </pt>
              </numCache>
            </numRef>
          </val>
          <smooth val="0"/>
        </ser>
        <ser>
          <idx val="1"/>
          <order val="1"/>
          <tx>
            <strRef>
              <f>'Forward Curves-Monthly'!$A$10</f>
              <strCache>
                <ptCount val="1"/>
              </strCache>
            </strRef>
          </tx>
          <spPr>
            <a:ln xmlns:a="http://schemas.openxmlformats.org/drawingml/2006/main" w="12700">
              <a:solidFill>
                <a:srgbClr val="3333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'Forward Curves-Monthly'!$B$6:$FN$6</f>
              <numCache>
                <formatCode>mm/dd/yyyy</formatCode>
                <ptCount val="169"/>
                <pt idx="0">
                  <v>46035</v>
                </pt>
                <pt idx="1">
                  <v>46066</v>
                </pt>
                <pt idx="2">
                  <v>46094</v>
                </pt>
                <pt idx="3">
                  <v>46125</v>
                </pt>
                <pt idx="4">
                  <v>46155</v>
                </pt>
                <pt idx="5">
                  <v>46188</v>
                </pt>
                <pt idx="6">
                  <v>46216</v>
                </pt>
                <pt idx="7">
                  <v>46247</v>
                </pt>
                <pt idx="8">
                  <v>46279</v>
                </pt>
                <pt idx="9">
                  <v>46308</v>
                </pt>
                <pt idx="10">
                  <v>46339</v>
                </pt>
                <pt idx="11">
                  <v>46370</v>
                </pt>
                <pt idx="12">
                  <v>46400</v>
                </pt>
                <pt idx="13">
                  <v>46434</v>
                </pt>
                <pt idx="14">
                  <v>46461</v>
                </pt>
                <pt idx="15">
                  <v>46490</v>
                </pt>
                <pt idx="16">
                  <v>46520</v>
                </pt>
                <pt idx="17">
                  <v>46552</v>
                </pt>
                <pt idx="18">
                  <v>46581</v>
                </pt>
                <pt idx="19">
                  <v>46612</v>
                </pt>
                <pt idx="20">
                  <v>46643</v>
                </pt>
                <pt idx="21">
                  <v>46673</v>
                </pt>
                <pt idx="22">
                  <v>46706</v>
                </pt>
                <pt idx="23">
                  <v>46734</v>
                </pt>
                <pt idx="24">
                  <v>46765</v>
                </pt>
                <pt idx="25">
                  <v>46797</v>
                </pt>
                <pt idx="26">
                  <v>46825</v>
                </pt>
                <pt idx="27">
                  <v>46856</v>
                </pt>
                <pt idx="28">
                  <v>46888</v>
                </pt>
                <pt idx="29">
                  <v>46917</v>
                </pt>
                <pt idx="30">
                  <v>46947</v>
                </pt>
                <pt idx="31">
                  <v>46979</v>
                </pt>
                <pt idx="32">
                  <v>47009</v>
                </pt>
                <pt idx="33">
                  <v>47039</v>
                </pt>
                <pt idx="34">
                  <v>47070</v>
                </pt>
                <pt idx="35">
                  <v>47100</v>
                </pt>
                <pt idx="36">
                  <v>47134</v>
                </pt>
                <pt idx="37">
                  <v>47162</v>
                </pt>
                <pt idx="38">
                  <v>47190</v>
                </pt>
                <pt idx="39">
                  <v>47221</v>
                </pt>
                <pt idx="40">
                  <v>47252</v>
                </pt>
                <pt idx="41">
                  <v>47282</v>
                </pt>
                <pt idx="42">
                  <v>47312</v>
                </pt>
                <pt idx="43">
                  <v>47343</v>
                </pt>
                <pt idx="44">
                  <v>47374</v>
                </pt>
                <pt idx="45">
                  <v>47406</v>
                </pt>
                <pt idx="46">
                  <v>47435</v>
                </pt>
                <pt idx="47">
                  <v>47465</v>
                </pt>
                <pt idx="48">
                  <v>47497</v>
                </pt>
                <pt idx="49">
                  <v>47527</v>
                </pt>
                <pt idx="50">
                  <v>47555</v>
                </pt>
                <pt idx="51">
                  <v>47588</v>
                </pt>
                <pt idx="52">
                  <v>47616</v>
                </pt>
                <pt idx="53">
                  <v>47647</v>
                </pt>
                <pt idx="54">
                  <v>47679</v>
                </pt>
                <pt idx="55">
                  <v>47708</v>
                </pt>
                <pt idx="56">
                  <v>47739</v>
                </pt>
                <pt idx="57">
                  <v>47771</v>
                </pt>
                <pt idx="58">
                  <v>47800</v>
                </pt>
                <pt idx="59">
                  <v>47830</v>
                </pt>
                <pt idx="60">
                  <v>47861</v>
                </pt>
                <pt idx="61">
                  <v>47892</v>
                </pt>
                <pt idx="62">
                  <v>47920</v>
                </pt>
                <pt idx="63">
                  <v>47952</v>
                </pt>
                <pt idx="64">
                  <v>47981</v>
                </pt>
                <pt idx="65">
                  <v>48012</v>
                </pt>
                <pt idx="66">
                  <v>48043</v>
                </pt>
                <pt idx="67">
                  <v>48073</v>
                </pt>
                <pt idx="68">
                  <v>48106</v>
                </pt>
                <pt idx="69">
                  <v>48135</v>
                </pt>
                <pt idx="70">
                  <v>48165</v>
                </pt>
                <pt idx="71">
                  <v>48197</v>
                </pt>
                <pt idx="72">
                  <v>48226</v>
                </pt>
                <pt idx="73">
                  <v>48257</v>
                </pt>
                <pt idx="74">
                  <v>48288</v>
                </pt>
                <pt idx="75">
                  <v>48317</v>
                </pt>
                <pt idx="76">
                  <v>48347</v>
                </pt>
                <pt idx="77">
                  <v>48379</v>
                </pt>
                <pt idx="78">
                  <v>48408</v>
                </pt>
                <pt idx="79">
                  <v>48439</v>
                </pt>
                <pt idx="80">
                  <v>48470</v>
                </pt>
                <pt idx="81">
                  <v>48500</v>
                </pt>
                <pt idx="82">
                  <v>48533</v>
                </pt>
                <pt idx="83">
                  <v>48561</v>
                </pt>
                <pt idx="84">
                  <v>48592</v>
                </pt>
                <pt idx="85">
                  <v>48624</v>
                </pt>
                <pt idx="86">
                  <v>48652</v>
                </pt>
                <pt idx="87">
                  <v>48682</v>
                </pt>
                <pt idx="88">
                  <v>48712</v>
                </pt>
                <pt idx="89">
                  <v>48743</v>
                </pt>
                <pt idx="90">
                  <v>48773</v>
                </pt>
                <pt idx="91">
                  <v>48806</v>
                </pt>
                <pt idx="92">
                  <v>48835</v>
                </pt>
                <pt idx="93">
                  <v>48865</v>
                </pt>
                <pt idx="94">
                  <v>48897</v>
                </pt>
                <pt idx="95">
                  <v>48926</v>
                </pt>
                <pt idx="96">
                  <v>48957</v>
                </pt>
                <pt idx="97">
                  <v>48988</v>
                </pt>
                <pt idx="98">
                  <v>49016</v>
                </pt>
                <pt idx="99">
                  <v>49047</v>
                </pt>
                <pt idx="100">
                  <v>49079</v>
                </pt>
                <pt idx="101">
                  <v>49108</v>
                </pt>
                <pt idx="102">
                  <v>49138</v>
                </pt>
                <pt idx="103">
                  <v>49170</v>
                </pt>
                <pt idx="104">
                  <v>49200</v>
                </pt>
                <pt idx="105">
                  <v>49230</v>
                </pt>
                <pt idx="106">
                  <v>49261</v>
                </pt>
                <pt idx="107">
                  <v>49291</v>
                </pt>
                <pt idx="108">
                  <v>49325</v>
                </pt>
                <pt idx="109">
                  <v>49353</v>
                </pt>
                <pt idx="110">
                  <v>49381</v>
                </pt>
                <pt idx="111">
                  <v>49412</v>
                </pt>
                <pt idx="112">
                  <v>49443</v>
                </pt>
                <pt idx="113">
                  <v>49473</v>
                </pt>
                <pt idx="114">
                  <v>49503</v>
                </pt>
                <pt idx="115">
                  <v>49534</v>
                </pt>
                <pt idx="116">
                  <v>49565</v>
                </pt>
                <pt idx="117">
                  <v>49597</v>
                </pt>
                <pt idx="118">
                  <v>49626</v>
                </pt>
                <pt idx="119">
                  <v>49656</v>
                </pt>
                <pt idx="120">
                  <v>49688</v>
                </pt>
                <pt idx="121">
                  <v>49734</v>
                </pt>
                <pt idx="122">
                  <v>49765</v>
                </pt>
                <pt idx="123">
                  <v>49795</v>
                </pt>
                <pt idx="124">
                  <v>49826</v>
                </pt>
                <pt idx="125">
                  <v>49856</v>
                </pt>
                <pt idx="126">
                  <v>49887</v>
                </pt>
                <pt idx="127">
                  <v>49918</v>
                </pt>
                <pt idx="128">
                  <v>49948</v>
                </pt>
                <pt idx="129">
                  <v>49979</v>
                </pt>
                <pt idx="130">
                  <v>50009</v>
                </pt>
                <pt idx="131">
                  <v>50040</v>
                </pt>
                <pt idx="132">
                  <v>50071</v>
                </pt>
                <pt idx="133">
                  <v>50099</v>
                </pt>
                <pt idx="134">
                  <v>50130</v>
                </pt>
                <pt idx="135">
                  <v>50160</v>
                </pt>
                <pt idx="136">
                  <v>50191</v>
                </pt>
                <pt idx="137">
                  <v>50221</v>
                </pt>
                <pt idx="138">
                  <v>50252</v>
                </pt>
                <pt idx="139">
                  <v>50283</v>
                </pt>
                <pt idx="140">
                  <v>50313</v>
                </pt>
                <pt idx="141">
                  <v>50344</v>
                </pt>
                <pt idx="142">
                  <v>50374</v>
                </pt>
                <pt idx="143">
                  <v>50405</v>
                </pt>
                <pt idx="144">
                  <v>50436</v>
                </pt>
                <pt idx="145">
                  <v>50464</v>
                </pt>
                <pt idx="146">
                  <v>50495</v>
                </pt>
                <pt idx="147">
                  <v>50525</v>
                </pt>
                <pt idx="148">
                  <v>50556</v>
                </pt>
                <pt idx="149">
                  <v>50586</v>
                </pt>
                <pt idx="150">
                  <v>50617</v>
                </pt>
                <pt idx="151">
                  <v>50648</v>
                </pt>
                <pt idx="152">
                  <v>50678</v>
                </pt>
                <pt idx="153">
                  <v>50709</v>
                </pt>
                <pt idx="154">
                  <v>50739</v>
                </pt>
                <pt idx="155">
                  <v>50770</v>
                </pt>
                <pt idx="156">
                  <v>50801</v>
                </pt>
                <pt idx="157">
                  <v>50829</v>
                </pt>
                <pt idx="158">
                  <v>50860</v>
                </pt>
                <pt idx="159">
                  <v>50890</v>
                </pt>
                <pt idx="160">
                  <v>50921</v>
                </pt>
                <pt idx="161">
                  <v>50951</v>
                </pt>
                <pt idx="162">
                  <v>50982</v>
                </pt>
                <pt idx="163">
                  <v>51013</v>
                </pt>
                <pt idx="164">
                  <v>51043</v>
                </pt>
                <pt idx="165">
                  <v>51074</v>
                </pt>
                <pt idx="166">
                  <v>51104</v>
                </pt>
                <pt idx="167">
                  <v>51135</v>
                </pt>
                <pt idx="168">
                  <v>51166</v>
                </pt>
              </numCache>
            </numRef>
          </cat>
          <val>
            <numRef>
              <f>'Forward Curves-Monthly'!$B$10:$FN$10</f>
              <numCache>
                <formatCode>0.00%</formatCode>
                <ptCount val="169"/>
              </numCache>
            </numRef>
          </val>
          <smooth val="0"/>
        </ser>
        <ser>
          <idx val="2"/>
          <order val="2"/>
          <tx>
            <strRef>
              <f>'Forward Curves-Monthly'!$A$12</f>
              <strCache>
                <ptCount val="1"/>
              </strCache>
            </strRef>
          </tx>
          <spPr>
            <a:ln xmlns:a="http://schemas.openxmlformats.org/drawingml/2006/main" w="12700">
              <a:solidFill>
                <a:srgbClr val="A97F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'Forward Curves-Monthly'!$B$6:$FN$6</f>
              <numCache>
                <formatCode>mm/dd/yyyy</formatCode>
                <ptCount val="169"/>
                <pt idx="0">
                  <v>46035</v>
                </pt>
                <pt idx="1">
                  <v>46066</v>
                </pt>
                <pt idx="2">
                  <v>46094</v>
                </pt>
                <pt idx="3">
                  <v>46125</v>
                </pt>
                <pt idx="4">
                  <v>46155</v>
                </pt>
                <pt idx="5">
                  <v>46188</v>
                </pt>
                <pt idx="6">
                  <v>46216</v>
                </pt>
                <pt idx="7">
                  <v>46247</v>
                </pt>
                <pt idx="8">
                  <v>46279</v>
                </pt>
                <pt idx="9">
                  <v>46308</v>
                </pt>
                <pt idx="10">
                  <v>46339</v>
                </pt>
                <pt idx="11">
                  <v>46370</v>
                </pt>
                <pt idx="12">
                  <v>46400</v>
                </pt>
                <pt idx="13">
                  <v>46434</v>
                </pt>
                <pt idx="14">
                  <v>46461</v>
                </pt>
                <pt idx="15">
                  <v>46490</v>
                </pt>
                <pt idx="16">
                  <v>46520</v>
                </pt>
                <pt idx="17">
                  <v>46552</v>
                </pt>
                <pt idx="18">
                  <v>46581</v>
                </pt>
                <pt idx="19">
                  <v>46612</v>
                </pt>
                <pt idx="20">
                  <v>46643</v>
                </pt>
                <pt idx="21">
                  <v>46673</v>
                </pt>
                <pt idx="22">
                  <v>46706</v>
                </pt>
                <pt idx="23">
                  <v>46734</v>
                </pt>
                <pt idx="24">
                  <v>46765</v>
                </pt>
                <pt idx="25">
                  <v>46797</v>
                </pt>
                <pt idx="26">
                  <v>46825</v>
                </pt>
                <pt idx="27">
                  <v>46856</v>
                </pt>
                <pt idx="28">
                  <v>46888</v>
                </pt>
                <pt idx="29">
                  <v>46917</v>
                </pt>
                <pt idx="30">
                  <v>46947</v>
                </pt>
                <pt idx="31">
                  <v>46979</v>
                </pt>
                <pt idx="32">
                  <v>47009</v>
                </pt>
                <pt idx="33">
                  <v>47039</v>
                </pt>
                <pt idx="34">
                  <v>47070</v>
                </pt>
                <pt idx="35">
                  <v>47100</v>
                </pt>
                <pt idx="36">
                  <v>47134</v>
                </pt>
                <pt idx="37">
                  <v>47162</v>
                </pt>
                <pt idx="38">
                  <v>47190</v>
                </pt>
                <pt idx="39">
                  <v>47221</v>
                </pt>
                <pt idx="40">
                  <v>47252</v>
                </pt>
                <pt idx="41">
                  <v>47282</v>
                </pt>
                <pt idx="42">
                  <v>47312</v>
                </pt>
                <pt idx="43">
                  <v>47343</v>
                </pt>
                <pt idx="44">
                  <v>47374</v>
                </pt>
                <pt idx="45">
                  <v>47406</v>
                </pt>
                <pt idx="46">
                  <v>47435</v>
                </pt>
                <pt idx="47">
                  <v>47465</v>
                </pt>
                <pt idx="48">
                  <v>47497</v>
                </pt>
                <pt idx="49">
                  <v>47527</v>
                </pt>
                <pt idx="50">
                  <v>47555</v>
                </pt>
                <pt idx="51">
                  <v>47588</v>
                </pt>
                <pt idx="52">
                  <v>47616</v>
                </pt>
                <pt idx="53">
                  <v>47647</v>
                </pt>
                <pt idx="54">
                  <v>47679</v>
                </pt>
                <pt idx="55">
                  <v>47708</v>
                </pt>
                <pt idx="56">
                  <v>47739</v>
                </pt>
                <pt idx="57">
                  <v>47771</v>
                </pt>
                <pt idx="58">
                  <v>47800</v>
                </pt>
                <pt idx="59">
                  <v>47830</v>
                </pt>
                <pt idx="60">
                  <v>47861</v>
                </pt>
                <pt idx="61">
                  <v>47892</v>
                </pt>
                <pt idx="62">
                  <v>47920</v>
                </pt>
                <pt idx="63">
                  <v>47952</v>
                </pt>
                <pt idx="64">
                  <v>47981</v>
                </pt>
                <pt idx="65">
                  <v>48012</v>
                </pt>
                <pt idx="66">
                  <v>48043</v>
                </pt>
                <pt idx="67">
                  <v>48073</v>
                </pt>
                <pt idx="68">
                  <v>48106</v>
                </pt>
                <pt idx="69">
                  <v>48135</v>
                </pt>
                <pt idx="70">
                  <v>48165</v>
                </pt>
                <pt idx="71">
                  <v>48197</v>
                </pt>
                <pt idx="72">
                  <v>48226</v>
                </pt>
                <pt idx="73">
                  <v>48257</v>
                </pt>
                <pt idx="74">
                  <v>48288</v>
                </pt>
                <pt idx="75">
                  <v>48317</v>
                </pt>
                <pt idx="76">
                  <v>48347</v>
                </pt>
                <pt idx="77">
                  <v>48379</v>
                </pt>
                <pt idx="78">
                  <v>48408</v>
                </pt>
                <pt idx="79">
                  <v>48439</v>
                </pt>
                <pt idx="80">
                  <v>48470</v>
                </pt>
                <pt idx="81">
                  <v>48500</v>
                </pt>
                <pt idx="82">
                  <v>48533</v>
                </pt>
                <pt idx="83">
                  <v>48561</v>
                </pt>
                <pt idx="84">
                  <v>48592</v>
                </pt>
                <pt idx="85">
                  <v>48624</v>
                </pt>
                <pt idx="86">
                  <v>48652</v>
                </pt>
                <pt idx="87">
                  <v>48682</v>
                </pt>
                <pt idx="88">
                  <v>48712</v>
                </pt>
                <pt idx="89">
                  <v>48743</v>
                </pt>
                <pt idx="90">
                  <v>48773</v>
                </pt>
                <pt idx="91">
                  <v>48806</v>
                </pt>
                <pt idx="92">
                  <v>48835</v>
                </pt>
                <pt idx="93">
                  <v>48865</v>
                </pt>
                <pt idx="94">
                  <v>48897</v>
                </pt>
                <pt idx="95">
                  <v>48926</v>
                </pt>
                <pt idx="96">
                  <v>48957</v>
                </pt>
                <pt idx="97">
                  <v>48988</v>
                </pt>
                <pt idx="98">
                  <v>49016</v>
                </pt>
                <pt idx="99">
                  <v>49047</v>
                </pt>
                <pt idx="100">
                  <v>49079</v>
                </pt>
                <pt idx="101">
                  <v>49108</v>
                </pt>
                <pt idx="102">
                  <v>49138</v>
                </pt>
                <pt idx="103">
                  <v>49170</v>
                </pt>
                <pt idx="104">
                  <v>49200</v>
                </pt>
                <pt idx="105">
                  <v>49230</v>
                </pt>
                <pt idx="106">
                  <v>49261</v>
                </pt>
                <pt idx="107">
                  <v>49291</v>
                </pt>
                <pt idx="108">
                  <v>49325</v>
                </pt>
                <pt idx="109">
                  <v>49353</v>
                </pt>
                <pt idx="110">
                  <v>49381</v>
                </pt>
                <pt idx="111">
                  <v>49412</v>
                </pt>
                <pt idx="112">
                  <v>49443</v>
                </pt>
                <pt idx="113">
                  <v>49473</v>
                </pt>
                <pt idx="114">
                  <v>49503</v>
                </pt>
                <pt idx="115">
                  <v>49534</v>
                </pt>
                <pt idx="116">
                  <v>49565</v>
                </pt>
                <pt idx="117">
                  <v>49597</v>
                </pt>
                <pt idx="118">
                  <v>49626</v>
                </pt>
                <pt idx="119">
                  <v>49656</v>
                </pt>
                <pt idx="120">
                  <v>49688</v>
                </pt>
                <pt idx="121">
                  <v>49734</v>
                </pt>
                <pt idx="122">
                  <v>49765</v>
                </pt>
                <pt idx="123">
                  <v>49795</v>
                </pt>
                <pt idx="124">
                  <v>49826</v>
                </pt>
                <pt idx="125">
                  <v>49856</v>
                </pt>
                <pt idx="126">
                  <v>49887</v>
                </pt>
                <pt idx="127">
                  <v>49918</v>
                </pt>
                <pt idx="128">
                  <v>49948</v>
                </pt>
                <pt idx="129">
                  <v>49979</v>
                </pt>
                <pt idx="130">
                  <v>50009</v>
                </pt>
                <pt idx="131">
                  <v>50040</v>
                </pt>
                <pt idx="132">
                  <v>50071</v>
                </pt>
                <pt idx="133">
                  <v>50099</v>
                </pt>
                <pt idx="134">
                  <v>50130</v>
                </pt>
                <pt idx="135">
                  <v>50160</v>
                </pt>
                <pt idx="136">
                  <v>50191</v>
                </pt>
                <pt idx="137">
                  <v>50221</v>
                </pt>
                <pt idx="138">
                  <v>50252</v>
                </pt>
                <pt idx="139">
                  <v>50283</v>
                </pt>
                <pt idx="140">
                  <v>50313</v>
                </pt>
                <pt idx="141">
                  <v>50344</v>
                </pt>
                <pt idx="142">
                  <v>50374</v>
                </pt>
                <pt idx="143">
                  <v>50405</v>
                </pt>
                <pt idx="144">
                  <v>50436</v>
                </pt>
                <pt idx="145">
                  <v>50464</v>
                </pt>
                <pt idx="146">
                  <v>50495</v>
                </pt>
                <pt idx="147">
                  <v>50525</v>
                </pt>
                <pt idx="148">
                  <v>50556</v>
                </pt>
                <pt idx="149">
                  <v>50586</v>
                </pt>
                <pt idx="150">
                  <v>50617</v>
                </pt>
                <pt idx="151">
                  <v>50648</v>
                </pt>
                <pt idx="152">
                  <v>50678</v>
                </pt>
                <pt idx="153">
                  <v>50709</v>
                </pt>
                <pt idx="154">
                  <v>50739</v>
                </pt>
                <pt idx="155">
                  <v>50770</v>
                </pt>
                <pt idx="156">
                  <v>50801</v>
                </pt>
                <pt idx="157">
                  <v>50829</v>
                </pt>
                <pt idx="158">
                  <v>50860</v>
                </pt>
                <pt idx="159">
                  <v>50890</v>
                </pt>
                <pt idx="160">
                  <v>50921</v>
                </pt>
                <pt idx="161">
                  <v>50951</v>
                </pt>
                <pt idx="162">
                  <v>50982</v>
                </pt>
                <pt idx="163">
                  <v>51013</v>
                </pt>
                <pt idx="164">
                  <v>51043</v>
                </pt>
                <pt idx="165">
                  <v>51074</v>
                </pt>
                <pt idx="166">
                  <v>51104</v>
                </pt>
                <pt idx="167">
                  <v>51135</v>
                </pt>
                <pt idx="168">
                  <v>51166</v>
                </pt>
              </numCache>
            </numRef>
          </cat>
          <val>
            <numRef>
              <f>'Forward Curves-Monthly'!$B$12:$FN$12</f>
              <numCache>
                <formatCode>0.00%</formatCode>
                <ptCount val="169"/>
              </numCache>
            </numRef>
          </val>
          <smooth val="0"/>
        </ser>
        <ser>
          <idx val="3"/>
          <order val="3"/>
          <tx>
            <strRef>
              <f>'Forward Curves-Monthly'!$A$14</f>
              <strCache>
                <ptCount val="1"/>
              </strCache>
            </strRef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'Forward Curves-Monthly'!$B$6:$FN$6</f>
              <numCache>
                <formatCode>mm/dd/yyyy</formatCode>
                <ptCount val="169"/>
                <pt idx="0">
                  <v>46035</v>
                </pt>
                <pt idx="1">
                  <v>46066</v>
                </pt>
                <pt idx="2">
                  <v>46094</v>
                </pt>
                <pt idx="3">
                  <v>46125</v>
                </pt>
                <pt idx="4">
                  <v>46155</v>
                </pt>
                <pt idx="5">
                  <v>46188</v>
                </pt>
                <pt idx="6">
                  <v>46216</v>
                </pt>
                <pt idx="7">
                  <v>46247</v>
                </pt>
                <pt idx="8">
                  <v>46279</v>
                </pt>
                <pt idx="9">
                  <v>46308</v>
                </pt>
                <pt idx="10">
                  <v>46339</v>
                </pt>
                <pt idx="11">
                  <v>46370</v>
                </pt>
                <pt idx="12">
                  <v>46400</v>
                </pt>
                <pt idx="13">
                  <v>46434</v>
                </pt>
                <pt idx="14">
                  <v>46461</v>
                </pt>
                <pt idx="15">
                  <v>46490</v>
                </pt>
                <pt idx="16">
                  <v>46520</v>
                </pt>
                <pt idx="17">
                  <v>46552</v>
                </pt>
                <pt idx="18">
                  <v>46581</v>
                </pt>
                <pt idx="19">
                  <v>46612</v>
                </pt>
                <pt idx="20">
                  <v>46643</v>
                </pt>
                <pt idx="21">
                  <v>46673</v>
                </pt>
                <pt idx="22">
                  <v>46706</v>
                </pt>
                <pt idx="23">
                  <v>46734</v>
                </pt>
                <pt idx="24">
                  <v>46765</v>
                </pt>
                <pt idx="25">
                  <v>46797</v>
                </pt>
                <pt idx="26">
                  <v>46825</v>
                </pt>
                <pt idx="27">
                  <v>46856</v>
                </pt>
                <pt idx="28">
                  <v>46888</v>
                </pt>
                <pt idx="29">
                  <v>46917</v>
                </pt>
                <pt idx="30">
                  <v>46947</v>
                </pt>
                <pt idx="31">
                  <v>46979</v>
                </pt>
                <pt idx="32">
                  <v>47009</v>
                </pt>
                <pt idx="33">
                  <v>47039</v>
                </pt>
                <pt idx="34">
                  <v>47070</v>
                </pt>
                <pt idx="35">
                  <v>47100</v>
                </pt>
                <pt idx="36">
                  <v>47134</v>
                </pt>
                <pt idx="37">
                  <v>47162</v>
                </pt>
                <pt idx="38">
                  <v>47190</v>
                </pt>
                <pt idx="39">
                  <v>47221</v>
                </pt>
                <pt idx="40">
                  <v>47252</v>
                </pt>
                <pt idx="41">
                  <v>47282</v>
                </pt>
                <pt idx="42">
                  <v>47312</v>
                </pt>
                <pt idx="43">
                  <v>47343</v>
                </pt>
                <pt idx="44">
                  <v>47374</v>
                </pt>
                <pt idx="45">
                  <v>47406</v>
                </pt>
                <pt idx="46">
                  <v>47435</v>
                </pt>
                <pt idx="47">
                  <v>47465</v>
                </pt>
                <pt idx="48">
                  <v>47497</v>
                </pt>
                <pt idx="49">
                  <v>47527</v>
                </pt>
                <pt idx="50">
                  <v>47555</v>
                </pt>
                <pt idx="51">
                  <v>47588</v>
                </pt>
                <pt idx="52">
                  <v>47616</v>
                </pt>
                <pt idx="53">
                  <v>47647</v>
                </pt>
                <pt idx="54">
                  <v>47679</v>
                </pt>
                <pt idx="55">
                  <v>47708</v>
                </pt>
                <pt idx="56">
                  <v>47739</v>
                </pt>
                <pt idx="57">
                  <v>47771</v>
                </pt>
                <pt idx="58">
                  <v>47800</v>
                </pt>
                <pt idx="59">
                  <v>47830</v>
                </pt>
                <pt idx="60">
                  <v>47861</v>
                </pt>
                <pt idx="61">
                  <v>47892</v>
                </pt>
                <pt idx="62">
                  <v>47920</v>
                </pt>
                <pt idx="63">
                  <v>47952</v>
                </pt>
                <pt idx="64">
                  <v>47981</v>
                </pt>
                <pt idx="65">
                  <v>48012</v>
                </pt>
                <pt idx="66">
                  <v>48043</v>
                </pt>
                <pt idx="67">
                  <v>48073</v>
                </pt>
                <pt idx="68">
                  <v>48106</v>
                </pt>
                <pt idx="69">
                  <v>48135</v>
                </pt>
                <pt idx="70">
                  <v>48165</v>
                </pt>
                <pt idx="71">
                  <v>48197</v>
                </pt>
                <pt idx="72">
                  <v>48226</v>
                </pt>
                <pt idx="73">
                  <v>48257</v>
                </pt>
                <pt idx="74">
                  <v>48288</v>
                </pt>
                <pt idx="75">
                  <v>48317</v>
                </pt>
                <pt idx="76">
                  <v>48347</v>
                </pt>
                <pt idx="77">
                  <v>48379</v>
                </pt>
                <pt idx="78">
                  <v>48408</v>
                </pt>
                <pt idx="79">
                  <v>48439</v>
                </pt>
                <pt idx="80">
                  <v>48470</v>
                </pt>
                <pt idx="81">
                  <v>48500</v>
                </pt>
                <pt idx="82">
                  <v>48533</v>
                </pt>
                <pt idx="83">
                  <v>48561</v>
                </pt>
                <pt idx="84">
                  <v>48592</v>
                </pt>
                <pt idx="85">
                  <v>48624</v>
                </pt>
                <pt idx="86">
                  <v>48652</v>
                </pt>
                <pt idx="87">
                  <v>48682</v>
                </pt>
                <pt idx="88">
                  <v>48712</v>
                </pt>
                <pt idx="89">
                  <v>48743</v>
                </pt>
                <pt idx="90">
                  <v>48773</v>
                </pt>
                <pt idx="91">
                  <v>48806</v>
                </pt>
                <pt idx="92">
                  <v>48835</v>
                </pt>
                <pt idx="93">
                  <v>48865</v>
                </pt>
                <pt idx="94">
                  <v>48897</v>
                </pt>
                <pt idx="95">
                  <v>48926</v>
                </pt>
                <pt idx="96">
                  <v>48957</v>
                </pt>
                <pt idx="97">
                  <v>48988</v>
                </pt>
                <pt idx="98">
                  <v>49016</v>
                </pt>
                <pt idx="99">
                  <v>49047</v>
                </pt>
                <pt idx="100">
                  <v>49079</v>
                </pt>
                <pt idx="101">
                  <v>49108</v>
                </pt>
                <pt idx="102">
                  <v>49138</v>
                </pt>
                <pt idx="103">
                  <v>49170</v>
                </pt>
                <pt idx="104">
                  <v>49200</v>
                </pt>
                <pt idx="105">
                  <v>49230</v>
                </pt>
                <pt idx="106">
                  <v>49261</v>
                </pt>
                <pt idx="107">
                  <v>49291</v>
                </pt>
                <pt idx="108">
                  <v>49325</v>
                </pt>
                <pt idx="109">
                  <v>49353</v>
                </pt>
                <pt idx="110">
                  <v>49381</v>
                </pt>
                <pt idx="111">
                  <v>49412</v>
                </pt>
                <pt idx="112">
                  <v>49443</v>
                </pt>
                <pt idx="113">
                  <v>49473</v>
                </pt>
                <pt idx="114">
                  <v>49503</v>
                </pt>
                <pt idx="115">
                  <v>49534</v>
                </pt>
                <pt idx="116">
                  <v>49565</v>
                </pt>
                <pt idx="117">
                  <v>49597</v>
                </pt>
                <pt idx="118">
                  <v>49626</v>
                </pt>
                <pt idx="119">
                  <v>49656</v>
                </pt>
                <pt idx="120">
                  <v>49688</v>
                </pt>
                <pt idx="121">
                  <v>49734</v>
                </pt>
                <pt idx="122">
                  <v>49765</v>
                </pt>
                <pt idx="123">
                  <v>49795</v>
                </pt>
                <pt idx="124">
                  <v>49826</v>
                </pt>
                <pt idx="125">
                  <v>49856</v>
                </pt>
                <pt idx="126">
                  <v>49887</v>
                </pt>
                <pt idx="127">
                  <v>49918</v>
                </pt>
                <pt idx="128">
                  <v>49948</v>
                </pt>
                <pt idx="129">
                  <v>49979</v>
                </pt>
                <pt idx="130">
                  <v>50009</v>
                </pt>
                <pt idx="131">
                  <v>50040</v>
                </pt>
                <pt idx="132">
                  <v>50071</v>
                </pt>
                <pt idx="133">
                  <v>50099</v>
                </pt>
                <pt idx="134">
                  <v>50130</v>
                </pt>
                <pt idx="135">
                  <v>50160</v>
                </pt>
                <pt idx="136">
                  <v>50191</v>
                </pt>
                <pt idx="137">
                  <v>50221</v>
                </pt>
                <pt idx="138">
                  <v>50252</v>
                </pt>
                <pt idx="139">
                  <v>50283</v>
                </pt>
                <pt idx="140">
                  <v>50313</v>
                </pt>
                <pt idx="141">
                  <v>50344</v>
                </pt>
                <pt idx="142">
                  <v>50374</v>
                </pt>
                <pt idx="143">
                  <v>50405</v>
                </pt>
                <pt idx="144">
                  <v>50436</v>
                </pt>
                <pt idx="145">
                  <v>50464</v>
                </pt>
                <pt idx="146">
                  <v>50495</v>
                </pt>
                <pt idx="147">
                  <v>50525</v>
                </pt>
                <pt idx="148">
                  <v>50556</v>
                </pt>
                <pt idx="149">
                  <v>50586</v>
                </pt>
                <pt idx="150">
                  <v>50617</v>
                </pt>
                <pt idx="151">
                  <v>50648</v>
                </pt>
                <pt idx="152">
                  <v>50678</v>
                </pt>
                <pt idx="153">
                  <v>50709</v>
                </pt>
                <pt idx="154">
                  <v>50739</v>
                </pt>
                <pt idx="155">
                  <v>50770</v>
                </pt>
                <pt idx="156">
                  <v>50801</v>
                </pt>
                <pt idx="157">
                  <v>50829</v>
                </pt>
                <pt idx="158">
                  <v>50860</v>
                </pt>
                <pt idx="159">
                  <v>50890</v>
                </pt>
                <pt idx="160">
                  <v>50921</v>
                </pt>
                <pt idx="161">
                  <v>50951</v>
                </pt>
                <pt idx="162">
                  <v>50982</v>
                </pt>
                <pt idx="163">
                  <v>51013</v>
                </pt>
                <pt idx="164">
                  <v>51043</v>
                </pt>
                <pt idx="165">
                  <v>51074</v>
                </pt>
                <pt idx="166">
                  <v>51104</v>
                </pt>
                <pt idx="167">
                  <v>51135</v>
                </pt>
                <pt idx="168">
                  <v>51166</v>
                </pt>
              </numCache>
            </numRef>
          </cat>
          <val>
            <numRef>
              <f>'Forward Curves-Monthly'!$B$14:$FN$14</f>
              <numCache>
                <formatCode>0.00%</formatCode>
                <ptCount val="169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75006760"/>
        <axId val="475007152"/>
      </lineChart>
      <catAx>
        <axId val="475006760"/>
        <scaling>
          <orientation val="minMax"/>
        </scaling>
        <delete val="0"/>
        <axPos val="b"/>
        <numFmt formatCode="mmm\-yy" sourceLinked="0"/>
        <majorTickMark val="out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100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None</a:t>
            </a:r>
            <a:endParaRPr lang="en-US"/>
          </a:p>
        </txPr>
        <crossAx val="475007152"/>
        <crosses val="autoZero"/>
        <auto val="0"/>
        <lblAlgn val="ctr"/>
        <lblOffset val="100"/>
        <tickLblSkip val="7"/>
        <tickMarkSkip val="5"/>
        <noMultiLvlLbl val="0"/>
      </catAx>
      <valAx>
        <axId val="475007152"/>
        <scaling>
          <orientation val="minMax"/>
          <min val="0.002"/>
        </scaling>
        <delete val="0"/>
        <axPos val="l"/>
        <majorGridlines>
          <spPr>
            <a:ln xmlns:a="http://schemas.openxmlformats.org/drawingml/2006/main" w="3175">
              <a:solidFill>
                <a:srgbClr val="000000"/>
              </a:solidFill>
              <a:prstDash val="solid"/>
            </a:ln>
          </spPr>
        </majorGridlines>
        <numFmt formatCode="0.00%" sourceLinked="1"/>
        <majorTickMark val="out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100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None</a:t>
            </a:r>
            <a:endParaRPr lang="en-US"/>
          </a:p>
        </txPr>
        <crossAx val="475006760"/>
        <crosses val="autoZero"/>
        <crossBetween val="between"/>
        <majorUnit val="0.005"/>
      </valAx>
    </plotArea>
    <legend>
      <legendPos val="r"/>
      <layout>
        <manualLayout>
          <xMode val="edge"/>
          <yMode val="edge"/>
          <wMode val="factor"/>
          <hMode val="factor"/>
          <x val="0.3807480073574494"/>
          <y val="0.9390243902439024"/>
          <w val="0.1489883507050889"/>
          <h val="0.0536585365853659"/>
        </manualLayout>
      </layout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10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noFill/>
      <a:prstDash val="solid"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3923973022685469"/>
          <y val="0.06356975804381643"/>
          <w val="0.9380748007357449"/>
          <h val="0.7652820872197901"/>
        </manualLayout>
      </layout>
      <lineChart>
        <grouping val="standard"/>
        <varyColors val="0"/>
        <ser>
          <idx val="0"/>
          <order val="0"/>
          <tx>
            <strRef>
              <f>'Forward Curves-Monthly'!$A$16</f>
              <strCache>
                <ptCount val="1"/>
              </strCache>
            </strRef>
          </tx>
          <spPr>
            <a:ln xmlns:a="http://schemas.openxmlformats.org/drawingml/2006/main" w="12700">
              <a:solidFill>
                <a:srgbClr val="FF99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'Forward Curves-Monthly'!$B$6:$FN$6</f>
              <numCache>
                <formatCode>mm/dd/yyyy</formatCode>
                <ptCount val="169"/>
                <pt idx="0">
                  <v>46035</v>
                </pt>
                <pt idx="1">
                  <v>46066</v>
                </pt>
                <pt idx="2">
                  <v>46094</v>
                </pt>
                <pt idx="3">
                  <v>46125</v>
                </pt>
                <pt idx="4">
                  <v>46155</v>
                </pt>
                <pt idx="5">
                  <v>46188</v>
                </pt>
                <pt idx="6">
                  <v>46216</v>
                </pt>
                <pt idx="7">
                  <v>46247</v>
                </pt>
                <pt idx="8">
                  <v>46279</v>
                </pt>
                <pt idx="9">
                  <v>46308</v>
                </pt>
                <pt idx="10">
                  <v>46339</v>
                </pt>
                <pt idx="11">
                  <v>46370</v>
                </pt>
                <pt idx="12">
                  <v>46400</v>
                </pt>
                <pt idx="13">
                  <v>46434</v>
                </pt>
                <pt idx="14">
                  <v>46461</v>
                </pt>
                <pt idx="15">
                  <v>46490</v>
                </pt>
                <pt idx="16">
                  <v>46520</v>
                </pt>
                <pt idx="17">
                  <v>46552</v>
                </pt>
                <pt idx="18">
                  <v>46581</v>
                </pt>
                <pt idx="19">
                  <v>46612</v>
                </pt>
                <pt idx="20">
                  <v>46643</v>
                </pt>
                <pt idx="21">
                  <v>46673</v>
                </pt>
                <pt idx="22">
                  <v>46706</v>
                </pt>
                <pt idx="23">
                  <v>46734</v>
                </pt>
                <pt idx="24">
                  <v>46765</v>
                </pt>
                <pt idx="25">
                  <v>46797</v>
                </pt>
                <pt idx="26">
                  <v>46825</v>
                </pt>
                <pt idx="27">
                  <v>46856</v>
                </pt>
                <pt idx="28">
                  <v>46888</v>
                </pt>
                <pt idx="29">
                  <v>46917</v>
                </pt>
                <pt idx="30">
                  <v>46947</v>
                </pt>
                <pt idx="31">
                  <v>46979</v>
                </pt>
                <pt idx="32">
                  <v>47009</v>
                </pt>
                <pt idx="33">
                  <v>47039</v>
                </pt>
                <pt idx="34">
                  <v>47070</v>
                </pt>
                <pt idx="35">
                  <v>47100</v>
                </pt>
                <pt idx="36">
                  <v>47134</v>
                </pt>
                <pt idx="37">
                  <v>47162</v>
                </pt>
                <pt idx="38">
                  <v>47190</v>
                </pt>
                <pt idx="39">
                  <v>47221</v>
                </pt>
                <pt idx="40">
                  <v>47252</v>
                </pt>
                <pt idx="41">
                  <v>47282</v>
                </pt>
                <pt idx="42">
                  <v>47312</v>
                </pt>
                <pt idx="43">
                  <v>47343</v>
                </pt>
                <pt idx="44">
                  <v>47374</v>
                </pt>
                <pt idx="45">
                  <v>47406</v>
                </pt>
                <pt idx="46">
                  <v>47435</v>
                </pt>
                <pt idx="47">
                  <v>47465</v>
                </pt>
                <pt idx="48">
                  <v>47497</v>
                </pt>
                <pt idx="49">
                  <v>47527</v>
                </pt>
                <pt idx="50">
                  <v>47555</v>
                </pt>
                <pt idx="51">
                  <v>47588</v>
                </pt>
                <pt idx="52">
                  <v>47616</v>
                </pt>
                <pt idx="53">
                  <v>47647</v>
                </pt>
                <pt idx="54">
                  <v>47679</v>
                </pt>
                <pt idx="55">
                  <v>47708</v>
                </pt>
                <pt idx="56">
                  <v>47739</v>
                </pt>
                <pt idx="57">
                  <v>47771</v>
                </pt>
                <pt idx="58">
                  <v>47800</v>
                </pt>
                <pt idx="59">
                  <v>47830</v>
                </pt>
                <pt idx="60">
                  <v>47861</v>
                </pt>
                <pt idx="61">
                  <v>47892</v>
                </pt>
                <pt idx="62">
                  <v>47920</v>
                </pt>
                <pt idx="63">
                  <v>47952</v>
                </pt>
                <pt idx="64">
                  <v>47981</v>
                </pt>
                <pt idx="65">
                  <v>48012</v>
                </pt>
                <pt idx="66">
                  <v>48043</v>
                </pt>
                <pt idx="67">
                  <v>48073</v>
                </pt>
                <pt idx="68">
                  <v>48106</v>
                </pt>
                <pt idx="69">
                  <v>48135</v>
                </pt>
                <pt idx="70">
                  <v>48165</v>
                </pt>
                <pt idx="71">
                  <v>48197</v>
                </pt>
                <pt idx="72">
                  <v>48226</v>
                </pt>
                <pt idx="73">
                  <v>48257</v>
                </pt>
                <pt idx="74">
                  <v>48288</v>
                </pt>
                <pt idx="75">
                  <v>48317</v>
                </pt>
                <pt idx="76">
                  <v>48347</v>
                </pt>
                <pt idx="77">
                  <v>48379</v>
                </pt>
                <pt idx="78">
                  <v>48408</v>
                </pt>
                <pt idx="79">
                  <v>48439</v>
                </pt>
                <pt idx="80">
                  <v>48470</v>
                </pt>
                <pt idx="81">
                  <v>48500</v>
                </pt>
                <pt idx="82">
                  <v>48533</v>
                </pt>
                <pt idx="83">
                  <v>48561</v>
                </pt>
                <pt idx="84">
                  <v>48592</v>
                </pt>
                <pt idx="85">
                  <v>48624</v>
                </pt>
                <pt idx="86">
                  <v>48652</v>
                </pt>
                <pt idx="87">
                  <v>48682</v>
                </pt>
                <pt idx="88">
                  <v>48712</v>
                </pt>
                <pt idx="89">
                  <v>48743</v>
                </pt>
                <pt idx="90">
                  <v>48773</v>
                </pt>
                <pt idx="91">
                  <v>48806</v>
                </pt>
                <pt idx="92">
                  <v>48835</v>
                </pt>
                <pt idx="93">
                  <v>48865</v>
                </pt>
                <pt idx="94">
                  <v>48897</v>
                </pt>
                <pt idx="95">
                  <v>48926</v>
                </pt>
                <pt idx="96">
                  <v>48957</v>
                </pt>
                <pt idx="97">
                  <v>48988</v>
                </pt>
                <pt idx="98">
                  <v>49016</v>
                </pt>
                <pt idx="99">
                  <v>49047</v>
                </pt>
                <pt idx="100">
                  <v>49079</v>
                </pt>
                <pt idx="101">
                  <v>49108</v>
                </pt>
                <pt idx="102">
                  <v>49138</v>
                </pt>
                <pt idx="103">
                  <v>49170</v>
                </pt>
                <pt idx="104">
                  <v>49200</v>
                </pt>
                <pt idx="105">
                  <v>49230</v>
                </pt>
                <pt idx="106">
                  <v>49261</v>
                </pt>
                <pt idx="107">
                  <v>49291</v>
                </pt>
                <pt idx="108">
                  <v>49325</v>
                </pt>
                <pt idx="109">
                  <v>49353</v>
                </pt>
                <pt idx="110">
                  <v>49381</v>
                </pt>
                <pt idx="111">
                  <v>49412</v>
                </pt>
                <pt idx="112">
                  <v>49443</v>
                </pt>
                <pt idx="113">
                  <v>49473</v>
                </pt>
                <pt idx="114">
                  <v>49503</v>
                </pt>
                <pt idx="115">
                  <v>49534</v>
                </pt>
                <pt idx="116">
                  <v>49565</v>
                </pt>
                <pt idx="117">
                  <v>49597</v>
                </pt>
                <pt idx="118">
                  <v>49626</v>
                </pt>
                <pt idx="119">
                  <v>49656</v>
                </pt>
                <pt idx="120">
                  <v>49688</v>
                </pt>
                <pt idx="121">
                  <v>49734</v>
                </pt>
                <pt idx="122">
                  <v>49765</v>
                </pt>
                <pt idx="123">
                  <v>49795</v>
                </pt>
                <pt idx="124">
                  <v>49826</v>
                </pt>
                <pt idx="125">
                  <v>49856</v>
                </pt>
                <pt idx="126">
                  <v>49887</v>
                </pt>
                <pt idx="127">
                  <v>49918</v>
                </pt>
                <pt idx="128">
                  <v>49948</v>
                </pt>
                <pt idx="129">
                  <v>49979</v>
                </pt>
                <pt idx="130">
                  <v>50009</v>
                </pt>
                <pt idx="131">
                  <v>50040</v>
                </pt>
                <pt idx="132">
                  <v>50071</v>
                </pt>
                <pt idx="133">
                  <v>50099</v>
                </pt>
                <pt idx="134">
                  <v>50130</v>
                </pt>
                <pt idx="135">
                  <v>50160</v>
                </pt>
                <pt idx="136">
                  <v>50191</v>
                </pt>
                <pt idx="137">
                  <v>50221</v>
                </pt>
                <pt idx="138">
                  <v>50252</v>
                </pt>
                <pt idx="139">
                  <v>50283</v>
                </pt>
                <pt idx="140">
                  <v>50313</v>
                </pt>
                <pt idx="141">
                  <v>50344</v>
                </pt>
                <pt idx="142">
                  <v>50374</v>
                </pt>
                <pt idx="143">
                  <v>50405</v>
                </pt>
                <pt idx="144">
                  <v>50436</v>
                </pt>
                <pt idx="145">
                  <v>50464</v>
                </pt>
                <pt idx="146">
                  <v>50495</v>
                </pt>
                <pt idx="147">
                  <v>50525</v>
                </pt>
                <pt idx="148">
                  <v>50556</v>
                </pt>
                <pt idx="149">
                  <v>50586</v>
                </pt>
                <pt idx="150">
                  <v>50617</v>
                </pt>
                <pt idx="151">
                  <v>50648</v>
                </pt>
                <pt idx="152">
                  <v>50678</v>
                </pt>
                <pt idx="153">
                  <v>50709</v>
                </pt>
                <pt idx="154">
                  <v>50739</v>
                </pt>
                <pt idx="155">
                  <v>50770</v>
                </pt>
                <pt idx="156">
                  <v>50801</v>
                </pt>
                <pt idx="157">
                  <v>50829</v>
                </pt>
                <pt idx="158">
                  <v>50860</v>
                </pt>
                <pt idx="159">
                  <v>50890</v>
                </pt>
                <pt idx="160">
                  <v>50921</v>
                </pt>
                <pt idx="161">
                  <v>50951</v>
                </pt>
                <pt idx="162">
                  <v>50982</v>
                </pt>
                <pt idx="163">
                  <v>51013</v>
                </pt>
                <pt idx="164">
                  <v>51043</v>
                </pt>
                <pt idx="165">
                  <v>51074</v>
                </pt>
                <pt idx="166">
                  <v>51104</v>
                </pt>
                <pt idx="167">
                  <v>51135</v>
                </pt>
                <pt idx="168">
                  <v>51166</v>
                </pt>
              </numCache>
            </numRef>
          </cat>
          <val>
            <numRef>
              <f>'Forward Curves-Monthly'!$B$16:$FN$16</f>
              <numCache>
                <formatCode>0.00%</formatCode>
                <ptCount val="169"/>
              </numCache>
            </numRef>
          </val>
          <smooth val="0"/>
        </ser>
        <ser>
          <idx val="1"/>
          <order val="1"/>
          <tx>
            <strRef>
              <f>'Forward Curves-Monthly'!$A$18</f>
              <strCache>
                <ptCount val="1"/>
              </strCache>
            </strRef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'Forward Curves-Monthly'!$B$6:$FN$6</f>
              <numCache>
                <formatCode>mm/dd/yyyy</formatCode>
                <ptCount val="169"/>
                <pt idx="0">
                  <v>46035</v>
                </pt>
                <pt idx="1">
                  <v>46066</v>
                </pt>
                <pt idx="2">
                  <v>46094</v>
                </pt>
                <pt idx="3">
                  <v>46125</v>
                </pt>
                <pt idx="4">
                  <v>46155</v>
                </pt>
                <pt idx="5">
                  <v>46188</v>
                </pt>
                <pt idx="6">
                  <v>46216</v>
                </pt>
                <pt idx="7">
                  <v>46247</v>
                </pt>
                <pt idx="8">
                  <v>46279</v>
                </pt>
                <pt idx="9">
                  <v>46308</v>
                </pt>
                <pt idx="10">
                  <v>46339</v>
                </pt>
                <pt idx="11">
                  <v>46370</v>
                </pt>
                <pt idx="12">
                  <v>46400</v>
                </pt>
                <pt idx="13">
                  <v>46434</v>
                </pt>
                <pt idx="14">
                  <v>46461</v>
                </pt>
                <pt idx="15">
                  <v>46490</v>
                </pt>
                <pt idx="16">
                  <v>46520</v>
                </pt>
                <pt idx="17">
                  <v>46552</v>
                </pt>
                <pt idx="18">
                  <v>46581</v>
                </pt>
                <pt idx="19">
                  <v>46612</v>
                </pt>
                <pt idx="20">
                  <v>46643</v>
                </pt>
                <pt idx="21">
                  <v>46673</v>
                </pt>
                <pt idx="22">
                  <v>46706</v>
                </pt>
                <pt idx="23">
                  <v>46734</v>
                </pt>
                <pt idx="24">
                  <v>46765</v>
                </pt>
                <pt idx="25">
                  <v>46797</v>
                </pt>
                <pt idx="26">
                  <v>46825</v>
                </pt>
                <pt idx="27">
                  <v>46856</v>
                </pt>
                <pt idx="28">
                  <v>46888</v>
                </pt>
                <pt idx="29">
                  <v>46917</v>
                </pt>
                <pt idx="30">
                  <v>46947</v>
                </pt>
                <pt idx="31">
                  <v>46979</v>
                </pt>
                <pt idx="32">
                  <v>47009</v>
                </pt>
                <pt idx="33">
                  <v>47039</v>
                </pt>
                <pt idx="34">
                  <v>47070</v>
                </pt>
                <pt idx="35">
                  <v>47100</v>
                </pt>
                <pt idx="36">
                  <v>47134</v>
                </pt>
                <pt idx="37">
                  <v>47162</v>
                </pt>
                <pt idx="38">
                  <v>47190</v>
                </pt>
                <pt idx="39">
                  <v>47221</v>
                </pt>
                <pt idx="40">
                  <v>47252</v>
                </pt>
                <pt idx="41">
                  <v>47282</v>
                </pt>
                <pt idx="42">
                  <v>47312</v>
                </pt>
                <pt idx="43">
                  <v>47343</v>
                </pt>
                <pt idx="44">
                  <v>47374</v>
                </pt>
                <pt idx="45">
                  <v>47406</v>
                </pt>
                <pt idx="46">
                  <v>47435</v>
                </pt>
                <pt idx="47">
                  <v>47465</v>
                </pt>
                <pt idx="48">
                  <v>47497</v>
                </pt>
                <pt idx="49">
                  <v>47527</v>
                </pt>
                <pt idx="50">
                  <v>47555</v>
                </pt>
                <pt idx="51">
                  <v>47588</v>
                </pt>
                <pt idx="52">
                  <v>47616</v>
                </pt>
                <pt idx="53">
                  <v>47647</v>
                </pt>
                <pt idx="54">
                  <v>47679</v>
                </pt>
                <pt idx="55">
                  <v>47708</v>
                </pt>
                <pt idx="56">
                  <v>47739</v>
                </pt>
                <pt idx="57">
                  <v>47771</v>
                </pt>
                <pt idx="58">
                  <v>47800</v>
                </pt>
                <pt idx="59">
                  <v>47830</v>
                </pt>
                <pt idx="60">
                  <v>47861</v>
                </pt>
                <pt idx="61">
                  <v>47892</v>
                </pt>
                <pt idx="62">
                  <v>47920</v>
                </pt>
                <pt idx="63">
                  <v>47952</v>
                </pt>
                <pt idx="64">
                  <v>47981</v>
                </pt>
                <pt idx="65">
                  <v>48012</v>
                </pt>
                <pt idx="66">
                  <v>48043</v>
                </pt>
                <pt idx="67">
                  <v>48073</v>
                </pt>
                <pt idx="68">
                  <v>48106</v>
                </pt>
                <pt idx="69">
                  <v>48135</v>
                </pt>
                <pt idx="70">
                  <v>48165</v>
                </pt>
                <pt idx="71">
                  <v>48197</v>
                </pt>
                <pt idx="72">
                  <v>48226</v>
                </pt>
                <pt idx="73">
                  <v>48257</v>
                </pt>
                <pt idx="74">
                  <v>48288</v>
                </pt>
                <pt idx="75">
                  <v>48317</v>
                </pt>
                <pt idx="76">
                  <v>48347</v>
                </pt>
                <pt idx="77">
                  <v>48379</v>
                </pt>
                <pt idx="78">
                  <v>48408</v>
                </pt>
                <pt idx="79">
                  <v>48439</v>
                </pt>
                <pt idx="80">
                  <v>48470</v>
                </pt>
                <pt idx="81">
                  <v>48500</v>
                </pt>
                <pt idx="82">
                  <v>48533</v>
                </pt>
                <pt idx="83">
                  <v>48561</v>
                </pt>
                <pt idx="84">
                  <v>48592</v>
                </pt>
                <pt idx="85">
                  <v>48624</v>
                </pt>
                <pt idx="86">
                  <v>48652</v>
                </pt>
                <pt idx="87">
                  <v>48682</v>
                </pt>
                <pt idx="88">
                  <v>48712</v>
                </pt>
                <pt idx="89">
                  <v>48743</v>
                </pt>
                <pt idx="90">
                  <v>48773</v>
                </pt>
                <pt idx="91">
                  <v>48806</v>
                </pt>
                <pt idx="92">
                  <v>48835</v>
                </pt>
                <pt idx="93">
                  <v>48865</v>
                </pt>
                <pt idx="94">
                  <v>48897</v>
                </pt>
                <pt idx="95">
                  <v>48926</v>
                </pt>
                <pt idx="96">
                  <v>48957</v>
                </pt>
                <pt idx="97">
                  <v>48988</v>
                </pt>
                <pt idx="98">
                  <v>49016</v>
                </pt>
                <pt idx="99">
                  <v>49047</v>
                </pt>
                <pt idx="100">
                  <v>49079</v>
                </pt>
                <pt idx="101">
                  <v>49108</v>
                </pt>
                <pt idx="102">
                  <v>49138</v>
                </pt>
                <pt idx="103">
                  <v>49170</v>
                </pt>
                <pt idx="104">
                  <v>49200</v>
                </pt>
                <pt idx="105">
                  <v>49230</v>
                </pt>
                <pt idx="106">
                  <v>49261</v>
                </pt>
                <pt idx="107">
                  <v>49291</v>
                </pt>
                <pt idx="108">
                  <v>49325</v>
                </pt>
                <pt idx="109">
                  <v>49353</v>
                </pt>
                <pt idx="110">
                  <v>49381</v>
                </pt>
                <pt idx="111">
                  <v>49412</v>
                </pt>
                <pt idx="112">
                  <v>49443</v>
                </pt>
                <pt idx="113">
                  <v>49473</v>
                </pt>
                <pt idx="114">
                  <v>49503</v>
                </pt>
                <pt idx="115">
                  <v>49534</v>
                </pt>
                <pt idx="116">
                  <v>49565</v>
                </pt>
                <pt idx="117">
                  <v>49597</v>
                </pt>
                <pt idx="118">
                  <v>49626</v>
                </pt>
                <pt idx="119">
                  <v>49656</v>
                </pt>
                <pt idx="120">
                  <v>49688</v>
                </pt>
                <pt idx="121">
                  <v>49734</v>
                </pt>
                <pt idx="122">
                  <v>49765</v>
                </pt>
                <pt idx="123">
                  <v>49795</v>
                </pt>
                <pt idx="124">
                  <v>49826</v>
                </pt>
                <pt idx="125">
                  <v>49856</v>
                </pt>
                <pt idx="126">
                  <v>49887</v>
                </pt>
                <pt idx="127">
                  <v>49918</v>
                </pt>
                <pt idx="128">
                  <v>49948</v>
                </pt>
                <pt idx="129">
                  <v>49979</v>
                </pt>
                <pt idx="130">
                  <v>50009</v>
                </pt>
                <pt idx="131">
                  <v>50040</v>
                </pt>
                <pt idx="132">
                  <v>50071</v>
                </pt>
                <pt idx="133">
                  <v>50099</v>
                </pt>
                <pt idx="134">
                  <v>50130</v>
                </pt>
                <pt idx="135">
                  <v>50160</v>
                </pt>
                <pt idx="136">
                  <v>50191</v>
                </pt>
                <pt idx="137">
                  <v>50221</v>
                </pt>
                <pt idx="138">
                  <v>50252</v>
                </pt>
                <pt idx="139">
                  <v>50283</v>
                </pt>
                <pt idx="140">
                  <v>50313</v>
                </pt>
                <pt idx="141">
                  <v>50344</v>
                </pt>
                <pt idx="142">
                  <v>50374</v>
                </pt>
                <pt idx="143">
                  <v>50405</v>
                </pt>
                <pt idx="144">
                  <v>50436</v>
                </pt>
                <pt idx="145">
                  <v>50464</v>
                </pt>
                <pt idx="146">
                  <v>50495</v>
                </pt>
                <pt idx="147">
                  <v>50525</v>
                </pt>
                <pt idx="148">
                  <v>50556</v>
                </pt>
                <pt idx="149">
                  <v>50586</v>
                </pt>
                <pt idx="150">
                  <v>50617</v>
                </pt>
                <pt idx="151">
                  <v>50648</v>
                </pt>
                <pt idx="152">
                  <v>50678</v>
                </pt>
                <pt idx="153">
                  <v>50709</v>
                </pt>
                <pt idx="154">
                  <v>50739</v>
                </pt>
                <pt idx="155">
                  <v>50770</v>
                </pt>
                <pt idx="156">
                  <v>50801</v>
                </pt>
                <pt idx="157">
                  <v>50829</v>
                </pt>
                <pt idx="158">
                  <v>50860</v>
                </pt>
                <pt idx="159">
                  <v>50890</v>
                </pt>
                <pt idx="160">
                  <v>50921</v>
                </pt>
                <pt idx="161">
                  <v>50951</v>
                </pt>
                <pt idx="162">
                  <v>50982</v>
                </pt>
                <pt idx="163">
                  <v>51013</v>
                </pt>
                <pt idx="164">
                  <v>51043</v>
                </pt>
                <pt idx="165">
                  <v>51074</v>
                </pt>
                <pt idx="166">
                  <v>51104</v>
                </pt>
                <pt idx="167">
                  <v>51135</v>
                </pt>
                <pt idx="168">
                  <v>51166</v>
                </pt>
              </numCache>
            </numRef>
          </cat>
          <val>
            <numRef>
              <f>'Forward Curves-Monthly'!$B$18:$FN$18</f>
              <numCache>
                <formatCode>0.00%</formatCode>
                <ptCount val="169"/>
              </numCache>
            </numRef>
          </val>
          <smooth val="0"/>
        </ser>
        <ser>
          <idx val="2"/>
          <order val="2"/>
          <tx>
            <strRef>
              <f>'Forward Curves-Monthly'!$A$20</f>
              <strCache>
                <ptCount val="1"/>
              </strCache>
            </strRef>
          </tx>
          <spPr>
            <a:ln xmlns:a="http://schemas.openxmlformats.org/drawingml/2006/main" w="12700">
              <a:solidFill>
                <a:srgbClr val="3333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'Forward Curves-Monthly'!$B$6:$FN$6</f>
              <numCache>
                <formatCode>mm/dd/yyyy</formatCode>
                <ptCount val="169"/>
                <pt idx="0">
                  <v>46035</v>
                </pt>
                <pt idx="1">
                  <v>46066</v>
                </pt>
                <pt idx="2">
                  <v>46094</v>
                </pt>
                <pt idx="3">
                  <v>46125</v>
                </pt>
                <pt idx="4">
                  <v>46155</v>
                </pt>
                <pt idx="5">
                  <v>46188</v>
                </pt>
                <pt idx="6">
                  <v>46216</v>
                </pt>
                <pt idx="7">
                  <v>46247</v>
                </pt>
                <pt idx="8">
                  <v>46279</v>
                </pt>
                <pt idx="9">
                  <v>46308</v>
                </pt>
                <pt idx="10">
                  <v>46339</v>
                </pt>
                <pt idx="11">
                  <v>46370</v>
                </pt>
                <pt idx="12">
                  <v>46400</v>
                </pt>
                <pt idx="13">
                  <v>46434</v>
                </pt>
                <pt idx="14">
                  <v>46461</v>
                </pt>
                <pt idx="15">
                  <v>46490</v>
                </pt>
                <pt idx="16">
                  <v>46520</v>
                </pt>
                <pt idx="17">
                  <v>46552</v>
                </pt>
                <pt idx="18">
                  <v>46581</v>
                </pt>
                <pt idx="19">
                  <v>46612</v>
                </pt>
                <pt idx="20">
                  <v>46643</v>
                </pt>
                <pt idx="21">
                  <v>46673</v>
                </pt>
                <pt idx="22">
                  <v>46706</v>
                </pt>
                <pt idx="23">
                  <v>46734</v>
                </pt>
                <pt idx="24">
                  <v>46765</v>
                </pt>
                <pt idx="25">
                  <v>46797</v>
                </pt>
                <pt idx="26">
                  <v>46825</v>
                </pt>
                <pt idx="27">
                  <v>46856</v>
                </pt>
                <pt idx="28">
                  <v>46888</v>
                </pt>
                <pt idx="29">
                  <v>46917</v>
                </pt>
                <pt idx="30">
                  <v>46947</v>
                </pt>
                <pt idx="31">
                  <v>46979</v>
                </pt>
                <pt idx="32">
                  <v>47009</v>
                </pt>
                <pt idx="33">
                  <v>47039</v>
                </pt>
                <pt idx="34">
                  <v>47070</v>
                </pt>
                <pt idx="35">
                  <v>47100</v>
                </pt>
                <pt idx="36">
                  <v>47134</v>
                </pt>
                <pt idx="37">
                  <v>47162</v>
                </pt>
                <pt idx="38">
                  <v>47190</v>
                </pt>
                <pt idx="39">
                  <v>47221</v>
                </pt>
                <pt idx="40">
                  <v>47252</v>
                </pt>
                <pt idx="41">
                  <v>47282</v>
                </pt>
                <pt idx="42">
                  <v>47312</v>
                </pt>
                <pt idx="43">
                  <v>47343</v>
                </pt>
                <pt idx="44">
                  <v>47374</v>
                </pt>
                <pt idx="45">
                  <v>47406</v>
                </pt>
                <pt idx="46">
                  <v>47435</v>
                </pt>
                <pt idx="47">
                  <v>47465</v>
                </pt>
                <pt idx="48">
                  <v>47497</v>
                </pt>
                <pt idx="49">
                  <v>47527</v>
                </pt>
                <pt idx="50">
                  <v>47555</v>
                </pt>
                <pt idx="51">
                  <v>47588</v>
                </pt>
                <pt idx="52">
                  <v>47616</v>
                </pt>
                <pt idx="53">
                  <v>47647</v>
                </pt>
                <pt idx="54">
                  <v>47679</v>
                </pt>
                <pt idx="55">
                  <v>47708</v>
                </pt>
                <pt idx="56">
                  <v>47739</v>
                </pt>
                <pt idx="57">
                  <v>47771</v>
                </pt>
                <pt idx="58">
                  <v>47800</v>
                </pt>
                <pt idx="59">
                  <v>47830</v>
                </pt>
                <pt idx="60">
                  <v>47861</v>
                </pt>
                <pt idx="61">
                  <v>47892</v>
                </pt>
                <pt idx="62">
                  <v>47920</v>
                </pt>
                <pt idx="63">
                  <v>47952</v>
                </pt>
                <pt idx="64">
                  <v>47981</v>
                </pt>
                <pt idx="65">
                  <v>48012</v>
                </pt>
                <pt idx="66">
                  <v>48043</v>
                </pt>
                <pt idx="67">
                  <v>48073</v>
                </pt>
                <pt idx="68">
                  <v>48106</v>
                </pt>
                <pt idx="69">
                  <v>48135</v>
                </pt>
                <pt idx="70">
                  <v>48165</v>
                </pt>
                <pt idx="71">
                  <v>48197</v>
                </pt>
                <pt idx="72">
                  <v>48226</v>
                </pt>
                <pt idx="73">
                  <v>48257</v>
                </pt>
                <pt idx="74">
                  <v>48288</v>
                </pt>
                <pt idx="75">
                  <v>48317</v>
                </pt>
                <pt idx="76">
                  <v>48347</v>
                </pt>
                <pt idx="77">
                  <v>48379</v>
                </pt>
                <pt idx="78">
                  <v>48408</v>
                </pt>
                <pt idx="79">
                  <v>48439</v>
                </pt>
                <pt idx="80">
                  <v>48470</v>
                </pt>
                <pt idx="81">
                  <v>48500</v>
                </pt>
                <pt idx="82">
                  <v>48533</v>
                </pt>
                <pt idx="83">
                  <v>48561</v>
                </pt>
                <pt idx="84">
                  <v>48592</v>
                </pt>
                <pt idx="85">
                  <v>48624</v>
                </pt>
                <pt idx="86">
                  <v>48652</v>
                </pt>
                <pt idx="87">
                  <v>48682</v>
                </pt>
                <pt idx="88">
                  <v>48712</v>
                </pt>
                <pt idx="89">
                  <v>48743</v>
                </pt>
                <pt idx="90">
                  <v>48773</v>
                </pt>
                <pt idx="91">
                  <v>48806</v>
                </pt>
                <pt idx="92">
                  <v>48835</v>
                </pt>
                <pt idx="93">
                  <v>48865</v>
                </pt>
                <pt idx="94">
                  <v>48897</v>
                </pt>
                <pt idx="95">
                  <v>48926</v>
                </pt>
                <pt idx="96">
                  <v>48957</v>
                </pt>
                <pt idx="97">
                  <v>48988</v>
                </pt>
                <pt idx="98">
                  <v>49016</v>
                </pt>
                <pt idx="99">
                  <v>49047</v>
                </pt>
                <pt idx="100">
                  <v>49079</v>
                </pt>
                <pt idx="101">
                  <v>49108</v>
                </pt>
                <pt idx="102">
                  <v>49138</v>
                </pt>
                <pt idx="103">
                  <v>49170</v>
                </pt>
                <pt idx="104">
                  <v>49200</v>
                </pt>
                <pt idx="105">
                  <v>49230</v>
                </pt>
                <pt idx="106">
                  <v>49261</v>
                </pt>
                <pt idx="107">
                  <v>49291</v>
                </pt>
                <pt idx="108">
                  <v>49325</v>
                </pt>
                <pt idx="109">
                  <v>49353</v>
                </pt>
                <pt idx="110">
                  <v>49381</v>
                </pt>
                <pt idx="111">
                  <v>49412</v>
                </pt>
                <pt idx="112">
                  <v>49443</v>
                </pt>
                <pt idx="113">
                  <v>49473</v>
                </pt>
                <pt idx="114">
                  <v>49503</v>
                </pt>
                <pt idx="115">
                  <v>49534</v>
                </pt>
                <pt idx="116">
                  <v>49565</v>
                </pt>
                <pt idx="117">
                  <v>49597</v>
                </pt>
                <pt idx="118">
                  <v>49626</v>
                </pt>
                <pt idx="119">
                  <v>49656</v>
                </pt>
                <pt idx="120">
                  <v>49688</v>
                </pt>
                <pt idx="121">
                  <v>49734</v>
                </pt>
                <pt idx="122">
                  <v>49765</v>
                </pt>
                <pt idx="123">
                  <v>49795</v>
                </pt>
                <pt idx="124">
                  <v>49826</v>
                </pt>
                <pt idx="125">
                  <v>49856</v>
                </pt>
                <pt idx="126">
                  <v>49887</v>
                </pt>
                <pt idx="127">
                  <v>49918</v>
                </pt>
                <pt idx="128">
                  <v>49948</v>
                </pt>
                <pt idx="129">
                  <v>49979</v>
                </pt>
                <pt idx="130">
                  <v>50009</v>
                </pt>
                <pt idx="131">
                  <v>50040</v>
                </pt>
                <pt idx="132">
                  <v>50071</v>
                </pt>
                <pt idx="133">
                  <v>50099</v>
                </pt>
                <pt idx="134">
                  <v>50130</v>
                </pt>
                <pt idx="135">
                  <v>50160</v>
                </pt>
                <pt idx="136">
                  <v>50191</v>
                </pt>
                <pt idx="137">
                  <v>50221</v>
                </pt>
                <pt idx="138">
                  <v>50252</v>
                </pt>
                <pt idx="139">
                  <v>50283</v>
                </pt>
                <pt idx="140">
                  <v>50313</v>
                </pt>
                <pt idx="141">
                  <v>50344</v>
                </pt>
                <pt idx="142">
                  <v>50374</v>
                </pt>
                <pt idx="143">
                  <v>50405</v>
                </pt>
                <pt idx="144">
                  <v>50436</v>
                </pt>
                <pt idx="145">
                  <v>50464</v>
                </pt>
                <pt idx="146">
                  <v>50495</v>
                </pt>
                <pt idx="147">
                  <v>50525</v>
                </pt>
                <pt idx="148">
                  <v>50556</v>
                </pt>
                <pt idx="149">
                  <v>50586</v>
                </pt>
                <pt idx="150">
                  <v>50617</v>
                </pt>
                <pt idx="151">
                  <v>50648</v>
                </pt>
                <pt idx="152">
                  <v>50678</v>
                </pt>
                <pt idx="153">
                  <v>50709</v>
                </pt>
                <pt idx="154">
                  <v>50739</v>
                </pt>
                <pt idx="155">
                  <v>50770</v>
                </pt>
                <pt idx="156">
                  <v>50801</v>
                </pt>
                <pt idx="157">
                  <v>50829</v>
                </pt>
                <pt idx="158">
                  <v>50860</v>
                </pt>
                <pt idx="159">
                  <v>50890</v>
                </pt>
                <pt idx="160">
                  <v>50921</v>
                </pt>
                <pt idx="161">
                  <v>50951</v>
                </pt>
                <pt idx="162">
                  <v>50982</v>
                </pt>
                <pt idx="163">
                  <v>51013</v>
                </pt>
                <pt idx="164">
                  <v>51043</v>
                </pt>
                <pt idx="165">
                  <v>51074</v>
                </pt>
                <pt idx="166">
                  <v>51104</v>
                </pt>
                <pt idx="167">
                  <v>51135</v>
                </pt>
                <pt idx="168">
                  <v>51166</v>
                </pt>
              </numCache>
            </numRef>
          </cat>
          <val>
            <numRef>
              <f>'Forward Curves-Monthly'!$B$20:$FN$20</f>
              <numCache>
                <formatCode>0.00%</formatCode>
                <ptCount val="169"/>
              </numCache>
            </numRef>
          </val>
          <smooth val="0"/>
        </ser>
        <ser>
          <idx val="3"/>
          <order val="3"/>
          <tx>
            <strRef>
              <f>'Forward Curves-Monthly'!$A$22</f>
              <strCache>
                <ptCount val="1"/>
              </strCache>
            </strRef>
          </tx>
          <spPr>
            <a:ln xmlns:a="http://schemas.openxmlformats.org/drawingml/2006/main" w="12700">
              <a:solidFill>
                <a:srgbClr val="A97F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'Forward Curves-Monthly'!$B$6:$FN$6</f>
              <numCache>
                <formatCode>mm/dd/yyyy</formatCode>
                <ptCount val="169"/>
                <pt idx="0">
                  <v>46035</v>
                </pt>
                <pt idx="1">
                  <v>46066</v>
                </pt>
                <pt idx="2">
                  <v>46094</v>
                </pt>
                <pt idx="3">
                  <v>46125</v>
                </pt>
                <pt idx="4">
                  <v>46155</v>
                </pt>
                <pt idx="5">
                  <v>46188</v>
                </pt>
                <pt idx="6">
                  <v>46216</v>
                </pt>
                <pt idx="7">
                  <v>46247</v>
                </pt>
                <pt idx="8">
                  <v>46279</v>
                </pt>
                <pt idx="9">
                  <v>46308</v>
                </pt>
                <pt idx="10">
                  <v>46339</v>
                </pt>
                <pt idx="11">
                  <v>46370</v>
                </pt>
                <pt idx="12">
                  <v>46400</v>
                </pt>
                <pt idx="13">
                  <v>46434</v>
                </pt>
                <pt idx="14">
                  <v>46461</v>
                </pt>
                <pt idx="15">
                  <v>46490</v>
                </pt>
                <pt idx="16">
                  <v>46520</v>
                </pt>
                <pt idx="17">
                  <v>46552</v>
                </pt>
                <pt idx="18">
                  <v>46581</v>
                </pt>
                <pt idx="19">
                  <v>46612</v>
                </pt>
                <pt idx="20">
                  <v>46643</v>
                </pt>
                <pt idx="21">
                  <v>46673</v>
                </pt>
                <pt idx="22">
                  <v>46706</v>
                </pt>
                <pt idx="23">
                  <v>46734</v>
                </pt>
                <pt idx="24">
                  <v>46765</v>
                </pt>
                <pt idx="25">
                  <v>46797</v>
                </pt>
                <pt idx="26">
                  <v>46825</v>
                </pt>
                <pt idx="27">
                  <v>46856</v>
                </pt>
                <pt idx="28">
                  <v>46888</v>
                </pt>
                <pt idx="29">
                  <v>46917</v>
                </pt>
                <pt idx="30">
                  <v>46947</v>
                </pt>
                <pt idx="31">
                  <v>46979</v>
                </pt>
                <pt idx="32">
                  <v>47009</v>
                </pt>
                <pt idx="33">
                  <v>47039</v>
                </pt>
                <pt idx="34">
                  <v>47070</v>
                </pt>
                <pt idx="35">
                  <v>47100</v>
                </pt>
                <pt idx="36">
                  <v>47134</v>
                </pt>
                <pt idx="37">
                  <v>47162</v>
                </pt>
                <pt idx="38">
                  <v>47190</v>
                </pt>
                <pt idx="39">
                  <v>47221</v>
                </pt>
                <pt idx="40">
                  <v>47252</v>
                </pt>
                <pt idx="41">
                  <v>47282</v>
                </pt>
                <pt idx="42">
                  <v>47312</v>
                </pt>
                <pt idx="43">
                  <v>47343</v>
                </pt>
                <pt idx="44">
                  <v>47374</v>
                </pt>
                <pt idx="45">
                  <v>47406</v>
                </pt>
                <pt idx="46">
                  <v>47435</v>
                </pt>
                <pt idx="47">
                  <v>47465</v>
                </pt>
                <pt idx="48">
                  <v>47497</v>
                </pt>
                <pt idx="49">
                  <v>47527</v>
                </pt>
                <pt idx="50">
                  <v>47555</v>
                </pt>
                <pt idx="51">
                  <v>47588</v>
                </pt>
                <pt idx="52">
                  <v>47616</v>
                </pt>
                <pt idx="53">
                  <v>47647</v>
                </pt>
                <pt idx="54">
                  <v>47679</v>
                </pt>
                <pt idx="55">
                  <v>47708</v>
                </pt>
                <pt idx="56">
                  <v>47739</v>
                </pt>
                <pt idx="57">
                  <v>47771</v>
                </pt>
                <pt idx="58">
                  <v>47800</v>
                </pt>
                <pt idx="59">
                  <v>47830</v>
                </pt>
                <pt idx="60">
                  <v>47861</v>
                </pt>
                <pt idx="61">
                  <v>47892</v>
                </pt>
                <pt idx="62">
                  <v>47920</v>
                </pt>
                <pt idx="63">
                  <v>47952</v>
                </pt>
                <pt idx="64">
                  <v>47981</v>
                </pt>
                <pt idx="65">
                  <v>48012</v>
                </pt>
                <pt idx="66">
                  <v>48043</v>
                </pt>
                <pt idx="67">
                  <v>48073</v>
                </pt>
                <pt idx="68">
                  <v>48106</v>
                </pt>
                <pt idx="69">
                  <v>48135</v>
                </pt>
                <pt idx="70">
                  <v>48165</v>
                </pt>
                <pt idx="71">
                  <v>48197</v>
                </pt>
                <pt idx="72">
                  <v>48226</v>
                </pt>
                <pt idx="73">
                  <v>48257</v>
                </pt>
                <pt idx="74">
                  <v>48288</v>
                </pt>
                <pt idx="75">
                  <v>48317</v>
                </pt>
                <pt idx="76">
                  <v>48347</v>
                </pt>
                <pt idx="77">
                  <v>48379</v>
                </pt>
                <pt idx="78">
                  <v>48408</v>
                </pt>
                <pt idx="79">
                  <v>48439</v>
                </pt>
                <pt idx="80">
                  <v>48470</v>
                </pt>
                <pt idx="81">
                  <v>48500</v>
                </pt>
                <pt idx="82">
                  <v>48533</v>
                </pt>
                <pt idx="83">
                  <v>48561</v>
                </pt>
                <pt idx="84">
                  <v>48592</v>
                </pt>
                <pt idx="85">
                  <v>48624</v>
                </pt>
                <pt idx="86">
                  <v>48652</v>
                </pt>
                <pt idx="87">
                  <v>48682</v>
                </pt>
                <pt idx="88">
                  <v>48712</v>
                </pt>
                <pt idx="89">
                  <v>48743</v>
                </pt>
                <pt idx="90">
                  <v>48773</v>
                </pt>
                <pt idx="91">
                  <v>48806</v>
                </pt>
                <pt idx="92">
                  <v>48835</v>
                </pt>
                <pt idx="93">
                  <v>48865</v>
                </pt>
                <pt idx="94">
                  <v>48897</v>
                </pt>
                <pt idx="95">
                  <v>48926</v>
                </pt>
                <pt idx="96">
                  <v>48957</v>
                </pt>
                <pt idx="97">
                  <v>48988</v>
                </pt>
                <pt idx="98">
                  <v>49016</v>
                </pt>
                <pt idx="99">
                  <v>49047</v>
                </pt>
                <pt idx="100">
                  <v>49079</v>
                </pt>
                <pt idx="101">
                  <v>49108</v>
                </pt>
                <pt idx="102">
                  <v>49138</v>
                </pt>
                <pt idx="103">
                  <v>49170</v>
                </pt>
                <pt idx="104">
                  <v>49200</v>
                </pt>
                <pt idx="105">
                  <v>49230</v>
                </pt>
                <pt idx="106">
                  <v>49261</v>
                </pt>
                <pt idx="107">
                  <v>49291</v>
                </pt>
                <pt idx="108">
                  <v>49325</v>
                </pt>
                <pt idx="109">
                  <v>49353</v>
                </pt>
                <pt idx="110">
                  <v>49381</v>
                </pt>
                <pt idx="111">
                  <v>49412</v>
                </pt>
                <pt idx="112">
                  <v>49443</v>
                </pt>
                <pt idx="113">
                  <v>49473</v>
                </pt>
                <pt idx="114">
                  <v>49503</v>
                </pt>
                <pt idx="115">
                  <v>49534</v>
                </pt>
                <pt idx="116">
                  <v>49565</v>
                </pt>
                <pt idx="117">
                  <v>49597</v>
                </pt>
                <pt idx="118">
                  <v>49626</v>
                </pt>
                <pt idx="119">
                  <v>49656</v>
                </pt>
                <pt idx="120">
                  <v>49688</v>
                </pt>
                <pt idx="121">
                  <v>49734</v>
                </pt>
                <pt idx="122">
                  <v>49765</v>
                </pt>
                <pt idx="123">
                  <v>49795</v>
                </pt>
                <pt idx="124">
                  <v>49826</v>
                </pt>
                <pt idx="125">
                  <v>49856</v>
                </pt>
                <pt idx="126">
                  <v>49887</v>
                </pt>
                <pt idx="127">
                  <v>49918</v>
                </pt>
                <pt idx="128">
                  <v>49948</v>
                </pt>
                <pt idx="129">
                  <v>49979</v>
                </pt>
                <pt idx="130">
                  <v>50009</v>
                </pt>
                <pt idx="131">
                  <v>50040</v>
                </pt>
                <pt idx="132">
                  <v>50071</v>
                </pt>
                <pt idx="133">
                  <v>50099</v>
                </pt>
                <pt idx="134">
                  <v>50130</v>
                </pt>
                <pt idx="135">
                  <v>50160</v>
                </pt>
                <pt idx="136">
                  <v>50191</v>
                </pt>
                <pt idx="137">
                  <v>50221</v>
                </pt>
                <pt idx="138">
                  <v>50252</v>
                </pt>
                <pt idx="139">
                  <v>50283</v>
                </pt>
                <pt idx="140">
                  <v>50313</v>
                </pt>
                <pt idx="141">
                  <v>50344</v>
                </pt>
                <pt idx="142">
                  <v>50374</v>
                </pt>
                <pt idx="143">
                  <v>50405</v>
                </pt>
                <pt idx="144">
                  <v>50436</v>
                </pt>
                <pt idx="145">
                  <v>50464</v>
                </pt>
                <pt idx="146">
                  <v>50495</v>
                </pt>
                <pt idx="147">
                  <v>50525</v>
                </pt>
                <pt idx="148">
                  <v>50556</v>
                </pt>
                <pt idx="149">
                  <v>50586</v>
                </pt>
                <pt idx="150">
                  <v>50617</v>
                </pt>
                <pt idx="151">
                  <v>50648</v>
                </pt>
                <pt idx="152">
                  <v>50678</v>
                </pt>
                <pt idx="153">
                  <v>50709</v>
                </pt>
                <pt idx="154">
                  <v>50739</v>
                </pt>
                <pt idx="155">
                  <v>50770</v>
                </pt>
                <pt idx="156">
                  <v>50801</v>
                </pt>
                <pt idx="157">
                  <v>50829</v>
                </pt>
                <pt idx="158">
                  <v>50860</v>
                </pt>
                <pt idx="159">
                  <v>50890</v>
                </pt>
                <pt idx="160">
                  <v>50921</v>
                </pt>
                <pt idx="161">
                  <v>50951</v>
                </pt>
                <pt idx="162">
                  <v>50982</v>
                </pt>
                <pt idx="163">
                  <v>51013</v>
                </pt>
                <pt idx="164">
                  <v>51043</v>
                </pt>
                <pt idx="165">
                  <v>51074</v>
                </pt>
                <pt idx="166">
                  <v>51104</v>
                </pt>
                <pt idx="167">
                  <v>51135</v>
                </pt>
                <pt idx="168">
                  <v>51166</v>
                </pt>
              </numCache>
            </numRef>
          </cat>
          <val>
            <numRef>
              <f>'Forward Curves-Monthly'!$B$22:$FN$22</f>
              <numCache>
                <formatCode>0.00%</formatCode>
                <ptCount val="169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75007936"/>
        <axId val="475008328"/>
      </lineChart>
      <catAx>
        <axId val="475007936"/>
        <scaling>
          <orientation val="minMax"/>
        </scaling>
        <delete val="0"/>
        <axPos val="b"/>
        <numFmt formatCode="mmm\-yy" sourceLinked="0"/>
        <majorTickMark val="out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97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None</a:t>
            </a:r>
            <a:endParaRPr lang="en-US"/>
          </a:p>
        </txPr>
        <crossAx val="475008328"/>
        <crosses val="autoZero"/>
        <auto val="0"/>
        <lblAlgn val="ctr"/>
        <lblOffset val="100"/>
        <tickLblSkip val="7"/>
        <tickMarkSkip val="1"/>
        <noMultiLvlLbl val="0"/>
      </catAx>
      <valAx>
        <axId val="475008328"/>
        <scaling>
          <orientation val="minMax"/>
          <max val="0.04000000000000001"/>
          <min val="0"/>
        </scaling>
        <delete val="0"/>
        <axPos val="l"/>
        <majorGridlines>
          <spPr>
            <a:ln xmlns:a="http://schemas.openxmlformats.org/drawingml/2006/main" w="3175">
              <a:solidFill>
                <a:srgbClr val="000000"/>
              </a:solidFill>
              <a:prstDash val="solid"/>
            </a:ln>
          </spPr>
        </majorGridlines>
        <numFmt formatCode="0.00%" sourceLinked="0"/>
        <majorTickMark val="out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97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None</a:t>
            </a:r>
            <a:endParaRPr lang="en-US"/>
          </a:p>
        </txPr>
        <crossAx val="475007936"/>
        <crosses val="autoZero"/>
        <crossBetween val="between"/>
        <majorUnit val="0.01"/>
      </valAx>
    </plotArea>
    <legend>
      <legendPos val="b"/>
      <layout>
        <manualLayout>
          <xMode val="edge"/>
          <yMode val="edge"/>
          <wMode val="factor"/>
          <hMode val="factor"/>
          <x val="0.404659717964439"/>
          <y val="0.9315413690648082"/>
          <w val="0.2066217044757818"/>
          <h val="0.05378973105134477"/>
        </manualLayout>
      </layout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40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noFill/>
      <a:prstDash val="solid"/>
    </a:ln>
  </spPr>
</chartSpace>
</file>

<file path=xl/comments/comment1.xml><?xml version="1.0" encoding="utf-8"?>
<comments xmlns="http://schemas.openxmlformats.org/spreadsheetml/2006/main">
  <authors>
    <author>Jimmy Baugnon</author>
  </authors>
  <commentList>
    <comment ref="D12" authorId="0" shapeId="0">
      <text>
        <t>Jimmy Baugnon:
Always assume LAST day of the month for closing</t>
      </text>
    </comment>
    <comment ref="D13" authorId="0" shapeId="0">
      <text>
        <t>Jimmy Baugnon:
Always assume LAST day of the month start</t>
      </text>
    </comment>
  </commentList>
</comments>
</file>

<file path=xl/comments/comment2.xml><?xml version="1.0" encoding="utf-8"?>
<comments xmlns="http://schemas.openxmlformats.org/spreadsheetml/2006/main">
  <authors>
    <author>Laughton Jones</author>
  </authors>
  <commentList>
    <comment ref="D112" authorId="0" shapeId="0">
      <text>
        <t>Laughton Jones:
Make sure to transpose current  forward curve data into subsequent tab and match destination formatting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1</col>
      <colOff>85725</colOff>
      <row>35</row>
      <rowOff>47625</rowOff>
    </from>
    <to>
      <col>17</col>
      <colOff>685800</colOff>
      <row>59</row>
      <rowOff>57150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85725</colOff>
      <row>65</row>
      <rowOff>19050</rowOff>
    </from>
    <to>
      <col>17</col>
      <colOff>685800</colOff>
      <row>89</row>
      <rowOff>28575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3"/>
    <outlinePr summaryBelow="1" summaryRight="1"/>
    <pageSetUpPr fitToPage="1"/>
  </sheetPr>
  <dimension ref="A1:AS300"/>
  <sheetViews>
    <sheetView showGridLines="0" topLeftCell="A226" zoomScale="68" zoomScaleNormal="80" workbookViewId="0">
      <selection activeCell="C83" sqref="C83"/>
    </sheetView>
  </sheetViews>
  <sheetFormatPr baseColWidth="10" defaultColWidth="10.83203125" defaultRowHeight="14"/>
  <cols>
    <col width="2.33203125" customWidth="1" style="3" min="1" max="2"/>
    <col width="30.83203125" customWidth="1" style="3" min="3" max="3"/>
    <col width="17" customWidth="1" style="3" min="4" max="4"/>
    <col width="12.5" customWidth="1" style="3" min="5" max="5"/>
    <col width="12.33203125" customWidth="1" style="3" min="6" max="6"/>
    <col width="13" bestFit="1" customWidth="1" style="3" min="7" max="7"/>
    <col width="10.83203125" customWidth="1" style="3" min="8" max="8"/>
    <col width="13.6640625" bestFit="1" customWidth="1" style="3" min="9" max="9"/>
    <col width="10" customWidth="1" style="3" min="10" max="10"/>
    <col width="13.6640625" customWidth="1" style="3" min="11" max="11"/>
    <col width="20.6640625" customWidth="1" style="3" min="12" max="12"/>
    <col width="15.33203125" customWidth="1" style="3" min="13" max="13"/>
    <col width="18.5" customWidth="1" style="3" min="14" max="14"/>
    <col width="12.5" customWidth="1" style="3" min="15" max="15"/>
    <col width="16" customWidth="1" style="3" min="16" max="17"/>
    <col width="11" customWidth="1" style="3" min="18" max="18"/>
    <col width="14" customWidth="1" style="3" min="19" max="19"/>
    <col width="14.6640625" bestFit="1" customWidth="1" style="3" min="20" max="20"/>
    <col width="15" customWidth="1" style="3" min="21" max="21"/>
    <col width="12" bestFit="1" customWidth="1" style="3" min="22" max="22"/>
    <col width="11.33203125" customWidth="1" style="3" min="23" max="23"/>
    <col width="11" customWidth="1" style="3" min="24" max="27"/>
    <col width="10.83203125" customWidth="1" style="3" min="28" max="39"/>
    <col width="13.5" bestFit="1" customWidth="1" style="3" min="40" max="40"/>
    <col width="10.83203125" customWidth="1" style="3" min="41" max="16384"/>
  </cols>
  <sheetData>
    <row r="1" ht="26" customHeight="1">
      <c r="B1" s="80" t="inlineStr">
        <is>
          <t>[Enter Property Name]</t>
        </is>
      </c>
      <c r="C1" s="81" t="n"/>
    </row>
    <row r="2" ht="15" customHeight="1">
      <c r="B2" s="82" t="n"/>
      <c r="C2" s="73" t="inlineStr">
        <is>
          <t>[Enter Location]</t>
        </is>
      </c>
    </row>
    <row r="3" ht="15" customHeight="1">
      <c r="C3" s="1016" t="n"/>
    </row>
    <row r="4" ht="15" customHeight="1">
      <c r="A4" s="735" t="n"/>
      <c r="B4" s="735" t="n"/>
    </row>
    <row r="5" ht="19" customHeight="1">
      <c r="A5" s="172" t="inlineStr">
        <is>
          <t>INPUT ASSUMPTIONS</t>
        </is>
      </c>
      <c r="B5" s="173" t="n"/>
      <c r="C5" s="173" t="n"/>
      <c r="D5" s="173" t="n"/>
      <c r="E5" s="173" t="n"/>
      <c r="F5" s="173" t="n"/>
      <c r="G5" s="173" t="n"/>
      <c r="H5" s="173" t="n"/>
      <c r="I5" s="173" t="n"/>
      <c r="J5" s="173" t="n"/>
      <c r="K5" s="173" t="n"/>
      <c r="L5" s="173" t="n"/>
      <c r="M5" s="173" t="n"/>
      <c r="N5" s="173" t="n"/>
      <c r="O5" s="174" t="n"/>
    </row>
    <row r="6" ht="15" customHeight="1">
      <c r="A6" s="735" t="n"/>
      <c r="B6" s="735" t="n"/>
    </row>
    <row r="7" ht="20.25" customHeight="1">
      <c r="A7" s="735" t="n"/>
      <c r="B7" s="382" t="inlineStr">
        <is>
          <t>Product Type</t>
        </is>
      </c>
      <c r="C7" s="379" t="n"/>
      <c r="D7" s="381" t="inlineStr">
        <is>
          <t>[Enter Product Type]</t>
        </is>
      </c>
      <c r="E7" s="380" t="n"/>
      <c r="F7" s="380" t="n"/>
    </row>
    <row r="8" ht="15" customHeight="1">
      <c r="A8" s="735" t="n"/>
      <c r="B8" s="735" t="n"/>
      <c r="L8" s="327" t="inlineStr">
        <is>
          <t>MINIMUM MANAGEMENT FEE</t>
        </is>
      </c>
      <c r="M8" s="1017" t="n"/>
    </row>
    <row r="9" ht="15" customHeight="1">
      <c r="A9" s="735" t="n"/>
      <c r="B9" s="6" t="inlineStr">
        <is>
          <t>LEASE UP ASSUMPTIONS</t>
        </is>
      </c>
      <c r="C9" s="735" t="n"/>
      <c r="D9" s="735" t="n"/>
      <c r="E9" s="33" t="n"/>
      <c r="F9" s="6" t="inlineStr">
        <is>
          <t>ABSORPTION SUMMARY</t>
        </is>
      </c>
      <c r="G9" s="735" t="n"/>
      <c r="H9" s="735" t="n"/>
      <c r="I9" s="735" t="n"/>
      <c r="L9" s="327" t="inlineStr">
        <is>
          <t>MAXIMUM ANNUAL MANAGEMENT FEE</t>
        </is>
      </c>
      <c r="M9" s="1017" t="n"/>
    </row>
    <row r="10" ht="15" customHeight="1">
      <c r="A10" s="735" t="n"/>
      <c r="B10" s="735" t="n"/>
      <c r="C10" s="735" t="n"/>
      <c r="D10" s="735" t="n"/>
      <c r="E10" s="735" t="n"/>
      <c r="F10" s="735" t="n"/>
      <c r="G10" s="735" t="n"/>
      <c r="H10" s="735" t="n"/>
      <c r="I10" s="735" t="n"/>
      <c r="L10" s="327" t="inlineStr">
        <is>
          <t>DEV CO-INVEST</t>
        </is>
      </c>
      <c r="M10" s="264" t="n"/>
      <c r="N10" s="461" t="n"/>
      <c r="Q10" s="568" t="n"/>
    </row>
    <row r="11" ht="15" customHeight="1">
      <c r="A11" s="735" t="n"/>
      <c r="B11" s="736" t="inlineStr">
        <is>
          <t>RENTS CURRENT AS OF:</t>
        </is>
      </c>
      <c r="C11" s="736" t="n"/>
      <c r="D11" s="1018" t="inlineStr">
        <is>
          <t>-</t>
        </is>
      </c>
      <c r="E11" s="735" t="n"/>
      <c r="F11" s="736">
        <f>Total_Number_Units</f>
        <v/>
      </c>
      <c r="G11" s="736" t="inlineStr">
        <is>
          <t>TOTAL UNITS</t>
        </is>
      </c>
      <c r="H11" s="736" t="n"/>
      <c r="I11" s="736" t="n"/>
      <c r="L11" s="327" t="inlineStr">
        <is>
          <t>PREFERRED RETURN</t>
        </is>
      </c>
      <c r="M11" s="264" t="n"/>
      <c r="Q11" s="568" t="n"/>
    </row>
    <row r="12" ht="15" customHeight="1">
      <c r="A12" s="735" t="n"/>
      <c r="B12" s="737" t="inlineStr">
        <is>
          <t>LAND CLOSING DATE:</t>
        </is>
      </c>
      <c r="C12" s="737" t="n"/>
      <c r="D12" s="1019" t="n"/>
      <c r="E12" s="735" t="n"/>
      <c r="F12" s="1380" t="n"/>
      <c r="G12" s="737" t="inlineStr">
        <is>
          <t>UNITS DELIVERED PER MONTH</t>
        </is>
      </c>
      <c r="H12" s="737" t="n"/>
      <c r="I12" s="737" t="n"/>
      <c r="L12" s="327" t="inlineStr">
        <is>
          <t>EXIT CAP RATE</t>
        </is>
      </c>
      <c r="M12" s="264" t="n"/>
      <c r="Q12" s="568" t="n"/>
    </row>
    <row r="13" ht="15" customHeight="1">
      <c r="A13" s="735" t="n"/>
      <c r="B13" s="737" t="inlineStr">
        <is>
          <t>CLOSING/CONTRUCTION START:</t>
        </is>
      </c>
      <c r="C13" s="737" t="n"/>
      <c r="D13" s="1019">
        <f>D12</f>
        <v/>
      </c>
      <c r="E13" s="735" t="n"/>
      <c r="F13" s="1380" t="n"/>
      <c r="G13" s="737" t="inlineStr">
        <is>
          <t>MONTHLY ABSORPTION</t>
        </is>
      </c>
      <c r="H13" s="737" t="n"/>
      <c r="I13" s="737" t="n"/>
      <c r="L13" s="327" t="inlineStr">
        <is>
          <t>CONST. LOAN BANK SPREAD</t>
        </is>
      </c>
      <c r="M13" s="264" t="n"/>
      <c r="P13" s="563" t="n"/>
    </row>
    <row r="14" ht="15" customHeight="1">
      <c r="A14" s="735" t="n"/>
      <c r="B14" s="737" t="inlineStr">
        <is>
          <t>MONTHS TO FIRST DELIVERY:</t>
        </is>
      </c>
      <c r="C14" s="737" t="n"/>
      <c r="D14" s="201" t="n"/>
      <c r="E14" s="735" t="n"/>
      <c r="F14" s="1380" t="n"/>
      <c r="G14" s="737" t="inlineStr">
        <is>
          <t>WINTER MONTHLY ABSORPTION</t>
        </is>
      </c>
      <c r="H14" s="737" t="n"/>
      <c r="I14" s="737" t="n"/>
      <c r="L14" s="327" t="n"/>
      <c r="M14" s="738" t="n"/>
      <c r="N14" s="406" t="n"/>
      <c r="O14" s="739" t="n"/>
      <c r="P14" s="563" t="n"/>
    </row>
    <row r="15" ht="15" customHeight="1">
      <c r="A15" s="735" t="n"/>
      <c r="B15" s="737" t="inlineStr">
        <is>
          <t>TOTAL MONTHS CONTRUCTION:</t>
        </is>
      </c>
      <c r="C15" s="737" t="n"/>
      <c r="D15" s="201" t="n"/>
      <c r="E15" s="735" t="n"/>
      <c r="F15" s="740">
        <f>F13/F11</f>
        <v/>
      </c>
      <c r="G15" s="737" t="inlineStr">
        <is>
          <t>NET MONTHLY ABSORPTION (% TOTAL)</t>
        </is>
      </c>
      <c r="H15" s="737" t="n"/>
      <c r="I15" s="737" t="n"/>
      <c r="L15" s="327" t="inlineStr">
        <is>
          <t>MEZZ SWEEP?</t>
        </is>
      </c>
      <c r="M15" s="439" t="b">
        <v>0</v>
      </c>
    </row>
    <row r="16" ht="15" customHeight="1">
      <c r="B16" s="737" t="inlineStr">
        <is>
          <t># MONTHS IN LEASE-UP</t>
        </is>
      </c>
      <c r="C16" s="737" t="n"/>
      <c r="D16" s="737">
        <f>ROUNDUP((F11*F16)/F13,0)</f>
        <v/>
      </c>
      <c r="E16" s="735" t="n"/>
      <c r="F16" s="1381" t="n"/>
      <c r="G16" s="737" t="inlineStr">
        <is>
          <t>STABILIZED OCCUPANCY</t>
        </is>
      </c>
      <c r="H16" s="737" t="n"/>
      <c r="I16" s="737" t="n"/>
      <c r="L16" s="327" t="inlineStr">
        <is>
          <t>MEZZ LENDER ACCRUAL</t>
        </is>
      </c>
      <c r="M16" s="264" t="n"/>
    </row>
    <row r="17" ht="15" customFormat="1" customHeight="1" s="26">
      <c r="A17" s="735" t="n"/>
      <c r="B17" s="741" t="inlineStr">
        <is>
          <t># MONTHS TO STABILIZATION:</t>
        </is>
      </c>
      <c r="C17" s="741" t="n"/>
      <c r="D17" s="741">
        <f>D14+D16</f>
        <v/>
      </c>
      <c r="E17" s="735" t="n"/>
      <c r="F17" s="1020">
        <f>DATE(YEAR($D$13+(($D$14+$D$16)*30)), MONTH($D$13+(($D$14+$D$16)*30)), 15)</f>
        <v/>
      </c>
      <c r="G17" s="737" t="inlineStr">
        <is>
          <t>PROPERTY STABILIZED</t>
        </is>
      </c>
      <c r="H17" s="737" t="n"/>
      <c r="I17" s="737" t="n"/>
      <c r="J17" s="735" t="n"/>
      <c r="K17" s="735" t="n"/>
      <c r="L17" s="327" t="inlineStr">
        <is>
          <t>MEZZ CURRENT PAY</t>
        </is>
      </c>
      <c r="M17" s="264" t="n"/>
      <c r="N17" s="735" t="n"/>
      <c r="O17" s="735" t="n"/>
      <c r="P17" s="735" t="n"/>
      <c r="Q17" s="735" t="n"/>
    </row>
    <row r="18" ht="15" customFormat="1" customHeight="1" s="26">
      <c r="A18" s="735" t="n"/>
      <c r="B18" s="735" t="n"/>
      <c r="C18" s="735" t="n"/>
      <c r="D18" s="735" t="n"/>
      <c r="E18" s="735" t="n"/>
      <c r="F18" s="1382" t="n"/>
      <c r="G18" s="741" t="inlineStr">
        <is>
          <t>MONTHS CONCESSION DURING LEASEUP</t>
        </is>
      </c>
      <c r="H18" s="215" t="n"/>
      <c r="I18" s="741" t="n"/>
      <c r="J18" s="735" t="n"/>
      <c r="K18" s="735" t="n"/>
      <c r="L18" s="735" t="n"/>
      <c r="M18" s="735" t="n"/>
      <c r="N18" s="735" t="n"/>
      <c r="O18" s="735" t="n"/>
      <c r="P18" s="735" t="n"/>
      <c r="Q18" s="735" t="n"/>
    </row>
    <row r="19" ht="15" customFormat="1" customHeight="1" s="26">
      <c r="A19" s="735" t="n"/>
      <c r="B19" s="735" t="n"/>
      <c r="C19" s="735" t="n"/>
      <c r="D19" s="735" t="n"/>
      <c r="E19" s="735" t="n"/>
      <c r="F19" s="735" t="n"/>
      <c r="G19" s="735" t="n"/>
      <c r="H19" s="735" t="n"/>
      <c r="I19" s="735" t="n"/>
      <c r="J19" s="735" t="n"/>
      <c r="K19" s="735" t="n"/>
      <c r="L19" s="735" t="n"/>
      <c r="M19" s="735" t="n"/>
      <c r="N19" s="735" t="n"/>
      <c r="O19" s="735" t="n"/>
      <c r="P19" s="735" t="n"/>
      <c r="Q19" s="735" t="n"/>
    </row>
    <row r="20" ht="15" customFormat="1" customHeight="1" s="26">
      <c r="A20" s="735" t="n"/>
      <c r="B20" s="735" t="n"/>
      <c r="C20" s="735" t="n"/>
      <c r="D20" s="735" t="n"/>
      <c r="E20" s="735" t="n"/>
      <c r="F20" s="735" t="n"/>
      <c r="G20" s="735" t="n"/>
      <c r="H20" s="735" t="n"/>
      <c r="I20" s="735" t="n"/>
      <c r="J20" s="735" t="n"/>
      <c r="K20" s="735" t="n"/>
      <c r="L20" s="735" t="n"/>
      <c r="M20" s="735" t="n"/>
      <c r="N20" s="735" t="n"/>
      <c r="O20" s="735" t="n"/>
      <c r="P20" s="735" t="n"/>
      <c r="Q20" s="735" t="n"/>
    </row>
    <row r="21" ht="19" customFormat="1" customHeight="1" s="26">
      <c r="A21" s="171" t="n"/>
      <c r="B21" s="172" t="inlineStr">
        <is>
          <t>UNIT MIX</t>
        </is>
      </c>
      <c r="C21" s="173" t="n"/>
      <c r="D21" s="173" t="n"/>
      <c r="E21" s="173" t="n"/>
      <c r="F21" s="173" t="n"/>
      <c r="G21" s="173" t="n"/>
      <c r="H21" s="173" t="n"/>
      <c r="I21" s="173" t="n"/>
      <c r="J21" s="173" t="n"/>
      <c r="K21" s="173" t="n"/>
      <c r="L21" s="173" t="n"/>
      <c r="M21" s="173" t="n"/>
      <c r="N21" s="173" t="n"/>
      <c r="O21" s="174" t="n"/>
      <c r="P21" s="735" t="n"/>
      <c r="Q21" s="735" t="n"/>
    </row>
    <row r="22" ht="15" customFormat="1" customHeight="1" s="26">
      <c r="A22" s="735" t="n"/>
      <c r="B22" s="735" t="n"/>
      <c r="C22" s="743" t="n"/>
      <c r="D22" s="744" t="n"/>
      <c r="E22" s="735" t="n"/>
      <c r="F22" s="735" t="n"/>
      <c r="G22" s="735" t="n"/>
      <c r="H22" s="735" t="n"/>
      <c r="I22" s="735" t="n"/>
      <c r="J22" s="744" t="n"/>
      <c r="K22" s="744" t="n"/>
      <c r="L22" s="735" t="n"/>
      <c r="M22" s="735" t="n"/>
      <c r="N22" s="735" t="n"/>
      <c r="O22" s="735" t="n"/>
      <c r="P22" s="735" t="n"/>
      <c r="Q22" s="735" t="n"/>
    </row>
    <row r="23" ht="15" customFormat="1" customHeight="1" s="26">
      <c r="A23" s="735" t="n"/>
      <c r="B23" s="735" t="n"/>
      <c r="C23" s="11" t="inlineStr">
        <is>
          <t>BR / BA</t>
        </is>
      </c>
      <c r="D23" s="11" t="inlineStr">
        <is>
          <t>AVG. UNIT SF</t>
        </is>
      </c>
      <c r="E23" s="11" t="inlineStr">
        <is>
          <t>TOTAL SF</t>
        </is>
      </c>
      <c r="F23" s="11" t="inlineStr">
        <is>
          <t>UNITS</t>
        </is>
      </c>
      <c r="G23" s="11" t="inlineStr">
        <is>
          <t>%</t>
        </is>
      </c>
      <c r="H23" s="11" t="inlineStr">
        <is>
          <t>RENT PSF</t>
        </is>
      </c>
      <c r="I23" s="11" t="inlineStr">
        <is>
          <t>AVG. RENT</t>
        </is>
      </c>
      <c r="J23" s="735" t="n"/>
      <c r="K23" s="735" t="n"/>
      <c r="L23" s="735" t="n"/>
      <c r="M23" s="265" t="n"/>
      <c r="N23" s="735" t="n"/>
      <c r="O23" s="735" t="n"/>
      <c r="P23" s="735" t="n"/>
      <c r="Q23" s="735" t="n"/>
    </row>
    <row r="24" ht="15" customFormat="1" customHeight="1" s="26">
      <c r="A24" s="735" t="n"/>
      <c r="B24" s="735" t="n"/>
      <c r="C24" s="1022">
        <f>'Unit Mix'!B3</f>
        <v/>
      </c>
      <c r="D24" s="1023">
        <f>'Unit Mix'!C3</f>
        <v/>
      </c>
      <c r="E24" s="1023">
        <f>+D24*F24</f>
        <v/>
      </c>
      <c r="F24" s="1023">
        <f>'Unit Mix'!D3</f>
        <v/>
      </c>
      <c r="G24" s="1024">
        <f>IF(ISERROR(F24/$F$28),"",(F24/$F$28))</f>
        <v/>
      </c>
      <c r="H24" s="256">
        <f>IF(ISERROR(I24/D24),"",(I24/D24))</f>
        <v/>
      </c>
      <c r="I24" s="1025">
        <f>'Unit Mix'!E3</f>
        <v/>
      </c>
      <c r="J24" s="735" t="n"/>
      <c r="K24" s="735" t="n"/>
      <c r="L24" s="735" t="n"/>
      <c r="M24" s="735" t="n"/>
      <c r="N24" s="735" t="n"/>
      <c r="O24" s="735" t="n"/>
      <c r="P24" s="735" t="n"/>
      <c r="Q24" s="735" t="n"/>
    </row>
    <row r="25" ht="15" customFormat="1" customHeight="1" s="26">
      <c r="A25" s="735" t="n"/>
      <c r="B25" s="735" t="n"/>
      <c r="C25" s="1026">
        <f>'Unit Mix'!B4</f>
        <v/>
      </c>
      <c r="D25" s="1027">
        <f>'Unit Mix'!C4</f>
        <v/>
      </c>
      <c r="E25" s="1027">
        <f>+D25*F25</f>
        <v/>
      </c>
      <c r="F25" s="1027">
        <f>'Unit Mix'!D4</f>
        <v/>
      </c>
      <c r="G25" s="1028">
        <f>IF(ISERROR(F25/$F$28),"",(F25/$F$28))</f>
        <v/>
      </c>
      <c r="H25" s="221">
        <f>IF(ISERROR(I25/D25),"",(I25/D25))</f>
        <v/>
      </c>
      <c r="I25" s="1029">
        <f>'Unit Mix'!E4</f>
        <v/>
      </c>
      <c r="J25" s="735" t="n"/>
      <c r="K25" s="735" t="n"/>
      <c r="L25" s="735" t="n"/>
      <c r="M25" s="735" t="n"/>
      <c r="N25" s="735" t="n"/>
      <c r="O25" s="735" t="n"/>
      <c r="P25" s="735" t="n"/>
      <c r="Q25" s="735" t="n"/>
    </row>
    <row r="26" ht="15" customFormat="1" customHeight="1" s="26">
      <c r="A26" s="735" t="n"/>
      <c r="B26" s="735" t="n"/>
      <c r="C26" s="1026">
        <f>'Unit Mix'!B5</f>
        <v/>
      </c>
      <c r="D26" s="1027">
        <f>'Unit Mix'!C5</f>
        <v/>
      </c>
      <c r="E26" s="1027">
        <f>+D26*F26</f>
        <v/>
      </c>
      <c r="F26" s="1027">
        <f>'Unit Mix'!D5</f>
        <v/>
      </c>
      <c r="G26" s="1028">
        <f>IF(ISERROR(F26/$F$28),"",(F26/$F$28))</f>
        <v/>
      </c>
      <c r="H26" s="221">
        <f>IF(ISERROR(I26/D26),"",(I26/D26))</f>
        <v/>
      </c>
      <c r="I26" s="1029">
        <f>'Unit Mix'!E5</f>
        <v/>
      </c>
      <c r="J26" s="735" t="n"/>
      <c r="K26" s="735" t="n"/>
      <c r="L26" s="735" t="n"/>
      <c r="M26" s="735" t="n"/>
      <c r="N26" s="735" t="n"/>
      <c r="O26" s="735" t="n"/>
      <c r="P26" s="735" t="n"/>
      <c r="Q26" s="735" t="n"/>
    </row>
    <row r="27" ht="15" customFormat="1" customHeight="1" s="26">
      <c r="A27" s="735" t="n"/>
      <c r="B27" s="735" t="n"/>
      <c r="C27" s="1030">
        <f>'Unit Mix'!B6</f>
        <v/>
      </c>
      <c r="D27" s="1031">
        <f>'Unit Mix'!C6</f>
        <v/>
      </c>
      <c r="E27" s="1031">
        <f>+D27*F27</f>
        <v/>
      </c>
      <c r="F27" s="1031">
        <f>'Unit Mix'!D6</f>
        <v/>
      </c>
      <c r="G27" s="1032">
        <f>IF(ISERROR(F27/$F$28),"",(F27/$F$28))</f>
        <v/>
      </c>
      <c r="H27" s="262">
        <f>IF(ISERROR(I27/D27),"",(I27/D27))</f>
        <v/>
      </c>
      <c r="I27" s="1033">
        <f>'Unit Mix'!E6</f>
        <v/>
      </c>
      <c r="J27" s="735" t="n"/>
      <c r="K27" s="748" t="n"/>
      <c r="L27" s="735" t="n"/>
      <c r="M27" s="735" t="n"/>
      <c r="N27" s="735" t="n"/>
      <c r="O27" s="735" t="n"/>
      <c r="P27" s="735" t="n"/>
      <c r="Q27" s="735" t="n"/>
    </row>
    <row r="28" ht="16" customFormat="1" customHeight="1" s="26" thickBot="1">
      <c r="A28" s="735" t="n"/>
      <c r="B28" s="735" t="n"/>
      <c r="C28" s="735" t="n"/>
      <c r="D28" s="1034">
        <f>'Unit Mix'!C8</f>
        <v/>
      </c>
      <c r="E28" s="1034">
        <f>'Unit Mix'!C7</f>
        <v/>
      </c>
      <c r="F28" s="1034">
        <f>+SUM(F24:F27)</f>
        <v/>
      </c>
      <c r="G28" s="1035">
        <f>+SUM(G24:G27)</f>
        <v/>
      </c>
      <c r="H28" s="253">
        <f>'Unit Mix'!F8</f>
        <v/>
      </c>
      <c r="I28" s="1036">
        <f>'Unit Mix'!E8</f>
        <v/>
      </c>
      <c r="J28" s="735" t="n"/>
      <c r="K28" s="748" t="n"/>
      <c r="L28" s="735" t="n"/>
      <c r="M28" s="735" t="n"/>
      <c r="N28" s="735" t="n"/>
      <c r="O28" s="735" t="n"/>
      <c r="P28" s="735" t="n"/>
      <c r="Q28" s="1037" t="n"/>
    </row>
    <row r="29" ht="16" customFormat="1" customHeight="1" s="26" thickTop="1">
      <c r="A29" s="735" t="n"/>
      <c r="B29" s="735" t="n"/>
      <c r="C29" s="175" t="n"/>
      <c r="D29" s="735" t="n"/>
      <c r="E29" s="735" t="n"/>
      <c r="F29" s="735" t="n"/>
      <c r="G29" s="735" t="n"/>
      <c r="H29" s="735" t="n"/>
      <c r="I29" s="735" t="n"/>
      <c r="J29" s="735" t="n"/>
      <c r="K29" s="735" t="n"/>
      <c r="L29" s="735" t="n"/>
      <c r="M29" s="735" t="n"/>
      <c r="N29" s="735" t="n"/>
      <c r="O29" s="735" t="n"/>
      <c r="P29" s="735" t="n"/>
      <c r="Q29" s="735" t="n"/>
    </row>
    <row r="30" ht="15" customFormat="1" customHeight="1" s="26">
      <c r="A30" s="735" t="n"/>
      <c r="B30" s="735" t="n"/>
      <c r="C30" s="175" t="n"/>
      <c r="D30" s="1038" t="n"/>
      <c r="E30" s="1038" t="n"/>
      <c r="F30" s="1039" t="n"/>
      <c r="G30" s="1038" t="n"/>
      <c r="H30" s="1039" t="n"/>
      <c r="I30" s="1040" t="n"/>
      <c r="J30" s="28" t="n"/>
      <c r="K30" s="1041" t="n"/>
      <c r="L30" s="748">
        <f>K30/330</f>
        <v/>
      </c>
      <c r="M30" s="735" t="n"/>
      <c r="N30" s="735" t="n"/>
      <c r="O30" s="735" t="n"/>
      <c r="P30" s="735" t="n"/>
      <c r="Q30" s="735" t="n"/>
    </row>
    <row r="31" ht="15" customFormat="1" customHeight="1" s="26">
      <c r="A31" s="735" t="n"/>
      <c r="B31" s="735" t="n"/>
      <c r="C31" s="735" t="n"/>
      <c r="D31" s="735" t="n"/>
      <c r="E31" s="735" t="n"/>
      <c r="F31" s="1038" t="n"/>
      <c r="G31" s="1038" t="n"/>
      <c r="H31" s="1038" t="n"/>
      <c r="I31" s="1040" t="n"/>
      <c r="J31" s="28" t="n"/>
      <c r="K31" s="1042" t="n"/>
      <c r="L31" s="735" t="n"/>
      <c r="M31" s="735" t="n"/>
      <c r="N31" s="735" t="n"/>
      <c r="O31" s="735" t="n"/>
      <c r="P31" s="735" t="n"/>
      <c r="Q31" s="735" t="n"/>
    </row>
    <row r="32" ht="19" customHeight="1">
      <c r="A32" s="84" t="n"/>
      <c r="B32" s="85" t="inlineStr">
        <is>
          <t>BASE BUDGET</t>
        </is>
      </c>
      <c r="C32" s="84" t="n"/>
      <c r="D32" s="84" t="n"/>
      <c r="E32" s="84" t="n"/>
      <c r="F32" s="84" t="n"/>
      <c r="G32" s="84" t="n"/>
      <c r="H32" s="84" t="n"/>
      <c r="I32" s="84" t="n"/>
      <c r="J32" s="84" t="n"/>
      <c r="K32" s="84" t="n"/>
      <c r="L32" s="84" t="n"/>
      <c r="M32" s="84" t="n"/>
      <c r="N32" s="84" t="n"/>
      <c r="O32" s="84" t="n"/>
    </row>
    <row r="33" ht="15" customFormat="1" customHeight="1" s="26">
      <c r="C33" s="735" t="n"/>
      <c r="D33" s="735" t="n"/>
      <c r="E33" s="735" t="n"/>
      <c r="F33" s="735" t="n"/>
      <c r="G33" s="735" t="n"/>
      <c r="H33" s="735" t="n"/>
      <c r="I33" s="735" t="n"/>
      <c r="J33" s="735" t="n"/>
      <c r="K33" s="735" t="n"/>
      <c r="L33" s="735" t="n"/>
      <c r="M33" s="735" t="n"/>
      <c r="N33" s="735" t="n"/>
      <c r="O33" s="735" t="n"/>
      <c r="P33" s="735" t="n"/>
      <c r="Q33" s="735" t="n"/>
      <c r="R33" s="735" t="n"/>
      <c r="S33" s="735" t="n"/>
      <c r="T33" s="735" t="n"/>
      <c r="U33" s="735" t="n"/>
    </row>
    <row r="34" ht="15" customFormat="1" customHeight="1" s="26">
      <c r="C34" s="9" t="inlineStr">
        <is>
          <t>USES</t>
        </is>
      </c>
      <c r="D34" s="9" t="n"/>
      <c r="E34" s="176" t="inlineStr">
        <is>
          <t>COST</t>
        </is>
      </c>
      <c r="F34" s="176" t="inlineStr">
        <is>
          <t>PER UNIT</t>
        </is>
      </c>
      <c r="G34" s="176" t="inlineStr">
        <is>
          <t>PSF</t>
        </is>
      </c>
      <c r="H34" s="735" t="n"/>
      <c r="I34" s="735" t="n"/>
      <c r="J34" s="735" t="n"/>
      <c r="K34" s="9" t="inlineStr">
        <is>
          <t>ORIGINATION/FINANCING FEE</t>
        </is>
      </c>
      <c r="L34" s="735" t="n"/>
      <c r="M34" s="735" t="n"/>
      <c r="N34" s="11" t="inlineStr">
        <is>
          <t>%</t>
        </is>
      </c>
      <c r="O34" s="11" t="inlineStr">
        <is>
          <t>COST</t>
        </is>
      </c>
      <c r="P34" s="739" t="n"/>
      <c r="Q34" s="735" t="n"/>
      <c r="R34" s="735" t="n"/>
      <c r="S34" s="735" t="n"/>
      <c r="T34" s="735" t="n"/>
      <c r="U34" s="735" t="n"/>
    </row>
    <row r="35" ht="15" customFormat="1" customHeight="1" s="26">
      <c r="C35" s="755">
        <f>+'Soft Cost Detail'!B6</f>
        <v/>
      </c>
      <c r="D35" s="756" t="n"/>
      <c r="E35" s="103">
        <f>+'Soft Cost Detail'!E6</f>
        <v/>
      </c>
      <c r="F35" s="103">
        <f>IF(ISERROR(E35/$F$28),"",(E35/$F$28))</f>
        <v/>
      </c>
      <c r="G35" s="427">
        <f>+F35/Total_Unit_wtavg_SF</f>
        <v/>
      </c>
      <c r="H35" s="735" t="n"/>
      <c r="I35" s="1038" t="n"/>
      <c r="J35" s="735" t="n"/>
      <c r="K35" s="756" t="inlineStr">
        <is>
          <t>SR. ORIGINATION</t>
        </is>
      </c>
      <c r="L35" s="756" t="n"/>
      <c r="M35" s="758">
        <f>E70</f>
        <v/>
      </c>
      <c r="N35" s="109" t="n"/>
      <c r="O35" s="1043">
        <f>+M35*N35</f>
        <v/>
      </c>
      <c r="P35" s="739" t="n"/>
      <c r="Q35" s="735" t="n"/>
      <c r="R35" s="735" t="n"/>
      <c r="S35" s="735" t="n"/>
      <c r="T35" s="735" t="n"/>
      <c r="U35" s="735" t="n"/>
    </row>
    <row r="36" ht="15" customFormat="1" customHeight="1" s="26">
      <c r="C36" s="759">
        <f>+'Soft Cost Detail'!B13</f>
        <v/>
      </c>
      <c r="D36" s="760" t="n"/>
      <c r="E36" s="105">
        <f>+'Soft Cost Detail'!E13</f>
        <v/>
      </c>
      <c r="F36" s="105">
        <f>IF(ISERROR(E36/$F$28),"",(E36/$F$28))</f>
        <v/>
      </c>
      <c r="G36" s="134">
        <f>+F36/Total_Unit_wtavg_SF</f>
        <v/>
      </c>
      <c r="H36" s="735" t="n"/>
      <c r="I36" s="735" t="n"/>
      <c r="J36" s="735" t="n"/>
      <c r="K36" s="195" t="inlineStr">
        <is>
          <t>BROKER</t>
        </is>
      </c>
      <c r="L36" s="760" t="n"/>
      <c r="M36" s="761">
        <f>M35</f>
        <v/>
      </c>
      <c r="N36" s="111" t="n"/>
      <c r="O36" s="1044">
        <f>+N36*M36</f>
        <v/>
      </c>
      <c r="P36" s="735" t="n"/>
      <c r="Q36" s="735" t="n"/>
      <c r="R36" s="735" t="n"/>
      <c r="S36" s="735" t="n"/>
      <c r="T36" s="735" t="n"/>
      <c r="U36" s="735" t="n"/>
    </row>
    <row r="37" ht="15" customFormat="1" customHeight="1" s="26">
      <c r="C37" s="759">
        <f>+'Soft Cost Detail'!B29</f>
        <v/>
      </c>
      <c r="D37" s="760" t="n"/>
      <c r="E37" s="105">
        <f>+'Soft Cost Detail'!E29</f>
        <v/>
      </c>
      <c r="F37" s="105">
        <f>IF(ISERROR(E37/$F$28),"",(E37/$F$28))</f>
        <v/>
      </c>
      <c r="G37" s="134">
        <f>+F37/Total_Unit_wtavg_SF</f>
        <v/>
      </c>
      <c r="H37" s="735" t="n"/>
      <c r="I37" s="735" t="n"/>
      <c r="J37" s="735" t="n"/>
      <c r="K37" s="760" t="inlineStr">
        <is>
          <t xml:space="preserve">MEZZANINE APPLICATION </t>
        </is>
      </c>
      <c r="L37" s="760" t="n"/>
      <c r="M37" s="317">
        <f>+E69</f>
        <v/>
      </c>
      <c r="N37" s="316" t="n"/>
      <c r="O37" s="1045">
        <f>+N37</f>
        <v/>
      </c>
      <c r="P37" s="735" t="n"/>
      <c r="Q37" s="735" t="n"/>
      <c r="R37" s="735" t="n"/>
      <c r="S37" s="735" t="n"/>
      <c r="T37" s="735" t="n"/>
      <c r="U37" s="735" t="n"/>
    </row>
    <row r="38" ht="15" customFormat="1" customHeight="1" s="26">
      <c r="C38" s="759">
        <f>+'Soft Cost Detail'!B37</f>
        <v/>
      </c>
      <c r="D38" s="760" t="n"/>
      <c r="E38" s="105">
        <f>+'Soft Cost Detail'!E37</f>
        <v/>
      </c>
      <c r="F38" s="105">
        <f>IF(ISERROR(E38/$F$28),"",(E38/$F$28))</f>
        <v/>
      </c>
      <c r="G38" s="134">
        <f>+F38/Total_Unit_wtavg_SF</f>
        <v/>
      </c>
      <c r="H38" s="735" t="n"/>
      <c r="I38" s="735" t="n"/>
      <c r="J38" s="735" t="n"/>
      <c r="K38" s="760" t="inlineStr">
        <is>
          <t>MEZZANINE ORIGINATION</t>
        </is>
      </c>
      <c r="L38" s="760" t="n"/>
      <c r="M38" s="761">
        <f>E69</f>
        <v/>
      </c>
      <c r="N38" s="111" t="n"/>
      <c r="O38" s="1044">
        <f>+N38*M38</f>
        <v/>
      </c>
      <c r="P38" s="735" t="n"/>
      <c r="Q38" s="748" t="n"/>
      <c r="R38" s="735" t="n"/>
      <c r="S38" s="735" t="n"/>
      <c r="T38" s="735" t="n"/>
      <c r="U38" s="735" t="n"/>
    </row>
    <row r="39" ht="15" customFormat="1" customHeight="1" s="26">
      <c r="C39" s="759">
        <f>+'Soft Cost Detail'!B46</f>
        <v/>
      </c>
      <c r="D39" s="760" t="n"/>
      <c r="E39" s="105">
        <f>+'Soft Cost Detail'!E46</f>
        <v/>
      </c>
      <c r="F39" s="105">
        <f>IF(ISERROR(E39/$F$28),"",(E39/$F$28))</f>
        <v/>
      </c>
      <c r="G39" s="134">
        <f>+F39/Total_Unit_wtavg_SF</f>
        <v/>
      </c>
      <c r="H39" s="735" t="n"/>
      <c r="I39" s="735" t="n"/>
      <c r="J39" s="735" t="n"/>
      <c r="K39" s="195" t="inlineStr">
        <is>
          <t>BROKER</t>
        </is>
      </c>
      <c r="L39" s="760" t="n"/>
      <c r="M39" s="761">
        <f>M38</f>
        <v/>
      </c>
      <c r="N39" s="111" t="n"/>
      <c r="O39" s="1044">
        <f>+N39*M39</f>
        <v/>
      </c>
      <c r="P39" s="735" t="n"/>
      <c r="Q39" s="748" t="n"/>
      <c r="R39" s="735" t="n"/>
      <c r="S39" s="735" t="n"/>
      <c r="T39" s="735" t="n"/>
      <c r="U39" s="735" t="n"/>
    </row>
    <row r="40" ht="15" customFormat="1" customHeight="1" s="26">
      <c r="C40" s="759">
        <f>+'Soft Cost Detail'!B52</f>
        <v/>
      </c>
      <c r="D40" s="760" t="n"/>
      <c r="E40" s="105">
        <f>+'Soft Cost Detail'!E52</f>
        <v/>
      </c>
      <c r="F40" s="105">
        <f>IF(ISERROR(E40/$F$28),"",(E40/$F$28))</f>
        <v/>
      </c>
      <c r="G40" s="134">
        <f>+F40/Total_Unit_wtavg_SF</f>
        <v/>
      </c>
      <c r="H40" s="735" t="n"/>
      <c r="I40" s="735" t="n"/>
      <c r="J40" s="735" t="n"/>
      <c r="K40" s="760" t="inlineStr">
        <is>
          <t>EQUITY ORIGINATION</t>
        </is>
      </c>
      <c r="L40" s="760" t="n"/>
      <c r="M40" s="761">
        <f>+E68*(1-M10)</f>
        <v/>
      </c>
      <c r="N40" s="111" t="n"/>
      <c r="O40" s="1044">
        <f>+M40*N40</f>
        <v/>
      </c>
      <c r="P40" s="735" t="n"/>
      <c r="Q40" s="735" t="n"/>
      <c r="R40" s="735" t="n"/>
      <c r="S40" s="735" t="n"/>
      <c r="T40" s="735" t="n"/>
      <c r="U40" s="735" t="n"/>
    </row>
    <row r="41" ht="15" customFormat="1" customHeight="1" s="26">
      <c r="C41" s="759">
        <f>+'Soft Cost Detail'!B64</f>
        <v/>
      </c>
      <c r="D41" s="760" t="n"/>
      <c r="E41" s="105">
        <f>+'Soft Cost Detail'!E64</f>
        <v/>
      </c>
      <c r="F41" s="105">
        <f>IF(ISERROR(E41/$F$28),"",(E41/$F$28))</f>
        <v/>
      </c>
      <c r="G41" s="134">
        <f>+F41/Total_Unit_wtavg_SF</f>
        <v/>
      </c>
      <c r="H41" s="735" t="n"/>
      <c r="I41" s="735" t="n"/>
      <c r="J41" s="735" t="n"/>
      <c r="K41" s="196" t="inlineStr">
        <is>
          <t>BROKER</t>
        </is>
      </c>
      <c r="L41" s="762" t="n"/>
      <c r="M41" s="763">
        <f>+M40</f>
        <v/>
      </c>
      <c r="N41" s="114" t="n"/>
      <c r="O41" s="1046">
        <f>+N41*M41</f>
        <v/>
      </c>
      <c r="P41" s="735" t="n"/>
      <c r="Q41" s="735" t="n"/>
      <c r="R41" s="735" t="n"/>
      <c r="S41" s="735" t="n"/>
      <c r="T41" s="735" t="n"/>
      <c r="U41" s="735" t="n"/>
    </row>
    <row r="42" ht="16" customFormat="1" customHeight="1" s="26" thickBot="1">
      <c r="C42" s="759">
        <f>+'Soft Cost Detail'!B83</f>
        <v/>
      </c>
      <c r="D42" s="760" t="n"/>
      <c r="E42" s="105">
        <f>+'Soft Cost Detail'!E83</f>
        <v/>
      </c>
      <c r="F42" s="105">
        <f>IF(ISERROR(E42/$F$28),"",(E42/$F$28))</f>
        <v/>
      </c>
      <c r="G42" s="134">
        <f>+F42/Total_Unit_wtavg_SF</f>
        <v/>
      </c>
      <c r="H42" s="735" t="n"/>
      <c r="I42" s="735" t="n"/>
      <c r="J42" s="735" t="n"/>
      <c r="K42" s="735" t="n"/>
      <c r="L42" s="735" t="n"/>
      <c r="M42" s="735" t="n"/>
      <c r="N42" s="735" t="n"/>
      <c r="O42" s="1047">
        <f>+SUM(O35:O41)</f>
        <v/>
      </c>
      <c r="P42" s="735" t="n"/>
      <c r="Q42" s="735" t="n"/>
      <c r="R42" s="735" t="n"/>
      <c r="S42" s="735" t="n"/>
      <c r="T42" s="735" t="n"/>
      <c r="U42" s="735" t="n"/>
    </row>
    <row r="43" ht="16" customFormat="1" customHeight="1" s="26" thickTop="1">
      <c r="C43" s="759">
        <f>+'Soft Cost Detail'!B90</f>
        <v/>
      </c>
      <c r="D43" s="760" t="n"/>
      <c r="E43" s="105">
        <f>+'Soft Cost Detail'!E90</f>
        <v/>
      </c>
      <c r="F43" s="105">
        <f>IF(ISERROR(E43/$F$28),"",(E43/$F$28))</f>
        <v/>
      </c>
      <c r="G43" s="134">
        <f>+F43/Total_Unit_wtavg_SF</f>
        <v/>
      </c>
      <c r="H43" s="735" t="n"/>
      <c r="I43" s="735" t="n"/>
      <c r="J43" s="735" t="n"/>
      <c r="K43" s="735" t="n"/>
      <c r="L43" s="735" t="n"/>
      <c r="M43" s="735" t="n"/>
      <c r="N43" s="735" t="n"/>
      <c r="O43" s="735" t="n"/>
      <c r="P43" s="735" t="n"/>
      <c r="Q43" s="735" t="n"/>
      <c r="R43" s="735" t="n"/>
      <c r="S43" s="735" t="n"/>
      <c r="T43" s="735" t="n"/>
      <c r="U43" s="735" t="n"/>
    </row>
    <row r="44" ht="15" customFormat="1" customHeight="1" s="26">
      <c r="C44" s="759">
        <f>+'Soft Cost Detail'!B115</f>
        <v/>
      </c>
      <c r="D44" s="760" t="n"/>
      <c r="E44" s="105">
        <f>+'Soft Cost Detail'!E115</f>
        <v/>
      </c>
      <c r="F44" s="105">
        <f>IF(ISERROR(E44/$F$28),"",(E44/$F$28))</f>
        <v/>
      </c>
      <c r="G44" s="134">
        <f>+F44/Total_Unit_wtavg_SF</f>
        <v/>
      </c>
      <c r="H44" s="735" t="n"/>
      <c r="I44" s="735" t="n"/>
      <c r="J44" s="735" t="n"/>
      <c r="K44" s="735" t="n"/>
      <c r="L44" s="735" t="n"/>
      <c r="M44" s="735" t="n"/>
      <c r="N44" s="735" t="n"/>
      <c r="O44" s="735" t="n"/>
      <c r="P44" s="735" t="n"/>
      <c r="Q44" s="735" t="n"/>
      <c r="R44" s="735" t="n"/>
      <c r="S44" s="1048" t="n"/>
      <c r="T44" s="735" t="n"/>
      <c r="U44" s="735" t="n"/>
    </row>
    <row r="45" ht="15" customFormat="1" customHeight="1" s="26">
      <c r="C45" s="759">
        <f>+'Soft Cost Detail'!B131</f>
        <v/>
      </c>
      <c r="D45" s="760" t="n"/>
      <c r="E45" s="105">
        <f>+'Soft Cost Detail'!E131</f>
        <v/>
      </c>
      <c r="F45" s="105">
        <f>IF(ISERROR(E45/$F$28),"",(E45/$F$28))</f>
        <v/>
      </c>
      <c r="G45" s="134">
        <f>+F45/Total_Unit_wtavg_SF</f>
        <v/>
      </c>
      <c r="H45" s="735" t="n"/>
      <c r="I45" s="735" t="n"/>
      <c r="J45" s="735" t="n"/>
      <c r="K45" s="735" t="n"/>
      <c r="L45" s="735" t="n"/>
      <c r="M45" s="735" t="n"/>
      <c r="N45" s="735" t="n"/>
      <c r="O45" s="735" t="n"/>
      <c r="P45" s="735" t="n"/>
      <c r="Q45" s="735" t="n"/>
      <c r="R45" s="1038" t="n"/>
      <c r="S45" s="1041" t="n"/>
      <c r="T45" s="748" t="n"/>
      <c r="U45" s="1048" t="n"/>
    </row>
    <row r="46" ht="15" customFormat="1" customHeight="1" s="26">
      <c r="C46" s="759">
        <f>+'Soft Cost Detail'!B134</f>
        <v/>
      </c>
      <c r="D46" s="760" t="n"/>
      <c r="E46" s="105">
        <f>+'Soft Cost Detail'!E134</f>
        <v/>
      </c>
      <c r="F46" s="105">
        <f>IF(ISERROR(E46/$F$28),"",(E46/$F$28))</f>
        <v/>
      </c>
      <c r="G46" s="134">
        <f>+F46/Total_Unit_wtavg_SF</f>
        <v/>
      </c>
      <c r="H46" s="735" t="n"/>
      <c r="I46" s="735" t="n"/>
      <c r="J46" s="735" t="n"/>
      <c r="K46" s="735" t="n"/>
      <c r="L46" s="735" t="n"/>
      <c r="M46" s="735" t="n"/>
      <c r="N46" s="735" t="n"/>
      <c r="O46" s="735" t="n"/>
      <c r="P46" s="735" t="n"/>
      <c r="Q46" s="735" t="n"/>
      <c r="R46" s="1048" t="n"/>
      <c r="S46" s="1041" t="n"/>
      <c r="T46" s="748" t="n"/>
      <c r="U46" s="1048" t="n"/>
    </row>
    <row r="47" ht="15" customFormat="1" customHeight="1" s="26">
      <c r="C47" s="759">
        <f>+'Soft Cost Detail'!B147</f>
        <v/>
      </c>
      <c r="D47" s="760" t="n"/>
      <c r="E47" s="105">
        <f>+'Soft Cost Detail'!E147</f>
        <v/>
      </c>
      <c r="F47" s="105">
        <f>IF(ISERROR(E47/$F$28),"",(E47/$F$28))</f>
        <v/>
      </c>
      <c r="G47" s="134">
        <f>+F47/Total_Unit_wtavg_SF</f>
        <v/>
      </c>
      <c r="H47" s="735" t="n"/>
      <c r="I47" s="735" t="n"/>
      <c r="J47" s="735" t="n"/>
      <c r="K47" s="735" t="n"/>
      <c r="L47" s="735" t="n"/>
      <c r="M47" s="735" t="n"/>
      <c r="N47" s="735" t="n"/>
      <c r="O47" s="735" t="n"/>
      <c r="P47" s="735" t="n"/>
      <c r="Q47" s="735" t="n"/>
      <c r="R47" s="1048" t="n"/>
      <c r="S47" s="1048" t="n"/>
      <c r="T47" s="735" t="n"/>
      <c r="U47" s="1048" t="n"/>
    </row>
    <row r="48" ht="15" customFormat="1" customHeight="1" s="26">
      <c r="C48" s="759">
        <f>+'Soft Cost Detail'!B150</f>
        <v/>
      </c>
      <c r="D48" s="760" t="n"/>
      <c r="E48" s="105">
        <f>+'Soft Cost Detail'!E150</f>
        <v/>
      </c>
      <c r="F48" s="105">
        <f>IF(ISERROR(E48/$F$28),"",(E48/$F$28))</f>
        <v/>
      </c>
      <c r="G48" s="134">
        <f>+F48/Total_Unit_wtavg_SF</f>
        <v/>
      </c>
      <c r="H48" s="735" t="n"/>
      <c r="I48" s="735" t="n"/>
      <c r="J48" s="735" t="n"/>
      <c r="K48" s="735" t="n"/>
      <c r="L48" s="735" t="n"/>
      <c r="M48" s="735" t="n"/>
      <c r="N48" s="735" t="n"/>
      <c r="O48" s="735" t="n"/>
      <c r="P48" s="735" t="n"/>
      <c r="Q48" s="735" t="n"/>
      <c r="R48" s="735" t="n"/>
      <c r="S48" s="735" t="n"/>
      <c r="T48" s="735" t="n"/>
      <c r="U48" s="735" t="n"/>
    </row>
    <row r="49" ht="16" customFormat="1" customHeight="1" s="26" thickBot="1">
      <c r="C49" s="759">
        <f>+'Soft Cost Detail'!B160</f>
        <v/>
      </c>
      <c r="D49" s="760" t="n"/>
      <c r="E49" s="105">
        <f>+'Soft Cost Detail'!E160</f>
        <v/>
      </c>
      <c r="F49" s="105">
        <f>IF(ISERROR(E49/$F$28),"",(E49/$F$28))</f>
        <v/>
      </c>
      <c r="G49" s="134">
        <f>+F49/Total_Unit_wtavg_SF</f>
        <v/>
      </c>
      <c r="H49" s="264" t="n"/>
      <c r="I49" s="319" t="inlineStr">
        <is>
          <t>DEV. FEE</t>
        </is>
      </c>
      <c r="J49" s="735" t="n"/>
      <c r="K49" s="735" t="n"/>
      <c r="L49" s="735" t="n"/>
      <c r="M49" s="735" t="n"/>
      <c r="N49" s="735" t="inlineStr">
        <is>
          <t>`</t>
        </is>
      </c>
      <c r="O49" s="735" t="n"/>
      <c r="P49" s="735" t="n"/>
      <c r="Q49" s="735" t="n"/>
      <c r="R49" s="735" t="n"/>
      <c r="S49" s="735" t="n"/>
      <c r="T49" s="735" t="n"/>
      <c r="U49" s="748" t="n"/>
      <c r="V49" s="735" t="n"/>
      <c r="W49" s="735" t="n"/>
    </row>
    <row r="50" ht="17" customFormat="1" customHeight="1" s="26" thickBot="1">
      <c r="C50" s="759">
        <f>+'Soft Cost Detail'!B162</f>
        <v/>
      </c>
      <c r="D50" s="760" t="n"/>
      <c r="E50" s="105">
        <f>+'Soft Cost Detail'!E162</f>
        <v/>
      </c>
      <c r="F50" s="105">
        <f>IF(ISERROR(E50/$F$28),"",(E50/$F$28))</f>
        <v/>
      </c>
      <c r="G50" s="134">
        <f>+F50/Total_Unit_wtavg_SF</f>
        <v/>
      </c>
      <c r="H50" s="264" t="n"/>
      <c r="I50" s="319" t="inlineStr">
        <is>
          <t>GUARANTY FEE</t>
        </is>
      </c>
      <c r="J50" s="735" t="n"/>
      <c r="K50" s="735" t="n"/>
      <c r="L50" s="735" t="n"/>
      <c r="M50" s="735" t="n"/>
      <c r="N50" s="735" t="n"/>
      <c r="O50" s="735" t="n"/>
      <c r="P50" s="1049" t="inlineStr">
        <is>
          <t>ENTER ONLY ONE NUMBER</t>
        </is>
      </c>
      <c r="Q50" s="1050" t="n"/>
      <c r="R50" s="735" t="n"/>
      <c r="S50" s="735" t="n"/>
      <c r="T50" s="735" t="inlineStr">
        <is>
          <t>Retail Costs</t>
        </is>
      </c>
      <c r="U50" s="1051">
        <f>V50*J90</f>
        <v/>
      </c>
      <c r="V50" s="1051" t="n">
        <v>200</v>
      </c>
      <c r="W50" s="735" t="n"/>
    </row>
    <row r="51" ht="15" customFormat="1" customHeight="1" s="26">
      <c r="C51" s="759">
        <f>+'Soft Cost Detail'!B164</f>
        <v/>
      </c>
      <c r="D51" s="760" t="n"/>
      <c r="E51" s="105">
        <f>+'Soft Cost Detail'!E164</f>
        <v/>
      </c>
      <c r="F51" s="105">
        <f>IF(ISERROR(E51/$F$28),"",(E51/$F$28))</f>
        <v/>
      </c>
      <c r="G51" s="134">
        <f>+F51/Total_Unit_wtavg_SF</f>
        <v/>
      </c>
      <c r="H51" s="264" t="n"/>
      <c r="I51" s="319" t="inlineStr">
        <is>
          <t>CONST MGMNT FEE</t>
        </is>
      </c>
      <c r="J51" s="735" t="n"/>
      <c r="K51" s="735" t="n"/>
      <c r="L51" s="735" t="n"/>
      <c r="M51" s="735" t="n"/>
      <c r="N51" s="735" t="n"/>
      <c r="O51" s="735" t="n"/>
      <c r="P51" s="1052" t="inlineStr">
        <is>
          <t>CONSTRUCTION COSTS</t>
        </is>
      </c>
      <c r="Q51" s="984" t="n"/>
      <c r="R51" s="735" t="n"/>
      <c r="S51" s="735" t="n"/>
      <c r="T51" s="735" t="inlineStr">
        <is>
          <t>Site Work</t>
        </is>
      </c>
      <c r="U51" s="1051">
        <f>V51*'Unit Mix'!D7</f>
        <v/>
      </c>
      <c r="V51" s="1051" t="n">
        <v>30000</v>
      </c>
      <c r="W51" s="735" t="n"/>
    </row>
    <row r="52" ht="15" customFormat="1" customHeight="1" s="26">
      <c r="C52" s="759">
        <f>+'Soft Cost Detail'!B167</f>
        <v/>
      </c>
      <c r="D52" s="760" t="n"/>
      <c r="E52" s="105">
        <f>+'Soft Cost Detail'!E167</f>
        <v/>
      </c>
      <c r="F52" s="105">
        <f>IF(ISERROR(E52/$F$28),"",(E52/$F$28))</f>
        <v/>
      </c>
      <c r="G52" s="134">
        <f>+F52/Total_Unit_wtavg_SF</f>
        <v/>
      </c>
      <c r="H52" s="264" t="n"/>
      <c r="I52" s="319" t="inlineStr">
        <is>
          <t>SOFT COST CONTINGENCY</t>
        </is>
      </c>
      <c r="J52" s="735" t="n"/>
      <c r="K52" s="735" t="n"/>
      <c r="L52" s="735" t="n"/>
      <c r="M52" s="735" t="n"/>
      <c r="N52" s="735" t="n"/>
      <c r="O52" s="735" t="n"/>
      <c r="P52" s="766" t="inlineStr">
        <is>
          <t>Cost Per Sqft</t>
        </is>
      </c>
      <c r="Q52" s="1053" t="n"/>
      <c r="R52" s="735" t="n"/>
      <c r="S52" s="735" t="n"/>
      <c r="T52" s="735" t="inlineStr">
        <is>
          <t>Vertical Costs</t>
        </is>
      </c>
      <c r="U52" s="1051">
        <f>V52*'Unit Mix'!D7</f>
        <v/>
      </c>
      <c r="V52" s="1051" t="n">
        <v>180000</v>
      </c>
      <c r="W52" s="735" t="n"/>
    </row>
    <row r="53" ht="15" customFormat="1" customHeight="1" s="26">
      <c r="C53" s="759" t="inlineStr">
        <is>
          <t>CONSTRUCTION HARD COSTS</t>
        </is>
      </c>
      <c r="D53" s="104" t="n"/>
      <c r="E53" s="105">
        <f>+Q58</f>
        <v/>
      </c>
      <c r="F53" s="105">
        <f>IF(ISERROR(E53/$F$28),"",(E53/$F$28))</f>
        <v/>
      </c>
      <c r="G53" s="134">
        <f>+F53/Total_Unit_wtavg_SF</f>
        <v/>
      </c>
      <c r="H53" s="735" t="n"/>
      <c r="I53" s="743" t="n"/>
      <c r="J53" s="735" t="n"/>
      <c r="K53" s="735" t="n"/>
      <c r="L53" s="735" t="n"/>
      <c r="M53" s="735" t="n"/>
      <c r="N53" s="735" t="n"/>
      <c r="O53" s="735" t="n"/>
      <c r="P53" s="767" t="inlineStr">
        <is>
          <t>Cost Per Unit</t>
        </is>
      </c>
      <c r="Q53" s="1054">
        <f>V54</f>
        <v/>
      </c>
      <c r="R53" s="735" t="n"/>
      <c r="S53" s="735" t="n"/>
      <c r="T53" s="735" t="inlineStr">
        <is>
          <t>Parking Cost</t>
        </is>
      </c>
      <c r="U53" s="1055" t="n">
        <v>13375500</v>
      </c>
      <c r="V53" s="1051" t="n"/>
      <c r="W53" s="735" t="n"/>
    </row>
    <row r="54" ht="16" customFormat="1" customHeight="1" s="26" thickBot="1">
      <c r="C54" s="759" t="inlineStr">
        <is>
          <t>HARD COSTS CONTINGENCY</t>
        </is>
      </c>
      <c r="D54" s="104" t="n"/>
      <c r="E54" s="105">
        <f>+K54</f>
        <v/>
      </c>
      <c r="F54" s="105">
        <f>IF(ISERROR(E54/$F$28),"",(E54/$F$28))</f>
        <v/>
      </c>
      <c r="G54" s="134">
        <f>+F54/Total_Unit_wtavg_SF</f>
        <v/>
      </c>
      <c r="H54" s="264" t="n"/>
      <c r="I54" s="319" t="inlineStr">
        <is>
          <t>HARD COST - CONTINGENCY</t>
        </is>
      </c>
      <c r="J54" s="735" t="n"/>
      <c r="K54" s="1056">
        <f>SUM(H54*Hard_Costs)</f>
        <v/>
      </c>
      <c r="L54" s="735" t="n"/>
      <c r="M54" s="735" t="n"/>
      <c r="N54" s="735" t="n"/>
      <c r="O54" s="735" t="n"/>
      <c r="P54" s="767" t="inlineStr">
        <is>
          <t>Total Cost</t>
        </is>
      </c>
      <c r="Q54" s="1057" t="n"/>
      <c r="R54" s="735" t="n"/>
      <c r="S54" s="735" t="n"/>
      <c r="T54" s="735" t="inlineStr">
        <is>
          <t>Total Hard Costs</t>
        </is>
      </c>
      <c r="U54" s="1055">
        <f>SUM(U50:U53)</f>
        <v/>
      </c>
      <c r="V54" s="1051">
        <f>U54/'Unit Mix'!D7</f>
        <v/>
      </c>
      <c r="W54" s="735" t="n"/>
    </row>
    <row r="55" ht="16" customFormat="1" customHeight="1" s="26" thickTop="1">
      <c r="C55" s="385" t="n"/>
      <c r="D55" s="760" t="n"/>
      <c r="E55" s="106" t="n"/>
      <c r="F55" s="105">
        <f>IF(ISERROR(E55/$F$28),"",(E55/$F$28))</f>
        <v/>
      </c>
      <c r="G55" s="134">
        <f>+F55/Total_Unit_wtavg_SF</f>
        <v/>
      </c>
      <c r="H55" s="735" t="n"/>
      <c r="I55" s="6" t="n"/>
      <c r="J55" s="735" t="n"/>
      <c r="K55" s="735" t="n"/>
      <c r="L55" s="735" t="n"/>
      <c r="M55" s="735" t="n"/>
      <c r="N55" s="735" t="n"/>
      <c r="O55" s="735" t="n"/>
      <c r="P55" s="767" t="inlineStr">
        <is>
          <t>Hard Cost</t>
        </is>
      </c>
      <c r="Q55" s="1058">
        <f>IF(Q52&gt;0,Q52*E28,IF(Q53&gt;0,Q53*Total_Number_Units,Q54))+W54</f>
        <v/>
      </c>
      <c r="R55" s="735" t="n"/>
      <c r="S55" s="735" t="n"/>
      <c r="T55" s="735" t="n"/>
      <c r="U55" s="1037" t="n"/>
      <c r="V55" s="735" t="n"/>
      <c r="W55" s="735" t="n"/>
    </row>
    <row r="56" ht="15" customFormat="1" customHeight="1" s="26">
      <c r="C56" s="385" t="inlineStr">
        <is>
          <t>-</t>
        </is>
      </c>
      <c r="D56" s="760" t="n"/>
      <c r="E56" s="106" t="n"/>
      <c r="F56" s="105">
        <f>IF(ISERROR(E56/$F$28),"",(E56/$F$28))</f>
        <v/>
      </c>
      <c r="G56" s="134">
        <f>+F56/Total_Unit_wtavg_SF</f>
        <v/>
      </c>
      <c r="H56" s="735" t="n"/>
      <c r="I56" s="735" t="n"/>
      <c r="J56" s="735" t="n"/>
      <c r="K56" s="735" t="n"/>
      <c r="L56" s="735" t="n"/>
      <c r="M56" s="735" t="n"/>
      <c r="N56" s="735" t="n"/>
      <c r="O56" s="735" t="n"/>
      <c r="P56" s="767" t="inlineStr">
        <is>
          <t>Total Escalation</t>
        </is>
      </c>
      <c r="Q56" s="1059">
        <f>+Q55*R56</f>
        <v/>
      </c>
      <c r="R56" s="1060" t="n"/>
      <c r="S56" s="735" t="n"/>
      <c r="T56" s="1061" t="n"/>
      <c r="U56" s="947" t="n"/>
      <c r="V56" s="735" t="n"/>
      <c r="W56" s="735" t="n"/>
    </row>
    <row r="57" ht="16" customFormat="1" customHeight="1" s="26" thickBot="1">
      <c r="C57" s="386" t="inlineStr">
        <is>
          <t>-</t>
        </is>
      </c>
      <c r="D57" s="762" t="n"/>
      <c r="E57" s="107" t="n"/>
      <c r="F57" s="108">
        <f>IF(ISERROR(E57/$F$28),"",(E57/$F$28))</f>
        <v/>
      </c>
      <c r="G57" s="428">
        <f>+F57/Total_Unit_wtavg_SF</f>
        <v/>
      </c>
      <c r="H57" s="735" t="n"/>
      <c r="I57" s="735" t="n"/>
      <c r="J57" s="735" t="n"/>
      <c r="K57" s="1048" t="n"/>
      <c r="L57" s="735" t="n"/>
      <c r="M57" s="735" t="n"/>
      <c r="N57" s="735" t="n"/>
      <c r="O57" s="735" t="n"/>
      <c r="P57" s="773" t="inlineStr">
        <is>
          <t>Other Hard Cost</t>
        </is>
      </c>
      <c r="Q57" s="1062" t="n"/>
      <c r="R57" s="735" t="n"/>
      <c r="S57" s="735" t="n"/>
      <c r="T57" s="1061" t="n"/>
      <c r="U57" s="1037" t="n"/>
      <c r="V57" s="735" t="n"/>
      <c r="W57" s="735" t="n"/>
    </row>
    <row r="58" ht="16" customFormat="1" customHeight="1" s="26" thickBot="1">
      <c r="C58" s="774" t="inlineStr">
        <is>
          <t>TOTAL BEFORE MEZZ INTEREST</t>
        </is>
      </c>
      <c r="D58" s="735" t="n"/>
      <c r="E58" s="197">
        <f>SUM(E35:E57)</f>
        <v/>
      </c>
      <c r="F58" s="197">
        <f>+SUM(F35:F57)</f>
        <v/>
      </c>
      <c r="G58" s="429">
        <f>+SUM(G35:G57)</f>
        <v/>
      </c>
      <c r="H58" s="735" t="n"/>
      <c r="I58" s="1061" t="n"/>
      <c r="J58" s="735" t="n"/>
      <c r="K58" s="735" t="n"/>
      <c r="L58" s="735" t="n"/>
      <c r="M58" s="735" t="n"/>
      <c r="N58" s="1061" t="n"/>
      <c r="O58" s="735" t="n"/>
      <c r="P58" s="775" t="inlineStr">
        <is>
          <t>Total Cost</t>
        </is>
      </c>
      <c r="Q58" s="1063">
        <f>+Q55+Q56+Q57</f>
        <v/>
      </c>
      <c r="R58" s="735" t="n"/>
      <c r="S58" s="1061" t="n"/>
      <c r="T58" s="776" t="n"/>
      <c r="U58" s="777" t="n"/>
      <c r="V58" s="735" t="n"/>
      <c r="W58" s="735" t="n"/>
    </row>
    <row r="59" ht="17" customFormat="1" customHeight="1" s="26" thickBot="1" thickTop="1">
      <c r="C59" s="735" t="n"/>
      <c r="D59" s="735" t="n"/>
      <c r="E59" s="735" t="n"/>
      <c r="F59" s="735" t="n"/>
      <c r="G59" s="735" t="n"/>
      <c r="H59" s="735" t="n"/>
      <c r="I59" s="735" t="n"/>
      <c r="J59" s="735" t="n"/>
      <c r="K59" s="735" t="n"/>
      <c r="L59" s="735" t="n"/>
      <c r="M59" s="735" t="n"/>
      <c r="N59" s="1061" t="n"/>
      <c r="O59" s="735" t="n"/>
      <c r="P59" s="735" t="n"/>
      <c r="Q59" s="1064">
        <f>+Q58/E28</f>
        <v/>
      </c>
      <c r="R59" s="1065" t="n"/>
      <c r="S59" s="735" t="n"/>
      <c r="T59" s="776" t="n"/>
      <c r="U59" s="777" t="n"/>
      <c r="V59" s="735" t="n"/>
      <c r="W59" s="777" t="n"/>
    </row>
    <row r="60" ht="15" customFormat="1" customHeight="1" s="26">
      <c r="C60" s="1066" t="inlineStr">
        <is>
          <t>YIELD ON COST:</t>
        </is>
      </c>
      <c r="D60" s="1067" t="inlineStr">
        <is>
          <t>UNTRENDED TODAY</t>
        </is>
      </c>
      <c r="E60" s="1068">
        <f>+E187</f>
        <v/>
      </c>
      <c r="F60" s="735" t="n"/>
      <c r="G60" s="748" t="n"/>
      <c r="H60" s="735" t="n"/>
      <c r="I60" s="735" t="n"/>
      <c r="J60" s="735" t="n"/>
      <c r="K60" s="735" t="n"/>
      <c r="L60" s="735" t="n"/>
      <c r="M60" s="735" t="n"/>
      <c r="N60" s="780" t="n"/>
      <c r="O60" s="735" t="n"/>
      <c r="P60" s="735" t="n"/>
      <c r="Q60" s="735" t="n"/>
      <c r="R60" s="735" t="n"/>
      <c r="S60" s="735" t="n"/>
      <c r="T60" s="735" t="n"/>
      <c r="U60" s="735" t="n"/>
      <c r="V60" s="735" t="n"/>
      <c r="W60" s="777" t="n"/>
    </row>
    <row r="61" ht="15" customFormat="1" customHeight="1" s="26">
      <c r="C61" s="1069" t="n"/>
      <c r="D61" s="1070">
        <f>+I185</f>
        <v/>
      </c>
      <c r="E61" s="1071">
        <f>+I187</f>
        <v/>
      </c>
      <c r="F61" s="735" t="n"/>
      <c r="G61" s="748" t="n"/>
      <c r="H61" s="735" t="n"/>
      <c r="I61" s="735" t="n"/>
      <c r="J61" s="735" t="n"/>
      <c r="K61" s="735" t="n"/>
      <c r="L61" s="735" t="n"/>
      <c r="M61" s="735" t="n"/>
      <c r="N61" s="1061" t="n"/>
      <c r="O61" s="735" t="n"/>
      <c r="P61" s="735" t="n"/>
      <c r="Q61" s="735" t="n"/>
      <c r="R61" s="735" t="n"/>
      <c r="S61" s="735" t="n"/>
      <c r="T61" s="735" t="n"/>
      <c r="U61" s="735" t="n"/>
      <c r="V61" s="735" t="n"/>
      <c r="W61" s="735" t="n"/>
    </row>
    <row r="62" ht="16" customFormat="1" customHeight="1" s="26" thickBot="1">
      <c r="C62" s="1072" t="n"/>
      <c r="D62" s="1073" t="inlineStr">
        <is>
          <t>YEAR 3 TRENDED</t>
        </is>
      </c>
      <c r="E62" s="1074">
        <f>+M187</f>
        <v/>
      </c>
      <c r="F62" s="735" t="n"/>
      <c r="G62" s="748" t="n"/>
      <c r="H62" s="735" t="n"/>
      <c r="I62" s="735" t="n"/>
      <c r="J62" s="735" t="n"/>
      <c r="K62" s="735" t="n"/>
      <c r="L62" s="735" t="n"/>
      <c r="M62" s="735" t="n"/>
      <c r="N62" s="735" t="n"/>
      <c r="O62" s="735" t="n"/>
      <c r="P62" s="735" t="n"/>
      <c r="Q62" s="735" t="n"/>
      <c r="R62" s="735" t="n"/>
      <c r="S62" s="735" t="n"/>
      <c r="T62" s="735" t="n"/>
      <c r="U62" s="735" t="n"/>
      <c r="V62" s="735" t="n"/>
      <c r="W62" s="735" t="n"/>
    </row>
    <row r="63" ht="15" customFormat="1" customHeight="1" s="26">
      <c r="C63" s="735" t="n"/>
      <c r="D63" s="735" t="n"/>
      <c r="E63" s="735" t="n"/>
      <c r="F63" s="735" t="n"/>
      <c r="G63" s="748" t="n"/>
      <c r="H63" s="735" t="n"/>
      <c r="I63" s="735" t="n"/>
      <c r="J63" s="735" t="n"/>
      <c r="K63" s="735" t="n"/>
      <c r="L63" s="735" t="n"/>
      <c r="M63" s="735" t="n"/>
      <c r="N63" s="735" t="n"/>
      <c r="O63" s="735" t="n"/>
      <c r="P63" s="735" t="n"/>
      <c r="Q63" s="735" t="n"/>
      <c r="R63" s="735" t="n"/>
      <c r="S63" s="735" t="n"/>
      <c r="T63" s="735" t="n"/>
      <c r="U63" s="735" t="n"/>
      <c r="V63" s="735" t="n"/>
      <c r="W63" s="735" t="n"/>
    </row>
    <row r="64" ht="15" customFormat="1" customHeight="1" s="26">
      <c r="C64" s="735" t="n"/>
      <c r="D64" s="735" t="n"/>
      <c r="E64" s="735" t="n"/>
      <c r="F64" s="735" t="n"/>
      <c r="G64" s="735" t="n"/>
      <c r="H64" s="735" t="n"/>
      <c r="I64" s="735" t="n"/>
      <c r="J64" s="735" t="n"/>
      <c r="K64" s="735" t="n"/>
      <c r="L64" s="735" t="n"/>
      <c r="M64" s="735" t="n"/>
      <c r="N64" s="735" t="n"/>
      <c r="O64" s="735" t="n"/>
      <c r="P64" s="735" t="n"/>
      <c r="Q64" s="739" t="n"/>
      <c r="R64" s="735" t="n"/>
      <c r="S64" s="735" t="n"/>
      <c r="T64" s="735" t="n"/>
      <c r="U64" s="748" t="n"/>
      <c r="V64" s="735" t="n"/>
      <c r="W64" s="735" t="n"/>
    </row>
    <row r="65" ht="19" customHeight="1">
      <c r="A65" s="84" t="n"/>
      <c r="B65" s="85" t="inlineStr">
        <is>
          <t>SOURCES &amp; USES</t>
        </is>
      </c>
      <c r="C65" s="84" t="n"/>
      <c r="D65" s="84" t="n"/>
      <c r="E65" s="84" t="n"/>
      <c r="F65" s="86" t="n"/>
      <c r="G65" s="84" t="n"/>
      <c r="H65" s="84" t="n"/>
      <c r="I65" s="192" t="n"/>
      <c r="J65" s="192" t="n"/>
      <c r="K65" s="84" t="n"/>
      <c r="L65" s="84" t="n"/>
      <c r="M65" s="84" t="n"/>
      <c r="N65" s="84" t="n"/>
      <c r="O65" s="84" t="n"/>
      <c r="T65" s="735" t="n"/>
      <c r="V65" s="744" t="n"/>
      <c r="W65" s="744" t="n"/>
    </row>
    <row r="66" ht="15" customFormat="1" customHeight="1" s="26">
      <c r="A66" s="735" t="n"/>
      <c r="B66" s="735" t="n"/>
      <c r="C66" s="33" t="n"/>
      <c r="D66" s="33" t="n"/>
      <c r="E66" s="735" t="n"/>
      <c r="F66" s="34" t="n"/>
      <c r="G66" s="735" t="n"/>
      <c r="H66" s="735" t="n"/>
      <c r="I66" s="744" t="n"/>
      <c r="J66" s="744" t="n"/>
      <c r="K66" s="735" t="n"/>
      <c r="L66" s="735" t="n"/>
      <c r="M66" s="735" t="n"/>
      <c r="N66" s="735" t="n"/>
      <c r="O66" s="735" t="n"/>
      <c r="P66" s="735" t="n"/>
      <c r="Q66" s="735" t="n"/>
      <c r="R66" s="735" t="n"/>
      <c r="S66" s="735" t="n"/>
      <c r="T66" s="735" t="n"/>
      <c r="U66" s="744" t="n"/>
      <c r="V66" s="783" t="n"/>
      <c r="W66" s="1038" t="n"/>
    </row>
    <row r="67" ht="15" customFormat="1" customHeight="1" s="26">
      <c r="A67" s="735" t="n"/>
      <c r="B67" s="735" t="n"/>
      <c r="C67" s="9" t="inlineStr">
        <is>
          <t>SOURCES</t>
        </is>
      </c>
      <c r="D67" s="9" t="inlineStr">
        <is>
          <t>PROVIDER</t>
        </is>
      </c>
      <c r="E67" s="11" t="inlineStr">
        <is>
          <t>AMOUNT</t>
        </is>
      </c>
      <c r="F67" s="123" t="inlineStr">
        <is>
          <t>%</t>
        </is>
      </c>
      <c r="G67" s="11" t="inlineStr">
        <is>
          <t>PER UNIT</t>
        </is>
      </c>
      <c r="H67" s="11" t="inlineStr">
        <is>
          <t>PSF</t>
        </is>
      </c>
      <c r="I67" s="735" t="n"/>
      <c r="J67" s="735" t="n"/>
      <c r="K67" s="431" t="inlineStr">
        <is>
          <t>MEZZANINE CAPITAL STACK</t>
        </is>
      </c>
      <c r="L67" s="431" t="n"/>
      <c r="M67" s="735" t="n"/>
      <c r="N67" s="432" t="inlineStr">
        <is>
          <t>MEZZANINE INTEREST RESERVE</t>
        </is>
      </c>
      <c r="O67" s="704" t="n"/>
      <c r="P67" s="735" t="n"/>
      <c r="Q67" s="735" t="n"/>
      <c r="R67" s="735" t="n"/>
      <c r="S67" s="735" t="n"/>
      <c r="T67" s="735" t="n"/>
      <c r="U67" s="735" t="n"/>
      <c r="V67" s="735" t="n"/>
      <c r="W67" s="735" t="n"/>
    </row>
    <row r="68" ht="15" customFormat="1" customHeight="1" s="26">
      <c r="A68" s="735" t="n"/>
      <c r="B68" s="735" t="n"/>
      <c r="C68" s="755" t="inlineStr">
        <is>
          <t>EQUITY</t>
        </is>
      </c>
      <c r="D68" s="116" t="inlineStr">
        <is>
          <t>TBD</t>
        </is>
      </c>
      <c r="E68" s="117">
        <f>F68*E58</f>
        <v/>
      </c>
      <c r="F68" s="1075">
        <f>+F71-SUM(F69:F70)</f>
        <v/>
      </c>
      <c r="G68" s="1076">
        <f>IF(ISERROR(+E68/$F$28),"",(+E68/$F$28))</f>
        <v/>
      </c>
      <c r="H68" s="863">
        <f>IF(ISERROR(+E68/$E$28),"",(+E68/$E$28))</f>
        <v/>
      </c>
      <c r="I68" s="735" t="n"/>
      <c r="J68" s="735" t="n"/>
      <c r="K68" s="1043">
        <f>+E68</f>
        <v/>
      </c>
      <c r="L68" s="1075">
        <f>+K68/K71</f>
        <v/>
      </c>
      <c r="M68" s="735" t="n"/>
      <c r="N68" s="117" t="inlineStr">
        <is>
          <t>RESERVE</t>
        </is>
      </c>
      <c r="O68" s="106" t="n"/>
      <c r="P68" s="735" t="n"/>
      <c r="Q68" s="735" t="n"/>
      <c r="R68" s="735" t="n"/>
      <c r="S68" s="735" t="n"/>
      <c r="T68" s="735" t="n"/>
      <c r="U68" s="735" t="n"/>
      <c r="V68" s="735" t="n"/>
      <c r="W68" s="735" t="n"/>
    </row>
    <row r="69" ht="15" customFormat="1" customHeight="1" s="26">
      <c r="A69" s="735" t="n"/>
      <c r="B69" s="735" t="n"/>
      <c r="C69" s="759" t="inlineStr">
        <is>
          <t>MEZZANINE</t>
        </is>
      </c>
      <c r="D69" s="118" t="inlineStr">
        <is>
          <t>TBD</t>
        </is>
      </c>
      <c r="E69" s="119">
        <f>+K69-E81</f>
        <v/>
      </c>
      <c r="F69" s="1077">
        <f>+L69</f>
        <v/>
      </c>
      <c r="G69" s="1078">
        <f>IF(ISERROR(+E69/$F$28),"",(+E69/$F$28))</f>
        <v/>
      </c>
      <c r="H69" s="864">
        <f>IF(ISERROR(+E69/$E$28),"",(+E69/$E$28))</f>
        <v/>
      </c>
      <c r="I69" s="735" t="n"/>
      <c r="J69" s="735" t="n"/>
      <c r="K69" s="1078">
        <f>+L69*K71</f>
        <v/>
      </c>
      <c r="L69" s="1077">
        <f>IF(M69=0,0,M69-L70)</f>
        <v/>
      </c>
      <c r="M69" s="1079" t="n"/>
      <c r="N69" s="121" t="inlineStr">
        <is>
          <t>CALCULATED</t>
        </is>
      </c>
      <c r="O69" s="1080">
        <f>-'Draw and Leaseup Schedule'!AO137</f>
        <v/>
      </c>
      <c r="P69" s="735" t="n"/>
      <c r="Q69" s="735" t="n"/>
      <c r="R69" s="735" t="n"/>
      <c r="S69" s="735" t="n"/>
      <c r="T69" s="735" t="n"/>
      <c r="U69" s="735" t="n"/>
      <c r="V69" s="735" t="n"/>
      <c r="W69" s="735" t="n"/>
    </row>
    <row r="70" ht="15" customFormat="1" customHeight="1" s="26">
      <c r="A70" s="735" t="n"/>
      <c r="B70" s="735" t="n"/>
      <c r="C70" s="789" t="inlineStr">
        <is>
          <t>SR. LOAN</t>
        </is>
      </c>
      <c r="D70" s="120" t="inlineStr">
        <is>
          <t>TBD</t>
        </is>
      </c>
      <c r="E70" s="121">
        <f>F70*E58</f>
        <v/>
      </c>
      <c r="F70" s="1081" t="n"/>
      <c r="G70" s="1080">
        <f>IF(ISERROR(+E70/$F$28),"",(+E70/$F$28))</f>
        <v/>
      </c>
      <c r="H70" s="866">
        <f>IF(ISERROR(+E70/$E$28),"",(+E70/$E$28))</f>
        <v/>
      </c>
      <c r="I70" s="735" t="n"/>
      <c r="J70" s="735" t="n"/>
      <c r="K70" s="121">
        <f>+E70</f>
        <v/>
      </c>
      <c r="L70" s="1082">
        <f>+K70/K71</f>
        <v/>
      </c>
      <c r="M70" s="735" t="n"/>
      <c r="N70" s="76" t="inlineStr">
        <is>
          <t>EXCESS</t>
        </is>
      </c>
      <c r="O70" s="1038">
        <f>+SUM(O68:O69)</f>
        <v/>
      </c>
      <c r="P70" s="735" t="n"/>
      <c r="Q70" s="735" t="n"/>
      <c r="R70" s="735" t="n"/>
      <c r="S70" s="735" t="n"/>
      <c r="T70" s="735" t="n"/>
      <c r="U70" s="735" t="n"/>
      <c r="V70" s="735" t="n"/>
      <c r="W70" s="735" t="n"/>
    </row>
    <row r="71" ht="16" customFormat="1" customHeight="1" s="26" thickBot="1">
      <c r="A71" s="735" t="n"/>
      <c r="B71" s="735" t="n"/>
      <c r="C71" s="9" t="inlineStr">
        <is>
          <t>SUBTOTAL</t>
        </is>
      </c>
      <c r="D71" s="735" t="n"/>
      <c r="E71" s="93">
        <f>SUM(E68:E70)</f>
        <v/>
      </c>
      <c r="F71" s="1083" t="n">
        <v>1</v>
      </c>
      <c r="G71" s="1084">
        <f>ROUND(SUM(G68:G70),-2)</f>
        <v/>
      </c>
      <c r="H71" s="792">
        <f>+SUM(H68:H70)</f>
        <v/>
      </c>
      <c r="I71" s="735" t="n"/>
      <c r="J71" s="735" t="n"/>
      <c r="K71" s="433">
        <f>+E82</f>
        <v/>
      </c>
      <c r="L71" s="1085">
        <f>SUM(L68:L70)</f>
        <v/>
      </c>
      <c r="M71" s="411" t="n"/>
      <c r="N71" s="35" t="n"/>
      <c r="O71" s="1035" t="n"/>
      <c r="P71" s="735" t="n"/>
      <c r="Q71" s="735" t="n"/>
      <c r="R71" s="735" t="n"/>
      <c r="S71" s="735" t="n"/>
      <c r="T71" s="735" t="n"/>
      <c r="U71" s="735" t="n"/>
      <c r="V71" s="735" t="n"/>
      <c r="W71" s="735" t="n"/>
    </row>
    <row r="72" ht="16" customFormat="1" customHeight="1" s="26" thickTop="1">
      <c r="A72" s="735" t="n"/>
      <c r="B72" s="735" t="n"/>
      <c r="C72" s="774" t="inlineStr">
        <is>
          <t>MEZZ INTEREST RESERVE (Current Pay)</t>
        </is>
      </c>
      <c r="D72" s="735" t="n"/>
      <c r="E72" s="793">
        <f>+O68</f>
        <v/>
      </c>
      <c r="F72" s="34" t="n"/>
      <c r="G72" s="1086">
        <f>+E72/Total_Number_Units</f>
        <v/>
      </c>
      <c r="H72" s="795">
        <f>IF(ISERROR(+E72/$E$28),"",(+E72/$E$28))</f>
        <v/>
      </c>
      <c r="I72" s="735" t="n"/>
      <c r="J72" s="735" t="n"/>
      <c r="K72" s="735" t="n"/>
      <c r="L72" s="735" t="n"/>
      <c r="M72" s="735" t="n"/>
      <c r="N72" s="735" t="n"/>
      <c r="O72" s="735" t="n"/>
      <c r="P72" s="735" t="n"/>
      <c r="Q72" s="735" t="n"/>
      <c r="R72" s="735" t="n"/>
      <c r="S72" s="735" t="n"/>
      <c r="T72" s="735" t="n"/>
      <c r="U72" s="735" t="n"/>
      <c r="V72" s="735" t="n"/>
      <c r="W72" s="735" t="n"/>
    </row>
    <row r="73" ht="15" customFormat="1" customHeight="1" s="26">
      <c r="A73" s="735" t="n"/>
      <c r="B73" s="735" t="n"/>
      <c r="C73" s="9" t="inlineStr">
        <is>
          <t>TOTAL AFTER MEZZ INTEREST RESERVE</t>
        </is>
      </c>
      <c r="D73" s="735" t="n"/>
      <c r="E73" s="35">
        <f>E71+E72</f>
        <v/>
      </c>
      <c r="F73" s="36" t="n"/>
      <c r="G73" s="1038">
        <f>E73/Total_Number_Units</f>
        <v/>
      </c>
      <c r="H73" s="865">
        <f>+SUM(H71:H72)</f>
        <v/>
      </c>
      <c r="I73" s="735" t="n"/>
      <c r="J73" s="735" t="n"/>
      <c r="K73" s="9" t="inlineStr">
        <is>
          <t>DECK COST:</t>
        </is>
      </c>
      <c r="L73" s="1034" t="n">
        <v>0</v>
      </c>
      <c r="M73" s="735" t="n"/>
      <c r="N73" s="748" t="n"/>
      <c r="O73" s="735" t="n"/>
      <c r="P73" s="735" t="n"/>
      <c r="Q73" s="735" t="n"/>
      <c r="R73" s="735" t="n"/>
      <c r="S73" s="735" t="n"/>
      <c r="T73" s="735" t="n"/>
      <c r="U73" s="735" t="n"/>
      <c r="V73" s="735" t="n"/>
      <c r="W73" s="735" t="n"/>
    </row>
    <row r="74" ht="15" customFormat="1" customHeight="1" s="26">
      <c r="A74" s="735" t="n"/>
      <c r="B74" s="735" t="n"/>
      <c r="C74" s="9" t="n"/>
      <c r="D74" s="735" t="n"/>
      <c r="E74" s="35" t="n"/>
      <c r="F74" s="36" t="n"/>
      <c r="G74" s="1038" t="n"/>
      <c r="H74" s="865" t="n"/>
      <c r="I74" s="735" t="n"/>
      <c r="J74" s="735" t="n"/>
      <c r="K74" s="1002" t="n"/>
      <c r="M74" s="735" t="n"/>
      <c r="N74" s="748" t="n"/>
      <c r="O74" s="735" t="n"/>
      <c r="P74" s="735" t="n"/>
      <c r="Q74" s="735" t="n"/>
      <c r="R74" s="735" t="n"/>
      <c r="S74" s="735" t="n"/>
      <c r="T74" s="735" t="n"/>
      <c r="U74" s="735" t="n"/>
      <c r="V74" s="735" t="n"/>
      <c r="W74" s="735" t="n"/>
    </row>
    <row r="75" ht="15" customFormat="1" customHeight="1" s="26">
      <c r="A75" s="735" t="n"/>
      <c r="B75" s="735" t="n"/>
      <c r="C75" s="9" t="n"/>
      <c r="D75" s="1087" t="n"/>
      <c r="E75" s="35" t="n"/>
      <c r="F75" s="36" t="n"/>
      <c r="G75" s="1038" t="n"/>
      <c r="H75" s="865" t="n"/>
      <c r="I75" s="735" t="n"/>
      <c r="J75" s="735" t="n"/>
      <c r="M75" s="735" t="n"/>
      <c r="N75" s="735" t="n"/>
      <c r="O75" s="735" t="n"/>
      <c r="P75" s="735" t="n"/>
      <c r="Q75" s="735" t="n"/>
      <c r="R75" s="735" t="n"/>
      <c r="S75" s="735" t="n"/>
      <c r="T75" s="735" t="n"/>
      <c r="U75" s="735" t="n"/>
      <c r="V75" s="735" t="n"/>
      <c r="W75" s="735" t="n"/>
    </row>
    <row r="76" ht="15" customFormat="1" customHeight="1" s="26">
      <c r="A76" s="735" t="n"/>
      <c r="B76" s="735" t="n"/>
      <c r="C76" s="9" t="inlineStr">
        <is>
          <t>USES</t>
        </is>
      </c>
      <c r="D76" s="735" t="n"/>
      <c r="E76" s="11">
        <f>E34</f>
        <v/>
      </c>
      <c r="F76" s="11" t="inlineStr">
        <is>
          <t>%</t>
        </is>
      </c>
      <c r="G76" s="11" t="inlineStr">
        <is>
          <t>PER UNIT</t>
        </is>
      </c>
      <c r="H76" s="11" t="inlineStr">
        <is>
          <t>PSF</t>
        </is>
      </c>
      <c r="I76" s="735" t="n"/>
      <c r="J76" s="735" t="n"/>
      <c r="M76" s="735" t="n"/>
      <c r="N76" s="735" t="n"/>
      <c r="O76" s="735" t="n"/>
      <c r="P76" s="735" t="n"/>
      <c r="Q76" s="735" t="n"/>
      <c r="R76" s="735" t="n"/>
      <c r="S76" s="735" t="n"/>
      <c r="T76" s="735" t="n"/>
      <c r="U76" s="735" t="n"/>
      <c r="V76" s="735" t="n"/>
      <c r="W76" s="735" t="n"/>
    </row>
    <row r="77" ht="15" customFormat="1" customHeight="1" s="26">
      <c r="A77" s="735" t="n"/>
      <c r="B77" s="735" t="n"/>
      <c r="C77" s="755">
        <f>+C35</f>
        <v/>
      </c>
      <c r="D77" s="756" t="n"/>
      <c r="E77" s="798">
        <f>+Land_Cost</f>
        <v/>
      </c>
      <c r="F77" s="1075">
        <f>IF(ISERROR(+E77/E$58),"",(+E77/E$58))</f>
        <v/>
      </c>
      <c r="G77" s="799">
        <f>IF(ISERROR(+E77/$F$28),"",(+E77/$F$28))</f>
        <v/>
      </c>
      <c r="H77" s="1088">
        <f>IF(ISERROR(+E77/$E$28),"",(+E77/$E$28))</f>
        <v/>
      </c>
      <c r="I77" s="735" t="n"/>
      <c r="J77" s="735" t="n"/>
      <c r="M77" s="735" t="n"/>
      <c r="N77" s="735" t="n"/>
      <c r="O77" s="735" t="n"/>
      <c r="P77" s="735" t="n"/>
      <c r="Q77" s="735" t="n"/>
      <c r="R77" s="735" t="n"/>
      <c r="S77" s="735" t="n"/>
      <c r="T77" s="735" t="n"/>
      <c r="U77" s="735" t="n"/>
      <c r="V77" s="735" t="n"/>
      <c r="W77" s="735" t="n"/>
    </row>
    <row r="78" ht="15" customFormat="1" customHeight="1" s="26">
      <c r="A78" s="735" t="n"/>
      <c r="B78" s="735" t="n"/>
      <c r="C78" s="759" t="inlineStr">
        <is>
          <t>HARD COSTS (INCL CONTINGENCY)</t>
        </is>
      </c>
      <c r="D78" s="760" t="n"/>
      <c r="E78" s="801">
        <f>SUM(E53:E54)</f>
        <v/>
      </c>
      <c r="F78" s="1077">
        <f>IF(ISERROR(+E78/E$58),"",(+E78/E$58))</f>
        <v/>
      </c>
      <c r="G78" s="802">
        <f>IF(ISERROR(+E78/$F$28),"",(+E78/$F$28))</f>
        <v/>
      </c>
      <c r="H78" s="1089">
        <f>IF(ISERROR(+E78/$E$28),"",(+E78/$E$28))</f>
        <v/>
      </c>
      <c r="I78" s="735" t="n"/>
      <c r="J78" s="735" t="n"/>
      <c r="M78" s="735" t="n"/>
      <c r="N78" s="735" t="n"/>
      <c r="O78" s="735" t="n"/>
      <c r="P78" s="735" t="n"/>
      <c r="Q78" s="735" t="n"/>
      <c r="R78" s="735" t="n"/>
      <c r="S78" s="735" t="n"/>
      <c r="T78" s="735" t="n"/>
      <c r="U78" s="735" t="n"/>
      <c r="V78" s="735" t="n"/>
      <c r="W78" s="735" t="n"/>
    </row>
    <row r="79" ht="15" customFormat="1" customHeight="1" s="26">
      <c r="A79" s="735" t="n"/>
      <c r="B79" s="735" t="n"/>
      <c r="C79" s="759" t="inlineStr">
        <is>
          <t>SOFT COSTS</t>
        </is>
      </c>
      <c r="D79" s="760" t="n"/>
      <c r="E79" s="801">
        <f>SUM(E36:E52,E55:E57)</f>
        <v/>
      </c>
      <c r="F79" s="1077">
        <f>IF(ISERROR(+E79/E$58),"",(+E79/E$58))</f>
        <v/>
      </c>
      <c r="G79" s="802">
        <f>IF(ISERROR(+E79/$F$28),"",(+E79/$F$28))</f>
        <v/>
      </c>
      <c r="H79" s="1089">
        <f>IF(ISERROR(+E79/$E$28),"",(+E79/$E$28))</f>
        <v/>
      </c>
      <c r="I79" s="735" t="n"/>
      <c r="J79" s="735" t="n"/>
      <c r="M79" s="735" t="n"/>
      <c r="N79" s="735" t="n"/>
      <c r="O79" s="735" t="n"/>
      <c r="P79" s="735" t="n"/>
      <c r="Q79" s="735" t="n"/>
      <c r="R79" s="735" t="n"/>
      <c r="S79" s="735" t="n"/>
      <c r="T79" s="735" t="n"/>
      <c r="U79" s="735" t="n"/>
      <c r="V79" s="735" t="n"/>
      <c r="W79" s="735" t="n"/>
    </row>
    <row r="80" ht="16" customFormat="1" customHeight="1" s="26" thickBot="1">
      <c r="A80" s="735" t="n"/>
      <c r="B80" s="735" t="n"/>
      <c r="C80" s="9" t="n"/>
      <c r="D80" s="735" t="n"/>
      <c r="E80" s="95">
        <f>+SUM(E77:E79)</f>
        <v/>
      </c>
      <c r="F80" s="1083">
        <f>SUM(F77:F79)</f>
        <v/>
      </c>
      <c r="G80" s="804">
        <f>+SUM(G77:G79)</f>
        <v/>
      </c>
      <c r="H80" s="1090">
        <f>+SUM(H77:H79)</f>
        <v/>
      </c>
      <c r="I80" s="748" t="n"/>
      <c r="J80" s="735" t="n"/>
      <c r="M80" s="735" t="n"/>
      <c r="N80" s="735" t="n"/>
      <c r="O80" s="735" t="n"/>
      <c r="P80" s="735" t="n"/>
      <c r="Q80" s="735" t="n"/>
      <c r="R80" s="735" t="n"/>
      <c r="S80" s="735" t="n"/>
      <c r="T80" s="735" t="n"/>
      <c r="U80" s="735" t="n"/>
      <c r="V80" s="735" t="n"/>
      <c r="W80" s="735" t="n"/>
    </row>
    <row r="81" ht="16" customFormat="1" customHeight="1" s="26" thickTop="1">
      <c r="A81" s="735" t="n"/>
      <c r="B81" s="735" t="n"/>
      <c r="C81" s="774" t="inlineStr">
        <is>
          <t>MEZZ INTEREST RESERVE (Current Pay)</t>
        </is>
      </c>
      <c r="D81" s="9" t="n"/>
      <c r="E81" s="430">
        <f>+O68</f>
        <v/>
      </c>
      <c r="F81" s="34" t="n"/>
      <c r="G81" s="806">
        <f>IF(ISERROR(+E81/$F$28),"",(+E81/$F$28))</f>
        <v/>
      </c>
      <c r="H81" s="807">
        <f>IF(ISERROR(+E81/$E$28),"",(+E81/$E$28))</f>
        <v/>
      </c>
      <c r="I81" s="748" t="n"/>
      <c r="J81" s="735" t="n"/>
      <c r="K81" s="735" t="n"/>
      <c r="L81" s="735" t="n"/>
      <c r="M81" s="735" t="n"/>
      <c r="N81" s="735" t="n"/>
      <c r="O81" s="735" t="n"/>
      <c r="P81" s="735" t="n"/>
      <c r="Q81" s="735" t="n"/>
      <c r="R81" s="735" t="n"/>
      <c r="S81" s="735" t="n"/>
      <c r="T81" s="735" t="n"/>
    </row>
    <row r="82" ht="15" customFormat="1" customHeight="1" s="26">
      <c r="A82" s="735" t="n"/>
      <c r="B82" s="735" t="n"/>
      <c r="C82" s="9" t="inlineStr">
        <is>
          <t>TOTAL AFTER MEZZ INTEREST RESERVE</t>
        </is>
      </c>
      <c r="D82" s="9" t="n"/>
      <c r="E82" s="35">
        <f>E80+E81</f>
        <v/>
      </c>
      <c r="F82" s="36" t="n"/>
      <c r="G82" s="904">
        <f>G80+G81</f>
        <v/>
      </c>
      <c r="H82" s="809">
        <f>H80+H81</f>
        <v/>
      </c>
      <c r="I82" s="735" t="n"/>
      <c r="J82" s="735" t="n"/>
      <c r="K82" s="735" t="n"/>
      <c r="L82" s="735" t="n"/>
      <c r="M82" s="735" t="n"/>
      <c r="N82" s="735" t="n"/>
      <c r="O82" s="735" t="n"/>
      <c r="P82" s="735" t="n"/>
      <c r="Q82" s="735" t="n"/>
      <c r="R82" s="735" t="n"/>
      <c r="S82" s="735" t="n"/>
      <c r="T82" s="735" t="n"/>
    </row>
    <row r="83" ht="15" customFormat="1" customHeight="1" s="26">
      <c r="A83" s="735" t="n"/>
      <c r="B83" s="735" t="n"/>
      <c r="C83" s="735" t="n"/>
      <c r="D83" s="735" t="n"/>
      <c r="E83" s="735" t="n"/>
      <c r="F83" s="735" t="n"/>
      <c r="G83" s="735" t="n"/>
      <c r="H83" s="735" t="n"/>
      <c r="I83" s="810" t="n"/>
      <c r="J83" s="735" t="n"/>
      <c r="K83" s="735" t="n"/>
      <c r="L83" s="735" t="n"/>
      <c r="M83" s="735" t="n"/>
      <c r="N83" s="735" t="n"/>
      <c r="O83" s="735" t="n"/>
      <c r="P83" s="735" t="n"/>
      <c r="Q83" s="735" t="n"/>
      <c r="R83" s="735" t="n"/>
      <c r="S83" s="735" t="n"/>
      <c r="T83" s="735" t="n"/>
    </row>
    <row r="84" ht="15" customFormat="1" customHeight="1" s="26">
      <c r="A84" s="735" t="n"/>
      <c r="B84" s="735" t="n"/>
      <c r="C84" s="735" t="n"/>
      <c r="D84" s="735" t="n"/>
      <c r="E84" s="735" t="n"/>
      <c r="F84" s="735" t="n"/>
      <c r="G84" s="735" t="n"/>
      <c r="H84" s="735" t="n"/>
      <c r="I84" s="735" t="n"/>
      <c r="J84" s="735" t="n"/>
      <c r="K84" s="735" t="n"/>
      <c r="L84" s="735" t="n"/>
      <c r="M84" s="735" t="n"/>
      <c r="N84" s="735" t="n"/>
      <c r="O84" s="735" t="n"/>
      <c r="P84" s="735" t="n"/>
      <c r="Q84" s="735" t="n"/>
      <c r="R84" s="735" t="n"/>
      <c r="S84" s="735" t="n"/>
      <c r="T84" s="735" t="n"/>
    </row>
    <row r="85" ht="15" customFormat="1" customHeight="1" s="26">
      <c r="A85" s="735" t="n"/>
      <c r="B85" s="735" t="n"/>
      <c r="C85" s="735" t="n"/>
      <c r="D85" s="735" t="n"/>
      <c r="E85" s="735" t="n"/>
      <c r="F85" s="735" t="n"/>
      <c r="G85" s="735" t="n"/>
      <c r="H85" s="735" t="n"/>
      <c r="I85" s="735" t="n"/>
      <c r="J85" s="735" t="n"/>
      <c r="K85" s="735" t="n"/>
      <c r="L85" s="735" t="n"/>
      <c r="M85" s="735" t="n"/>
      <c r="N85" s="735" t="n"/>
      <c r="O85" s="735" t="n"/>
      <c r="P85" s="735" t="n"/>
      <c r="Q85" s="735" t="n"/>
      <c r="R85" s="735" t="n"/>
      <c r="S85" s="735" t="n"/>
      <c r="T85" s="735" t="n"/>
    </row>
    <row r="86" ht="19" customHeight="1">
      <c r="A86" s="84" t="n"/>
      <c r="B86" s="85" t="inlineStr">
        <is>
          <t>OPERATING BUDGET</t>
        </is>
      </c>
      <c r="C86" s="84" t="n"/>
      <c r="D86" s="84" t="n"/>
      <c r="E86" s="84" t="n"/>
      <c r="F86" s="84" t="n"/>
      <c r="G86" s="84" t="n"/>
      <c r="H86" s="84" t="n"/>
      <c r="I86" s="84" t="n"/>
      <c r="J86" s="84" t="n"/>
      <c r="K86" s="84" t="n"/>
      <c r="L86" s="84" t="n"/>
      <c r="M86" s="84" t="n"/>
      <c r="N86" s="84" t="n"/>
      <c r="O86" s="84" t="n"/>
    </row>
    <row r="87" ht="15" customFormat="1" customHeight="1" s="26">
      <c r="A87" s="735" t="n"/>
      <c r="B87" s="735" t="n"/>
      <c r="C87" s="1091" t="n"/>
      <c r="D87" s="1091" t="n"/>
      <c r="E87" s="1091" t="n"/>
      <c r="F87" s="735" t="n"/>
      <c r="G87" s="735" t="n"/>
      <c r="H87" s="735" t="n"/>
      <c r="I87" s="735" t="n"/>
      <c r="J87" s="735" t="n"/>
      <c r="K87" s="735" t="n"/>
      <c r="L87" s="735" t="n"/>
      <c r="M87" s="735" t="n"/>
      <c r="N87" s="735" t="n"/>
      <c r="O87" s="735" t="n"/>
      <c r="P87" s="735" t="n"/>
      <c r="Q87" s="735" t="n"/>
      <c r="R87" s="735" t="n"/>
      <c r="S87" s="735" t="n"/>
      <c r="T87" s="735" t="n"/>
    </row>
    <row r="88" ht="15" customFormat="1" customHeight="1" s="26">
      <c r="A88" s="735" t="n"/>
      <c r="B88" s="735" t="n"/>
      <c r="C88" s="1091" t="n"/>
      <c r="D88" s="1091" t="n"/>
      <c r="E88" s="1091" t="n"/>
      <c r="F88" s="133" t="inlineStr">
        <is>
          <t>RESIDENTIAL</t>
        </is>
      </c>
      <c r="G88" s="364" t="n"/>
      <c r="H88" s="362" t="n"/>
      <c r="I88" s="9" t="n"/>
      <c r="J88" s="133" t="inlineStr">
        <is>
          <t>RETAIL</t>
        </is>
      </c>
      <c r="K88" s="362" t="n"/>
      <c r="L88" s="9" t="n"/>
      <c r="M88" s="133" t="inlineStr">
        <is>
          <t>TOTAL</t>
        </is>
      </c>
      <c r="N88" s="735" t="n"/>
      <c r="O88" s="735" t="n"/>
      <c r="P88" s="735" t="n"/>
      <c r="Q88" s="735" t="n"/>
      <c r="R88" s="735" t="n"/>
      <c r="S88" s="735" t="n"/>
      <c r="T88" s="735" t="n"/>
    </row>
    <row r="89" ht="15" customFormat="1" customHeight="1" s="26">
      <c r="A89" s="735" t="n"/>
      <c r="B89" s="735" t="n"/>
      <c r="C89" s="735" t="n"/>
      <c r="D89" s="1091" t="n"/>
      <c r="E89" s="1091" t="n"/>
      <c r="F89" s="735" t="n"/>
      <c r="G89" s="735" t="n"/>
      <c r="H89" s="735" t="n"/>
      <c r="I89" s="735" t="n"/>
      <c r="J89" s="735" t="n"/>
      <c r="K89" s="735" t="n"/>
      <c r="L89" s="735" t="n"/>
      <c r="M89" s="735" t="n"/>
      <c r="N89" s="735" t="n"/>
      <c r="O89" s="735" t="n"/>
      <c r="P89" s="735" t="n"/>
      <c r="Q89" s="735" t="n"/>
      <c r="R89" s="735" t="n"/>
      <c r="S89" s="735" t="n"/>
      <c r="T89" s="735" t="n"/>
    </row>
    <row r="90" ht="15" customFormat="1" customHeight="1" s="26">
      <c r="A90" s="735" t="n"/>
      <c r="B90" s="735" t="n"/>
      <c r="C90" s="735" t="n"/>
      <c r="D90" s="735" t="n"/>
      <c r="E90" s="820" t="inlineStr">
        <is>
          <t># UNITS:</t>
        </is>
      </c>
      <c r="F90" s="1092">
        <f>F28</f>
        <v/>
      </c>
      <c r="G90" s="1093">
        <f>D28</f>
        <v/>
      </c>
      <c r="H90" s="812" t="inlineStr">
        <is>
          <t>SF/UNIT</t>
        </is>
      </c>
      <c r="I90" s="735" t="n"/>
      <c r="J90" s="1094" t="n"/>
      <c r="K90" s="735" t="inlineStr">
        <is>
          <t>SF</t>
        </is>
      </c>
      <c r="L90" s="735">
        <f>42*12</f>
        <v/>
      </c>
      <c r="M90" s="1095" t="n"/>
      <c r="N90" s="735" t="n"/>
      <c r="O90" s="735" t="n"/>
      <c r="P90" s="735" t="n"/>
      <c r="Q90" s="735" t="n"/>
      <c r="R90" s="735" t="n"/>
      <c r="S90" s="735" t="n"/>
      <c r="T90" s="735" t="n"/>
    </row>
    <row r="91" ht="15" customFormat="1" customHeight="1" s="26">
      <c r="A91" s="735" t="n"/>
      <c r="B91" s="735" t="n"/>
      <c r="C91" s="182" t="n"/>
      <c r="D91" s="735" t="n"/>
      <c r="E91" s="735" t="n"/>
      <c r="F91" s="183" t="n"/>
      <c r="G91" s="184" t="n"/>
      <c r="H91" s="744" t="n"/>
      <c r="I91" s="735" t="n"/>
      <c r="J91" s="183" t="n"/>
      <c r="K91" s="184" t="n"/>
      <c r="L91" s="735" t="n"/>
      <c r="M91" s="184" t="n"/>
      <c r="N91" s="735" t="n"/>
      <c r="O91" s="735" t="n"/>
      <c r="P91" s="735" t="n"/>
      <c r="Q91" s="735" t="n"/>
      <c r="R91" s="735" t="n"/>
      <c r="S91" s="735" t="n"/>
      <c r="T91" s="735" t="n"/>
    </row>
    <row r="92" ht="15" customFormat="1" customHeight="1" s="26">
      <c r="A92" s="735" t="n"/>
      <c r="B92" s="735" t="n"/>
      <c r="C92" s="735" t="n"/>
      <c r="D92" s="735" t="n"/>
      <c r="E92" s="735" t="n"/>
      <c r="F92" s="744" t="inlineStr">
        <is>
          <t>PER UNIT</t>
        </is>
      </c>
      <c r="G92" s="744" t="inlineStr">
        <is>
          <t>ANNUAL</t>
        </is>
      </c>
      <c r="H92" s="744" t="inlineStr">
        <is>
          <t>% OF TOTAL</t>
        </is>
      </c>
      <c r="I92" s="735" t="n"/>
      <c r="J92" s="744" t="inlineStr">
        <is>
          <t>PSF</t>
        </is>
      </c>
      <c r="K92" s="744" t="inlineStr">
        <is>
          <t>ANNUAL</t>
        </is>
      </c>
      <c r="L92" s="735" t="n"/>
      <c r="M92" s="744" t="inlineStr">
        <is>
          <t>ANNUAL</t>
        </is>
      </c>
      <c r="N92" s="1038" t="n"/>
      <c r="O92" s="1038" t="n"/>
      <c r="P92" s="735" t="n"/>
      <c r="Q92" s="735" t="n"/>
      <c r="R92" s="735" t="n"/>
      <c r="S92" s="735" t="n"/>
      <c r="T92" s="735" t="n"/>
    </row>
    <row r="93" ht="15" customFormat="1" customHeight="1" s="26">
      <c r="A93" s="735" t="n"/>
      <c r="B93" s="735" t="n"/>
      <c r="C93" s="182" t="n"/>
      <c r="D93" s="735" t="n"/>
      <c r="E93" s="735" t="n"/>
      <c r="F93" s="813" t="inlineStr">
        <is>
          <t>/YEAR</t>
        </is>
      </c>
      <c r="G93" s="744" t="inlineStr">
        <is>
          <t>TOTAL</t>
        </is>
      </c>
      <c r="H93" s="744" t="inlineStr">
        <is>
          <t>GPI</t>
        </is>
      </c>
      <c r="I93" s="735" t="n"/>
      <c r="J93" s="813" t="inlineStr">
        <is>
          <t>/ YEAR</t>
        </is>
      </c>
      <c r="K93" s="744" t="inlineStr">
        <is>
          <t>TOTAL</t>
        </is>
      </c>
      <c r="L93" s="735" t="n"/>
      <c r="M93" s="744" t="inlineStr">
        <is>
          <t>TOTAL</t>
        </is>
      </c>
      <c r="N93" s="1038" t="n"/>
      <c r="O93" s="1038" t="n"/>
      <c r="P93" s="735" t="n"/>
      <c r="Q93" s="735" t="n"/>
      <c r="R93" s="735" t="n"/>
      <c r="S93" s="735" t="n"/>
      <c r="T93" s="735" t="n"/>
    </row>
    <row r="94" ht="15" customFormat="1" customHeight="1" s="26">
      <c r="A94" s="735" t="n"/>
      <c r="B94" s="735" t="n"/>
      <c r="C94" s="182" t="n"/>
      <c r="D94" s="735" t="n"/>
      <c r="E94" s="735" t="n"/>
      <c r="F94" s="1096" t="n"/>
      <c r="G94" s="1097" t="n"/>
      <c r="H94" s="125" t="n"/>
      <c r="I94" s="735" t="n"/>
      <c r="J94" s="124" t="n"/>
      <c r="K94" s="125" t="n"/>
      <c r="L94" s="735" t="n"/>
      <c r="M94" s="125" t="n"/>
      <c r="N94" s="1038" t="n"/>
      <c r="O94" s="1038" t="n"/>
      <c r="P94" s="735" t="n"/>
      <c r="Q94" s="735" t="n"/>
      <c r="R94" s="735" t="n"/>
      <c r="S94" s="735" t="n"/>
      <c r="T94" s="735" t="n"/>
    </row>
    <row r="95" ht="15" customFormat="1" customHeight="1" s="26">
      <c r="A95" s="735" t="n"/>
      <c r="B95" s="735" t="n"/>
      <c r="C95" s="7" t="inlineStr">
        <is>
          <t>RENTAL INCOME</t>
        </is>
      </c>
      <c r="D95" s="198">
        <f>IF(ISERROR(+F95/G$90/12),"",(+F95/G$90/12))</f>
        <v/>
      </c>
      <c r="E95" s="735" t="inlineStr">
        <is>
          <t>AVG. PPSF</t>
        </is>
      </c>
      <c r="F95" s="1098">
        <f>IF(ISERROR(I28*12),"",(I28*12))</f>
        <v/>
      </c>
      <c r="G95" s="1099">
        <f>IF(ISERROR(F95*F90),"",(F95*F90))</f>
        <v/>
      </c>
      <c r="H95" s="1100">
        <f>IF(ISERROR(G95/$G$103),"",(G95/$G$103))</f>
        <v/>
      </c>
      <c r="I95" s="735" t="n"/>
      <c r="J95" s="1101" t="n"/>
      <c r="K95" s="1099">
        <f>+J95*J$90</f>
        <v/>
      </c>
      <c r="L95" s="1102" t="n"/>
      <c r="M95" s="1103">
        <f>IF(ISERROR(+K95+G95),"",(+K95+G95))</f>
        <v/>
      </c>
      <c r="N95" s="1038" t="n"/>
      <c r="O95" s="1038" t="n"/>
      <c r="P95" s="6">
        <f>C98</f>
        <v/>
      </c>
      <c r="Q95" s="735" t="inlineStr">
        <is>
          <t>R6</t>
        </is>
      </c>
      <c r="R95" s="735" t="n"/>
      <c r="S95" s="735" t="n"/>
      <c r="T95" s="735" t="n"/>
    </row>
    <row r="96" ht="15" customFormat="1" customHeight="1" s="26">
      <c r="A96" s="735" t="n"/>
      <c r="B96" s="735" t="n"/>
      <c r="C96" s="9" t="inlineStr">
        <is>
          <t>OTHER INCOME</t>
        </is>
      </c>
      <c r="D96" s="735" t="n"/>
      <c r="E96" s="735" t="n"/>
      <c r="F96" s="1098" t="n"/>
      <c r="G96" s="1098" t="n"/>
      <c r="H96" s="1100" t="n"/>
      <c r="I96" s="735" t="n"/>
      <c r="J96" s="1098" t="n"/>
      <c r="K96" s="1098" t="n"/>
      <c r="L96" s="735" t="n"/>
      <c r="M96" s="1103" t="n"/>
      <c r="N96" s="1038" t="n"/>
      <c r="O96" s="1038" t="n"/>
      <c r="P96" s="735" t="n"/>
      <c r="Q96" s="220" t="inlineStr">
        <is>
          <t>%</t>
        </is>
      </c>
      <c r="R96" s="11" t="n"/>
      <c r="S96" s="11" t="inlineStr">
        <is>
          <t>MONTHLY</t>
        </is>
      </c>
      <c r="T96" s="11" t="inlineStr">
        <is>
          <t>ANNUAL</t>
        </is>
      </c>
    </row>
    <row r="97" ht="15" customFormat="1" customHeight="1" s="26">
      <c r="C97" s="774" t="inlineStr">
        <is>
          <t>UTILITY REIMBURSEMENT (unit/m)</t>
        </is>
      </c>
      <c r="D97" s="186" t="n"/>
      <c r="E97" s="735" t="n"/>
      <c r="F97" s="1098">
        <f>IF(ISERROR(+G97/F$90),"",(+G97/F$90))</f>
        <v/>
      </c>
      <c r="G97" s="1104">
        <f>D97*12*F$90</f>
        <v/>
      </c>
      <c r="H97" s="1100">
        <f>IF(ISERROR(G97/$G$103),"",(G97/$G$103))</f>
        <v/>
      </c>
      <c r="I97" s="735" t="n"/>
      <c r="J97" s="1105" t="n">
        <v>1</v>
      </c>
      <c r="K97" s="1099">
        <f>+J97*J$90</f>
        <v/>
      </c>
      <c r="L97" s="735" t="n"/>
      <c r="M97" s="1103">
        <f>+K97+G97</f>
        <v/>
      </c>
      <c r="N97" s="1038" t="n"/>
      <c r="O97" s="1038" t="n"/>
      <c r="P97" s="116" t="inlineStr">
        <is>
          <t>LEVEL PREMIUM</t>
        </is>
      </c>
      <c r="Q97" s="217">
        <f>R97/Total_Number_Units</f>
        <v/>
      </c>
      <c r="R97" s="1106" t="n"/>
      <c r="S97" s="1106" t="n"/>
      <c r="T97" s="1076">
        <f>+S97*12*R97</f>
        <v/>
      </c>
      <c r="U97" s="735" t="inlineStr">
        <is>
          <t xml:space="preserve">* floor </t>
        </is>
      </c>
    </row>
    <row r="98" ht="15" customFormat="1" customHeight="1" s="26">
      <c r="C98" s="774" t="inlineStr">
        <is>
          <t>ADDITIONAL/AMENITY INCOME</t>
        </is>
      </c>
      <c r="D98" s="186" t="n"/>
      <c r="E98" s="735" t="n"/>
      <c r="F98" s="1098" t="n">
        <v>0</v>
      </c>
      <c r="G98" s="1107">
        <f>+D98*Total_Number_Units</f>
        <v/>
      </c>
      <c r="H98" s="1100">
        <f>IF(ISERROR(G98/$G$103),"",(G98/$G$103))</f>
        <v/>
      </c>
      <c r="I98" s="735" t="n"/>
      <c r="J98" s="1105" t="n">
        <v>0.75</v>
      </c>
      <c r="K98" s="1099">
        <f>+J98*J$90</f>
        <v/>
      </c>
      <c r="L98" s="735" t="n"/>
      <c r="M98" s="1103">
        <f>+K98+G98</f>
        <v/>
      </c>
      <c r="N98" s="1038" t="n"/>
      <c r="O98" s="1038" t="n"/>
      <c r="P98" s="118" t="inlineStr">
        <is>
          <t>VIEW PREMIUM</t>
        </is>
      </c>
      <c r="Q98" s="218">
        <f>R98/Total_Number_Units</f>
        <v/>
      </c>
      <c r="R98" s="1108" t="n"/>
      <c r="S98" s="1108" t="n"/>
      <c r="T98" s="1078">
        <f>+S98*12*R98</f>
        <v/>
      </c>
      <c r="U98" s="735" t="inlineStr">
        <is>
          <t>* downtown views</t>
        </is>
      </c>
    </row>
    <row r="99" ht="15" customFormat="1" customHeight="1" s="26">
      <c r="C99" s="774" t="inlineStr">
        <is>
          <t>CABLE, PHONE, ETC (unit/m)</t>
        </is>
      </c>
      <c r="D99" s="186" t="n"/>
      <c r="E99" s="735" t="n"/>
      <c r="F99" s="1098">
        <f>IF(ISERROR(+G99/F$90),"",(+G99/F$90))</f>
        <v/>
      </c>
      <c r="G99" s="1107">
        <f>D99*F$90*12</f>
        <v/>
      </c>
      <c r="H99" s="1100">
        <f>IF(ISERROR(G99/$G$103),"",(G99/$G$103))</f>
        <v/>
      </c>
      <c r="I99" s="735" t="n"/>
      <c r="J99" s="1105" t="n">
        <v>0</v>
      </c>
      <c r="K99" s="1099">
        <f>+J99*J$90</f>
        <v/>
      </c>
      <c r="L99" s="735" t="n"/>
      <c r="M99" s="1103">
        <f>+K99+G99</f>
        <v/>
      </c>
      <c r="N99" s="1038" t="n"/>
      <c r="O99" s="1038" t="n"/>
      <c r="P99" s="118" t="inlineStr">
        <is>
          <t>LOCATION PREMIUM</t>
        </is>
      </c>
      <c r="Q99" s="218">
        <f>R99/Total_Number_Units</f>
        <v/>
      </c>
      <c r="R99" s="1108" t="n"/>
      <c r="S99" s="1108" t="n"/>
      <c r="T99" s="1078">
        <f>+S99*12*R99</f>
        <v/>
      </c>
      <c r="U99" s="735" t="inlineStr">
        <is>
          <t>* pool views</t>
        </is>
      </c>
    </row>
    <row r="100" ht="15" customFormat="1" customHeight="1" s="26">
      <c r="C100" s="774" t="inlineStr">
        <is>
          <t>MISC FEES (Pet Rent, etc.) (unit/m)</t>
        </is>
      </c>
      <c r="D100" s="186" t="n"/>
      <c r="E100" s="735" t="n"/>
      <c r="F100" s="1098">
        <f>IF(ISERROR(+G100/F$90),"",(+G100/F$90))</f>
        <v/>
      </c>
      <c r="G100" s="1107">
        <f>D100*F$90*12</f>
        <v/>
      </c>
      <c r="H100" s="1100">
        <f>IF(ISERROR(G100/$G$103),"",(G100/$G$103))</f>
        <v/>
      </c>
      <c r="I100" s="735" t="n"/>
      <c r="J100" s="1105" t="n">
        <v>0.5</v>
      </c>
      <c r="K100" s="1099">
        <f>+J100*J$90</f>
        <v/>
      </c>
      <c r="L100" s="735" t="n"/>
      <c r="M100" s="1103">
        <f>+K100+G100</f>
        <v/>
      </c>
      <c r="N100" s="1038" t="n"/>
      <c r="O100" s="1038" t="n"/>
      <c r="P100" s="118" t="inlineStr">
        <is>
          <t>VALET WASTE</t>
        </is>
      </c>
      <c r="Q100" s="218">
        <f>R100/Total_Number_Units</f>
        <v/>
      </c>
      <c r="R100" s="1108" t="n"/>
      <c r="S100" s="1108" t="n"/>
      <c r="T100" s="1078">
        <f>+S100*12*R100</f>
        <v/>
      </c>
      <c r="U100" s="735" t="n"/>
    </row>
    <row r="101" ht="15" customFormat="1" customHeight="1" s="26">
      <c r="C101" s="774" t="inlineStr">
        <is>
          <t>PARKING/STORAGE INCOME</t>
        </is>
      </c>
      <c r="D101" s="820" t="n"/>
      <c r="E101" s="735" t="n"/>
      <c r="F101" s="1098">
        <f>IF(ISERROR(+G101/F$90),"",(+G101/F$90))</f>
        <v/>
      </c>
      <c r="G101" s="1107">
        <f>T110</f>
        <v/>
      </c>
      <c r="H101" s="1100">
        <f>IF(ISERROR(G101/$G$103),"",(G101/$G$103))</f>
        <v/>
      </c>
      <c r="I101" s="735" t="n"/>
      <c r="J101" s="1105" t="n">
        <v>0.5</v>
      </c>
      <c r="K101" s="1099">
        <f>+J101*J$90</f>
        <v/>
      </c>
      <c r="L101" s="735" t="n"/>
      <c r="M101" s="1103">
        <f>+K101+G101</f>
        <v/>
      </c>
      <c r="N101" s="1038" t="n"/>
      <c r="O101" s="1038" t="n"/>
      <c r="P101" s="120" t="n"/>
      <c r="Q101" s="219" t="n"/>
      <c r="R101" s="1109" t="n"/>
      <c r="S101" s="1109" t="n"/>
      <c r="T101" s="1080">
        <f>+S101*12*R101</f>
        <v/>
      </c>
      <c r="U101" s="735" t="n"/>
    </row>
    <row r="102" ht="16" customFormat="1" customHeight="1" s="26" thickBot="1">
      <c r="C102" s="774" t="inlineStr">
        <is>
          <t>RETAIL NNN REIMBURSEMENTS</t>
        </is>
      </c>
      <c r="D102" s="822" t="n">
        <v>0</v>
      </c>
      <c r="E102" s="735" t="n"/>
      <c r="F102" s="1110">
        <f>IF(ISERROR(+G102/F$90),"",(+G102/F$90))</f>
        <v/>
      </c>
      <c r="G102" s="1111" t="n"/>
      <c r="H102" s="1112">
        <f>IF(ISERROR(G102/$G$103),"",(G102/$G$103))</f>
        <v/>
      </c>
      <c r="I102" s="735" t="n"/>
      <c r="J102" s="1113" t="n">
        <v>10</v>
      </c>
      <c r="K102" s="1114">
        <f>+J102*J$90</f>
        <v/>
      </c>
      <c r="L102" s="735" t="n"/>
      <c r="M102" s="1115">
        <f>+K102+G102</f>
        <v/>
      </c>
      <c r="N102" s="1038" t="n"/>
      <c r="O102" s="1038" t="n"/>
      <c r="P102" s="735" t="n"/>
      <c r="Q102" s="829" t="n"/>
      <c r="R102" s="1038" t="n"/>
      <c r="S102" s="1084">
        <f>+T102/12</f>
        <v/>
      </c>
      <c r="T102" s="1084">
        <f>+SUM(T97:T101)</f>
        <v/>
      </c>
      <c r="U102" s="735" t="n"/>
    </row>
    <row r="103" ht="16" customFormat="1" customHeight="1" s="26" thickTop="1">
      <c r="C103" s="9" t="inlineStr">
        <is>
          <t>GROSS POTENTIAL INCOME</t>
        </is>
      </c>
      <c r="D103" s="187" t="inlineStr">
        <is>
          <t>residential</t>
        </is>
      </c>
      <c r="E103" s="188" t="inlineStr">
        <is>
          <t>retail</t>
        </is>
      </c>
      <c r="F103" s="1116">
        <f>+SUM(F95:F102)</f>
        <v/>
      </c>
      <c r="G103" s="1116">
        <f>+SUM(G95:G102)</f>
        <v/>
      </c>
      <c r="H103" s="1117">
        <f>+SUM(H95:H102)</f>
        <v/>
      </c>
      <c r="I103" s="735" t="n"/>
      <c r="J103" s="1116">
        <f>+SUM(J95:J102)</f>
        <v/>
      </c>
      <c r="K103" s="1116">
        <f>+SUM(K95:K102)</f>
        <v/>
      </c>
      <c r="L103" s="735" t="n"/>
      <c r="M103" s="1118">
        <f>+SUM(M95:M102)</f>
        <v/>
      </c>
      <c r="N103" s="1038" t="n"/>
      <c r="O103" s="1038" t="n"/>
      <c r="P103" s="735" t="n"/>
      <c r="Q103" s="829" t="n"/>
      <c r="R103" s="735" t="n"/>
      <c r="S103" s="735" t="n"/>
      <c r="T103" s="735" t="n"/>
      <c r="U103" s="735" t="n"/>
    </row>
    <row r="104" ht="15" customFormat="1" customHeight="1" s="26">
      <c r="C104" s="774" t="inlineStr">
        <is>
          <t>VACANCY</t>
        </is>
      </c>
      <c r="D104" s="1119" t="n"/>
      <c r="E104" s="1119" t="n"/>
      <c r="F104" s="1098">
        <f>IF(ISERROR(+G104/F$90),"",(+G104/F$90))</f>
        <v/>
      </c>
      <c r="G104" s="1099">
        <f>G103*D104</f>
        <v/>
      </c>
      <c r="H104" s="1077">
        <f>D104</f>
        <v/>
      </c>
      <c r="I104" s="735" t="n"/>
      <c r="J104" s="1098" t="n">
        <v>-4.5</v>
      </c>
      <c r="K104" s="1099">
        <f>K103*E104</f>
        <v/>
      </c>
      <c r="L104" s="1120" t="n"/>
      <c r="M104" s="1103">
        <f>+K104+G104</f>
        <v/>
      </c>
      <c r="N104" s="1038" t="n"/>
      <c r="O104" s="1038" t="n"/>
      <c r="P104" s="6" t="inlineStr">
        <is>
          <t>PARKING/STORAGE INCOME</t>
        </is>
      </c>
      <c r="Q104" s="829" t="n"/>
      <c r="R104" s="735" t="n"/>
      <c r="S104" s="735" t="n"/>
      <c r="T104" s="735" t="n"/>
      <c r="U104" s="735" t="n"/>
    </row>
    <row r="105" ht="15" customFormat="1" customHeight="1" s="26">
      <c r="C105" s="774" t="inlineStr">
        <is>
          <t>NON-REVENUE UNITS &amp; BAD DEBT</t>
        </is>
      </c>
      <c r="D105" s="1119" t="n"/>
      <c r="E105" s="1119" t="n"/>
      <c r="F105" s="1110">
        <f>IF(ISERROR(+G105/F$90),"",(+G105/F$90))</f>
        <v/>
      </c>
      <c r="G105" s="1114">
        <f>G103*D105</f>
        <v/>
      </c>
      <c r="H105" s="1082">
        <f>D105</f>
        <v/>
      </c>
      <c r="I105" s="735" t="n"/>
      <c r="J105" s="1110" t="n">
        <v>-1.5</v>
      </c>
      <c r="K105" s="1114">
        <f>K103*E105</f>
        <v/>
      </c>
      <c r="L105" s="1120" t="n"/>
      <c r="M105" s="1115">
        <f>+K105+G105</f>
        <v/>
      </c>
      <c r="N105" s="1038" t="n"/>
      <c r="O105" s="1038" t="n"/>
      <c r="P105" s="735" t="n"/>
      <c r="Q105" s="829" t="inlineStr">
        <is>
          <t>%</t>
        </is>
      </c>
      <c r="R105" s="11" t="inlineStr">
        <is>
          <t>UNITS</t>
        </is>
      </c>
      <c r="S105" s="11" t="inlineStr">
        <is>
          <t>MONTHLY</t>
        </is>
      </c>
      <c r="T105" s="11" t="inlineStr">
        <is>
          <t>ANNUAL</t>
        </is>
      </c>
      <c r="U105" s="735" t="n"/>
    </row>
    <row r="106" ht="16" customFormat="1" customHeight="1" s="26" thickBot="1">
      <c r="C106" s="9" t="inlineStr">
        <is>
          <t>EFFECTIVE GROSS INCOME</t>
        </is>
      </c>
      <c r="D106" s="735" t="n"/>
      <c r="E106" s="189" t="n"/>
      <c r="F106" s="1121">
        <f>+SUM(F103:F105)</f>
        <v/>
      </c>
      <c r="G106" s="1121">
        <f>+SUM(G103:G105)</f>
        <v/>
      </c>
      <c r="H106" s="1083">
        <f>+SUM(H103,D104:D105)</f>
        <v/>
      </c>
      <c r="I106" s="735" t="n"/>
      <c r="J106" s="1121">
        <f>+SUM(J103:J105)</f>
        <v/>
      </c>
      <c r="K106" s="1121">
        <f>+SUM(K103:K105)</f>
        <v/>
      </c>
      <c r="L106" s="735" t="n"/>
      <c r="M106" s="1122">
        <f>+SUM(M103:M105)</f>
        <v/>
      </c>
      <c r="N106" s="1038" t="n"/>
      <c r="O106" s="1038" t="n"/>
      <c r="P106" s="199" t="inlineStr">
        <is>
          <t>PARKING</t>
        </is>
      </c>
      <c r="Q106" s="830">
        <f>R106/Total_Number_Units</f>
        <v/>
      </c>
      <c r="R106" s="200" t="n"/>
      <c r="S106" s="200" t="n"/>
      <c r="T106" s="831">
        <f>R106*S106*12</f>
        <v/>
      </c>
      <c r="U106" s="735" t="inlineStr">
        <is>
          <t>*reserved spaces</t>
        </is>
      </c>
    </row>
    <row r="107" ht="16" customFormat="1" customHeight="1" s="26" thickTop="1">
      <c r="C107" s="9" t="n"/>
      <c r="D107" s="735" t="n"/>
      <c r="E107" s="189" t="n"/>
      <c r="F107" s="1123" t="n"/>
      <c r="G107" s="1123" t="n"/>
      <c r="H107" s="1034" t="n"/>
      <c r="I107" s="735" t="n"/>
      <c r="J107" s="1123" t="n"/>
      <c r="K107" s="1123" t="n"/>
      <c r="L107" s="735" t="n"/>
      <c r="M107" s="38" t="n"/>
      <c r="N107" s="1038" t="n"/>
      <c r="O107" s="1038" t="n"/>
      <c r="P107" s="201" t="inlineStr">
        <is>
          <t xml:space="preserve">Reserved </t>
        </is>
      </c>
      <c r="Q107" s="832">
        <f>R107/Total_Number_Units</f>
        <v/>
      </c>
      <c r="R107" s="202" t="n"/>
      <c r="S107" s="202" t="n"/>
      <c r="T107" s="833">
        <f>R107*S107*12</f>
        <v/>
      </c>
      <c r="U107" s="735" t="inlineStr">
        <is>
          <t>*reserved storage units</t>
        </is>
      </c>
    </row>
    <row r="108" ht="15" customFormat="1" customHeight="1" s="26">
      <c r="C108" s="735" t="n"/>
      <c r="D108" s="735" t="n"/>
      <c r="E108" s="735" t="n"/>
      <c r="F108" s="1124" t="n"/>
      <c r="G108" s="1124" t="n"/>
      <c r="H108" s="735" t="n"/>
      <c r="I108" s="735" t="n"/>
      <c r="J108" s="1124" t="n"/>
      <c r="K108" s="1124" t="n"/>
      <c r="L108" s="735" t="n"/>
      <c r="M108" s="735" t="n"/>
      <c r="N108" s="1038" t="n"/>
      <c r="O108" s="1038" t="n"/>
      <c r="P108" s="201" t="inlineStr">
        <is>
          <t>GARAGE UNITS (D)</t>
        </is>
      </c>
      <c r="Q108" s="832">
        <f>R108/Total_Number_Units</f>
        <v/>
      </c>
      <c r="R108" s="202" t="n"/>
      <c r="S108" s="202" t="n"/>
      <c r="T108" s="833">
        <f>R108*S108*12</f>
        <v/>
      </c>
      <c r="U108" s="735" t="inlineStr">
        <is>
          <t>* reserved garage units</t>
        </is>
      </c>
    </row>
    <row r="109" ht="15" customFormat="1" customHeight="1" s="26">
      <c r="C109" s="735" t="n"/>
      <c r="D109" s="735" t="n"/>
      <c r="E109" s="735" t="n"/>
      <c r="F109" s="1125" t="inlineStr">
        <is>
          <t>PER UNIT</t>
        </is>
      </c>
      <c r="G109" s="1125" t="inlineStr">
        <is>
          <t>ANNUAL</t>
        </is>
      </c>
      <c r="H109" s="744" t="inlineStr">
        <is>
          <t>% OF TOTAL</t>
        </is>
      </c>
      <c r="I109" s="735" t="n"/>
      <c r="J109" s="1125" t="inlineStr">
        <is>
          <t>PSF</t>
        </is>
      </c>
      <c r="K109" s="1125" t="inlineStr">
        <is>
          <t>ANNUAL</t>
        </is>
      </c>
      <c r="L109" s="735" t="n"/>
      <c r="M109" s="744" t="inlineStr">
        <is>
          <t>ANNUAL</t>
        </is>
      </c>
      <c r="N109" s="1038" t="n"/>
      <c r="O109" s="1038" t="n"/>
      <c r="P109" s="836" t="n"/>
      <c r="Q109" s="837" t="n"/>
      <c r="R109" s="203" t="n"/>
      <c r="S109" s="203" t="n"/>
      <c r="T109" s="838">
        <f>R109*S109*12</f>
        <v/>
      </c>
      <c r="U109" s="735" t="n"/>
    </row>
    <row r="110" ht="16" customFormat="1" customHeight="1" s="26" thickBot="1">
      <c r="C110" s="7" t="inlineStr">
        <is>
          <t>OPERATING EXPENSES</t>
        </is>
      </c>
      <c r="D110" s="735" t="n"/>
      <c r="E110" s="735" t="n"/>
      <c r="F110" s="1126" t="inlineStr">
        <is>
          <t>/ YEAR</t>
        </is>
      </c>
      <c r="G110" s="1125" t="inlineStr">
        <is>
          <t>TOTAL</t>
        </is>
      </c>
      <c r="H110" s="744" t="inlineStr">
        <is>
          <t>GPI</t>
        </is>
      </c>
      <c r="I110" s="735" t="n"/>
      <c r="J110" s="813" t="inlineStr">
        <is>
          <t>/ YEAR</t>
        </is>
      </c>
      <c r="K110" s="744" t="inlineStr">
        <is>
          <t>TOTAL</t>
        </is>
      </c>
      <c r="L110" s="735" t="n"/>
      <c r="M110" s="744" t="inlineStr">
        <is>
          <t>TOTAL</t>
        </is>
      </c>
      <c r="N110" s="1038" t="n"/>
      <c r="O110" s="1038" t="n"/>
      <c r="P110" s="735" t="n"/>
      <c r="Q110" s="735" t="n"/>
      <c r="R110" s="735" t="n"/>
      <c r="S110" s="840">
        <f>T110/12</f>
        <v/>
      </c>
      <c r="T110" s="840">
        <f>SUM(T106:T109)</f>
        <v/>
      </c>
      <c r="U110" s="735" t="n"/>
    </row>
    <row r="111" ht="16" customFormat="1" customHeight="1" s="26" thickTop="1">
      <c r="C111" s="774" t="inlineStr">
        <is>
          <t>G&amp;A</t>
        </is>
      </c>
      <c r="D111" s="735" t="n"/>
      <c r="E111" s="735" t="n"/>
      <c r="F111" s="1127" t="n"/>
      <c r="G111" s="1128">
        <f>$F$90*F111</f>
        <v/>
      </c>
      <c r="H111" s="1129">
        <f>IF(ISERROR(G111/$G$103),"",(G111/$G$103))</f>
        <v/>
      </c>
      <c r="I111" s="735" t="n"/>
      <c r="J111" s="1130" t="n"/>
      <c r="K111" s="1128">
        <f>+J111*J$90</f>
        <v/>
      </c>
      <c r="L111" s="735" t="n"/>
      <c r="M111" s="1131">
        <f>+K111+G111</f>
        <v/>
      </c>
      <c r="N111" s="1038" t="n"/>
      <c r="O111" s="1038" t="n"/>
      <c r="P111" s="735" t="n"/>
      <c r="Q111" s="735" t="n"/>
      <c r="R111" s="735" t="n"/>
      <c r="S111" s="735" t="n"/>
      <c r="T111" s="735" t="n"/>
      <c r="U111" s="735" t="n"/>
    </row>
    <row r="112" ht="15" customFormat="1" customHeight="1" s="26">
      <c r="C112" s="774" t="inlineStr">
        <is>
          <t>LEASING &amp; MARKETING</t>
        </is>
      </c>
      <c r="D112" s="735" t="n"/>
      <c r="E112" s="735" t="n"/>
      <c r="F112" s="1101" t="n"/>
      <c r="G112" s="1099">
        <f>$F$90*F112</f>
        <v/>
      </c>
      <c r="H112" s="1100">
        <f>IF(ISERROR(G112/$G$103),"",(G112/$G$103))</f>
        <v/>
      </c>
      <c r="I112" s="735" t="n"/>
      <c r="J112" s="1132" t="n"/>
      <c r="K112" s="1099">
        <f>+J112*J$90</f>
        <v/>
      </c>
      <c r="L112" s="735" t="n"/>
      <c r="M112" s="1103">
        <f>+K112+G112</f>
        <v/>
      </c>
      <c r="N112" s="1038" t="n"/>
      <c r="O112" s="1038" t="n"/>
      <c r="P112" s="735" t="n"/>
      <c r="Q112" s="735" t="n"/>
      <c r="R112" s="735" t="n"/>
      <c r="S112" s="735" t="n"/>
      <c r="T112" s="735" t="n"/>
      <c r="U112" s="735" t="n"/>
    </row>
    <row r="113" ht="15" customFormat="1" customHeight="1" s="26">
      <c r="C113" s="774" t="inlineStr">
        <is>
          <t>PAYROLL &amp; RELATED</t>
        </is>
      </c>
      <c r="D113" s="735" t="n"/>
      <c r="E113" s="735" t="n"/>
      <c r="F113" s="1101" t="n"/>
      <c r="G113" s="1099">
        <f>$F$90*F113</f>
        <v/>
      </c>
      <c r="H113" s="1100">
        <f>IF(ISERROR(G113/$G$103),"",(G113/$G$103))</f>
        <v/>
      </c>
      <c r="I113" s="735" t="n"/>
      <c r="J113" s="1132" t="n"/>
      <c r="K113" s="1099">
        <f>+J113*J$90</f>
        <v/>
      </c>
      <c r="L113" s="735" t="n"/>
      <c r="M113" s="1103">
        <f>+K113+G113</f>
        <v/>
      </c>
      <c r="N113" s="1038" t="n"/>
      <c r="O113" s="1038" t="n"/>
      <c r="P113" s="735" t="n"/>
      <c r="Q113" s="735" t="n"/>
      <c r="R113" s="735" t="n"/>
      <c r="S113" s="735" t="n"/>
      <c r="T113" s="735" t="n"/>
      <c r="U113" s="735" t="n"/>
      <c r="V113" s="735" t="n"/>
      <c r="W113" s="735" t="n"/>
    </row>
    <row r="114" ht="15" customFormat="1" customHeight="1" s="26">
      <c r="C114" s="774" t="inlineStr">
        <is>
          <t>UTILITIES (NET)</t>
        </is>
      </c>
      <c r="D114" s="735" t="n"/>
      <c r="E114" s="735" t="n"/>
      <c r="F114" s="1101" t="n"/>
      <c r="G114" s="1099">
        <f>$F$90*F114</f>
        <v/>
      </c>
      <c r="H114" s="1100">
        <f>IF(ISERROR(G114/$G$103),"",(G114/$G$103))</f>
        <v/>
      </c>
      <c r="I114" s="735" t="n"/>
      <c r="J114" s="1132" t="n"/>
      <c r="K114" s="1099">
        <f>+J114*J$90</f>
        <v/>
      </c>
      <c r="L114" s="735" t="n"/>
      <c r="M114" s="1103">
        <f>+K114+G114</f>
        <v/>
      </c>
      <c r="N114" s="1038" t="n"/>
      <c r="O114" s="1038" t="n"/>
      <c r="P114" s="735" t="n"/>
      <c r="Q114" s="735" t="n"/>
      <c r="R114" s="735" t="n"/>
      <c r="S114" s="735" t="n"/>
      <c r="T114" s="735" t="n"/>
      <c r="U114" s="735" t="n"/>
      <c r="V114" s="735" t="n"/>
      <c r="W114" s="735" t="n"/>
    </row>
    <row r="115" ht="15" customFormat="1" customHeight="1" s="26">
      <c r="C115" s="774" t="inlineStr">
        <is>
          <t>REDECORATING/MAKE READY</t>
        </is>
      </c>
      <c r="D115" s="735" t="n"/>
      <c r="E115" s="735" t="n"/>
      <c r="F115" s="1101" t="n"/>
      <c r="G115" s="1099">
        <f>$F$90*F115</f>
        <v/>
      </c>
      <c r="H115" s="1100">
        <f>IF(ISERROR(G115/$G$103),"",(G115/$G$103))</f>
        <v/>
      </c>
      <c r="I115" s="735" t="n"/>
      <c r="J115" s="1132" t="n"/>
      <c r="K115" s="1099">
        <f>+J115*J$90</f>
        <v/>
      </c>
      <c r="L115" s="735" t="n"/>
      <c r="M115" s="1103">
        <f>+K115+G115</f>
        <v/>
      </c>
      <c r="N115" s="1038" t="n"/>
      <c r="O115" s="1038" t="n"/>
      <c r="P115" s="844" t="inlineStr">
        <is>
          <t>Property</t>
        </is>
      </c>
      <c r="Q115" s="845" t="inlineStr">
        <is>
          <t>Year</t>
        </is>
      </c>
      <c r="R115" s="1133" t="inlineStr">
        <is>
          <t xml:space="preserve">Total Value </t>
        </is>
      </c>
      <c r="S115" s="845" t="inlineStr">
        <is>
          <t>Units</t>
        </is>
      </c>
      <c r="T115" s="845" t="inlineStr">
        <is>
          <t>Value/Unit</t>
        </is>
      </c>
      <c r="U115" s="847" t="inlineStr">
        <is>
          <t>Sale Price</t>
        </is>
      </c>
      <c r="V115" s="845" t="inlineStr">
        <is>
          <t>Costar</t>
        </is>
      </c>
      <c r="W115" s="845" t="inlineStr">
        <is>
          <t>RealPage</t>
        </is>
      </c>
    </row>
    <row r="116" ht="15" customFormat="1" customHeight="1" s="26">
      <c r="C116" s="774" t="inlineStr">
        <is>
          <t>LANDSCAPING / CONTRACT SERVICES</t>
        </is>
      </c>
      <c r="D116" s="735" t="n"/>
      <c r="E116" s="735" t="n"/>
      <c r="F116" s="1101" t="n"/>
      <c r="G116" s="1099">
        <f>$F$90*F116</f>
        <v/>
      </c>
      <c r="H116" s="1100">
        <f>IF(ISERROR(G116/$G$103),"",(G116/$G$103))</f>
        <v/>
      </c>
      <c r="I116" s="735" t="n"/>
      <c r="J116" s="1132" t="n"/>
      <c r="K116" s="1099">
        <f>+J116*J$90</f>
        <v/>
      </c>
      <c r="L116" s="735" t="n"/>
      <c r="M116" s="1103">
        <f>+K116+G116</f>
        <v/>
      </c>
      <c r="N116" s="1038" t="n"/>
      <c r="O116" s="1038" t="n"/>
      <c r="P116" s="776" t="inlineStr">
        <is>
          <t>Sugarloaf Summit</t>
        </is>
      </c>
      <c r="Q116" s="776" t="n">
        <v>2017</v>
      </c>
      <c r="R116" s="777" t="n">
        <v>80165400</v>
      </c>
      <c r="S116" s="776" t="n">
        <v>378</v>
      </c>
      <c r="T116" s="848">
        <f>R116/S116</f>
        <v/>
      </c>
      <c r="U116" s="848" t="n"/>
      <c r="V116" s="744" t="n"/>
      <c r="W116" s="744" t="n"/>
    </row>
    <row r="117" ht="16" customFormat="1" customHeight="1" s="26" thickBot="1">
      <c r="C117" s="774" t="inlineStr">
        <is>
          <t>REPAIRS &amp; MAINTENANCE / CAM</t>
        </is>
      </c>
      <c r="D117" s="735" t="n"/>
      <c r="E117" s="735" t="n"/>
      <c r="F117" s="1134" t="n"/>
      <c r="G117" s="1135">
        <f>$F$90*F117</f>
        <v/>
      </c>
      <c r="H117" s="1136">
        <f>IF(ISERROR(G117/$G$103),"",(G117/$G$103))</f>
        <v/>
      </c>
      <c r="I117" s="735" t="n"/>
      <c r="J117" s="1134" t="n"/>
      <c r="K117" s="1135">
        <f>+J117*J$90</f>
        <v/>
      </c>
      <c r="L117" s="735" t="n"/>
      <c r="M117" s="1137">
        <f>+K117+G117</f>
        <v/>
      </c>
      <c r="N117" s="1038" t="n"/>
      <c r="O117" s="1038" t="n"/>
      <c r="P117" s="776" t="inlineStr">
        <is>
          <t>1045 Suwanee</t>
        </is>
      </c>
      <c r="Q117" s="776" t="n">
        <v>2020</v>
      </c>
      <c r="R117" s="777" t="n">
        <v>68000000</v>
      </c>
      <c r="S117" s="776" t="n">
        <v>298</v>
      </c>
      <c r="T117" s="848">
        <f>R117/S117</f>
        <v/>
      </c>
      <c r="U117" s="735" t="n"/>
      <c r="V117" s="735" t="n"/>
      <c r="W117" s="735" t="n"/>
    </row>
    <row r="118" ht="16" customFormat="1" customHeight="1" s="26" thickTop="1">
      <c r="C118" s="204" t="inlineStr">
        <is>
          <t>TOTAL CONTROLLABLE</t>
        </is>
      </c>
      <c r="D118" s="735" t="n"/>
      <c r="E118" s="735" t="n"/>
      <c r="F118" s="1138">
        <f>SUM(F111:F117)</f>
        <v/>
      </c>
      <c r="G118" s="1139">
        <f>SUM(G111:G117)</f>
        <v/>
      </c>
      <c r="H118" s="1140">
        <f>IF(ISERROR(G118/$G$103),"",(G118/$G$103))</f>
        <v/>
      </c>
      <c r="I118" s="735" t="n"/>
      <c r="J118" s="1138">
        <f>SUM(J111:J117)</f>
        <v/>
      </c>
      <c r="K118" s="1141">
        <f>SUM(K111:K117)</f>
        <v/>
      </c>
      <c r="L118" s="7" t="n"/>
      <c r="M118" s="1142">
        <f>+K118+G118</f>
        <v/>
      </c>
      <c r="N118" s="1038" t="n"/>
      <c r="O118" s="1038" t="n"/>
      <c r="P118" s="776" t="inlineStr">
        <is>
          <t>Southlawn</t>
        </is>
      </c>
      <c r="Q118" s="776" t="n">
        <v>2019</v>
      </c>
      <c r="R118" s="777" t="n">
        <v>116020900</v>
      </c>
      <c r="S118" s="776" t="n">
        <v>430</v>
      </c>
      <c r="T118" s="848">
        <f>R118/S118</f>
        <v/>
      </c>
      <c r="U118" s="735" t="n"/>
      <c r="V118" s="735" t="n"/>
      <c r="W118" s="735" t="n"/>
    </row>
    <row r="119" ht="15" customFormat="1" customHeight="1" s="26">
      <c r="C119" s="774" t="inlineStr">
        <is>
          <t>INSURANCE</t>
        </is>
      </c>
      <c r="D119" s="735" t="n"/>
      <c r="E119" s="735" t="n"/>
      <c r="F119" s="1101" t="n"/>
      <c r="G119" s="1099">
        <f>$F$90*F119</f>
        <v/>
      </c>
      <c r="H119" s="1100">
        <f>IF(ISERROR(G119/$G$103),"",(G119/$G$103))</f>
        <v/>
      </c>
      <c r="I119" s="735" t="n"/>
      <c r="J119" s="1101" t="n"/>
      <c r="K119" s="1099">
        <f>+J119*J$90</f>
        <v/>
      </c>
      <c r="L119" s="735" t="n"/>
      <c r="M119" s="1103">
        <f>+K119+G119</f>
        <v/>
      </c>
      <c r="N119" s="1038" t="n"/>
      <c r="O119" s="1038" t="n"/>
      <c r="P119" s="776" t="inlineStr">
        <is>
          <t>The Edison Sugarloaf</t>
        </is>
      </c>
      <c r="Q119" s="776" t="n">
        <v>2020</v>
      </c>
      <c r="R119" s="777" t="n">
        <v>68000000</v>
      </c>
      <c r="S119" s="776" t="n">
        <v>330</v>
      </c>
      <c r="T119" s="848">
        <f>R119/S119</f>
        <v/>
      </c>
      <c r="U119" s="848" t="n"/>
      <c r="V119" s="744" t="n"/>
      <c r="W119" s="744" t="n"/>
    </row>
    <row r="120" ht="15" customFormat="1" customHeight="1" s="26">
      <c r="C120" s="774" t="inlineStr">
        <is>
          <t>REAL ESTATE TAXES</t>
        </is>
      </c>
      <c r="D120" s="187" t="inlineStr">
        <is>
          <t>residential</t>
        </is>
      </c>
      <c r="E120" s="188" t="inlineStr">
        <is>
          <t>retail</t>
        </is>
      </c>
      <c r="F120" s="1143">
        <f>Q134</f>
        <v/>
      </c>
      <c r="G120" s="1099">
        <f>$F$90*F120</f>
        <v/>
      </c>
      <c r="H120" s="1100">
        <f>IF(ISERROR(G120/$G$103),"",(G120/$G$103))</f>
        <v/>
      </c>
      <c r="I120" s="735" t="n"/>
      <c r="J120" s="1101" t="n"/>
      <c r="K120" s="1099">
        <f>+J120*J$90</f>
        <v/>
      </c>
      <c r="L120" s="735" t="n"/>
      <c r="M120" s="1103">
        <f>+K120+G120</f>
        <v/>
      </c>
      <c r="N120" s="1038" t="n"/>
      <c r="O120" s="1038" t="n"/>
      <c r="P120" s="776" t="inlineStr">
        <is>
          <t>Sugarloaf Grove</t>
        </is>
      </c>
      <c r="Q120" s="776" t="n">
        <v>2020</v>
      </c>
      <c r="R120" s="777" t="n">
        <v>50440000</v>
      </c>
      <c r="S120" s="776" t="n">
        <v>194</v>
      </c>
      <c r="T120" s="848">
        <f>R120/S120</f>
        <v/>
      </c>
      <c r="U120" s="848" t="n"/>
      <c r="V120" s="744" t="n"/>
      <c r="W120" s="744" t="n"/>
    </row>
    <row r="121" ht="15" customFormat="1" customHeight="1" s="26">
      <c r="C121" s="774" t="inlineStr">
        <is>
          <t>MGMT FEE</t>
        </is>
      </c>
      <c r="D121" s="418" t="n"/>
      <c r="E121" s="1144" t="n"/>
      <c r="F121" s="1104">
        <f>+G121/Total_Number_Units</f>
        <v/>
      </c>
      <c r="G121" s="1107">
        <f>MIN(+G106*D121,$M$9)</f>
        <v/>
      </c>
      <c r="H121" s="1100">
        <f>IF(ISERROR(G121/$G$103),"",(G121/$G$103))</f>
        <v/>
      </c>
      <c r="I121" s="735" t="n"/>
      <c r="J121" s="1104">
        <f>+E121*J106</f>
        <v/>
      </c>
      <c r="K121" s="1099">
        <f>+J121*J$90</f>
        <v/>
      </c>
      <c r="L121" s="735" t="n"/>
      <c r="M121" s="1103">
        <f>+K121+G121</f>
        <v/>
      </c>
      <c r="N121" s="1038" t="n"/>
      <c r="O121" s="1038" t="n"/>
      <c r="P121" s="776" t="inlineStr">
        <is>
          <t>Richmond Row</t>
        </is>
      </c>
      <c r="Q121" s="776" t="n">
        <v>2022</v>
      </c>
      <c r="R121" s="777" t="n">
        <v>99961300</v>
      </c>
      <c r="S121" s="776" t="n">
        <v>344</v>
      </c>
      <c r="T121" s="848">
        <f>R121/S121</f>
        <v/>
      </c>
      <c r="U121" s="848" t="n"/>
      <c r="V121" s="735" t="n"/>
      <c r="W121" s="735" t="n"/>
    </row>
    <row r="122" ht="15" customFormat="1" customHeight="1" s="26">
      <c r="C122" s="774" t="inlineStr">
        <is>
          <t>CAPITAL RESERVES</t>
        </is>
      </c>
      <c r="D122" s="735" t="n"/>
      <c r="E122" s="735" t="n"/>
      <c r="F122" s="1145" t="n"/>
      <c r="G122" s="1114">
        <f>$F$90*F122</f>
        <v/>
      </c>
      <c r="H122" s="1112">
        <f>IF(ISERROR(G122/$G$103),"",(G122/$G$103))</f>
        <v/>
      </c>
      <c r="I122" s="735" t="n"/>
      <c r="J122" s="1113" t="n">
        <v>0.75</v>
      </c>
      <c r="K122" s="1146">
        <f>+J122*J$90</f>
        <v/>
      </c>
      <c r="L122" s="735" t="n"/>
      <c r="M122" s="1115">
        <f>+K122+G122</f>
        <v/>
      </c>
      <c r="N122" s="1038" t="n"/>
      <c r="O122" s="1038" t="n"/>
      <c r="P122" s="776" t="inlineStr">
        <is>
          <t>Lyra by Radius</t>
        </is>
      </c>
      <c r="Q122" s="776" t="n">
        <v>2022</v>
      </c>
      <c r="R122" s="777" t="n">
        <v>67717500</v>
      </c>
      <c r="S122" s="776" t="n">
        <v>228</v>
      </c>
      <c r="T122" s="848">
        <f>R122/S122</f>
        <v/>
      </c>
      <c r="U122" s="848" t="n"/>
      <c r="V122" s="735" t="n"/>
      <c r="W122" s="735" t="n"/>
    </row>
    <row r="123" ht="15" customFormat="1" customHeight="1" s="26">
      <c r="C123" s="9" t="inlineStr">
        <is>
          <t>TOTAL EXPENSES</t>
        </is>
      </c>
      <c r="D123" s="9" t="n"/>
      <c r="E123" s="9" t="n"/>
      <c r="F123" s="1123">
        <f>SUM(F118:F122)</f>
        <v/>
      </c>
      <c r="G123" s="1147">
        <f>SUM(G118:G122)</f>
        <v/>
      </c>
      <c r="H123" s="1035">
        <f>SUM(H118:H122)</f>
        <v/>
      </c>
      <c r="I123" s="735" t="n"/>
      <c r="J123" s="1123">
        <f>SUM(J118:J122)</f>
        <v/>
      </c>
      <c r="K123" s="1147">
        <f>+SUM(K118:K122)</f>
        <v/>
      </c>
      <c r="L123" s="735" t="n"/>
      <c r="M123" s="1148">
        <f>+SUM(M118:M122)</f>
        <v/>
      </c>
      <c r="N123" s="1038" t="n"/>
      <c r="O123" s="1038" t="n"/>
      <c r="P123" s="776" t="inlineStr">
        <is>
          <t>Sugarloaf Walk</t>
        </is>
      </c>
      <c r="Q123" s="776" t="n">
        <v>2019</v>
      </c>
      <c r="R123" s="777" t="n">
        <v>72412300</v>
      </c>
      <c r="S123" s="776" t="n">
        <v>302</v>
      </c>
      <c r="T123" s="848">
        <f>R123/S123</f>
        <v/>
      </c>
      <c r="U123" s="735" t="n"/>
      <c r="V123" s="735" t="n"/>
      <c r="W123" s="735" t="n"/>
    </row>
    <row r="124" ht="15" customFormat="1" customHeight="1" s="26">
      <c r="C124" s="735" t="n"/>
      <c r="D124" s="735" t="n"/>
      <c r="E124" s="735" t="n"/>
      <c r="F124" s="1149" t="n"/>
      <c r="G124" s="1147" t="n"/>
      <c r="H124" s="735" t="n"/>
      <c r="I124" s="735" t="n"/>
      <c r="J124" s="1149" t="n"/>
      <c r="K124" s="1147" t="n"/>
      <c r="L124" s="735" t="n"/>
      <c r="M124" s="1148" t="n"/>
      <c r="N124" s="1038" t="n"/>
      <c r="O124" s="1038" t="n"/>
      <c r="P124" s="776" t="inlineStr">
        <is>
          <t>Highlands at Sweetwater Creek</t>
        </is>
      </c>
      <c r="Q124" s="776" t="n">
        <v>2020</v>
      </c>
      <c r="R124" s="777" t="n">
        <v>78557900</v>
      </c>
      <c r="S124" s="776" t="n">
        <v>290</v>
      </c>
      <c r="T124" s="848">
        <f>R124/S124</f>
        <v/>
      </c>
      <c r="U124" s="735" t="n"/>
      <c r="V124" s="735" t="n"/>
      <c r="W124" s="735" t="n"/>
    </row>
    <row r="125" ht="16" customFormat="1" customHeight="1" s="26" thickBot="1">
      <c r="C125" s="9" t="inlineStr">
        <is>
          <t>NOI AFTER RESERVES</t>
        </is>
      </c>
      <c r="D125" s="735" t="n"/>
      <c r="E125" s="735" t="n"/>
      <c r="F125" s="1124" t="n"/>
      <c r="G125" s="1150">
        <f>+G106-G123</f>
        <v/>
      </c>
      <c r="H125" s="735" t="n"/>
      <c r="I125" s="735" t="n"/>
      <c r="J125" s="1124" t="n"/>
      <c r="K125" s="1150">
        <f>+K106-K123</f>
        <v/>
      </c>
      <c r="L125" s="735" t="n"/>
      <c r="M125" s="1047">
        <f>+M106-M123</f>
        <v/>
      </c>
      <c r="N125" s="1038" t="n"/>
      <c r="O125" s="1038" t="n"/>
      <c r="P125" s="776" t="inlineStr">
        <is>
          <t>The Mason at Sugarloaf</t>
        </is>
      </c>
      <c r="Q125" s="776" t="n">
        <v>2022</v>
      </c>
      <c r="R125" s="777">
        <f>63951800+700400+1735500</f>
        <v/>
      </c>
      <c r="S125" s="776" t="n">
        <v>312</v>
      </c>
      <c r="T125" s="848">
        <f>R125/S125</f>
        <v/>
      </c>
      <c r="U125" s="735" t="n"/>
      <c r="V125" s="735" t="n"/>
      <c r="W125" s="735" t="n"/>
    </row>
    <row r="126" ht="16" customFormat="1" customHeight="1" s="26" thickTop="1">
      <c r="C126" s="735" t="n"/>
      <c r="D126" s="735" t="n"/>
      <c r="E126" s="735" t="n"/>
      <c r="F126" s="735" t="n"/>
      <c r="G126" s="735" t="n"/>
      <c r="H126" s="735" t="n"/>
      <c r="I126" s="735" t="n"/>
      <c r="J126" s="735" t="n"/>
      <c r="K126" s="735" t="n"/>
      <c r="L126" s="735" t="n"/>
      <c r="M126" s="735" t="n"/>
      <c r="N126" s="1038" t="n"/>
      <c r="O126" s="1038" t="n"/>
      <c r="P126" s="776" t="inlineStr">
        <is>
          <t>The Rey on Reynolds</t>
        </is>
      </c>
      <c r="Q126" s="776" t="n">
        <v>2020</v>
      </c>
      <c r="R126" s="777" t="n">
        <v>69800000</v>
      </c>
      <c r="S126" s="776" t="n">
        <v>286</v>
      </c>
      <c r="T126" s="848">
        <f>R126/S126</f>
        <v/>
      </c>
      <c r="U126" s="848" t="n"/>
      <c r="V126" s="735" t="n"/>
      <c r="W126" s="735" t="n"/>
    </row>
    <row r="127" ht="16" customFormat="1" customHeight="1" s="26" thickBot="1">
      <c r="C127" s="182" t="inlineStr">
        <is>
          <t>YIELD ON PROJECT COSTS</t>
        </is>
      </c>
      <c r="D127" s="735" t="n"/>
      <c r="E127" s="735" t="n"/>
      <c r="F127" s="744" t="n"/>
      <c r="G127" s="1125" t="n"/>
      <c r="H127" s="744" t="n"/>
      <c r="I127" s="735" t="n"/>
      <c r="J127" s="735" t="n"/>
      <c r="K127" s="735" t="n"/>
      <c r="L127" s="735" t="n"/>
      <c r="M127" s="735" t="n"/>
      <c r="N127" s="1038" t="n"/>
      <c r="O127" s="1038" t="n"/>
      <c r="P127" s="1151" t="n"/>
      <c r="Q127" s="735" t="n"/>
      <c r="R127" s="735" t="n"/>
      <c r="S127" s="735" t="n"/>
      <c r="T127" s="854">
        <f>AVERAGE(T116:T126)</f>
        <v/>
      </c>
      <c r="U127" s="854">
        <f>AVERAGE(U119:U120)</f>
        <v/>
      </c>
      <c r="V127" s="735" t="n"/>
      <c r="W127" s="735" t="n"/>
    </row>
    <row r="128" ht="16" customFormat="1" customHeight="1" s="26" thickBot="1">
      <c r="C128" s="774" t="inlineStr">
        <is>
          <t>TOTAL PROJECT COSTS</t>
        </is>
      </c>
      <c r="D128" s="735" t="n"/>
      <c r="E128" s="735" t="n"/>
      <c r="F128" s="735" t="n"/>
      <c r="G128" s="735" t="n"/>
      <c r="H128" s="735" t="n"/>
      <c r="I128" s="735" t="n"/>
      <c r="J128" s="1152" t="n"/>
      <c r="K128" s="735" t="n"/>
      <c r="L128" s="486" t="inlineStr">
        <is>
          <t>COST BASIS</t>
        </is>
      </c>
      <c r="M128" s="1153">
        <f>E58</f>
        <v/>
      </c>
      <c r="N128" s="1038">
        <f>M128/(J90+E28)</f>
        <v/>
      </c>
      <c r="O128" s="1038" t="n"/>
      <c r="P128" s="847" t="inlineStr">
        <is>
          <t>Tax Projection</t>
        </is>
      </c>
      <c r="Q128" s="847" t="n"/>
      <c r="R128" s="735" t="n"/>
      <c r="S128" s="735" t="n"/>
      <c r="T128" s="735" t="n"/>
      <c r="U128" s="735" t="n"/>
      <c r="V128" s="735" t="n"/>
      <c r="W128" s="735" t="n"/>
    </row>
    <row r="129" ht="16" customFormat="1" customHeight="1" s="26" thickBot="1">
      <c r="A129" s="735" t="n"/>
      <c r="B129" s="735" t="n"/>
      <c r="C129" s="231" t="inlineStr">
        <is>
          <t>RETURN ON COSTS (UN-TRENDED)</t>
        </is>
      </c>
      <c r="D129" s="44" t="n"/>
      <c r="E129" s="44" t="n"/>
      <c r="F129" s="735" t="n"/>
      <c r="G129" s="735" t="n"/>
      <c r="H129" s="1038" t="n"/>
      <c r="I129" s="735" t="n"/>
      <c r="J129" s="42" t="n"/>
      <c r="K129" s="735" t="n"/>
      <c r="L129" s="487" t="inlineStr">
        <is>
          <t xml:space="preserve">YOC </t>
        </is>
      </c>
      <c r="M129" s="1154">
        <f>IF(ISERROR(M125/M128),"",(M125/M128))</f>
        <v/>
      </c>
      <c r="N129" s="1038" t="n"/>
      <c r="O129" s="1038" t="n"/>
      <c r="P129" s="776" t="inlineStr">
        <is>
          <t>Reference Value</t>
        </is>
      </c>
      <c r="Q129" s="777" t="n">
        <v>240000</v>
      </c>
      <c r="R129" s="735" t="n"/>
      <c r="S129" s="735" t="n"/>
      <c r="T129" s="735" t="n"/>
      <c r="U129" s="735" t="n"/>
    </row>
    <row r="130" ht="15" customFormat="1" customHeight="1" s="26">
      <c r="A130" s="735" t="n"/>
      <c r="B130" s="735" t="n"/>
      <c r="C130" s="735" t="n"/>
      <c r="D130" s="735" t="n"/>
      <c r="E130" s="735" t="n"/>
      <c r="F130" s="735" t="n"/>
      <c r="G130" s="735" t="n"/>
      <c r="H130" s="1124" t="n"/>
      <c r="I130" s="735" t="n"/>
      <c r="J130" s="735" t="n"/>
      <c r="K130" s="735" t="n"/>
      <c r="L130" s="654" t="n"/>
      <c r="M130" s="1155" t="n"/>
      <c r="N130" s="1038" t="n"/>
      <c r="O130" s="1038" t="n"/>
      <c r="P130" s="776" t="inlineStr">
        <is>
          <t>Premium</t>
        </is>
      </c>
      <c r="Q130" s="856" t="n">
        <v>0</v>
      </c>
      <c r="R130" s="857" t="n"/>
      <c r="S130" s="735" t="n"/>
      <c r="T130" s="735" t="n"/>
      <c r="U130" s="735" t="n"/>
    </row>
    <row r="131" ht="15" customFormat="1" customHeight="1" s="26">
      <c r="A131" s="735" t="n"/>
      <c r="B131" s="735" t="n"/>
      <c r="C131" s="735" t="n"/>
      <c r="D131" s="735" t="n"/>
      <c r="E131" s="735" t="n"/>
      <c r="F131" s="735" t="n"/>
      <c r="G131" s="735" t="n"/>
      <c r="H131" s="735" t="n"/>
      <c r="I131" s="735" t="n"/>
      <c r="J131" s="735" t="n"/>
      <c r="K131" s="735" t="n"/>
      <c r="L131" s="654" t="n"/>
      <c r="M131" s="655" t="n"/>
      <c r="N131" s="1156" t="n"/>
      <c r="O131" s="1038" t="n"/>
      <c r="P131" s="776" t="inlineStr">
        <is>
          <t>Value/Unit</t>
        </is>
      </c>
      <c r="Q131" s="777">
        <f>Q129*(1+Q130)</f>
        <v/>
      </c>
      <c r="R131" s="735" t="n"/>
      <c r="S131" s="743" t="n"/>
      <c r="T131" s="735" t="n"/>
      <c r="U131" s="1038" t="n"/>
    </row>
    <row r="132" ht="15" customFormat="1" customHeight="1" s="26">
      <c r="A132" s="735" t="n"/>
      <c r="B132" s="735" t="n"/>
      <c r="C132" s="735" t="n"/>
      <c r="D132" s="735" t="n"/>
      <c r="E132" s="735" t="n"/>
      <c r="F132" s="735" t="n"/>
      <c r="G132" s="735" t="n"/>
      <c r="H132" s="735" t="n"/>
      <c r="I132" s="735" t="n"/>
      <c r="J132" s="735" t="n"/>
      <c r="K132" s="735" t="n"/>
      <c r="L132" s="735" t="n"/>
      <c r="M132" s="735" t="n"/>
      <c r="N132" s="1156" t="n"/>
      <c r="O132" s="1038" t="n"/>
      <c r="P132" s="776" t="inlineStr">
        <is>
          <t>Post Sale Assessed Value</t>
        </is>
      </c>
      <c r="Q132" s="777">
        <f>Q131*0.4</f>
        <v/>
      </c>
      <c r="R132" s="735" t="n"/>
      <c r="S132" s="743" t="n"/>
      <c r="T132" s="735" t="n"/>
      <c r="U132" s="1038" t="n"/>
    </row>
    <row r="133" ht="15" customFormat="1" customHeight="1" s="26">
      <c r="A133" s="735" t="n"/>
      <c r="B133" s="735" t="n"/>
      <c r="C133" s="735" t="n"/>
      <c r="D133" s="735" t="n"/>
      <c r="E133" s="735" t="n"/>
      <c r="F133" s="735" t="n"/>
      <c r="G133" s="735" t="n"/>
      <c r="H133" s="735" t="n"/>
      <c r="I133" s="735" t="n"/>
      <c r="J133" s="735" t="n"/>
      <c r="K133" s="735" t="n"/>
      <c r="L133" s="3" t="n"/>
      <c r="M133" s="1038" t="n"/>
      <c r="N133" s="735" t="n"/>
      <c r="O133" s="1038" t="n"/>
      <c r="P133" s="776" t="inlineStr">
        <is>
          <t>Tax Millage Rate</t>
        </is>
      </c>
      <c r="Q133" s="748">
        <f>'Soft Cost Detail'!H95</f>
        <v/>
      </c>
      <c r="R133" s="735" t="n"/>
      <c r="S133" s="743" t="n"/>
      <c r="T133" s="735" t="n"/>
      <c r="U133" s="1038" t="n"/>
    </row>
    <row r="134" ht="15" customFormat="1" customHeight="1" s="26">
      <c r="A134" s="735" t="n"/>
      <c r="B134" s="735" t="n"/>
      <c r="C134" s="735" t="n"/>
      <c r="D134" s="735" t="n"/>
      <c r="E134" s="735" t="n"/>
      <c r="F134" s="735" t="n"/>
      <c r="G134" s="735" t="n"/>
      <c r="H134" s="735" t="n"/>
      <c r="I134" s="735" t="n"/>
      <c r="J134" s="735" t="n"/>
      <c r="K134" s="735" t="n"/>
      <c r="L134" s="3" t="n"/>
      <c r="M134" s="1038" t="n"/>
      <c r="N134" s="1038" t="n"/>
      <c r="O134" s="1038" t="n"/>
      <c r="P134" s="776" t="inlineStr">
        <is>
          <t>Taxes</t>
        </is>
      </c>
      <c r="Q134" s="777">
        <f>Q132*(Q133/1000)</f>
        <v/>
      </c>
      <c r="R134" s="735" t="n"/>
      <c r="S134" s="743" t="n"/>
      <c r="T134" s="735" t="n"/>
      <c r="U134" s="1038" t="n"/>
    </row>
    <row r="135" ht="15" customFormat="1" customHeight="1" s="26">
      <c r="A135" s="735" t="n"/>
      <c r="B135" s="735" t="n"/>
      <c r="C135" s="735" t="n"/>
      <c r="D135" s="735" t="n"/>
      <c r="E135" s="735" t="n"/>
      <c r="F135" s="735" t="n"/>
      <c r="G135" s="735" t="n"/>
      <c r="H135" s="735" t="n"/>
      <c r="I135" s="735" t="n"/>
      <c r="J135" s="735" t="n"/>
      <c r="K135" s="735" t="n"/>
      <c r="L135" s="3" t="n"/>
      <c r="M135" s="1038" t="n"/>
      <c r="N135" s="1038" t="n"/>
      <c r="O135" s="1038" t="n"/>
      <c r="P135" s="735" t="n"/>
      <c r="Q135" s="735" t="n"/>
      <c r="R135" s="735" t="n"/>
      <c r="S135" s="743" t="n"/>
      <c r="T135" s="735" t="n"/>
      <c r="U135" s="1038" t="n"/>
    </row>
    <row r="136" ht="15" customFormat="1" customHeight="1" s="26">
      <c r="A136" s="735" t="n"/>
      <c r="B136" s="735" t="n"/>
      <c r="C136" s="735" t="n"/>
      <c r="D136" s="735" t="n"/>
      <c r="E136" s="735" t="n"/>
      <c r="F136" s="735" t="n"/>
      <c r="G136" s="735" t="n"/>
      <c r="H136" s="735" t="n"/>
      <c r="I136" s="735" t="n"/>
      <c r="J136" s="735" t="n"/>
      <c r="K136" s="735" t="n"/>
      <c r="L136" s="735" t="n"/>
      <c r="M136" s="735" t="n"/>
      <c r="N136" s="735" t="n"/>
      <c r="O136" s="735" t="n"/>
      <c r="P136" s="735" t="n"/>
      <c r="Q136" s="735" t="n"/>
      <c r="R136" s="735" t="n"/>
      <c r="S136" s="743" t="n"/>
      <c r="T136" s="735" t="n"/>
      <c r="U136" s="1038" t="n"/>
    </row>
    <row r="137" ht="19" customHeight="1">
      <c r="A137" s="84" t="n"/>
      <c r="B137" s="87" t="inlineStr">
        <is>
          <t>STABILIZED PRO FORMA OPERATING STATEMENT (UN-TRENDED &amp; TRENDED):</t>
        </is>
      </c>
      <c r="C137" s="84" t="n"/>
      <c r="D137" s="84" t="n"/>
      <c r="E137" s="84" t="n"/>
      <c r="F137" s="84" t="n"/>
      <c r="G137" s="88" t="n"/>
      <c r="H137" s="84" t="n"/>
      <c r="I137" s="89" t="n"/>
      <c r="J137" s="84" t="n"/>
      <c r="K137" s="84" t="n"/>
      <c r="L137" s="84" t="n"/>
      <c r="M137" s="84" t="n"/>
      <c r="N137" s="84" t="n"/>
      <c r="O137" s="84" t="n"/>
      <c r="P137" s="1" t="n"/>
      <c r="Q137" s="735" t="n"/>
      <c r="R137" s="735" t="n"/>
      <c r="S137" s="743" t="n"/>
      <c r="U137" s="1038" t="n"/>
    </row>
    <row r="138" ht="15" customFormat="1" customHeight="1" s="26">
      <c r="A138" s="735" t="n"/>
      <c r="B138" s="43" t="n"/>
      <c r="C138" s="44" t="n"/>
      <c r="D138" s="44" t="n"/>
      <c r="E138" s="44" t="n"/>
      <c r="F138" s="44" t="n"/>
      <c r="G138" s="45" t="n"/>
      <c r="H138" s="44" t="n"/>
      <c r="I138" s="46" t="n"/>
      <c r="J138" s="44" t="n"/>
      <c r="K138" s="735" t="n"/>
      <c r="L138" s="44" t="n"/>
      <c r="M138" s="216">
        <f>(YEAR(D13)-YEAR(C3))*12+MONTH(D13)-MONTH(C3)</f>
        <v/>
      </c>
      <c r="N138" s="735" t="inlineStr">
        <is>
          <t>MO. TO CONSTRUCTION</t>
        </is>
      </c>
      <c r="O138" s="735" t="n"/>
      <c r="P138" s="44" t="n"/>
      <c r="Q138" s="735" t="n"/>
      <c r="R138" s="735" t="n"/>
      <c r="S138" s="743" t="n"/>
      <c r="T138" s="735" t="n"/>
      <c r="U138" s="1038" t="n"/>
    </row>
    <row r="139" ht="15" customFormat="1" customHeight="1" s="26">
      <c r="A139" s="735" t="n"/>
      <c r="B139" s="43" t="n"/>
      <c r="C139" s="44" t="n"/>
      <c r="D139" s="44" t="n"/>
      <c r="E139" s="1157" t="inlineStr">
        <is>
          <t>RESIDENTIAL</t>
        </is>
      </c>
      <c r="F139" s="364" t="n"/>
      <c r="G139" s="362" t="n"/>
      <c r="H139" s="44" t="n"/>
      <c r="I139" s="1157" t="inlineStr">
        <is>
          <t>RETAIL</t>
        </is>
      </c>
      <c r="J139" s="364" t="n"/>
      <c r="K139" s="362" t="n"/>
      <c r="L139" s="44" t="n"/>
      <c r="M139" s="735" t="n"/>
      <c r="N139" s="735" t="n"/>
      <c r="O139" s="735" t="n"/>
      <c r="P139" s="44" t="n"/>
      <c r="Q139" s="735" t="n"/>
      <c r="R139" s="735" t="n"/>
      <c r="S139" s="743" t="n"/>
      <c r="T139" s="735" t="n"/>
      <c r="U139" s="1038" t="n"/>
    </row>
    <row r="140" ht="15" customFormat="1" customHeight="1" s="26">
      <c r="A140" s="735" t="n"/>
      <c r="B140" s="47" t="n"/>
      <c r="C140" s="44" t="n"/>
      <c r="D140" s="44" t="n"/>
      <c r="E140" s="48" t="inlineStr">
        <is>
          <t>RENTAL</t>
        </is>
      </c>
      <c r="F140" s="48" t="inlineStr">
        <is>
          <t>OTHER</t>
        </is>
      </c>
      <c r="G140" s="48" t="n"/>
      <c r="H140" s="44" t="n"/>
      <c r="I140" s="48" t="inlineStr">
        <is>
          <t>RETAIL</t>
        </is>
      </c>
      <c r="J140" s="48" t="n"/>
      <c r="K140" s="49" t="n"/>
      <c r="L140" s="44" t="n"/>
      <c r="M140" s="735" t="n"/>
      <c r="N140" s="735" t="n"/>
      <c r="O140" s="735" t="n"/>
      <c r="P140" s="735" t="n"/>
      <c r="Q140" s="735" t="n"/>
      <c r="R140" s="735" t="n"/>
      <c r="S140" s="735" t="n"/>
      <c r="T140" s="735" t="n"/>
      <c r="U140" s="735" t="n"/>
    </row>
    <row r="141" ht="15" customFormat="1" customHeight="1" s="26">
      <c r="A141" s="735" t="n"/>
      <c r="B141" s="47" t="n"/>
      <c r="C141" s="44" t="n"/>
      <c r="D141" s="44" t="n"/>
      <c r="E141" s="50" t="inlineStr">
        <is>
          <t>INCOME</t>
        </is>
      </c>
      <c r="F141" s="50" t="inlineStr">
        <is>
          <t>INCOME</t>
        </is>
      </c>
      <c r="G141" s="50" t="inlineStr">
        <is>
          <t>EXPENSES</t>
        </is>
      </c>
      <c r="H141" s="44" t="n"/>
      <c r="I141" s="50" t="inlineStr">
        <is>
          <t>INCOME</t>
        </is>
      </c>
      <c r="J141" s="50" t="inlineStr">
        <is>
          <t>EXPENSES</t>
        </is>
      </c>
      <c r="K141" s="51" t="n"/>
      <c r="L141" s="44" t="n"/>
      <c r="M141" s="735" t="n"/>
      <c r="N141" s="735" t="n"/>
      <c r="O141" s="735" t="n"/>
      <c r="P141" s="735" t="n"/>
      <c r="Q141" s="735" t="n"/>
      <c r="R141" s="735" t="n"/>
      <c r="S141" s="735" t="n"/>
      <c r="T141" s="735" t="n"/>
      <c r="U141" s="735" t="n"/>
    </row>
    <row r="142" ht="15" customFormat="1" customHeight="1" s="26">
      <c r="A142" s="735" t="n"/>
      <c r="B142" s="52" t="inlineStr">
        <is>
          <t>TRENDING ANALYSIS</t>
        </is>
      </c>
      <c r="C142" s="44" t="n"/>
      <c r="D142" s="44" t="n"/>
      <c r="E142" s="44" t="n"/>
      <c r="F142" s="44" t="n"/>
      <c r="G142" s="45" t="n"/>
      <c r="H142" s="44" t="n"/>
      <c r="I142" s="44" t="n"/>
      <c r="J142" s="45" t="n"/>
      <c r="K142" s="45" t="n"/>
      <c r="L142" s="44" t="n"/>
      <c r="M142" s="735" t="n"/>
      <c r="N142" s="735" t="n"/>
      <c r="O142" s="735" t="n"/>
      <c r="P142" s="735" t="n"/>
      <c r="Q142" s="735" t="n"/>
      <c r="R142" s="735" t="n"/>
      <c r="S142" s="735" t="n"/>
      <c r="T142" s="735" t="n"/>
      <c r="U142" s="735" t="n"/>
    </row>
    <row r="143" ht="15" customFormat="1" customHeight="1" s="26">
      <c r="A143" s="735" t="n"/>
      <c r="B143" s="47" t="inlineStr">
        <is>
          <t>TO CONSTRUCTION START</t>
        </is>
      </c>
      <c r="C143" s="44" t="n"/>
      <c r="D143" s="735" t="n"/>
      <c r="E143" s="1158" t="n"/>
      <c r="F143" s="1158" t="n"/>
      <c r="G143" s="1158" t="n"/>
      <c r="H143" s="44" t="n"/>
      <c r="I143" s="1158" t="n"/>
      <c r="J143" s="1158" t="n"/>
      <c r="K143" s="1159" t="n"/>
      <c r="L143" s="44" t="n"/>
      <c r="M143" s="1159" t="n"/>
      <c r="N143" s="1159" t="n"/>
      <c r="O143" s="735" t="n"/>
      <c r="P143" s="735" t="n"/>
      <c r="Q143" s="735" t="n"/>
      <c r="R143" s="735" t="n"/>
      <c r="S143" s="735" t="n"/>
      <c r="T143" s="735" t="n"/>
      <c r="U143" s="735" t="n"/>
    </row>
    <row r="144" ht="15" customFormat="1" customHeight="1" s="26">
      <c r="A144" s="735" t="n"/>
      <c r="B144" s="47" t="inlineStr">
        <is>
          <t>YEAR ONE (1)</t>
        </is>
      </c>
      <c r="C144" s="44" t="n"/>
      <c r="D144" s="735" t="n"/>
      <c r="E144" s="1158" t="n"/>
      <c r="F144" s="1158" t="n"/>
      <c r="G144" s="1158" t="n"/>
      <c r="H144" s="44" t="n"/>
      <c r="I144" s="1158" t="n"/>
      <c r="J144" s="1158" t="n"/>
      <c r="K144" s="1159" t="n"/>
      <c r="L144" s="44" t="n"/>
      <c r="M144" s="1159" t="n"/>
      <c r="N144" s="1159" t="n"/>
      <c r="O144" s="735" t="n"/>
      <c r="P144" s="735" t="n"/>
      <c r="Q144" s="735" t="n"/>
      <c r="R144" s="735" t="n"/>
      <c r="S144" s="735" t="n"/>
      <c r="T144" s="735" t="n"/>
      <c r="U144" s="735" t="n"/>
    </row>
    <row r="145" ht="15" customFormat="1" customHeight="1" s="26">
      <c r="B145" s="47" t="inlineStr">
        <is>
          <t>YEAR TWO (2)</t>
        </is>
      </c>
      <c r="C145" s="44" t="n"/>
      <c r="D145" s="735" t="n"/>
      <c r="E145" s="1158" t="n"/>
      <c r="F145" s="1158" t="n"/>
      <c r="G145" s="1158" t="n"/>
      <c r="H145" s="44" t="n"/>
      <c r="I145" s="1158" t="n"/>
      <c r="J145" s="1158" t="n"/>
      <c r="K145" s="1159" t="n"/>
      <c r="L145" s="44" t="n"/>
      <c r="M145" s="1159" t="n"/>
      <c r="N145" s="1159" t="n"/>
      <c r="O145" s="735" t="n"/>
      <c r="P145" s="735" t="n"/>
      <c r="Q145" s="735" t="n"/>
    </row>
    <row r="146" ht="15" customFormat="1" customHeight="1" s="26">
      <c r="B146" s="47" t="inlineStr">
        <is>
          <t>YEAR THREE (3)</t>
        </is>
      </c>
      <c r="C146" s="44" t="n"/>
      <c r="D146" s="735" t="n"/>
      <c r="E146" s="1158" t="n"/>
      <c r="F146" s="1158" t="n"/>
      <c r="G146" s="1158" t="n"/>
      <c r="H146" s="44" t="n"/>
      <c r="I146" s="1158" t="n"/>
      <c r="J146" s="1158" t="n"/>
      <c r="K146" s="1159" t="n"/>
      <c r="L146" s="44" t="n"/>
      <c r="M146" s="1159" t="n"/>
      <c r="N146" s="1159" t="n"/>
      <c r="O146" s="735" t="n"/>
      <c r="P146" s="735" t="n"/>
      <c r="Q146" s="735" t="n"/>
    </row>
    <row r="147" ht="15" customFormat="1" customHeight="1" s="26">
      <c r="B147" s="47" t="n"/>
      <c r="C147" s="44" t="n"/>
      <c r="D147" s="735" t="n"/>
      <c r="E147" s="1159" t="n"/>
      <c r="F147" s="1159" t="n"/>
      <c r="G147" s="1159" t="n"/>
      <c r="H147" s="44" t="n"/>
      <c r="I147" s="46" t="n"/>
      <c r="J147" s="44" t="n"/>
      <c r="K147" s="735" t="n"/>
      <c r="L147" s="44" t="n"/>
      <c r="M147" s="735" t="n"/>
      <c r="N147" s="735" t="n"/>
      <c r="O147" s="735" t="n"/>
      <c r="P147" s="735" t="n"/>
      <c r="Q147" s="735" t="n"/>
    </row>
    <row r="148" ht="15" customFormat="1" customHeight="1" s="26">
      <c r="B148" s="44" t="n"/>
      <c r="C148" s="44" t="n"/>
      <c r="D148" s="44" t="n"/>
      <c r="E148" s="735" t="n"/>
      <c r="F148" s="735" t="n"/>
      <c r="G148" s="735" t="n"/>
      <c r="H148" s="735" t="n"/>
      <c r="I148" s="735" t="n"/>
      <c r="J148" s="735" t="n"/>
      <c r="K148" s="735" t="n"/>
      <c r="L148" s="735" t="n"/>
      <c r="M148" s="735" t="n"/>
      <c r="N148" s="735" t="n"/>
      <c r="O148" s="735" t="n"/>
      <c r="P148" s="735" t="n"/>
      <c r="Q148" s="735" t="n"/>
    </row>
    <row r="149" ht="15" customFormat="1" customHeight="1" s="26">
      <c r="B149" s="735" t="n"/>
      <c r="C149" s="44" t="n"/>
      <c r="D149" s="55" t="n"/>
      <c r="E149" s="1157" t="inlineStr">
        <is>
          <t>TODAY</t>
        </is>
      </c>
      <c r="F149" s="364" t="n"/>
      <c r="G149" s="362" t="n"/>
      <c r="H149" s="48" t="n"/>
      <c r="I149" s="1160" t="inlineStr">
        <is>
          <t>AT CLOSE</t>
        </is>
      </c>
      <c r="J149" s="364" t="n"/>
      <c r="K149" s="362" t="n"/>
      <c r="L149" s="48" t="n"/>
      <c r="M149" s="993" t="inlineStr">
        <is>
          <t>YEAR THREE (3)</t>
        </is>
      </c>
      <c r="N149" s="364" t="n"/>
      <c r="O149" s="364" t="n"/>
      <c r="P149" s="735" t="n"/>
      <c r="Q149" s="735" t="n"/>
    </row>
    <row r="150" ht="15" customFormat="1" customHeight="1" s="26">
      <c r="B150" s="52" t="inlineStr">
        <is>
          <t>DESCRIPTION</t>
        </is>
      </c>
      <c r="C150" s="44" t="n"/>
      <c r="D150" s="55" t="n"/>
      <c r="E150" s="56" t="inlineStr">
        <is>
          <t>UN-TRENDED</t>
        </is>
      </c>
      <c r="F150" s="57" t="inlineStr">
        <is>
          <t>/ UNIT</t>
        </is>
      </c>
      <c r="G150" s="50" t="inlineStr">
        <is>
          <t>/ AC'D SF</t>
        </is>
      </c>
      <c r="H150" s="48" t="n"/>
      <c r="I150" s="56" t="inlineStr">
        <is>
          <t>AT CLOSE</t>
        </is>
      </c>
      <c r="J150" s="57" t="inlineStr">
        <is>
          <t>/ UNIT</t>
        </is>
      </c>
      <c r="K150" s="50" t="inlineStr">
        <is>
          <t>PER AC'D SF</t>
        </is>
      </c>
      <c r="L150" s="48" t="n"/>
      <c r="M150" s="56" t="inlineStr">
        <is>
          <t>TRENDED</t>
        </is>
      </c>
      <c r="N150" s="57" t="inlineStr">
        <is>
          <t>/ UNIT</t>
        </is>
      </c>
      <c r="O150" s="50" t="inlineStr">
        <is>
          <t>/ AC'D SF</t>
        </is>
      </c>
      <c r="P150" s="48" t="n"/>
      <c r="Q150" s="735" t="n"/>
    </row>
    <row r="151" ht="15" customFormat="1" customHeight="1" s="26">
      <c r="B151" s="52" t="n"/>
      <c r="C151" s="44" t="n"/>
      <c r="D151" s="55" t="n"/>
      <c r="E151" s="58" t="n"/>
      <c r="F151" s="59" t="n"/>
      <c r="G151" s="51" t="n"/>
      <c r="H151" s="48" t="n"/>
      <c r="I151" s="58" t="n"/>
      <c r="J151" s="59" t="n"/>
      <c r="K151" s="51" t="n"/>
      <c r="L151" s="48" t="n"/>
      <c r="M151" s="58" t="n"/>
      <c r="N151" s="51" t="n"/>
      <c r="O151" s="51" t="n"/>
      <c r="P151" s="51" t="n"/>
      <c r="Q151" s="735" t="n"/>
    </row>
    <row r="152" ht="15" customFormat="1" customHeight="1" s="26">
      <c r="B152" s="52" t="inlineStr">
        <is>
          <t>RESIDENTIAL</t>
        </is>
      </c>
      <c r="C152" s="44" t="n"/>
      <c r="D152" s="55" t="n"/>
      <c r="E152" s="58" t="n"/>
      <c r="F152" s="59" t="n"/>
      <c r="G152" s="51" t="n"/>
      <c r="H152" s="48" t="n"/>
      <c r="I152" s="58" t="n"/>
      <c r="J152" s="59" t="n"/>
      <c r="K152" s="51" t="n"/>
      <c r="L152" s="48" t="n"/>
      <c r="M152" s="58" t="n"/>
      <c r="N152" s="51" t="n"/>
      <c r="O152" s="51" t="n"/>
      <c r="P152" s="51" t="n"/>
      <c r="Q152" s="735" t="n"/>
    </row>
    <row r="153" ht="15" customFormat="1" customHeight="1" s="26">
      <c r="B153" s="44" t="inlineStr">
        <is>
          <t>RENTAL INCOME</t>
        </is>
      </c>
      <c r="C153" s="44" t="n"/>
      <c r="D153" s="44" t="n"/>
      <c r="E153" s="1161">
        <f>G95</f>
        <v/>
      </c>
      <c r="F153" s="1161">
        <f>IF(ISERROR(+E153/$F$28),"",(+E153/$F$28))</f>
        <v/>
      </c>
      <c r="G153" s="427">
        <f>IF(ISERROR(+F153/$D$28),"",(+F153/$D$28))</f>
        <v/>
      </c>
      <c r="H153" s="44" t="n"/>
      <c r="I153" s="1161">
        <f>IF(ISERROR(+E153*(1+$E$143)^($M$138/12)),"",(+E153*(1+$E$143)^($M$138/12)))</f>
        <v/>
      </c>
      <c r="J153" s="139">
        <f>IF(ISERROR(+I153/$F$28),"",(+I153/$F$28))</f>
        <v/>
      </c>
      <c r="K153" s="427">
        <f>IF(ISERROR(+J153/$D$28),"",(+J153/$D$28))</f>
        <v/>
      </c>
      <c r="L153" s="44" t="n"/>
      <c r="M153" s="1161">
        <f>IF(ISERROR(+I153*(1+$E$144)*(1+$E$145)*(1+$E$146)),"", (+I153*(1+$E$144)*(1+$E$145)*(1+$E$146)))</f>
        <v/>
      </c>
      <c r="N153" s="140">
        <f>IF(ISERROR(+M153/$F$28),"",(+M153/$F$28))</f>
        <v/>
      </c>
      <c r="O153" s="427">
        <f>IF(ISERROR(+N153/$D$28),"",(+N153/$D$28))</f>
        <v/>
      </c>
      <c r="P153" s="51" t="n"/>
      <c r="Q153" s="748" t="n"/>
    </row>
    <row r="154" ht="15" customFormat="1" customHeight="1" s="26">
      <c r="B154" s="44" t="inlineStr">
        <is>
          <t>OTHER INCOME</t>
        </is>
      </c>
      <c r="C154" s="44" t="n"/>
      <c r="D154" s="44" t="n"/>
      <c r="E154" s="1162" t="n"/>
      <c r="F154" s="1044" t="n"/>
      <c r="G154" s="1044" t="n"/>
      <c r="H154" s="44" t="n"/>
      <c r="I154" s="1162" t="n"/>
      <c r="J154" s="1044" t="n"/>
      <c r="K154" s="1044" t="n"/>
      <c r="L154" s="44" t="n"/>
      <c r="M154" s="1162" t="n"/>
      <c r="N154" s="1044" t="n"/>
      <c r="O154" s="1044" t="n"/>
      <c r="P154" s="51" t="n"/>
      <c r="Q154" s="735" t="n"/>
    </row>
    <row r="155" ht="15" customFormat="1" customHeight="1" s="26">
      <c r="B155" s="44" t="n"/>
      <c r="C155" s="44">
        <f>C97</f>
        <v/>
      </c>
      <c r="D155" s="44" t="n"/>
      <c r="E155" s="1162">
        <f>G97</f>
        <v/>
      </c>
      <c r="F155" s="1044">
        <f>IF(ISERROR(+E155/$F$28),"",(+E155/$F$28))</f>
        <v/>
      </c>
      <c r="G155" s="134">
        <f>IF(ISERROR(+F155/$D$28),"",(+F155/$D$28))</f>
        <v/>
      </c>
      <c r="H155" s="44" t="n"/>
      <c r="I155" s="1162">
        <f>+E155*(1+$F$143)^($M$138/12)</f>
        <v/>
      </c>
      <c r="J155" s="1162">
        <f>IF(ISERROR(+I155/$F$28),"",(+I155/$F$28))</f>
        <v/>
      </c>
      <c r="K155" s="142">
        <f>IF(ISERROR(+J155/$D$28),"",(+J155/$D$28))</f>
        <v/>
      </c>
      <c r="L155" s="44" t="n"/>
      <c r="M155" s="1162">
        <f>+I155*(1+$G$144)*(1+$G$145)*(1+$G$146)</f>
        <v/>
      </c>
      <c r="N155" s="143">
        <f>IF(ISERROR(+M155/$F$28),"",(+M155/$F$28))</f>
        <v/>
      </c>
      <c r="O155" s="142">
        <f>IF(ISERROR(+N155/$D$28),"",(+N155/$D$28))</f>
        <v/>
      </c>
      <c r="P155" s="28" t="n"/>
      <c r="Q155" s="735" t="n"/>
    </row>
    <row r="156" ht="15" customFormat="1" customHeight="1" s="26">
      <c r="B156" s="44" t="n"/>
      <c r="C156" s="44">
        <f>C98</f>
        <v/>
      </c>
      <c r="D156" s="44" t="n"/>
      <c r="E156" s="1162">
        <f>G98</f>
        <v/>
      </c>
      <c r="F156" s="1044">
        <f>IF(ISERROR(+E156/$F$28),"",(+E156/$F$28))</f>
        <v/>
      </c>
      <c r="G156" s="134">
        <f>IF(ISERROR(+F156/$D$28),"",(+F156/$D$28))</f>
        <v/>
      </c>
      <c r="H156" s="44" t="n"/>
      <c r="I156" s="1162">
        <f>+E156*(1+$F$143)^($M$138/12)</f>
        <v/>
      </c>
      <c r="J156" s="1162">
        <f>IF(ISERROR(+I156/$F$28),"",(+I156/$F$28))</f>
        <v/>
      </c>
      <c r="K156" s="142">
        <f>IF(ISERROR(+J156/$D$28),"",(+J156/$D$28))</f>
        <v/>
      </c>
      <c r="L156" s="44" t="n"/>
      <c r="M156" s="1162">
        <f>+I156*(1+$F$144)*(1+$F$145)*(1+$F$146)</f>
        <v/>
      </c>
      <c r="N156" s="143">
        <f>IF(ISERROR(+M156/$F$28),"",(+M156/$F$28))</f>
        <v/>
      </c>
      <c r="O156" s="142">
        <f>IF(ISERROR(+N156/$D$28),"",(+N156/$D$28))</f>
        <v/>
      </c>
      <c r="P156" s="1163" t="n"/>
      <c r="Q156" s="735" t="n"/>
    </row>
    <row r="157" ht="15" customFormat="1" customHeight="1" s="26">
      <c r="B157" s="44" t="n"/>
      <c r="C157" s="44">
        <f>C99</f>
        <v/>
      </c>
      <c r="D157" s="44" t="n"/>
      <c r="E157" s="1162">
        <f>G99</f>
        <v/>
      </c>
      <c r="F157" s="1044">
        <f>IF(ISERROR(+E157/$F$28),"",(+E157/$F$28))</f>
        <v/>
      </c>
      <c r="G157" s="134">
        <f>IF(ISERROR(+F157/$D$28),"",(+F157/$D$28))</f>
        <v/>
      </c>
      <c r="H157" s="44" t="n"/>
      <c r="I157" s="1162">
        <f>+E157*(1+$F$143)^($M$138/12)</f>
        <v/>
      </c>
      <c r="J157" s="1162">
        <f>IF(ISERROR(+I157/$F$28),"",(+I157/$F$28))</f>
        <v/>
      </c>
      <c r="K157" s="142">
        <f>IF(ISERROR(+J157/$D$28),"",(+J157/$D$28))</f>
        <v/>
      </c>
      <c r="L157" s="44" t="n"/>
      <c r="M157" s="1162">
        <f>+I157*(1+$F$144)*(1+$F$145)*(1+$F$146)</f>
        <v/>
      </c>
      <c r="N157" s="143">
        <f>IF(ISERROR(+M157/$F$28),"",(+M157/$F$28))</f>
        <v/>
      </c>
      <c r="O157" s="142">
        <f>IF(ISERROR(+N157/$D$28),"",(+N157/$D$28))</f>
        <v/>
      </c>
      <c r="P157" s="28" t="n"/>
      <c r="Q157" s="735" t="n"/>
    </row>
    <row r="158" ht="15" customFormat="1" customHeight="1" s="26">
      <c r="B158" s="44" t="n"/>
      <c r="C158" s="44">
        <f>C100</f>
        <v/>
      </c>
      <c r="D158" s="44" t="n"/>
      <c r="E158" s="1162">
        <f>G100</f>
        <v/>
      </c>
      <c r="F158" s="1044">
        <f>IF(ISERROR(+E158/$F$28),"",(+E158/$F$28))</f>
        <v/>
      </c>
      <c r="G158" s="134">
        <f>IF(ISERROR(+F158/$D$28),"",(+F158/$D$28))</f>
        <v/>
      </c>
      <c r="H158" s="44" t="n"/>
      <c r="I158" s="1162">
        <f>+E158*(1+$F$143)^($M$138/12)</f>
        <v/>
      </c>
      <c r="J158" s="1162">
        <f>IF(ISERROR(+I158/$F$28),"",(+I158/$F$28))</f>
        <v/>
      </c>
      <c r="K158" s="142">
        <f>IF(ISERROR(+J158/$D$28),"",(+J158/$D$28))</f>
        <v/>
      </c>
      <c r="L158" s="44" t="n"/>
      <c r="M158" s="1162">
        <f>+I158*(1+$F$144)*(1+$F$145)*(1+$F$146)</f>
        <v/>
      </c>
      <c r="N158" s="143">
        <f>IF(ISERROR(+M158/$F$28),"",(+M158/$F$28))</f>
        <v/>
      </c>
      <c r="O158" s="142">
        <f>IF(ISERROR(+N158/$D$28),"",(+N158/$D$28))</f>
        <v/>
      </c>
      <c r="P158" s="28" t="n"/>
      <c r="Q158" s="735" t="n"/>
    </row>
    <row r="159" ht="15" customFormat="1" customHeight="1" s="26">
      <c r="B159" s="44" t="n"/>
      <c r="C159" s="44">
        <f>C101</f>
        <v/>
      </c>
      <c r="D159" s="1164" t="n"/>
      <c r="E159" s="1165">
        <f>G101</f>
        <v/>
      </c>
      <c r="F159" s="1046">
        <f>IF(ISERROR(+E159/$F$28),"",(+E159/$F$28))</f>
        <v/>
      </c>
      <c r="G159" s="428">
        <f>IF(ISERROR(+F159/$D$28),"",(+F159/$D$28))</f>
        <v/>
      </c>
      <c r="H159" s="44" t="n"/>
      <c r="I159" s="1165">
        <f>+E159*(1+$F$143)^($M$138/12)</f>
        <v/>
      </c>
      <c r="J159" s="1165">
        <f>IF(ISERROR(+I159/$F$28),"",(+I159/$F$28))</f>
        <v/>
      </c>
      <c r="K159" s="146">
        <f>IF(ISERROR(+J159/$D$28),"",(+J159/$D$28))</f>
        <v/>
      </c>
      <c r="L159" s="44" t="n"/>
      <c r="M159" s="1165">
        <f>+I159*(1+$G$144)*(1+$G$145)*(1+$G$146)</f>
        <v/>
      </c>
      <c r="N159" s="147">
        <f>IF(ISERROR(+M159/$F$28),"",(+M159/$F$28))</f>
        <v/>
      </c>
      <c r="O159" s="146">
        <f>IF(ISERROR(+N159/$D$28),"",(+N159/$D$28))</f>
        <v/>
      </c>
      <c r="P159" s="28" t="n"/>
      <c r="Q159" s="735" t="n"/>
    </row>
    <row r="160" ht="16" customFormat="1" customHeight="1" s="26" thickBot="1">
      <c r="B160" s="7" t="inlineStr">
        <is>
          <t>GROSS POTENTIAL INCOME (GPI)</t>
        </is>
      </c>
      <c r="C160" s="7" t="n"/>
      <c r="D160" s="62" t="n"/>
      <c r="E160" s="1166">
        <f>SUM(E153:E159)</f>
        <v/>
      </c>
      <c r="F160" s="1166">
        <f>+SUM(F153:F159)</f>
        <v/>
      </c>
      <c r="G160" s="253">
        <f>+SUM(G153:G159)</f>
        <v/>
      </c>
      <c r="H160" s="44" t="n"/>
      <c r="I160" s="1166">
        <f>SUM(I153:I159)</f>
        <v/>
      </c>
      <c r="J160" s="1166">
        <f>+SUM(J153:J159)</f>
        <v/>
      </c>
      <c r="K160" s="150">
        <f>+SUM(K153:K159)</f>
        <v/>
      </c>
      <c r="L160" s="44" t="n"/>
      <c r="M160" s="1166">
        <f>SUM(M153:M159)</f>
        <v/>
      </c>
      <c r="N160" s="1166">
        <f>+SUM(N153:N159)</f>
        <v/>
      </c>
      <c r="O160" s="150">
        <f>+SUM(O153:O159)</f>
        <v/>
      </c>
      <c r="P160" s="28" t="n"/>
      <c r="Q160" s="735" t="n"/>
    </row>
    <row r="161" ht="16" customFormat="1" customHeight="1" s="26" thickTop="1">
      <c r="B161" s="157" t="inlineStr">
        <is>
          <t>VACANCY</t>
        </is>
      </c>
      <c r="C161" s="44" t="n"/>
      <c r="D161" s="1167">
        <f>H104</f>
        <v/>
      </c>
      <c r="E161" s="1168">
        <f>$D161*E160</f>
        <v/>
      </c>
      <c r="F161" s="152">
        <f>IF(ISERROR(+E161/$F$28),"",(+E161/$F$28))</f>
        <v/>
      </c>
      <c r="G161" s="152">
        <f>IF(ISERROR(+F161/$D$28),"",(+F161/$D$28))</f>
        <v/>
      </c>
      <c r="H161" s="44" t="n"/>
      <c r="I161" s="1168">
        <f>$D161*I160</f>
        <v/>
      </c>
      <c r="J161" s="152">
        <f>IF(ISERROR(+I161/$F$28),"",(+I161/$F$28))</f>
        <v/>
      </c>
      <c r="K161" s="152">
        <f>IF(ISERROR(+J161/$D$28),"",(+J161/$D$28))</f>
        <v/>
      </c>
      <c r="L161" s="44" t="n"/>
      <c r="M161" s="1168">
        <f>$D161*M160</f>
        <v/>
      </c>
      <c r="N161" s="152">
        <f>IF(ISERROR(+M161/$F$28),"",(+M161/$F$28))</f>
        <v/>
      </c>
      <c r="O161" s="152">
        <f>IF(ISERROR(+N161/$D$28),"",(+N161/$D$28))</f>
        <v/>
      </c>
      <c r="P161" s="28" t="n"/>
    </row>
    <row r="162" ht="15" customFormat="1" customHeight="1" s="26">
      <c r="B162" s="157" t="inlineStr">
        <is>
          <t>NON-REVENUE UNITS &amp; BAD DEBT</t>
        </is>
      </c>
      <c r="C162" s="44" t="n"/>
      <c r="D162" s="1167">
        <f>H105</f>
        <v/>
      </c>
      <c r="E162" s="1165">
        <f>$D162*E160</f>
        <v/>
      </c>
      <c r="F162" s="146">
        <f>IF(ISERROR(+E162/$F$28),"",(+E162/$F$28))</f>
        <v/>
      </c>
      <c r="G162" s="146">
        <f>IF(ISERROR(+F162/$D$28),"",(+F162/$D$28))</f>
        <v/>
      </c>
      <c r="H162" s="44" t="n"/>
      <c r="I162" s="1165">
        <f>$D162*I160</f>
        <v/>
      </c>
      <c r="J162" s="146">
        <f>IF(ISERROR(+I162/$F$28),"",(+I162/$F$28))</f>
        <v/>
      </c>
      <c r="K162" s="146">
        <f>IF(ISERROR(+J162/$D$28),"",(+J162/$D$28))</f>
        <v/>
      </c>
      <c r="L162" s="44" t="n"/>
      <c r="M162" s="1165">
        <f>$D162*M160</f>
        <v/>
      </c>
      <c r="N162" s="146">
        <f>IF(ISERROR(+M162/$F$28),"",(+M162/$F$28))</f>
        <v/>
      </c>
      <c r="O162" s="146">
        <f>IF(ISERROR(+N162/$D$28),"",(+N162/$D$28))</f>
        <v/>
      </c>
      <c r="P162" s="64" t="n"/>
    </row>
    <row r="163" ht="15" customFormat="1" customHeight="1" s="26">
      <c r="B163" s="44" t="inlineStr">
        <is>
          <t>EFFECTIVE GROSS INCOME</t>
        </is>
      </c>
      <c r="C163" s="44" t="n"/>
      <c r="D163" s="66" t="n"/>
      <c r="E163" s="1169">
        <f>+SUM(E160:E162)</f>
        <v/>
      </c>
      <c r="F163" s="1169">
        <f>+SUM(F160:F162)</f>
        <v/>
      </c>
      <c r="G163" s="154">
        <f>+SUM(G160:G162)</f>
        <v/>
      </c>
      <c r="H163" s="44" t="n"/>
      <c r="I163" s="1169">
        <f>+SUM(I160:I162)</f>
        <v/>
      </c>
      <c r="J163" s="1169">
        <f>+SUM(J160:J162)</f>
        <v/>
      </c>
      <c r="K163" s="154">
        <f>+SUM(K160:K162)</f>
        <v/>
      </c>
      <c r="L163" s="44" t="n"/>
      <c r="M163" s="1169">
        <f>+SUM(M160:M162)</f>
        <v/>
      </c>
      <c r="N163" s="1169">
        <f>+SUM(N160:N162)</f>
        <v/>
      </c>
      <c r="O163" s="154">
        <f>+SUM(O160:O162)</f>
        <v/>
      </c>
      <c r="P163" s="28" t="n"/>
    </row>
    <row r="164" ht="15" customFormat="1" customHeight="1" s="26">
      <c r="B164" s="44" t="inlineStr">
        <is>
          <t>OPERATING EXPENSES</t>
        </is>
      </c>
      <c r="C164" s="44" t="n"/>
      <c r="D164" s="190" t="n"/>
      <c r="E164" s="1165">
        <f>-G123</f>
        <v/>
      </c>
      <c r="F164" s="1165">
        <f>IF(ISERROR(+E164/$F$28),"",(+E164/$F$28))</f>
        <v/>
      </c>
      <c r="G164" s="146">
        <f>IF(ISERROR(+F164/$D$28),"",(+F164/$D$28))</f>
        <v/>
      </c>
      <c r="H164" s="44" t="n"/>
      <c r="I164" s="1165">
        <f>-I214</f>
        <v/>
      </c>
      <c r="J164" s="1165">
        <f>-J214</f>
        <v/>
      </c>
      <c r="K164" s="146">
        <f>IF(ISERROR(+J164/$D$28),"",(+J164/$D$28))</f>
        <v/>
      </c>
      <c r="L164" s="44" t="n"/>
      <c r="M164" s="1165">
        <f>-M214</f>
        <v/>
      </c>
      <c r="N164" s="1165">
        <f>IF(ISERROR(+M164/$F$28),"",(+M164/$F$28))</f>
        <v/>
      </c>
      <c r="O164" s="1165">
        <f>IF(ISERROR(+N164/$D$28),"",(+N164/$D$28))</f>
        <v/>
      </c>
      <c r="P164" s="28" t="n"/>
    </row>
    <row r="165" ht="15" customFormat="1" customHeight="1" s="26">
      <c r="B165" s="44" t="n"/>
      <c r="C165" s="7" t="inlineStr">
        <is>
          <t>RESIDENTIAL NOI</t>
        </is>
      </c>
      <c r="D165" s="66" t="n"/>
      <c r="E165" s="1170">
        <f>+SUM(E163:E164)</f>
        <v/>
      </c>
      <c r="F165" s="1170">
        <f>+SUM(F163:F164)</f>
        <v/>
      </c>
      <c r="G165" s="67">
        <f>+SUM(G163:G164)</f>
        <v/>
      </c>
      <c r="H165" s="44" t="n"/>
      <c r="I165" s="1170">
        <f>+SUM(I163:I164)</f>
        <v/>
      </c>
      <c r="J165" s="1170">
        <f>+SUM(J163:J164)</f>
        <v/>
      </c>
      <c r="K165" s="67">
        <f>+SUM(K163:K164)</f>
        <v/>
      </c>
      <c r="L165" s="44" t="n"/>
      <c r="M165" s="1170">
        <f>+SUM(M163:M164)</f>
        <v/>
      </c>
      <c r="N165" s="1170">
        <f>+SUM(N163:N164)</f>
        <v/>
      </c>
      <c r="O165" s="67">
        <f>+SUM(O163:O164)</f>
        <v/>
      </c>
      <c r="P165" s="67" t="n"/>
    </row>
    <row r="166" ht="15" customFormat="1" customHeight="1" s="26">
      <c r="B166" s="44" t="n"/>
      <c r="C166" s="7" t="n"/>
      <c r="D166" s="66" t="n"/>
      <c r="E166" s="1170" t="n"/>
      <c r="F166" s="1170" t="n"/>
      <c r="G166" s="67" t="n"/>
      <c r="H166" s="44" t="n"/>
      <c r="I166" s="1170" t="n"/>
      <c r="J166" s="1170" t="n"/>
      <c r="K166" s="67" t="n"/>
      <c r="L166" s="44" t="n"/>
      <c r="M166" s="1170" t="n"/>
      <c r="N166" s="1170" t="n"/>
      <c r="O166" s="67" t="n"/>
      <c r="P166" s="28" t="n"/>
    </row>
    <row r="167" ht="15" customFormat="1" customHeight="1" s="26">
      <c r="B167" s="44" t="n"/>
      <c r="C167" s="7" t="n"/>
      <c r="D167" s="66" t="n"/>
      <c r="E167" s="1170" t="n"/>
      <c r="F167" s="1170" t="n"/>
      <c r="G167" s="67" t="n"/>
      <c r="H167" s="44" t="n"/>
      <c r="I167" s="1170" t="n"/>
      <c r="J167" s="1170" t="n"/>
      <c r="K167" s="67" t="n"/>
      <c r="L167" s="44" t="n"/>
      <c r="M167" s="1170" t="n"/>
      <c r="N167" s="1170" t="n"/>
      <c r="O167" s="67" t="n"/>
      <c r="P167" s="67" t="n"/>
    </row>
    <row r="168" ht="15" customFormat="1" customHeight="1" s="26">
      <c r="B168" s="52" t="inlineStr">
        <is>
          <t>RETAIL</t>
        </is>
      </c>
      <c r="C168" s="7" t="n"/>
      <c r="D168" s="66" t="n"/>
      <c r="E168" s="1170" t="n"/>
      <c r="F168" s="1170" t="n"/>
      <c r="G168" s="67" t="n"/>
      <c r="H168" s="44" t="n"/>
      <c r="I168" s="1170" t="n"/>
      <c r="J168" s="1170" t="n"/>
      <c r="K168" s="67" t="n"/>
      <c r="L168" s="44" t="n"/>
      <c r="M168" s="1170" t="n"/>
      <c r="N168" s="1170" t="n"/>
      <c r="O168" s="67" t="n"/>
      <c r="P168" s="67" t="n"/>
    </row>
    <row r="169" ht="15" customFormat="1" customHeight="1" s="26">
      <c r="B169" s="44" t="inlineStr">
        <is>
          <t>RENTAL INCOME</t>
        </is>
      </c>
      <c r="C169" s="7" t="n"/>
      <c r="D169" s="66" t="n"/>
      <c r="E169" s="1161">
        <f>K95</f>
        <v/>
      </c>
      <c r="F169" s="756" t="n"/>
      <c r="G169" s="139">
        <f>IF(ISERROR(+E169/$J$90),"",(+E169/$J$90))</f>
        <v/>
      </c>
      <c r="H169" s="44" t="n"/>
      <c r="I169" s="1161">
        <f>+E169*(1+$I$143)^($M$138/12)</f>
        <v/>
      </c>
      <c r="J169" s="1171" t="n"/>
      <c r="K169" s="139">
        <f>IF(ISERROR(+I169/$J$90),"",(+I169/$J$90))</f>
        <v/>
      </c>
      <c r="L169" s="44" t="n"/>
      <c r="M169" s="1161">
        <f>+I169*(1+$I$144)*(1+$I$145)*(1+$I$146)</f>
        <v/>
      </c>
      <c r="N169" s="1171" t="n"/>
      <c r="O169" s="139">
        <f>IF(ISERROR(+M169/$J$90),"",(+M169/$J$90))</f>
        <v/>
      </c>
      <c r="P169" s="67" t="n"/>
    </row>
    <row r="170" ht="15" customFormat="1" customHeight="1" s="26">
      <c r="B170" s="44" t="inlineStr">
        <is>
          <t>NNN REIMBURSEMENTS</t>
        </is>
      </c>
      <c r="C170" s="7" t="n"/>
      <c r="D170" s="66" t="n"/>
      <c r="E170" s="1165">
        <f>+K102</f>
        <v/>
      </c>
      <c r="F170" s="1172" t="n"/>
      <c r="G170" s="164">
        <f>IF(ISERROR(+E170/$J$90),"",(+E170/$J$90))</f>
        <v/>
      </c>
      <c r="H170" s="44" t="n"/>
      <c r="I170" s="1165">
        <f>+E170*(1+$J$143)^($G$21/12)</f>
        <v/>
      </c>
      <c r="J170" s="1172" t="n"/>
      <c r="K170" s="164">
        <f>IF(ISERROR(+I170/$J$90),"",(+I170/$J$90))</f>
        <v/>
      </c>
      <c r="L170" s="44" t="n"/>
      <c r="M170" s="1165">
        <f>+I170*(1+$J$144)*(1+$J$145)*(1+$J$146)</f>
        <v/>
      </c>
      <c r="N170" s="1172" t="n"/>
      <c r="O170" s="164">
        <f>IF(ISERROR(+M170/$J$90),"",(+M170/$J$90))</f>
        <v/>
      </c>
      <c r="P170" s="67" t="n"/>
    </row>
    <row r="171" ht="16" customFormat="1" customHeight="1" s="26" thickBot="1">
      <c r="B171" s="7" t="inlineStr">
        <is>
          <t>GROSS POTENTIAL INCOME (GPI)</t>
        </is>
      </c>
      <c r="C171" s="44" t="n"/>
      <c r="D171" s="66" t="n"/>
      <c r="E171" s="1173">
        <f>+SUM(E169:E170)</f>
        <v/>
      </c>
      <c r="F171" s="1173" t="n"/>
      <c r="G171" s="156">
        <f>+SUM(G169:G170)</f>
        <v/>
      </c>
      <c r="H171" s="44" t="n"/>
      <c r="I171" s="1173">
        <f>+SUM(I169:I170)</f>
        <v/>
      </c>
      <c r="J171" s="1173" t="n"/>
      <c r="K171" s="156">
        <f>+SUM(K169:K170)</f>
        <v/>
      </c>
      <c r="L171" s="44" t="n"/>
      <c r="M171" s="1173">
        <f>+SUM(M169:M170)</f>
        <v/>
      </c>
      <c r="N171" s="1173" t="n"/>
      <c r="O171" s="156">
        <f>+SUM(O169:O170)</f>
        <v/>
      </c>
      <c r="P171" s="68" t="n"/>
    </row>
    <row r="172" ht="16" customFormat="1" customHeight="1" s="26" thickTop="1">
      <c r="B172" s="157" t="inlineStr">
        <is>
          <t>VACANCY</t>
        </is>
      </c>
      <c r="C172" s="44" t="n"/>
      <c r="D172" s="1167">
        <f>E104</f>
        <v/>
      </c>
      <c r="E172" s="1168">
        <f>$D172*E171</f>
        <v/>
      </c>
      <c r="F172" s="1172" t="n"/>
      <c r="G172" s="152">
        <f>IF(ISERROR(+E172/$J$90),"",(+E172/$J$90))</f>
        <v/>
      </c>
      <c r="H172" s="44" t="n"/>
      <c r="I172" s="1168">
        <f>$D172*I171</f>
        <v/>
      </c>
      <c r="J172" s="1174" t="n"/>
      <c r="K172" s="152">
        <f>IF(ISERROR(+I172/$J$90),"",(+I172/$J$90))</f>
        <v/>
      </c>
      <c r="L172" s="44" t="n"/>
      <c r="M172" s="1168">
        <f>$D172*M171</f>
        <v/>
      </c>
      <c r="N172" s="1174" t="n"/>
      <c r="O172" s="152">
        <f>IF(ISERROR(+M172/$J$90),"",(+M172/$J$90))</f>
        <v/>
      </c>
      <c r="P172" s="68" t="n"/>
    </row>
    <row r="173" ht="15" customFormat="1" customHeight="1" s="26">
      <c r="B173" s="157" t="inlineStr">
        <is>
          <t>NON-REVENUE UNITS &amp; BAD DEBT</t>
        </is>
      </c>
      <c r="C173" s="44" t="n"/>
      <c r="D173" s="1167">
        <f>E105</f>
        <v/>
      </c>
      <c r="E173" s="1165">
        <f>$D173*E171</f>
        <v/>
      </c>
      <c r="F173" s="735" t="n"/>
      <c r="G173" s="164">
        <f>IF(ISERROR(+E173/$J$90),"",(+E173/$J$90))</f>
        <v/>
      </c>
      <c r="H173" s="44" t="n"/>
      <c r="I173" s="1165">
        <f>$D173*I171</f>
        <v/>
      </c>
      <c r="J173" s="1172" t="n"/>
      <c r="K173" s="164">
        <f>IF(ISERROR(+I173/$J$90),"",(+I173/$J$90))</f>
        <v/>
      </c>
      <c r="L173" s="44" t="n"/>
      <c r="M173" s="1165">
        <f>$D173*M171</f>
        <v/>
      </c>
      <c r="N173" s="1172" t="n"/>
      <c r="O173" s="164">
        <f>IF(ISERROR(+M173/$J$90),"",(+M173/$J$90))</f>
        <v/>
      </c>
      <c r="P173" s="67" t="n"/>
    </row>
    <row r="174" ht="15" customFormat="1" customHeight="1" s="26">
      <c r="B174" s="44" t="inlineStr">
        <is>
          <t>EFFECTIVE GROSS INCOME</t>
        </is>
      </c>
      <c r="C174" s="44" t="n"/>
      <c r="D174" s="44" t="n"/>
      <c r="E174" s="1171">
        <f>+SUM(E171:E173)</f>
        <v/>
      </c>
      <c r="F174" s="1175" t="n"/>
      <c r="G174" s="162">
        <f>+SUM(G171:G173)</f>
        <v/>
      </c>
      <c r="H174" s="44" t="n"/>
      <c r="I174" s="1171">
        <f>+SUM(I171:I173)</f>
        <v/>
      </c>
      <c r="J174" s="138" t="n"/>
      <c r="K174" s="162">
        <f>+SUM(K171:K173)</f>
        <v/>
      </c>
      <c r="L174" s="44" t="n"/>
      <c r="M174" s="1171">
        <f>+SUM(M171:M173)</f>
        <v/>
      </c>
      <c r="N174" s="138" t="n"/>
      <c r="O174" s="162">
        <f>+SUM(O171:O173)</f>
        <v/>
      </c>
      <c r="P174" s="68" t="n"/>
    </row>
    <row r="175" ht="15" customFormat="1" customHeight="1" s="26">
      <c r="B175" s="44" t="inlineStr">
        <is>
          <t>OPERATING EXPENSES</t>
        </is>
      </c>
      <c r="C175" s="44" t="n"/>
      <c r="D175" s="44" t="n"/>
      <c r="E175" s="1165">
        <f>-K123</f>
        <v/>
      </c>
      <c r="F175" s="1176" t="n"/>
      <c r="G175" s="146">
        <f>IF(ISERROR(+E175/$J$90),"",(+E175/$J$90))</f>
        <v/>
      </c>
      <c r="H175" s="44" t="n"/>
      <c r="I175" s="1165">
        <f>-I223</f>
        <v/>
      </c>
      <c r="J175" s="145" t="n"/>
      <c r="K175" s="146">
        <f>IF(ISERROR(+I175/$J$90),"",(+I175/$J$90))</f>
        <v/>
      </c>
      <c r="L175" s="44" t="n"/>
      <c r="M175" s="1165">
        <f>-M223</f>
        <v/>
      </c>
      <c r="N175" s="145" t="n"/>
      <c r="O175" s="146">
        <f>IF(ISERROR(+M175/$J$90),"",(+M175/$J$90))</f>
        <v/>
      </c>
      <c r="P175" s="68" t="n"/>
    </row>
    <row r="176" ht="15" customFormat="1" customHeight="1" s="26">
      <c r="B176" s="44" t="n"/>
      <c r="C176" s="7" t="inlineStr">
        <is>
          <t>RETAIL NOI</t>
        </is>
      </c>
      <c r="D176" s="44" t="n"/>
      <c r="E176" s="1170">
        <f>+SUM(E174:E175)</f>
        <v/>
      </c>
      <c r="F176" s="1177" t="n"/>
      <c r="G176" s="67">
        <f>+SUM(G174:G175)</f>
        <v/>
      </c>
      <c r="H176" s="44" t="n"/>
      <c r="I176" s="1170">
        <f>+SUM(I174:I175)</f>
        <v/>
      </c>
      <c r="J176" s="44" t="n"/>
      <c r="K176" s="67">
        <f>+SUM(K174:K175)</f>
        <v/>
      </c>
      <c r="L176" s="44" t="n"/>
      <c r="M176" s="1170">
        <f>+SUM(M174:M175)</f>
        <v/>
      </c>
      <c r="N176" s="44" t="n"/>
      <c r="O176" s="67">
        <f>+SUM(O174:O175)</f>
        <v/>
      </c>
      <c r="P176" s="67" t="n"/>
    </row>
    <row r="177" ht="15" customFormat="1" customHeight="1" s="26">
      <c r="A177" s="735" t="n"/>
      <c r="B177" s="44" t="n"/>
      <c r="C177" s="7" t="n"/>
      <c r="D177" s="44" t="n"/>
      <c r="E177" s="1170" t="n"/>
      <c r="F177" s="1177" t="n"/>
      <c r="G177" s="67" t="n"/>
      <c r="H177" s="44" t="n"/>
      <c r="I177" s="49" t="n"/>
      <c r="J177" s="44" t="n"/>
      <c r="K177" s="1178" t="n"/>
      <c r="L177" s="44" t="n"/>
      <c r="M177" s="44" t="n"/>
      <c r="N177" s="44" t="n"/>
      <c r="O177" s="44" t="n"/>
      <c r="P177" s="68" t="n"/>
    </row>
    <row r="178" ht="16" customFormat="1" customHeight="1" s="26" thickBot="1">
      <c r="A178" s="735" t="n"/>
      <c r="B178" s="44" t="n"/>
      <c r="C178" s="7" t="inlineStr">
        <is>
          <t>TOTAL NOI</t>
        </is>
      </c>
      <c r="D178" s="44" t="n"/>
      <c r="E178" s="1173">
        <f>+E176+E165</f>
        <v/>
      </c>
      <c r="F178" s="1177" t="n"/>
      <c r="G178" s="67" t="n"/>
      <c r="H178" s="44" t="n"/>
      <c r="I178" s="1173">
        <f>+I176+I165</f>
        <v/>
      </c>
      <c r="J178" s="44" t="n"/>
      <c r="K178" s="1178" t="n"/>
      <c r="L178" s="44" t="n"/>
      <c r="M178" s="1173">
        <f>+M176+M165</f>
        <v/>
      </c>
      <c r="N178" s="44" t="n"/>
      <c r="O178" s="44" t="n"/>
      <c r="P178" s="67" t="n"/>
    </row>
    <row r="179" ht="16" customFormat="1" customHeight="1" s="26" thickTop="1">
      <c r="A179" s="735" t="n"/>
      <c r="B179" s="44" t="n"/>
      <c r="C179" s="7" t="n"/>
      <c r="D179" s="44" t="n"/>
      <c r="E179" s="67">
        <f>E178/(197750+15000)</f>
        <v/>
      </c>
      <c r="F179" s="1177" t="n"/>
      <c r="G179" s="67" t="n"/>
      <c r="H179" s="44" t="n"/>
      <c r="I179" s="703">
        <f>I178/212750</f>
        <v/>
      </c>
      <c r="J179" s="44" t="n"/>
      <c r="K179" s="1178" t="n"/>
      <c r="L179" s="44" t="n"/>
      <c r="M179" s="44" t="n"/>
      <c r="N179" s="44" t="n"/>
      <c r="O179" s="44" t="n"/>
      <c r="P179" s="44" t="n"/>
    </row>
    <row r="180" ht="15" customFormat="1" customHeight="1" s="26">
      <c r="A180" s="735" t="n"/>
      <c r="B180" s="44" t="n"/>
      <c r="C180" s="7" t="n"/>
      <c r="D180" s="735" t="n"/>
      <c r="E180" s="735" t="n"/>
      <c r="F180" s="735" t="n"/>
      <c r="G180" s="735" t="n"/>
      <c r="H180" s="735" t="n"/>
      <c r="I180" s="735" t="n"/>
      <c r="J180" s="735" t="n"/>
      <c r="K180" s="735" t="n"/>
      <c r="L180" s="735" t="n"/>
      <c r="M180" s="735" t="n"/>
      <c r="N180" s="735" t="n"/>
      <c r="O180" s="735" t="n"/>
      <c r="P180" s="44" t="n"/>
    </row>
    <row r="181" ht="19" customHeight="1">
      <c r="A181" s="84" t="n"/>
      <c r="B181" s="85" t="inlineStr">
        <is>
          <t>YIELD AND VALUE</t>
        </is>
      </c>
      <c r="C181" s="84" t="n"/>
      <c r="D181" s="84" t="n"/>
      <c r="E181" s="84" t="n"/>
      <c r="F181" s="84" t="n"/>
      <c r="G181" s="84" t="n"/>
      <c r="H181" s="84" t="n"/>
      <c r="I181" s="84" t="n"/>
      <c r="J181" s="84" t="n"/>
      <c r="K181" s="84" t="n"/>
      <c r="L181" s="84" t="n"/>
      <c r="M181" s="84" t="n"/>
      <c r="N181" s="84" t="n"/>
      <c r="O181" s="84" t="n"/>
      <c r="P181" s="1" t="n"/>
    </row>
    <row r="182" ht="12.75" customFormat="1" customHeight="1" s="26">
      <c r="A182" s="735" t="n"/>
      <c r="B182" s="70" t="n"/>
      <c r="C182" s="705" t="n"/>
      <c r="D182" s="705" t="n"/>
      <c r="E182" s="705" t="n"/>
      <c r="F182" s="705" t="n"/>
      <c r="G182" s="705" t="n"/>
      <c r="H182" s="705" t="n"/>
      <c r="I182" s="705" t="n"/>
      <c r="J182" s="705" t="n"/>
      <c r="K182" s="847" t="n"/>
      <c r="L182" s="705" t="n"/>
      <c r="M182" s="847" t="n"/>
      <c r="N182" s="847" t="n"/>
      <c r="O182" s="847" t="n"/>
      <c r="P182" s="44" t="n"/>
    </row>
    <row r="183" ht="15" customFormat="1" customHeight="1" s="26">
      <c r="A183" s="735" t="n"/>
      <c r="B183" s="71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859" t="n"/>
      <c r="L183" s="2" t="n"/>
      <c r="M183" s="859" t="n"/>
      <c r="N183" s="859" t="n"/>
      <c r="O183" s="860" t="n"/>
      <c r="P183" s="735" t="n"/>
    </row>
    <row r="184" ht="15" customFormat="1" customHeight="1" s="26">
      <c r="A184" s="735" t="n"/>
      <c r="B184" s="72" t="n"/>
      <c r="C184" s="44" t="n"/>
      <c r="D184" s="44" t="n"/>
      <c r="E184" s="49" t="inlineStr">
        <is>
          <t>TODAY</t>
        </is>
      </c>
      <c r="F184" s="44" t="n"/>
      <c r="G184" s="735" t="n"/>
      <c r="H184" s="735" t="n"/>
      <c r="I184" s="49" t="n"/>
      <c r="J184" s="44" t="n"/>
      <c r="K184" s="735" t="n"/>
      <c r="L184" s="735" t="n"/>
      <c r="M184" s="49" t="inlineStr">
        <is>
          <t>YEAR 3</t>
        </is>
      </c>
      <c r="N184" s="735" t="n"/>
      <c r="O184" s="861" t="n"/>
      <c r="P184" s="735" t="n"/>
    </row>
    <row r="185" ht="15" customFormat="1" customHeight="1" s="26">
      <c r="A185" s="735" t="n"/>
      <c r="B185" s="861" t="n"/>
      <c r="C185" s="7" t="inlineStr">
        <is>
          <t>YIELDS ON PROJECT COST:</t>
        </is>
      </c>
      <c r="D185" s="44" t="n"/>
      <c r="E185" s="49" t="inlineStr">
        <is>
          <t>UNTRENDED</t>
        </is>
      </c>
      <c r="F185" s="44" t="n"/>
      <c r="G185" s="735" t="n"/>
      <c r="H185" s="735" t="n"/>
      <c r="I185" s="49" t="inlineStr">
        <is>
          <t>AT CLOSE</t>
        </is>
      </c>
      <c r="J185" s="49" t="n"/>
      <c r="K185" s="735" t="n"/>
      <c r="L185" s="735" t="n"/>
      <c r="M185" s="49" t="inlineStr">
        <is>
          <t>TRENDED</t>
        </is>
      </c>
      <c r="N185" s="735" t="n"/>
      <c r="O185" s="861" t="n"/>
      <c r="P185" s="735" t="n"/>
    </row>
    <row r="186" ht="16" customFormat="1" customHeight="1" s="26" thickBot="1">
      <c r="A186" s="735" t="n"/>
      <c r="B186" s="71" t="n"/>
      <c r="C186" s="44" t="inlineStr">
        <is>
          <t>(Based on Preceding Unadjusted NOI)</t>
        </is>
      </c>
      <c r="D186" s="44" t="n"/>
      <c r="E186" s="49" t="n"/>
      <c r="F186" s="44" t="n"/>
      <c r="G186" s="735" t="n"/>
      <c r="H186" s="735" t="n"/>
      <c r="I186" s="49" t="n"/>
      <c r="J186" s="49" t="n"/>
      <c r="K186" s="735" t="n"/>
      <c r="L186" s="735" t="n"/>
      <c r="M186" s="49" t="n"/>
      <c r="N186" s="735" t="n"/>
      <c r="O186" s="861" t="n"/>
      <c r="P186" s="735" t="n"/>
    </row>
    <row r="187" ht="30" customFormat="1" customHeight="1" s="26" thickBot="1">
      <c r="A187" s="735" t="n"/>
      <c r="B187" s="72" t="n"/>
      <c r="C187" s="44" t="n"/>
      <c r="D187" s="44" t="n"/>
      <c r="E187" s="1179">
        <f>IF(ISERROR(+E178/E58),"",(+E178/E58))</f>
        <v/>
      </c>
      <c r="F187" s="208" t="n"/>
      <c r="G187" s="209" t="n"/>
      <c r="H187" s="209" t="n"/>
      <c r="I187" s="1179">
        <f>IF(ISERROR(+I178/E58),"",(+I178/E58))</f>
        <v/>
      </c>
      <c r="J187" s="208" t="n"/>
      <c r="K187" s="209" t="n"/>
      <c r="L187" s="209" t="n"/>
      <c r="M187" s="1179">
        <f>IF(ISERROR(+M178/E58),"",(+M178/E58))</f>
        <v/>
      </c>
      <c r="N187" s="735" t="n"/>
      <c r="O187" s="861" t="n"/>
      <c r="P187" s="735" t="n"/>
    </row>
    <row r="188" ht="15" customFormat="1" customHeight="1" s="26">
      <c r="A188" s="735" t="n"/>
      <c r="B188" s="72" t="n"/>
      <c r="C188" s="705" t="n"/>
      <c r="D188" s="705" t="n"/>
      <c r="E188" s="705" t="n"/>
      <c r="F188" s="705" t="n"/>
      <c r="G188" s="847" t="n"/>
      <c r="H188" s="847" t="n"/>
      <c r="I188" s="705" t="n"/>
      <c r="J188" s="705" t="n"/>
      <c r="K188" s="705" t="n"/>
      <c r="L188" s="847" t="n"/>
      <c r="M188" s="847" t="n"/>
      <c r="N188" s="847" t="n"/>
      <c r="O188" s="862" t="n"/>
      <c r="P188" s="735" t="n"/>
    </row>
    <row r="189" ht="15" customFormat="1" customHeight="1" s="26">
      <c r="A189" s="735" t="n"/>
      <c r="B189" s="44" t="n"/>
      <c r="C189" s="44" t="n"/>
      <c r="D189" s="44" t="n"/>
      <c r="E189" s="44" t="n"/>
      <c r="F189" s="44" t="n"/>
      <c r="G189" s="735" t="n"/>
      <c r="H189" s="735" t="n"/>
      <c r="I189" s="44" t="n"/>
      <c r="J189" s="44" t="n"/>
      <c r="K189" s="44" t="n"/>
      <c r="L189" s="735" t="n"/>
      <c r="M189" s="735" t="n"/>
      <c r="N189" s="735" t="n"/>
      <c r="O189" s="735" t="n"/>
      <c r="P189" s="735" t="n"/>
    </row>
    <row r="190" ht="15" customFormat="1" customHeight="1" s="26">
      <c r="A190" s="735" t="n"/>
      <c r="B190" s="44" t="n"/>
      <c r="C190" s="44" t="n"/>
      <c r="D190" s="44" t="n"/>
      <c r="E190" s="44" t="n"/>
      <c r="F190" s="44" t="n"/>
      <c r="G190" s="735" t="n"/>
      <c r="H190" s="735" t="n"/>
      <c r="I190" s="44" t="n"/>
      <c r="J190" s="44" t="n"/>
      <c r="K190" s="44" t="n"/>
      <c r="L190" s="735" t="n"/>
      <c r="M190" s="735" t="n"/>
      <c r="N190" s="735" t="n"/>
      <c r="O190" s="735" t="n"/>
      <c r="P190" s="735" t="n"/>
    </row>
    <row r="191" ht="19" customHeight="1">
      <c r="A191" s="84" t="n"/>
      <c r="B191" s="87" t="inlineStr">
        <is>
          <t>OPERATING EXPENSES -TRENDING ANALYSIS</t>
        </is>
      </c>
      <c r="C191" s="84" t="n"/>
      <c r="D191" s="84" t="n"/>
      <c r="E191" s="84" t="n"/>
      <c r="F191" s="84" t="n"/>
      <c r="G191" s="84" t="n"/>
      <c r="H191" s="84" t="n"/>
      <c r="I191" s="84" t="n"/>
      <c r="J191" s="84" t="n"/>
      <c r="K191" s="84" t="n"/>
      <c r="L191" s="84" t="n"/>
      <c r="M191" s="84" t="n"/>
      <c r="N191" s="84" t="n"/>
      <c r="O191" s="84" t="n"/>
    </row>
    <row r="192" ht="15" customFormat="1" customHeight="1" s="26">
      <c r="A192" s="735" t="n"/>
      <c r="B192" s="44" t="n"/>
      <c r="C192" s="44" t="n"/>
      <c r="D192" s="44" t="n"/>
      <c r="E192" s="44" t="n"/>
      <c r="F192" s="44" t="n"/>
      <c r="G192" s="735" t="n"/>
      <c r="H192" s="735" t="n"/>
      <c r="I192" s="44" t="n"/>
      <c r="J192" s="44" t="n"/>
      <c r="K192" s="44" t="n"/>
      <c r="L192" s="735" t="n"/>
      <c r="M192" s="735" t="n"/>
      <c r="N192" s="735" t="n"/>
      <c r="O192" s="735" t="n"/>
      <c r="P192" s="735" t="n"/>
    </row>
    <row r="193" ht="15" customFormat="1" customHeight="1" s="26">
      <c r="B193" s="44" t="n"/>
      <c r="C193" s="44" t="n"/>
      <c r="D193" s="44" t="n"/>
      <c r="E193" s="1157" t="inlineStr">
        <is>
          <t>TODAY</t>
        </is>
      </c>
      <c r="F193" s="364" t="n"/>
      <c r="G193" s="362" t="n"/>
      <c r="H193" s="48" t="n"/>
      <c r="I193" s="1160" t="inlineStr">
        <is>
          <t>AT CLOSE</t>
        </is>
      </c>
      <c r="J193" s="364" t="n"/>
      <c r="K193" s="362" t="n"/>
      <c r="L193" s="48" t="n"/>
      <c r="M193" s="993" t="inlineStr">
        <is>
          <t>YEAR THREE (3)</t>
        </is>
      </c>
      <c r="N193" s="364" t="n"/>
      <c r="O193" s="364" t="n"/>
      <c r="P193" s="735" t="n"/>
    </row>
    <row r="194" ht="15" customFormat="1" customHeight="1" s="26">
      <c r="B194" s="44" t="n"/>
      <c r="C194" s="44" t="n"/>
      <c r="D194" s="44" t="n"/>
      <c r="E194" s="56" t="inlineStr">
        <is>
          <t>UN-TRENDED</t>
        </is>
      </c>
      <c r="F194" s="57" t="inlineStr">
        <is>
          <t>/ UNIT</t>
        </is>
      </c>
      <c r="G194" s="50" t="inlineStr">
        <is>
          <t>/ AC'D SF</t>
        </is>
      </c>
      <c r="H194" s="48" t="n"/>
      <c r="I194" s="56" t="inlineStr">
        <is>
          <t>AT CLOSE</t>
        </is>
      </c>
      <c r="J194" s="57" t="inlineStr">
        <is>
          <t>/ UNIT</t>
        </is>
      </c>
      <c r="K194" s="50" t="inlineStr">
        <is>
          <t>/ AC'D SF</t>
        </is>
      </c>
      <c r="L194" s="48" t="n"/>
      <c r="M194" s="56" t="inlineStr">
        <is>
          <t>TRENDED</t>
        </is>
      </c>
      <c r="N194" s="57" t="inlineStr">
        <is>
          <t>/ UNIT</t>
        </is>
      </c>
      <c r="O194" s="50" t="inlineStr">
        <is>
          <t>/ AC'D SF</t>
        </is>
      </c>
      <c r="P194" s="735" t="n"/>
    </row>
    <row r="195" ht="15" customFormat="1" customHeight="1" s="26">
      <c r="B195" s="9" t="inlineStr">
        <is>
          <t>RESIDENTIAL EXPENSES</t>
        </is>
      </c>
      <c r="C195" s="735" t="n"/>
      <c r="D195" s="735" t="n"/>
      <c r="E195" s="735" t="n"/>
      <c r="F195" s="735" t="n"/>
      <c r="G195" s="735" t="n"/>
      <c r="H195" s="735" t="n"/>
      <c r="I195" s="735" t="n"/>
      <c r="J195" s="735" t="n"/>
      <c r="K195" s="735" t="n"/>
      <c r="L195" s="735" t="n"/>
      <c r="M195" s="735" t="n"/>
      <c r="N195" s="735" t="n"/>
      <c r="O195" s="735" t="n"/>
      <c r="P195" s="735" t="n"/>
    </row>
    <row r="196" ht="15" customFormat="1" customHeight="1" s="26">
      <c r="B196" s="735" t="n"/>
      <c r="C196" s="735" t="inlineStr">
        <is>
          <t>PAYROLL</t>
        </is>
      </c>
      <c r="D196" s="735" t="n"/>
      <c r="E196" s="1076">
        <f>+F196*$F$28</f>
        <v/>
      </c>
      <c r="F196" s="1076">
        <f>F113</f>
        <v/>
      </c>
      <c r="G196" s="863">
        <f>IF(ISERROR(+F196/$D$28),"",(+F196/$D$28))</f>
        <v/>
      </c>
      <c r="H196" s="735" t="n"/>
      <c r="I196" s="1076">
        <f>+J196*$F$28</f>
        <v/>
      </c>
      <c r="J196" s="1161">
        <f>+F196*(1+$G$143)^($M$138/12)</f>
        <v/>
      </c>
      <c r="K196" s="863">
        <f>IF(ISERROR(+J196/$D$28),"",(+J196/$D$28))</f>
        <v/>
      </c>
      <c r="L196" s="735" t="n"/>
      <c r="M196" s="1076">
        <f>+N196*$F$28</f>
        <v/>
      </c>
      <c r="N196" s="1161">
        <f>+J196*(1+$G$144)*(1+$G$145)*(1+$G$146)</f>
        <v/>
      </c>
      <c r="O196" s="863">
        <f>IF(ISERROR(+N196/$D$28),"",(+N196/$D$28))</f>
        <v/>
      </c>
      <c r="P196" s="735" t="n"/>
    </row>
    <row r="197" ht="15" customFormat="1" customHeight="1" s="26">
      <c r="B197" s="735" t="n"/>
      <c r="C197" s="735" t="inlineStr">
        <is>
          <t>REDECORATING</t>
        </is>
      </c>
      <c r="D197" s="735" t="n"/>
      <c r="E197" s="1078">
        <f>+F197*$F$28</f>
        <v/>
      </c>
      <c r="F197" s="1078">
        <f>F115</f>
        <v/>
      </c>
      <c r="G197" s="864">
        <f>IF(ISERROR(+F197/$D$28),"",(+F197/$D$28))</f>
        <v/>
      </c>
      <c r="H197" s="735" t="n"/>
      <c r="I197" s="1078">
        <f>+J197*$F$28</f>
        <v/>
      </c>
      <c r="J197" s="1162">
        <f>+F197*(1+$G$143)^($M$138/12)</f>
        <v/>
      </c>
      <c r="K197" s="864">
        <f>IF(ISERROR(+J197/$D$28),"",(+J197/$D$28))</f>
        <v/>
      </c>
      <c r="L197" s="735" t="n"/>
      <c r="M197" s="1078">
        <f>+N197*$F$28</f>
        <v/>
      </c>
      <c r="N197" s="1162">
        <f>+J197*(1+$G$144)*(1+$G$145)*(1+$G$146)</f>
        <v/>
      </c>
      <c r="O197" s="864">
        <f>IF(ISERROR(+N197/$D$28),"",(+N197/$D$28))</f>
        <v/>
      </c>
      <c r="P197" s="735" t="n"/>
    </row>
    <row r="198" ht="15" customFormat="1" customHeight="1" s="26">
      <c r="B198" s="735" t="n"/>
      <c r="C198" s="735" t="inlineStr">
        <is>
          <t>LANDSCAPING</t>
        </is>
      </c>
      <c r="D198" s="735" t="n"/>
      <c r="E198" s="1078">
        <f>+F198*$F$28</f>
        <v/>
      </c>
      <c r="F198" s="1078">
        <f>F116</f>
        <v/>
      </c>
      <c r="G198" s="864">
        <f>IF(ISERROR(+F198/$D$28),"",(+F198/$D$28))</f>
        <v/>
      </c>
      <c r="H198" s="735" t="n"/>
      <c r="I198" s="1078">
        <f>+J198*$F$28</f>
        <v/>
      </c>
      <c r="J198" s="1162">
        <f>+F198*(1+$G$143)^($M$138/12)</f>
        <v/>
      </c>
      <c r="K198" s="864">
        <f>IF(ISERROR(+J198/$D$28),"",(+J198/$D$28))</f>
        <v/>
      </c>
      <c r="L198" s="735" t="n"/>
      <c r="M198" s="1078">
        <f>+N198*$F$28</f>
        <v/>
      </c>
      <c r="N198" s="1162">
        <f>+J198*(1+$G$144)*(1+$G$145)*(1+$G$146)</f>
        <v/>
      </c>
      <c r="O198" s="864">
        <f>IF(ISERROR(+N198/$D$28),"",(+N198/$D$28))</f>
        <v/>
      </c>
      <c r="P198" s="865" t="n"/>
    </row>
    <row r="199" ht="15" customFormat="1" customHeight="1" s="26">
      <c r="B199" s="735" t="n"/>
      <c r="C199" s="735" t="inlineStr">
        <is>
          <t>REPAIRS</t>
        </is>
      </c>
      <c r="D199" s="735" t="n"/>
      <c r="E199" s="1078">
        <f>+F199*$F$28</f>
        <v/>
      </c>
      <c r="F199" s="1078">
        <f>F117</f>
        <v/>
      </c>
      <c r="G199" s="864">
        <f>IF(ISERROR(+F199/$D$28),"",(+F199/$D$28))</f>
        <v/>
      </c>
      <c r="H199" s="735" t="n"/>
      <c r="I199" s="1078">
        <f>+J199*$F$28</f>
        <v/>
      </c>
      <c r="J199" s="1162">
        <f>+F199*(1+$G$143)^($M$138/12)</f>
        <v/>
      </c>
      <c r="K199" s="864">
        <f>IF(ISERROR(+J199/$D$28),"",(+J199/$D$28))</f>
        <v/>
      </c>
      <c r="L199" s="735" t="n"/>
      <c r="M199" s="1078">
        <f>+N199*$F$28</f>
        <v/>
      </c>
      <c r="N199" s="1162">
        <f>+J199*(1+$G$144)*(1+$G$145)*(1+$G$146)</f>
        <v/>
      </c>
      <c r="O199" s="864">
        <f>IF(ISERROR(+N199/$D$28),"",(+N199/$D$28))</f>
        <v/>
      </c>
      <c r="P199" s="865" t="n"/>
    </row>
    <row r="200" ht="15" customFormat="1" customHeight="1" s="26">
      <c r="B200" s="735" t="n"/>
      <c r="C200" s="735" t="inlineStr">
        <is>
          <t>LEASING &amp; MARKETING</t>
        </is>
      </c>
      <c r="D200" s="735" t="n"/>
      <c r="E200" s="1078">
        <f>+F200*$F$28</f>
        <v/>
      </c>
      <c r="F200" s="1078">
        <f>F112</f>
        <v/>
      </c>
      <c r="G200" s="864">
        <f>IF(ISERROR(+F200/$D$28),"",(+F200/$D$28))</f>
        <v/>
      </c>
      <c r="H200" s="735" t="n"/>
      <c r="I200" s="1078">
        <f>+J200*$F$28</f>
        <v/>
      </c>
      <c r="J200" s="1162">
        <f>+F200*(1+$G$143)^($M$138/12)</f>
        <v/>
      </c>
      <c r="K200" s="864">
        <f>IF(ISERROR(+J200/$D$28),"",(+J200/$D$28))</f>
        <v/>
      </c>
      <c r="L200" s="735" t="n"/>
      <c r="M200" s="1078">
        <f>+N200*$F$28</f>
        <v/>
      </c>
      <c r="N200" s="1162">
        <f>+J200*(1+$G$144)*(1+$G$145)*(1+$G$146)</f>
        <v/>
      </c>
      <c r="O200" s="864">
        <f>IF(ISERROR(+N200/$D$28),"",(+N200/$D$28))</f>
        <v/>
      </c>
      <c r="P200" s="865" t="n"/>
    </row>
    <row r="201" ht="15" customFormat="1" customHeight="1" s="26">
      <c r="B201" s="735" t="n"/>
      <c r="C201" s="735" t="inlineStr">
        <is>
          <t>G&amp;A</t>
        </is>
      </c>
      <c r="D201" s="735" t="n"/>
      <c r="E201" s="1080">
        <f>+F201*$F$28</f>
        <v/>
      </c>
      <c r="F201" s="1080">
        <f>F111</f>
        <v/>
      </c>
      <c r="G201" s="866">
        <f>IF(ISERROR(+F201/$D$28),"",(+F201/$D$28))</f>
        <v/>
      </c>
      <c r="H201" s="735" t="n"/>
      <c r="I201" s="1080">
        <f>+J201*$F$28</f>
        <v/>
      </c>
      <c r="J201" s="1165">
        <f>+F201*(1+$G$143)^($M$138/12)</f>
        <v/>
      </c>
      <c r="K201" s="866">
        <f>IF(ISERROR(+J201/$D$28),"",(+J201/$D$28))</f>
        <v/>
      </c>
      <c r="L201" s="735" t="n"/>
      <c r="M201" s="1080">
        <f>+N201*$F$28</f>
        <v/>
      </c>
      <c r="N201" s="1165">
        <f>+J201*(1+$G$144)*(1+$G$145)*(1+$G$146)</f>
        <v/>
      </c>
      <c r="O201" s="866">
        <f>IF(ISERROR(+N201/$D$28),"",(+N201/$D$28))</f>
        <v/>
      </c>
      <c r="P201" s="865" t="n"/>
    </row>
    <row r="202" ht="15" customFormat="1" customHeight="1" s="26">
      <c r="B202" s="735" t="n"/>
      <c r="C202" s="735" t="n"/>
      <c r="D202" s="735" t="n"/>
      <c r="E202" s="735" t="n"/>
      <c r="F202" s="1038" t="n"/>
      <c r="G202" s="865" t="n"/>
      <c r="H202" s="735" t="n"/>
      <c r="I202" s="735" t="n"/>
      <c r="J202" s="735" t="n"/>
      <c r="K202" s="865" t="n"/>
      <c r="L202" s="735" t="n"/>
      <c r="M202" s="735" t="n"/>
      <c r="N202" s="735" t="n"/>
      <c r="O202" s="865" t="n"/>
      <c r="P202" s="865" t="n"/>
    </row>
    <row r="203" ht="16" customFormat="1" customHeight="1" s="26" thickBot="1">
      <c r="B203" s="735" t="n"/>
      <c r="C203" s="9" t="inlineStr">
        <is>
          <t>SUBTOTAL</t>
        </is>
      </c>
      <c r="D203" s="9" t="n"/>
      <c r="E203" s="1180">
        <f>+SUM(E195:E202)</f>
        <v/>
      </c>
      <c r="F203" s="1180">
        <f>+SUM(F195:F202)</f>
        <v/>
      </c>
      <c r="G203" s="166">
        <f>+SUM(G195:G202)</f>
        <v/>
      </c>
      <c r="H203" s="9" t="n"/>
      <c r="I203" s="1180">
        <f>+SUM(I195:I202)</f>
        <v/>
      </c>
      <c r="J203" s="1180">
        <f>+SUM(J195:J202)</f>
        <v/>
      </c>
      <c r="K203" s="166">
        <f>+SUM(K195:K202)</f>
        <v/>
      </c>
      <c r="L203" s="9" t="n"/>
      <c r="M203" s="1180">
        <f>+SUM(M195:M202)</f>
        <v/>
      </c>
      <c r="N203" s="1180">
        <f>+SUM(N195:N202)</f>
        <v/>
      </c>
      <c r="O203" s="166">
        <f>+SUM(O195:O202)</f>
        <v/>
      </c>
      <c r="P203" s="865" t="n"/>
    </row>
    <row r="204" ht="16" customFormat="1" customHeight="1" s="26" thickTop="1">
      <c r="B204" s="735" t="n"/>
      <c r="C204" s="735" t="n"/>
      <c r="D204" s="735" t="n"/>
      <c r="E204" s="735" t="n"/>
      <c r="F204" s="1038" t="n"/>
      <c r="G204" s="865" t="n"/>
      <c r="H204" s="735" t="n"/>
      <c r="I204" s="735" t="n"/>
      <c r="J204" s="735" t="n"/>
      <c r="K204" s="865" t="n"/>
      <c r="L204" s="735" t="n"/>
      <c r="M204" s="735" t="n"/>
      <c r="N204" s="735" t="n"/>
      <c r="O204" s="865" t="n"/>
      <c r="P204" s="865" t="n"/>
    </row>
    <row r="205" ht="15" customFormat="1" customHeight="1" s="26">
      <c r="B205" s="735" t="n"/>
      <c r="C205" s="735" t="inlineStr">
        <is>
          <t>UTILITIES</t>
        </is>
      </c>
      <c r="D205" s="735" t="n"/>
      <c r="E205" s="1076">
        <f>+F205*$F$28</f>
        <v/>
      </c>
      <c r="F205" s="1076">
        <f>F114</f>
        <v/>
      </c>
      <c r="G205" s="863">
        <f>IF(ISERROR(+F205/$D$28),"",(+F205/$D$28))</f>
        <v/>
      </c>
      <c r="H205" s="735" t="n"/>
      <c r="I205" s="1076">
        <f>+J205*$F$28</f>
        <v/>
      </c>
      <c r="J205" s="1161">
        <f>+F205*(1+$G$143)^($M$138/12)</f>
        <v/>
      </c>
      <c r="K205" s="863">
        <f>IF(ISERROR(+J205/$D$28),"",(+J205/$D$28))</f>
        <v/>
      </c>
      <c r="L205" s="735" t="n"/>
      <c r="M205" s="1076">
        <f>+N205*$F$28</f>
        <v/>
      </c>
      <c r="N205" s="1161">
        <f>+J205*(1+$G$144)*(1+$G$145)*(1+$G$146)</f>
        <v/>
      </c>
      <c r="O205" s="863">
        <f>IF(ISERROR(+N205/$D$28),"",(+N205/$D$28))</f>
        <v/>
      </c>
      <c r="P205" s="865" t="n"/>
    </row>
    <row r="206" ht="15" customFormat="1" customHeight="1" s="26">
      <c r="B206" s="735" t="n"/>
      <c r="C206" s="735" t="inlineStr">
        <is>
          <t>MGMT FEE</t>
        </is>
      </c>
      <c r="D206" s="1038" t="n"/>
      <c r="E206" s="1078">
        <f>G121</f>
        <v/>
      </c>
      <c r="F206" s="1078">
        <f>E206/Total_Number_Units</f>
        <v/>
      </c>
      <c r="G206" s="864">
        <f>IF(ISERROR(+F206/$D$28),"",(+F206/$D$28))</f>
        <v/>
      </c>
      <c r="H206" s="735" t="n"/>
      <c r="I206" s="1078">
        <f>E206</f>
        <v/>
      </c>
      <c r="J206" s="1162">
        <f>I206/Total_Number_Units</f>
        <v/>
      </c>
      <c r="K206" s="864">
        <f>IF(ISERROR(+J206/$D$28),"",(+J206/$D$28))</f>
        <v/>
      </c>
      <c r="L206" s="735" t="n"/>
      <c r="M206" s="1078">
        <f>I206</f>
        <v/>
      </c>
      <c r="N206" s="1078">
        <f>M206/Total_Number_Units</f>
        <v/>
      </c>
      <c r="O206" s="864">
        <f>IF(ISERROR(+N206/$D$28),"",(+N206/$D$28))</f>
        <v/>
      </c>
      <c r="P206" s="865" t="n"/>
    </row>
    <row r="207" ht="15" customFormat="1" customHeight="1" s="26">
      <c r="B207" s="735" t="n"/>
      <c r="C207" s="735" t="inlineStr">
        <is>
          <t>INSURANCE</t>
        </is>
      </c>
      <c r="D207" s="735" t="n"/>
      <c r="E207" s="1078">
        <f>+F207*$F$28</f>
        <v/>
      </c>
      <c r="F207" s="1078">
        <f>F119</f>
        <v/>
      </c>
      <c r="G207" s="864">
        <f>IF(ISERROR(+F207/$D$28),"",(+F207/$D$28))</f>
        <v/>
      </c>
      <c r="H207" s="735" t="n"/>
      <c r="I207" s="1078">
        <f>+J207*$F$28</f>
        <v/>
      </c>
      <c r="J207" s="1162">
        <f>+F207*(1+$G$143)^($M$138/12)</f>
        <v/>
      </c>
      <c r="K207" s="864">
        <f>IF(ISERROR(+J207/$D$28),"",(+J207/$D$28))</f>
        <v/>
      </c>
      <c r="L207" s="735" t="n"/>
      <c r="M207" s="1078">
        <f>+N207*$F$28</f>
        <v/>
      </c>
      <c r="N207" s="1162">
        <f>+J207*(1+$G$144)*(1+$G$145)*(1+$G$146)</f>
        <v/>
      </c>
      <c r="O207" s="864">
        <f>IF(ISERROR(+N207/$D$28),"",(+N207/$D$28))</f>
        <v/>
      </c>
      <c r="P207" s="865" t="n"/>
    </row>
    <row r="208" ht="15" customFormat="1" customHeight="1" s="26">
      <c r="B208" s="735" t="n"/>
      <c r="C208" s="735" t="inlineStr">
        <is>
          <t>REAL ESTATE TAXES</t>
        </is>
      </c>
      <c r="D208" s="735" t="n"/>
      <c r="E208" s="1080">
        <f>+F208*$F$28</f>
        <v/>
      </c>
      <c r="F208" s="1080">
        <f>F120</f>
        <v/>
      </c>
      <c r="G208" s="866">
        <f>IF(ISERROR(+F208/$D$28),"",(+F208/$D$28))</f>
        <v/>
      </c>
      <c r="H208" s="735" t="n"/>
      <c r="I208" s="1080">
        <f>+J208*$F$28</f>
        <v/>
      </c>
      <c r="J208" s="1165">
        <f>+F208*(1+$G$143)^($M$138/12)</f>
        <v/>
      </c>
      <c r="K208" s="866">
        <f>IF(ISERROR(+J208/$D$28),"",(+J208/$D$28))</f>
        <v/>
      </c>
      <c r="L208" s="735" t="n"/>
      <c r="M208" s="1080">
        <f>+N208*$F$28</f>
        <v/>
      </c>
      <c r="N208" s="1165">
        <f>+J208*(1+$G$144)*(1+$G$145)*(1+$G$146)</f>
        <v/>
      </c>
      <c r="O208" s="866">
        <f>IF(ISERROR(+N208/$D$28),"",(+N208/$D$28))</f>
        <v/>
      </c>
      <c r="P208" s="865" t="n"/>
    </row>
    <row r="209" ht="15" customFormat="1" customHeight="1" s="26">
      <c r="B209" s="735" t="n"/>
      <c r="C209" s="735" t="n"/>
      <c r="D209" s="735" t="n"/>
      <c r="E209" s="735" t="n"/>
      <c r="F209" s="1038" t="n"/>
      <c r="G209" s="865" t="n"/>
      <c r="H209" s="735" t="n"/>
      <c r="I209" s="735" t="n"/>
      <c r="J209" s="735" t="n"/>
      <c r="K209" s="865" t="n"/>
      <c r="L209" s="735" t="n"/>
      <c r="M209" s="735" t="n"/>
      <c r="N209" s="735" t="n"/>
      <c r="O209" s="865" t="n"/>
      <c r="P209" s="865" t="n"/>
    </row>
    <row r="210" ht="16" customFormat="1" customHeight="1" s="26" thickBot="1">
      <c r="B210" s="735" t="n"/>
      <c r="C210" s="9" t="inlineStr">
        <is>
          <t>SUBTOTAL</t>
        </is>
      </c>
      <c r="D210" s="9" t="n"/>
      <c r="E210" s="1180">
        <f>+SUM(E203:E209)</f>
        <v/>
      </c>
      <c r="F210" s="1180">
        <f>+SUM(F203:F209)</f>
        <v/>
      </c>
      <c r="G210" s="166">
        <f>+SUM(G203:G209)</f>
        <v/>
      </c>
      <c r="H210" s="9" t="n"/>
      <c r="I210" s="1180">
        <f>+SUM(I203:I209)</f>
        <v/>
      </c>
      <c r="J210" s="1180">
        <f>+SUM(J203:J209)</f>
        <v/>
      </c>
      <c r="K210" s="166">
        <f>+SUM(K203:K209)</f>
        <v/>
      </c>
      <c r="L210" s="9" t="n"/>
      <c r="M210" s="1180">
        <f>+SUM(M203:M209)</f>
        <v/>
      </c>
      <c r="N210" s="1180">
        <f>+SUM(N203:N209)</f>
        <v/>
      </c>
      <c r="O210" s="166">
        <f>+SUM(O203:O209)</f>
        <v/>
      </c>
      <c r="P210" s="865" t="n"/>
    </row>
    <row r="211" ht="16" customFormat="1" customHeight="1" s="26" thickTop="1">
      <c r="B211" s="735" t="n"/>
      <c r="C211" s="735" t="n"/>
      <c r="D211" s="735" t="n"/>
      <c r="E211" s="735" t="n"/>
      <c r="F211" s="1038" t="n"/>
      <c r="G211" s="865" t="n"/>
      <c r="H211" s="735" t="n"/>
      <c r="I211" s="735" t="n"/>
      <c r="J211" s="735" t="n"/>
      <c r="K211" s="865" t="n"/>
      <c r="L211" s="735" t="n"/>
      <c r="M211" s="735" t="n"/>
      <c r="N211" s="735" t="n"/>
      <c r="O211" s="865" t="n"/>
      <c r="P211" s="865" t="n"/>
    </row>
    <row r="212" ht="15" customFormat="1" customHeight="1" s="26">
      <c r="B212" s="735" t="n"/>
      <c r="C212" s="735" t="inlineStr">
        <is>
          <t>CAPITAL RESERVES</t>
        </is>
      </c>
      <c r="D212" s="735" t="n"/>
      <c r="E212" s="1181">
        <f>+F212*$F$28</f>
        <v/>
      </c>
      <c r="F212" s="1181">
        <f>F122</f>
        <v/>
      </c>
      <c r="G212" s="868">
        <f>IF(ISERROR(+F212/$D$28),"",(+F212/$D$28))</f>
        <v/>
      </c>
      <c r="H212" s="735" t="n"/>
      <c r="I212" s="1181">
        <f>+J212*$F$28</f>
        <v/>
      </c>
      <c r="J212" s="1182">
        <f>+F212*(1+$G$143)^($M$138/12)</f>
        <v/>
      </c>
      <c r="K212" s="868">
        <f>IF(ISERROR(+J212/$D$28),"",(+J212/$D$28))</f>
        <v/>
      </c>
      <c r="L212" s="735" t="n"/>
      <c r="M212" s="868">
        <f>+N212*$F$28</f>
        <v/>
      </c>
      <c r="N212" s="1182">
        <f>+J212*(1+$G$144)*(1+$G$145)*(1+$G$146)</f>
        <v/>
      </c>
      <c r="O212" s="868">
        <f>IF(ISERROR(+N212/$D$28),"",(+N212/$D$28))</f>
        <v/>
      </c>
      <c r="P212" s="865" t="n"/>
    </row>
    <row r="213" ht="15" customFormat="1" customHeight="1" s="26">
      <c r="B213" s="735" t="n"/>
      <c r="C213" s="735" t="n"/>
      <c r="D213" s="735" t="n"/>
      <c r="E213" s="735" t="n"/>
      <c r="F213" s="735" t="n"/>
      <c r="G213" s="865" t="n"/>
      <c r="H213" s="735" t="n"/>
      <c r="I213" s="735" t="n"/>
      <c r="J213" s="735" t="n"/>
      <c r="K213" s="865" t="n"/>
      <c r="L213" s="735" t="n"/>
      <c r="M213" s="735" t="n"/>
      <c r="N213" s="735" t="n"/>
      <c r="O213" s="865" t="n"/>
      <c r="P213" s="865" t="n"/>
    </row>
    <row r="214" ht="16" customFormat="1" customHeight="1" s="26" thickBot="1">
      <c r="B214" s="735" t="n"/>
      <c r="C214" s="170" t="inlineStr">
        <is>
          <t>TOTAL - RESIDENTIAL</t>
        </is>
      </c>
      <c r="D214" s="170" t="n"/>
      <c r="E214" s="1183">
        <f>+SUM(E210:E213)</f>
        <v/>
      </c>
      <c r="F214" s="1183">
        <f>+SUM(F210:F213)</f>
        <v/>
      </c>
      <c r="G214" s="169">
        <f>+SUM(G210:G213)</f>
        <v/>
      </c>
      <c r="H214" s="170" t="n"/>
      <c r="I214" s="1183">
        <f>+SUM(I210:I213)</f>
        <v/>
      </c>
      <c r="J214" s="1183">
        <f>+SUM(J210:J213)</f>
        <v/>
      </c>
      <c r="K214" s="169">
        <f>+SUM(K210:K213)</f>
        <v/>
      </c>
      <c r="L214" s="170" t="n"/>
      <c r="M214" s="1183">
        <f>+SUM(M210:M213)</f>
        <v/>
      </c>
      <c r="N214" s="1183">
        <f>+SUM(N210:N213)</f>
        <v/>
      </c>
      <c r="O214" s="169">
        <f>+SUM(O210:O213)</f>
        <v/>
      </c>
      <c r="P214" s="865" t="n"/>
    </row>
    <row r="215" ht="16" customFormat="1" customHeight="1" s="26" thickTop="1">
      <c r="B215" s="735" t="n"/>
      <c r="C215" s="735" t="n"/>
      <c r="D215" s="735" t="n"/>
      <c r="E215" s="735" t="n"/>
      <c r="F215" s="735" t="n"/>
      <c r="G215" s="735" t="n"/>
      <c r="H215" s="735" t="n"/>
      <c r="I215" s="735" t="n"/>
      <c r="J215" s="735" t="n"/>
      <c r="K215" s="735" t="n"/>
      <c r="L215" s="735" t="n"/>
      <c r="M215" s="735" t="n"/>
      <c r="N215" s="735" t="n"/>
      <c r="O215" s="735" t="n"/>
      <c r="P215" s="865" t="n"/>
    </row>
    <row r="216" ht="15" customFormat="1" customHeight="1" s="26">
      <c r="B216" s="735" t="n"/>
      <c r="C216" s="735" t="n"/>
      <c r="D216" s="735" t="n"/>
      <c r="E216" s="735" t="n"/>
      <c r="F216" s="735" t="n"/>
      <c r="G216" s="735" t="n"/>
      <c r="H216" s="735" t="n"/>
      <c r="I216" s="735" t="n"/>
      <c r="J216" s="735" t="n"/>
      <c r="K216" s="735" t="n"/>
      <c r="L216" s="735" t="n"/>
      <c r="M216" s="735" t="n"/>
      <c r="N216" s="735" t="n"/>
      <c r="O216" s="735" t="n"/>
      <c r="P216" s="865" t="n"/>
    </row>
    <row r="217" ht="15" customFormat="1" customHeight="1" s="26">
      <c r="B217" s="9" t="inlineStr">
        <is>
          <t>Retail Expenses</t>
        </is>
      </c>
      <c r="C217" s="735" t="n"/>
      <c r="D217" s="735" t="n"/>
      <c r="E217" s="735" t="n"/>
      <c r="F217" s="735" t="n"/>
      <c r="G217" s="735" t="n"/>
      <c r="H217" s="735" t="n"/>
      <c r="I217" s="735" t="n"/>
      <c r="J217" s="735" t="n"/>
      <c r="K217" s="735" t="n"/>
      <c r="L217" s="735" t="n"/>
      <c r="M217" s="735" t="n"/>
      <c r="N217" s="735" t="n"/>
      <c r="O217" s="735" t="n"/>
      <c r="P217" s="735" t="n"/>
    </row>
    <row r="218" ht="15" customFormat="1" customHeight="1" s="26">
      <c r="B218" s="735" t="n"/>
      <c r="C218" s="735" t="inlineStr">
        <is>
          <t>CAM</t>
        </is>
      </c>
      <c r="D218" s="735" t="n"/>
      <c r="E218" s="1184">
        <f>K117</f>
        <v/>
      </c>
      <c r="F218" s="859" t="n"/>
      <c r="G218" s="870">
        <f>IF(ISERROR(+E218/$J$90),"",(+E218/$J$90))</f>
        <v/>
      </c>
      <c r="H218" s="735" t="n"/>
      <c r="I218" s="1185">
        <f>+E218*(1+$G$143)^($M$138/12)</f>
        <v/>
      </c>
      <c r="J218" s="859" t="n"/>
      <c r="K218" s="870">
        <f>IF(ISERROR(+I218/$J$90),"",(+I218/$J$90))</f>
        <v/>
      </c>
      <c r="L218" s="735" t="n"/>
      <c r="M218" s="1185">
        <f>+I218*(1+$G$144)*(1+$G$145)*(1+$G$146)</f>
        <v/>
      </c>
      <c r="N218" s="859" t="n"/>
      <c r="O218" s="870">
        <f>IF(ISERROR(+M218/$J$90),"",(+M218/$J$90))</f>
        <v/>
      </c>
      <c r="P218" s="735" t="n"/>
    </row>
    <row r="219" ht="15" customFormat="1" customHeight="1" s="26">
      <c r="B219" s="735" t="n"/>
      <c r="C219" s="735" t="inlineStr">
        <is>
          <t>INSURANCE</t>
        </is>
      </c>
      <c r="D219" s="735" t="n"/>
      <c r="E219" s="1048">
        <f>K119</f>
        <v/>
      </c>
      <c r="F219" s="735" t="n"/>
      <c r="G219" s="748">
        <f>IF(ISERROR(+E219/$J$90),"",(+E219/$J$90))</f>
        <v/>
      </c>
      <c r="H219" s="735" t="n"/>
      <c r="I219" s="1093">
        <f>+E219*(1+$G$143)^($M$138/12)</f>
        <v/>
      </c>
      <c r="J219" s="735" t="n"/>
      <c r="K219" s="748">
        <f>IF(ISERROR(+I219/$J$90),"",(+I219/$J$90))</f>
        <v/>
      </c>
      <c r="L219" s="735" t="n"/>
      <c r="M219" s="1093">
        <f>+I219*(1+$G$144)*(1+$G$145)*(1+$G$146)</f>
        <v/>
      </c>
      <c r="N219" s="735" t="n"/>
      <c r="O219" s="748">
        <f>IF(ISERROR(+M219/$J$90),"",(+M219/$J$90))</f>
        <v/>
      </c>
      <c r="P219" s="735" t="n"/>
    </row>
    <row r="220" ht="15" customFormat="1" customHeight="1" s="26">
      <c r="B220" s="735" t="n"/>
      <c r="C220" s="735" t="inlineStr">
        <is>
          <t>REAL ESTATE TAXES</t>
        </is>
      </c>
      <c r="D220" s="735" t="n"/>
      <c r="E220" s="1048">
        <f>K120</f>
        <v/>
      </c>
      <c r="F220" s="735" t="n"/>
      <c r="G220" s="748">
        <f>IF(ISERROR(+E220/$J$90),"",(+E220/$J$90))</f>
        <v/>
      </c>
      <c r="H220" s="735" t="n"/>
      <c r="I220" s="1093">
        <f>+E220*(1+$G$143)^($M$138/12)</f>
        <v/>
      </c>
      <c r="J220" s="735" t="n"/>
      <c r="K220" s="748">
        <f>IF(ISERROR(+I220/$J$90),"",(+I220/$J$90))</f>
        <v/>
      </c>
      <c r="L220" s="735" t="n"/>
      <c r="M220" s="1093">
        <f>+I220*(1+$G$144)*(1+$G$145)*(1+$G$146)</f>
        <v/>
      </c>
      <c r="N220" s="735" t="n"/>
      <c r="O220" s="748">
        <f>IF(ISERROR(+M220/$J$90),"",(+M220/$J$90))</f>
        <v/>
      </c>
      <c r="P220" s="748" t="n"/>
    </row>
    <row r="221" ht="15" customFormat="1" customHeight="1" s="26">
      <c r="B221" s="735" t="n"/>
      <c r="C221" s="735" t="inlineStr">
        <is>
          <t>MGMT FEE</t>
        </is>
      </c>
      <c r="D221" s="735" t="n"/>
      <c r="E221" s="1186">
        <f>E121*E174</f>
        <v/>
      </c>
      <c r="F221" s="847" t="n"/>
      <c r="G221" s="872">
        <f>IF(ISERROR(+E221/$J$90),"",(+E221/$J$90))</f>
        <v/>
      </c>
      <c r="H221" s="735" t="n"/>
      <c r="I221" s="1187">
        <f>E121*I174</f>
        <v/>
      </c>
      <c r="J221" s="847" t="n"/>
      <c r="K221" s="872">
        <f>IF(ISERROR(+I221/$J$90),"",(+I221/$J$90))</f>
        <v/>
      </c>
      <c r="L221" s="735" t="n"/>
      <c r="M221" s="1186">
        <f>E121*M174</f>
        <v/>
      </c>
      <c r="N221" s="847" t="n"/>
      <c r="O221" s="872">
        <f>IF(ISERROR(+M221/$J$90),"",(+M221/$J$90))</f>
        <v/>
      </c>
      <c r="P221" s="748" t="n"/>
    </row>
    <row r="222" ht="15" customFormat="1" customHeight="1" s="26">
      <c r="B222" s="735" t="n"/>
      <c r="C222" s="735" t="n"/>
      <c r="D222" s="735" t="n"/>
      <c r="E222" s="1048" t="n"/>
      <c r="F222" s="735" t="n"/>
      <c r="G222" s="735" t="n"/>
      <c r="H222" s="735" t="n"/>
      <c r="I222" s="735" t="n"/>
      <c r="J222" s="735" t="n"/>
      <c r="K222" s="735" t="n"/>
      <c r="L222" s="735" t="n"/>
      <c r="M222" s="735" t="n"/>
      <c r="N222" s="735" t="n"/>
      <c r="O222" s="735" t="n"/>
      <c r="P222" s="748" t="n"/>
    </row>
    <row r="223" ht="15" customFormat="1" customHeight="1" s="26">
      <c r="B223" s="735" t="n"/>
      <c r="C223" s="170" t="inlineStr">
        <is>
          <t>TOTAL - RETAIL</t>
        </is>
      </c>
      <c r="D223" s="170" t="n"/>
      <c r="E223" s="1188">
        <f>+SUM(E218:E222)</f>
        <v/>
      </c>
      <c r="F223" s="170" t="n"/>
      <c r="G223" s="194">
        <f>+SUM(G218:G222)</f>
        <v/>
      </c>
      <c r="H223" s="170" t="n"/>
      <c r="I223" s="1188">
        <f>+SUM(I218:I222)</f>
        <v/>
      </c>
      <c r="J223" s="170" t="n"/>
      <c r="K223" s="194">
        <f>+SUM(K218:K222)</f>
        <v/>
      </c>
      <c r="L223" s="170" t="n"/>
      <c r="M223" s="1188">
        <f>+SUM(M218:M222)</f>
        <v/>
      </c>
      <c r="N223" s="170" t="n"/>
      <c r="O223" s="194">
        <f>+SUM(O218:O222)</f>
        <v/>
      </c>
      <c r="P223" s="748" t="n"/>
    </row>
    <row r="224" ht="15" customFormat="1" customHeight="1" s="26">
      <c r="B224" s="735" t="n"/>
      <c r="C224" s="735" t="n"/>
      <c r="D224" s="735" t="n"/>
      <c r="E224" s="735" t="n"/>
      <c r="F224" s="1048" t="n"/>
      <c r="G224" s="735" t="n"/>
      <c r="H224" s="735" t="n"/>
      <c r="I224" s="735" t="n"/>
      <c r="J224" s="735" t="n"/>
      <c r="K224" s="735" t="n"/>
      <c r="L224" s="735" t="n"/>
      <c r="M224" s="735" t="n"/>
      <c r="N224" s="735" t="n"/>
      <c r="O224" s="735" t="n"/>
      <c r="P224" s="735" t="n"/>
    </row>
    <row r="225" ht="15" customFormat="1" customHeight="1" s="26">
      <c r="F225" s="1048" t="n"/>
      <c r="G225" s="735" t="n"/>
      <c r="H225" s="748" t="n"/>
      <c r="I225" s="735" t="n"/>
      <c r="J225" s="1048" t="n"/>
      <c r="K225" s="735" t="n"/>
      <c r="L225" s="748" t="n"/>
      <c r="M225" s="1048" t="n"/>
      <c r="N225" s="1048" t="n"/>
      <c r="O225" s="735" t="n"/>
      <c r="P225" s="748" t="n"/>
      <c r="Q225" s="735" t="n"/>
      <c r="R225" s="735" t="n"/>
      <c r="S225" s="735" t="n"/>
      <c r="T225" s="735" t="n"/>
      <c r="U225" s="735" t="n"/>
      <c r="V225" s="735" t="n"/>
      <c r="W225" s="735" t="n"/>
      <c r="X225" s="210" t="n"/>
    </row>
    <row r="226" ht="15" customFormat="1" customHeight="1" s="26">
      <c r="F226" s="735" t="n"/>
      <c r="G226" s="735" t="n"/>
      <c r="H226" s="735" t="n"/>
      <c r="I226" s="735" t="n"/>
      <c r="J226" s="735" t="n"/>
      <c r="K226" s="735" t="n"/>
      <c r="L226" s="735" t="n"/>
      <c r="M226" s="735" t="n"/>
      <c r="N226" s="735" t="n"/>
      <c r="O226" s="735" t="n"/>
      <c r="P226" s="735" t="n"/>
      <c r="Q226" s="735" t="n"/>
      <c r="R226" s="735" t="n"/>
      <c r="S226" s="735" t="n"/>
      <c r="T226" s="735" t="n"/>
      <c r="U226" s="735" t="n"/>
      <c r="V226" s="735" t="n"/>
      <c r="W226" s="735" t="n"/>
      <c r="X226" s="735" t="n"/>
    </row>
    <row r="300" ht="15" customHeight="1">
      <c r="B300" s="735" t="n"/>
      <c r="C300" s="735" t="n"/>
      <c r="D300" s="735" t="n"/>
      <c r="E300" s="735" t="n"/>
      <c r="F300" s="735" t="n"/>
      <c r="G300" s="735" t="n"/>
      <c r="H300" s="735" t="n"/>
      <c r="I300" s="735" t="n"/>
      <c r="J300" s="735" t="n"/>
      <c r="K300" s="735" t="n"/>
      <c r="L300" s="735" t="n"/>
      <c r="M300" s="735" t="n"/>
      <c r="N300" s="735" t="n"/>
      <c r="O300" s="735" t="n"/>
      <c r="P300" s="735" t="n"/>
      <c r="Q300" s="735" t="n"/>
      <c r="R300" s="735" t="n"/>
      <c r="S300" s="735" t="n"/>
      <c r="T300" s="735" t="n"/>
      <c r="U300" s="735" t="n"/>
      <c r="V300" s="735" t="n"/>
      <c r="W300" s="735" t="n"/>
      <c r="X300" s="735" t="n"/>
      <c r="Y300" s="735" t="n"/>
      <c r="Z300" s="735" t="n"/>
      <c r="AA300" s="735" t="n"/>
      <c r="AB300" s="735" t="n"/>
      <c r="AC300" s="735" t="n"/>
      <c r="AD300" s="735" t="n"/>
      <c r="AE300" s="735" t="n"/>
      <c r="AF300" s="735" t="n"/>
      <c r="AG300" s="735" t="n"/>
      <c r="AH300" s="735" t="n"/>
      <c r="AI300" s="735" t="n"/>
      <c r="AJ300" s="735" t="n"/>
      <c r="AK300" s="735" t="n"/>
      <c r="AL300" s="735" t="n"/>
      <c r="AM300" s="735" t="n"/>
      <c r="AN300" s="735" t="n"/>
      <c r="AO300" s="735" t="n"/>
      <c r="AP300" s="744" t="n"/>
      <c r="AQ300" s="735" t="n"/>
      <c r="AR300" s="735" t="n"/>
      <c r="AS300" s="735" t="n"/>
    </row>
  </sheetData>
  <mergeCells count="13">
    <mergeCell ref="K74:L80"/>
    <mergeCell ref="M193:O193"/>
    <mergeCell ref="I193:K193"/>
    <mergeCell ref="E193:G193"/>
    <mergeCell ref="P51:Q51"/>
    <mergeCell ref="J88:K88"/>
    <mergeCell ref="P50:Q50"/>
    <mergeCell ref="F88:H88"/>
    <mergeCell ref="E149:G149"/>
    <mergeCell ref="E139:G139"/>
    <mergeCell ref="I149:K149"/>
    <mergeCell ref="M149:O149"/>
    <mergeCell ref="I139:K139"/>
  </mergeCells>
  <pageMargins left="0.7" right="0.7" top="0.87" bottom="0.38" header="0.3" footer="0.17"/>
  <pageSetup orientation="portrait" scale="52"/>
  <headerFooter>
    <oddHeader>&amp;L&amp;G&amp;C_x000a__x000a_&amp;R&amp;11 &amp;D_x000a_&amp;T</oddHeader>
    <oddFooter>&amp;L&amp;"-,Italic"Confidential</oddFooter>
    <evenHeader/>
    <evenFooter/>
    <firstHeader/>
    <firstFooter/>
  </headerFooter>
  <rowBreaks count="4" manualBreakCount="4">
    <brk id="64" min="0" max="8" man="1"/>
    <brk id="85" min="0" max="14" man="1"/>
    <brk id="136" min="0" max="14" man="1"/>
    <brk id="190" min="0" max="14" man="1"/>
  </rowBreaks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 autoPageBreaks="0"/>
  </sheetPr>
  <dimension ref="A1:X210"/>
  <sheetViews>
    <sheetView showGridLines="0" tabSelected="1" zoomScale="86" zoomScaleNormal="98" workbookViewId="0">
      <selection activeCell="E3" sqref="E3"/>
    </sheetView>
  </sheetViews>
  <sheetFormatPr baseColWidth="10" defaultColWidth="9.5" defaultRowHeight="15" outlineLevelRow="1"/>
  <cols>
    <col width="4" customWidth="1" style="1189" min="1" max="2"/>
    <col width="30.33203125" customWidth="1" style="1190" min="3" max="3"/>
    <col width="30.33203125" customWidth="1" style="1191" min="4" max="4"/>
    <col width="13" customWidth="1" style="1192" min="5" max="5"/>
    <col width="38.5" customWidth="1" style="1189" min="6" max="6"/>
    <col width="9.5" customWidth="1" style="1190" min="7" max="7"/>
    <col width="13.1640625" customWidth="1" style="1190" min="8" max="8"/>
    <col width="27.5" customWidth="1" style="1190" min="9" max="9"/>
    <col width="7.33203125" customWidth="1" style="1190" min="10" max="10"/>
    <col width="4.83203125" customWidth="1" style="1190" min="11" max="11"/>
    <col width="9.5" customWidth="1" style="1190" min="12" max="12"/>
    <col width="11.5" customWidth="1" style="1190" min="13" max="13"/>
    <col width="9.6640625" customWidth="1" style="1190" min="14" max="14"/>
    <col width="9.5" customWidth="1" style="1190" min="15" max="16"/>
    <col width="11.1640625" customWidth="1" style="1190" min="17" max="17"/>
    <col width="12.33203125" customWidth="1" style="1190" min="18" max="18"/>
    <col width="9.5" customWidth="1" style="1190" min="19" max="20"/>
    <col width="13.33203125" customWidth="1" style="1190" min="21" max="21"/>
    <col width="11.83203125" customWidth="1" style="1190" min="22" max="22"/>
    <col width="9.5" customWidth="1" style="1190" min="23" max="16384"/>
  </cols>
  <sheetData>
    <row r="1" ht="20" customFormat="1" customHeight="1" s="1193" thickBot="1">
      <c r="A1" s="268" t="n"/>
      <c r="B1" s="268" t="n"/>
      <c r="D1" s="1194" t="n"/>
      <c r="F1" s="1195" t="n"/>
      <c r="K1" s="1194" t="n"/>
      <c r="L1" s="1194" t="n"/>
    </row>
    <row r="2" ht="20" customFormat="1" customHeight="1" s="1193" thickBot="1">
      <c r="A2" s="268" t="inlineStr">
        <is>
          <t>Apartment Soft Cost Detail</t>
        </is>
      </c>
      <c r="B2" s="268" t="n"/>
      <c r="C2" s="271" t="n"/>
      <c r="D2" s="272" t="n"/>
      <c r="E2" s="1196" t="n"/>
      <c r="F2" s="1197" t="inlineStr">
        <is>
          <t>&lt;--  Type "Help" to reset circular references</t>
        </is>
      </c>
      <c r="G2" s="1198" t="n"/>
      <c r="H2" s="271" t="n"/>
      <c r="I2" s="271" t="n"/>
    </row>
    <row r="3">
      <c r="A3" s="273" t="n"/>
      <c r="B3" s="273" t="n"/>
      <c r="C3" s="274" t="n"/>
      <c r="D3" s="275" t="n"/>
      <c r="E3" s="276" t="n"/>
      <c r="F3" s="273" t="n"/>
      <c r="G3" s="274" t="n"/>
      <c r="H3" s="274" t="n"/>
      <c r="I3" s="274" t="n"/>
    </row>
    <row r="4">
      <c r="A4" s="278" t="n"/>
      <c r="B4" s="278" t="n"/>
      <c r="C4" s="279" t="inlineStr">
        <is>
          <t>Description</t>
        </is>
      </c>
      <c r="D4" s="280" t="inlineStr">
        <is>
          <t>Amount</t>
        </is>
      </c>
      <c r="E4" s="276" t="inlineStr">
        <is>
          <t>Totals</t>
        </is>
      </c>
      <c r="F4" s="612" t="inlineStr">
        <is>
          <t>Comments</t>
        </is>
      </c>
      <c r="G4" s="274" t="n"/>
      <c r="H4" s="274" t="n"/>
      <c r="I4" s="274" t="n"/>
    </row>
    <row r="5">
      <c r="A5" s="273" t="n"/>
      <c r="B5" s="273" t="n"/>
      <c r="C5" s="274" t="n"/>
      <c r="D5" s="275" t="n"/>
      <c r="E5" s="276" t="n"/>
      <c r="F5" s="273" t="n"/>
      <c r="G5" s="661">
        <f>Summary!E60</f>
        <v/>
      </c>
      <c r="H5" s="274" t="n"/>
      <c r="I5" s="706" t="inlineStr">
        <is>
          <t>Land Sale Comps</t>
        </is>
      </c>
      <c r="J5" s="1199" t="inlineStr">
        <is>
          <t>Acres</t>
        </is>
      </c>
      <c r="K5" s="1199" t="inlineStr">
        <is>
          <t>Units</t>
        </is>
      </c>
      <c r="L5" s="1199" t="inlineStr">
        <is>
          <t>Sale Date</t>
        </is>
      </c>
      <c r="M5" s="1199" t="inlineStr">
        <is>
          <t>Sale Price</t>
        </is>
      </c>
      <c r="N5" s="1199" t="inlineStr">
        <is>
          <t>Price/Acre</t>
        </is>
      </c>
      <c r="O5" s="1199" t="inlineStr">
        <is>
          <t>Price/Unit</t>
        </is>
      </c>
    </row>
    <row r="6">
      <c r="A6" s="278" t="n"/>
      <c r="B6" s="279" t="inlineStr">
        <is>
          <t>LAND</t>
        </is>
      </c>
      <c r="C6" s="314" t="n"/>
      <c r="E6" s="1200">
        <f>SUM(D7:D12)</f>
        <v/>
      </c>
      <c r="F6" s="1201" t="n"/>
      <c r="G6" s="274" t="n"/>
      <c r="H6" s="274" t="n"/>
      <c r="I6" s="274" t="n"/>
      <c r="J6" s="1202" t="n"/>
      <c r="K6" s="273" t="n"/>
      <c r="L6" s="504" t="n"/>
      <c r="N6" s="1190">
        <f>IFERROR(M6/J6,0)</f>
        <v/>
      </c>
      <c r="O6" s="1190">
        <f>IFERROR(M6/K6,0)</f>
        <v/>
      </c>
    </row>
    <row r="7" outlineLevel="1">
      <c r="A7" s="273" t="n"/>
      <c r="B7" s="273" t="n"/>
      <c r="C7" s="314" t="inlineStr">
        <is>
          <t>Land</t>
        </is>
      </c>
      <c r="D7" s="1203" t="n"/>
      <c r="E7" s="1200" t="n"/>
      <c r="F7" s="1201" t="n"/>
      <c r="G7" s="274" t="n"/>
      <c r="H7" s="274" t="n"/>
      <c r="I7" s="274" t="n"/>
      <c r="J7" s="1202" t="n"/>
      <c r="K7" s="273" t="n"/>
      <c r="L7" s="504" t="n"/>
      <c r="N7" s="1190">
        <f>IFERROR(M7/J7,0)</f>
        <v/>
      </c>
      <c r="O7" s="1190">
        <f>IFERROR(M7/K7,0)</f>
        <v/>
      </c>
    </row>
    <row r="8" outlineLevel="1">
      <c r="A8" s="273" t="n"/>
      <c r="B8" s="273" t="n"/>
      <c r="C8" s="314" t="inlineStr">
        <is>
          <t>Escrow Deposit</t>
        </is>
      </c>
      <c r="D8" s="1203" t="n"/>
      <c r="E8" s="1200" t="n"/>
      <c r="F8" s="1204" t="n"/>
      <c r="G8" s="274" t="n"/>
      <c r="H8" s="274" t="n"/>
      <c r="I8" s="1205" t="n"/>
      <c r="J8" s="1202" t="n"/>
      <c r="K8" s="273" t="n"/>
      <c r="L8" s="504" t="n"/>
      <c r="N8" s="1190">
        <f>IFERROR(M8/J8,0)</f>
        <v/>
      </c>
      <c r="O8" s="1190">
        <f>IFERROR(M8/K8,0)</f>
        <v/>
      </c>
    </row>
    <row r="9" outlineLevel="1">
      <c r="A9" s="273" t="n"/>
      <c r="B9" s="273" t="n"/>
      <c r="C9" s="314" t="inlineStr">
        <is>
          <t>Extension Fees</t>
        </is>
      </c>
      <c r="D9" s="1203" t="n"/>
      <c r="E9" s="1200" t="n"/>
      <c r="F9" s="1204" t="n"/>
      <c r="G9" s="274" t="n"/>
      <c r="H9" s="274" t="n"/>
      <c r="J9" s="1202" t="n"/>
      <c r="K9" s="273" t="n"/>
      <c r="L9" s="504" t="n"/>
      <c r="N9" s="1190">
        <f>IFERROR(M9/J9,0)</f>
        <v/>
      </c>
      <c r="O9" s="1190">
        <f>IFERROR(M9/K9,0)</f>
        <v/>
      </c>
    </row>
    <row r="10" outlineLevel="1">
      <c r="A10" s="273" t="n"/>
      <c r="B10" s="273" t="n"/>
      <c r="C10" s="314" t="inlineStr">
        <is>
          <t>Commissions</t>
        </is>
      </c>
      <c r="D10" s="1203" t="n"/>
      <c r="E10" s="1200" t="n"/>
      <c r="F10" s="1206" t="n"/>
      <c r="G10" s="274" t="n"/>
      <c r="H10" s="274" t="n"/>
      <c r="I10" s="274" t="n"/>
      <c r="J10" s="1202" t="n"/>
      <c r="K10" s="273" t="n"/>
      <c r="L10" s="504" t="n"/>
      <c r="N10" s="1190">
        <f>IFERROR(M10/J10,0)</f>
        <v/>
      </c>
      <c r="O10" s="1190">
        <f>IFERROR(M10/K10,0)</f>
        <v/>
      </c>
    </row>
    <row r="11" outlineLevel="1">
      <c r="A11" s="273" t="n"/>
      <c r="B11" s="273" t="n"/>
      <c r="C11" s="314" t="inlineStr">
        <is>
          <t>Land Loan Interest</t>
        </is>
      </c>
      <c r="D11" s="1203" t="n"/>
      <c r="E11" s="1200" t="n"/>
      <c r="F11" s="1204" t="n"/>
      <c r="G11" s="274" t="n"/>
      <c r="H11" s="274" t="n"/>
      <c r="N11" s="1190">
        <f>IFERROR(M12/J12,0)</f>
        <v/>
      </c>
      <c r="O11" s="1190">
        <f>IFERROR(M11/K11,0)</f>
        <v/>
      </c>
    </row>
    <row r="12" outlineLevel="1">
      <c r="A12" s="273" t="n"/>
      <c r="B12" s="273" t="n"/>
      <c r="C12" s="312" t="inlineStr">
        <is>
          <t>Other Unallocated</t>
        </is>
      </c>
      <c r="D12" s="1203" t="n"/>
      <c r="E12" s="1200" t="n"/>
      <c r="F12" s="1204" t="n"/>
      <c r="G12" s="274" t="n"/>
      <c r="H12" s="274" t="n"/>
      <c r="I12" s="274" t="n"/>
      <c r="J12" s="1202" t="n"/>
      <c r="K12" s="273" t="n"/>
      <c r="L12" s="504" t="n"/>
    </row>
    <row r="13">
      <c r="A13" s="278" t="n"/>
      <c r="B13" s="291" t="inlineStr">
        <is>
          <t>ARCHITECT</t>
        </is>
      </c>
      <c r="C13" s="314" t="n"/>
      <c r="D13" s="1207" t="n"/>
      <c r="E13" s="1200">
        <f>SUM(D14:D28)</f>
        <v/>
      </c>
    </row>
    <row r="14" outlineLevel="1">
      <c r="A14" s="273" t="n"/>
      <c r="B14" s="284" t="n"/>
      <c r="C14" s="314" t="inlineStr">
        <is>
          <t>Architect</t>
        </is>
      </c>
      <c r="D14" s="1203" t="n"/>
      <c r="E14" s="1200" t="n"/>
      <c r="F14" s="1208" t="n"/>
    </row>
    <row r="15" outlineLevel="1">
      <c r="A15" s="273" t="n"/>
      <c r="B15" s="284" t="n"/>
      <c r="C15" s="314" t="inlineStr">
        <is>
          <t>Land Planning</t>
        </is>
      </c>
      <c r="D15" s="1203" t="n"/>
      <c r="E15" s="1200" t="n"/>
      <c r="F15" s="1204" t="n"/>
    </row>
    <row r="16" outlineLevel="1">
      <c r="A16" s="273" t="n"/>
      <c r="B16" s="284" t="n"/>
      <c r="C16" s="314" t="inlineStr">
        <is>
          <t>Schematic Design</t>
        </is>
      </c>
      <c r="D16" s="1203" t="n"/>
      <c r="E16" s="1200" t="n"/>
      <c r="F16" s="1204" t="n"/>
      <c r="G16" s="662" t="n"/>
      <c r="H16" s="662" t="n"/>
    </row>
    <row r="17" outlineLevel="1">
      <c r="A17" s="273" t="n"/>
      <c r="B17" s="284" t="n"/>
      <c r="C17" s="314" t="inlineStr">
        <is>
          <t>Design Development</t>
        </is>
      </c>
      <c r="D17" s="1203" t="n"/>
      <c r="E17" s="1200" t="n"/>
      <c r="F17" s="1204" t="n"/>
      <c r="G17" s="275" t="n"/>
      <c r="H17" s="275" t="n"/>
    </row>
    <row r="18" outlineLevel="1">
      <c r="A18" s="273" t="n"/>
      <c r="B18" s="284" t="n"/>
      <c r="C18" s="314" t="inlineStr">
        <is>
          <t>Construction Drawings</t>
        </is>
      </c>
      <c r="D18" s="1203" t="n"/>
      <c r="E18" s="1200" t="n"/>
      <c r="F18" s="1204" t="n"/>
      <c r="G18" s="1209" t="n"/>
      <c r="H18" s="274" t="n"/>
    </row>
    <row r="19" outlineLevel="1">
      <c r="A19" s="273" t="n"/>
      <c r="B19" s="284" t="n"/>
      <c r="C19" s="314" t="inlineStr">
        <is>
          <t>Construction Administration</t>
        </is>
      </c>
      <c r="D19" s="1203" t="n"/>
      <c r="E19" s="1200" t="n"/>
      <c r="F19" s="1204" t="n"/>
      <c r="G19" s="1209" t="n"/>
      <c r="H19" s="274" t="n"/>
    </row>
    <row r="20" outlineLevel="1">
      <c r="A20" s="273" t="n"/>
      <c r="B20" s="284" t="n"/>
      <c r="C20" s="314" t="inlineStr">
        <is>
          <t>M/E/P</t>
        </is>
      </c>
      <c r="D20" s="1203" t="n"/>
      <c r="E20" s="1200" t="n"/>
      <c r="F20" s="1208" t="n"/>
      <c r="H20" s="661" t="n"/>
    </row>
    <row r="21" outlineLevel="1">
      <c r="A21" s="273" t="n"/>
      <c r="B21" s="284" t="n"/>
      <c r="C21" s="314" t="inlineStr">
        <is>
          <t xml:space="preserve">Structural  </t>
        </is>
      </c>
      <c r="D21" s="1203" t="n"/>
      <c r="E21" s="1200" t="n"/>
      <c r="F21" s="1208" t="n"/>
    </row>
    <row r="22" outlineLevel="1">
      <c r="A22" s="273" t="n"/>
      <c r="B22" s="284" t="n"/>
      <c r="C22" s="314" t="inlineStr">
        <is>
          <t>Additional Services</t>
        </is>
      </c>
      <c r="D22" s="1203" t="n"/>
      <c r="E22" s="1200" t="n"/>
      <c r="F22" s="1204" t="n"/>
    </row>
    <row r="23" outlineLevel="1">
      <c r="A23" s="273" t="n"/>
      <c r="B23" s="284" t="n"/>
      <c r="C23" s="314" t="inlineStr">
        <is>
          <t>Owner Revisions</t>
        </is>
      </c>
      <c r="D23" s="1203" t="n"/>
      <c r="E23" s="1200" t="n"/>
      <c r="F23" s="1204" t="n"/>
    </row>
    <row r="24" outlineLevel="1" customFormat="1" s="1210">
      <c r="A24" s="284" t="n"/>
      <c r="B24" s="284" t="n"/>
      <c r="C24" s="314" t="inlineStr">
        <is>
          <t>Reimbursable</t>
        </is>
      </c>
      <c r="D24" s="1203" t="n"/>
      <c r="E24" s="1211" t="n"/>
      <c r="F24" s="1208" t="n"/>
      <c r="I24" s="1212" t="n"/>
    </row>
    <row r="25" outlineLevel="1" customFormat="1" s="1210">
      <c r="A25" s="284" t="n"/>
      <c r="B25" s="284" t="n"/>
      <c r="C25" s="314" t="inlineStr">
        <is>
          <t>Site Visits</t>
        </is>
      </c>
      <c r="D25" s="1203" t="n"/>
      <c r="E25" s="1200" t="n"/>
      <c r="F25" s="1208" t="n"/>
    </row>
    <row r="26" outlineLevel="1" customFormat="1" s="1210">
      <c r="A26" s="284" t="n"/>
      <c r="B26" s="284" t="n"/>
      <c r="C26" s="314" t="inlineStr">
        <is>
          <t>Landscape Design</t>
        </is>
      </c>
      <c r="D26" s="1203" t="n"/>
      <c r="E26" s="1200" t="n"/>
      <c r="F26" s="1208" t="n"/>
    </row>
    <row r="27" outlineLevel="1" customFormat="1" s="1210">
      <c r="A27" s="284" t="n"/>
      <c r="B27" s="284" t="n"/>
      <c r="C27" s="314" t="inlineStr">
        <is>
          <t>Interior Design</t>
        </is>
      </c>
      <c r="D27" s="1203" t="n"/>
      <c r="E27" s="1211" t="n"/>
      <c r="F27" s="1208" t="n"/>
    </row>
    <row r="28" outlineLevel="1" customFormat="1" s="1210">
      <c r="A28" s="284" t="n"/>
      <c r="B28" s="284" t="n"/>
      <c r="C28" s="312" t="inlineStr">
        <is>
          <t>Other Unallocated</t>
        </is>
      </c>
      <c r="D28" s="1203" t="n"/>
      <c r="E28" s="1211" t="n"/>
      <c r="F28" s="1208" t="n"/>
    </row>
    <row r="29" customFormat="1" s="1210">
      <c r="A29" s="290" t="n"/>
      <c r="B29" s="291" t="inlineStr">
        <is>
          <t>ENVIRONMENTAL</t>
        </is>
      </c>
      <c r="C29" s="314" t="n"/>
      <c r="D29" s="1207" t="n"/>
      <c r="E29" s="1211">
        <f>SUM(D30:D35)</f>
        <v/>
      </c>
      <c r="F29" s="1213" t="n"/>
    </row>
    <row r="30" outlineLevel="1" customFormat="1" s="1210">
      <c r="A30" s="284" t="n"/>
      <c r="B30" s="284" t="n"/>
      <c r="C30" s="314" t="inlineStr">
        <is>
          <t>Environmental Level I</t>
        </is>
      </c>
      <c r="D30" s="1203" t="n"/>
      <c r="E30" s="1211" t="n"/>
      <c r="F30" s="1208" t="n"/>
    </row>
    <row r="31" outlineLevel="1" customFormat="1" s="1210">
      <c r="A31" s="284" t="n"/>
      <c r="B31" s="284" t="n"/>
      <c r="C31" s="314" t="inlineStr">
        <is>
          <t>Environmental Level II</t>
        </is>
      </c>
      <c r="D31" s="1203" t="n"/>
      <c r="E31" s="1211" t="n"/>
      <c r="F31" s="1208" t="n"/>
    </row>
    <row r="32" outlineLevel="1" customFormat="1" s="1210">
      <c r="A32" s="284" t="n"/>
      <c r="B32" s="284" t="n"/>
      <c r="C32" s="314" t="inlineStr">
        <is>
          <t>Asbestos/Lead Testing</t>
        </is>
      </c>
      <c r="D32" s="1203" t="n"/>
      <c r="E32" s="1211" t="n"/>
      <c r="F32" s="1208" t="n"/>
    </row>
    <row r="33" outlineLevel="1" customFormat="1" s="1210">
      <c r="A33" s="284" t="n"/>
      <c r="B33" s="284" t="n"/>
      <c r="C33" s="314" t="inlineStr">
        <is>
          <t>Radon Testing/System Design</t>
        </is>
      </c>
      <c r="D33" s="1203" t="n"/>
      <c r="E33" s="1211" t="n"/>
      <c r="F33" s="1208" t="n"/>
    </row>
    <row r="34" outlineLevel="1" customFormat="1" s="1210">
      <c r="A34" s="284" t="n"/>
      <c r="B34" s="284" t="n"/>
      <c r="C34" s="314" t="inlineStr">
        <is>
          <t>Rodent Letter</t>
        </is>
      </c>
      <c r="D34" s="1203" t="n"/>
      <c r="E34" s="1211" t="n"/>
      <c r="F34" s="1208" t="n"/>
      <c r="H34" s="1212" t="n"/>
    </row>
    <row r="35" outlineLevel="1" customFormat="1" s="1210">
      <c r="A35" s="284" t="n"/>
      <c r="B35" s="284" t="n"/>
      <c r="C35" s="312" t="inlineStr">
        <is>
          <t>Other Unallocated</t>
        </is>
      </c>
      <c r="D35" s="1203" t="n"/>
      <c r="E35" s="1211" t="n"/>
      <c r="F35" s="1208" t="n"/>
    </row>
    <row r="36" outlineLevel="1" customFormat="1" s="1210">
      <c r="A36" s="284" t="n"/>
      <c r="B36" s="284" t="n"/>
      <c r="C36" s="312" t="n"/>
      <c r="D36" s="1203" t="n"/>
      <c r="E36" s="1211" t="n"/>
      <c r="F36" s="1208" t="n"/>
    </row>
    <row r="37" customFormat="1" s="1210">
      <c r="A37" s="290" t="n"/>
      <c r="B37" s="291" t="inlineStr">
        <is>
          <t>SURVEY</t>
        </is>
      </c>
      <c r="C37" s="314" t="n"/>
      <c r="D37" s="1207" t="n"/>
      <c r="E37" s="1211">
        <f>SUM(D38:D45)</f>
        <v/>
      </c>
      <c r="F37" s="1213" t="n"/>
      <c r="G37" s="1214" t="n"/>
      <c r="H37" s="285" t="n"/>
    </row>
    <row r="38" outlineLevel="1" customFormat="1" s="1210">
      <c r="A38" s="284" t="n"/>
      <c r="B38" s="284" t="n"/>
      <c r="C38" s="314" t="inlineStr">
        <is>
          <t>Boundary Survey</t>
        </is>
      </c>
      <c r="D38" s="1203" t="n"/>
      <c r="E38" s="1211" t="n"/>
      <c r="F38" s="1208" t="n"/>
      <c r="G38" s="285" t="n"/>
      <c r="H38" s="285" t="n"/>
      <c r="I38" s="285" t="n"/>
    </row>
    <row r="39" outlineLevel="1" customFormat="1" s="1210">
      <c r="A39" s="284" t="n"/>
      <c r="B39" s="284" t="n"/>
      <c r="C39" s="314" t="inlineStr">
        <is>
          <t>ALTA/Topo Survey</t>
        </is>
      </c>
      <c r="D39" s="1203" t="n"/>
      <c r="E39" s="1211" t="n"/>
      <c r="F39" s="1208" t="n"/>
      <c r="G39" s="285" t="n"/>
      <c r="H39" s="285" t="n"/>
      <c r="I39" s="285" t="n"/>
    </row>
    <row r="40" outlineLevel="1" customFormat="1" s="1210">
      <c r="A40" s="284" t="n"/>
      <c r="B40" s="284" t="n"/>
      <c r="C40" s="314" t="inlineStr">
        <is>
          <t>Tree Survey</t>
        </is>
      </c>
      <c r="D40" s="1203" t="n"/>
      <c r="E40" s="1211" t="n"/>
      <c r="F40" s="1208" t="n"/>
      <c r="G40" s="285" t="n"/>
      <c r="H40" s="285" t="n"/>
      <c r="I40" s="285" t="n"/>
    </row>
    <row r="41" outlineLevel="1" customFormat="1" s="1210">
      <c r="A41" s="284" t="n"/>
      <c r="B41" s="284" t="n"/>
      <c r="C41" s="314" t="inlineStr">
        <is>
          <t>Construction Staking</t>
        </is>
      </c>
      <c r="D41" s="1203" t="n"/>
      <c r="E41" s="1211" t="n"/>
      <c r="F41" s="1208" t="n"/>
      <c r="G41" s="285" t="n"/>
      <c r="H41" s="285" t="n"/>
      <c r="I41" s="285" t="n"/>
    </row>
    <row r="42" outlineLevel="1" customFormat="1" s="1210">
      <c r="A42" s="284" t="n"/>
      <c r="B42" s="284" t="n"/>
      <c r="C42" s="314" t="inlineStr">
        <is>
          <t>Existing As-Builts</t>
        </is>
      </c>
      <c r="D42" s="1203" t="n"/>
      <c r="E42" s="1211" t="n"/>
      <c r="F42" s="1208" t="n"/>
      <c r="G42" s="285" t="n"/>
      <c r="H42" s="285" t="n"/>
      <c r="I42" s="285" t="n"/>
    </row>
    <row r="43" outlineLevel="1" customFormat="1" s="1210">
      <c r="A43" s="284" t="n"/>
      <c r="B43" s="284" t="n"/>
      <c r="C43" s="314" t="inlineStr">
        <is>
          <t>Final As-Builts</t>
        </is>
      </c>
      <c r="D43" s="1203" t="n"/>
      <c r="E43" s="1211" t="n"/>
      <c r="F43" s="1208" t="n"/>
      <c r="G43" s="285" t="n"/>
      <c r="H43" s="285" t="n"/>
      <c r="I43" s="285" t="n"/>
    </row>
    <row r="44" outlineLevel="1" customFormat="1" s="1210">
      <c r="A44" s="284" t="n"/>
      <c r="B44" s="284" t="n"/>
      <c r="C44" s="314" t="inlineStr">
        <is>
          <t>Reimbursables</t>
        </is>
      </c>
      <c r="D44" s="1203" t="n"/>
      <c r="E44" s="1211" t="n"/>
      <c r="F44" s="1208" t="n"/>
      <c r="G44" s="285" t="n"/>
      <c r="H44" s="285" t="n"/>
      <c r="I44" s="285" t="n"/>
    </row>
    <row r="45" outlineLevel="1" customFormat="1" s="1210">
      <c r="A45" s="284" t="n"/>
      <c r="B45" s="284" t="n"/>
      <c r="C45" s="312" t="inlineStr">
        <is>
          <t>Other Unallocated</t>
        </is>
      </c>
      <c r="D45" s="1203" t="n"/>
      <c r="E45" s="1211" t="n"/>
      <c r="F45" s="1208" t="n"/>
      <c r="G45" s="285" t="n"/>
      <c r="H45" s="285" t="n"/>
      <c r="I45" s="285" t="n"/>
    </row>
    <row r="46" customFormat="1" s="1210">
      <c r="A46" s="1215" t="n"/>
      <c r="B46" s="1216" t="inlineStr">
        <is>
          <t>CONSTRUCTION &amp; SOILS TESTING</t>
        </is>
      </c>
      <c r="C46" s="314" t="n"/>
      <c r="D46" s="1207" t="n"/>
      <c r="E46" s="1217">
        <f>SUM(D47:D51)</f>
        <v/>
      </c>
      <c r="F46" s="1213" t="n"/>
      <c r="G46" s="285" t="n"/>
      <c r="H46" s="285" t="n"/>
      <c r="I46" s="285" t="n"/>
    </row>
    <row r="47" outlineLevel="1" customFormat="1" s="1210">
      <c r="A47" s="1218" t="n"/>
      <c r="B47" s="1218" t="n"/>
      <c r="C47" s="314" t="inlineStr">
        <is>
          <t>Concrete Testing</t>
        </is>
      </c>
      <c r="D47" s="1203" t="n"/>
      <c r="E47" s="1217" t="n"/>
      <c r="F47" s="1213" t="n"/>
      <c r="G47" s="285" t="n"/>
      <c r="H47" s="285" t="n"/>
      <c r="I47" s="285" t="n"/>
    </row>
    <row r="48" outlineLevel="1" customFormat="1" s="1210">
      <c r="A48" s="1218" t="n"/>
      <c r="B48" s="1218" t="n"/>
      <c r="C48" s="314" t="inlineStr">
        <is>
          <t>Construction Testing</t>
        </is>
      </c>
      <c r="D48" s="1203" t="n"/>
      <c r="E48" s="1217" t="n"/>
      <c r="F48" s="1213" t="n"/>
      <c r="G48" s="285" t="n"/>
      <c r="H48" s="285" t="n"/>
      <c r="I48" s="285" t="n"/>
    </row>
    <row r="49" outlineLevel="1" customFormat="1" s="1210">
      <c r="A49" s="1218" t="n"/>
      <c r="B49" s="1218" t="n"/>
      <c r="C49" s="314" t="inlineStr">
        <is>
          <t>Geotech Report</t>
        </is>
      </c>
      <c r="D49" s="1203" t="n"/>
      <c r="E49" s="1217" t="n"/>
      <c r="F49" s="1213" t="n"/>
      <c r="G49" s="285" t="n"/>
      <c r="H49" s="285" t="n"/>
      <c r="I49" s="285" t="n"/>
    </row>
    <row r="50" outlineLevel="1" customFormat="1" s="1210">
      <c r="A50" s="1218" t="n"/>
      <c r="B50" s="1218" t="n"/>
      <c r="C50" s="314" t="inlineStr">
        <is>
          <t>Test Pits</t>
        </is>
      </c>
      <c r="D50" s="1203" t="n"/>
      <c r="E50" s="1217" t="n"/>
      <c r="F50" s="1213" t="n"/>
      <c r="G50" s="285" t="n"/>
      <c r="H50" s="285" t="n"/>
      <c r="I50" s="285" t="n"/>
    </row>
    <row r="51" outlineLevel="1" customFormat="1" s="1210">
      <c r="A51" s="1218" t="n"/>
      <c r="B51" s="1218" t="n"/>
      <c r="C51" s="312" t="inlineStr">
        <is>
          <t>Other Unallocated</t>
        </is>
      </c>
      <c r="D51" s="1203" t="n"/>
      <c r="E51" s="1217" t="n"/>
      <c r="F51" s="1213" t="n"/>
      <c r="G51" s="285" t="n"/>
      <c r="H51" s="285" t="n"/>
      <c r="I51" s="285" t="n"/>
    </row>
    <row r="52" customFormat="1" s="1210">
      <c r="A52" s="290" t="n"/>
      <c r="B52" s="279" t="inlineStr">
        <is>
          <t>ENGINEERING</t>
        </is>
      </c>
      <c r="C52" s="314" t="n"/>
      <c r="D52" s="1191" t="n"/>
      <c r="E52" s="1211">
        <f>SUM(D53:D63)</f>
        <v/>
      </c>
      <c r="F52" s="1213" t="n"/>
    </row>
    <row r="53" outlineLevel="1" customFormat="1" s="1210">
      <c r="A53" s="284" t="n"/>
      <c r="B53" s="273" t="n"/>
      <c r="C53" s="314" t="inlineStr">
        <is>
          <t>Feasibility Report</t>
        </is>
      </c>
      <c r="D53" s="1203" t="n"/>
      <c r="E53" s="1211" t="n"/>
      <c r="F53" s="1208" t="n"/>
      <c r="I53" s="285" t="n"/>
    </row>
    <row r="54" outlineLevel="1" customFormat="1" s="1210">
      <c r="A54" s="284" t="n"/>
      <c r="B54" s="273" t="n"/>
      <c r="C54" s="314" t="inlineStr">
        <is>
          <t>Civil/Site Engineering</t>
        </is>
      </c>
      <c r="D54" s="1203" t="n"/>
      <c r="E54" s="1211" t="n"/>
      <c r="F54" s="1208" t="n"/>
      <c r="I54" s="285" t="n"/>
    </row>
    <row r="55" outlineLevel="1" customFormat="1" s="1210">
      <c r="A55" s="284" t="n"/>
      <c r="B55" s="273" t="n"/>
      <c r="C55" s="314" t="inlineStr">
        <is>
          <t xml:space="preserve">Existing Plans </t>
        </is>
      </c>
      <c r="D55" s="1203" t="n"/>
      <c r="E55" s="1211" t="n"/>
      <c r="F55" s="1208" t="n"/>
      <c r="I55" s="285" t="n"/>
    </row>
    <row r="56" outlineLevel="1" customFormat="1" s="1210">
      <c r="A56" s="284" t="n"/>
      <c r="B56" s="273" t="n"/>
      <c r="C56" s="314" t="inlineStr">
        <is>
          <t>Reimbursables</t>
        </is>
      </c>
      <c r="D56" s="1203" t="n"/>
      <c r="E56" s="1211" t="n"/>
      <c r="F56" s="1208" t="n"/>
      <c r="G56" s="285" t="n"/>
      <c r="H56" s="285" t="n"/>
      <c r="I56" s="285" t="n"/>
    </row>
    <row r="57" outlineLevel="1" customFormat="1" s="1210">
      <c r="A57" s="284" t="n"/>
      <c r="B57" s="273" t="n"/>
      <c r="C57" s="314" t="inlineStr">
        <is>
          <t xml:space="preserve">LOMR/Flood Survey </t>
        </is>
      </c>
      <c r="D57" s="1203" t="n"/>
      <c r="E57" s="1211" t="n"/>
      <c r="F57" s="1208" t="n"/>
      <c r="G57" s="285" t="n"/>
      <c r="H57" s="285" t="n"/>
      <c r="I57" s="285" t="n"/>
    </row>
    <row r="58" outlineLevel="1" customFormat="1" s="1210">
      <c r="A58" s="284" t="n"/>
      <c r="B58" s="273" t="n"/>
      <c r="C58" s="314" t="inlineStr">
        <is>
          <t>Additional Services</t>
        </is>
      </c>
      <c r="D58" s="1203" t="n"/>
      <c r="E58" s="285" t="n"/>
      <c r="F58" s="1213" t="n"/>
      <c r="G58" s="285" t="n"/>
      <c r="H58" s="285" t="n"/>
      <c r="I58" s="285" t="n"/>
    </row>
    <row r="59" outlineLevel="1" customFormat="1" s="1210">
      <c r="A59" s="284" t="n"/>
      <c r="B59" s="273" t="n"/>
      <c r="C59" s="314" t="inlineStr">
        <is>
          <t>Utility Relocation</t>
        </is>
      </c>
      <c r="D59" s="1203" t="n"/>
      <c r="E59" s="285" t="n"/>
      <c r="F59" s="1213" t="n"/>
      <c r="G59" s="285" t="n"/>
      <c r="H59" s="285" t="n"/>
      <c r="I59" s="285" t="n"/>
    </row>
    <row r="60" outlineLevel="1" customFormat="1" s="1210">
      <c r="A60" s="284" t="n"/>
      <c r="B60" s="273" t="n"/>
      <c r="C60" s="314" t="inlineStr">
        <is>
          <t>Telecom Consulting</t>
        </is>
      </c>
      <c r="D60" s="1203">
        <f>2000*20</f>
        <v/>
      </c>
      <c r="E60" s="285" t="n"/>
      <c r="F60" s="1213" t="n"/>
      <c r="G60" s="285" t="n"/>
      <c r="H60" s="285" t="n"/>
      <c r="I60" s="285" t="n"/>
    </row>
    <row r="61" outlineLevel="1" customFormat="1" s="1210">
      <c r="A61" s="284" t="n"/>
      <c r="B61" s="273" t="n"/>
      <c r="C61" s="314" t="inlineStr">
        <is>
          <t>Building Envelope Consulting</t>
        </is>
      </c>
      <c r="D61" s="1203" t="n"/>
      <c r="E61" s="285" t="n"/>
      <c r="F61" s="1213" t="n"/>
      <c r="G61" s="285" t="n"/>
      <c r="H61" s="285" t="n"/>
      <c r="I61" s="285" t="n"/>
    </row>
    <row r="62" outlineLevel="1" customFormat="1" s="1210">
      <c r="A62" s="284" t="n"/>
      <c r="B62" s="273" t="n"/>
      <c r="C62" s="314" t="inlineStr">
        <is>
          <t>ADA Code Consulting</t>
        </is>
      </c>
      <c r="D62" s="1203" t="n"/>
      <c r="E62" s="285" t="n"/>
      <c r="F62" s="1213" t="n"/>
      <c r="G62" s="285" t="n"/>
      <c r="H62" s="285" t="n"/>
      <c r="I62" s="285" t="n"/>
    </row>
    <row r="63" outlineLevel="1" customFormat="1" s="1210">
      <c r="A63" s="284" t="n"/>
      <c r="B63" s="273" t="n"/>
      <c r="C63" s="312" t="inlineStr">
        <is>
          <t>Other Unallocated</t>
        </is>
      </c>
      <c r="D63" s="1203" t="n"/>
      <c r="E63" s="1211" t="n"/>
      <c r="F63" s="1208" t="n"/>
      <c r="G63" s="285" t="n"/>
      <c r="H63" s="285" t="n"/>
      <c r="I63" s="285" t="n"/>
    </row>
    <row r="64" customFormat="1" s="1210">
      <c r="A64" s="290" t="n"/>
      <c r="B64" s="291" t="inlineStr">
        <is>
          <t>LEGAL &amp; CLOSING</t>
        </is>
      </c>
      <c r="C64" s="314" t="n"/>
      <c r="D64" s="1219" t="n"/>
      <c r="E64" s="1211">
        <f>SUM(D65:D82)</f>
        <v/>
      </c>
      <c r="F64" s="1208" t="n"/>
      <c r="G64" s="1214" t="n"/>
      <c r="H64" s="285" t="n"/>
      <c r="I64" s="285" t="n"/>
    </row>
    <row r="65" outlineLevel="1" customFormat="1" s="1210">
      <c r="A65" s="284" t="n"/>
      <c r="B65" s="284" t="n"/>
      <c r="C65" s="314" t="inlineStr">
        <is>
          <t>Land Acquisition Documents</t>
        </is>
      </c>
      <c r="D65" s="1203" t="n"/>
      <c r="E65" s="1211" t="n"/>
      <c r="F65" s="1208" t="n"/>
      <c r="G65" s="274" t="n"/>
      <c r="H65" s="1190" t="n"/>
      <c r="I65" s="1190" t="n"/>
      <c r="J65" s="1190" t="n"/>
    </row>
    <row r="66" outlineLevel="1" customFormat="1" s="1210">
      <c r="A66" s="284" t="n"/>
      <c r="B66" s="284" t="n"/>
      <c r="C66" s="314" t="inlineStr">
        <is>
          <t>TPP Attorney</t>
        </is>
      </c>
      <c r="D66" s="1203" t="n"/>
      <c r="F66" s="1208" t="n"/>
      <c r="G66" s="670" t="n"/>
      <c r="H66" s="1190" t="n"/>
      <c r="I66" s="1220" t="n"/>
      <c r="J66" s="672" t="n"/>
    </row>
    <row r="67" outlineLevel="1" customFormat="1" s="1210">
      <c r="A67" s="284" t="n"/>
      <c r="B67" s="284" t="n"/>
      <c r="C67" s="314" t="inlineStr">
        <is>
          <t>TPP LLC Agreement</t>
        </is>
      </c>
      <c r="D67" s="1203" t="n"/>
      <c r="E67" s="1211" t="n"/>
      <c r="F67" s="1208" t="n"/>
      <c r="G67" s="673" t="n"/>
      <c r="H67" s="1190" t="n"/>
      <c r="I67" s="1221" t="n"/>
      <c r="J67" s="1221" t="n"/>
    </row>
    <row r="68" outlineLevel="1" customFormat="1" s="1210">
      <c r="A68" s="284" t="n"/>
      <c r="B68" s="284" t="n"/>
      <c r="C68" s="314" t="inlineStr">
        <is>
          <t>Equity Partner Attorney</t>
        </is>
      </c>
      <c r="D68" s="1203" t="n"/>
      <c r="E68" s="1211" t="n"/>
      <c r="F68" s="1213" t="n"/>
      <c r="G68" s="1220" t="n"/>
      <c r="H68" s="1190" t="n"/>
      <c r="I68" s="1221" t="n"/>
      <c r="J68" s="1221" t="n"/>
    </row>
    <row r="69" outlineLevel="1" customFormat="1" s="1210">
      <c r="A69" s="284" t="n"/>
      <c r="B69" s="284" t="n"/>
      <c r="C69" s="314" t="inlineStr">
        <is>
          <t>Construction Lender Attorney</t>
        </is>
      </c>
      <c r="D69" s="1203" t="n"/>
      <c r="E69" s="1211" t="n"/>
      <c r="F69" s="1208" t="n"/>
      <c r="G69" s="673" t="n"/>
      <c r="H69" s="1190" t="n"/>
      <c r="I69" s="1221" t="n"/>
      <c r="J69" s="1221" t="n"/>
    </row>
    <row r="70" outlineLevel="1" customFormat="1" s="1210">
      <c r="A70" s="284" t="n"/>
      <c r="B70" s="284" t="n"/>
      <c r="C70" s="314" t="inlineStr">
        <is>
          <t>Consultant Agreements</t>
        </is>
      </c>
      <c r="D70" s="1203" t="n"/>
      <c r="E70" s="1211" t="n"/>
      <c r="F70" s="1208" t="n"/>
      <c r="G70" s="673" t="n"/>
      <c r="H70" s="1190" t="n"/>
      <c r="I70" s="1221" t="n"/>
      <c r="J70" s="1221" t="n"/>
    </row>
    <row r="71" outlineLevel="1" customFormat="1" s="1210">
      <c r="A71" s="284" t="n"/>
      <c r="B71" s="284" t="n"/>
      <c r="C71" s="314" t="inlineStr">
        <is>
          <t>Zoning</t>
        </is>
      </c>
      <c r="D71" s="1203" t="n"/>
      <c r="E71" s="1211" t="n"/>
      <c r="F71" s="1208" t="n"/>
      <c r="G71" s="673" t="n"/>
      <c r="H71" s="1190" t="n"/>
      <c r="I71" s="1221" t="n"/>
      <c r="J71" s="1221" t="n"/>
    </row>
    <row r="72" outlineLevel="1" customFormat="1" s="1210">
      <c r="A72" s="284" t="n"/>
      <c r="B72" s="284" t="n"/>
      <c r="C72" s="314" t="inlineStr">
        <is>
          <t>Other Professional Fees</t>
        </is>
      </c>
      <c r="D72" s="1203" t="n"/>
      <c r="E72" s="1211" t="n"/>
      <c r="F72" s="1208" t="n"/>
      <c r="G72" s="673" t="n"/>
      <c r="H72" s="1190" t="n"/>
      <c r="I72" s="1221" t="n"/>
      <c r="J72" s="1221" t="n"/>
    </row>
    <row r="73" outlineLevel="1" customFormat="1" s="1210">
      <c r="A73" s="284" t="n"/>
      <c r="B73" s="284" t="n"/>
      <c r="C73" s="314" t="inlineStr">
        <is>
          <t>Postage/Courier</t>
        </is>
      </c>
      <c r="D73" s="1203" t="n"/>
      <c r="E73" s="1211" t="n"/>
      <c r="F73" s="1208" t="n"/>
      <c r="G73" s="1220" t="n"/>
      <c r="H73" s="1190" t="n"/>
      <c r="I73" s="1220" t="n"/>
      <c r="J73" s="1220" t="n"/>
    </row>
    <row r="74" outlineLevel="1" customFormat="1" s="1210">
      <c r="A74" s="284" t="n"/>
      <c r="B74" s="284" t="n"/>
      <c r="C74" s="314" t="inlineStr">
        <is>
          <t>Travel &amp; Entertainment</t>
        </is>
      </c>
      <c r="D74" s="1203" t="n"/>
      <c r="E74" s="1211" t="n"/>
      <c r="F74" s="1208" t="n"/>
      <c r="G74" s="675" t="n"/>
      <c r="H74" s="1190" t="n"/>
      <c r="I74" s="1220" t="n"/>
      <c r="J74" s="1220" t="n"/>
    </row>
    <row r="75" outlineLevel="1" customFormat="1" s="1210">
      <c r="A75" s="284" t="n"/>
      <c r="B75" s="284" t="n"/>
      <c r="C75" s="314" t="inlineStr">
        <is>
          <t>Title Insurance</t>
        </is>
      </c>
      <c r="D75" s="1203" t="n"/>
      <c r="E75" s="1211" t="n"/>
      <c r="F75" s="1213" t="n"/>
      <c r="G75" s="673" t="n"/>
      <c r="H75" s="1190" t="n"/>
      <c r="I75" s="1190" t="n"/>
      <c r="J75" s="1190" t="n"/>
    </row>
    <row r="76" outlineLevel="1" customFormat="1" s="1210">
      <c r="A76" s="284" t="n"/>
      <c r="B76" s="284" t="n"/>
      <c r="C76" s="314" t="inlineStr">
        <is>
          <t>Title Report</t>
        </is>
      </c>
      <c r="D76" s="1203" t="n"/>
      <c r="E76" s="1211" t="n"/>
      <c r="F76" s="1213" t="n"/>
      <c r="G76" s="673" t="n"/>
      <c r="H76" s="1190" t="n"/>
      <c r="I76" s="1220" t="n"/>
      <c r="J76" s="1220" t="n"/>
    </row>
    <row r="77" outlineLevel="1" customFormat="1" s="1210">
      <c r="A77" s="284" t="n"/>
      <c r="B77" s="284" t="n"/>
      <c r="C77" s="314" t="inlineStr">
        <is>
          <t>Documentary Stamps</t>
        </is>
      </c>
      <c r="D77" s="1203" t="n"/>
      <c r="E77" s="1211" t="n"/>
      <c r="F77" s="1208" t="n"/>
      <c r="G77" s="1190" t="n"/>
      <c r="H77" s="274" t="n"/>
      <c r="I77" s="274" t="n"/>
      <c r="J77" s="274" t="n"/>
    </row>
    <row r="78" outlineLevel="1" customFormat="1" s="1210">
      <c r="A78" s="284" t="n"/>
      <c r="B78" s="284" t="n"/>
      <c r="C78" s="314" t="inlineStr">
        <is>
          <t>Recording Fees</t>
        </is>
      </c>
      <c r="D78" s="1203" t="n"/>
      <c r="E78" s="1211" t="n"/>
      <c r="F78" s="1208" t="n"/>
    </row>
    <row r="79" outlineLevel="1" customFormat="1" s="1210">
      <c r="A79" s="284" t="n"/>
      <c r="B79" s="284" t="n"/>
      <c r="C79" s="314" t="inlineStr">
        <is>
          <t>Intangible Tax</t>
        </is>
      </c>
      <c r="D79" s="1203" t="n"/>
      <c r="E79" s="1211" t="n"/>
      <c r="F79" s="1208" t="n"/>
      <c r="T79" s="1222" t="inlineStr">
        <is>
          <t>Assumes Value Transaction Cost + 50% of Hard Costs * 60%</t>
        </is>
      </c>
      <c r="U79" s="1223" t="n"/>
      <c r="V79" s="1223" t="n"/>
    </row>
    <row r="80" outlineLevel="1" customFormat="1" s="1210">
      <c r="A80" s="284" t="n"/>
      <c r="B80" s="284" t="n"/>
      <c r="C80" s="314" t="inlineStr">
        <is>
          <t>Transfer Tax</t>
        </is>
      </c>
      <c r="D80" s="1203" t="n"/>
      <c r="E80" s="1211" t="n"/>
      <c r="F80" s="1208" t="n"/>
      <c r="L80" s="1224" t="inlineStr">
        <is>
          <t>Assumes Current Land Value</t>
        </is>
      </c>
      <c r="M80" s="1225" t="n"/>
      <c r="N80" s="1225" t="n"/>
      <c r="P80" s="1224" t="inlineStr">
        <is>
          <t>Assumes Value Transaction Cost</t>
        </is>
      </c>
      <c r="Q80" s="1225" t="n"/>
      <c r="R80" s="1225" t="n"/>
      <c r="T80" s="1225" t="n"/>
      <c r="U80" s="1225" t="n"/>
      <c r="V80" s="1225" t="n"/>
    </row>
    <row r="81" outlineLevel="1" customFormat="1" s="1210">
      <c r="A81" s="284" t="n"/>
      <c r="B81" s="284" t="n"/>
      <c r="C81" s="314" t="inlineStr">
        <is>
          <t>Reimbursable</t>
        </is>
      </c>
      <c r="D81" s="1203" t="n"/>
      <c r="E81" s="1211" t="n"/>
      <c r="F81" s="1208" t="n"/>
      <c r="G81" s="297" t="inlineStr">
        <is>
          <t>Property Tax Calculator</t>
        </is>
      </c>
      <c r="H81" s="298" t="n"/>
      <c r="I81" s="298" t="inlineStr">
        <is>
          <t>Based on:</t>
        </is>
      </c>
      <c r="J81" s="299" t="n"/>
      <c r="L81" s="1226">
        <f>+G82</f>
        <v/>
      </c>
      <c r="M81" s="1227" t="n"/>
      <c r="N81" s="1228" t="n"/>
      <c r="P81" s="1226">
        <f>+G83</f>
        <v/>
      </c>
      <c r="Q81" s="1227" t="n"/>
      <c r="R81" s="1228" t="n"/>
      <c r="T81" s="1226">
        <f>+G84</f>
        <v/>
      </c>
      <c r="U81" s="1227" t="n"/>
      <c r="V81" s="1228" t="n"/>
      <c r="X81" s="1210" t="inlineStr">
        <is>
          <t>Stabilized</t>
        </is>
      </c>
    </row>
    <row r="82" outlineLevel="1" customFormat="1" s="1210">
      <c r="A82" s="284" t="n"/>
      <c r="B82" s="284" t="n"/>
      <c r="C82" s="312" t="inlineStr">
        <is>
          <t>Other Unallocated</t>
        </is>
      </c>
      <c r="D82" s="1203" t="n"/>
      <c r="E82" s="1211" t="n"/>
      <c r="F82" s="1208" t="n"/>
      <c r="G82" s="1229">
        <f>YEAR(Summary!D13)</f>
        <v/>
      </c>
      <c r="H82" s="354">
        <f>+N95</f>
        <v/>
      </c>
      <c r="I82" s="1210" t="inlineStr">
        <is>
          <t>Land Value Only</t>
        </is>
      </c>
      <c r="J82" s="1230" t="n"/>
      <c r="L82" s="1231" t="inlineStr">
        <is>
          <t>Land Value</t>
        </is>
      </c>
      <c r="N82" s="1232" t="n"/>
      <c r="P82" s="1231" t="inlineStr">
        <is>
          <t>Land Value</t>
        </is>
      </c>
      <c r="R82" s="1233">
        <f>D7</f>
        <v/>
      </c>
      <c r="T82" s="1231" t="inlineStr">
        <is>
          <t>Land Value</t>
        </is>
      </c>
      <c r="V82" s="1233">
        <f>+D7</f>
        <v/>
      </c>
    </row>
    <row r="83" ht="15" customFormat="1" customHeight="1" s="1210">
      <c r="A83" s="290" t="n"/>
      <c r="B83" s="279" t="inlineStr">
        <is>
          <t>TAXES &amp; INSURANCE</t>
        </is>
      </c>
      <c r="C83" s="314" t="n"/>
      <c r="D83" s="1207" t="n"/>
      <c r="E83" s="1211">
        <f>SUM(D84:D89)</f>
        <v/>
      </c>
      <c r="F83" s="1213" t="n"/>
      <c r="G83" s="1229">
        <f>+G82+1</f>
        <v/>
      </c>
      <c r="H83" s="355">
        <f>+R95</f>
        <v/>
      </c>
      <c r="I83" s="1234" t="inlineStr">
        <is>
          <t>Land + % of Hard Costs</t>
        </is>
      </c>
      <c r="J83" s="1235" t="n"/>
      <c r="L83" s="1231" t="inlineStr">
        <is>
          <t>Value Adjustment</t>
        </is>
      </c>
      <c r="N83" s="1383" t="n"/>
      <c r="P83" s="1231" t="inlineStr">
        <is>
          <t>Construction Value</t>
        </is>
      </c>
      <c r="R83" s="1384" t="n"/>
      <c r="T83" s="1231" t="inlineStr">
        <is>
          <t>Construction Value</t>
        </is>
      </c>
      <c r="V83" s="1236">
        <f>+Hard_Costs*'Soft Cost Detail'!V92</f>
        <v/>
      </c>
    </row>
    <row r="84" outlineLevel="1" ht="15.75" customFormat="1" customHeight="1" s="1210">
      <c r="A84" s="302" t="n"/>
      <c r="B84" s="302" t="n"/>
      <c r="C84" s="314" t="inlineStr">
        <is>
          <t>Property Taxes</t>
        </is>
      </c>
      <c r="D84" s="1203">
        <f>H90</f>
        <v/>
      </c>
      <c r="E84" s="1211" t="n"/>
      <c r="F84" s="1237" t="n"/>
      <c r="G84" s="1229">
        <f>+G83+1</f>
        <v/>
      </c>
      <c r="H84" s="708">
        <f>+V95</f>
        <v/>
      </c>
      <c r="I84" s="1234" t="inlineStr">
        <is>
          <t>Land + % of Hard Costs</t>
        </is>
      </c>
      <c r="J84" s="1238" t="n"/>
      <c r="L84" s="1231" t="inlineStr">
        <is>
          <t>Net Value</t>
        </is>
      </c>
      <c r="N84" s="1233">
        <f>+N82*N83</f>
        <v/>
      </c>
      <c r="P84" s="1231" t="inlineStr">
        <is>
          <t>Total Value</t>
        </is>
      </c>
      <c r="R84" s="1233">
        <f>SUM(R82:R83)</f>
        <v/>
      </c>
      <c r="T84" s="1231" t="inlineStr">
        <is>
          <t>Total Value</t>
        </is>
      </c>
      <c r="V84" s="1233">
        <f>SUM(V82:V83)</f>
        <v/>
      </c>
    </row>
    <row r="85" outlineLevel="1" ht="16" customFormat="1" customHeight="1" s="1210">
      <c r="A85" s="284" t="n"/>
      <c r="B85" s="284" t="n"/>
      <c r="C85" s="314" t="inlineStr">
        <is>
          <t>Tax Consultants</t>
        </is>
      </c>
      <c r="D85" s="1203" t="n"/>
      <c r="E85" s="1211" t="n"/>
      <c r="F85" s="1208" t="n"/>
      <c r="G85" s="300" t="n"/>
      <c r="H85" s="354">
        <f>SUM(H82:H84)</f>
        <v/>
      </c>
      <c r="I85" s="1239" t="inlineStr">
        <is>
          <t>24 Months of taxes</t>
        </is>
      </c>
      <c r="J85" s="1235" t="n"/>
      <c r="L85" s="1231" t="n"/>
      <c r="N85" s="1233" t="n"/>
      <c r="P85" s="1231" t="inlineStr">
        <is>
          <t>Value Adjustment</t>
        </is>
      </c>
      <c r="R85" s="1385" t="n"/>
      <c r="T85" s="1231" t="inlineStr">
        <is>
          <t>Value Adjustment</t>
        </is>
      </c>
      <c r="V85" s="1385" t="n"/>
    </row>
    <row r="86" outlineLevel="1" ht="15" customFormat="1" customHeight="1" s="1210">
      <c r="A86" s="284" t="n"/>
      <c r="B86" s="284" t="n"/>
      <c r="C86" s="314" t="inlineStr">
        <is>
          <t>Insurance</t>
        </is>
      </c>
      <c r="D86" s="1203" t="n"/>
      <c r="E86" s="1211" t="n"/>
      <c r="F86" s="1208" t="n"/>
      <c r="G86" s="353" t="inlineStr">
        <is>
          <t>Less:</t>
        </is>
      </c>
      <c r="H86" s="1190">
        <f>-SUMIF('Draw and Leaseup Schedule'!E11:AN11,"&lt;25",'Draw and Leaseup Schedule'!E68:AN68)</f>
        <v/>
      </c>
      <c r="I86" s="285" t="inlineStr">
        <is>
          <t>Op Exp RE Taxes paid first 24 Months</t>
        </is>
      </c>
      <c r="J86" s="332" t="n"/>
      <c r="L86" s="1231" t="n"/>
      <c r="N86" s="1233" t="n"/>
      <c r="P86" s="1231" t="inlineStr">
        <is>
          <t>Net Value</t>
        </is>
      </c>
      <c r="R86" s="1233">
        <f>+R84*R85</f>
        <v/>
      </c>
      <c r="T86" s="1231" t="inlineStr">
        <is>
          <t>Net Value</t>
        </is>
      </c>
      <c r="V86" s="1233">
        <f>+V84*V85</f>
        <v/>
      </c>
    </row>
    <row r="87" outlineLevel="1" ht="15" customFormat="1" customHeight="1" s="1210">
      <c r="A87" s="284" t="n"/>
      <c r="B87" s="284" t="n"/>
      <c r="C87" s="314" t="inlineStr">
        <is>
          <t>Builder's Risk</t>
        </is>
      </c>
      <c r="D87" s="1203">
        <f>0.009*Hard_Costs</f>
        <v/>
      </c>
      <c r="E87" s="1211" t="n"/>
      <c r="F87" s="1208" t="n"/>
      <c r="G87" s="353" t="n"/>
      <c r="H87" s="1190" t="n"/>
      <c r="I87" s="285" t="n"/>
      <c r="J87" s="332" t="n"/>
      <c r="L87" s="1231" t="n"/>
      <c r="N87" s="1233" t="n"/>
      <c r="P87" s="1231" t="n"/>
      <c r="R87" s="1233" t="n"/>
      <c r="T87" s="1231" t="n"/>
      <c r="V87" s="1233" t="n"/>
    </row>
    <row r="88" outlineLevel="1" ht="15" customFormat="1" customHeight="1" s="1210">
      <c r="A88" s="284" t="n"/>
      <c r="B88" s="284" t="n"/>
      <c r="C88" s="314" t="inlineStr">
        <is>
          <t>Building Security Cameras</t>
        </is>
      </c>
      <c r="D88" s="1203" t="n"/>
      <c r="E88" s="1211" t="n"/>
      <c r="F88" s="1208" t="n"/>
      <c r="G88" s="353" t="n"/>
      <c r="H88" s="1190" t="n"/>
      <c r="I88" s="285" t="n"/>
      <c r="J88" s="332" t="n"/>
      <c r="L88" s="1231" t="n"/>
      <c r="N88" s="1233" t="n"/>
      <c r="P88" s="1231" t="n"/>
      <c r="R88" s="1233" t="n"/>
      <c r="T88" s="1231" t="n"/>
      <c r="V88" s="1233" t="n"/>
    </row>
    <row r="89" outlineLevel="1" customFormat="1" s="1210">
      <c r="A89" s="284" t="n"/>
      <c r="B89" s="284" t="n"/>
      <c r="C89" s="312" t="inlineStr">
        <is>
          <t>Other Unallocated</t>
        </is>
      </c>
      <c r="D89" s="1203" t="n"/>
      <c r="E89" s="1211" t="n"/>
      <c r="F89" s="1208" t="n"/>
      <c r="G89" s="1231" t="n"/>
      <c r="H89" s="1386" t="n"/>
      <c r="I89" s="1210" t="inlineStr">
        <is>
          <t>Tax Contingency</t>
        </is>
      </c>
      <c r="J89" s="1233" t="n"/>
      <c r="L89" s="1231" t="n"/>
      <c r="N89" s="1233" t="n"/>
      <c r="P89" s="1231" t="n"/>
      <c r="R89" s="1233" t="n"/>
      <c r="T89" s="1231" t="n"/>
      <c r="V89" s="1233" t="n"/>
    </row>
    <row r="90" customFormat="1" s="1210">
      <c r="A90" s="290" t="n"/>
      <c r="B90" s="291" t="inlineStr">
        <is>
          <t>FINANCING COSTS</t>
        </is>
      </c>
      <c r="C90" s="314" t="n"/>
      <c r="D90" s="1219" t="n"/>
      <c r="E90" s="1211">
        <f>SUM(D91:D114)</f>
        <v/>
      </c>
      <c r="F90" s="1208" t="n"/>
      <c r="G90" s="1231" t="n"/>
      <c r="H90" s="1241">
        <f>SUM(H85:H89)</f>
        <v/>
      </c>
      <c r="I90" s="1210" t="inlineStr">
        <is>
          <t>RE Tax Budget</t>
        </is>
      </c>
      <c r="J90" s="332" t="n"/>
      <c r="L90" s="1231" t="inlineStr">
        <is>
          <t>Millage Rate</t>
        </is>
      </c>
      <c r="N90" s="339">
        <f>+H95*1.01</f>
        <v/>
      </c>
      <c r="P90" s="1231" t="inlineStr">
        <is>
          <t>Millage Rate</t>
        </is>
      </c>
      <c r="R90" s="339">
        <f>+N90*1.01</f>
        <v/>
      </c>
      <c r="T90" s="1231" t="inlineStr">
        <is>
          <t>Millage Rate</t>
        </is>
      </c>
      <c r="V90" s="339">
        <f>+R90*1.01</f>
        <v/>
      </c>
    </row>
    <row r="91" customFormat="1" s="1210">
      <c r="A91" s="290" t="n"/>
      <c r="B91" s="291" t="n"/>
      <c r="C91" s="314" t="inlineStr">
        <is>
          <t>Construction Lender Fee</t>
        </is>
      </c>
      <c r="D91" s="1211">
        <f>IF($E$2="help",0,+Summary!O35)</f>
        <v/>
      </c>
      <c r="E91" s="1211" t="n"/>
      <c r="F91" s="1208" t="n"/>
      <c r="G91" s="1231" t="n"/>
      <c r="J91" s="1233" t="n"/>
      <c r="L91" s="1231" t="inlineStr">
        <is>
          <t>Assessment</t>
        </is>
      </c>
      <c r="N91" s="1242">
        <f>+H96</f>
        <v/>
      </c>
      <c r="P91" s="1231" t="inlineStr">
        <is>
          <t>Assessment</t>
        </is>
      </c>
      <c r="R91" s="1242">
        <f>+H96</f>
        <v/>
      </c>
      <c r="T91" s="1231" t="inlineStr">
        <is>
          <t>Assessment</t>
        </is>
      </c>
      <c r="V91" s="1242">
        <f>+H96</f>
        <v/>
      </c>
    </row>
    <row r="92" customFormat="1" s="1210">
      <c r="A92" s="290" t="n"/>
      <c r="B92" s="291" t="n"/>
      <c r="C92" s="314" t="inlineStr">
        <is>
          <t>Loan Broker Commissions</t>
        </is>
      </c>
      <c r="D92" s="1211">
        <f>IF($E$2="help",0,+Summary!O36)</f>
        <v/>
      </c>
      <c r="E92" s="1211" t="n"/>
      <c r="F92" s="1208" t="n"/>
      <c r="G92" s="1231" t="n"/>
      <c r="J92" s="1233" t="n"/>
      <c r="L92" s="1231" t="n"/>
      <c r="N92" s="1233" t="n"/>
      <c r="P92" s="1231" t="inlineStr">
        <is>
          <t>Percentage Complete</t>
        </is>
      </c>
      <c r="R92" s="1242">
        <f>(12-N93)/Summary!D15</f>
        <v/>
      </c>
      <c r="T92" s="1231" t="inlineStr">
        <is>
          <t>Percentage Complete</t>
        </is>
      </c>
      <c r="V92" s="1242">
        <f>MIN(1,((24-N93)/Summary!D15))</f>
        <v/>
      </c>
    </row>
    <row r="93" customFormat="1" s="1210">
      <c r="A93" s="290" t="n"/>
      <c r="B93" s="291" t="n"/>
      <c r="C93" s="314" t="inlineStr">
        <is>
          <t>Lender Administration Fee</t>
        </is>
      </c>
      <c r="D93" s="1203" t="n"/>
      <c r="E93" s="1211" t="n"/>
      <c r="F93" s="1208" t="n"/>
      <c r="G93" s="300" t="n"/>
      <c r="H93" s="1210">
        <f>+D7</f>
        <v/>
      </c>
      <c r="I93" s="1210" t="inlineStr">
        <is>
          <t>Land Value</t>
        </is>
      </c>
      <c r="J93" s="332" t="n"/>
      <c r="L93" s="1231" t="inlineStr">
        <is>
          <t>Month of Closing</t>
        </is>
      </c>
      <c r="N93" s="340">
        <f>MONTH(Summary!D13)</f>
        <v/>
      </c>
      <c r="P93" s="1231" t="inlineStr">
        <is>
          <t>Months in Prelease</t>
        </is>
      </c>
      <c r="R93" s="1387" t="n"/>
      <c r="T93" s="1231" t="inlineStr">
        <is>
          <t>Months in Prelease</t>
        </is>
      </c>
      <c r="V93" s="340">
        <f>24-R93-12+N93</f>
        <v/>
      </c>
    </row>
    <row r="94" customFormat="1" s="1210">
      <c r="A94" s="290" t="n"/>
      <c r="B94" s="291" t="n"/>
      <c r="C94" s="314" t="inlineStr">
        <is>
          <t>Mezzanine Application Fee</t>
        </is>
      </c>
      <c r="D94" s="1211">
        <f>IF($E$2="help",0,+Summary!O37)</f>
        <v/>
      </c>
      <c r="E94" s="1211" t="n"/>
      <c r="F94" s="1208" t="n"/>
      <c r="G94" s="300" t="n"/>
      <c r="H94" s="1243" t="n"/>
      <c r="I94" s="285" t="inlineStr">
        <is>
          <t>% of Value adjustment</t>
        </is>
      </c>
      <c r="J94" s="332" t="n"/>
      <c r="L94" s="1231" t="inlineStr">
        <is>
          <t>% of Year Owned</t>
        </is>
      </c>
      <c r="N94" s="1242">
        <f>(12-N93)/12</f>
        <v/>
      </c>
      <c r="P94" s="1231" t="inlineStr">
        <is>
          <t>% of Year in Prelease</t>
        </is>
      </c>
      <c r="R94" s="1242">
        <f>+R93/12</f>
        <v/>
      </c>
      <c r="T94" s="1231" t="inlineStr">
        <is>
          <t>% of Year in Prelease</t>
        </is>
      </c>
      <c r="V94" s="1242">
        <f>+V93/12</f>
        <v/>
      </c>
    </row>
    <row r="95" customFormat="1" s="1210">
      <c r="A95" s="290" t="n"/>
      <c r="B95" s="291" t="n"/>
      <c r="C95" s="314" t="inlineStr">
        <is>
          <t>Mezzanine Lender Fee</t>
        </is>
      </c>
      <c r="D95" s="1211">
        <f>IF($E$2="help",0,+Summary!O38)</f>
        <v/>
      </c>
      <c r="E95" s="1211" t="n"/>
      <c r="F95" s="1208" t="n"/>
      <c r="G95" s="300" t="n"/>
      <c r="H95" s="333" t="n"/>
      <c r="I95" s="285" t="inlineStr">
        <is>
          <t>Millage Rate (per $1,000)</t>
        </is>
      </c>
      <c r="J95" s="332" t="n"/>
      <c r="L95" s="1231" t="inlineStr">
        <is>
          <t>Taxes Owed</t>
        </is>
      </c>
      <c r="N95" s="1241">
        <f>(N84/1000)*N90*N91*N94</f>
        <v/>
      </c>
      <c r="P95" s="1231" t="inlineStr">
        <is>
          <t>Taxes Owed</t>
        </is>
      </c>
      <c r="R95" s="1241">
        <f>(R86/1000)*R90*R91*R94</f>
        <v/>
      </c>
      <c r="T95" s="1231" t="inlineStr">
        <is>
          <t>Taxes Owed</t>
        </is>
      </c>
      <c r="V95" s="1241">
        <f>(V86/1000)*V90*V91*V94</f>
        <v/>
      </c>
    </row>
    <row r="96" customFormat="1" s="1210">
      <c r="A96" s="290" t="n"/>
      <c r="B96" s="291" t="n"/>
      <c r="C96" s="314" t="inlineStr">
        <is>
          <t>Mezzanine Broker Commissions</t>
        </is>
      </c>
      <c r="D96" s="1211">
        <f>IF($E$2="help",0,+Summary!O39)</f>
        <v/>
      </c>
      <c r="E96" s="1211" t="n"/>
      <c r="F96" s="1208" t="n"/>
      <c r="G96" s="874" t="n"/>
      <c r="H96" s="710" t="n"/>
      <c r="I96" s="711" t="inlineStr">
        <is>
          <t>% of Assessed Value</t>
        </is>
      </c>
      <c r="J96" s="875" t="n"/>
      <c r="L96" s="1244" t="n"/>
      <c r="M96" s="1245" t="n"/>
      <c r="N96" s="1236" t="n"/>
      <c r="P96" s="1244" t="n"/>
      <c r="Q96" s="1245" t="n"/>
      <c r="R96" s="1236" t="n"/>
      <c r="T96" s="1244" t="n"/>
      <c r="U96" s="1245" t="n"/>
      <c r="V96" s="1236" t="n"/>
    </row>
    <row r="97" customFormat="1" s="1210">
      <c r="A97" s="290" t="n"/>
      <c r="B97" s="291" t="n"/>
      <c r="C97" s="314" t="inlineStr">
        <is>
          <t>Mezzanine Origination Fee</t>
        </is>
      </c>
      <c r="D97" s="1203" t="n"/>
      <c r="E97" s="1211" t="n"/>
      <c r="F97" s="1208" t="n"/>
      <c r="G97" s="285" t="n"/>
      <c r="H97" s="663" t="n"/>
      <c r="I97" s="285" t="n"/>
      <c r="J97" s="285" t="n"/>
    </row>
    <row r="98" customFormat="1" s="1210">
      <c r="A98" s="290" t="n"/>
      <c r="B98" s="291" t="n"/>
      <c r="C98" s="314" t="inlineStr">
        <is>
          <t>Equity Commitment Fee</t>
        </is>
      </c>
      <c r="D98" s="1211">
        <f>IF($E$2="help",0,+Summary!O40)</f>
        <v/>
      </c>
      <c r="E98" s="1211" t="n"/>
      <c r="F98" s="1208" t="n"/>
    </row>
    <row r="99" customFormat="1" s="1210">
      <c r="A99" s="290" t="n"/>
      <c r="B99" s="291" t="n"/>
      <c r="C99" s="314" t="inlineStr">
        <is>
          <t>Equity Broker Commissions</t>
        </is>
      </c>
      <c r="D99" s="1211">
        <f>IF($E$2="help",0,+Summary!O41)</f>
        <v/>
      </c>
      <c r="E99" s="1211" t="n"/>
      <c r="F99" s="1208" t="n"/>
      <c r="G99" s="285" t="n"/>
      <c r="H99" s="1246" t="n"/>
      <c r="I99" s="285" t="n"/>
    </row>
    <row r="100" outlineLevel="1" customFormat="1" s="1210">
      <c r="A100" s="284" t="n"/>
      <c r="B100" s="284" t="n"/>
      <c r="C100" s="314" t="inlineStr">
        <is>
          <t>Permanent Commitment</t>
        </is>
      </c>
      <c r="D100" s="1203" t="n"/>
      <c r="E100" s="1211" t="n"/>
      <c r="F100" s="1208" t="n"/>
      <c r="H100" s="1247" t="n"/>
    </row>
    <row r="101" outlineLevel="1" customFormat="1" s="1210">
      <c r="A101" s="284" t="n"/>
      <c r="B101" s="284" t="n"/>
      <c r="C101" s="314" t="inlineStr">
        <is>
          <t>Permanent Lender Fee</t>
        </is>
      </c>
      <c r="D101" s="1203" t="n"/>
      <c r="E101" s="1211" t="n"/>
      <c r="F101" s="1248" t="n"/>
    </row>
    <row r="102" outlineLevel="1" customFormat="1" s="1210">
      <c r="A102" s="284" t="n"/>
      <c r="B102" s="284" t="n"/>
      <c r="C102" s="314" t="inlineStr">
        <is>
          <t>Syndication Fee</t>
        </is>
      </c>
      <c r="D102" s="1203" t="n"/>
      <c r="E102" s="1211" t="n"/>
      <c r="F102" s="1248" t="n"/>
      <c r="G102" s="285" t="n"/>
      <c r="H102" s="285" t="n"/>
      <c r="I102" s="285" t="n"/>
      <c r="M102" s="1249" t="n"/>
    </row>
    <row r="103" outlineLevel="1" customFormat="1" s="1210">
      <c r="A103" s="284" t="n"/>
      <c r="B103" s="284" t="n"/>
      <c r="C103" s="314" t="inlineStr">
        <is>
          <t>Land Loan Fee</t>
        </is>
      </c>
      <c r="D103" s="1203" t="n"/>
      <c r="E103" s="1211" t="n"/>
      <c r="F103" s="1248" t="n"/>
      <c r="G103" s="285" t="n"/>
      <c r="H103" s="285" t="n"/>
      <c r="I103" s="285" t="n"/>
    </row>
    <row r="104" outlineLevel="1" customFormat="1" s="1210">
      <c r="A104" s="284" t="n"/>
      <c r="B104" s="284" t="n"/>
      <c r="C104" s="314" t="inlineStr">
        <is>
          <t>Appraisal</t>
        </is>
      </c>
      <c r="D104" s="1203" t="n"/>
      <c r="E104" s="1211" t="n"/>
      <c r="F104" s="1208" t="n"/>
      <c r="G104" s="285" t="n"/>
      <c r="H104" s="285" t="n"/>
      <c r="I104" s="285" t="n"/>
      <c r="M104" s="1249" t="n"/>
    </row>
    <row r="105" outlineLevel="1" customFormat="1" s="1210">
      <c r="A105" s="284" t="n"/>
      <c r="B105" s="284" t="n"/>
      <c r="C105" s="314" t="inlineStr">
        <is>
          <t>Partner Inspector</t>
        </is>
      </c>
      <c r="D105" s="1203" t="n"/>
      <c r="E105" s="1211" t="n"/>
      <c r="F105" s="1208" t="n"/>
      <c r="G105" s="285" t="n"/>
      <c r="H105" s="285" t="n"/>
      <c r="I105" s="285" t="n"/>
      <c r="M105" s="1249" t="n"/>
      <c r="N105" s="1250" t="n"/>
    </row>
    <row r="106" outlineLevel="1" customFormat="1" s="1210">
      <c r="A106" s="284" t="n"/>
      <c r="B106" s="284" t="n"/>
      <c r="C106" s="314" t="inlineStr">
        <is>
          <t>Lender Inspector</t>
        </is>
      </c>
      <c r="D106" s="1203" t="n"/>
      <c r="E106" s="1211" t="n"/>
      <c r="F106" s="1208" t="n"/>
      <c r="G106" s="285" t="n"/>
      <c r="H106" s="285" t="n"/>
      <c r="I106" s="285" t="n"/>
      <c r="M106" s="1249" t="n"/>
      <c r="N106" s="605" t="n"/>
    </row>
    <row r="107" outlineLevel="1" customFormat="1" s="1210">
      <c r="A107" s="284" t="n"/>
      <c r="B107" s="284" t="n"/>
      <c r="C107" s="314" t="inlineStr">
        <is>
          <t>Feasibility</t>
        </is>
      </c>
      <c r="D107" s="1203" t="n"/>
      <c r="E107" s="1211" t="n"/>
      <c r="F107" s="1213" t="n"/>
      <c r="G107" s="285" t="n"/>
      <c r="M107" s="1249" t="n"/>
      <c r="N107" s="676" t="n"/>
    </row>
    <row r="108" outlineLevel="1" customFormat="1" s="1210">
      <c r="A108" s="284" t="n"/>
      <c r="B108" s="284" t="n"/>
      <c r="C108" s="314" t="inlineStr">
        <is>
          <t>Market Study</t>
        </is>
      </c>
      <c r="D108" s="1203" t="n"/>
      <c r="E108" s="1211" t="n"/>
      <c r="F108" s="1208" t="n"/>
      <c r="G108" s="285" t="n"/>
    </row>
    <row r="109" outlineLevel="1" customFormat="1" s="1210">
      <c r="A109" s="284" t="n"/>
      <c r="B109" s="284" t="n"/>
      <c r="C109" s="314" t="inlineStr">
        <is>
          <t>Plan Review</t>
        </is>
      </c>
      <c r="D109" s="1203" t="n"/>
      <c r="E109" s="1211" t="n"/>
      <c r="F109" s="1208" t="n"/>
      <c r="G109" s="285" t="n"/>
    </row>
    <row r="110" outlineLevel="1" customFormat="1" s="1210">
      <c r="A110" s="284" t="n"/>
      <c r="B110" s="284" t="n"/>
      <c r="C110" s="314" t="inlineStr">
        <is>
          <t>Financing Package</t>
        </is>
      </c>
      <c r="D110" s="1203" t="n"/>
      <c r="E110" s="1211" t="n"/>
      <c r="F110" s="1208" t="n"/>
      <c r="G110" s="285" t="n"/>
    </row>
    <row r="111" outlineLevel="1" customFormat="1" s="1210">
      <c r="A111" s="284" t="n"/>
      <c r="B111" s="284" t="n"/>
      <c r="C111" s="314" t="inlineStr">
        <is>
          <t>Equity Due Diligence</t>
        </is>
      </c>
      <c r="D111" s="1203" t="n"/>
      <c r="E111" s="1211" t="n"/>
      <c r="F111" s="1208" t="n"/>
      <c r="G111" s="285" t="n"/>
    </row>
    <row r="112" outlineLevel="1" customFormat="1" s="1210">
      <c r="A112" s="284" t="n"/>
      <c r="B112" s="284" t="n"/>
      <c r="C112" s="314" t="inlineStr">
        <is>
          <t>Postage/Courier</t>
        </is>
      </c>
      <c r="D112" s="1203" t="n"/>
      <c r="E112" s="1211" t="n"/>
      <c r="F112" s="1208" t="n"/>
      <c r="G112" s="285" t="n"/>
    </row>
    <row r="113" outlineLevel="1" customFormat="1" s="1210">
      <c r="A113" s="284" t="n"/>
      <c r="B113" s="284" t="n"/>
      <c r="C113" s="314" t="inlineStr">
        <is>
          <t>Travel &amp; Entertainment</t>
        </is>
      </c>
      <c r="D113" s="1203" t="n"/>
      <c r="E113" s="1211" t="n"/>
      <c r="F113" s="1208" t="n"/>
      <c r="G113" s="285" t="n"/>
    </row>
    <row r="114" outlineLevel="1" customFormat="1" s="1210">
      <c r="A114" s="284" t="n"/>
      <c r="B114" s="284" t="n"/>
      <c r="C114" s="312" t="inlineStr">
        <is>
          <t>Other Unallocated</t>
        </is>
      </c>
      <c r="D114" s="1203" t="n"/>
      <c r="E114" s="1211" t="n"/>
      <c r="F114" s="1208" t="n"/>
      <c r="G114" s="285" t="n"/>
    </row>
    <row r="115" customFormat="1" s="1210">
      <c r="A115" s="290" t="n"/>
      <c r="B115" s="291" t="inlineStr">
        <is>
          <t>MUNI FEES &amp; BUILDING PERMITS</t>
        </is>
      </c>
      <c r="C115" s="314" t="n"/>
      <c r="D115" s="1219" t="n"/>
      <c r="E115" s="1211">
        <f>SUM(D116:D130)</f>
        <v/>
      </c>
      <c r="F115" s="1208" t="n"/>
      <c r="G115" s="285" t="n"/>
      <c r="H115" s="1214" t="n"/>
      <c r="I115" s="285" t="n"/>
    </row>
    <row r="116" outlineLevel="1" customFormat="1" s="1210">
      <c r="A116" s="284" t="n"/>
      <c r="B116" s="284" t="n"/>
      <c r="C116" s="314" t="inlineStr">
        <is>
          <t>Building Permits</t>
        </is>
      </c>
      <c r="D116" s="1203" t="n"/>
      <c r="E116" s="1251" t="n"/>
      <c r="F116" s="1252" t="n"/>
      <c r="G116" s="285" t="n"/>
      <c r="H116" s="285" t="n"/>
      <c r="I116" s="664" t="n"/>
      <c r="M116" s="1249" t="n"/>
      <c r="N116" s="1253" t="n"/>
    </row>
    <row r="117" outlineLevel="1" customFormat="1" s="1210">
      <c r="A117" s="284" t="n"/>
      <c r="B117" s="284" t="n"/>
      <c r="C117" s="314" t="inlineStr">
        <is>
          <t>Schools</t>
        </is>
      </c>
      <c r="D117" s="1203" t="n"/>
      <c r="E117" s="1211" t="n"/>
      <c r="F117" s="1252" t="n"/>
      <c r="G117" s="285" t="n"/>
      <c r="H117" s="285" t="n"/>
      <c r="I117" s="664" t="n"/>
      <c r="M117" s="1249" t="n"/>
      <c r="N117" s="1254" t="n"/>
    </row>
    <row r="118" outlineLevel="1" customFormat="1" s="1210">
      <c r="A118" s="284" t="n"/>
      <c r="B118" s="284" t="n"/>
      <c r="C118" s="314" t="inlineStr">
        <is>
          <t>Roads</t>
        </is>
      </c>
      <c r="D118" s="1203" t="n"/>
      <c r="E118" s="1211" t="n"/>
      <c r="F118" s="1252" t="n"/>
      <c r="G118" s="285" t="n"/>
      <c r="H118" s="285" t="n"/>
      <c r="I118" s="285" t="n"/>
    </row>
    <row r="119" outlineLevel="1" customFormat="1" s="1210">
      <c r="A119" s="284" t="n"/>
      <c r="B119" s="284" t="n"/>
      <c r="C119" s="314" t="inlineStr">
        <is>
          <t>Parks</t>
        </is>
      </c>
      <c r="D119" s="1203" t="n"/>
      <c r="E119" s="1211" t="n"/>
      <c r="F119" s="1252" t="n"/>
      <c r="G119" s="285" t="n"/>
      <c r="H119" s="285" t="n"/>
      <c r="I119" s="285" t="n"/>
    </row>
    <row r="120" outlineLevel="1" customFormat="1" s="1210">
      <c r="A120" s="284" t="n"/>
      <c r="B120" s="284" t="n"/>
      <c r="C120" s="314" t="inlineStr">
        <is>
          <t>Storm Water</t>
        </is>
      </c>
      <c r="D120" s="1203" t="n"/>
      <c r="E120" s="1211" t="n"/>
      <c r="F120" s="1252" t="n"/>
      <c r="G120" s="285" t="n"/>
      <c r="H120" s="285" t="n"/>
      <c r="I120" s="285" t="n"/>
    </row>
    <row r="121" outlineLevel="1" customFormat="1" s="1210">
      <c r="A121" s="284" t="n"/>
      <c r="B121" s="284" t="n"/>
      <c r="C121" s="314" t="inlineStr">
        <is>
          <t>Sewer</t>
        </is>
      </c>
      <c r="D121" s="1203">
        <f>299048+19443</f>
        <v/>
      </c>
      <c r="E121" s="1211" t="n"/>
      <c r="F121" s="1208" t="n"/>
      <c r="G121" s="285" t="n"/>
      <c r="H121" s="285" t="n"/>
      <c r="I121" s="285" t="n"/>
    </row>
    <row r="122" outlineLevel="1" customFormat="1" s="1210">
      <c r="A122" s="284" t="n"/>
      <c r="B122" s="284" t="n"/>
      <c r="C122" s="314" t="inlineStr">
        <is>
          <t>Water/Tap</t>
        </is>
      </c>
      <c r="D122" s="1203" t="n"/>
      <c r="E122" s="1211" t="n"/>
      <c r="F122" s="1252" t="n"/>
      <c r="G122" s="285" t="n"/>
      <c r="H122" s="285" t="n"/>
      <c r="I122" s="285" t="n"/>
    </row>
    <row r="123" outlineLevel="1" customFormat="1" s="1210">
      <c r="A123" s="284" t="n"/>
      <c r="B123" s="284" t="n"/>
      <c r="C123" s="314" t="inlineStr">
        <is>
          <t>Street Lighting</t>
        </is>
      </c>
      <c r="D123" s="1203" t="n"/>
      <c r="E123" s="1211" t="n"/>
      <c r="F123" s="1208" t="n"/>
      <c r="G123" s="285" t="n"/>
      <c r="H123" s="285" t="n"/>
      <c r="I123" s="285" t="n"/>
    </row>
    <row r="124" outlineLevel="1" customFormat="1" s="1210">
      <c r="A124" s="284" t="n"/>
      <c r="B124" s="284" t="n"/>
      <c r="C124" s="314" t="inlineStr">
        <is>
          <t>Erosion Control Fee</t>
        </is>
      </c>
      <c r="D124" s="1203" t="n"/>
      <c r="E124" s="1211" t="n"/>
      <c r="F124" s="1252" t="n"/>
      <c r="G124" s="285" t="n"/>
      <c r="H124" s="285" t="n"/>
      <c r="I124" s="285" t="n"/>
    </row>
    <row r="125" outlineLevel="1" customFormat="1" s="1210">
      <c r="A125" s="284" t="n"/>
      <c r="B125" s="284" t="n"/>
      <c r="C125" s="314" t="inlineStr">
        <is>
          <t>Impact Fees</t>
        </is>
      </c>
      <c r="D125" s="1203">
        <f>6530*Total_Number_Units</f>
        <v/>
      </c>
      <c r="E125" s="1211" t="n"/>
      <c r="F125" s="1252" t="n"/>
      <c r="G125" s="285" t="n"/>
      <c r="H125" s="285" t="n"/>
      <c r="I125" s="285" t="n"/>
    </row>
    <row r="126" outlineLevel="1" customFormat="1" s="1210">
      <c r="A126" s="284" t="n"/>
      <c r="B126" s="284" t="n"/>
      <c r="C126" s="314" t="inlineStr">
        <is>
          <t>Landscape Bond</t>
        </is>
      </c>
      <c r="D126" s="1203" t="n"/>
      <c r="E126" s="1211" t="n"/>
      <c r="F126" s="1252" t="n"/>
      <c r="G126" s="285" t="n"/>
      <c r="H126" s="285" t="n"/>
      <c r="I126" s="285" t="n"/>
    </row>
    <row r="127" outlineLevel="1" customFormat="1" s="1210">
      <c r="A127" s="284" t="n"/>
      <c r="B127" s="284" t="n"/>
      <c r="C127" s="314" t="inlineStr">
        <is>
          <t>LDP/Plan Review</t>
        </is>
      </c>
      <c r="D127" s="1203" t="n"/>
      <c r="E127" s="1211" t="n"/>
      <c r="F127" s="1252" t="n"/>
      <c r="G127" s="285" t="n"/>
      <c r="H127" s="285" t="n"/>
      <c r="I127" s="285" t="n"/>
    </row>
    <row r="128" outlineLevel="1" customFormat="1" s="1210">
      <c r="A128" s="284" t="n"/>
      <c r="B128" s="284" t="n"/>
      <c r="C128" s="314" t="inlineStr">
        <is>
          <t>Certificates of Occupancy</t>
        </is>
      </c>
      <c r="D128" s="1203" t="n"/>
      <c r="E128" s="1211" t="n"/>
      <c r="F128" s="1252" t="n"/>
      <c r="G128" s="285" t="n"/>
      <c r="H128" s="285" t="n"/>
      <c r="I128" s="285" t="n"/>
    </row>
    <row r="129" outlineLevel="1" customFormat="1" s="1210">
      <c r="A129" s="284" t="n"/>
      <c r="B129" s="284" t="n"/>
      <c r="C129" s="312" t="inlineStr">
        <is>
          <t>Other Unallocated</t>
        </is>
      </c>
      <c r="D129" s="1203" t="n"/>
      <c r="E129" s="1211" t="n"/>
      <c r="F129" s="1252" t="n"/>
      <c r="G129" s="285" t="n"/>
      <c r="H129" s="285" t="n"/>
      <c r="I129" s="285" t="n"/>
    </row>
    <row r="130" outlineLevel="1" customFormat="1" s="1210">
      <c r="A130" s="284" t="n"/>
      <c r="B130" s="284" t="n"/>
      <c r="C130" s="312" t="inlineStr">
        <is>
          <t>Other Unallocated</t>
        </is>
      </c>
      <c r="D130" s="1203" t="n"/>
      <c r="E130" s="1211" t="n"/>
      <c r="F130" s="1252" t="n"/>
      <c r="G130" s="285" t="n"/>
      <c r="H130" s="285" t="n"/>
      <c r="I130" s="285" t="n"/>
    </row>
    <row r="131" customFormat="1" s="1210">
      <c r="A131" s="290" t="n"/>
      <c r="B131" s="291" t="inlineStr">
        <is>
          <t>INTEREST RESERVE</t>
        </is>
      </c>
      <c r="C131" s="314" t="n"/>
      <c r="D131" s="1207" t="n"/>
      <c r="E131" s="1211">
        <f>SUM(D132:D133)</f>
        <v/>
      </c>
      <c r="F131" s="1213" t="n"/>
      <c r="G131" s="285" t="n"/>
      <c r="H131" s="285" t="n"/>
      <c r="I131" s="285" t="n"/>
    </row>
    <row r="132" outlineLevel="1" customFormat="1" s="1210">
      <c r="A132" s="284" t="n"/>
      <c r="B132" s="284" t="n"/>
      <c r="C132" s="314" t="inlineStr">
        <is>
          <t>Construction Loan Interest</t>
        </is>
      </c>
      <c r="D132" s="1211">
        <f>IF($E$2="help",0,+'Draw and Leaseup Schedule'!AO117)</f>
        <v/>
      </c>
      <c r="E132" s="1211" t="n"/>
      <c r="F132" s="1251" t="n"/>
      <c r="G132" s="285" t="n"/>
      <c r="H132" s="285" t="n"/>
      <c r="I132" s="285" t="n"/>
    </row>
    <row r="133" outlineLevel="1" customFormat="1" s="1210">
      <c r="A133" s="284" t="n"/>
      <c r="B133" s="284" t="n"/>
      <c r="C133" s="312" t="inlineStr">
        <is>
          <t>Other Unallocated</t>
        </is>
      </c>
      <c r="D133" s="1203" t="n"/>
      <c r="E133" s="1211" t="n"/>
      <c r="F133" s="1208" t="n"/>
      <c r="G133" s="285" t="n"/>
      <c r="H133" s="285" t="n"/>
      <c r="I133" s="285" t="n"/>
    </row>
    <row r="134" customFormat="1" s="1210">
      <c r="A134" s="290" t="n"/>
      <c r="B134" s="291" t="inlineStr">
        <is>
          <t>PRELEASING EXPENSE</t>
        </is>
      </c>
      <c r="C134" s="314" t="n"/>
      <c r="D134" s="1219" t="n"/>
      <c r="E134" s="1211">
        <f>SUM(D135:D146)</f>
        <v/>
      </c>
      <c r="F134" s="1208" t="n"/>
      <c r="G134" s="285" t="n"/>
      <c r="H134" s="285" t="n"/>
      <c r="I134" s="285" t="n"/>
    </row>
    <row r="135" customFormat="1" s="1210">
      <c r="A135" s="284" t="n"/>
      <c r="B135" s="284" t="n"/>
      <c r="C135" s="314" t="inlineStr">
        <is>
          <t>Marketing and Advertising</t>
        </is>
      </c>
      <c r="D135" s="1203" t="n"/>
      <c r="E135" s="1211" t="n"/>
      <c r="F135" s="1213" t="n"/>
      <c r="G135" s="285" t="n"/>
      <c r="H135" s="285" t="n"/>
      <c r="I135" s="285" t="n"/>
    </row>
    <row r="136" customFormat="1" s="1210">
      <c r="A136" s="284" t="n"/>
      <c r="B136" s="284" t="n"/>
      <c r="C136" s="314" t="inlineStr">
        <is>
          <t>Temporary Sales Center</t>
        </is>
      </c>
      <c r="D136" s="1203" t="n"/>
      <c r="E136" s="1211" t="n"/>
      <c r="F136" s="1208" t="n"/>
      <c r="G136" s="285" t="n"/>
      <c r="H136" s="285" t="n"/>
      <c r="I136" s="285" t="n"/>
    </row>
    <row r="137" customFormat="1" s="1210">
      <c r="A137" s="284" t="n"/>
      <c r="B137" s="284" t="n"/>
      <c r="C137" s="314" t="inlineStr">
        <is>
          <t>Lease Up Signage</t>
        </is>
      </c>
      <c r="D137" s="1203" t="n"/>
      <c r="E137" s="1211" t="n"/>
      <c r="F137" s="1208" t="n"/>
      <c r="G137" s="285" t="n"/>
      <c r="H137" s="285" t="n"/>
      <c r="I137" s="285" t="n"/>
    </row>
    <row r="138" customFormat="1" s="1210">
      <c r="A138" s="284" t="n"/>
      <c r="B138" s="284" t="n"/>
      <c r="C138" s="314" t="inlineStr">
        <is>
          <t>Website</t>
        </is>
      </c>
      <c r="D138" s="1203" t="n"/>
      <c r="E138" s="1211" t="n"/>
      <c r="F138" s="1208" t="n"/>
      <c r="G138" s="285" t="n"/>
      <c r="H138" s="285" t="n"/>
      <c r="I138" s="285" t="n"/>
    </row>
    <row r="139" customFormat="1" s="1210">
      <c r="A139" s="284" t="n"/>
      <c r="B139" s="284" t="n"/>
      <c r="C139" s="314" t="inlineStr">
        <is>
          <t>Renderings</t>
        </is>
      </c>
      <c r="D139" s="1203" t="n"/>
      <c r="E139" s="1211" t="n"/>
      <c r="F139" s="1208" t="n"/>
      <c r="G139" s="285" t="n"/>
      <c r="H139" s="285" t="n"/>
      <c r="I139" s="285" t="n"/>
    </row>
    <row r="140" customFormat="1" s="1210">
      <c r="A140" s="284" t="n"/>
      <c r="B140" s="284" t="n"/>
      <c r="C140" s="314" t="inlineStr">
        <is>
          <t>Sponsorships &amp; Advertising</t>
        </is>
      </c>
      <c r="D140" s="1203" t="n"/>
      <c r="E140" s="1211" t="n"/>
      <c r="F140" s="1208" t="n"/>
      <c r="G140" s="285" t="n"/>
      <c r="H140" s="285" t="n"/>
      <c r="I140" s="285" t="n"/>
    </row>
    <row r="141" customFormat="1" s="1210">
      <c r="A141" s="284" t="n"/>
      <c r="B141" s="284" t="n"/>
      <c r="C141" s="314" t="inlineStr">
        <is>
          <t>Digital Marketing</t>
        </is>
      </c>
      <c r="D141" s="1203" t="n"/>
      <c r="E141" s="1211" t="n"/>
      <c r="F141" s="1208" t="n"/>
      <c r="G141" s="285" t="n"/>
      <c r="H141" s="285" t="n"/>
      <c r="I141" s="285" t="n"/>
    </row>
    <row r="142">
      <c r="C142" s="314" t="inlineStr">
        <is>
          <t>Travel &amp; Entertainment</t>
        </is>
      </c>
      <c r="D142" s="1203" t="n"/>
      <c r="F142" s="1208" t="n"/>
    </row>
    <row r="143" customFormat="1" s="1210">
      <c r="A143" s="284" t="n"/>
      <c r="B143" s="284" t="n"/>
      <c r="C143" s="314" t="inlineStr">
        <is>
          <t>Working Capital</t>
        </is>
      </c>
      <c r="D143" s="1203" t="n"/>
      <c r="E143" s="1211" t="n"/>
      <c r="F143" s="1213" t="n"/>
      <c r="G143" s="285" t="n"/>
      <c r="H143" s="285" t="n"/>
      <c r="I143" s="285" t="n"/>
    </row>
    <row r="144" customFormat="1" s="1210">
      <c r="A144" s="284" t="n"/>
      <c r="B144" s="284" t="n"/>
      <c r="C144" s="314" t="inlineStr">
        <is>
          <t>Postage/Courier</t>
        </is>
      </c>
      <c r="D144" s="1203" t="n"/>
      <c r="E144" s="1211" t="n"/>
      <c r="F144" s="1208" t="n"/>
      <c r="G144" s="285" t="n"/>
      <c r="H144" s="285" t="n"/>
      <c r="I144" s="285" t="n"/>
    </row>
    <row r="145" customFormat="1" s="1210">
      <c r="A145" s="284" t="n"/>
      <c r="B145" s="284" t="n"/>
      <c r="C145" s="314" t="inlineStr">
        <is>
          <t>Aerial Photography</t>
        </is>
      </c>
      <c r="D145" s="1203" t="n"/>
      <c r="E145" s="1211" t="n"/>
      <c r="F145" s="1208" t="n"/>
      <c r="G145" s="285" t="n"/>
      <c r="H145" s="285" t="n"/>
      <c r="I145" s="285" t="n"/>
    </row>
    <row r="146" customFormat="1" s="1210">
      <c r="A146" s="284" t="n"/>
      <c r="B146" s="284" t="n"/>
      <c r="C146" s="312" t="inlineStr">
        <is>
          <t>Other Unallocated</t>
        </is>
      </c>
      <c r="D146" s="1203" t="n"/>
      <c r="E146" s="1211" t="n"/>
      <c r="F146" s="1208" t="n"/>
      <c r="G146" s="285" t="n"/>
      <c r="H146" s="285" t="n"/>
      <c r="I146" s="285" t="n"/>
    </row>
    <row r="147">
      <c r="B147" s="291" t="inlineStr">
        <is>
          <t>OPERATING DEFICIT</t>
        </is>
      </c>
      <c r="C147" s="314" t="n"/>
      <c r="D147" s="1219" t="n"/>
      <c r="E147" s="1192">
        <f>SUM(D148:D149)</f>
        <v/>
      </c>
    </row>
    <row r="148">
      <c r="B148" s="284" t="n"/>
      <c r="C148" s="314" t="inlineStr">
        <is>
          <t>Operating Deficit</t>
        </is>
      </c>
      <c r="D148" s="1211">
        <f>-SUMIF('Draw and Leaseup Schedule'!E78:AN78,"&lt;0",'Draw and Leaseup Schedule'!E78:AN78)</f>
        <v/>
      </c>
    </row>
    <row r="149">
      <c r="B149" s="284" t="n"/>
      <c r="C149" s="312" t="inlineStr">
        <is>
          <t>Other Unallocated</t>
        </is>
      </c>
      <c r="D149" s="1203" t="n"/>
    </row>
    <row r="150" customFormat="1" s="1210">
      <c r="A150" s="284" t="n"/>
      <c r="B150" s="291" t="inlineStr">
        <is>
          <t>FURNITURE, FIXTURES &amp; EQUIPMENT</t>
        </is>
      </c>
      <c r="C150" s="314" t="n"/>
      <c r="D150" s="1219" t="n"/>
      <c r="E150" s="1211">
        <f>SUM(D151:D159)</f>
        <v/>
      </c>
      <c r="F150" s="1208" t="n"/>
      <c r="G150" s="285" t="n"/>
      <c r="H150" s="285" t="n"/>
      <c r="I150" s="285" t="n"/>
    </row>
    <row r="151" outlineLevel="1" customFormat="1" s="1210">
      <c r="A151" s="284" t="n"/>
      <c r="B151" s="284" t="n"/>
      <c r="C151" s="314" t="inlineStr">
        <is>
          <t>Furniture</t>
        </is>
      </c>
      <c r="D151" s="1203" t="n"/>
      <c r="E151" s="1211" t="n"/>
      <c r="F151" s="1208" t="n"/>
      <c r="G151" s="285" t="n"/>
      <c r="H151" s="285" t="n"/>
      <c r="I151" s="285" t="n"/>
    </row>
    <row r="152" outlineLevel="1" customFormat="1" s="1210">
      <c r="A152" s="284" t="n"/>
      <c r="B152" s="284" t="n"/>
      <c r="C152" s="314" t="inlineStr">
        <is>
          <t>Fitness Equipment</t>
        </is>
      </c>
      <c r="D152" s="1203" t="n"/>
      <c r="E152" s="1211" t="n"/>
      <c r="F152" s="1213" t="n"/>
      <c r="G152" s="285" t="n"/>
      <c r="H152" s="285" t="n"/>
      <c r="I152" s="285" t="n"/>
    </row>
    <row r="153" outlineLevel="1" customFormat="1" s="1210">
      <c r="A153" s="284" t="n"/>
      <c r="B153" s="284" t="n"/>
      <c r="C153" s="314" t="inlineStr">
        <is>
          <t>Interior/Exterior Signage</t>
        </is>
      </c>
      <c r="D153" s="1203" t="n"/>
      <c r="E153" s="1211" t="n"/>
      <c r="F153" s="1208" t="n"/>
      <c r="G153" s="285" t="n"/>
      <c r="H153" s="285" t="n"/>
      <c r="I153" s="285" t="n"/>
    </row>
    <row r="154" outlineLevel="1" customFormat="1" s="1210">
      <c r="A154" s="284" t="n"/>
      <c r="B154" s="284" t="n"/>
      <c r="C154" s="314" t="inlineStr">
        <is>
          <t>Closets</t>
        </is>
      </c>
      <c r="D154" s="1203" t="n"/>
      <c r="E154" s="1211" t="n"/>
      <c r="F154" s="1208" t="n"/>
      <c r="G154" s="285" t="n"/>
      <c r="H154" s="285" t="n"/>
      <c r="I154" s="285" t="n"/>
    </row>
    <row r="155" outlineLevel="1" customFormat="1" s="1210">
      <c r="A155" s="284" t="n"/>
      <c r="B155" s="284" t="n"/>
      <c r="C155" s="314" t="inlineStr">
        <is>
          <t>Grab &amp; Go</t>
        </is>
      </c>
      <c r="D155" s="1203" t="n"/>
      <c r="E155" s="1211" t="n"/>
      <c r="F155" s="1208" t="n"/>
      <c r="G155" s="285" t="n"/>
      <c r="H155" s="285" t="n"/>
      <c r="I155" s="285" t="n"/>
    </row>
    <row r="156" outlineLevel="1" customFormat="1" s="1210">
      <c r="A156" s="284" t="n"/>
      <c r="B156" s="284" t="n"/>
      <c r="C156" s="314" t="inlineStr">
        <is>
          <t>Package Room</t>
        </is>
      </c>
      <c r="D156" s="1203" t="n"/>
      <c r="E156" s="1211" t="n"/>
      <c r="F156" s="1213" t="n"/>
      <c r="G156" s="285" t="n"/>
      <c r="H156" s="285" t="n"/>
      <c r="I156" s="285" t="n"/>
    </row>
    <row r="157" outlineLevel="1" customFormat="1" s="1210">
      <c r="A157" s="284" t="n"/>
      <c r="B157" s="284" t="n"/>
      <c r="C157" s="314" t="inlineStr">
        <is>
          <t>Audio Visual/Security</t>
        </is>
      </c>
      <c r="D157" s="1203" t="n"/>
      <c r="E157" s="1211" t="n"/>
      <c r="F157" s="1208" t="n"/>
      <c r="G157" s="285" t="n"/>
      <c r="H157" s="285" t="n"/>
      <c r="I157" s="285" t="n"/>
    </row>
    <row r="158" outlineLevel="1" customFormat="1" s="1210">
      <c r="A158" s="284" t="n"/>
      <c r="B158" s="284" t="n"/>
      <c r="C158" s="314" t="inlineStr">
        <is>
          <t>Foliage/Planters</t>
        </is>
      </c>
      <c r="D158" s="1203" t="n"/>
      <c r="E158" s="1211" t="n"/>
      <c r="F158" s="1208" t="n"/>
      <c r="G158" s="285" t="n"/>
      <c r="H158" s="285" t="n"/>
      <c r="I158" s="285" t="n"/>
    </row>
    <row r="159" outlineLevel="1" customFormat="1" s="1210">
      <c r="A159" s="284" t="n"/>
      <c r="B159" s="284" t="n"/>
      <c r="C159" s="312" t="inlineStr">
        <is>
          <t>Other Unallocated</t>
        </is>
      </c>
      <c r="D159" s="1203" t="n"/>
      <c r="E159" s="1211" t="n"/>
      <c r="F159" s="1208" t="n"/>
      <c r="G159" s="285" t="n"/>
      <c r="H159" s="285" t="n"/>
      <c r="I159" s="285" t="n"/>
    </row>
    <row r="160" customFormat="1" s="1210">
      <c r="A160" s="290" t="n"/>
      <c r="B160" s="291" t="inlineStr">
        <is>
          <t>DEVELOPMENT FEES</t>
        </is>
      </c>
      <c r="C160" s="314" t="n"/>
      <c r="D160" s="1211" t="n"/>
      <c r="E160" s="1211">
        <f>SUM(D161)</f>
        <v/>
      </c>
      <c r="F160" s="1251" t="n"/>
      <c r="G160" s="285" t="n"/>
      <c r="H160" s="285" t="n"/>
      <c r="I160" s="285" t="n"/>
    </row>
    <row r="161" outlineLevel="1" customFormat="1" s="1210">
      <c r="A161" s="284" t="n"/>
      <c r="B161" s="284" t="n"/>
      <c r="C161" s="314" t="inlineStr">
        <is>
          <t>Development Fees</t>
        </is>
      </c>
      <c r="D161" s="1211">
        <f>IF($E$2="help",0,SUM(Summary!E35:E48,Summary!E50:E55)*Summary!H49)</f>
        <v/>
      </c>
      <c r="E161" s="1217" t="n"/>
      <c r="F161" s="1251" t="n"/>
      <c r="G161" s="285" t="n"/>
      <c r="H161" s="285" t="n"/>
      <c r="I161" s="285" t="n"/>
    </row>
    <row r="162" customFormat="1" s="1210">
      <c r="A162" s="284" t="n"/>
      <c r="B162" s="291" t="inlineStr">
        <is>
          <t>GUARANTY FEES</t>
        </is>
      </c>
      <c r="C162" s="314" t="n"/>
      <c r="D162" s="1255" t="n"/>
      <c r="E162" s="1211">
        <f>+D163</f>
        <v/>
      </c>
      <c r="F162" s="1251" t="n"/>
      <c r="G162" s="285" t="n"/>
      <c r="H162" s="285" t="n"/>
      <c r="I162" s="285" t="n"/>
    </row>
    <row r="163" outlineLevel="1" customFormat="1" s="1210">
      <c r="A163" s="284" t="n"/>
      <c r="B163" s="284" t="n"/>
      <c r="C163" s="314" t="inlineStr">
        <is>
          <t>Guaranty Fee</t>
        </is>
      </c>
      <c r="D163" s="1211">
        <f>IF($E$2="help",0,+Summary!E70*Summary!H50)</f>
        <v/>
      </c>
      <c r="E163" s="1217" t="n"/>
      <c r="F163" s="1251" t="n"/>
      <c r="G163" s="285" t="n"/>
      <c r="H163" s="285" t="n"/>
      <c r="I163" s="285" t="n"/>
    </row>
    <row r="164" customFormat="1" s="1210">
      <c r="A164" s="290" t="n"/>
      <c r="B164" s="291" t="inlineStr">
        <is>
          <t>CONSTRUCTION MANAGEMENT FEES</t>
        </is>
      </c>
      <c r="C164" s="314" t="n"/>
      <c r="D164" s="1255" t="n"/>
      <c r="E164" s="1211">
        <f>SUM(D165:D166)</f>
        <v/>
      </c>
      <c r="F164" s="1218" t="n"/>
      <c r="G164" s="285" t="n"/>
      <c r="H164" s="285" t="n"/>
      <c r="I164" s="285" t="n"/>
    </row>
    <row r="165" outlineLevel="1" customFormat="1" s="1210">
      <c r="A165" s="284" t="n"/>
      <c r="B165" s="284" t="n"/>
      <c r="C165" s="314" t="inlineStr">
        <is>
          <t>CM Fees Percentage</t>
        </is>
      </c>
      <c r="D165" s="1256">
        <f>IF($E$2="help",0,+(Hard_Costs)*Summary!H51)</f>
        <v/>
      </c>
      <c r="E165" s="1257" t="n"/>
      <c r="F165" s="1208" t="n"/>
      <c r="G165" s="306" t="n"/>
      <c r="H165" s="285" t="n"/>
      <c r="I165" s="285" t="n"/>
    </row>
    <row r="166" outlineLevel="1" customFormat="1" s="1210">
      <c r="A166" s="284" t="n"/>
      <c r="B166" s="284" t="n"/>
      <c r="C166" s="314" t="inlineStr">
        <is>
          <t>CM Fees Fixed Figure</t>
        </is>
      </c>
      <c r="D166" s="1203" t="n"/>
      <c r="E166" s="1257" t="n"/>
      <c r="F166" s="1208" t="n"/>
      <c r="G166" s="306" t="n"/>
      <c r="H166" s="285" t="n"/>
      <c r="I166" s="285" t="n"/>
    </row>
    <row r="167" customFormat="1" s="1210">
      <c r="A167" s="290" t="n"/>
      <c r="B167" s="291" t="inlineStr">
        <is>
          <t>SOFT COST CONTINGENCY</t>
        </is>
      </c>
      <c r="C167" s="314" t="n"/>
      <c r="D167" s="1258" t="n"/>
      <c r="E167" s="1211">
        <f>+D168</f>
        <v/>
      </c>
      <c r="F167" s="1259" t="n"/>
      <c r="G167" s="285" t="n"/>
      <c r="H167" s="285" t="n"/>
      <c r="I167" s="285" t="n"/>
    </row>
    <row r="168" outlineLevel="1" customFormat="1" s="1210">
      <c r="A168" s="284" t="n"/>
      <c r="B168" s="284" t="n"/>
      <c r="C168" s="314" t="inlineStr">
        <is>
          <t>Contingency</t>
        </is>
      </c>
      <c r="D168" s="1211">
        <f>SUM(E13:E164)*Summary!H52</f>
        <v/>
      </c>
      <c r="E168" s="1211" t="n"/>
      <c r="F168" s="1251" t="n"/>
      <c r="G168" s="285" t="n"/>
      <c r="H168" s="285" t="n"/>
      <c r="I168" s="285" t="n"/>
    </row>
    <row r="169" customFormat="1" s="1210">
      <c r="A169" s="284" t="n"/>
      <c r="B169" s="284" t="n"/>
      <c r="C169" s="285" t="n"/>
      <c r="D169" s="1219" t="n"/>
      <c r="E169" s="1211" t="n"/>
      <c r="F169" s="1208" t="n"/>
      <c r="G169" s="285" t="n"/>
      <c r="H169" s="285" t="n"/>
      <c r="I169" s="285" t="n"/>
    </row>
    <row r="170">
      <c r="A170" s="273" t="n"/>
      <c r="B170" s="273" t="n"/>
      <c r="C170" s="274" t="n"/>
      <c r="D170" s="1260" t="n"/>
      <c r="E170" s="1261">
        <f>+SUM(E6:E166)</f>
        <v/>
      </c>
      <c r="F170" s="1262" t="n"/>
      <c r="G170" s="274" t="n"/>
      <c r="H170" s="274" t="n"/>
      <c r="I170" s="308" t="n"/>
    </row>
    <row r="171">
      <c r="A171" s="273" t="n"/>
      <c r="B171" s="273" t="n"/>
      <c r="C171" s="274" t="n"/>
      <c r="D171" s="1260" t="n"/>
      <c r="E171" s="1200" t="n"/>
      <c r="F171" s="1262" t="n"/>
      <c r="G171" s="274" t="n"/>
      <c r="H171" s="274" t="n"/>
      <c r="I171" s="274" t="n"/>
    </row>
    <row r="172">
      <c r="A172" s="1263" t="inlineStr">
        <is>
          <t>Total Land and Soft Costs</t>
        </is>
      </c>
      <c r="B172" s="1263" t="n"/>
      <c r="E172" s="1264">
        <f>SUM(E6:E166)</f>
        <v/>
      </c>
      <c r="F172" s="1262" t="n"/>
      <c r="G172" s="274" t="n"/>
      <c r="H172" s="274" t="n"/>
      <c r="I172" s="274" t="n"/>
    </row>
    <row r="173">
      <c r="A173" s="1263" t="inlineStr">
        <is>
          <t>Soft Costs (Less Land and Contingency)</t>
        </is>
      </c>
      <c r="B173" s="1263" t="n"/>
      <c r="E173" s="1200">
        <f>SUM(E13:E159)+E164+E160</f>
        <v/>
      </c>
      <c r="F173" s="1262" t="n"/>
      <c r="G173" s="274" t="n"/>
      <c r="H173" s="274" t="n"/>
      <c r="I173" s="274" t="n"/>
    </row>
    <row r="174">
      <c r="A174" s="278" t="inlineStr">
        <is>
          <t>Land</t>
        </is>
      </c>
      <c r="B174" s="278" t="n"/>
      <c r="C174" s="274" t="n"/>
      <c r="D174" s="1260" t="n"/>
      <c r="E174" s="1200">
        <f>E6</f>
        <v/>
      </c>
      <c r="F174" s="1262" t="n"/>
      <c r="G174" s="274" t="n"/>
      <c r="H174" s="274" t="n"/>
      <c r="I174" s="274" t="n"/>
    </row>
    <row r="175">
      <c r="A175" s="278" t="inlineStr">
        <is>
          <t>Contingency</t>
        </is>
      </c>
      <c r="B175" s="278" t="n"/>
      <c r="C175" s="274" t="n"/>
      <c r="D175" s="1260" t="n"/>
      <c r="E175" s="1200">
        <f>E167</f>
        <v/>
      </c>
      <c r="F175" s="1262" t="n"/>
      <c r="G175" s="274" t="n"/>
      <c r="H175" s="274" t="n"/>
      <c r="I175" s="274" t="n"/>
    </row>
    <row r="176">
      <c r="A176" s="273" t="n"/>
      <c r="B176" s="273" t="n"/>
      <c r="C176" s="274" t="n"/>
      <c r="D176" s="1260" t="n"/>
      <c r="E176" s="1200" t="n"/>
      <c r="F176" s="1262" t="n"/>
      <c r="G176" s="274" t="n"/>
      <c r="H176" s="274" t="n"/>
      <c r="I176" s="274" t="n"/>
    </row>
    <row r="177">
      <c r="A177" s="278" t="n"/>
      <c r="B177" s="278" t="n"/>
      <c r="C177" s="274" t="n"/>
      <c r="E177" s="1200" t="n"/>
      <c r="F177" s="1262" t="n"/>
      <c r="G177" s="274" t="n"/>
      <c r="H177" s="274" t="n"/>
      <c r="I177" s="274" t="n"/>
    </row>
    <row r="178">
      <c r="A178" s="273" t="n"/>
      <c r="B178" s="273" t="n"/>
      <c r="C178" s="274" t="n"/>
      <c r="D178" s="1260" t="n"/>
      <c r="F178" s="1262" t="n"/>
      <c r="G178" s="274" t="n"/>
      <c r="H178" s="274" t="n"/>
      <c r="I178" s="274" t="n"/>
    </row>
    <row r="179">
      <c r="A179" s="273" t="n"/>
      <c r="B179" s="273" t="n"/>
      <c r="C179" s="274" t="n"/>
      <c r="D179" s="1260" t="n"/>
      <c r="E179" s="1200" t="n"/>
      <c r="F179" s="1262" t="n"/>
      <c r="G179" s="274" t="n"/>
      <c r="H179" s="274" t="n"/>
      <c r="I179" s="274" t="n"/>
    </row>
    <row r="180">
      <c r="A180" s="273" t="n"/>
      <c r="B180" s="273" t="n"/>
      <c r="C180" s="274" t="n"/>
      <c r="D180" s="1260" t="n"/>
      <c r="F180" s="1262" t="n"/>
      <c r="G180" s="274" t="n"/>
      <c r="H180" s="274" t="n"/>
      <c r="I180" s="274" t="n"/>
    </row>
    <row r="181">
      <c r="A181" s="273" t="n"/>
      <c r="B181" s="273" t="n"/>
      <c r="C181" s="274" t="n"/>
      <c r="D181" s="1260" t="n"/>
      <c r="E181" s="1200" t="n"/>
      <c r="F181" s="1262" t="n"/>
      <c r="G181" s="274" t="n"/>
      <c r="H181" s="274" t="n"/>
      <c r="I181" s="274" t="n"/>
    </row>
    <row r="182">
      <c r="A182" s="273" t="n"/>
      <c r="B182" s="273" t="n"/>
      <c r="C182" s="274" t="n"/>
      <c r="D182" s="1260" t="n"/>
      <c r="E182" s="1200" t="n"/>
      <c r="F182" s="1262" t="n"/>
      <c r="G182" s="274" t="n"/>
      <c r="H182" s="274" t="n"/>
      <c r="I182" s="274" t="n"/>
    </row>
    <row r="183">
      <c r="A183" s="278" t="n"/>
      <c r="B183" s="278" t="n"/>
      <c r="C183" s="274" t="n"/>
      <c r="E183" s="1200" t="n"/>
      <c r="F183" s="1262" t="n"/>
      <c r="G183" s="274" t="n"/>
      <c r="H183" s="274" t="n"/>
      <c r="I183" s="274" t="n"/>
    </row>
    <row r="184">
      <c r="A184" s="273" t="n"/>
      <c r="B184" s="273" t="n"/>
      <c r="C184" s="274" t="n"/>
      <c r="D184" s="1260" t="n"/>
      <c r="F184" s="1262" t="n"/>
      <c r="G184" s="274" t="n"/>
      <c r="H184" s="274" t="n"/>
      <c r="I184" s="274" t="n"/>
    </row>
    <row r="185">
      <c r="A185" s="273" t="n"/>
      <c r="B185" s="273" t="n"/>
      <c r="C185" s="274" t="n"/>
      <c r="D185" s="1260" t="n"/>
      <c r="E185" s="1200" t="n"/>
      <c r="F185" s="1262" t="n"/>
      <c r="G185" s="274" t="n"/>
      <c r="H185" s="274" t="n"/>
      <c r="I185" s="274" t="n"/>
    </row>
    <row r="186">
      <c r="A186" s="273" t="n"/>
      <c r="B186" s="273" t="n"/>
      <c r="C186" s="274" t="n"/>
      <c r="D186" s="1260" t="n"/>
      <c r="E186" s="1200" t="n"/>
      <c r="F186" s="1262" t="n"/>
      <c r="G186" s="274" t="n"/>
      <c r="H186" s="274" t="n"/>
      <c r="I186" s="274" t="n"/>
    </row>
    <row r="187">
      <c r="A187" s="278" t="n"/>
      <c r="B187" s="278" t="n"/>
      <c r="C187" s="274" t="n"/>
      <c r="E187" s="1200" t="n"/>
      <c r="F187" s="1262" t="n"/>
      <c r="G187" s="274" t="n"/>
      <c r="H187" s="274" t="n"/>
      <c r="I187" s="274" t="n"/>
    </row>
    <row r="188">
      <c r="A188" s="273" t="n"/>
      <c r="B188" s="273" t="n"/>
      <c r="C188" s="274" t="n"/>
      <c r="D188" s="1260" t="n"/>
      <c r="E188" s="1200" t="n"/>
      <c r="F188" s="1262" t="n"/>
      <c r="G188" s="274" t="n"/>
      <c r="H188" s="274" t="n"/>
      <c r="I188" s="274" t="n"/>
    </row>
    <row r="189">
      <c r="A189" s="273" t="n"/>
      <c r="B189" s="273" t="n"/>
      <c r="C189" s="274" t="n"/>
      <c r="D189" s="1260" t="n"/>
      <c r="E189" s="1200" t="n"/>
      <c r="F189" s="1262" t="n"/>
      <c r="G189" s="274" t="n"/>
      <c r="H189" s="274" t="n"/>
      <c r="I189" s="274" t="n"/>
    </row>
    <row r="190">
      <c r="A190" s="273" t="n"/>
      <c r="B190" s="273" t="n"/>
      <c r="C190" s="274" t="n"/>
      <c r="D190" s="1260" t="n"/>
      <c r="E190" s="1200" t="n"/>
      <c r="F190" s="1262" t="n"/>
      <c r="G190" s="274" t="n"/>
      <c r="H190" s="274" t="n"/>
      <c r="I190" s="274" t="n"/>
    </row>
    <row r="191">
      <c r="A191" s="273" t="n"/>
      <c r="B191" s="273" t="n"/>
      <c r="C191" s="274" t="n"/>
      <c r="D191" s="1260" t="n"/>
      <c r="E191" s="1200" t="n"/>
      <c r="F191" s="1262" t="n"/>
      <c r="G191" s="274" t="n"/>
      <c r="H191" s="274" t="n"/>
      <c r="I191" s="274" t="n"/>
    </row>
    <row r="192">
      <c r="E192" s="1200" t="n"/>
      <c r="F192" s="1262" t="n"/>
    </row>
    <row r="193">
      <c r="F193" s="1262" t="n"/>
    </row>
    <row r="194">
      <c r="F194" s="1262" t="n"/>
    </row>
    <row r="195">
      <c r="E195" s="1200" t="n"/>
      <c r="F195" s="1262" t="n"/>
    </row>
    <row r="196">
      <c r="E196" s="1200" t="n"/>
      <c r="F196" s="1262" t="n"/>
    </row>
    <row r="197">
      <c r="E197" s="1200" t="n"/>
      <c r="F197" s="1262" t="n"/>
    </row>
    <row r="198">
      <c r="E198" s="1200" t="n"/>
      <c r="F198" s="1262" t="n"/>
    </row>
    <row r="199">
      <c r="E199" s="1200" t="n"/>
      <c r="F199" s="1262" t="n"/>
    </row>
    <row r="200">
      <c r="E200" s="1200" t="n"/>
      <c r="F200" s="1262" t="n"/>
    </row>
    <row r="201">
      <c r="E201" s="1200" t="n"/>
      <c r="F201" s="1262" t="n"/>
    </row>
    <row r="202">
      <c r="E202" s="1200" t="n"/>
      <c r="F202" s="1262" t="n"/>
    </row>
    <row r="203">
      <c r="E203" s="1200" t="n"/>
      <c r="F203" s="1262" t="n"/>
    </row>
    <row r="204">
      <c r="E204" s="1200" t="n"/>
      <c r="F204" s="1262" t="n"/>
    </row>
    <row r="205">
      <c r="E205" s="1200" t="n"/>
      <c r="F205" s="1262" t="n"/>
    </row>
    <row r="206">
      <c r="E206" s="1200" t="n"/>
      <c r="F206" s="1262" t="n"/>
    </row>
    <row r="207">
      <c r="E207" s="1200" t="n"/>
      <c r="F207" s="1262" t="n"/>
    </row>
    <row r="208">
      <c r="E208" s="1200" t="n"/>
      <c r="F208" s="1262" t="n"/>
    </row>
    <row r="209">
      <c r="E209" s="1200" t="n"/>
      <c r="F209" s="1262" t="n"/>
    </row>
    <row r="210">
      <c r="E210" s="1200" t="n"/>
      <c r="F210" s="1262" t="n"/>
    </row>
  </sheetData>
  <mergeCells count="4">
    <mergeCell ref="L80:N80"/>
    <mergeCell ref="T79:V80"/>
    <mergeCell ref="P80:R80"/>
    <mergeCell ref="J83:J84"/>
  </mergeCells>
  <pageMargins left="0.75" right="0.75" top="1" bottom="1" header="0.5" footer="0.5"/>
  <pageSetup orientation="portrait" scale="64"/>
</worksheet>
</file>

<file path=xl/worksheets/sheet3.xml><?xml version="1.0" encoding="utf-8"?>
<worksheet xmlns="http://schemas.openxmlformats.org/spreadsheetml/2006/main">
  <sheetPr>
    <tabColor theme="3"/>
    <outlinePr summaryBelow="1" summaryRight="1"/>
    <pageSetUpPr/>
  </sheetPr>
  <dimension ref="B2:N10"/>
  <sheetViews>
    <sheetView zoomScale="121" zoomScaleNormal="85" workbookViewId="0">
      <selection activeCell="J2" sqref="J2"/>
    </sheetView>
  </sheetViews>
  <sheetFormatPr baseColWidth="10" defaultColWidth="8.83203125" defaultRowHeight="15"/>
  <cols>
    <col width="8.83203125" customWidth="1" style="238" min="1" max="1"/>
    <col width="13.83203125" bestFit="1" customWidth="1" style="17" min="2" max="2"/>
    <col width="9.5" customWidth="1" style="17" min="3" max="3"/>
    <col width="10.5" customWidth="1" style="17" min="4" max="4"/>
    <col width="13.83203125" customWidth="1" style="17" min="5" max="5"/>
    <col width="9.33203125" bestFit="1" customWidth="1" style="17" min="6" max="6"/>
    <col width="9.83203125" customWidth="1" style="17" min="7" max="7"/>
    <col width="12" customWidth="1" style="17" min="8" max="8"/>
    <col width="9" customWidth="1" style="17" min="9" max="9"/>
    <col width="11" customWidth="1" style="17" min="10" max="10"/>
    <col width="8.83203125" customWidth="1" style="17" min="11" max="14"/>
    <col width="12.5" customWidth="1" style="17" min="15" max="15"/>
    <col width="8.83203125" customWidth="1" style="17" min="16" max="16384"/>
  </cols>
  <sheetData>
    <row r="1" ht="15" customHeight="1"/>
    <row r="2" ht="29.25" customHeight="1">
      <c r="B2" s="229" t="inlineStr">
        <is>
          <t>TYPE</t>
        </is>
      </c>
      <c r="C2" s="230" t="inlineStr">
        <is>
          <t>SIZE (SF)</t>
        </is>
      </c>
      <c r="D2" s="230" t="inlineStr">
        <is>
          <t># UNITS</t>
        </is>
      </c>
      <c r="E2" s="230" t="inlineStr">
        <is>
          <t>RENT/MONTH</t>
        </is>
      </c>
      <c r="F2" s="230" t="inlineStr">
        <is>
          <t>$/SF/MO</t>
        </is>
      </c>
      <c r="G2" s="230" t="inlineStr">
        <is>
          <t>UNIT MIX</t>
        </is>
      </c>
      <c r="I2" s="236" t="inlineStr">
        <is>
          <t>GARAGE UNITS</t>
        </is>
      </c>
      <c r="J2" s="237">
        <f>SUMIF(#REF!,"g",#REF!)</f>
        <v/>
      </c>
    </row>
    <row r="3">
      <c r="B3" s="222" t="inlineStr">
        <is>
          <t>STUDIO</t>
        </is>
      </c>
      <c r="C3" s="1373" t="n"/>
      <c r="D3" s="1374" t="n"/>
      <c r="E3" s="1375" t="n"/>
      <c r="F3" s="877">
        <f>IF(ISERROR(E3/C3),"",E3/C3)</f>
        <v/>
      </c>
      <c r="G3" s="878">
        <f>IF(ISERROR(D3/D$7),"",(D3/D$7))</f>
        <v/>
      </c>
      <c r="J3" s="829">
        <f>J2/D7</f>
        <v/>
      </c>
    </row>
    <row r="4">
      <c r="B4" s="879" t="inlineStr">
        <is>
          <t>1BR / 1BA</t>
        </is>
      </c>
      <c r="C4" s="1376" t="n"/>
      <c r="D4" s="1377" t="n"/>
      <c r="E4" s="1375" t="n"/>
      <c r="F4" s="880">
        <f>IF(ISERROR(E4/C4),"",E4/C4)</f>
        <v/>
      </c>
      <c r="G4" s="881">
        <f>IF(ISERROR(D4/D$7),"",(D4/D$7))</f>
        <v/>
      </c>
    </row>
    <row r="5">
      <c r="B5" s="225" t="inlineStr">
        <is>
          <t>2BR / 2BA</t>
        </is>
      </c>
      <c r="C5" s="1375" t="n"/>
      <c r="D5" s="1377" t="n"/>
      <c r="E5" s="1375" t="n"/>
      <c r="F5" s="880">
        <f>IF(ISERROR(E5/C5),"",E5/C5)</f>
        <v/>
      </c>
      <c r="G5" s="881">
        <f>IF(ISERROR(D5/D$7),"",(D5/D$7))</f>
        <v/>
      </c>
    </row>
    <row r="6">
      <c r="B6" s="677" t="inlineStr">
        <is>
          <t>3BR / 2BA</t>
        </is>
      </c>
      <c r="C6" s="1378" t="n"/>
      <c r="D6" s="1379" t="n"/>
      <c r="E6" s="1378" t="n"/>
      <c r="F6" s="882">
        <f>IF(ISERROR(E6/C6),"",E6/C6)</f>
        <v/>
      </c>
      <c r="G6" s="883">
        <f>IF(ISERROR(D6/D$7),"",(D6/D$7))</f>
        <v/>
      </c>
      <c r="M6" s="460">
        <f>Summary!M129</f>
        <v/>
      </c>
      <c r="N6" s="460" t="n"/>
    </row>
    <row r="7">
      <c r="B7" s="18" t="inlineStr">
        <is>
          <t>TOTALS:</t>
        </is>
      </c>
      <c r="C7" s="1267">
        <f>SUMPRODUCT(C3:C6,D3:D6)</f>
        <v/>
      </c>
      <c r="D7" s="1267">
        <f>SUM(D3:D6)</f>
        <v/>
      </c>
      <c r="E7" s="1267" t="n"/>
      <c r="F7" s="21" t="n"/>
      <c r="G7" s="22">
        <f>SUM(G3:G6)</f>
        <v/>
      </c>
      <c r="M7" s="460" t="n"/>
    </row>
    <row r="8">
      <c r="B8" s="18" t="inlineStr">
        <is>
          <t>AVERAGES:</t>
        </is>
      </c>
      <c r="C8" s="1267">
        <f>IF(ISERROR(SUMPRODUCT(C3:C6,D3:D6)/D7),"",(SUMPRODUCT(C3:C6,D3:D6)/D7))</f>
        <v/>
      </c>
      <c r="D8" s="1267" t="n"/>
      <c r="E8" s="1267">
        <f>IF(ISERROR(SUMPRODUCT(E3:E6,D3:D6)/D7),"",SUMPRODUCT(E3:E6,D3:D6)/D7)</f>
        <v/>
      </c>
      <c r="F8" s="21">
        <f>IF(ISERROR(E8/C8),"",(E8/C8))</f>
        <v/>
      </c>
      <c r="G8" s="22" t="n"/>
    </row>
    <row r="9">
      <c r="C9" s="1038" t="n"/>
    </row>
    <row r="10">
      <c r="F10" s="497" t="n"/>
    </row>
  </sheetData>
  <pageMargins left="0.7" right="0.7" top="1" bottom="0.75" header="0.3" footer="0.3"/>
  <pageSetup orientation="landscape" scale="54"/>
  <headerFooter>
    <oddHeader>&amp;L&amp;G&amp;C_x000a__x000a_&amp;R&amp;11 &amp;D_x000a_&amp;T</oddHeader>
    <oddFooter>&amp;L&amp;"-,Italic"Confidential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theme="3"/>
    <outlinePr summaryBelow="1" summaryRight="1"/>
    <pageSetUpPr fitToPage="1"/>
  </sheetPr>
  <dimension ref="B1:AT182"/>
  <sheetViews>
    <sheetView showGridLines="0" zoomScale="85" zoomScaleNormal="85" workbookViewId="0">
      <pane ySplit="13" topLeftCell="A136" activePane="bottomLeft" state="frozen"/>
      <selection pane="bottomLeft" activeCell="E28" sqref="E28"/>
    </sheetView>
  </sheetViews>
  <sheetFormatPr baseColWidth="10" defaultColWidth="10.83203125" defaultRowHeight="15"/>
  <cols>
    <col width="2.33203125" customWidth="1" style="576" min="1" max="2"/>
    <col width="30" customWidth="1" style="576" min="3" max="3"/>
    <col width="17" customWidth="1" style="576" min="4" max="4"/>
    <col width="10.5" customWidth="1" style="576" min="5" max="43"/>
    <col width="3.33203125" customWidth="1" style="576" min="44" max="44"/>
    <col width="10.83203125" customWidth="1" style="576" min="45" max="16384"/>
  </cols>
  <sheetData>
    <row r="1">
      <c r="B1" s="582">
        <f>+Summary!B1</f>
        <v/>
      </c>
      <c r="C1" s="425" t="n"/>
      <c r="D1" s="735" t="n"/>
      <c r="E1" s="735" t="n"/>
      <c r="F1" s="735" t="n"/>
      <c r="G1" s="735" t="n"/>
      <c r="H1" s="735" t="n"/>
      <c r="I1" s="735" t="n"/>
      <c r="J1" s="735" t="n"/>
      <c r="K1" s="735" t="n"/>
      <c r="L1" s="735" t="n"/>
      <c r="M1" s="735" t="n"/>
      <c r="N1" s="735" t="n"/>
      <c r="O1" s="735" t="n"/>
      <c r="P1" s="735" t="n"/>
      <c r="Q1" s="735" t="n"/>
      <c r="R1" s="735" t="n"/>
      <c r="S1" s="735" t="n"/>
      <c r="T1" s="735" t="n"/>
      <c r="U1" s="735" t="n"/>
      <c r="V1" s="735" t="n"/>
      <c r="W1" s="735" t="n"/>
      <c r="X1" s="735" t="n"/>
      <c r="Y1" s="735" t="n"/>
      <c r="Z1" s="735" t="n"/>
      <c r="AA1" s="735" t="n"/>
      <c r="AB1" s="735" t="n"/>
      <c r="AC1" s="735" t="n"/>
      <c r="AD1" s="735" t="n"/>
      <c r="AE1" s="735" t="n"/>
      <c r="AF1" s="735" t="n"/>
      <c r="AG1" s="735" t="n"/>
      <c r="AH1" s="735" t="n"/>
      <c r="AI1" s="735" t="n"/>
      <c r="AJ1" s="735" t="n"/>
      <c r="AK1" s="735" t="n"/>
      <c r="AL1" s="735" t="n"/>
      <c r="AM1" s="735" t="n"/>
      <c r="AN1" s="735" t="n"/>
      <c r="AO1" s="735" t="n"/>
      <c r="AP1" s="735" t="n"/>
      <c r="AQ1" s="735" t="n"/>
      <c r="AR1" s="735" t="n"/>
      <c r="AS1" s="735" t="n"/>
    </row>
    <row r="2">
      <c r="B2" s="44" t="n"/>
      <c r="C2" s="425">
        <f>+Summary!C2</f>
        <v/>
      </c>
      <c r="D2" s="735" t="n"/>
      <c r="E2" s="735" t="n"/>
      <c r="F2" s="735" t="n"/>
      <c r="G2" s="735" t="n"/>
      <c r="H2" s="735" t="n"/>
      <c r="I2" s="735" t="n"/>
      <c r="J2" s="735" t="n"/>
      <c r="K2" s="735" t="n"/>
      <c r="L2" s="735" t="n"/>
      <c r="M2" s="735" t="n"/>
      <c r="N2" s="735" t="n"/>
      <c r="O2" s="735" t="n"/>
      <c r="P2" s="735" t="n"/>
      <c r="Q2" s="735" t="n"/>
      <c r="R2" s="735" t="n"/>
      <c r="S2" s="735" t="n"/>
      <c r="T2" s="735" t="n"/>
      <c r="U2" s="735" t="n"/>
      <c r="V2" s="735" t="n"/>
      <c r="W2" s="735" t="n"/>
      <c r="X2" s="735" t="n"/>
      <c r="Y2" s="735" t="n"/>
      <c r="Z2" s="735" t="n"/>
      <c r="AA2" s="735" t="n"/>
      <c r="AB2" s="735" t="n"/>
      <c r="AC2" s="735" t="n"/>
      <c r="AD2" s="735" t="n"/>
      <c r="AE2" s="735" t="n"/>
      <c r="AF2" s="735" t="n"/>
      <c r="AG2" s="735" t="n"/>
      <c r="AH2" s="735" t="n"/>
      <c r="AI2" s="735" t="n"/>
      <c r="AJ2" s="735" t="n"/>
      <c r="AK2" s="735" t="n"/>
      <c r="AL2" s="735" t="n"/>
      <c r="AM2" s="735" t="n"/>
      <c r="AN2" s="735" t="n"/>
      <c r="AO2" s="735" t="n"/>
      <c r="AP2" s="735" t="n"/>
      <c r="AQ2" s="735" t="n"/>
      <c r="AR2" s="735" t="n"/>
      <c r="AS2" s="735" t="n"/>
    </row>
    <row r="3">
      <c r="B3" s="44" t="n"/>
      <c r="C3" s="1268">
        <f>+Summary!C3</f>
        <v/>
      </c>
      <c r="D3" s="735" t="n"/>
      <c r="E3" s="735" t="n"/>
      <c r="F3" s="735" t="n"/>
      <c r="G3" s="735" t="n"/>
      <c r="H3" s="735" t="n"/>
      <c r="I3" s="735" t="n"/>
      <c r="J3" s="735" t="n"/>
      <c r="K3" s="735" t="n"/>
      <c r="L3" s="735" t="n"/>
      <c r="M3" s="735" t="n"/>
      <c r="N3" s="735" t="n"/>
      <c r="O3" s="735" t="n"/>
      <c r="P3" s="735" t="n"/>
      <c r="Q3" s="735" t="n"/>
      <c r="R3" s="735" t="n"/>
      <c r="S3" s="735" t="n"/>
      <c r="T3" s="735" t="n"/>
      <c r="U3" s="735" t="n"/>
      <c r="V3" s="735" t="n"/>
      <c r="W3" s="735" t="n"/>
      <c r="X3" s="735" t="n"/>
      <c r="Y3" s="735" t="n"/>
      <c r="Z3" s="735" t="n"/>
      <c r="AA3" s="735" t="n"/>
      <c r="AB3" s="735" t="n"/>
      <c r="AC3" s="735" t="n"/>
      <c r="AD3" s="735" t="n"/>
      <c r="AE3" s="735" t="n"/>
      <c r="AF3" s="735" t="n"/>
      <c r="AG3" s="735" t="n"/>
      <c r="AH3" s="735" t="n"/>
      <c r="AI3" s="735" t="n"/>
      <c r="AJ3" s="735" t="n"/>
      <c r="AK3" s="735" t="n"/>
      <c r="AL3" s="735" t="n"/>
      <c r="AM3" s="735" t="n"/>
      <c r="AN3" s="735" t="n"/>
      <c r="AO3" s="735" t="n"/>
      <c r="AP3" s="735" t="n"/>
      <c r="AQ3" s="735" t="n"/>
      <c r="AR3" s="735" t="n"/>
      <c r="AS3" s="735" t="n"/>
    </row>
    <row r="5">
      <c r="B5" s="6" t="inlineStr">
        <is>
          <t>CASH FLOW STATEMENT</t>
        </is>
      </c>
      <c r="C5" s="735" t="n"/>
      <c r="D5" s="735" t="n"/>
      <c r="E5" s="735" t="n"/>
      <c r="F5" s="735" t="n"/>
      <c r="G5" s="735" t="n"/>
      <c r="H5" s="735" t="n"/>
      <c r="I5" s="735" t="n"/>
      <c r="J5" s="735" t="n"/>
      <c r="K5" s="735" t="n"/>
      <c r="L5" s="735" t="n"/>
      <c r="M5" s="735" t="n"/>
      <c r="N5" s="735" t="n"/>
      <c r="O5" s="735" t="n"/>
      <c r="P5" s="735" t="n"/>
      <c r="Q5" s="735" t="n"/>
      <c r="R5" s="735" t="n"/>
      <c r="S5" s="735" t="n"/>
      <c r="T5" s="735" t="n"/>
      <c r="U5" s="735" t="n"/>
      <c r="V5" s="739" t="n"/>
      <c r="W5" s="735" t="n"/>
      <c r="X5" s="83" t="n"/>
      <c r="Y5" s="735" t="n"/>
      <c r="Z5" s="735" t="n"/>
      <c r="AA5" s="735" t="n"/>
      <c r="AB5" s="735" t="n"/>
      <c r="AC5" s="735" t="n"/>
      <c r="AD5" s="735" t="n"/>
      <c r="AE5" s="735" t="n"/>
      <c r="AF5" s="735" t="n"/>
      <c r="AG5" s="735" t="n"/>
      <c r="AH5" s="735" t="n"/>
      <c r="AI5" s="735" t="n"/>
      <c r="AJ5" s="735" t="n"/>
      <c r="AK5" s="735" t="n"/>
      <c r="AL5" s="735" t="n"/>
      <c r="AM5" s="735" t="n"/>
      <c r="AN5" s="735" t="n"/>
      <c r="AO5" s="735" t="n"/>
      <c r="AP5" s="735" t="n"/>
      <c r="AQ5" s="735" t="n"/>
      <c r="AR5" s="735" t="n"/>
      <c r="AS5" s="735" t="n"/>
    </row>
    <row r="6">
      <c r="B6" s="735" t="n"/>
      <c r="C6" s="735" t="n"/>
      <c r="D6" s="735" t="n"/>
      <c r="E6" s="735" t="n"/>
      <c r="F6" s="410">
        <f>IF(SUM(F7:AN7)=1,"","CHECK")</f>
        <v/>
      </c>
      <c r="G6" s="735" t="n"/>
      <c r="H6" s="735" t="n"/>
      <c r="I6" s="735" t="n"/>
      <c r="J6" s="735" t="n"/>
      <c r="K6" s="735" t="n"/>
      <c r="L6" s="735" t="n"/>
      <c r="M6" s="735" t="n"/>
      <c r="N6" s="735" t="n"/>
      <c r="O6" s="735" t="n"/>
      <c r="P6" s="735" t="n"/>
      <c r="Q6" s="735" t="n"/>
      <c r="R6" s="735" t="n"/>
      <c r="S6" s="735" t="n"/>
      <c r="T6" s="735" t="n"/>
      <c r="U6" s="735" t="n"/>
      <c r="V6" s="735" t="n"/>
      <c r="W6" s="735" t="n"/>
      <c r="X6" s="735" t="n"/>
      <c r="Y6" s="735" t="n"/>
      <c r="Z6" s="735" t="n"/>
      <c r="AA6" s="735" t="n"/>
      <c r="AB6" s="735" t="n"/>
      <c r="AC6" s="735" t="n"/>
      <c r="AD6" s="735" t="n"/>
      <c r="AE6" s="735" t="n"/>
      <c r="AF6" s="735" t="n"/>
      <c r="AG6" s="735" t="n"/>
      <c r="AH6" s="735" t="n"/>
      <c r="AI6" s="735" t="n"/>
      <c r="AJ6" s="735" t="n"/>
      <c r="AK6" s="735" t="n"/>
      <c r="AL6" s="735" t="n"/>
      <c r="AM6" s="735" t="n"/>
      <c r="AN6" s="735" t="n"/>
      <c r="AO6" s="735" t="n"/>
      <c r="AP6" s="735" t="n"/>
      <c r="AQ6" s="735" t="n"/>
      <c r="AR6" s="735" t="n"/>
      <c r="AS6" s="735" t="n"/>
    </row>
    <row r="7">
      <c r="B7" s="735" t="n"/>
      <c r="C7" s="735" t="inlineStr">
        <is>
          <t>HARD COSTS FROM CONSTRUCTION SCHEDULE</t>
        </is>
      </c>
      <c r="D7" s="735" t="n"/>
      <c r="E7" s="735" t="n"/>
      <c r="F7" s="376">
        <f>HLOOKUP(F11,'Construction Schedule'!$D$14:$AJ$20,7)</f>
        <v/>
      </c>
      <c r="G7" s="376">
        <f>HLOOKUP(G11,'Construction Schedule'!$D$14:$AJ$20,7)</f>
        <v/>
      </c>
      <c r="H7" s="376">
        <f>HLOOKUP(H11,'Construction Schedule'!$D$14:$AJ$20,7)</f>
        <v/>
      </c>
      <c r="I7" s="376">
        <f>HLOOKUP(I11,'Construction Schedule'!$D$14:$AJ$20,7)</f>
        <v/>
      </c>
      <c r="J7" s="376">
        <f>HLOOKUP(J11,'Construction Schedule'!$D$14:$AJ$20,7)</f>
        <v/>
      </c>
      <c r="K7" s="376">
        <f>HLOOKUP(K11,'Construction Schedule'!$D$14:$AJ$20,7)</f>
        <v/>
      </c>
      <c r="L7" s="376">
        <f>HLOOKUP(L11,'Construction Schedule'!$D$14:$AJ$20,7)</f>
        <v/>
      </c>
      <c r="M7" s="376">
        <f>HLOOKUP(M11,'Construction Schedule'!$D$14:$AJ$20,7)</f>
        <v/>
      </c>
      <c r="N7" s="376">
        <f>HLOOKUP(N11,'Construction Schedule'!$D$14:$AJ$20,7)</f>
        <v/>
      </c>
      <c r="O7" s="376">
        <f>HLOOKUP(O11,'Construction Schedule'!$D$14:$AJ$20,7)</f>
        <v/>
      </c>
      <c r="P7" s="376">
        <f>HLOOKUP(P11,'Construction Schedule'!$D$14:$AJ$20,7)</f>
        <v/>
      </c>
      <c r="Q7" s="376">
        <f>HLOOKUP(Q11,'Construction Schedule'!$D$14:$AJ$20,7)</f>
        <v/>
      </c>
      <c r="R7" s="376">
        <f>HLOOKUP(R11,'Construction Schedule'!$D$14:$AJ$20,7)</f>
        <v/>
      </c>
      <c r="S7" s="376">
        <f>HLOOKUP(S11,'Construction Schedule'!$D$14:$AJ$20,7)</f>
        <v/>
      </c>
      <c r="T7" s="376">
        <f>HLOOKUP(T11,'Construction Schedule'!$D$14:$AJ$20,7)</f>
        <v/>
      </c>
      <c r="U7" s="376">
        <f>HLOOKUP(U11,'Construction Schedule'!$D$14:$AJ$20,7)</f>
        <v/>
      </c>
      <c r="V7" s="376">
        <f>HLOOKUP(V11,'Construction Schedule'!$D$14:$AJ$20,7)</f>
        <v/>
      </c>
      <c r="W7" s="376">
        <f>HLOOKUP(W11,'Construction Schedule'!$D$14:$AJ$20,7)</f>
        <v/>
      </c>
      <c r="X7" s="376">
        <f>HLOOKUP(X11,'Construction Schedule'!$D$14:$AJ$20,7)</f>
        <v/>
      </c>
      <c r="Y7" s="376">
        <f>HLOOKUP(Y11,'Construction Schedule'!$D$14:$AJ$20,7)</f>
        <v/>
      </c>
      <c r="Z7" s="376">
        <f>HLOOKUP(Z11,'Construction Schedule'!$D$14:$AJ$20,7)</f>
        <v/>
      </c>
      <c r="AA7" s="376">
        <f>HLOOKUP(AA11,'Construction Schedule'!$D$14:$AJ$20,7)</f>
        <v/>
      </c>
      <c r="AB7" s="376">
        <f>HLOOKUP(AB11,'Construction Schedule'!$D$14:$AJ$20,7)</f>
        <v/>
      </c>
      <c r="AC7" s="376">
        <f>HLOOKUP(AC11,'Construction Schedule'!$D$14:$AJ$20,7)</f>
        <v/>
      </c>
      <c r="AD7" s="376">
        <f>HLOOKUP(AD11,'Construction Schedule'!$D$14:$AJ$20,7)</f>
        <v/>
      </c>
      <c r="AE7" s="376">
        <f>HLOOKUP(AE11,'Construction Schedule'!$D$14:$AJ$20,7)</f>
        <v/>
      </c>
      <c r="AF7" s="376">
        <f>HLOOKUP(AF11,'Construction Schedule'!$D$14:$AJ$20,7)</f>
        <v/>
      </c>
      <c r="AG7" s="376">
        <f>HLOOKUP(AG11,'Construction Schedule'!$D$14:$AJ$20,7)</f>
        <v/>
      </c>
      <c r="AH7" s="376">
        <f>HLOOKUP(AH11,'Construction Schedule'!$D$14:$AJ$20,7)</f>
        <v/>
      </c>
      <c r="AI7" s="376">
        <f>HLOOKUP(AI11,'Construction Schedule'!$D$14:$AJ$20,7)</f>
        <v/>
      </c>
      <c r="AJ7" s="376">
        <f>HLOOKUP(AJ11,'Construction Schedule'!$D$14:$AJ$20,7)</f>
        <v/>
      </c>
      <c r="AK7" s="376">
        <f>HLOOKUP(AK11,'Construction Schedule'!$D$14:$AJ$20,7)</f>
        <v/>
      </c>
      <c r="AL7" s="376">
        <f>HLOOKUP(AL11,'Construction Schedule'!$D$14:$AJ$20,7)</f>
        <v/>
      </c>
      <c r="AM7" s="376">
        <f>HLOOKUP(AM11,'Construction Schedule'!$D$14:$AJ$20,7)</f>
        <v/>
      </c>
      <c r="AN7" s="376">
        <f>HLOOKUP(AN11,'Construction Schedule'!$D$14:$AJ$20,7)</f>
        <v/>
      </c>
      <c r="AO7" s="735" t="n"/>
      <c r="AP7" s="744" t="n"/>
      <c r="AQ7" s="735" t="n"/>
      <c r="AR7" s="735" t="n"/>
      <c r="AS7" s="735" t="n"/>
    </row>
    <row r="8">
      <c r="B8" s="735" t="n"/>
      <c r="C8" s="735" t="n"/>
      <c r="D8" s="735" t="n"/>
      <c r="E8" s="744" t="n"/>
      <c r="F8" s="744" t="n"/>
      <c r="G8" s="744" t="n"/>
      <c r="H8" s="744" t="n"/>
      <c r="I8" s="744" t="n"/>
      <c r="J8" s="744" t="n"/>
      <c r="K8" s="744" t="n"/>
      <c r="L8" s="744" t="n"/>
      <c r="M8" s="744" t="n"/>
      <c r="N8" s="744" t="n"/>
      <c r="O8" s="744" t="n"/>
      <c r="P8" s="744" t="n"/>
      <c r="Q8" s="744" t="n"/>
      <c r="R8" s="744" t="n"/>
      <c r="S8" s="744" t="n"/>
      <c r="T8" s="744" t="n"/>
      <c r="U8" s="744" t="n"/>
      <c r="V8" s="744" t="n"/>
      <c r="W8" s="744" t="n"/>
      <c r="X8" s="744" t="n"/>
      <c r="Y8" s="744" t="n"/>
      <c r="Z8" s="744" t="n"/>
      <c r="AA8" s="744" t="n"/>
      <c r="AB8" s="744" t="n"/>
      <c r="AC8" s="744" t="n"/>
      <c r="AD8" s="744" t="n"/>
      <c r="AE8" s="744" t="n"/>
      <c r="AF8" s="744" t="n"/>
      <c r="AG8" s="744" t="n"/>
      <c r="AH8" s="744" t="n"/>
      <c r="AI8" s="744" t="n"/>
      <c r="AJ8" s="744" t="n"/>
      <c r="AK8" s="744" t="n"/>
      <c r="AL8" s="744" t="n"/>
      <c r="AM8" s="744" t="n"/>
      <c r="AN8" s="744" t="n"/>
      <c r="AO8" s="735" t="n"/>
      <c r="AP8" s="744" t="n"/>
      <c r="AQ8" s="735" t="n"/>
      <c r="AR8" s="735" t="n"/>
      <c r="AS8" s="735" t="n"/>
    </row>
    <row r="9" customFormat="1" s="44">
      <c r="C9" s="7" t="inlineStr">
        <is>
          <t>STABILIZATION SCHEDULE</t>
        </is>
      </c>
      <c r="E9" s="48" t="n">
        <v>0</v>
      </c>
      <c r="F9" s="48">
        <f>IF((E44/Total_Number_Units)&gt;=Summary!$F$16,1,0)</f>
        <v/>
      </c>
      <c r="G9" s="48">
        <f>IF((F44/Total_Number_Units)&gt;=Summary!$F$16,1,0)</f>
        <v/>
      </c>
      <c r="H9" s="48">
        <f>IF((G44/Total_Number_Units)&gt;=Summary!$F$16,1,0)</f>
        <v/>
      </c>
      <c r="I9" s="48">
        <f>IF((H44/Total_Number_Units)&gt;=Summary!$F$16,1,0)</f>
        <v/>
      </c>
      <c r="J9" s="48">
        <f>IF((I44/Total_Number_Units)&gt;=Summary!$F$16,1,0)</f>
        <v/>
      </c>
      <c r="K9" s="48">
        <f>IF((J44/Total_Number_Units)&gt;=Summary!$F$16,1,0)</f>
        <v/>
      </c>
      <c r="L9" s="48">
        <f>IF((K44/Total_Number_Units)&gt;=Summary!$F$16,1,0)</f>
        <v/>
      </c>
      <c r="M9" s="48">
        <f>IF((L44/Total_Number_Units)&gt;=Summary!$F$16,1,0)</f>
        <v/>
      </c>
      <c r="N9" s="48">
        <f>IF((M44/Total_Number_Units)&gt;=Summary!$F$16,1,0)</f>
        <v/>
      </c>
      <c r="O9" s="48">
        <f>IF((N44/Total_Number_Units)&gt;=Summary!$F$16,1,0)</f>
        <v/>
      </c>
      <c r="P9" s="48">
        <f>IF((O44/Total_Number_Units)&gt;=Summary!$F$16,1,0)</f>
        <v/>
      </c>
      <c r="Q9" s="48">
        <f>IF((P44/Total_Number_Units)&gt;=Summary!$F$16,1,0)</f>
        <v/>
      </c>
      <c r="R9" s="48">
        <f>IF((Q44/Total_Number_Units)&gt;=Summary!$F$16,1,0)</f>
        <v/>
      </c>
      <c r="S9" s="48">
        <f>IF((R44/Total_Number_Units)&gt;=Summary!$F$16,1,0)</f>
        <v/>
      </c>
      <c r="T9" s="48">
        <f>IF((S44/Total_Number_Units)&gt;=Summary!$F$16,1,0)</f>
        <v/>
      </c>
      <c r="U9" s="48">
        <f>IF((T44/Total_Number_Units)&gt;=Summary!$F$16,1,0)</f>
        <v/>
      </c>
      <c r="V9" s="48">
        <f>IF((U44/Total_Number_Units)&gt;=Summary!$F$16,1,0)</f>
        <v/>
      </c>
      <c r="W9" s="48">
        <f>IF((V44/Total_Number_Units)&gt;=Summary!$F$16,1,0)</f>
        <v/>
      </c>
      <c r="X9" s="48">
        <f>IF((W44/Total_Number_Units)&gt;=Summary!$F$16,1,0)</f>
        <v/>
      </c>
      <c r="Y9" s="48">
        <f>IF((X44/Total_Number_Units)&gt;=Summary!$F$16,1,0)</f>
        <v/>
      </c>
      <c r="Z9" s="48">
        <f>IF((Y44/Total_Number_Units)&gt;=Summary!$F$16,1,0)</f>
        <v/>
      </c>
      <c r="AA9" s="48">
        <f>IF((Z44/Total_Number_Units)&gt;=Summary!$F$16,1,0)</f>
        <v/>
      </c>
      <c r="AB9" s="48">
        <f>IF((AA44/Total_Number_Units)&gt;=Summary!$F$16,1,0)</f>
        <v/>
      </c>
      <c r="AC9" s="48">
        <f>IF((AB44/Total_Number_Units)&gt;=Summary!$F$16,1,0)</f>
        <v/>
      </c>
      <c r="AD9" s="48">
        <f>IF((AC44/Total_Number_Units)&gt;=Summary!$F$16,1,0)</f>
        <v/>
      </c>
      <c r="AE9" s="48">
        <f>IF((AD44/Total_Number_Units)&gt;=Summary!$F$16,1,0)</f>
        <v/>
      </c>
      <c r="AF9" s="48">
        <f>IF((AE44/Total_Number_Units)&gt;=Summary!$F$16,1,0)</f>
        <v/>
      </c>
      <c r="AG9" s="48">
        <f>IF((AF44/Total_Number_Units)&gt;=Summary!$F$16,1,0)</f>
        <v/>
      </c>
      <c r="AH9" s="48">
        <f>IF((AG44/Total_Number_Units)&gt;=Summary!$F$16,1,0)</f>
        <v/>
      </c>
      <c r="AI9" s="48">
        <f>IF((AH44/Total_Number_Units)&gt;=Summary!$F$16,1,0)</f>
        <v/>
      </c>
      <c r="AJ9" s="48">
        <f>IF((AI44/Total_Number_Units)&gt;=Summary!$F$16,1,0)</f>
        <v/>
      </c>
      <c r="AK9" s="48">
        <f>IF((AJ44/Total_Number_Units)&gt;=Summary!$F$16,1,0)</f>
        <v/>
      </c>
      <c r="AL9" s="48">
        <f>IF((AK44/Total_Number_Units)&gt;=Summary!$F$16,1,0)</f>
        <v/>
      </c>
      <c r="AM9" s="48">
        <f>IF((AL44/Total_Number_Units)&gt;=Summary!$F$16,1,0)</f>
        <v/>
      </c>
      <c r="AN9" s="48">
        <f>IF((AM44/Total_Number_Units)&gt;=Summary!$F$16,1,0)</f>
        <v/>
      </c>
      <c r="AP9" s="48" t="n"/>
    </row>
    <row r="10">
      <c r="B10" s="735" t="n"/>
      <c r="C10" s="7" t="inlineStr">
        <is>
          <t>LEASE UP SCHEDULE</t>
        </is>
      </c>
      <c r="D10" s="735" t="n"/>
      <c r="E10" s="744">
        <f>+E11-Summary!$D$14+1</f>
        <v/>
      </c>
      <c r="F10" s="744">
        <f>+F11-Summary!$D$14+1</f>
        <v/>
      </c>
      <c r="G10" s="744">
        <f>+G11-Summary!$D$14+1</f>
        <v/>
      </c>
      <c r="H10" s="744">
        <f>+H11-Summary!$D$14+1</f>
        <v/>
      </c>
      <c r="I10" s="744">
        <f>+I11-Summary!$D$14+1</f>
        <v/>
      </c>
      <c r="J10" s="744">
        <f>+J11-Summary!$D$14+1</f>
        <v/>
      </c>
      <c r="K10" s="744">
        <f>+K11-Summary!$D$14+1</f>
        <v/>
      </c>
      <c r="L10" s="744">
        <f>+L11-Summary!$D$14+1</f>
        <v/>
      </c>
      <c r="M10" s="744">
        <f>+M11-Summary!$D$14+1</f>
        <v/>
      </c>
      <c r="N10" s="744">
        <f>+N11-Summary!$D$14+1</f>
        <v/>
      </c>
      <c r="O10" s="744">
        <f>+O11-Summary!$D$14+1</f>
        <v/>
      </c>
      <c r="P10" s="744">
        <f>+P11-Summary!$D$14+1</f>
        <v/>
      </c>
      <c r="Q10" s="744">
        <f>+Q11-Summary!$D$14+1</f>
        <v/>
      </c>
      <c r="R10" s="744">
        <f>+R11-Summary!$D$14+1</f>
        <v/>
      </c>
      <c r="S10" s="744">
        <f>+S11-Summary!$D$14+1</f>
        <v/>
      </c>
      <c r="T10" s="744">
        <f>+T11-Summary!$D$14+1</f>
        <v/>
      </c>
      <c r="U10" s="744">
        <f>+U11-Summary!$D$14+1</f>
        <v/>
      </c>
      <c r="V10" s="744">
        <f>+V11-Summary!$D$14+1</f>
        <v/>
      </c>
      <c r="W10" s="744">
        <f>+W11-Summary!$D$14+1</f>
        <v/>
      </c>
      <c r="X10" s="744">
        <f>+X11-Summary!$D$14+1</f>
        <v/>
      </c>
      <c r="Y10" s="744">
        <f>+Y11-Summary!$D$14+1</f>
        <v/>
      </c>
      <c r="Z10" s="744">
        <f>+Z11-Summary!$D$14+1</f>
        <v/>
      </c>
      <c r="AA10" s="744">
        <f>+AA11-Summary!$D$14+1</f>
        <v/>
      </c>
      <c r="AB10" s="744">
        <f>+AB11-Summary!$D$14+1</f>
        <v/>
      </c>
      <c r="AC10" s="744">
        <f>+AC11-Summary!$D$14+1</f>
        <v/>
      </c>
      <c r="AD10" s="744">
        <f>+AD11-Summary!$D$14+1</f>
        <v/>
      </c>
      <c r="AE10" s="744">
        <f>+AE11-Summary!$D$14+1</f>
        <v/>
      </c>
      <c r="AF10" s="744">
        <f>+AF11-Summary!$D$14+1</f>
        <v/>
      </c>
      <c r="AG10" s="744">
        <f>+AG11-Summary!$D$14+1</f>
        <v/>
      </c>
      <c r="AH10" s="744">
        <f>+AH11-Summary!$D$14+1</f>
        <v/>
      </c>
      <c r="AI10" s="744">
        <f>+AI11-Summary!$D$14+1</f>
        <v/>
      </c>
      <c r="AJ10" s="744">
        <f>+AJ11-Summary!$D$14+1</f>
        <v/>
      </c>
      <c r="AK10" s="744">
        <f>+AK11-Summary!$D$14+1</f>
        <v/>
      </c>
      <c r="AL10" s="744">
        <f>+AL11-Summary!$D$14+1</f>
        <v/>
      </c>
      <c r="AM10" s="744">
        <f>+AM11-Summary!$D$14+1</f>
        <v/>
      </c>
      <c r="AN10" s="744">
        <f>+AN11-Summary!$D$14+1</f>
        <v/>
      </c>
      <c r="AO10" s="735" t="n"/>
      <c r="AP10" s="744" t="n"/>
      <c r="AQ10" s="735" t="n"/>
      <c r="AR10" s="735" t="n"/>
      <c r="AS10" s="735" t="n"/>
    </row>
    <row r="11">
      <c r="B11" s="735" t="n"/>
      <c r="C11" s="7" t="inlineStr">
        <is>
          <t>MONTH SCHEDULE</t>
        </is>
      </c>
      <c r="D11" s="735" t="n"/>
      <c r="E11" s="583" t="n">
        <v>0</v>
      </c>
      <c r="F11" s="584">
        <f>IF(E11&gt;0,E11+1,IF(MONTH(E13)=MONTH(Summary!$D$13),1,0))</f>
        <v/>
      </c>
      <c r="G11" s="584">
        <f>IF(F11&gt;0,F11+1,IF(MONTH(F13)=MONTH(Summary!$D$13),1,0))</f>
        <v/>
      </c>
      <c r="H11" s="584">
        <f>IF(G11&gt;0,G11+1,IF(MONTH(G13)=MONTH(Summary!$D$13),1,0))</f>
        <v/>
      </c>
      <c r="I11" s="584">
        <f>IF(H11&gt;0,H11+1,IF(MONTH(H13)=MONTH(Summary!$D$13),1,0))</f>
        <v/>
      </c>
      <c r="J11" s="584">
        <f>IF(I11&gt;0,I11+1,IF(MONTH(I13)=MONTH(Summary!$D$13),1,0))</f>
        <v/>
      </c>
      <c r="K11" s="584">
        <f>IF(J11&gt;0,J11+1,IF(MONTH(J13)=MONTH(Summary!$D$13),1,0))</f>
        <v/>
      </c>
      <c r="L11" s="584">
        <f>IF(K11&gt;0,K11+1,IF(MONTH(K13)=MONTH(Summary!$D$13),1,0))</f>
        <v/>
      </c>
      <c r="M11" s="584">
        <f>IF(L11&gt;0,L11+1,IF(MONTH(L13)=MONTH(Summary!$D$13),1,0))</f>
        <v/>
      </c>
      <c r="N11" s="584">
        <f>IF(M11&gt;0,M11+1,IF(MONTH(M13)=MONTH(Summary!$D$13),1,0))</f>
        <v/>
      </c>
      <c r="O11" s="584">
        <f>IF(N11&gt;0,N11+1,IF(MONTH(N13)=MONTH(Summary!$D$13),1,0))</f>
        <v/>
      </c>
      <c r="P11" s="584">
        <f>IF(O11&gt;0,O11+1,IF(MONTH(O13)=MONTH(Summary!$D$13),1,0))</f>
        <v/>
      </c>
      <c r="Q11" s="584">
        <f>IF(P11&gt;0,P11+1,IF(MONTH(P13)=MONTH(Summary!$D$13),1,0))</f>
        <v/>
      </c>
      <c r="R11" s="584">
        <f>IF(Q11&gt;0,Q11+1,IF(MONTH(Q13)=MONTH(Summary!$D$13),1,0))</f>
        <v/>
      </c>
      <c r="S11" s="584">
        <f>IF(R11&gt;0,R11+1,IF(MONTH(R13)=MONTH(Summary!$D$13),1,0))</f>
        <v/>
      </c>
      <c r="T11" s="584">
        <f>IF(S11&gt;0,S11+1,IF(MONTH(S13)=MONTH(Summary!$D$13),1,0))</f>
        <v/>
      </c>
      <c r="U11" s="584">
        <f>IF(T11&gt;0,T11+1,IF(MONTH(T13)=MONTH(Summary!$D$13),1,0))</f>
        <v/>
      </c>
      <c r="V11" s="584">
        <f>IF(U11&gt;0,U11+1,IF(MONTH(U13)=MONTH(Summary!$D$13),1,0))</f>
        <v/>
      </c>
      <c r="W11" s="584">
        <f>IF(V11&gt;0,V11+1,IF(MONTH(V13)=MONTH(Summary!$D$13),1,0))</f>
        <v/>
      </c>
      <c r="X11" s="584">
        <f>IF(W11&gt;0,W11+1,IF(MONTH(W13)=MONTH(Summary!$D$13),1,0))</f>
        <v/>
      </c>
      <c r="Y11" s="584">
        <f>IF(X11&gt;0,X11+1,IF(MONTH(X13)=MONTH(Summary!$D$13),1,0))</f>
        <v/>
      </c>
      <c r="Z11" s="584">
        <f>IF(Y11&gt;0,Y11+1,IF(MONTH(Y13)=MONTH(Summary!$D$13),1,0))</f>
        <v/>
      </c>
      <c r="AA11" s="584">
        <f>IF(Z11&gt;0,Z11+1,IF(MONTH(Z13)=MONTH(Summary!$D$13),1,0))</f>
        <v/>
      </c>
      <c r="AB11" s="584">
        <f>IF(AA11&gt;0,AA11+1,IF(MONTH(AA13)=MONTH(Summary!$D$13),1,0))</f>
        <v/>
      </c>
      <c r="AC11" s="584">
        <f>IF(AB11&gt;0,AB11+1,IF(MONTH(AB13)=MONTH(Summary!$D$13),1,0))</f>
        <v/>
      </c>
      <c r="AD11" s="584">
        <f>IF(AC11&gt;0,AC11+1,IF(MONTH(AC13)=MONTH(Summary!$D$13),1,0))</f>
        <v/>
      </c>
      <c r="AE11" s="584">
        <f>IF(AD11&gt;0,AD11+1,IF(MONTH(AD13)=MONTH(Summary!$D$13),1,0))</f>
        <v/>
      </c>
      <c r="AF11" s="584">
        <f>IF(AE11&gt;0,AE11+1,IF(MONTH(AE13)=MONTH(Summary!$D$13),1,0))</f>
        <v/>
      </c>
      <c r="AG11" s="584">
        <f>IF(AF11&gt;0,AF11+1,IF(MONTH(AF13)=MONTH(Summary!$D$13),1,0))</f>
        <v/>
      </c>
      <c r="AH11" s="584">
        <f>IF(AG11&gt;0,AG11+1,IF(MONTH(AG13)=MONTH(Summary!$D$13),1,0))</f>
        <v/>
      </c>
      <c r="AI11" s="584">
        <f>IF(AH11&gt;0,AH11+1,IF(MONTH(AH13)=MONTH(Summary!$D$13),1,0))</f>
        <v/>
      </c>
      <c r="AJ11" s="584">
        <f>IF(AI11&gt;0,AI11+1,IF(MONTH(AI13)=MONTH(Summary!$D$13),1,0))</f>
        <v/>
      </c>
      <c r="AK11" s="584">
        <f>IF(AJ11&gt;0,AJ11+1,IF(MONTH(AJ13)=MONTH(Summary!$D$13),1,0))</f>
        <v/>
      </c>
      <c r="AL11" s="584">
        <f>IF(AK11&gt;0,AK11+1,IF(MONTH(AK13)=MONTH(Summary!$D$13),1,0))</f>
        <v/>
      </c>
      <c r="AM11" s="584">
        <f>IF(AL11&gt;0,AL11+1,IF(MONTH(AL13)=MONTH(Summary!$D$13),1,0))</f>
        <v/>
      </c>
      <c r="AN11" s="584">
        <f>IF(AM11&gt;0,AM11+1,IF(MONTH(AM13)=MONTH(Summary!$D$13),1,0))</f>
        <v/>
      </c>
      <c r="AO11" s="735" t="n"/>
      <c r="AP11" s="744" t="n"/>
      <c r="AQ11" s="735" t="n"/>
      <c r="AR11" s="735" t="n"/>
      <c r="AS11" s="735" t="n"/>
    </row>
    <row r="12">
      <c r="B12" s="735" t="n"/>
      <c r="C12" s="7" t="inlineStr">
        <is>
          <t>DAYS IN MONTH</t>
        </is>
      </c>
      <c r="D12" s="735" t="n"/>
      <c r="E12" s="8">
        <f>DAY(DATE(YEAR(E13),MONTH(E13)+1,))</f>
        <v/>
      </c>
      <c r="F12" s="8">
        <f>DAY(DATE(YEAR(F13),MONTH(F13)+1,))</f>
        <v/>
      </c>
      <c r="G12" s="8">
        <f>DAY(DATE(YEAR(G13),MONTH(G13)+1,))</f>
        <v/>
      </c>
      <c r="H12" s="8">
        <f>DAY(DATE(YEAR(H13),MONTH(H13)+1,))</f>
        <v/>
      </c>
      <c r="I12" s="8">
        <f>DAY(DATE(YEAR(I13),MONTH(I13)+1,))</f>
        <v/>
      </c>
      <c r="J12" s="8">
        <f>DAY(DATE(YEAR(J13),MONTH(J13)+1,))</f>
        <v/>
      </c>
      <c r="K12" s="8">
        <f>DAY(DATE(YEAR(K13),MONTH(K13)+1,))</f>
        <v/>
      </c>
      <c r="L12" s="8">
        <f>DAY(DATE(YEAR(L13),MONTH(L13)+1,))</f>
        <v/>
      </c>
      <c r="M12" s="8">
        <f>DAY(DATE(YEAR(M13),MONTH(M13)+1,))</f>
        <v/>
      </c>
      <c r="N12" s="8">
        <f>DAY(DATE(YEAR(N13),MONTH(N13)+1,))</f>
        <v/>
      </c>
      <c r="O12" s="8">
        <f>DAY(DATE(YEAR(O13),MONTH(O13)+1,))</f>
        <v/>
      </c>
      <c r="P12" s="8">
        <f>DAY(DATE(YEAR(P13),MONTH(P13)+1,))</f>
        <v/>
      </c>
      <c r="Q12" s="8">
        <f>DAY(DATE(YEAR(Q13),MONTH(Q13)+1,))</f>
        <v/>
      </c>
      <c r="R12" s="8">
        <f>DAY(DATE(YEAR(R13),MONTH(R13)+1,))</f>
        <v/>
      </c>
      <c r="S12" s="8">
        <f>DAY(DATE(YEAR(S13),MONTH(S13)+1,))</f>
        <v/>
      </c>
      <c r="T12" s="8">
        <f>DAY(DATE(YEAR(T13),MONTH(T13)+1,))</f>
        <v/>
      </c>
      <c r="U12" s="8">
        <f>DAY(DATE(YEAR(U13),MONTH(U13)+1,))</f>
        <v/>
      </c>
      <c r="V12" s="8">
        <f>DAY(DATE(YEAR(V13),MONTH(V13)+1,))</f>
        <v/>
      </c>
      <c r="W12" s="8">
        <f>DAY(DATE(YEAR(W13),MONTH(W13)+1,))</f>
        <v/>
      </c>
      <c r="X12" s="8">
        <f>DAY(DATE(YEAR(X13),MONTH(X13)+1,))</f>
        <v/>
      </c>
      <c r="Y12" s="8">
        <f>DAY(DATE(YEAR(Y13),MONTH(Y13)+1,))</f>
        <v/>
      </c>
      <c r="Z12" s="8">
        <f>DAY(DATE(YEAR(Z13),MONTH(Z13)+1,))</f>
        <v/>
      </c>
      <c r="AA12" s="8">
        <f>DAY(DATE(YEAR(AA13),MONTH(AA13)+1,))</f>
        <v/>
      </c>
      <c r="AB12" s="8">
        <f>DAY(DATE(YEAR(AB13),MONTH(AB13)+1,))</f>
        <v/>
      </c>
      <c r="AC12" s="8">
        <f>DAY(DATE(YEAR(AC13),MONTH(AC13)+1,))</f>
        <v/>
      </c>
      <c r="AD12" s="8">
        <f>DAY(DATE(YEAR(AD13),MONTH(AD13)+1,))</f>
        <v/>
      </c>
      <c r="AE12" s="8">
        <f>DAY(DATE(YEAR(AE13),MONTH(AE13)+1,))</f>
        <v/>
      </c>
      <c r="AF12" s="8">
        <f>DAY(DATE(YEAR(AF13),MONTH(AF13)+1,))</f>
        <v/>
      </c>
      <c r="AG12" s="8">
        <f>DAY(DATE(YEAR(AG13),MONTH(AG13)+1,))</f>
        <v/>
      </c>
      <c r="AH12" s="8">
        <f>DAY(DATE(YEAR(AH13),MONTH(AH13)+1,))</f>
        <v/>
      </c>
      <c r="AI12" s="8">
        <f>DAY(DATE(YEAR(AI13),MONTH(AI13)+1,))</f>
        <v/>
      </c>
      <c r="AJ12" s="8">
        <f>DAY(DATE(YEAR(AJ13),MONTH(AJ13)+1,))</f>
        <v/>
      </c>
      <c r="AK12" s="8">
        <f>DAY(DATE(YEAR(AK13),MONTH(AK13)+1,))</f>
        <v/>
      </c>
      <c r="AL12" s="8">
        <f>DAY(DATE(YEAR(AL13),MONTH(AL13)+1,))</f>
        <v/>
      </c>
      <c r="AM12" s="8">
        <f>DAY(DATE(YEAR(AM13),MONTH(AM13)+1,))</f>
        <v/>
      </c>
      <c r="AN12" s="8">
        <f>DAY(DATE(YEAR(AN13),MONTH(AN13)+1,))</f>
        <v/>
      </c>
      <c r="AO12" s="735" t="n"/>
      <c r="AP12" s="744" t="n"/>
      <c r="AQ12" s="735" t="n"/>
      <c r="AR12" s="735" t="n"/>
      <c r="AS12" s="735" t="n"/>
    </row>
    <row r="13">
      <c r="B13" s="735" t="n"/>
      <c r="C13" s="7" t="inlineStr">
        <is>
          <t>MONTH</t>
        </is>
      </c>
      <c r="D13" s="9" t="n"/>
      <c r="E13" s="714">
        <f>Summary!D12</f>
        <v/>
      </c>
      <c r="F13" s="715">
        <f>DATE(YEAR(E13),MONTH(E13)+1,1)</f>
        <v/>
      </c>
      <c r="G13" s="715">
        <f>DATE(YEAR(F13),MONTH(F13)+1,1)</f>
        <v/>
      </c>
      <c r="H13" s="715">
        <f>DATE(YEAR(G13),MONTH(G13)+1,1)</f>
        <v/>
      </c>
      <c r="I13" s="715">
        <f>DATE(YEAR(H13),MONTH(H13)+1,1)</f>
        <v/>
      </c>
      <c r="J13" s="715">
        <f>DATE(YEAR(I13),MONTH(I13)+1,1)</f>
        <v/>
      </c>
      <c r="K13" s="715">
        <f>DATE(YEAR(J13),MONTH(J13)+1,1)</f>
        <v/>
      </c>
      <c r="L13" s="715">
        <f>DATE(YEAR(K13),MONTH(K13)+1,1)</f>
        <v/>
      </c>
      <c r="M13" s="715">
        <f>DATE(YEAR(L13),MONTH(L13)+1,1)</f>
        <v/>
      </c>
      <c r="N13" s="715">
        <f>DATE(YEAR(M13),MONTH(M13)+1,1)</f>
        <v/>
      </c>
      <c r="O13" s="715">
        <f>DATE(YEAR(N13),MONTH(N13)+1,1)</f>
        <v/>
      </c>
      <c r="P13" s="715">
        <f>DATE(YEAR(O13),MONTH(O13)+1,1)</f>
        <v/>
      </c>
      <c r="Q13" s="715">
        <f>DATE(YEAR(P13),MONTH(P13)+1,1)</f>
        <v/>
      </c>
      <c r="R13" s="715">
        <f>DATE(YEAR(Q13),MONTH(Q13)+1,1)</f>
        <v/>
      </c>
      <c r="S13" s="715">
        <f>DATE(YEAR(R13),MONTH(R13)+1,1)</f>
        <v/>
      </c>
      <c r="T13" s="715">
        <f>DATE(YEAR(S13),MONTH(S13)+1,1)</f>
        <v/>
      </c>
      <c r="U13" s="715">
        <f>DATE(YEAR(T13),MONTH(T13)+1,1)</f>
        <v/>
      </c>
      <c r="V13" s="715">
        <f>DATE(YEAR(U13),MONTH(U13)+1,1)</f>
        <v/>
      </c>
      <c r="W13" s="715">
        <f>DATE(YEAR(V13),MONTH(V13)+1,1)</f>
        <v/>
      </c>
      <c r="X13" s="715">
        <f>DATE(YEAR(W13),MONTH(W13)+1,1)</f>
        <v/>
      </c>
      <c r="Y13" s="715">
        <f>DATE(YEAR(X13),MONTH(X13)+1,1)</f>
        <v/>
      </c>
      <c r="Z13" s="715">
        <f>DATE(YEAR(Y13),MONTH(Y13)+1,1)</f>
        <v/>
      </c>
      <c r="AA13" s="715">
        <f>DATE(YEAR(Z13),MONTH(Z13)+1,1)</f>
        <v/>
      </c>
      <c r="AB13" s="715">
        <f>DATE(YEAR(AA13),MONTH(AA13)+1,1)</f>
        <v/>
      </c>
      <c r="AC13" s="715">
        <f>DATE(YEAR(AB13),MONTH(AB13)+1,1)</f>
        <v/>
      </c>
      <c r="AD13" s="715">
        <f>DATE(YEAR(AC13),MONTH(AC13)+1,1)</f>
        <v/>
      </c>
      <c r="AE13" s="715">
        <f>DATE(YEAR(AD13),MONTH(AD13)+1,1)</f>
        <v/>
      </c>
      <c r="AF13" s="715">
        <f>DATE(YEAR(AE13),MONTH(AE13)+1,1)</f>
        <v/>
      </c>
      <c r="AG13" s="715">
        <f>DATE(YEAR(AF13),MONTH(AF13)+1,1)</f>
        <v/>
      </c>
      <c r="AH13" s="715">
        <f>DATE(YEAR(AG13),MONTH(AG13)+1,1)</f>
        <v/>
      </c>
      <c r="AI13" s="715">
        <f>DATE(YEAR(AH13),MONTH(AH13)+1,1)</f>
        <v/>
      </c>
      <c r="AJ13" s="715">
        <f>DATE(YEAR(AI13),MONTH(AI13)+1,1)</f>
        <v/>
      </c>
      <c r="AK13" s="715">
        <f>DATE(YEAR(AJ13),MONTH(AJ13)+1,1)</f>
        <v/>
      </c>
      <c r="AL13" s="715">
        <f>DATE(YEAR(AK13),MONTH(AK13)+1,1)</f>
        <v/>
      </c>
      <c r="AM13" s="715">
        <f>DATE(YEAR(AL13),MONTH(AL13)+1,1)</f>
        <v/>
      </c>
      <c r="AN13" s="715">
        <f>DATE(YEAR(AM13),MONTH(AM13)+1,1)</f>
        <v/>
      </c>
      <c r="AO13" s="10" t="n"/>
      <c r="AP13" s="10" t="n"/>
      <c r="AQ13" s="10" t="n"/>
      <c r="AR13" s="10" t="n"/>
      <c r="AS13" s="10" t="n"/>
    </row>
    <row r="14">
      <c r="B14" s="735" t="n"/>
      <c r="C14" s="11" t="n"/>
      <c r="D14" s="327" t="inlineStr">
        <is>
          <t>BUDGET</t>
        </is>
      </c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inlineStr">
        <is>
          <t>Totals</t>
        </is>
      </c>
      <c r="AP14" s="11" t="inlineStr">
        <is>
          <t>Check</t>
        </is>
      </c>
      <c r="AQ14" s="11" t="n"/>
      <c r="AR14" s="11" t="n"/>
      <c r="AS14" s="11" t="n"/>
    </row>
    <row r="15">
      <c r="B15" s="323">
        <f>IF(ROUND(D15,4)=ROUND(AO15,4),"","X")</f>
        <v/>
      </c>
      <c r="C15" s="735">
        <f>+Summary!C35</f>
        <v/>
      </c>
      <c r="D15" s="780">
        <f>+Land_Cost</f>
        <v/>
      </c>
      <c r="E15" s="76">
        <f>$D15*E140</f>
        <v/>
      </c>
      <c r="F15" s="76">
        <f>$D15*F140</f>
        <v/>
      </c>
      <c r="G15" s="76">
        <f>$D15*G140</f>
        <v/>
      </c>
      <c r="H15" s="76">
        <f>$D15*H140</f>
        <v/>
      </c>
      <c r="I15" s="76">
        <f>$D15*I140</f>
        <v/>
      </c>
      <c r="J15" s="76">
        <f>$D15*J140</f>
        <v/>
      </c>
      <c r="K15" s="76">
        <f>$D15*K140</f>
        <v/>
      </c>
      <c r="L15" s="76">
        <f>$D15*L140</f>
        <v/>
      </c>
      <c r="M15" s="76">
        <f>$D15*M140</f>
        <v/>
      </c>
      <c r="N15" s="76">
        <f>$D15*N140</f>
        <v/>
      </c>
      <c r="O15" s="76">
        <f>$D15*O140</f>
        <v/>
      </c>
      <c r="P15" s="76">
        <f>$D15*P140</f>
        <v/>
      </c>
      <c r="Q15" s="76">
        <f>$D15*Q140</f>
        <v/>
      </c>
      <c r="R15" s="76">
        <f>$D15*R140</f>
        <v/>
      </c>
      <c r="S15" s="76">
        <f>$D15*S140</f>
        <v/>
      </c>
      <c r="T15" s="76">
        <f>$D15*T140</f>
        <v/>
      </c>
      <c r="U15" s="76">
        <f>$D15*U140</f>
        <v/>
      </c>
      <c r="V15" s="76">
        <f>$D15*V140</f>
        <v/>
      </c>
      <c r="W15" s="76">
        <f>$D15*W140</f>
        <v/>
      </c>
      <c r="X15" s="76">
        <f>$D15*X140</f>
        <v/>
      </c>
      <c r="Y15" s="76">
        <f>$D15*Y140</f>
        <v/>
      </c>
      <c r="Z15" s="76">
        <f>$D15*Z140</f>
        <v/>
      </c>
      <c r="AA15" s="76">
        <f>$D15*AA140</f>
        <v/>
      </c>
      <c r="AB15" s="76">
        <f>$D15*AB140</f>
        <v/>
      </c>
      <c r="AC15" s="76">
        <f>$D15*AC140</f>
        <v/>
      </c>
      <c r="AD15" s="76">
        <f>$D15*AD140</f>
        <v/>
      </c>
      <c r="AE15" s="76">
        <f>$D15*AE140</f>
        <v/>
      </c>
      <c r="AF15" s="76">
        <f>$D15*AF140</f>
        <v/>
      </c>
      <c r="AG15" s="76">
        <f>$D15*AG140</f>
        <v/>
      </c>
      <c r="AH15" s="76">
        <f>$D15*AH140</f>
        <v/>
      </c>
      <c r="AI15" s="76">
        <f>$D15*AI140</f>
        <v/>
      </c>
      <c r="AJ15" s="76">
        <f>$D15*AJ140</f>
        <v/>
      </c>
      <c r="AK15" s="76">
        <f>$D15*AK140</f>
        <v/>
      </c>
      <c r="AL15" s="76">
        <f>$D15*AL140</f>
        <v/>
      </c>
      <c r="AM15" s="76">
        <f>$D15*AM140</f>
        <v/>
      </c>
      <c r="AN15" s="76">
        <f>$D15*AN140</f>
        <v/>
      </c>
      <c r="AO15" s="885">
        <f>SUM(E15:AN15)</f>
        <v/>
      </c>
      <c r="AP15" s="744">
        <f>IF(ROUND(AO15,3)=ROUND(D15,3),"ok", "no")</f>
        <v/>
      </c>
      <c r="AQ15" s="735" t="n"/>
      <c r="AR15" s="735" t="n"/>
      <c r="AS15" s="735" t="n"/>
    </row>
    <row r="16">
      <c r="B16" s="323">
        <f>IF(ROUND(D16,4)=ROUND(AO16,4),"","X")</f>
        <v/>
      </c>
      <c r="C16" s="735">
        <f>+Summary!C36</f>
        <v/>
      </c>
      <c r="D16" s="780">
        <f>+Architect</f>
        <v/>
      </c>
      <c r="E16" s="76">
        <f>$D16*E141</f>
        <v/>
      </c>
      <c r="F16" s="76">
        <f>$D16*F141</f>
        <v/>
      </c>
      <c r="G16" s="76">
        <f>$D16*G141</f>
        <v/>
      </c>
      <c r="H16" s="76">
        <f>$D16*H141</f>
        <v/>
      </c>
      <c r="I16" s="76">
        <f>$D16*I141</f>
        <v/>
      </c>
      <c r="J16" s="76">
        <f>$D16*J141</f>
        <v/>
      </c>
      <c r="K16" s="76">
        <f>$D16*K141</f>
        <v/>
      </c>
      <c r="L16" s="76">
        <f>$D16*L141</f>
        <v/>
      </c>
      <c r="M16" s="76">
        <f>$D16*M141</f>
        <v/>
      </c>
      <c r="N16" s="76">
        <f>$D16*N141</f>
        <v/>
      </c>
      <c r="O16" s="76">
        <f>$D16*O141</f>
        <v/>
      </c>
      <c r="P16" s="76">
        <f>$D16*P141</f>
        <v/>
      </c>
      <c r="Q16" s="76">
        <f>$D16*Q141</f>
        <v/>
      </c>
      <c r="R16" s="76">
        <f>$D16*R141</f>
        <v/>
      </c>
      <c r="S16" s="76">
        <f>$D16*S141</f>
        <v/>
      </c>
      <c r="T16" s="76">
        <f>$D16*T141</f>
        <v/>
      </c>
      <c r="U16" s="76">
        <f>$D16*U141</f>
        <v/>
      </c>
      <c r="V16" s="76">
        <f>$D16*V141</f>
        <v/>
      </c>
      <c r="W16" s="76">
        <f>$D16*W141</f>
        <v/>
      </c>
      <c r="X16" s="76">
        <f>$D16*X141</f>
        <v/>
      </c>
      <c r="Y16" s="76">
        <f>$D16*Y141</f>
        <v/>
      </c>
      <c r="Z16" s="76">
        <f>$D16*Z141</f>
        <v/>
      </c>
      <c r="AA16" s="76">
        <f>$D16*AA141</f>
        <v/>
      </c>
      <c r="AB16" s="76">
        <f>$D16*AB141</f>
        <v/>
      </c>
      <c r="AC16" s="76">
        <f>$D16*AC141</f>
        <v/>
      </c>
      <c r="AD16" s="76">
        <f>$D16*AD141</f>
        <v/>
      </c>
      <c r="AE16" s="76">
        <f>$D16*AE141</f>
        <v/>
      </c>
      <c r="AF16" s="76">
        <f>$D16*AF141</f>
        <v/>
      </c>
      <c r="AG16" s="76">
        <f>$D16*AG141</f>
        <v/>
      </c>
      <c r="AH16" s="76">
        <f>$D16*AH141</f>
        <v/>
      </c>
      <c r="AI16" s="76">
        <f>$D16*AI141</f>
        <v/>
      </c>
      <c r="AJ16" s="76">
        <f>$D16*AJ141</f>
        <v/>
      </c>
      <c r="AK16" s="76">
        <f>$D16*AK141</f>
        <v/>
      </c>
      <c r="AL16" s="76">
        <f>$D16*AL141</f>
        <v/>
      </c>
      <c r="AM16" s="76">
        <f>$D16*AM141</f>
        <v/>
      </c>
      <c r="AN16" s="76">
        <f>$D16*AN141</f>
        <v/>
      </c>
      <c r="AO16" s="885">
        <f>SUM(E16:AN16)</f>
        <v/>
      </c>
      <c r="AP16" s="744">
        <f>IF(ROUND(AO16,3)=ROUND(D16,3),"ok", "no")</f>
        <v/>
      </c>
      <c r="AQ16" s="735" t="n"/>
      <c r="AR16" s="735" t="n"/>
      <c r="AS16" s="735" t="n"/>
    </row>
    <row r="17">
      <c r="B17" s="323">
        <f>IF(ROUND(D17,4)=ROUND(AO17,4),"","X")</f>
        <v/>
      </c>
      <c r="C17" s="735">
        <f>+Summary!C37</f>
        <v/>
      </c>
      <c r="D17" s="780">
        <f>+Environmental_Costs</f>
        <v/>
      </c>
      <c r="E17" s="76">
        <f>$D17*E142</f>
        <v/>
      </c>
      <c r="F17" s="76">
        <f>$D17*F142</f>
        <v/>
      </c>
      <c r="G17" s="76">
        <f>$D17*G142</f>
        <v/>
      </c>
      <c r="H17" s="76">
        <f>$D17*H142</f>
        <v/>
      </c>
      <c r="I17" s="76">
        <f>$D17*I142</f>
        <v/>
      </c>
      <c r="J17" s="76">
        <f>$D17*J142</f>
        <v/>
      </c>
      <c r="K17" s="76">
        <f>$D17*K142</f>
        <v/>
      </c>
      <c r="L17" s="76">
        <f>$D17*L142</f>
        <v/>
      </c>
      <c r="M17" s="76">
        <f>$D17*M142</f>
        <v/>
      </c>
      <c r="N17" s="76">
        <f>$D17*N142</f>
        <v/>
      </c>
      <c r="O17" s="76">
        <f>$D17*O142</f>
        <v/>
      </c>
      <c r="P17" s="76">
        <f>$D17*P142</f>
        <v/>
      </c>
      <c r="Q17" s="76">
        <f>$D17*Q142</f>
        <v/>
      </c>
      <c r="R17" s="76">
        <f>$D17*R142</f>
        <v/>
      </c>
      <c r="S17" s="76">
        <f>$D17*S142</f>
        <v/>
      </c>
      <c r="T17" s="76">
        <f>$D17*T142</f>
        <v/>
      </c>
      <c r="U17" s="76">
        <f>$D17*U142</f>
        <v/>
      </c>
      <c r="V17" s="76">
        <f>$D17*V142</f>
        <v/>
      </c>
      <c r="W17" s="76">
        <f>$D17*W142</f>
        <v/>
      </c>
      <c r="X17" s="76">
        <f>$D17*X142</f>
        <v/>
      </c>
      <c r="Y17" s="76">
        <f>$D17*Y142</f>
        <v/>
      </c>
      <c r="Z17" s="76">
        <f>$D17*Z142</f>
        <v/>
      </c>
      <c r="AA17" s="76">
        <f>$D17*AA142</f>
        <v/>
      </c>
      <c r="AB17" s="76">
        <f>$D17*AB142</f>
        <v/>
      </c>
      <c r="AC17" s="76">
        <f>$D17*AC142</f>
        <v/>
      </c>
      <c r="AD17" s="76">
        <f>$D17*AD142</f>
        <v/>
      </c>
      <c r="AE17" s="76">
        <f>$D17*AE142</f>
        <v/>
      </c>
      <c r="AF17" s="76">
        <f>$D17*AF142</f>
        <v/>
      </c>
      <c r="AG17" s="76">
        <f>$D17*AG142</f>
        <v/>
      </c>
      <c r="AH17" s="76">
        <f>$D17*AH142</f>
        <v/>
      </c>
      <c r="AI17" s="76">
        <f>$D17*AI142</f>
        <v/>
      </c>
      <c r="AJ17" s="76">
        <f>$D17*AJ142</f>
        <v/>
      </c>
      <c r="AK17" s="76">
        <f>$D17*AK142</f>
        <v/>
      </c>
      <c r="AL17" s="76">
        <f>$D17*AL142</f>
        <v/>
      </c>
      <c r="AM17" s="76">
        <f>$D17*AM142</f>
        <v/>
      </c>
      <c r="AN17" s="76">
        <f>$D17*AN142</f>
        <v/>
      </c>
      <c r="AO17" s="885">
        <f>SUM(E17:AN17)</f>
        <v/>
      </c>
      <c r="AP17" s="744">
        <f>IF(ROUND(AO17,3)=ROUND(D17,3),"ok", "no")</f>
        <v/>
      </c>
      <c r="AQ17" s="735" t="n"/>
    </row>
    <row r="18">
      <c r="B18" s="323">
        <f>IF(ROUND(D18,4)=ROUND(AO18,4),"","X")</f>
        <v/>
      </c>
      <c r="C18" s="735">
        <f>+Summary!C38</f>
        <v/>
      </c>
      <c r="D18" s="780">
        <f>+Survey</f>
        <v/>
      </c>
      <c r="E18" s="76">
        <f>$D18*E143</f>
        <v/>
      </c>
      <c r="F18" s="76">
        <f>$D18*F143</f>
        <v/>
      </c>
      <c r="G18" s="76">
        <f>$D18*G143</f>
        <v/>
      </c>
      <c r="H18" s="76">
        <f>$D18*H143</f>
        <v/>
      </c>
      <c r="I18" s="76">
        <f>$D18*I143</f>
        <v/>
      </c>
      <c r="J18" s="76">
        <f>$D18*J143</f>
        <v/>
      </c>
      <c r="K18" s="76">
        <f>$D18*K143</f>
        <v/>
      </c>
      <c r="L18" s="76">
        <f>$D18*L143</f>
        <v/>
      </c>
      <c r="M18" s="76">
        <f>$D18*M143</f>
        <v/>
      </c>
      <c r="N18" s="76">
        <f>$D18*N143</f>
        <v/>
      </c>
      <c r="O18" s="76">
        <f>$D18*O143</f>
        <v/>
      </c>
      <c r="P18" s="76">
        <f>$D18*P143</f>
        <v/>
      </c>
      <c r="Q18" s="76">
        <f>$D18*Q143</f>
        <v/>
      </c>
      <c r="R18" s="76">
        <f>$D18*R143</f>
        <v/>
      </c>
      <c r="S18" s="76">
        <f>$D18*S143</f>
        <v/>
      </c>
      <c r="T18" s="76">
        <f>$D18*T143</f>
        <v/>
      </c>
      <c r="U18" s="76">
        <f>$D18*U143</f>
        <v/>
      </c>
      <c r="V18" s="76">
        <f>$D18*V143</f>
        <v/>
      </c>
      <c r="W18" s="76">
        <f>$D18*W143</f>
        <v/>
      </c>
      <c r="X18" s="76">
        <f>$D18*X143</f>
        <v/>
      </c>
      <c r="Y18" s="76">
        <f>$D18*Y143</f>
        <v/>
      </c>
      <c r="Z18" s="76">
        <f>$D18*Z143</f>
        <v/>
      </c>
      <c r="AA18" s="76">
        <f>$D18*AA143</f>
        <v/>
      </c>
      <c r="AB18" s="76">
        <f>$D18*AB143</f>
        <v/>
      </c>
      <c r="AC18" s="76">
        <f>$D18*AC143</f>
        <v/>
      </c>
      <c r="AD18" s="76">
        <f>$D18*AD143</f>
        <v/>
      </c>
      <c r="AE18" s="76">
        <f>$D18*AE143</f>
        <v/>
      </c>
      <c r="AF18" s="76">
        <f>$D18*AF143</f>
        <v/>
      </c>
      <c r="AG18" s="76">
        <f>$D18*AG143</f>
        <v/>
      </c>
      <c r="AH18" s="76">
        <f>$D18*AH143</f>
        <v/>
      </c>
      <c r="AI18" s="76">
        <f>$D18*AI143</f>
        <v/>
      </c>
      <c r="AJ18" s="76">
        <f>$D18*AJ143</f>
        <v/>
      </c>
      <c r="AK18" s="76">
        <f>$D18*AK143</f>
        <v/>
      </c>
      <c r="AL18" s="76">
        <f>$D18*AL143</f>
        <v/>
      </c>
      <c r="AM18" s="76">
        <f>$D18*AM143</f>
        <v/>
      </c>
      <c r="AN18" s="76">
        <f>$D18*AN143</f>
        <v/>
      </c>
      <c r="AO18" s="885">
        <f>SUM(E18:AN18)</f>
        <v/>
      </c>
      <c r="AP18" s="744">
        <f>IF(ROUND(AO18,3)=ROUND(D18,3),"ok", "no")</f>
        <v/>
      </c>
      <c r="AQ18" s="735" t="n"/>
    </row>
    <row r="19">
      <c r="B19" s="323">
        <f>IF(ROUND(D19,4)=ROUND(AO19,4),"","X")</f>
        <v/>
      </c>
      <c r="C19" s="735">
        <f>+Summary!C39</f>
        <v/>
      </c>
      <c r="D19" s="780">
        <f>+Soils_Testing</f>
        <v/>
      </c>
      <c r="E19" s="76">
        <f>$D19*E144</f>
        <v/>
      </c>
      <c r="F19" s="76">
        <f>$D19*F144</f>
        <v/>
      </c>
      <c r="G19" s="76">
        <f>$D19*G144</f>
        <v/>
      </c>
      <c r="H19" s="76">
        <f>$D19*H144</f>
        <v/>
      </c>
      <c r="I19" s="76">
        <f>$D19*I144</f>
        <v/>
      </c>
      <c r="J19" s="76">
        <f>$D19*J144</f>
        <v/>
      </c>
      <c r="K19" s="76">
        <f>$D19*K144</f>
        <v/>
      </c>
      <c r="L19" s="76">
        <f>$D19*L144</f>
        <v/>
      </c>
      <c r="M19" s="76">
        <f>$D19*M144</f>
        <v/>
      </c>
      <c r="N19" s="76">
        <f>$D19*N144</f>
        <v/>
      </c>
      <c r="O19" s="76">
        <f>$D19*O144</f>
        <v/>
      </c>
      <c r="P19" s="76">
        <f>$D19*P144</f>
        <v/>
      </c>
      <c r="Q19" s="76">
        <f>$D19*Q144</f>
        <v/>
      </c>
      <c r="R19" s="76">
        <f>$D19*R144</f>
        <v/>
      </c>
      <c r="S19" s="76">
        <f>$D19*S144</f>
        <v/>
      </c>
      <c r="T19" s="76">
        <f>$D19*T144</f>
        <v/>
      </c>
      <c r="U19" s="76">
        <f>$D19*U144</f>
        <v/>
      </c>
      <c r="V19" s="76">
        <f>$D19*V144</f>
        <v/>
      </c>
      <c r="W19" s="76">
        <f>$D19*W144</f>
        <v/>
      </c>
      <c r="X19" s="76">
        <f>$D19*X144</f>
        <v/>
      </c>
      <c r="Y19" s="76">
        <f>$D19*Y144</f>
        <v/>
      </c>
      <c r="Z19" s="76">
        <f>$D19*Z144</f>
        <v/>
      </c>
      <c r="AA19" s="76">
        <f>$D19*AA144</f>
        <v/>
      </c>
      <c r="AB19" s="76">
        <f>$D19*AB144</f>
        <v/>
      </c>
      <c r="AC19" s="76">
        <f>$D19*AC144</f>
        <v/>
      </c>
      <c r="AD19" s="76">
        <f>$D19*AD144</f>
        <v/>
      </c>
      <c r="AE19" s="76">
        <f>$D19*AE144</f>
        <v/>
      </c>
      <c r="AF19" s="76">
        <f>$D19*AF144</f>
        <v/>
      </c>
      <c r="AG19" s="76">
        <f>$D19*AG144</f>
        <v/>
      </c>
      <c r="AH19" s="76">
        <f>$D19*AH144</f>
        <v/>
      </c>
      <c r="AI19" s="76">
        <f>$D19*AI144</f>
        <v/>
      </c>
      <c r="AJ19" s="76">
        <f>$D19*AJ144</f>
        <v/>
      </c>
      <c r="AK19" s="76">
        <f>$D19*AK144</f>
        <v/>
      </c>
      <c r="AL19" s="76">
        <f>$D19*AL144</f>
        <v/>
      </c>
      <c r="AM19" s="76">
        <f>$D19*AM144</f>
        <v/>
      </c>
      <c r="AN19" s="76">
        <f>$D19*AN144</f>
        <v/>
      </c>
      <c r="AO19" s="885">
        <f>SUM(E19:AN19)</f>
        <v/>
      </c>
      <c r="AP19" s="744">
        <f>IF(ROUND(AO19,3)=ROUND(D19,3),"ok", "no")</f>
        <v/>
      </c>
      <c r="AQ19" s="735" t="n"/>
    </row>
    <row r="20">
      <c r="B20" s="323">
        <f>IF(ROUND(D20,4)=ROUND(AO20,4),"","X")</f>
        <v/>
      </c>
      <c r="C20" s="735">
        <f>+Summary!C40</f>
        <v/>
      </c>
      <c r="D20" s="780">
        <f>+Engineering</f>
        <v/>
      </c>
      <c r="E20" s="76">
        <f>$D20*E145</f>
        <v/>
      </c>
      <c r="F20" s="76">
        <f>$D20*F145</f>
        <v/>
      </c>
      <c r="G20" s="76">
        <f>$D20*G145</f>
        <v/>
      </c>
      <c r="H20" s="76">
        <f>$D20*H145</f>
        <v/>
      </c>
      <c r="I20" s="76">
        <f>$D20*I145</f>
        <v/>
      </c>
      <c r="J20" s="76">
        <f>$D20*J145</f>
        <v/>
      </c>
      <c r="K20" s="76">
        <f>$D20*K145</f>
        <v/>
      </c>
      <c r="L20" s="76">
        <f>$D20*L145</f>
        <v/>
      </c>
      <c r="M20" s="76">
        <f>$D20*M145</f>
        <v/>
      </c>
      <c r="N20" s="76">
        <f>$D20*N145</f>
        <v/>
      </c>
      <c r="O20" s="76">
        <f>$D20*O145</f>
        <v/>
      </c>
      <c r="P20" s="76">
        <f>$D20*P145</f>
        <v/>
      </c>
      <c r="Q20" s="76">
        <f>$D20*Q145</f>
        <v/>
      </c>
      <c r="R20" s="76">
        <f>$D20*R145</f>
        <v/>
      </c>
      <c r="S20" s="76">
        <f>$D20*S145</f>
        <v/>
      </c>
      <c r="T20" s="76">
        <f>$D20*T145</f>
        <v/>
      </c>
      <c r="U20" s="76">
        <f>$D20*U145</f>
        <v/>
      </c>
      <c r="V20" s="76">
        <f>$D20*V145</f>
        <v/>
      </c>
      <c r="W20" s="76">
        <f>$D20*W145</f>
        <v/>
      </c>
      <c r="X20" s="76">
        <f>$D20*X145</f>
        <v/>
      </c>
      <c r="Y20" s="76">
        <f>$D20*Y145</f>
        <v/>
      </c>
      <c r="Z20" s="76">
        <f>$D20*Z145</f>
        <v/>
      </c>
      <c r="AA20" s="76">
        <f>$D20*AA145</f>
        <v/>
      </c>
      <c r="AB20" s="76">
        <f>$D20*AB145</f>
        <v/>
      </c>
      <c r="AC20" s="76">
        <f>$D20*AC145</f>
        <v/>
      </c>
      <c r="AD20" s="76">
        <f>$D20*AD145</f>
        <v/>
      </c>
      <c r="AE20" s="76">
        <f>$D20*AE145</f>
        <v/>
      </c>
      <c r="AF20" s="76">
        <f>$D20*AF145</f>
        <v/>
      </c>
      <c r="AG20" s="76">
        <f>$D20*AG145</f>
        <v/>
      </c>
      <c r="AH20" s="76">
        <f>$D20*AH145</f>
        <v/>
      </c>
      <c r="AI20" s="76">
        <f>$D20*AI145</f>
        <v/>
      </c>
      <c r="AJ20" s="76">
        <f>$D20*AJ145</f>
        <v/>
      </c>
      <c r="AK20" s="76">
        <f>$D20*AK145</f>
        <v/>
      </c>
      <c r="AL20" s="76">
        <f>$D20*AL145</f>
        <v/>
      </c>
      <c r="AM20" s="76">
        <f>$D20*AM145</f>
        <v/>
      </c>
      <c r="AN20" s="76">
        <f>$D20*AN145</f>
        <v/>
      </c>
      <c r="AO20" s="885">
        <f>SUM(E20:AN20)</f>
        <v/>
      </c>
      <c r="AP20" s="744">
        <f>IF(ROUND(AO20,3)=ROUND(D20,3),"ok", "no")</f>
        <v/>
      </c>
      <c r="AQ20" s="735" t="n"/>
    </row>
    <row r="21">
      <c r="B21" s="323">
        <f>IF(ROUND(D21,4)=ROUND(AO21,4),"","X")</f>
        <v/>
      </c>
      <c r="C21" s="735">
        <f>+Summary!C41</f>
        <v/>
      </c>
      <c r="D21" s="780">
        <f>+Legal_Closing</f>
        <v/>
      </c>
      <c r="E21" s="76">
        <f>$D21*E146</f>
        <v/>
      </c>
      <c r="F21" s="76">
        <f>$D21*F146</f>
        <v/>
      </c>
      <c r="G21" s="76">
        <f>$D21*G146</f>
        <v/>
      </c>
      <c r="H21" s="76">
        <f>$D21*H146</f>
        <v/>
      </c>
      <c r="I21" s="76">
        <f>$D21*I146</f>
        <v/>
      </c>
      <c r="J21" s="76">
        <f>$D21*J146</f>
        <v/>
      </c>
      <c r="K21" s="76">
        <f>$D21*K146</f>
        <v/>
      </c>
      <c r="L21" s="76">
        <f>$D21*L146</f>
        <v/>
      </c>
      <c r="M21" s="76">
        <f>$D21*M146</f>
        <v/>
      </c>
      <c r="N21" s="76">
        <f>$D21*N146</f>
        <v/>
      </c>
      <c r="O21" s="76">
        <f>$D21*O146</f>
        <v/>
      </c>
      <c r="P21" s="76">
        <f>$D21*P146</f>
        <v/>
      </c>
      <c r="Q21" s="76">
        <f>$D21*Q146</f>
        <v/>
      </c>
      <c r="R21" s="76">
        <f>$D21*R146</f>
        <v/>
      </c>
      <c r="S21" s="76">
        <f>$D21*S146</f>
        <v/>
      </c>
      <c r="T21" s="76">
        <f>$D21*T146</f>
        <v/>
      </c>
      <c r="U21" s="76">
        <f>$D21*U146</f>
        <v/>
      </c>
      <c r="V21" s="76">
        <f>$D21*V146</f>
        <v/>
      </c>
      <c r="W21" s="76">
        <f>$D21*W146</f>
        <v/>
      </c>
      <c r="X21" s="76">
        <f>$D21*X146</f>
        <v/>
      </c>
      <c r="Y21" s="76">
        <f>$D21*Y146</f>
        <v/>
      </c>
      <c r="Z21" s="76">
        <f>$D21*Z146</f>
        <v/>
      </c>
      <c r="AA21" s="76">
        <f>$D21*AA146</f>
        <v/>
      </c>
      <c r="AB21" s="76">
        <f>$D21*AB146</f>
        <v/>
      </c>
      <c r="AC21" s="76">
        <f>$D21*AC146</f>
        <v/>
      </c>
      <c r="AD21" s="76">
        <f>$D21*AD146</f>
        <v/>
      </c>
      <c r="AE21" s="76">
        <f>$D21*AE146</f>
        <v/>
      </c>
      <c r="AF21" s="76">
        <f>$D21*AF146</f>
        <v/>
      </c>
      <c r="AG21" s="76">
        <f>$D21*AG146</f>
        <v/>
      </c>
      <c r="AH21" s="76">
        <f>$D21*AH146</f>
        <v/>
      </c>
      <c r="AI21" s="76">
        <f>$D21*AI146</f>
        <v/>
      </c>
      <c r="AJ21" s="76">
        <f>$D21*AJ146</f>
        <v/>
      </c>
      <c r="AK21" s="76">
        <f>$D21*AK146</f>
        <v/>
      </c>
      <c r="AL21" s="76">
        <f>$D21*AL146</f>
        <v/>
      </c>
      <c r="AM21" s="76">
        <f>$D21*AM146</f>
        <v/>
      </c>
      <c r="AN21" s="76">
        <f>$D21*AN146</f>
        <v/>
      </c>
      <c r="AO21" s="885">
        <f>SUM(E21:AN21)</f>
        <v/>
      </c>
      <c r="AP21" s="744">
        <f>IF(ROUND(AO21,3)=ROUND(D21,3),"ok", "no")</f>
        <v/>
      </c>
      <c r="AQ21" s="735" t="n"/>
    </row>
    <row r="22">
      <c r="B22" s="323">
        <f>IF(ROUND(D22,4)=ROUND(AO22,4),"","X")</f>
        <v/>
      </c>
      <c r="C22" s="735">
        <f>+Summary!C42</f>
        <v/>
      </c>
      <c r="D22" s="780">
        <f>+Taxes_Insurance</f>
        <v/>
      </c>
      <c r="E22" s="76">
        <f>$D22*E147</f>
        <v/>
      </c>
      <c r="F22" s="76">
        <f>$D22*F147</f>
        <v/>
      </c>
      <c r="G22" s="76">
        <f>$D22*G147</f>
        <v/>
      </c>
      <c r="H22" s="76">
        <f>$D22*H147</f>
        <v/>
      </c>
      <c r="I22" s="76">
        <f>$D22*I147</f>
        <v/>
      </c>
      <c r="J22" s="76">
        <f>$D22*J147</f>
        <v/>
      </c>
      <c r="K22" s="76">
        <f>$D22*K147</f>
        <v/>
      </c>
      <c r="L22" s="76">
        <f>$D22*L147</f>
        <v/>
      </c>
      <c r="M22" s="76">
        <f>$D22*M147</f>
        <v/>
      </c>
      <c r="N22" s="76">
        <f>$D22*N147</f>
        <v/>
      </c>
      <c r="O22" s="76">
        <f>$D22*O147</f>
        <v/>
      </c>
      <c r="P22" s="76">
        <f>$D22*P147</f>
        <v/>
      </c>
      <c r="Q22" s="76">
        <f>$D22*Q147</f>
        <v/>
      </c>
      <c r="R22" s="76">
        <f>$D22*R147</f>
        <v/>
      </c>
      <c r="S22" s="76">
        <f>$D22*S147</f>
        <v/>
      </c>
      <c r="T22" s="76">
        <f>$D22*T147</f>
        <v/>
      </c>
      <c r="U22" s="76">
        <f>$D22*U147</f>
        <v/>
      </c>
      <c r="V22" s="76">
        <f>$D22*V147</f>
        <v/>
      </c>
      <c r="W22" s="76">
        <f>$D22*W147</f>
        <v/>
      </c>
      <c r="X22" s="76">
        <f>$D22*X147</f>
        <v/>
      </c>
      <c r="Y22" s="76">
        <f>$D22*Y147</f>
        <v/>
      </c>
      <c r="Z22" s="76">
        <f>$D22*Z147</f>
        <v/>
      </c>
      <c r="AA22" s="76">
        <f>$D22*AA147</f>
        <v/>
      </c>
      <c r="AB22" s="76">
        <f>$D22*AB147</f>
        <v/>
      </c>
      <c r="AC22" s="76">
        <f>$D22*AC147</f>
        <v/>
      </c>
      <c r="AD22" s="76">
        <f>$D22*AD147</f>
        <v/>
      </c>
      <c r="AE22" s="76">
        <f>$D22*AE147</f>
        <v/>
      </c>
      <c r="AF22" s="76">
        <f>$D22*AF147</f>
        <v/>
      </c>
      <c r="AG22" s="76">
        <f>$D22*AG147</f>
        <v/>
      </c>
      <c r="AH22" s="76">
        <f>$D22*AH147</f>
        <v/>
      </c>
      <c r="AI22" s="76">
        <f>$D22*AI147</f>
        <v/>
      </c>
      <c r="AJ22" s="76">
        <f>$D22*AJ147</f>
        <v/>
      </c>
      <c r="AK22" s="76">
        <f>$D22*AK147</f>
        <v/>
      </c>
      <c r="AL22" s="76">
        <f>$D22*AL147</f>
        <v/>
      </c>
      <c r="AM22" s="76">
        <f>$D22*AM147</f>
        <v/>
      </c>
      <c r="AN22" s="76">
        <f>$D22*AN147</f>
        <v/>
      </c>
      <c r="AO22" s="885">
        <f>SUM(E22:AN22)</f>
        <v/>
      </c>
      <c r="AP22" s="744">
        <f>IF(ROUND(AO22,3)=ROUND(D22,3),"ok", "no")</f>
        <v/>
      </c>
      <c r="AQ22" s="735" t="n"/>
    </row>
    <row r="23">
      <c r="B23" s="323">
        <f>IF(ROUND(D23,4)=ROUND(AO23,4),"","X")</f>
        <v/>
      </c>
      <c r="C23" s="735">
        <f>+Summary!C43</f>
        <v/>
      </c>
      <c r="D23" s="780">
        <f>+Financing_Costs</f>
        <v/>
      </c>
      <c r="E23" s="76">
        <f>$D23*E148</f>
        <v/>
      </c>
      <c r="F23" s="76">
        <f>$D23*F148</f>
        <v/>
      </c>
      <c r="G23" s="76">
        <f>$D23*G148</f>
        <v/>
      </c>
      <c r="H23" s="76">
        <f>$D23*H148</f>
        <v/>
      </c>
      <c r="I23" s="76">
        <f>$D23*I148</f>
        <v/>
      </c>
      <c r="J23" s="76">
        <f>$D23*J148</f>
        <v/>
      </c>
      <c r="K23" s="76">
        <f>$D23*K148</f>
        <v/>
      </c>
      <c r="L23" s="76">
        <f>$D23*L148</f>
        <v/>
      </c>
      <c r="M23" s="76">
        <f>$D23*M148</f>
        <v/>
      </c>
      <c r="N23" s="76">
        <f>$D23*N148</f>
        <v/>
      </c>
      <c r="O23" s="76">
        <f>$D23*O148</f>
        <v/>
      </c>
      <c r="P23" s="76">
        <f>$D23*P148</f>
        <v/>
      </c>
      <c r="Q23" s="76">
        <f>$D23*Q148</f>
        <v/>
      </c>
      <c r="R23" s="76">
        <f>$D23*R148</f>
        <v/>
      </c>
      <c r="S23" s="76">
        <f>$D23*S148</f>
        <v/>
      </c>
      <c r="T23" s="76">
        <f>$D23*T148</f>
        <v/>
      </c>
      <c r="U23" s="76">
        <f>$D23*U148</f>
        <v/>
      </c>
      <c r="V23" s="76">
        <f>$D23*V148</f>
        <v/>
      </c>
      <c r="W23" s="76">
        <f>$D23*W148</f>
        <v/>
      </c>
      <c r="X23" s="76">
        <f>$D23*X148</f>
        <v/>
      </c>
      <c r="Y23" s="76">
        <f>$D23*Y148</f>
        <v/>
      </c>
      <c r="Z23" s="76">
        <f>$D23*Z148</f>
        <v/>
      </c>
      <c r="AA23" s="76">
        <f>$D23*AA148</f>
        <v/>
      </c>
      <c r="AB23" s="76">
        <f>$D23*AB148</f>
        <v/>
      </c>
      <c r="AC23" s="76">
        <f>$D23*AC148</f>
        <v/>
      </c>
      <c r="AD23" s="76">
        <f>$D23*AD148</f>
        <v/>
      </c>
      <c r="AE23" s="76">
        <f>$D23*AE148</f>
        <v/>
      </c>
      <c r="AF23" s="76">
        <f>$D23*AF148</f>
        <v/>
      </c>
      <c r="AG23" s="76">
        <f>$D23*AG148</f>
        <v/>
      </c>
      <c r="AH23" s="76">
        <f>$D23*AH148</f>
        <v/>
      </c>
      <c r="AI23" s="76">
        <f>$D23*AI148</f>
        <v/>
      </c>
      <c r="AJ23" s="76">
        <f>$D23*AJ148</f>
        <v/>
      </c>
      <c r="AK23" s="76">
        <f>$D23*AK148</f>
        <v/>
      </c>
      <c r="AL23" s="76">
        <f>$D23*AL148</f>
        <v/>
      </c>
      <c r="AM23" s="76">
        <f>$D23*AM148</f>
        <v/>
      </c>
      <c r="AN23" s="76">
        <f>$D23*AN148</f>
        <v/>
      </c>
      <c r="AO23" s="885">
        <f>SUM(E23:AN23)</f>
        <v/>
      </c>
      <c r="AP23" s="744">
        <f>IF(ROUND(AO23,3)=ROUND(D23,3),"ok", "no")</f>
        <v/>
      </c>
      <c r="AQ23" s="735" t="n"/>
    </row>
    <row r="24">
      <c r="B24" s="323">
        <f>IF(ROUND(D24,4)=ROUND(AO24,4),"","X")</f>
        <v/>
      </c>
      <c r="C24" s="735">
        <f>+Summary!C44</f>
        <v/>
      </c>
      <c r="D24" s="780">
        <f>+Muni_Fees</f>
        <v/>
      </c>
      <c r="E24" s="76">
        <f>$D24*E149</f>
        <v/>
      </c>
      <c r="F24" s="76">
        <f>$D24*F149</f>
        <v/>
      </c>
      <c r="G24" s="76">
        <f>$D24*G149</f>
        <v/>
      </c>
      <c r="H24" s="76">
        <f>$D24*H149</f>
        <v/>
      </c>
      <c r="I24" s="76">
        <f>$D24*I149</f>
        <v/>
      </c>
      <c r="J24" s="76">
        <f>$D24*J149</f>
        <v/>
      </c>
      <c r="K24" s="76">
        <f>$D24*K149</f>
        <v/>
      </c>
      <c r="L24" s="76">
        <f>$D24*L149</f>
        <v/>
      </c>
      <c r="M24" s="76">
        <f>$D24*M149</f>
        <v/>
      </c>
      <c r="N24" s="76">
        <f>$D24*N149</f>
        <v/>
      </c>
      <c r="O24" s="76">
        <f>$D24*O149</f>
        <v/>
      </c>
      <c r="P24" s="76">
        <f>$D24*P149</f>
        <v/>
      </c>
      <c r="Q24" s="76">
        <f>$D24*Q149</f>
        <v/>
      </c>
      <c r="R24" s="76">
        <f>$D24*R149</f>
        <v/>
      </c>
      <c r="S24" s="76">
        <f>$D24*S149</f>
        <v/>
      </c>
      <c r="T24" s="76">
        <f>$D24*T149</f>
        <v/>
      </c>
      <c r="U24" s="76">
        <f>$D24*U149</f>
        <v/>
      </c>
      <c r="V24" s="76">
        <f>$D24*V149</f>
        <v/>
      </c>
      <c r="W24" s="76">
        <f>$D24*W149</f>
        <v/>
      </c>
      <c r="X24" s="76">
        <f>$D24*X149</f>
        <v/>
      </c>
      <c r="Y24" s="76">
        <f>$D24*Y149</f>
        <v/>
      </c>
      <c r="Z24" s="76">
        <f>$D24*Z149</f>
        <v/>
      </c>
      <c r="AA24" s="76">
        <f>$D24*AA149</f>
        <v/>
      </c>
      <c r="AB24" s="76">
        <f>$D24*AB149</f>
        <v/>
      </c>
      <c r="AC24" s="76">
        <f>$D24*AC149</f>
        <v/>
      </c>
      <c r="AD24" s="76">
        <f>$D24*AD149</f>
        <v/>
      </c>
      <c r="AE24" s="76">
        <f>$D24*AE149</f>
        <v/>
      </c>
      <c r="AF24" s="76">
        <f>$D24*AF149</f>
        <v/>
      </c>
      <c r="AG24" s="76">
        <f>$D24*AG149</f>
        <v/>
      </c>
      <c r="AH24" s="76">
        <f>$D24*AH149</f>
        <v/>
      </c>
      <c r="AI24" s="76">
        <f>$D24*AI149</f>
        <v/>
      </c>
      <c r="AJ24" s="76">
        <f>$D24*AJ149</f>
        <v/>
      </c>
      <c r="AK24" s="76">
        <f>$D24*AK149</f>
        <v/>
      </c>
      <c r="AL24" s="76">
        <f>$D24*AL149</f>
        <v/>
      </c>
      <c r="AM24" s="76">
        <f>$D24*AM149</f>
        <v/>
      </c>
      <c r="AN24" s="76">
        <f>$D24*AN149</f>
        <v/>
      </c>
      <c r="AO24" s="885">
        <f>SUM(E24:AN24)</f>
        <v/>
      </c>
      <c r="AP24" s="744">
        <f>IF(ROUND(AO24,3)=ROUND(D24,3),"ok", "no")</f>
        <v/>
      </c>
      <c r="AQ24" s="735" t="n"/>
    </row>
    <row r="25">
      <c r="B25" s="323">
        <f>IF(ROUND(D25,4)=ROUND(AO25,4),"","X")</f>
        <v/>
      </c>
      <c r="C25" s="735">
        <f>+Summary!C45</f>
        <v/>
      </c>
      <c r="D25" s="780">
        <f>+Interest_Reserve</f>
        <v/>
      </c>
      <c r="E25" s="76">
        <f>IF('Soft Cost Detail'!$E$2="help",0,+E117+('Soft Cost Detail'!$D$133*(E117)/($AO$117)))</f>
        <v/>
      </c>
      <c r="F25" s="76">
        <f>IF('Soft Cost Detail'!$E$2="help",0,+F117+('Soft Cost Detail'!$D$133*(F117)/($AO$117)))</f>
        <v/>
      </c>
      <c r="G25" s="76">
        <f>IF('Soft Cost Detail'!$E$2="help",0,+G117+('Soft Cost Detail'!$D$133*(G117)/($AO$117)))</f>
        <v/>
      </c>
      <c r="H25" s="76">
        <f>IF('Soft Cost Detail'!$E$2="help",0,+H117+('Soft Cost Detail'!$D$133*(H117)/($AO$117)))</f>
        <v/>
      </c>
      <c r="I25" s="76">
        <f>IF('Soft Cost Detail'!$E$2="help",0,+I117+('Soft Cost Detail'!$D$133*(I117)/($AO$117)))</f>
        <v/>
      </c>
      <c r="J25" s="76">
        <f>IF('Soft Cost Detail'!$E$2="help",0,+J117+('Soft Cost Detail'!$D$133*(J117)/($AO$117)))</f>
        <v/>
      </c>
      <c r="K25" s="76">
        <f>IF('Soft Cost Detail'!$E$2="help",0,+K117+('Soft Cost Detail'!$D$133*(K117)/($AO$117)))</f>
        <v/>
      </c>
      <c r="L25" s="76">
        <f>IF('Soft Cost Detail'!$E$2="help",0,+L117+('Soft Cost Detail'!$D$133*(L117)/($AO$117)))</f>
        <v/>
      </c>
      <c r="M25" s="76">
        <f>IF('Soft Cost Detail'!$E$2="help",0,+M117+('Soft Cost Detail'!$D$133*(M117)/($AO$117)))</f>
        <v/>
      </c>
      <c r="N25" s="76">
        <f>IF('Soft Cost Detail'!$E$2="help",0,+N117+('Soft Cost Detail'!$D$133*(N117)/($AO$117)))</f>
        <v/>
      </c>
      <c r="O25" s="76">
        <f>IF('Soft Cost Detail'!$E$2="help",0,+O117+('Soft Cost Detail'!$D$133*(O117)/($AO$117)))</f>
        <v/>
      </c>
      <c r="P25" s="76">
        <f>IF('Soft Cost Detail'!$E$2="help",0,+P117+('Soft Cost Detail'!$D$133*(P117)/($AO$117)))</f>
        <v/>
      </c>
      <c r="Q25" s="76">
        <f>IF('Soft Cost Detail'!$E$2="help",0,+Q117+('Soft Cost Detail'!$D$133*(Q117)/($AO$117)))</f>
        <v/>
      </c>
      <c r="R25" s="76">
        <f>IF('Soft Cost Detail'!$E$2="help",0,+R117+('Soft Cost Detail'!$D$133*(R117)/($AO$117)))</f>
        <v/>
      </c>
      <c r="S25" s="76">
        <f>IF('Soft Cost Detail'!$E$2="help",0,+S117+('Soft Cost Detail'!$D$133*(S117)/($AO$117)))</f>
        <v/>
      </c>
      <c r="T25" s="76">
        <f>IF('Soft Cost Detail'!$E$2="help",0,+T117+('Soft Cost Detail'!$D$133*(T117)/($AO$117)))</f>
        <v/>
      </c>
      <c r="U25" s="76">
        <f>IF('Soft Cost Detail'!$E$2="help",0,+U117+('Soft Cost Detail'!$D$133*(U117)/($AO$117)))</f>
        <v/>
      </c>
      <c r="V25" s="76">
        <f>IF('Soft Cost Detail'!$E$2="help",0,+V117+('Soft Cost Detail'!$D$133*(V117)/($AO$117)))</f>
        <v/>
      </c>
      <c r="W25" s="76">
        <f>IF('Soft Cost Detail'!$E$2="help",0,+W117+('Soft Cost Detail'!$D$133*(W117)/($AO$117)))</f>
        <v/>
      </c>
      <c r="X25" s="76">
        <f>IF('Soft Cost Detail'!$E$2="help",0,+X117+('Soft Cost Detail'!$D$133*(X117)/($AO$117)))</f>
        <v/>
      </c>
      <c r="Y25" s="76">
        <f>IF('Soft Cost Detail'!$E$2="help",0,+Y117+('Soft Cost Detail'!$D$133*(Y117)/($AO$117)))</f>
        <v/>
      </c>
      <c r="Z25" s="76">
        <f>IF('Soft Cost Detail'!$E$2="help",0,+Z117+('Soft Cost Detail'!$D$133*(Z117)/($AO$117)))</f>
        <v/>
      </c>
      <c r="AA25" s="76">
        <f>IF('Soft Cost Detail'!$E$2="help",0,+AA117+('Soft Cost Detail'!$D$133*(AA117)/($AO$117)))</f>
        <v/>
      </c>
      <c r="AB25" s="76">
        <f>IF('Soft Cost Detail'!$E$2="help",0,+AB117+('Soft Cost Detail'!$D$133*(AB117)/($AO$117)))</f>
        <v/>
      </c>
      <c r="AC25" s="76">
        <f>IF('Soft Cost Detail'!$E$2="help",0,+AC117+('Soft Cost Detail'!$D$133*(AC117)/($AO$117)))</f>
        <v/>
      </c>
      <c r="AD25" s="76">
        <f>IF('Soft Cost Detail'!$E$2="help",0,+AD117+('Soft Cost Detail'!$D$133*(AD117)/($AO$117)))</f>
        <v/>
      </c>
      <c r="AE25" s="76">
        <f>IF('Soft Cost Detail'!$E$2="help",0,+AE117+('Soft Cost Detail'!$D$133*(AE117)/($AO$117)))</f>
        <v/>
      </c>
      <c r="AF25" s="76">
        <f>IF('Soft Cost Detail'!$E$2="help",0,+AF117+('Soft Cost Detail'!$D$133*(AF117)/($AO$117)))</f>
        <v/>
      </c>
      <c r="AG25" s="76">
        <f>IF('Soft Cost Detail'!$E$2="help",0,+AG117+('Soft Cost Detail'!$D$133*(AG117)/($AO$117)))</f>
        <v/>
      </c>
      <c r="AH25" s="76">
        <f>IF('Soft Cost Detail'!$E$2="help",0,+AH117+('Soft Cost Detail'!$D$133*(AH117)/($AO$117)))</f>
        <v/>
      </c>
      <c r="AI25" s="76">
        <f>IF('Soft Cost Detail'!$E$2="help",0,+AI117+('Soft Cost Detail'!$D$133*(AI117)/($AO$117)))</f>
        <v/>
      </c>
      <c r="AJ25" s="76">
        <f>IF('Soft Cost Detail'!$E$2="help",0,+AJ117+('Soft Cost Detail'!$D$133*(AJ117)/($AO$117)))</f>
        <v/>
      </c>
      <c r="AK25" s="76">
        <f>IF('Soft Cost Detail'!$E$2="help",0,+AK117+('Soft Cost Detail'!$D$133*(AK117)/($AO$117)))</f>
        <v/>
      </c>
      <c r="AL25" s="76">
        <f>IF('Soft Cost Detail'!$E$2="help",0,+AL117+('Soft Cost Detail'!$D$133*(AL117)/($AO$117)))</f>
        <v/>
      </c>
      <c r="AM25" s="76">
        <f>IF('Soft Cost Detail'!$E$2="help",0,+AM117+('Soft Cost Detail'!$D$133*(AM117)/($AO$117)))</f>
        <v/>
      </c>
      <c r="AN25" s="76">
        <f>IF('Soft Cost Detail'!$E$2="help",0,+AN117+('Soft Cost Detail'!$D$133*(AN117)/($AO$117)))</f>
        <v/>
      </c>
      <c r="AO25" s="885">
        <f>SUM(E25:AN25)</f>
        <v/>
      </c>
      <c r="AP25" s="744">
        <f>IF(ROUND(AO25,3)=ROUND(D25,3),"ok", "no")</f>
        <v/>
      </c>
      <c r="AQ25" s="735" t="n"/>
    </row>
    <row r="26">
      <c r="B26" s="323">
        <f>IF(ROUND(D26,4)=ROUND(AO26,4),"","X")</f>
        <v/>
      </c>
      <c r="C26" s="735">
        <f>+Summary!C46</f>
        <v/>
      </c>
      <c r="D26" s="780">
        <f>+Startup_Costs</f>
        <v/>
      </c>
      <c r="E26" s="76">
        <f>$D26*E151</f>
        <v/>
      </c>
      <c r="F26" s="76">
        <f>$D26*F151</f>
        <v/>
      </c>
      <c r="G26" s="76">
        <f>$D26*G151</f>
        <v/>
      </c>
      <c r="H26" s="76">
        <f>$D26*H151</f>
        <v/>
      </c>
      <c r="I26" s="76">
        <f>$D26*I151</f>
        <v/>
      </c>
      <c r="J26" s="76">
        <f>$D26*J151</f>
        <v/>
      </c>
      <c r="K26" s="76">
        <f>$D26*K151</f>
        <v/>
      </c>
      <c r="L26" s="76">
        <f>$D26*L151</f>
        <v/>
      </c>
      <c r="M26" s="76">
        <f>$D26*M151</f>
        <v/>
      </c>
      <c r="N26" s="76">
        <f>$D26*N151</f>
        <v/>
      </c>
      <c r="O26" s="76">
        <f>$D26*O151</f>
        <v/>
      </c>
      <c r="P26" s="76">
        <f>$D26*P151</f>
        <v/>
      </c>
      <c r="Q26" s="76">
        <f>$D26*Q151</f>
        <v/>
      </c>
      <c r="R26" s="76">
        <f>$D26*R151</f>
        <v/>
      </c>
      <c r="S26" s="76">
        <f>$D26*S151</f>
        <v/>
      </c>
      <c r="T26" s="76">
        <f>$D26*T151</f>
        <v/>
      </c>
      <c r="U26" s="76">
        <f>$D26*U151</f>
        <v/>
      </c>
      <c r="V26" s="76">
        <f>$D26*V151</f>
        <v/>
      </c>
      <c r="W26" s="76">
        <f>$D26*W151</f>
        <v/>
      </c>
      <c r="X26" s="76">
        <f>$D26*X151</f>
        <v/>
      </c>
      <c r="Y26" s="76">
        <f>$D26*Y151</f>
        <v/>
      </c>
      <c r="Z26" s="76">
        <f>$D26*Z151</f>
        <v/>
      </c>
      <c r="AA26" s="76">
        <f>$D26*AA151</f>
        <v/>
      </c>
      <c r="AB26" s="76">
        <f>$D26*AB151</f>
        <v/>
      </c>
      <c r="AC26" s="76">
        <f>$D26*AC151</f>
        <v/>
      </c>
      <c r="AD26" s="76">
        <f>$D26*AD151</f>
        <v/>
      </c>
      <c r="AE26" s="76">
        <f>$D26*AE151</f>
        <v/>
      </c>
      <c r="AF26" s="76">
        <f>$D26*AF151</f>
        <v/>
      </c>
      <c r="AG26" s="76">
        <f>$D26*AG151</f>
        <v/>
      </c>
      <c r="AH26" s="76">
        <f>$D26*AH151</f>
        <v/>
      </c>
      <c r="AI26" s="76">
        <f>$D26*AI151</f>
        <v/>
      </c>
      <c r="AJ26" s="76">
        <f>$D26*AJ151</f>
        <v/>
      </c>
      <c r="AK26" s="76">
        <f>$D26*AK151</f>
        <v/>
      </c>
      <c r="AL26" s="76">
        <f>$D26*AL151</f>
        <v/>
      </c>
      <c r="AM26" s="76">
        <f>$D26*AM151</f>
        <v/>
      </c>
      <c r="AN26" s="76">
        <f>$D26*AN151</f>
        <v/>
      </c>
      <c r="AO26" s="885">
        <f>SUM(E26:AN26)</f>
        <v/>
      </c>
      <c r="AP26" s="744">
        <f>IF(ROUND(AO26,3)=ROUND(D26,3),"ok", "no")</f>
        <v/>
      </c>
      <c r="AQ26" s="735" t="n"/>
    </row>
    <row r="27">
      <c r="B27" s="323">
        <f>IF(ROUND(D27,4)=ROUND(AO27,4),"","X")</f>
        <v/>
      </c>
      <c r="C27" s="735">
        <f>+Summary!C47</f>
        <v/>
      </c>
      <c r="D27" s="780">
        <f>+Summary!E47</f>
        <v/>
      </c>
      <c r="E27" s="76" t="n"/>
      <c r="F27" s="76">
        <f>IF(F71&lt;0,-F71,0)</f>
        <v/>
      </c>
      <c r="G27" s="76">
        <f>IF(G71&lt;0,-G71,0)</f>
        <v/>
      </c>
      <c r="H27" s="76">
        <f>IF(H71&lt;0,-H71,0)</f>
        <v/>
      </c>
      <c r="I27" s="76">
        <f>IF(I71&lt;0,-I71,0)</f>
        <v/>
      </c>
      <c r="J27" s="76">
        <f>IF(J71&lt;0,-J71,0)</f>
        <v/>
      </c>
      <c r="K27" s="76">
        <f>IF(K71&lt;0,-K71,0)</f>
        <v/>
      </c>
      <c r="L27" s="76">
        <f>IF(L71&lt;0,-L71,0)</f>
        <v/>
      </c>
      <c r="M27" s="76">
        <f>IF(M71&lt;0,-M71,0)</f>
        <v/>
      </c>
      <c r="N27" s="76">
        <f>IF(N71&lt;0,-N71,0)</f>
        <v/>
      </c>
      <c r="O27" s="76">
        <f>IF(O71&lt;0,-O71,0)</f>
        <v/>
      </c>
      <c r="P27" s="76">
        <f>IF(P71&lt;0,-P71,0)</f>
        <v/>
      </c>
      <c r="Q27" s="76">
        <f>IF(Q71&lt;0,-Q71,0)</f>
        <v/>
      </c>
      <c r="R27" s="76">
        <f>IF(R71&lt;0,-R71,0)</f>
        <v/>
      </c>
      <c r="S27" s="76">
        <f>IF(S71&lt;0,-S71,0)</f>
        <v/>
      </c>
      <c r="T27" s="76">
        <f>IF(T71&lt;0,-T71,0)</f>
        <v/>
      </c>
      <c r="U27" s="76">
        <f>IF(U71&lt;0,-U71,0)</f>
        <v/>
      </c>
      <c r="V27" s="76">
        <f>IF(V71&lt;0,-V71,0)</f>
        <v/>
      </c>
      <c r="W27" s="76">
        <f>IF(W71&lt;0,-W71,0)</f>
        <v/>
      </c>
      <c r="X27" s="76">
        <f>IF(X71&lt;0,-X71,0)</f>
        <v/>
      </c>
      <c r="Y27" s="76">
        <f>IF(Y71&lt;0,-Y71,0)</f>
        <v/>
      </c>
      <c r="Z27" s="76">
        <f>IF(Z71&lt;0,-Z71,0)</f>
        <v/>
      </c>
      <c r="AA27" s="76">
        <f>IF(AA71&lt;0,-AA71,0)</f>
        <v/>
      </c>
      <c r="AB27" s="76">
        <f>IF(AB71&lt;0,-AB71,0)</f>
        <v/>
      </c>
      <c r="AC27" s="76">
        <f>IF(AC71&lt;0,-AC71,0)</f>
        <v/>
      </c>
      <c r="AD27" s="76">
        <f>IF(AD71&lt;0,-AD71,0)</f>
        <v/>
      </c>
      <c r="AE27" s="76">
        <f>IF(AE71&lt;0,-AE71,0)</f>
        <v/>
      </c>
      <c r="AF27" s="76">
        <f>IF(AF71&lt;0,-AF71,0)</f>
        <v/>
      </c>
      <c r="AG27" s="76">
        <f>IF(AG71&lt;0,-AG71,0)</f>
        <v/>
      </c>
      <c r="AH27" s="76">
        <f>IF(AH71&lt;0,-AH71,0)</f>
        <v/>
      </c>
      <c r="AI27" s="76">
        <f>IF(AI71&lt;0,-AI71,0)</f>
        <v/>
      </c>
      <c r="AJ27" s="76">
        <f>IF(AJ71&lt;0,-AJ71,0)</f>
        <v/>
      </c>
      <c r="AK27" s="76">
        <f>IF(AK71&lt;0,-AK71,0)</f>
        <v/>
      </c>
      <c r="AL27" s="76">
        <f>IF(AL71&lt;0,-AL71,0)</f>
        <v/>
      </c>
      <c r="AM27" s="76">
        <f>IF(AM71&lt;0,-AM71,0)</f>
        <v/>
      </c>
      <c r="AN27" s="76">
        <f>IF(AN71&lt;0,-AN71,0)</f>
        <v/>
      </c>
      <c r="AO27" s="885">
        <f>SUM(E27:AN27)</f>
        <v/>
      </c>
      <c r="AP27" s="744">
        <f>IF(ROUND(AO27,3)=ROUND(D27,3),"ok", "no")</f>
        <v/>
      </c>
      <c r="AQ27" s="735" t="n"/>
    </row>
    <row r="28">
      <c r="B28" s="323">
        <f>IF(ROUND(D28,4)=ROUND(AO28,4),"","X")</f>
        <v/>
      </c>
      <c r="C28" s="735">
        <f>+Summary!C48</f>
        <v/>
      </c>
      <c r="D28" s="780">
        <f>+FFE</f>
        <v/>
      </c>
      <c r="E28" s="76">
        <f>$D28*E153</f>
        <v/>
      </c>
      <c r="F28" s="76">
        <f>$D28*F153</f>
        <v/>
      </c>
      <c r="G28" s="76">
        <f>$D28*G153</f>
        <v/>
      </c>
      <c r="H28" s="76">
        <f>$D28*H153</f>
        <v/>
      </c>
      <c r="I28" s="76">
        <f>$D28*I153</f>
        <v/>
      </c>
      <c r="J28" s="76">
        <f>$D28*J153</f>
        <v/>
      </c>
      <c r="K28" s="76">
        <f>$D28*K153</f>
        <v/>
      </c>
      <c r="L28" s="76">
        <f>$D28*L153</f>
        <v/>
      </c>
      <c r="M28" s="76">
        <f>$D28*M153</f>
        <v/>
      </c>
      <c r="N28" s="76">
        <f>$D28*N153</f>
        <v/>
      </c>
      <c r="O28" s="76">
        <f>$D28*O153</f>
        <v/>
      </c>
      <c r="P28" s="76">
        <f>$D28*P153</f>
        <v/>
      </c>
      <c r="Q28" s="76">
        <f>$D28*Q153</f>
        <v/>
      </c>
      <c r="R28" s="76">
        <f>$D28*R153</f>
        <v/>
      </c>
      <c r="S28" s="76">
        <f>$D28*S153</f>
        <v/>
      </c>
      <c r="T28" s="76">
        <f>$D28*T153</f>
        <v/>
      </c>
      <c r="U28" s="76">
        <f>$D28*U153</f>
        <v/>
      </c>
      <c r="V28" s="76">
        <f>$D28*V153</f>
        <v/>
      </c>
      <c r="W28" s="76">
        <f>$D28*W153</f>
        <v/>
      </c>
      <c r="X28" s="76">
        <f>$D28*X153</f>
        <v/>
      </c>
      <c r="Y28" s="76">
        <f>$D28*Y153</f>
        <v/>
      </c>
      <c r="Z28" s="76">
        <f>$D28*Z153</f>
        <v/>
      </c>
      <c r="AA28" s="76">
        <f>$D28*AA153</f>
        <v/>
      </c>
      <c r="AB28" s="76">
        <f>$D28*AB153</f>
        <v/>
      </c>
      <c r="AC28" s="76">
        <f>$D28*AC153</f>
        <v/>
      </c>
      <c r="AD28" s="76">
        <f>$D28*AD153</f>
        <v/>
      </c>
      <c r="AE28" s="76">
        <f>$D28*AE153</f>
        <v/>
      </c>
      <c r="AF28" s="76">
        <f>$D28*AF153</f>
        <v/>
      </c>
      <c r="AG28" s="76">
        <f>$D28*AG153</f>
        <v/>
      </c>
      <c r="AH28" s="76">
        <f>$D28*AH153</f>
        <v/>
      </c>
      <c r="AI28" s="76">
        <f>$D28*AI153</f>
        <v/>
      </c>
      <c r="AJ28" s="76">
        <f>$D28*AJ153</f>
        <v/>
      </c>
      <c r="AK28" s="76">
        <f>$D28*AK153</f>
        <v/>
      </c>
      <c r="AL28" s="76">
        <f>$D28*AL153</f>
        <v/>
      </c>
      <c r="AM28" s="76">
        <f>$D28*AM153</f>
        <v/>
      </c>
      <c r="AN28" s="76">
        <f>$D28*AN153</f>
        <v/>
      </c>
      <c r="AO28" s="885">
        <f>SUM(E28:AN28)</f>
        <v/>
      </c>
      <c r="AP28" s="744">
        <f>IF(ROUND(AO28,3)=ROUND(D28,3),"ok", "no")</f>
        <v/>
      </c>
      <c r="AQ28" s="735" t="n"/>
    </row>
    <row r="29">
      <c r="B29" s="323">
        <f>IF(ROUND(D29,4)=ROUND(AO29,4),"","X")</f>
        <v/>
      </c>
      <c r="C29" s="735">
        <f>+Summary!C49</f>
        <v/>
      </c>
      <c r="D29" s="780">
        <f>+Development_Fees</f>
        <v/>
      </c>
      <c r="E29" s="76">
        <f>$D29*E154</f>
        <v/>
      </c>
      <c r="F29" s="76">
        <f>$D29*F154</f>
        <v/>
      </c>
      <c r="G29" s="76">
        <f>$D29*G154</f>
        <v/>
      </c>
      <c r="H29" s="76">
        <f>$D29*H154</f>
        <v/>
      </c>
      <c r="I29" s="76">
        <f>$D29*I154</f>
        <v/>
      </c>
      <c r="J29" s="76">
        <f>$D29*J154</f>
        <v/>
      </c>
      <c r="K29" s="76">
        <f>$D29*K154</f>
        <v/>
      </c>
      <c r="L29" s="76">
        <f>$D29*L154</f>
        <v/>
      </c>
      <c r="M29" s="76">
        <f>$D29*M154</f>
        <v/>
      </c>
      <c r="N29" s="76">
        <f>$D29*N154</f>
        <v/>
      </c>
      <c r="O29" s="76">
        <f>$D29*O154</f>
        <v/>
      </c>
      <c r="P29" s="76">
        <f>$D29*P154</f>
        <v/>
      </c>
      <c r="Q29" s="76">
        <f>$D29*Q154</f>
        <v/>
      </c>
      <c r="R29" s="76">
        <f>$D29*R154</f>
        <v/>
      </c>
      <c r="S29" s="76">
        <f>$D29*S154</f>
        <v/>
      </c>
      <c r="T29" s="76">
        <f>$D29*T154</f>
        <v/>
      </c>
      <c r="U29" s="76">
        <f>$D29*U154</f>
        <v/>
      </c>
      <c r="V29" s="76">
        <f>$D29*V154</f>
        <v/>
      </c>
      <c r="W29" s="76">
        <f>$D29*W154</f>
        <v/>
      </c>
      <c r="X29" s="76">
        <f>$D29*X154</f>
        <v/>
      </c>
      <c r="Y29" s="76">
        <f>$D29*Y154</f>
        <v/>
      </c>
      <c r="Z29" s="76">
        <f>$D29*Z154</f>
        <v/>
      </c>
      <c r="AA29" s="76">
        <f>$D29*AA154</f>
        <v/>
      </c>
      <c r="AB29" s="76">
        <f>$D29*AB154</f>
        <v/>
      </c>
      <c r="AC29" s="76">
        <f>$D29*AC154</f>
        <v/>
      </c>
      <c r="AD29" s="76">
        <f>$D29*AD154</f>
        <v/>
      </c>
      <c r="AE29" s="76">
        <f>$D29*AE154</f>
        <v/>
      </c>
      <c r="AF29" s="76">
        <f>$D29*AF154</f>
        <v/>
      </c>
      <c r="AG29" s="76">
        <f>$D29*AG154</f>
        <v/>
      </c>
      <c r="AH29" s="76">
        <f>$D29*AH154</f>
        <v/>
      </c>
      <c r="AI29" s="76">
        <f>$D29*AI154</f>
        <v/>
      </c>
      <c r="AJ29" s="76">
        <f>$D29*AJ154</f>
        <v/>
      </c>
      <c r="AK29" s="76">
        <f>$D29*AK154</f>
        <v/>
      </c>
      <c r="AL29" s="76">
        <f>$D29*AL154</f>
        <v/>
      </c>
      <c r="AM29" s="76">
        <f>$D29*AM154</f>
        <v/>
      </c>
      <c r="AN29" s="76">
        <f>$D29*AN154</f>
        <v/>
      </c>
      <c r="AO29" s="885">
        <f>SUM(E29:AN29)</f>
        <v/>
      </c>
      <c r="AP29" s="744">
        <f>IF(ROUND(AO29,3)=ROUND(D29,3),"ok", "no")</f>
        <v/>
      </c>
      <c r="AQ29" s="735" t="n"/>
    </row>
    <row r="30">
      <c r="B30" s="323">
        <f>IF(ROUND(D30,4)=ROUND(AO30,4),"","X")</f>
        <v/>
      </c>
      <c r="C30" s="735">
        <f>+Summary!C50</f>
        <v/>
      </c>
      <c r="D30" s="780">
        <f>+Gurantee_Fees</f>
        <v/>
      </c>
      <c r="E30" s="76">
        <f>$D30*E155</f>
        <v/>
      </c>
      <c r="F30" s="76">
        <f>$D30*F155</f>
        <v/>
      </c>
      <c r="G30" s="76">
        <f>$D30*G155</f>
        <v/>
      </c>
      <c r="H30" s="76">
        <f>$D30*H155</f>
        <v/>
      </c>
      <c r="I30" s="76">
        <f>$D30*I155</f>
        <v/>
      </c>
      <c r="J30" s="76">
        <f>$D30*J155</f>
        <v/>
      </c>
      <c r="K30" s="76">
        <f>$D30*K155</f>
        <v/>
      </c>
      <c r="L30" s="76">
        <f>$D30*L155</f>
        <v/>
      </c>
      <c r="M30" s="76">
        <f>$D30*M155</f>
        <v/>
      </c>
      <c r="N30" s="76">
        <f>$D30*N155</f>
        <v/>
      </c>
      <c r="O30" s="76">
        <f>$D30*O155</f>
        <v/>
      </c>
      <c r="P30" s="76">
        <f>$D30*P155</f>
        <v/>
      </c>
      <c r="Q30" s="76">
        <f>$D30*Q155</f>
        <v/>
      </c>
      <c r="R30" s="76">
        <f>$D30*R155</f>
        <v/>
      </c>
      <c r="S30" s="76">
        <f>$D30*S155</f>
        <v/>
      </c>
      <c r="T30" s="76">
        <f>$D30*T155</f>
        <v/>
      </c>
      <c r="U30" s="76">
        <f>$D30*U155</f>
        <v/>
      </c>
      <c r="V30" s="76">
        <f>$D30*V155</f>
        <v/>
      </c>
      <c r="W30" s="76">
        <f>$D30*W155</f>
        <v/>
      </c>
      <c r="X30" s="76">
        <f>$D30*X155</f>
        <v/>
      </c>
      <c r="Y30" s="76">
        <f>$D30*Y155</f>
        <v/>
      </c>
      <c r="Z30" s="76">
        <f>$D30*Z155</f>
        <v/>
      </c>
      <c r="AA30" s="76">
        <f>$D30*AA155</f>
        <v/>
      </c>
      <c r="AB30" s="76">
        <f>$D30*AB155</f>
        <v/>
      </c>
      <c r="AC30" s="76">
        <f>$D30*AC155</f>
        <v/>
      </c>
      <c r="AD30" s="76">
        <f>$D30*AD155</f>
        <v/>
      </c>
      <c r="AE30" s="76">
        <f>$D30*AE155</f>
        <v/>
      </c>
      <c r="AF30" s="76">
        <f>$D30*AF155</f>
        <v/>
      </c>
      <c r="AG30" s="76">
        <f>$D30*AG155</f>
        <v/>
      </c>
      <c r="AH30" s="76">
        <f>$D30*AH155</f>
        <v/>
      </c>
      <c r="AI30" s="76">
        <f>$D30*AI155</f>
        <v/>
      </c>
      <c r="AJ30" s="76">
        <f>$D30*AJ155</f>
        <v/>
      </c>
      <c r="AK30" s="76">
        <f>$D30*AK155</f>
        <v/>
      </c>
      <c r="AL30" s="76">
        <f>$D30*AL155</f>
        <v/>
      </c>
      <c r="AM30" s="76">
        <f>$D30*AM155</f>
        <v/>
      </c>
      <c r="AN30" s="76">
        <f>$D30*AN155</f>
        <v/>
      </c>
      <c r="AO30" s="885">
        <f>SUM(E30:AN30)</f>
        <v/>
      </c>
      <c r="AP30" s="744">
        <f>IF(ROUND(AO30,3)=ROUND(D30,3),"ok", "no")</f>
        <v/>
      </c>
      <c r="AQ30" s="735" t="n"/>
    </row>
    <row r="31">
      <c r="B31" s="323">
        <f>IF(ROUND(D31,4)=ROUND(AO31,4),"","X")</f>
        <v/>
      </c>
      <c r="C31" s="735">
        <f>+Summary!C51</f>
        <v/>
      </c>
      <c r="D31" s="780">
        <f>+Const_Mgmnt_Fees</f>
        <v/>
      </c>
      <c r="E31" s="76">
        <f>$D31*E156</f>
        <v/>
      </c>
      <c r="F31" s="76">
        <f>$D31*F156</f>
        <v/>
      </c>
      <c r="G31" s="76">
        <f>$D31*G156</f>
        <v/>
      </c>
      <c r="H31" s="76">
        <f>$D31*H156</f>
        <v/>
      </c>
      <c r="I31" s="76">
        <f>$D31*I156</f>
        <v/>
      </c>
      <c r="J31" s="76">
        <f>$D31*J156</f>
        <v/>
      </c>
      <c r="K31" s="76">
        <f>$D31*K156</f>
        <v/>
      </c>
      <c r="L31" s="76">
        <f>$D31*L156</f>
        <v/>
      </c>
      <c r="M31" s="76">
        <f>$D31*M156</f>
        <v/>
      </c>
      <c r="N31" s="76">
        <f>$D31*N156</f>
        <v/>
      </c>
      <c r="O31" s="76">
        <f>$D31*O156</f>
        <v/>
      </c>
      <c r="P31" s="76">
        <f>$D31*P156</f>
        <v/>
      </c>
      <c r="Q31" s="76">
        <f>$D31*Q156</f>
        <v/>
      </c>
      <c r="R31" s="76">
        <f>$D31*R156</f>
        <v/>
      </c>
      <c r="S31" s="76">
        <f>$D31*S156</f>
        <v/>
      </c>
      <c r="T31" s="76">
        <f>$D31*T156</f>
        <v/>
      </c>
      <c r="U31" s="76">
        <f>$D31*U156</f>
        <v/>
      </c>
      <c r="V31" s="76">
        <f>$D31*V156</f>
        <v/>
      </c>
      <c r="W31" s="76">
        <f>$D31*W156</f>
        <v/>
      </c>
      <c r="X31" s="76">
        <f>$D31*X156</f>
        <v/>
      </c>
      <c r="Y31" s="76">
        <f>$D31*Y156</f>
        <v/>
      </c>
      <c r="Z31" s="76">
        <f>$D31*Z156</f>
        <v/>
      </c>
      <c r="AA31" s="76">
        <f>$D31*AA156</f>
        <v/>
      </c>
      <c r="AB31" s="76">
        <f>$D31*AB156</f>
        <v/>
      </c>
      <c r="AC31" s="76">
        <f>$D31*AC156</f>
        <v/>
      </c>
      <c r="AD31" s="76">
        <f>$D31*AD156</f>
        <v/>
      </c>
      <c r="AE31" s="76">
        <f>$D31*AE156</f>
        <v/>
      </c>
      <c r="AF31" s="76">
        <f>$D31*AF156</f>
        <v/>
      </c>
      <c r="AG31" s="76">
        <f>$D31*AG156</f>
        <v/>
      </c>
      <c r="AH31" s="76">
        <f>$D31*AH156</f>
        <v/>
      </c>
      <c r="AI31" s="76">
        <f>$D31*AI156</f>
        <v/>
      </c>
      <c r="AJ31" s="76">
        <f>$D31*AJ156</f>
        <v/>
      </c>
      <c r="AK31" s="76">
        <f>$D31*AK156</f>
        <v/>
      </c>
      <c r="AL31" s="76">
        <f>$D31*AL156</f>
        <v/>
      </c>
      <c r="AM31" s="76">
        <f>$D31*AM156</f>
        <v/>
      </c>
      <c r="AN31" s="76">
        <f>$D31*AN156</f>
        <v/>
      </c>
      <c r="AO31" s="885">
        <f>SUM(E31:AN31)</f>
        <v/>
      </c>
      <c r="AP31" s="744">
        <f>IF(ROUND(AO31,3)=ROUND(D31,3),"ok", "no")</f>
        <v/>
      </c>
      <c r="AQ31" s="735" t="n"/>
    </row>
    <row r="32">
      <c r="B32" s="323">
        <f>IF(ROUND(D32,4)=ROUND(AO32,4),"","X")</f>
        <v/>
      </c>
      <c r="C32" s="735">
        <f>+Summary!C52</f>
        <v/>
      </c>
      <c r="D32" s="780">
        <f>+SoftCost_Conting</f>
        <v/>
      </c>
      <c r="E32" s="76" t="n">
        <v>0</v>
      </c>
      <c r="F32" s="76">
        <f>SUM(F16:F31)*Summary!$H$52</f>
        <v/>
      </c>
      <c r="G32" s="76">
        <f>SUM(G16:G31)*Summary!$H$52</f>
        <v/>
      </c>
      <c r="H32" s="76">
        <f>SUM(H16:H31)*Summary!$H$52</f>
        <v/>
      </c>
      <c r="I32" s="76">
        <f>SUM(I16:I31)*Summary!$H$52</f>
        <v/>
      </c>
      <c r="J32" s="76">
        <f>SUM(J16:J31)*Summary!$H$52</f>
        <v/>
      </c>
      <c r="K32" s="76">
        <f>SUM(K16:K31)*Summary!$H$52</f>
        <v/>
      </c>
      <c r="L32" s="76">
        <f>SUM(L16:L31)*Summary!$H$52</f>
        <v/>
      </c>
      <c r="M32" s="76">
        <f>SUM(M16:M31)*Summary!$H$52</f>
        <v/>
      </c>
      <c r="N32" s="76">
        <f>SUM(N16:N31)*Summary!$H$52</f>
        <v/>
      </c>
      <c r="O32" s="76">
        <f>SUM(O16:O31)*Summary!$H$52</f>
        <v/>
      </c>
      <c r="P32" s="76">
        <f>SUM(P16:P31)*Summary!$H$52</f>
        <v/>
      </c>
      <c r="Q32" s="76">
        <f>SUM(Q16:Q31)*Summary!$H$52</f>
        <v/>
      </c>
      <c r="R32" s="76">
        <f>SUM(R16:R31)*Summary!$H$52</f>
        <v/>
      </c>
      <c r="S32" s="76">
        <f>SUM(S16:S31)*Summary!$H$52</f>
        <v/>
      </c>
      <c r="T32" s="76">
        <f>SUM(T16:T31)*Summary!$H$52</f>
        <v/>
      </c>
      <c r="U32" s="76">
        <f>SUM(U16:U31)*Summary!$H$52</f>
        <v/>
      </c>
      <c r="V32" s="76">
        <f>SUM(V16:V31)*Summary!$H$52</f>
        <v/>
      </c>
      <c r="W32" s="76">
        <f>SUM(W16:W31)*Summary!$H$52</f>
        <v/>
      </c>
      <c r="X32" s="76">
        <f>SUM(X16:X31)*Summary!$H$52</f>
        <v/>
      </c>
      <c r="Y32" s="76">
        <f>SUM(Y16:Y31)*Summary!$H$52</f>
        <v/>
      </c>
      <c r="Z32" s="76">
        <f>SUM(Z16:Z31)*Summary!$H$52</f>
        <v/>
      </c>
      <c r="AA32" s="76">
        <f>SUM(AA16:AA31)*Summary!$H$52</f>
        <v/>
      </c>
      <c r="AB32" s="76">
        <f>SUM(AB16:AB31)*Summary!$H$52</f>
        <v/>
      </c>
      <c r="AC32" s="76">
        <f>SUM(AC16:AC31)*Summary!$H$52</f>
        <v/>
      </c>
      <c r="AD32" s="76">
        <f>SUM(D32-SUM(F32:AC32))</f>
        <v/>
      </c>
      <c r="AE32" s="76">
        <f>SUM(AE16:AE31)*Summary!$H$52</f>
        <v/>
      </c>
      <c r="AF32" s="76">
        <f>SUM(AF16:AF31)*Summary!$H$52</f>
        <v/>
      </c>
      <c r="AG32" s="76">
        <f>SUM(AG16:AG31)*Summary!$H$52</f>
        <v/>
      </c>
      <c r="AH32" s="76">
        <f>SUM(AH16:AH31)*Summary!$H$52</f>
        <v/>
      </c>
      <c r="AI32" s="76">
        <f>SUM(AI16:AI31)*Summary!$H$52</f>
        <v/>
      </c>
      <c r="AJ32" s="76">
        <f>SUM(AJ16:AJ31)*Summary!$H$52</f>
        <v/>
      </c>
      <c r="AK32" s="76">
        <f>SUM(AK16:AK31)*Summary!$H$52</f>
        <v/>
      </c>
      <c r="AL32" s="76">
        <f>SUM(AL16:AL31)*Summary!$H$52</f>
        <v/>
      </c>
      <c r="AM32" s="76">
        <f>SUM(AM16:AM31)*Summary!$H$52</f>
        <v/>
      </c>
      <c r="AN32" s="76">
        <f>SUM(AN16:AN31)*Summary!$H$52</f>
        <v/>
      </c>
      <c r="AO32" s="885">
        <f>SUM(E32:AN32)</f>
        <v/>
      </c>
      <c r="AP32" s="744">
        <f>IF(ROUND(AO32,3)=ROUND(D32,3),"ok", "no")</f>
        <v/>
      </c>
      <c r="AQ32" s="1269" t="n"/>
    </row>
    <row r="33">
      <c r="B33" s="323">
        <f>IF(ROUND(D33,4)=ROUND(AO33,4),"","X")</f>
        <v/>
      </c>
      <c r="C33" s="735">
        <f>+Summary!C53</f>
        <v/>
      </c>
      <c r="D33" s="780">
        <f>+Hard_Costs</f>
        <v/>
      </c>
      <c r="E33" s="76">
        <f>+$D$33*E7</f>
        <v/>
      </c>
      <c r="F33" s="76">
        <f>+$D$33*F7</f>
        <v/>
      </c>
      <c r="G33" s="76">
        <f>+$D$33*G7</f>
        <v/>
      </c>
      <c r="H33" s="76">
        <f>+$D$33*H7</f>
        <v/>
      </c>
      <c r="I33" s="76">
        <f>+$D$33*I7</f>
        <v/>
      </c>
      <c r="J33" s="76">
        <f>+$D$33*J7</f>
        <v/>
      </c>
      <c r="K33" s="76">
        <f>+$D$33*K7</f>
        <v/>
      </c>
      <c r="L33" s="76">
        <f>+$D$33*L7</f>
        <v/>
      </c>
      <c r="M33" s="76">
        <f>+$D$33*M7</f>
        <v/>
      </c>
      <c r="N33" s="76">
        <f>+$D$33*N7</f>
        <v/>
      </c>
      <c r="O33" s="76">
        <f>+$D$33*O7</f>
        <v/>
      </c>
      <c r="P33" s="76">
        <f>+$D$33*P7</f>
        <v/>
      </c>
      <c r="Q33" s="76">
        <f>+$D$33*Q7</f>
        <v/>
      </c>
      <c r="R33" s="76">
        <f>+$D$33*R7</f>
        <v/>
      </c>
      <c r="S33" s="76">
        <f>+$D$33*S7</f>
        <v/>
      </c>
      <c r="T33" s="76">
        <f>+$D$33*T7</f>
        <v/>
      </c>
      <c r="U33" s="76">
        <f>+$D$33*U7</f>
        <v/>
      </c>
      <c r="V33" s="76">
        <f>+$D$33*V7</f>
        <v/>
      </c>
      <c r="W33" s="76">
        <f>+$D$33*W7</f>
        <v/>
      </c>
      <c r="X33" s="76">
        <f>+$D$33*X7</f>
        <v/>
      </c>
      <c r="Y33" s="76">
        <f>+$D$33*Y7</f>
        <v/>
      </c>
      <c r="Z33" s="76">
        <f>+$D$33*Z7</f>
        <v/>
      </c>
      <c r="AA33" s="76">
        <f>+$D$33*AA7</f>
        <v/>
      </c>
      <c r="AB33" s="76">
        <f>+$D$33*AB7</f>
        <v/>
      </c>
      <c r="AC33" s="76">
        <f>+$D$33*AC7</f>
        <v/>
      </c>
      <c r="AD33" s="76">
        <f>+$D$33*AD7</f>
        <v/>
      </c>
      <c r="AE33" s="76">
        <f>+$D$33*AE7</f>
        <v/>
      </c>
      <c r="AF33" s="76">
        <f>+$D$33*AF7</f>
        <v/>
      </c>
      <c r="AG33" s="76">
        <f>+$D$33*AG7</f>
        <v/>
      </c>
      <c r="AH33" s="76">
        <f>+$D$33*AH7</f>
        <v/>
      </c>
      <c r="AI33" s="76">
        <f>+$D$33*AI7</f>
        <v/>
      </c>
      <c r="AJ33" s="76">
        <f>+$D$33*AJ7</f>
        <v/>
      </c>
      <c r="AK33" s="76">
        <f>+$D$33*AK7</f>
        <v/>
      </c>
      <c r="AL33" s="76">
        <f>+$D$33*AL7</f>
        <v/>
      </c>
      <c r="AM33" s="76">
        <f>+$D$33*AM7</f>
        <v/>
      </c>
      <c r="AN33" s="76">
        <f>+$D$33*AN7</f>
        <v/>
      </c>
      <c r="AO33" s="885">
        <f>SUM(E33:AN33)</f>
        <v/>
      </c>
      <c r="AP33" s="744">
        <f>IF(ROUND(AO33,3)=ROUND(D33,3),"ok", "no")</f>
        <v/>
      </c>
      <c r="AQ33" s="735" t="n"/>
      <c r="AR33" s="735" t="n"/>
      <c r="AS33" s="735" t="n"/>
      <c r="AT33" s="735" t="n"/>
    </row>
    <row r="34">
      <c r="B34" s="323">
        <f>IF(ROUND(D34,4)=ROUND(AO34,4),"","X")</f>
        <v/>
      </c>
      <c r="C34" s="735">
        <f>+Summary!C54</f>
        <v/>
      </c>
      <c r="D34" s="780">
        <f>+HardCost_Conting</f>
        <v/>
      </c>
      <c r="E34" s="76">
        <f>+E33*Summary!$H$54</f>
        <v/>
      </c>
      <c r="F34" s="76" t="n">
        <v>0</v>
      </c>
      <c r="G34" s="76" t="n">
        <v>0</v>
      </c>
      <c r="H34" s="76" t="n">
        <v>100000</v>
      </c>
      <c r="I34" s="76" t="n">
        <v>0</v>
      </c>
      <c r="J34" s="76" t="n">
        <v>125000</v>
      </c>
      <c r="K34" s="76" t="n">
        <v>0</v>
      </c>
      <c r="L34" s="76" t="n">
        <v>0</v>
      </c>
      <c r="M34" s="76" t="n">
        <v>150000</v>
      </c>
      <c r="N34" s="76" t="n">
        <v>0</v>
      </c>
      <c r="O34" s="76" t="n">
        <v>0</v>
      </c>
      <c r="P34" s="76" t="n">
        <v>150000</v>
      </c>
      <c r="Q34" s="76" t="n">
        <v>0</v>
      </c>
      <c r="R34" s="76" t="n">
        <v>150000</v>
      </c>
      <c r="S34" s="76" t="n">
        <v>0</v>
      </c>
      <c r="T34" s="76" t="n">
        <v>0</v>
      </c>
      <c r="U34" s="76" t="n">
        <v>125000</v>
      </c>
      <c r="V34" s="76" t="n">
        <v>0</v>
      </c>
      <c r="W34" s="76" t="n">
        <v>0</v>
      </c>
      <c r="X34" s="76" t="n">
        <v>125000</v>
      </c>
      <c r="Y34" s="76" t="n">
        <v>0</v>
      </c>
      <c r="Z34" s="76" t="n">
        <v>0</v>
      </c>
      <c r="AA34" s="76">
        <f>D34-SUM(E34:Z34)</f>
        <v/>
      </c>
      <c r="AB34" s="76">
        <f>+AB33*Summary!$H$54</f>
        <v/>
      </c>
      <c r="AC34" s="76">
        <f>+AC33*Summary!$H$54</f>
        <v/>
      </c>
      <c r="AD34" s="76">
        <f>+AD33*Summary!$H$54</f>
        <v/>
      </c>
      <c r="AE34" s="76">
        <f>+AE33*Summary!$H$54</f>
        <v/>
      </c>
      <c r="AF34" s="76">
        <f>+AF33*Summary!$H$54</f>
        <v/>
      </c>
      <c r="AG34" s="76">
        <f>+AG33*Summary!$H$54</f>
        <v/>
      </c>
      <c r="AH34" s="76">
        <f>+AH33*Summary!$H$54</f>
        <v/>
      </c>
      <c r="AI34" s="76">
        <f>+AI33*Summary!$H$54</f>
        <v/>
      </c>
      <c r="AJ34" s="76">
        <f>+AJ33*Summary!$H$54</f>
        <v/>
      </c>
      <c r="AK34" s="76">
        <f>+AK33*Summary!$H$54</f>
        <v/>
      </c>
      <c r="AL34" s="76">
        <f>+AL33*Summary!$H$54</f>
        <v/>
      </c>
      <c r="AM34" s="76">
        <f>+AM33*Summary!$H$54</f>
        <v/>
      </c>
      <c r="AN34" s="76">
        <f>+AN33*Summary!$H$54</f>
        <v/>
      </c>
      <c r="AO34" s="885">
        <f>SUM(E34:AN34)</f>
        <v/>
      </c>
      <c r="AP34" s="744">
        <f>IF(ROUND(AO34,3)=ROUND(D34,3),"ok", "no")</f>
        <v/>
      </c>
      <c r="AQ34" s="735" t="n"/>
      <c r="AR34" s="735" t="n"/>
      <c r="AS34" s="735" t="n"/>
      <c r="AT34" s="735" t="n"/>
    </row>
    <row r="35">
      <c r="B35" s="323">
        <f>IF(ROUND(D35,4)=ROUND(AO35,4),"","X")</f>
        <v/>
      </c>
      <c r="C35" s="735">
        <f>+Summary!C55</f>
        <v/>
      </c>
      <c r="D35" s="780">
        <f>+Summary!E55</f>
        <v/>
      </c>
      <c r="E35" s="349">
        <f>+D35</f>
        <v/>
      </c>
      <c r="F35" s="349" t="n"/>
      <c r="G35" s="349" t="n"/>
      <c r="H35" s="349" t="n"/>
      <c r="I35" s="349" t="n"/>
      <c r="J35" s="349" t="n"/>
      <c r="K35" s="349" t="n"/>
      <c r="L35" s="349" t="n"/>
      <c r="M35" s="349" t="n"/>
      <c r="N35" s="349" t="n"/>
      <c r="O35" s="349" t="n"/>
      <c r="P35" s="349" t="n"/>
      <c r="Q35" s="349" t="n"/>
      <c r="R35" s="349" t="n"/>
      <c r="S35" s="349" t="n"/>
      <c r="T35" s="349" t="n"/>
      <c r="U35" s="349" t="n"/>
      <c r="V35" s="349" t="n"/>
      <c r="W35" s="349" t="n"/>
      <c r="X35" s="349" t="n"/>
      <c r="Y35" s="349" t="n"/>
      <c r="Z35" s="349" t="n"/>
      <c r="AA35" s="349" t="n"/>
      <c r="AB35" s="349" t="n"/>
      <c r="AC35" s="349" t="n"/>
      <c r="AD35" s="349" t="n"/>
      <c r="AE35" s="349" t="n"/>
      <c r="AF35" s="349" t="n"/>
      <c r="AG35" s="349" t="n"/>
      <c r="AH35" s="349" t="n"/>
      <c r="AI35" s="349" t="n"/>
      <c r="AJ35" s="349" t="n"/>
      <c r="AK35" s="349" t="n"/>
      <c r="AL35" s="349" t="n"/>
      <c r="AM35" s="349" t="n"/>
      <c r="AN35" s="349" t="n"/>
      <c r="AO35" s="885">
        <f>SUM(E35:AN35)</f>
        <v/>
      </c>
      <c r="AP35" s="744">
        <f>IF(ROUND(AO35,3)=ROUND(D35,3),"ok", "no")</f>
        <v/>
      </c>
      <c r="AQ35" s="735" t="n"/>
      <c r="AR35" s="735" t="n"/>
      <c r="AS35" s="735" t="n"/>
      <c r="AT35" s="735" t="n"/>
    </row>
    <row r="36">
      <c r="B36" s="323">
        <f>IF(ROUND(D36,4)=ROUND(AO36,4),"","X")</f>
        <v/>
      </c>
      <c r="C36" s="735">
        <f>+Summary!C56</f>
        <v/>
      </c>
      <c r="D36" s="780">
        <f>+Summary!E56</f>
        <v/>
      </c>
      <c r="E36" s="349">
        <f>+D36</f>
        <v/>
      </c>
      <c r="F36" s="349" t="n"/>
      <c r="G36" s="349" t="n"/>
      <c r="H36" s="349" t="n"/>
      <c r="I36" s="349" t="n"/>
      <c r="J36" s="349" t="n"/>
      <c r="K36" s="349" t="n"/>
      <c r="L36" s="349" t="n"/>
      <c r="M36" s="349" t="n"/>
      <c r="N36" s="349" t="n"/>
      <c r="O36" s="349" t="n"/>
      <c r="P36" s="349" t="n"/>
      <c r="Q36" s="349" t="n"/>
      <c r="R36" s="349" t="n"/>
      <c r="S36" s="349" t="n"/>
      <c r="T36" s="349" t="n"/>
      <c r="U36" s="349" t="n"/>
      <c r="V36" s="349" t="n"/>
      <c r="W36" s="349" t="n"/>
      <c r="X36" s="349" t="n"/>
      <c r="Y36" s="349" t="n"/>
      <c r="Z36" s="349" t="n"/>
      <c r="AA36" s="349" t="n"/>
      <c r="AB36" s="349" t="n"/>
      <c r="AC36" s="349" t="n"/>
      <c r="AD36" s="349" t="n"/>
      <c r="AE36" s="349" t="n"/>
      <c r="AF36" s="349" t="n"/>
      <c r="AG36" s="349" t="n"/>
      <c r="AH36" s="349" t="n"/>
      <c r="AI36" s="349" t="n"/>
      <c r="AJ36" s="349" t="n"/>
      <c r="AK36" s="349" t="n"/>
      <c r="AL36" s="349" t="n"/>
      <c r="AM36" s="349" t="n"/>
      <c r="AN36" s="349" t="n"/>
      <c r="AO36" s="885">
        <f>SUM(E36:AN36)</f>
        <v/>
      </c>
      <c r="AP36" s="744">
        <f>IF(ROUND(AO36,3)=ROUND(D36,3),"ok", "no")</f>
        <v/>
      </c>
      <c r="AQ36" s="735" t="n"/>
      <c r="AR36" s="735" t="n"/>
      <c r="AS36" s="735" t="n"/>
      <c r="AT36" s="735" t="n"/>
    </row>
    <row r="37" ht="16" customHeight="1" thickBot="1">
      <c r="B37" s="323">
        <f>IF(ROUND(D37,4)=ROUND(AO37,4),"","X")</f>
        <v/>
      </c>
      <c r="C37" s="735">
        <f>+Summary!C57</f>
        <v/>
      </c>
      <c r="D37" s="780">
        <f>+Summary!E57</f>
        <v/>
      </c>
      <c r="E37" s="350">
        <f>+D37</f>
        <v/>
      </c>
      <c r="F37" s="350" t="n"/>
      <c r="G37" s="350" t="n"/>
      <c r="H37" s="350" t="n"/>
      <c r="I37" s="350" t="n"/>
      <c r="J37" s="350" t="n"/>
      <c r="K37" s="350" t="n"/>
      <c r="L37" s="350" t="n"/>
      <c r="M37" s="350" t="n"/>
      <c r="N37" s="350" t="n"/>
      <c r="O37" s="350" t="n"/>
      <c r="P37" s="350" t="n"/>
      <c r="Q37" s="350" t="n"/>
      <c r="R37" s="350" t="n"/>
      <c r="S37" s="350" t="n"/>
      <c r="T37" s="350" t="n"/>
      <c r="U37" s="350" t="n"/>
      <c r="V37" s="350" t="n"/>
      <c r="W37" s="350" t="n"/>
      <c r="X37" s="350" t="n"/>
      <c r="Y37" s="350" t="n"/>
      <c r="Z37" s="350" t="n"/>
      <c r="AA37" s="350" t="n"/>
      <c r="AB37" s="350" t="n"/>
      <c r="AC37" s="350" t="n"/>
      <c r="AD37" s="350" t="n"/>
      <c r="AE37" s="350" t="n"/>
      <c r="AF37" s="350" t="n"/>
      <c r="AG37" s="350" t="n"/>
      <c r="AH37" s="350" t="n"/>
      <c r="AI37" s="350" t="n"/>
      <c r="AJ37" s="350" t="n"/>
      <c r="AK37" s="350" t="n"/>
      <c r="AL37" s="350" t="n"/>
      <c r="AM37" s="350" t="n"/>
      <c r="AN37" s="350" t="n"/>
      <c r="AO37" s="887">
        <f>SUM(E37:AN37)</f>
        <v/>
      </c>
      <c r="AP37" s="845">
        <f>IF(ROUND(AO37,3)=ROUND(D37,3),"ok", "no")</f>
        <v/>
      </c>
      <c r="AQ37" s="735" t="inlineStr">
        <is>
          <t>W= winter mo.</t>
        </is>
      </c>
      <c r="AR37" s="735" t="n"/>
      <c r="AS37" s="735" t="n"/>
      <c r="AT37" s="735" t="n"/>
    </row>
    <row r="38">
      <c r="B38" s="323">
        <f>IF(ROUND(D38,4)=ROUND(AO38,4),"","X")</f>
        <v/>
      </c>
      <c r="C38" s="9" t="inlineStr">
        <is>
          <t>TOTAL</t>
        </is>
      </c>
      <c r="D38" s="885">
        <f>SUM(D15:D37)</f>
        <v/>
      </c>
      <c r="E38" s="885">
        <f>SUM(E15:E37)</f>
        <v/>
      </c>
      <c r="F38" s="885">
        <f>SUM(F15:F37)</f>
        <v/>
      </c>
      <c r="G38" s="885">
        <f>SUM(G15:G37)</f>
        <v/>
      </c>
      <c r="H38" s="885">
        <f>SUM(H15:H37)</f>
        <v/>
      </c>
      <c r="I38" s="885">
        <f>SUM(I15:I37)</f>
        <v/>
      </c>
      <c r="J38" s="885">
        <f>SUM(J15:J37)</f>
        <v/>
      </c>
      <c r="K38" s="885">
        <f>SUM(K15:K37)</f>
        <v/>
      </c>
      <c r="L38" s="885">
        <f>SUM(L15:L37)</f>
        <v/>
      </c>
      <c r="M38" s="885">
        <f>SUM(M15:M37)</f>
        <v/>
      </c>
      <c r="N38" s="885">
        <f>SUM(N15:N37)</f>
        <v/>
      </c>
      <c r="O38" s="885">
        <f>SUM(O15:O37)</f>
        <v/>
      </c>
      <c r="P38" s="885">
        <f>SUM(P15:P37)</f>
        <v/>
      </c>
      <c r="Q38" s="885">
        <f>SUM(Q15:Q37)</f>
        <v/>
      </c>
      <c r="R38" s="885">
        <f>SUM(R15:R37)</f>
        <v/>
      </c>
      <c r="S38" s="885">
        <f>SUM(S15:S37)</f>
        <v/>
      </c>
      <c r="T38" s="885">
        <f>SUM(T15:T37)</f>
        <v/>
      </c>
      <c r="U38" s="885">
        <f>SUM(U15:U37)</f>
        <v/>
      </c>
      <c r="V38" s="885">
        <f>SUM(V15:V37)</f>
        <v/>
      </c>
      <c r="W38" s="885">
        <f>SUM(W15:W37)</f>
        <v/>
      </c>
      <c r="X38" s="885">
        <f>SUM(X15:X37)</f>
        <v/>
      </c>
      <c r="Y38" s="885">
        <f>SUM(Y15:Y37)</f>
        <v/>
      </c>
      <c r="Z38" s="885">
        <f>SUM(Z15:Z37)</f>
        <v/>
      </c>
      <c r="AA38" s="885">
        <f>SUM(AA15:AA37)</f>
        <v/>
      </c>
      <c r="AB38" s="885">
        <f>SUM(AB15:AB37)</f>
        <v/>
      </c>
      <c r="AC38" s="885">
        <f>SUM(AC15:AC37)</f>
        <v/>
      </c>
      <c r="AD38" s="885">
        <f>SUM(AD15:AD37)</f>
        <v/>
      </c>
      <c r="AE38" s="885">
        <f>SUM(AE15:AE37)</f>
        <v/>
      </c>
      <c r="AF38" s="885">
        <f>SUM(AF15:AF37)</f>
        <v/>
      </c>
      <c r="AG38" s="885">
        <f>SUM(AG15:AG37)</f>
        <v/>
      </c>
      <c r="AH38" s="885">
        <f>SUM(AH15:AH37)</f>
        <v/>
      </c>
      <c r="AI38" s="885">
        <f>SUM(AI15:AI37)</f>
        <v/>
      </c>
      <c r="AJ38" s="885">
        <f>SUM(AJ15:AJ37)</f>
        <v/>
      </c>
      <c r="AK38" s="885">
        <f>SUM(AK15:AK37)</f>
        <v/>
      </c>
      <c r="AL38" s="885">
        <f>SUM(AL15:AL37)</f>
        <v/>
      </c>
      <c r="AM38" s="885">
        <f>SUM(AM15:AM37)</f>
        <v/>
      </c>
      <c r="AN38" s="885">
        <f>SUM(AN15:AN37)</f>
        <v/>
      </c>
      <c r="AO38" s="885">
        <f>SUM(E38:AN38)</f>
        <v/>
      </c>
      <c r="AP38" s="744">
        <f>IF(ROUND(AO38,3)=ROUND(D38,3),"ok", "no")</f>
        <v/>
      </c>
      <c r="AQ38" s="735" t="n"/>
      <c r="AR38" s="888" t="n"/>
      <c r="AS38" s="889" t="inlineStr">
        <is>
          <t>Month</t>
        </is>
      </c>
      <c r="AT38" s="890" t="inlineStr">
        <is>
          <t>Leases</t>
        </is>
      </c>
    </row>
    <row r="39">
      <c r="B39" s="735" t="n"/>
      <c r="C39" s="735" t="n"/>
      <c r="D39" s="735" t="n"/>
      <c r="E39" s="735" t="n"/>
      <c r="F39" s="735" t="n"/>
      <c r="G39" s="735" t="n"/>
      <c r="H39" s="735" t="n"/>
      <c r="I39" s="735" t="n"/>
      <c r="J39" s="735" t="n"/>
      <c r="K39" s="735" t="n"/>
      <c r="L39" s="735" t="n"/>
      <c r="M39" s="735" t="n"/>
      <c r="N39" s="735" t="n"/>
      <c r="O39" s="735" t="n"/>
      <c r="P39" s="735" t="n"/>
      <c r="Q39" s="735" t="n"/>
      <c r="R39" s="735" t="n"/>
      <c r="S39" s="735" t="n"/>
      <c r="T39" s="735" t="n"/>
      <c r="U39" s="735" t="n"/>
      <c r="V39" s="735" t="n"/>
      <c r="W39" s="735" t="n"/>
      <c r="X39" s="735" t="n"/>
      <c r="Y39" s="735" t="n"/>
      <c r="Z39" s="735" t="n"/>
      <c r="AA39" s="735" t="n"/>
      <c r="AB39" s="735" t="n"/>
      <c r="AC39" s="735" t="n"/>
      <c r="AD39" s="735" t="n"/>
      <c r="AE39" s="735" t="n"/>
      <c r="AF39" s="735" t="n"/>
      <c r="AG39" s="735" t="n"/>
      <c r="AH39" s="735" t="n"/>
      <c r="AI39" s="735" t="n"/>
      <c r="AJ39" s="735" t="n"/>
      <c r="AK39" s="735" t="n"/>
      <c r="AL39" s="735" t="n"/>
      <c r="AM39" s="735" t="n"/>
      <c r="AN39" s="735" t="n"/>
      <c r="AO39" s="735" t="n"/>
      <c r="AP39" s="744" t="n"/>
      <c r="AQ39" s="776" t="inlineStr">
        <is>
          <t>W</t>
        </is>
      </c>
      <c r="AR39" s="891" t="n">
        <v>1</v>
      </c>
      <c r="AS39" s="735" t="inlineStr">
        <is>
          <t>January</t>
        </is>
      </c>
      <c r="AT39" s="892">
        <f>IF(AQ39="w",Summary!$F$14,Summary!$F$13)</f>
        <v/>
      </c>
    </row>
    <row r="40">
      <c r="B40" s="735" t="n"/>
      <c r="C40" s="9" t="inlineStr">
        <is>
          <t>INCOME</t>
        </is>
      </c>
      <c r="D40" s="885" t="n"/>
      <c r="E40" s="735" t="n"/>
      <c r="F40" s="735" t="n"/>
      <c r="G40" s="735" t="n"/>
      <c r="H40" s="735" t="n"/>
      <c r="I40" s="735" t="n"/>
      <c r="J40" s="735" t="n"/>
      <c r="K40" s="735" t="n"/>
      <c r="L40" s="735" t="n"/>
      <c r="M40" s="735" t="n"/>
      <c r="N40" s="735" t="n"/>
      <c r="O40" s="735" t="n"/>
      <c r="P40" s="735" t="n"/>
      <c r="Q40" s="735" t="n"/>
      <c r="R40" s="735" t="n"/>
      <c r="S40" s="735" t="n"/>
      <c r="T40" s="735" t="n"/>
      <c r="U40" s="735" t="n"/>
      <c r="V40" s="735" t="n"/>
      <c r="W40" s="735" t="n"/>
      <c r="X40" s="735" t="n"/>
      <c r="Y40" s="735" t="n"/>
      <c r="Z40" s="735" t="n"/>
      <c r="AA40" s="735" t="n"/>
      <c r="AB40" s="735" t="n"/>
      <c r="AC40" s="735" t="n"/>
      <c r="AD40" s="735" t="n"/>
      <c r="AE40" s="735" t="n"/>
      <c r="AF40" s="735" t="n"/>
      <c r="AG40" s="735" t="n"/>
      <c r="AH40" s="735" t="n"/>
      <c r="AI40" s="735" t="n"/>
      <c r="AJ40" s="735" t="n"/>
      <c r="AK40" s="735" t="n"/>
      <c r="AL40" s="735" t="n"/>
      <c r="AM40" s="735" t="n"/>
      <c r="AN40" s="735" t="n"/>
      <c r="AO40" s="735" t="n"/>
      <c r="AP40" s="744" t="n"/>
      <c r="AQ40" s="776" t="inlineStr">
        <is>
          <t>W</t>
        </is>
      </c>
      <c r="AR40" s="891" t="n">
        <v>2</v>
      </c>
      <c r="AS40" s="735" t="inlineStr">
        <is>
          <t>February</t>
        </is>
      </c>
      <c r="AT40" s="892">
        <f>IF(AQ40="w",Summary!$F$14,Summary!$F$13)</f>
        <v/>
      </c>
    </row>
    <row r="41">
      <c r="B41" s="735" t="n"/>
      <c r="C41" s="859" t="inlineStr">
        <is>
          <t>UNITS DELIVERED PER MONTH</t>
        </is>
      </c>
      <c r="D41" s="77" t="n"/>
      <c r="E41" s="77" t="n"/>
      <c r="F41" s="77">
        <f>IF(E42&gt;1,MIN(Summary!$F$12,Total_Number_Units-E42),IF(F$11&gt;=Summary!$D$14,Summary!$F$12,0))</f>
        <v/>
      </c>
      <c r="G41" s="77">
        <f>IF(F42&gt;1,MIN(Summary!$F$12,Total_Number_Units-F42),IF(G$11&gt;=Summary!$D$14,Summary!$F$12,0))</f>
        <v/>
      </c>
      <c r="H41" s="77">
        <f>IF(G42&gt;1,MIN(Summary!$F$12,Total_Number_Units-G42),IF(H$11&gt;=Summary!$D$14,Summary!$F$12,0))</f>
        <v/>
      </c>
      <c r="I41" s="77">
        <f>IF(H42&gt;1,MIN(Summary!$F$12,Total_Number_Units-H42),IF(I$11&gt;=Summary!$D$14,Summary!$F$12,0))</f>
        <v/>
      </c>
      <c r="J41" s="77">
        <f>IF(I42&gt;1,MIN(Summary!$F$12,Total_Number_Units-I42),IF(J$11&gt;=Summary!$D$14,Summary!$F$12,0))</f>
        <v/>
      </c>
      <c r="K41" s="77">
        <f>IF(J42&gt;1,MIN(Summary!$F$12,Total_Number_Units-J42),IF(K$11&gt;=Summary!$D$14,Summary!$F$12,0))</f>
        <v/>
      </c>
      <c r="L41" s="77">
        <f>IF(K42&gt;1,MIN(Summary!$F$12,Total_Number_Units-K42),IF(L$11&gt;=Summary!$D$14,Summary!$F$12,0))</f>
        <v/>
      </c>
      <c r="M41" s="77">
        <f>IF(L42&gt;1,MIN(Summary!$F$12,Total_Number_Units-L42),IF(M$11&gt;=Summary!$D$14,Summary!$F$12,0))</f>
        <v/>
      </c>
      <c r="N41" s="77">
        <f>IF(M42&gt;1,MIN(Summary!$F$12,Total_Number_Units-M42),IF(N$11&gt;=Summary!$D$14,Summary!$F$12,0))</f>
        <v/>
      </c>
      <c r="O41" s="77">
        <f>IF(N42&gt;1,MIN(Summary!$F$12,Total_Number_Units-N42),IF(O$11&gt;=Summary!$D$14,Summary!$F$12,0))</f>
        <v/>
      </c>
      <c r="P41" s="77">
        <f>IF(O42&gt;1,MIN(Summary!$F$12,Total_Number_Units-O42),IF(P$11&gt;=Summary!$D$14,Summary!$F$12,0))</f>
        <v/>
      </c>
      <c r="Q41" s="77">
        <f>IF(P42&gt;1,MIN(Summary!$F$12,Total_Number_Units-P42),IF(Q$11&gt;=Summary!$D$14,Summary!$F$12,0))</f>
        <v/>
      </c>
      <c r="R41" s="77">
        <f>IF(Q42&gt;1,MIN(Summary!$F$12,Total_Number_Units-Q42),IF(R$11&gt;=Summary!$D$14,Summary!$F$12,0))</f>
        <v/>
      </c>
      <c r="S41" s="77">
        <f>IF(R42&gt;1,MIN(Summary!$F$12,Total_Number_Units-R42),IF(S$11&gt;=Summary!$D$14,Summary!$F$12,0))</f>
        <v/>
      </c>
      <c r="T41" s="77">
        <f>IF(S42&gt;1,MIN(Summary!$F$12,Total_Number_Units-S42),IF(T$11&gt;=Summary!$D$14,Summary!$F$12,0))</f>
        <v/>
      </c>
      <c r="U41" s="77">
        <f>IF(T42&gt;1,MIN(Summary!$F$12,Total_Number_Units-T42),IF(U$11&gt;=Summary!$D$14,Summary!$F$12,0))</f>
        <v/>
      </c>
      <c r="V41" s="77">
        <f>IF(U42&gt;1,MIN(Summary!$F$12,Total_Number_Units-U42),IF(V$11&gt;=Summary!$D$14,Summary!$F$12,0))</f>
        <v/>
      </c>
      <c r="W41" s="77">
        <f>IF(V42&gt;1,MIN(Summary!$F$12,Total_Number_Units-V42),IF(W$11&gt;=Summary!$D$14,Summary!$F$12,0))</f>
        <v/>
      </c>
      <c r="X41" s="77">
        <f>IF(W42&gt;1,MIN(Summary!$F$12,Total_Number_Units-W42),IF(X$11&gt;=Summary!$D$14,Summary!$F$12,0))</f>
        <v/>
      </c>
      <c r="Y41" s="77">
        <f>IF(X42&gt;1,MIN(Summary!$F$12,Total_Number_Units-X42),IF(Y$11&gt;=Summary!$D$14,Summary!$F$12,0))</f>
        <v/>
      </c>
      <c r="Z41" s="77">
        <f>IF(Y42&gt;1,MIN(Summary!$F$12,Total_Number_Units-Y42),IF(Z$11&gt;=Summary!$D$14,Summary!$F$12,0))</f>
        <v/>
      </c>
      <c r="AA41" s="77">
        <f>IF(Z42&gt;1,MIN(Summary!$F$12,Total_Number_Units-Z42),IF(AA$11&gt;=Summary!$D$14,Summary!$F$12,0))</f>
        <v/>
      </c>
      <c r="AB41" s="77">
        <f>IF(AA42&gt;1,MIN(Summary!$F$12,Total_Number_Units-AA42),IF(AB$11&gt;=Summary!$D$14,Summary!$F$12,0))</f>
        <v/>
      </c>
      <c r="AC41" s="77">
        <f>IF(AB42&gt;1,MIN(Summary!$F$12,Total_Number_Units-AB42),IF(AC$11&gt;=Summary!$D$14,Summary!$F$12,0))</f>
        <v/>
      </c>
      <c r="AD41" s="77">
        <f>IF(AC42&gt;1,MIN(Summary!$F$12,Total_Number_Units-AC42),IF(AD$11&gt;=Summary!$D$14,Summary!$F$12,0))</f>
        <v/>
      </c>
      <c r="AE41" s="77">
        <f>IF(AD42&gt;1,MIN(Summary!$F$12,Total_Number_Units-AD42),IF(AE$11&gt;=Summary!$D$14,Summary!$F$12,0))</f>
        <v/>
      </c>
      <c r="AF41" s="77">
        <f>IF(AE42&gt;1,MIN(Summary!$F$12,Total_Number_Units-AE42),IF(AF$11&gt;=Summary!$D$14,Summary!$F$12,0))</f>
        <v/>
      </c>
      <c r="AG41" s="77">
        <f>IF(AF42&gt;1,MIN(Summary!$F$12,Total_Number_Units-AF42),IF(AG$11&gt;=Summary!$D$14,Summary!$F$12,0))</f>
        <v/>
      </c>
      <c r="AH41" s="77">
        <f>IF(AG42&gt;1,MIN(Summary!$F$12,Total_Number_Units-AG42),IF(AH$11&gt;=Summary!$D$14,Summary!$F$12,0))</f>
        <v/>
      </c>
      <c r="AI41" s="77">
        <f>IF(AH42&gt;1,MIN(Summary!$F$12,Total_Number_Units-AH42),IF(AI$11&gt;=Summary!$D$14,Summary!$F$12,0))</f>
        <v/>
      </c>
      <c r="AJ41" s="77">
        <f>IF(AI42&gt;1,MIN(Summary!$F$12,Total_Number_Units-AI42),IF(AJ$11&gt;=Summary!$D$14,Summary!$F$12,0))</f>
        <v/>
      </c>
      <c r="AK41" s="77">
        <f>IF(AJ42&gt;1,MIN(Summary!$F$12,Total_Number_Units-AJ42),IF(AK$11&gt;=Summary!$D$14,Summary!$F$12,0))</f>
        <v/>
      </c>
      <c r="AL41" s="77">
        <f>IF(AK42&gt;1,MIN(Summary!$F$12,Total_Number_Units-AK42),IF(AL$11&gt;=Summary!$D$14,Summary!$F$12,0))</f>
        <v/>
      </c>
      <c r="AM41" s="77">
        <f>IF(AL42&gt;1,MIN(Summary!$F$12,Total_Number_Units-AL42),IF(AM$11&gt;=Summary!$D$14,Summary!$F$12,0))</f>
        <v/>
      </c>
      <c r="AN41" s="77">
        <f>IF(AM42&gt;1,MIN(Summary!$F$12,Total_Number_Units-AM42),IF(AN$11&gt;=Summary!$D$14,Summary!$F$12,0))</f>
        <v/>
      </c>
      <c r="AO41" s="735" t="n"/>
      <c r="AP41" s="744" t="n"/>
      <c r="AQ41" s="776" t="n"/>
      <c r="AR41" s="891" t="n">
        <v>3</v>
      </c>
      <c r="AS41" s="735" t="inlineStr">
        <is>
          <t>March</t>
        </is>
      </c>
      <c r="AT41" s="892">
        <f>IF(AQ41="w",Summary!$F$14,Summary!$F$13)</f>
        <v/>
      </c>
    </row>
    <row r="42">
      <c r="B42" s="735" t="n"/>
      <c r="C42" s="847" t="inlineStr">
        <is>
          <t>CUMULATIVE</t>
        </is>
      </c>
      <c r="D42" s="893" t="n"/>
      <c r="E42" s="893" t="n"/>
      <c r="F42" s="893" t="n"/>
      <c r="G42" s="716" t="n">
        <v>0</v>
      </c>
      <c r="H42" s="716" t="n">
        <v>0</v>
      </c>
      <c r="I42" s="716" t="n">
        <v>0</v>
      </c>
      <c r="J42" s="716" t="n">
        <v>0</v>
      </c>
      <c r="K42" s="716" t="n">
        <v>0</v>
      </c>
      <c r="L42" s="716" t="n">
        <v>0</v>
      </c>
      <c r="M42" s="716" t="n">
        <v>0</v>
      </c>
      <c r="N42" s="716" t="n">
        <v>0</v>
      </c>
      <c r="O42" s="716" t="n">
        <v>0</v>
      </c>
      <c r="P42" s="716" t="n">
        <v>0</v>
      </c>
      <c r="Q42" s="716">
        <f>Q41</f>
        <v/>
      </c>
      <c r="R42" s="717">
        <f>SUM($F$41:R41)</f>
        <v/>
      </c>
      <c r="S42" s="717">
        <f>SUM($F$41:S41)</f>
        <v/>
      </c>
      <c r="T42" s="717">
        <f>SUM($F$41:T41)</f>
        <v/>
      </c>
      <c r="U42" s="717">
        <f>SUM($F$41:U41)</f>
        <v/>
      </c>
      <c r="V42" s="717">
        <f>SUM($F$41:V41)</f>
        <v/>
      </c>
      <c r="W42" s="717">
        <f>SUM($F$41:W41)</f>
        <v/>
      </c>
      <c r="X42" s="717">
        <f>SUM($F$41:X41)</f>
        <v/>
      </c>
      <c r="Y42" s="717">
        <f>SUM($F$41:Y41)</f>
        <v/>
      </c>
      <c r="Z42" s="717">
        <f>SUM($F$41:Z41)</f>
        <v/>
      </c>
      <c r="AA42" s="717">
        <f>SUM($F$41:AA41)</f>
        <v/>
      </c>
      <c r="AB42" s="717">
        <f>SUM($F$41:AB41)</f>
        <v/>
      </c>
      <c r="AC42" s="717">
        <f>SUM($F$41:AC41)</f>
        <v/>
      </c>
      <c r="AD42" s="717">
        <f>SUM($F$41:AD41)</f>
        <v/>
      </c>
      <c r="AE42" s="717">
        <f>SUM($F$41:AE41)</f>
        <v/>
      </c>
      <c r="AF42" s="717">
        <f>SUM($F$41:AF41)</f>
        <v/>
      </c>
      <c r="AG42" s="717">
        <f>SUM($F$41:AG41)</f>
        <v/>
      </c>
      <c r="AH42" s="717">
        <f>SUM($F$41:AH41)</f>
        <v/>
      </c>
      <c r="AI42" s="717">
        <f>SUM($F$41:AI41)</f>
        <v/>
      </c>
      <c r="AJ42" s="717">
        <f>SUM($F$41:AJ41)</f>
        <v/>
      </c>
      <c r="AK42" s="717">
        <f>SUM($F$41:AK41)</f>
        <v/>
      </c>
      <c r="AL42" s="717">
        <f>SUM($F$41:AL41)</f>
        <v/>
      </c>
      <c r="AM42" s="717">
        <f>SUM($F$41:AM41)</f>
        <v/>
      </c>
      <c r="AN42" s="717">
        <f>SUM($F$41:AN41)</f>
        <v/>
      </c>
      <c r="AO42" s="735" t="n"/>
      <c r="AP42" s="744" t="inlineStr">
        <is>
          <t>Occup</t>
        </is>
      </c>
      <c r="AQ42" s="776" t="n"/>
      <c r="AR42" s="891" t="n">
        <v>4</v>
      </c>
      <c r="AS42" s="735" t="inlineStr">
        <is>
          <t>April</t>
        </is>
      </c>
      <c r="AT42" s="892">
        <f>IF(AQ42="w",Summary!$F$14,Summary!$F$13)</f>
        <v/>
      </c>
    </row>
    <row r="43">
      <c r="B43" s="735" t="n"/>
      <c r="C43" s="735" t="inlineStr">
        <is>
          <t>UNITS OCCUPIED PER MONTH</t>
        </is>
      </c>
      <c r="D43" s="780" t="n"/>
      <c r="E43" s="780" t="n"/>
      <c r="F43" s="77">
        <f>IF(E44&gt;1,MIN(VLOOKUP(MONTH(F13),$AR$39:$AT$50,3),(ROUNDUP(Total_Number_Units,0)*Summary!$F$16)-E44),IF(F$11&gt;=Summary!$D$14,VLOOKUP(MONTH(F13),$AR$39:$AT$50,3),0))</f>
        <v/>
      </c>
      <c r="G43" s="77">
        <f>IF(F44&gt;1,MIN(VLOOKUP(MONTH(G13),$AR$39:$AT$50,3),(ROUNDUP(Total_Number_Units,0)*Summary!$F$16)-F44),IF(G$11&gt;=Summary!$D$14,VLOOKUP(MONTH(G13),$AR$39:$AT$50,3),0))</f>
        <v/>
      </c>
      <c r="H43" s="77">
        <f>IF(G44&gt;1,MIN(VLOOKUP(MONTH(H13),$AR$39:$AT$50,3),(ROUNDUP(Total_Number_Units,0)*Summary!$F$16)-G44),IF(H$11&gt;=Summary!$D$14,VLOOKUP(MONTH(H13),$AR$39:$AT$50,3),0))</f>
        <v/>
      </c>
      <c r="I43" s="77">
        <f>IF(H44&gt;1,MIN(VLOOKUP(MONTH(I13),$AR$39:$AT$50,3),(ROUNDUP(Total_Number_Units,0)*Summary!$F$16)-H44),IF(I$11&gt;=Summary!$D$14,VLOOKUP(MONTH(I13),$AR$39:$AT$50,3),0))</f>
        <v/>
      </c>
      <c r="J43" s="77">
        <f>IF(I44&gt;1,MIN(VLOOKUP(MONTH(J13),$AR$39:$AT$50,3),(ROUNDUP(Total_Number_Units,0)*Summary!$F$16)-I44),IF(J$11&gt;=Summary!$D$14,VLOOKUP(MONTH(J13),$AR$39:$AT$50,3),0))</f>
        <v/>
      </c>
      <c r="K43" s="77">
        <f>IF(J44&gt;1,MIN(VLOOKUP(MONTH(K13),$AR$39:$AT$50,3),(ROUNDUP(Total_Number_Units,0)*Summary!$F$16)-J44),IF(K$11&gt;=Summary!$D$14,VLOOKUP(MONTH(K13),$AR$39:$AT$50,3),0))</f>
        <v/>
      </c>
      <c r="L43" s="77">
        <f>IF(K44&gt;1,MIN(VLOOKUP(MONTH(L13),$AR$39:$AT$50,3),(ROUNDUP(Total_Number_Units,0)*Summary!$F$16)-K44),IF(L$11&gt;=Summary!$D$14,VLOOKUP(MONTH(L13),$AR$39:$AT$50,3),0))</f>
        <v/>
      </c>
      <c r="M43" s="77">
        <f>IF(L44&gt;1,MIN(VLOOKUP(MONTH(M13),$AR$39:$AT$50,3),(ROUNDUP(Total_Number_Units,0)*Summary!$F$16)-L44),IF(M$11&gt;=Summary!$D$14,VLOOKUP(MONTH(M13),$AR$39:$AT$50,3),0))</f>
        <v/>
      </c>
      <c r="N43" s="77">
        <f>IF(M44&gt;1,MIN(VLOOKUP(MONTH(N13),$AR$39:$AT$50,3),(ROUNDUP(Total_Number_Units,0)*Summary!$F$16)-M44),IF(N$11&gt;=Summary!$D$14,VLOOKUP(MONTH(N13),$AR$39:$AT$50,3),0))</f>
        <v/>
      </c>
      <c r="O43" s="77">
        <f>IF(N44&gt;1,MIN(VLOOKUP(MONTH(O13),$AR$39:$AT$50,3),(ROUNDUP(Total_Number_Units,0)*Summary!$F$16)-N44),IF(O$11&gt;=Summary!$D$14,VLOOKUP(MONTH(O13),$AR$39:$AT$50,3),0))</f>
        <v/>
      </c>
      <c r="P43" s="77">
        <f>IF(O44&gt;1,MIN(VLOOKUP(MONTH(P13),$AR$39:$AT$50,3),(ROUNDUP(Total_Number_Units,0)*Summary!$F$16)-O44),IF(P$11&gt;=Summary!$D$14,VLOOKUP(MONTH(P13),$AR$39:$AT$50,3),0))</f>
        <v/>
      </c>
      <c r="Q43" s="77">
        <f>IF(P44&gt;1,MIN(VLOOKUP(MONTH(Q13),$AR$39:$AT$50,3),(ROUNDUP(Total_Number_Units,0)*Summary!$F$16)-P44),IF(Q$11&gt;=Summary!$D$14,VLOOKUP(MONTH(Q13),$AR$39:$AT$50,3),0))</f>
        <v/>
      </c>
      <c r="R43" s="77">
        <f>IF(Q44&gt;1,MIN(VLOOKUP(MONTH(R13),$AR$39:$AT$50,3),(ROUNDUP(Total_Number_Units,0)*Summary!$F$16)-Q44),IF(R$11&gt;=Summary!$D$14,VLOOKUP(MONTH(R13),$AR$39:$AT$50,3),0))</f>
        <v/>
      </c>
      <c r="S43" s="77">
        <f>IF(R44&gt;1,MIN(VLOOKUP(MONTH(S13),$AR$39:$AT$50,3),(ROUNDUP(Total_Number_Units,0)*Summary!$F$16)-R44),IF(S$11&gt;=Summary!$D$14,VLOOKUP(MONTH(S13),$AR$39:$AT$50,3),0))</f>
        <v/>
      </c>
      <c r="T43" s="77">
        <f>IF(S44&gt;1,MIN(VLOOKUP(MONTH(T13),$AR$39:$AT$50,3),(ROUNDUP(Total_Number_Units,0)*Summary!$F$16)-S44),IF(T$11&gt;=Summary!$D$14,VLOOKUP(MONTH(T13),$AR$39:$AT$50,3),0))</f>
        <v/>
      </c>
      <c r="U43" s="77">
        <f>IF(T44&gt;1,MIN(VLOOKUP(MONTH(U13),$AR$39:$AT$50,3),(ROUNDUP(Total_Number_Units,0)*Summary!$F$16)-T44),IF(U$11&gt;=Summary!$D$14,VLOOKUP(MONTH(U13),$AR$39:$AT$50,3),0))</f>
        <v/>
      </c>
      <c r="V43" s="77">
        <f>IF(U44&gt;1,MIN(VLOOKUP(MONTH(V13),$AR$39:$AT$50,3),(ROUNDUP(Total_Number_Units,0)*Summary!$F$16)-U44),IF(V$11&gt;=Summary!$D$14,VLOOKUP(MONTH(V13),$AR$39:$AT$50,3),0))</f>
        <v/>
      </c>
      <c r="W43" s="77">
        <f>IF(V44&gt;1,MIN(VLOOKUP(MONTH(W13),$AR$39:$AT$50,3),(ROUNDUP(Total_Number_Units,0)*Summary!$F$16)-V44),IF(W$11&gt;=Summary!$D$14,VLOOKUP(MONTH(W13),$AR$39:$AT$50,3),0))</f>
        <v/>
      </c>
      <c r="X43" s="77">
        <f>IF(W44&gt;1,MIN(VLOOKUP(MONTH(X13),$AR$39:$AT$50,3),(ROUNDUP(Total_Number_Units,0)*Summary!$F$16)-W44),IF(X$11&gt;=Summary!$D$14,VLOOKUP(MONTH(X13),$AR$39:$AT$50,3),0))</f>
        <v/>
      </c>
      <c r="Y43" s="77">
        <f>IF(X44&gt;1,MIN(VLOOKUP(MONTH(Y13),$AR$39:$AT$50,3),(ROUNDUP(Total_Number_Units,0)*Summary!$F$16)-X44),IF(Y$11&gt;=Summary!$D$14,VLOOKUP(MONTH(Y13),$AR$39:$AT$50,3),0))</f>
        <v/>
      </c>
      <c r="Z43" s="77">
        <f>IF(Y44&gt;1,MIN(VLOOKUP(MONTH(Z13),$AR$39:$AT$50,3),(ROUNDUP(Total_Number_Units,0)*Summary!$F$16)-Y44),IF(Z$11&gt;=Summary!$D$14,VLOOKUP(MONTH(Z13),$AR$39:$AT$50,3),0))</f>
        <v/>
      </c>
      <c r="AA43" s="77">
        <f>IF(Z44&gt;1,MIN(VLOOKUP(MONTH(AA13),$AR$39:$AT$50,3),(ROUNDUP(Total_Number_Units,0)*Summary!$F$16)-Z44),IF(AA$11&gt;=Summary!$D$14,VLOOKUP(MONTH(AA13),$AR$39:$AT$50,3),0))</f>
        <v/>
      </c>
      <c r="AB43" s="77">
        <f>IF(AA44&gt;1,MIN(VLOOKUP(MONTH(AB13),$AR$39:$AT$50,3),(ROUNDUP(Total_Number_Units,0)*Summary!$F$16)-AA44),IF(AB$11&gt;=Summary!$D$14,VLOOKUP(MONTH(AB13),$AR$39:$AT$50,3),0))</f>
        <v/>
      </c>
      <c r="AC43" s="77">
        <f>IF(AB44&gt;1,MIN(VLOOKUP(MONTH(AC13),$AR$39:$AT$50,3),(ROUNDUP(Total_Number_Units,0)*Summary!$F$16)-AB44),IF(AC$11&gt;=Summary!$D$14,VLOOKUP(MONTH(AC13),$AR$39:$AT$50,3),0))</f>
        <v/>
      </c>
      <c r="AD43" s="77">
        <f>IF(AC44&gt;1,MIN(VLOOKUP(MONTH(AD13),$AR$39:$AT$50,3),(ROUNDUP(Total_Number_Units,0)*Summary!$F$16)-AC44),IF(AD$11&gt;=Summary!$D$14,VLOOKUP(MONTH(AD13),$AR$39:$AT$50,3),0))</f>
        <v/>
      </c>
      <c r="AE43" s="77">
        <f>IF(AD44&gt;1,MIN(VLOOKUP(MONTH(AE13),$AR$39:$AT$50,3),(ROUNDUP(Total_Number_Units,0)*Summary!$F$16)-AD44),IF(AE$11&gt;=Summary!$D$14,VLOOKUP(MONTH(AE13),$AR$39:$AT$50,3),0))</f>
        <v/>
      </c>
      <c r="AF43" s="77">
        <f>IF(AE44&gt;1,MIN(VLOOKUP(MONTH(AF13),$AR$39:$AT$50,3),(ROUNDUP(Total_Number_Units,0)*Summary!$F$16)-AE44),IF(AF$11&gt;=Summary!$D$14,VLOOKUP(MONTH(AF13),$AR$39:$AT$50,3),0))</f>
        <v/>
      </c>
      <c r="AG43" s="77">
        <f>IF(AF44&gt;1,MIN(VLOOKUP(MONTH(AG13),$AR$39:$AT$50,3),(ROUNDUP(Total_Number_Units,0)*Summary!$F$16)-AF44),IF(AG$11&gt;=Summary!$D$14,VLOOKUP(MONTH(AG13),$AR$39:$AT$50,3),0))</f>
        <v/>
      </c>
      <c r="AH43" s="77">
        <f>IF(AG44&gt;1,MIN(VLOOKUP(MONTH(AH13),$AR$39:$AT$50,3),(ROUNDUP(Total_Number_Units,0)*Summary!$F$16)-AG44),IF(AH$11&gt;=Summary!$D$14,VLOOKUP(MONTH(AH13),$AR$39:$AT$50,3),0))</f>
        <v/>
      </c>
      <c r="AI43" s="77">
        <f>IF(AH44&gt;1,MIN(VLOOKUP(MONTH(AI13),$AR$39:$AT$50,3),(ROUNDUP(Total_Number_Units,0)*Summary!$F$16)-AH44),IF(AI$11&gt;=Summary!$D$14,VLOOKUP(MONTH(AI13),$AR$39:$AT$50,3),0))</f>
        <v/>
      </c>
      <c r="AJ43" s="77">
        <f>IF(AI44&gt;1,MIN(VLOOKUP(MONTH(AJ13),$AR$39:$AT$50,3),(ROUNDUP(Total_Number_Units,0)*Summary!$F$16)-AI44),IF(AJ$11&gt;=Summary!$D$14,VLOOKUP(MONTH(AJ13),$AR$39:$AT$50,3),0))</f>
        <v/>
      </c>
      <c r="AK43" s="77">
        <f>IF(AJ44&gt;1,MIN(VLOOKUP(MONTH(AK13),$AR$39:$AT$50,3),(ROUNDUP(Total_Number_Units,0)*Summary!$F$16)-AJ44),IF(AK$11&gt;=Summary!$D$14,VLOOKUP(MONTH(AK13),$AR$39:$AT$50,3),0))</f>
        <v/>
      </c>
      <c r="AL43" s="77">
        <f>IF(AK44&gt;1,MIN(VLOOKUP(MONTH(AL13),$AR$39:$AT$50,3),(ROUNDUP(Total_Number_Units,0)*Summary!$F$16)-AK44),IF(AL$11&gt;=Summary!$D$14,VLOOKUP(MONTH(AL13),$AR$39:$AT$50,3),0))</f>
        <v/>
      </c>
      <c r="AM43" s="77">
        <f>IF(AL44&gt;1,MIN(VLOOKUP(MONTH(AM13),$AR$39:$AT$50,3),(ROUNDUP(Total_Number_Units,0)*Summary!$F$16)-AL44),IF(AM$11&gt;=Summary!$D$14,VLOOKUP(MONTH(AM13),$AR$39:$AT$50,3),0))</f>
        <v/>
      </c>
      <c r="AN43" s="77">
        <f>IF(AM44&gt;1,MIN(VLOOKUP(MONTH(AN13),$AR$39:$AT$50,3),(ROUNDUP(Total_Number_Units,0)*Summary!$F$16)-AM44),IF(AN$11&gt;=Summary!$D$14,VLOOKUP(MONTH(AN13),$AR$39:$AT$50,3),0))</f>
        <v/>
      </c>
      <c r="AO43" s="735" t="n"/>
      <c r="AP43" s="1270">
        <f>+AN44/AN42</f>
        <v/>
      </c>
      <c r="AQ43" s="776" t="n"/>
      <c r="AR43" s="891" t="n">
        <v>5</v>
      </c>
      <c r="AS43" s="735" t="inlineStr">
        <is>
          <t>May</t>
        </is>
      </c>
      <c r="AT43" s="892">
        <f>IF(AQ43="w",Summary!$F$14,Summary!$F$13)</f>
        <v/>
      </c>
    </row>
    <row r="44">
      <c r="B44" s="735" t="n"/>
      <c r="C44" s="847" t="inlineStr">
        <is>
          <t>CUMULATIVE</t>
        </is>
      </c>
      <c r="D44" s="893" t="n"/>
      <c r="E44" s="893" t="n"/>
      <c r="F44" s="717">
        <f>SUM($F$43:F43)</f>
        <v/>
      </c>
      <c r="G44" s="717">
        <f>SUM($F$43:G43)</f>
        <v/>
      </c>
      <c r="H44" s="717">
        <f>SUM($F$43:H43)</f>
        <v/>
      </c>
      <c r="I44" s="717">
        <f>SUM($F$43:I43)</f>
        <v/>
      </c>
      <c r="J44" s="717">
        <f>SUM($F$43:J43)</f>
        <v/>
      </c>
      <c r="K44" s="717">
        <f>SUM($F$43:K43)</f>
        <v/>
      </c>
      <c r="L44" s="717">
        <f>SUM($F$43:L43)</f>
        <v/>
      </c>
      <c r="M44" s="717">
        <f>SUM($F$43:M43)</f>
        <v/>
      </c>
      <c r="N44" s="717">
        <f>SUM($F$43:N43)</f>
        <v/>
      </c>
      <c r="O44" s="717">
        <f>SUM($F$43:O43)</f>
        <v/>
      </c>
      <c r="P44" s="717">
        <f>SUM($F$43:P43)</f>
        <v/>
      </c>
      <c r="Q44" s="717">
        <f>SUM($F$43:Q43)</f>
        <v/>
      </c>
      <c r="R44" s="717">
        <f>SUM($F$43:R43)</f>
        <v/>
      </c>
      <c r="S44" s="717">
        <f>SUM($F$43:S43)</f>
        <v/>
      </c>
      <c r="T44" s="717">
        <f>SUM($F$43:T43)</f>
        <v/>
      </c>
      <c r="U44" s="717">
        <f>SUM($F$43:U43)</f>
        <v/>
      </c>
      <c r="V44" s="717">
        <f>SUM($F$43:V43)</f>
        <v/>
      </c>
      <c r="W44" s="717">
        <f>SUM($F$43:W43)</f>
        <v/>
      </c>
      <c r="X44" s="717">
        <f>SUM($F$43:X43)</f>
        <v/>
      </c>
      <c r="Y44" s="717">
        <f>SUM($F$43:Y43)</f>
        <v/>
      </c>
      <c r="Z44" s="717">
        <f>SUM($F$43:Z43)</f>
        <v/>
      </c>
      <c r="AA44" s="717">
        <f>SUM($F$43:AA43)</f>
        <v/>
      </c>
      <c r="AB44" s="717">
        <f>SUM($F$43:AB43)</f>
        <v/>
      </c>
      <c r="AC44" s="717">
        <f>SUM($F$43:AC43)</f>
        <v/>
      </c>
      <c r="AD44" s="717">
        <f>SUM($F$43:AD43)</f>
        <v/>
      </c>
      <c r="AE44" s="717">
        <f>SUM($F$43:AE43)</f>
        <v/>
      </c>
      <c r="AF44" s="717">
        <f>SUM($F$43:AF43)</f>
        <v/>
      </c>
      <c r="AG44" s="717">
        <f>SUM($F$43:AG43)</f>
        <v/>
      </c>
      <c r="AH44" s="717">
        <f>SUM($F$43:AH43)</f>
        <v/>
      </c>
      <c r="AI44" s="717">
        <f>SUM($F$43:AI43)</f>
        <v/>
      </c>
      <c r="AJ44" s="717">
        <f>SUM($F$43:AJ43)</f>
        <v/>
      </c>
      <c r="AK44" s="717">
        <f>SUM($F$43:AK43)</f>
        <v/>
      </c>
      <c r="AL44" s="717">
        <f>SUM($F$43:AL43)</f>
        <v/>
      </c>
      <c r="AM44" s="717">
        <f>SUM($F$43:AM43)</f>
        <v/>
      </c>
      <c r="AN44" s="717">
        <f>SUM($F$43:AN43)</f>
        <v/>
      </c>
      <c r="AO44" s="735" t="n"/>
      <c r="AP44" s="744" t="n"/>
      <c r="AQ44" s="776" t="n"/>
      <c r="AR44" s="891" t="n">
        <v>6</v>
      </c>
      <c r="AS44" s="735" t="inlineStr">
        <is>
          <t>June</t>
        </is>
      </c>
      <c r="AT44" s="892">
        <f>IF(AQ44="w",Summary!$F$14,Summary!$F$13)</f>
        <v/>
      </c>
    </row>
    <row r="45">
      <c r="B45" s="735" t="n"/>
      <c r="C45" s="735" t="inlineStr">
        <is>
          <t>CONCESSIONS PER MONTH</t>
        </is>
      </c>
      <c r="D45" s="780" t="n"/>
      <c r="E45" s="780" t="n"/>
      <c r="F45" s="780" t="n"/>
      <c r="G45" s="75" t="n">
        <v>0</v>
      </c>
      <c r="H45" s="75" t="n">
        <v>0</v>
      </c>
      <c r="I45" s="75" t="n">
        <v>0</v>
      </c>
      <c r="J45" s="75" t="n">
        <v>0</v>
      </c>
      <c r="K45" s="75" t="n">
        <v>0</v>
      </c>
      <c r="L45" s="75" t="n">
        <v>0</v>
      </c>
      <c r="M45" s="75" t="n">
        <v>0</v>
      </c>
      <c r="N45" s="75" t="n">
        <v>0</v>
      </c>
      <c r="O45" s="75" t="n">
        <v>0</v>
      </c>
      <c r="P45" s="75" t="n">
        <v>0</v>
      </c>
      <c r="Q45" s="75" t="n">
        <v>0</v>
      </c>
      <c r="R45" s="75" t="n">
        <v>0</v>
      </c>
      <c r="S45" s="75" t="n">
        <v>0</v>
      </c>
      <c r="T45" s="75" t="n">
        <v>0</v>
      </c>
      <c r="U45" s="75" t="n">
        <v>0</v>
      </c>
      <c r="V45" s="75" t="n">
        <v>0</v>
      </c>
      <c r="W45" s="75" t="n">
        <v>0</v>
      </c>
      <c r="X45" s="75" t="n">
        <v>0</v>
      </c>
      <c r="Y45" s="75" t="n">
        <v>0</v>
      </c>
      <c r="Z45" s="75" t="n">
        <v>0</v>
      </c>
      <c r="AA45" s="75" t="n">
        <v>0</v>
      </c>
      <c r="AB45" s="75" t="n">
        <v>0</v>
      </c>
      <c r="AC45" s="75" t="n">
        <v>0</v>
      </c>
      <c r="AD45" s="75" t="n">
        <v>0</v>
      </c>
      <c r="AE45" s="75" t="n">
        <v>0</v>
      </c>
      <c r="AF45" s="75" t="n">
        <v>0</v>
      </c>
      <c r="AG45" s="75" t="n">
        <v>0</v>
      </c>
      <c r="AH45" s="75" t="n">
        <v>0</v>
      </c>
      <c r="AI45" s="75" t="n">
        <v>0</v>
      </c>
      <c r="AJ45" s="75" t="n">
        <v>0</v>
      </c>
      <c r="AK45" s="75" t="n">
        <v>0</v>
      </c>
      <c r="AL45" s="75" t="n">
        <v>0</v>
      </c>
      <c r="AM45" s="75" t="n">
        <v>0</v>
      </c>
      <c r="AN45" s="75" t="n">
        <v>0</v>
      </c>
      <c r="AO45" s="735" t="n"/>
      <c r="AP45" s="744" t="n"/>
      <c r="AQ45" s="776" t="n"/>
      <c r="AR45" s="891" t="n">
        <v>7</v>
      </c>
      <c r="AS45" s="735" t="inlineStr">
        <is>
          <t>July</t>
        </is>
      </c>
      <c r="AT45" s="892">
        <f>IF(AQ45="w",Summary!$F$14,Summary!$F$13)</f>
        <v/>
      </c>
    </row>
    <row r="46">
      <c r="B46" s="735" t="n"/>
      <c r="C46" s="735" t="inlineStr">
        <is>
          <t>CUMULATIVE</t>
        </is>
      </c>
      <c r="D46" s="780" t="n"/>
      <c r="E46" s="780" t="n"/>
      <c r="F46" s="780" t="n"/>
      <c r="G46" s="75" t="n">
        <v>0</v>
      </c>
      <c r="H46" s="75" t="n">
        <v>0</v>
      </c>
      <c r="I46" s="75" t="n">
        <v>0</v>
      </c>
      <c r="J46" s="75" t="n">
        <v>0</v>
      </c>
      <c r="K46" s="75" t="n">
        <v>0</v>
      </c>
      <c r="L46" s="75" t="n">
        <v>0</v>
      </c>
      <c r="M46" s="75" t="n">
        <v>0</v>
      </c>
      <c r="N46" s="75" t="n">
        <v>0</v>
      </c>
      <c r="O46" s="75" t="n">
        <v>0</v>
      </c>
      <c r="P46" s="75" t="n">
        <v>0</v>
      </c>
      <c r="Q46" s="75" t="n">
        <v>0</v>
      </c>
      <c r="R46" s="75" t="n">
        <v>0</v>
      </c>
      <c r="S46" s="75" t="n">
        <v>0</v>
      </c>
      <c r="T46" s="75" t="n">
        <v>0</v>
      </c>
      <c r="U46" s="75" t="n">
        <v>0</v>
      </c>
      <c r="V46" s="75" t="n">
        <v>0</v>
      </c>
      <c r="W46" s="75" t="n">
        <v>0</v>
      </c>
      <c r="X46" s="75" t="n">
        <v>0</v>
      </c>
      <c r="Y46" s="75" t="n">
        <v>0</v>
      </c>
      <c r="Z46" s="75" t="n">
        <v>0</v>
      </c>
      <c r="AA46" s="75" t="n">
        <v>0</v>
      </c>
      <c r="AB46" s="75" t="n">
        <v>0</v>
      </c>
      <c r="AC46" s="75" t="n">
        <v>0</v>
      </c>
      <c r="AD46" s="75" t="n">
        <v>0</v>
      </c>
      <c r="AE46" s="75" t="n">
        <v>0</v>
      </c>
      <c r="AF46" s="75" t="n">
        <v>0</v>
      </c>
      <c r="AG46" s="75" t="n">
        <v>0</v>
      </c>
      <c r="AH46" s="75" t="n">
        <v>0</v>
      </c>
      <c r="AI46" s="75" t="n">
        <v>0</v>
      </c>
      <c r="AJ46" s="75" t="n">
        <v>0</v>
      </c>
      <c r="AK46" s="75" t="n">
        <v>0</v>
      </c>
      <c r="AL46" s="75" t="n">
        <v>0</v>
      </c>
      <c r="AM46" s="75" t="n">
        <v>0</v>
      </c>
      <c r="AN46" s="75" t="n">
        <v>0</v>
      </c>
      <c r="AO46" s="735" t="n"/>
      <c r="AP46" s="1271" t="n"/>
      <c r="AQ46" s="776" t="n"/>
      <c r="AR46" s="891" t="n">
        <v>8</v>
      </c>
      <c r="AS46" s="735" t="inlineStr">
        <is>
          <t>August</t>
        </is>
      </c>
      <c r="AT46" s="892">
        <f>IF(AQ46="w",Summary!$F$14,Summary!$F$13)</f>
        <v/>
      </c>
    </row>
    <row r="47">
      <c r="B47" s="735" t="n"/>
      <c r="C47" s="735" t="n"/>
      <c r="D47" s="780" t="n"/>
      <c r="E47" s="780" t="n"/>
      <c r="F47" s="780" t="n"/>
      <c r="G47" s="780" t="n"/>
      <c r="H47" s="780" t="n"/>
      <c r="I47" s="780" t="n"/>
      <c r="J47" s="780" t="n"/>
      <c r="K47" s="780" t="n"/>
      <c r="L47" s="780" t="n"/>
      <c r="M47" s="780" t="n"/>
      <c r="N47" s="780" t="n"/>
      <c r="O47" s="780" t="n"/>
      <c r="P47" s="780" t="n"/>
      <c r="Q47" s="780" t="n"/>
      <c r="R47" s="780" t="n"/>
      <c r="S47" s="780" t="n"/>
      <c r="T47" s="780" t="n"/>
      <c r="U47" s="780" t="n"/>
      <c r="V47" s="780" t="n"/>
      <c r="W47" s="780" t="n"/>
      <c r="X47" s="780" t="n"/>
      <c r="Y47" s="780" t="n"/>
      <c r="Z47" s="780" t="n"/>
      <c r="AA47" s="780" t="n"/>
      <c r="AB47" s="780" t="n"/>
      <c r="AC47" s="780" t="n"/>
      <c r="AD47" s="780" t="n"/>
      <c r="AE47" s="780" t="n"/>
      <c r="AF47" s="780" t="n"/>
      <c r="AG47" s="780" t="n"/>
      <c r="AH47" s="780" t="n"/>
      <c r="AI47" s="780" t="n"/>
      <c r="AJ47" s="780" t="n"/>
      <c r="AK47" s="780" t="n"/>
      <c r="AL47" s="780" t="n"/>
      <c r="AM47" s="780" t="n"/>
      <c r="AN47" s="780" t="n"/>
      <c r="AO47" s="735" t="n"/>
      <c r="AP47" s="744" t="n"/>
      <c r="AQ47" s="776" t="n"/>
      <c r="AR47" s="891" t="n">
        <v>9</v>
      </c>
      <c r="AS47" s="735" t="inlineStr">
        <is>
          <t>September</t>
        </is>
      </c>
      <c r="AT47" s="892">
        <f>IF(AQ47="w",Summary!$F$14,Summary!$F$13)</f>
        <v/>
      </c>
    </row>
    <row r="48">
      <c r="B48" s="735" t="n"/>
      <c r="C48" s="9" t="inlineStr">
        <is>
          <t>AVG. MONTHLY RENT</t>
        </is>
      </c>
      <c r="D48" s="780" t="n"/>
      <c r="E48" s="1042">
        <f>Summary!I28</f>
        <v/>
      </c>
      <c r="F48" s="780">
        <f>E48</f>
        <v/>
      </c>
      <c r="G48" s="780">
        <f>F48</f>
        <v/>
      </c>
      <c r="H48" s="780">
        <f>G48</f>
        <v/>
      </c>
      <c r="I48" s="780">
        <f>H48</f>
        <v/>
      </c>
      <c r="J48" s="780">
        <f>I48</f>
        <v/>
      </c>
      <c r="K48" s="780">
        <f>J48</f>
        <v/>
      </c>
      <c r="L48" s="780">
        <f>K48</f>
        <v/>
      </c>
      <c r="M48" s="780">
        <f>L48</f>
        <v/>
      </c>
      <c r="N48" s="780">
        <f>M48</f>
        <v/>
      </c>
      <c r="O48" s="780">
        <f>N48</f>
        <v/>
      </c>
      <c r="P48" s="780">
        <f>O48</f>
        <v/>
      </c>
      <c r="Q48" s="780">
        <f>P48</f>
        <v/>
      </c>
      <c r="R48" s="780">
        <f>Q48</f>
        <v/>
      </c>
      <c r="S48" s="780">
        <f>R48</f>
        <v/>
      </c>
      <c r="T48" s="780">
        <f>S48</f>
        <v/>
      </c>
      <c r="U48" s="780">
        <f>T48</f>
        <v/>
      </c>
      <c r="V48" s="780">
        <f>U48</f>
        <v/>
      </c>
      <c r="W48" s="780">
        <f>V48</f>
        <v/>
      </c>
      <c r="X48" s="780">
        <f>W48</f>
        <v/>
      </c>
      <c r="Y48" s="780">
        <f>X48</f>
        <v/>
      </c>
      <c r="Z48" s="780">
        <f>Y48</f>
        <v/>
      </c>
      <c r="AA48" s="780">
        <f>Z48</f>
        <v/>
      </c>
      <c r="AB48" s="780">
        <f>AA48</f>
        <v/>
      </c>
      <c r="AC48" s="780">
        <f>AB48</f>
        <v/>
      </c>
      <c r="AD48" s="780">
        <f>AC48</f>
        <v/>
      </c>
      <c r="AE48" s="780">
        <f>AD48</f>
        <v/>
      </c>
      <c r="AF48" s="780">
        <f>AE48</f>
        <v/>
      </c>
      <c r="AG48" s="780">
        <f>AF48</f>
        <v/>
      </c>
      <c r="AH48" s="780">
        <f>AG48</f>
        <v/>
      </c>
      <c r="AI48" s="780">
        <f>AH48</f>
        <v/>
      </c>
      <c r="AJ48" s="780">
        <f>AI48</f>
        <v/>
      </c>
      <c r="AK48" s="780">
        <f>AJ48</f>
        <v/>
      </c>
      <c r="AL48" s="780">
        <f>AK48</f>
        <v/>
      </c>
      <c r="AM48" s="780">
        <f>AL48</f>
        <v/>
      </c>
      <c r="AN48" s="780">
        <f>AM48</f>
        <v/>
      </c>
      <c r="AO48" s="735" t="n"/>
      <c r="AP48" s="744" t="n"/>
      <c r="AQ48" s="776" t="inlineStr">
        <is>
          <t>W</t>
        </is>
      </c>
      <c r="AR48" s="891" t="n">
        <v>10</v>
      </c>
      <c r="AS48" s="735" t="inlineStr">
        <is>
          <t>October</t>
        </is>
      </c>
      <c r="AT48" s="892">
        <f>IF(AQ48="w",Summary!$F$14,Summary!$F$13)</f>
        <v/>
      </c>
    </row>
    <row r="49">
      <c r="C49" s="735" t="inlineStr">
        <is>
          <t>AVG. UTILITY REIMBURSEMENT, OTHER INCOME</t>
        </is>
      </c>
      <c r="D49" s="780" t="n"/>
      <c r="E49" s="780">
        <f>SUM(Summary!F97:'Summary'!F102)/12</f>
        <v/>
      </c>
      <c r="F49" s="780">
        <f>+E49</f>
        <v/>
      </c>
      <c r="G49" s="780">
        <f>+F49</f>
        <v/>
      </c>
      <c r="H49" s="780">
        <f>+G49</f>
        <v/>
      </c>
      <c r="I49" s="780">
        <f>+H49</f>
        <v/>
      </c>
      <c r="J49" s="780">
        <f>+I49</f>
        <v/>
      </c>
      <c r="K49" s="780">
        <f>+J49</f>
        <v/>
      </c>
      <c r="L49" s="780">
        <f>+K49</f>
        <v/>
      </c>
      <c r="M49" s="780">
        <f>+L49</f>
        <v/>
      </c>
      <c r="N49" s="780">
        <f>+M49</f>
        <v/>
      </c>
      <c r="O49" s="780">
        <f>+N49</f>
        <v/>
      </c>
      <c r="P49" s="780">
        <f>+O49</f>
        <v/>
      </c>
      <c r="Q49" s="780">
        <f>+P49</f>
        <v/>
      </c>
      <c r="R49" s="780">
        <f>+Q49</f>
        <v/>
      </c>
      <c r="S49" s="780">
        <f>+R49</f>
        <v/>
      </c>
      <c r="T49" s="780">
        <f>+S49</f>
        <v/>
      </c>
      <c r="U49" s="780">
        <f>+T49</f>
        <v/>
      </c>
      <c r="V49" s="780">
        <f>+U49</f>
        <v/>
      </c>
      <c r="W49" s="780">
        <f>+V49</f>
        <v/>
      </c>
      <c r="X49" s="780">
        <f>+W49</f>
        <v/>
      </c>
      <c r="Y49" s="780">
        <f>+X49</f>
        <v/>
      </c>
      <c r="Z49" s="780">
        <f>+Y49</f>
        <v/>
      </c>
      <c r="AA49" s="780">
        <f>+Z49</f>
        <v/>
      </c>
      <c r="AB49" s="780">
        <f>+AA49</f>
        <v/>
      </c>
      <c r="AC49" s="780">
        <f>+AB49</f>
        <v/>
      </c>
      <c r="AD49" s="780">
        <f>+AC49</f>
        <v/>
      </c>
      <c r="AE49" s="780">
        <f>+AD49</f>
        <v/>
      </c>
      <c r="AF49" s="780">
        <f>+AE49</f>
        <v/>
      </c>
      <c r="AG49" s="780">
        <f>+AF49</f>
        <v/>
      </c>
      <c r="AH49" s="780">
        <f>+AG49</f>
        <v/>
      </c>
      <c r="AI49" s="780">
        <f>+AH49</f>
        <v/>
      </c>
      <c r="AJ49" s="780">
        <f>+AI49</f>
        <v/>
      </c>
      <c r="AK49" s="780">
        <f>+AJ49</f>
        <v/>
      </c>
      <c r="AL49" s="780">
        <f>+AK49</f>
        <v/>
      </c>
      <c r="AM49" s="780">
        <f>+AL49</f>
        <v/>
      </c>
      <c r="AN49" s="780">
        <f>+AM49</f>
        <v/>
      </c>
      <c r="AO49" s="735" t="n"/>
      <c r="AP49" s="744" t="n"/>
      <c r="AQ49" s="776" t="inlineStr">
        <is>
          <t>W</t>
        </is>
      </c>
      <c r="AR49" s="891" t="n">
        <v>11</v>
      </c>
      <c r="AS49" s="735" t="inlineStr">
        <is>
          <t>November</t>
        </is>
      </c>
      <c r="AT49" s="892">
        <f>IF(AQ49="w",Summary!$F$14,Summary!$F$13)</f>
        <v/>
      </c>
    </row>
    <row r="50">
      <c r="C50" s="735" t="n"/>
      <c r="D50" s="780" t="n"/>
      <c r="E50" s="780" t="n"/>
      <c r="F50" s="780" t="n"/>
      <c r="G50" s="780" t="n"/>
      <c r="H50" s="780" t="n"/>
      <c r="I50" s="780" t="n"/>
      <c r="J50" s="780" t="n"/>
      <c r="K50" s="780" t="n"/>
      <c r="L50" s="780" t="n"/>
      <c r="M50" s="780" t="n"/>
      <c r="N50" s="780" t="n"/>
      <c r="O50" s="780" t="n"/>
      <c r="P50" s="780" t="n"/>
      <c r="Q50" s="780" t="n"/>
      <c r="R50" s="780" t="n"/>
      <c r="S50" s="780" t="n"/>
      <c r="T50" s="780" t="n"/>
      <c r="U50" s="780" t="n"/>
      <c r="V50" s="780" t="n"/>
      <c r="W50" s="780" t="n"/>
      <c r="X50" s="780" t="n"/>
      <c r="Y50" s="780" t="n"/>
      <c r="Z50" s="780" t="n"/>
      <c r="AA50" s="780" t="n"/>
      <c r="AB50" s="780" t="n"/>
      <c r="AC50" s="780" t="n"/>
      <c r="AD50" s="780" t="n"/>
      <c r="AE50" s="780" t="n"/>
      <c r="AF50" s="780" t="n"/>
      <c r="AG50" s="780" t="n"/>
      <c r="AH50" s="780" t="n"/>
      <c r="AI50" s="780" t="n"/>
      <c r="AJ50" s="780" t="n"/>
      <c r="AK50" s="780" t="n"/>
      <c r="AL50" s="780" t="n"/>
      <c r="AM50" s="780" t="n"/>
      <c r="AN50" s="780" t="n"/>
      <c r="AO50" s="735" t="n"/>
      <c r="AP50" s="744" t="n"/>
      <c r="AQ50" s="776" t="inlineStr">
        <is>
          <t>W</t>
        </is>
      </c>
      <c r="AR50" s="891" t="n">
        <v>12</v>
      </c>
      <c r="AS50" s="735" t="inlineStr">
        <is>
          <t>December</t>
        </is>
      </c>
      <c r="AT50" s="892">
        <f>IF(AQ50="w",Summary!$F$14,Summary!$F$13)</f>
        <v/>
      </c>
    </row>
    <row r="51" ht="16" customHeight="1" thickBot="1">
      <c r="C51" s="9" t="inlineStr">
        <is>
          <t>REVENUE</t>
        </is>
      </c>
      <c r="D51" s="780" t="n"/>
      <c r="E51" s="780" t="n"/>
      <c r="F51" s="780" t="n"/>
      <c r="G51" s="780" t="n"/>
      <c r="H51" s="780" t="n"/>
      <c r="I51" s="780" t="n"/>
      <c r="J51" s="780" t="n"/>
      <c r="K51" s="780" t="n"/>
      <c r="L51" s="780" t="n"/>
      <c r="M51" s="780" t="n"/>
      <c r="N51" s="780" t="n"/>
      <c r="O51" s="780" t="n"/>
      <c r="P51" s="780" t="n"/>
      <c r="Q51" s="780" t="n"/>
      <c r="R51" s="780" t="n"/>
      <c r="S51" s="780" t="n"/>
      <c r="T51" s="780" t="n"/>
      <c r="U51" s="780" t="n"/>
      <c r="V51" s="780" t="n"/>
      <c r="W51" s="780" t="n"/>
      <c r="X51" s="780" t="n"/>
      <c r="Y51" s="780" t="n"/>
      <c r="Z51" s="780" t="n"/>
      <c r="AA51" s="780" t="n"/>
      <c r="AB51" s="780" t="n"/>
      <c r="AC51" s="780" t="n"/>
      <c r="AD51" s="780" t="n"/>
      <c r="AE51" s="780" t="n"/>
      <c r="AF51" s="780" t="n"/>
      <c r="AG51" s="780" t="n"/>
      <c r="AH51" s="780" t="n"/>
      <c r="AI51" s="780" t="n"/>
      <c r="AJ51" s="780" t="n"/>
      <c r="AK51" s="780" t="n"/>
      <c r="AL51" s="780" t="n"/>
      <c r="AM51" s="780" t="n"/>
      <c r="AN51" s="780" t="n"/>
      <c r="AO51" s="735" t="n"/>
      <c r="AP51" s="744" t="n"/>
      <c r="AQ51" s="735" t="n"/>
      <c r="AR51" s="896" t="n"/>
      <c r="AS51" s="445" t="inlineStr">
        <is>
          <t>Average</t>
        </is>
      </c>
      <c r="AT51" s="897">
        <f>AVERAGE(AT39:AT50)</f>
        <v/>
      </c>
    </row>
    <row r="52">
      <c r="C52" s="735" t="inlineStr">
        <is>
          <t>GROSS RENT</t>
        </is>
      </c>
      <c r="D52" s="780" t="n"/>
      <c r="E52" s="76">
        <f>E44*E48</f>
        <v/>
      </c>
      <c r="F52" s="76">
        <f>F44*F48</f>
        <v/>
      </c>
      <c r="G52" s="76">
        <f>G44*G48</f>
        <v/>
      </c>
      <c r="H52" s="76">
        <f>H44*H48</f>
        <v/>
      </c>
      <c r="I52" s="76">
        <f>I44*I48</f>
        <v/>
      </c>
      <c r="J52" s="76">
        <f>J44*J48</f>
        <v/>
      </c>
      <c r="K52" s="76">
        <f>K44*K48</f>
        <v/>
      </c>
      <c r="L52" s="76">
        <f>L44*L48</f>
        <v/>
      </c>
      <c r="M52" s="76">
        <f>M44*M48</f>
        <v/>
      </c>
      <c r="N52" s="76">
        <f>N44*N48</f>
        <v/>
      </c>
      <c r="O52" s="76">
        <f>O44*O48</f>
        <v/>
      </c>
      <c r="P52" s="76">
        <f>P44*P48</f>
        <v/>
      </c>
      <c r="Q52" s="76">
        <f>Q44*Q48</f>
        <v/>
      </c>
      <c r="R52" s="76">
        <f>R44*R48</f>
        <v/>
      </c>
      <c r="S52" s="76">
        <f>S44*S48</f>
        <v/>
      </c>
      <c r="T52" s="76">
        <f>T44*T48</f>
        <v/>
      </c>
      <c r="U52" s="76">
        <f>U44*U48</f>
        <v/>
      </c>
      <c r="V52" s="76">
        <f>V44*V48</f>
        <v/>
      </c>
      <c r="W52" s="76">
        <f>W44*W48</f>
        <v/>
      </c>
      <c r="X52" s="76">
        <f>X44*X48</f>
        <v/>
      </c>
      <c r="Y52" s="76">
        <f>Y44*Y48</f>
        <v/>
      </c>
      <c r="Z52" s="76">
        <f>Z44*Z48</f>
        <v/>
      </c>
      <c r="AA52" s="76">
        <f>AA44*AA48</f>
        <v/>
      </c>
      <c r="AB52" s="76">
        <f>AB44*AB48</f>
        <v/>
      </c>
      <c r="AC52" s="76">
        <f>AC44*AC48</f>
        <v/>
      </c>
      <c r="AD52" s="76">
        <f>AD44*AD48</f>
        <v/>
      </c>
      <c r="AE52" s="76">
        <f>AE44*AE48</f>
        <v/>
      </c>
      <c r="AF52" s="76">
        <f>AF44*AF48</f>
        <v/>
      </c>
      <c r="AG52" s="76">
        <f>AG44*AG48</f>
        <v/>
      </c>
      <c r="AH52" s="76">
        <f>AH44*AH48</f>
        <v/>
      </c>
      <c r="AI52" s="76">
        <f>AI44*AI48</f>
        <v/>
      </c>
      <c r="AJ52" s="76">
        <f>AJ44*AJ48</f>
        <v/>
      </c>
      <c r="AK52" s="76">
        <f>AK44*AK48</f>
        <v/>
      </c>
      <c r="AL52" s="76">
        <f>AL44*AL48</f>
        <v/>
      </c>
      <c r="AM52" s="76">
        <f>AM44*AM48</f>
        <v/>
      </c>
      <c r="AN52" s="76">
        <f>AN44*AN48</f>
        <v/>
      </c>
      <c r="AO52" s="735" t="n"/>
      <c r="AP52" s="744" t="n"/>
      <c r="AQ52" s="1038" t="n"/>
      <c r="AR52" s="1038" t="n"/>
      <c r="AS52" s="1048" t="n"/>
      <c r="AT52" s="735" t="n"/>
    </row>
    <row r="53">
      <c r="C53" s="735" t="inlineStr">
        <is>
          <t>UTILITY REIMBURSEMENT, OTHER INCOME</t>
        </is>
      </c>
      <c r="D53" s="780" t="n"/>
      <c r="E53" s="76">
        <f>+E49*E44</f>
        <v/>
      </c>
      <c r="F53" s="76">
        <f>+F49*F44</f>
        <v/>
      </c>
      <c r="G53" s="76">
        <f>+G49*G44</f>
        <v/>
      </c>
      <c r="H53" s="76">
        <f>+H49*H44</f>
        <v/>
      </c>
      <c r="I53" s="76">
        <f>+I49*I44</f>
        <v/>
      </c>
      <c r="J53" s="76">
        <f>+J49*J44</f>
        <v/>
      </c>
      <c r="K53" s="76">
        <f>+K49*K44</f>
        <v/>
      </c>
      <c r="L53" s="76">
        <f>+L49*L44</f>
        <v/>
      </c>
      <c r="M53" s="76">
        <f>+M49*M44</f>
        <v/>
      </c>
      <c r="N53" s="76">
        <f>+N49*N44</f>
        <v/>
      </c>
      <c r="O53" s="76">
        <f>+O49*O44</f>
        <v/>
      </c>
      <c r="P53" s="76">
        <f>+P49*P44</f>
        <v/>
      </c>
      <c r="Q53" s="76">
        <f>+Q49*Q44</f>
        <v/>
      </c>
      <c r="R53" s="76">
        <f>+R49*R44</f>
        <v/>
      </c>
      <c r="S53" s="76">
        <f>+S49*S44</f>
        <v/>
      </c>
      <c r="T53" s="76">
        <f>+T49*T44</f>
        <v/>
      </c>
      <c r="U53" s="76">
        <f>+U49*U44</f>
        <v/>
      </c>
      <c r="V53" s="76">
        <f>+V49*V44</f>
        <v/>
      </c>
      <c r="W53" s="76">
        <f>+W49*W44</f>
        <v/>
      </c>
      <c r="X53" s="76">
        <f>+X49*X44</f>
        <v/>
      </c>
      <c r="Y53" s="76">
        <f>+Y49*Y44</f>
        <v/>
      </c>
      <c r="Z53" s="76">
        <f>+Z49*Z44</f>
        <v/>
      </c>
      <c r="AA53" s="76">
        <f>+AA49*AA44</f>
        <v/>
      </c>
      <c r="AB53" s="76">
        <f>+AB49*AB44</f>
        <v/>
      </c>
      <c r="AC53" s="76">
        <f>+AC49*AC44</f>
        <v/>
      </c>
      <c r="AD53" s="76">
        <f>+AD49*AD44</f>
        <v/>
      </c>
      <c r="AE53" s="76">
        <f>+AE49*AE44</f>
        <v/>
      </c>
      <c r="AF53" s="76">
        <f>+AF49*AF44</f>
        <v/>
      </c>
      <c r="AG53" s="76">
        <f>+AG49*AG44</f>
        <v/>
      </c>
      <c r="AH53" s="76">
        <f>+AH49*AH44</f>
        <v/>
      </c>
      <c r="AI53" s="76">
        <f>+AI49*AI44</f>
        <v/>
      </c>
      <c r="AJ53" s="76">
        <f>+AJ49*AJ44</f>
        <v/>
      </c>
      <c r="AK53" s="76">
        <f>+AK49*AK44</f>
        <v/>
      </c>
      <c r="AL53" s="76">
        <f>+AL49*AL44</f>
        <v/>
      </c>
      <c r="AM53" s="76">
        <f>+AM49*AM44</f>
        <v/>
      </c>
      <c r="AN53" s="76">
        <f>+AN49*AN44</f>
        <v/>
      </c>
      <c r="AO53" s="735" t="n"/>
      <c r="AP53" s="744" t="n"/>
      <c r="AQ53" s="1038" t="n"/>
      <c r="AR53" s="1038" t="n"/>
      <c r="AS53" s="1048" t="n"/>
      <c r="AT53" s="735" t="n"/>
    </row>
    <row r="54">
      <c r="C54" s="735" t="inlineStr">
        <is>
          <t>LESS: CONCESSIONS</t>
        </is>
      </c>
      <c r="D54" s="780" t="n"/>
      <c r="E54" s="899">
        <f>-E43*E48*Summary!$F$18</f>
        <v/>
      </c>
      <c r="F54" s="899">
        <f>-F43*F48*Summary!$F$18</f>
        <v/>
      </c>
      <c r="G54" s="899">
        <f>-G43*G48*Summary!$F$18</f>
        <v/>
      </c>
      <c r="H54" s="899">
        <f>-H43*H48*Summary!$F$18</f>
        <v/>
      </c>
      <c r="I54" s="899">
        <f>-I43*I48*Summary!$F$18</f>
        <v/>
      </c>
      <c r="J54" s="899">
        <f>-J43*J48*Summary!$F$18</f>
        <v/>
      </c>
      <c r="K54" s="899">
        <f>-K43*K48*Summary!$F$18</f>
        <v/>
      </c>
      <c r="L54" s="899">
        <f>-L43*L48*Summary!$F$18</f>
        <v/>
      </c>
      <c r="M54" s="899">
        <f>-M43*M48*Summary!$F$18</f>
        <v/>
      </c>
      <c r="N54" s="899">
        <f>-N43*N48*Summary!$F$18</f>
        <v/>
      </c>
      <c r="O54" s="899">
        <f>-O43*O48*Summary!$F$18</f>
        <v/>
      </c>
      <c r="P54" s="899">
        <f>-P43*P48*Summary!$F$18</f>
        <v/>
      </c>
      <c r="Q54" s="899">
        <f>-Q43*Q48*Summary!$F$18</f>
        <v/>
      </c>
      <c r="R54" s="899">
        <f>-R43*R48*Summary!$F$18</f>
        <v/>
      </c>
      <c r="S54" s="899">
        <f>-S43*S48*Summary!$F$18</f>
        <v/>
      </c>
      <c r="T54" s="899">
        <f>-T43*T48*Summary!$F$18</f>
        <v/>
      </c>
      <c r="U54" s="899">
        <f>-U43*U48*Summary!$F$18</f>
        <v/>
      </c>
      <c r="V54" s="899">
        <f>-V43*V48*Summary!$F$18</f>
        <v/>
      </c>
      <c r="W54" s="899">
        <f>-W43*W48*Summary!$F$18</f>
        <v/>
      </c>
      <c r="X54" s="899">
        <f>-X43*X48*Summary!$F$18</f>
        <v/>
      </c>
      <c r="Y54" s="899">
        <f>-Y43*Y48*Summary!$F$18</f>
        <v/>
      </c>
      <c r="Z54" s="899">
        <f>-Z43*Z48*Summary!$F$18</f>
        <v/>
      </c>
      <c r="AA54" s="899">
        <f>-AA43*AA48*Summary!$F$18</f>
        <v/>
      </c>
      <c r="AB54" s="899">
        <f>-AB43*AB48*Summary!$F$18</f>
        <v/>
      </c>
      <c r="AC54" s="899">
        <f>-AC43*AC48*Summary!$F$18</f>
        <v/>
      </c>
      <c r="AD54" s="899">
        <f>-AD43*AD48*Summary!$F$18</f>
        <v/>
      </c>
      <c r="AE54" s="899">
        <f>-AE43*AE48*Summary!$F$18</f>
        <v/>
      </c>
      <c r="AF54" s="899">
        <f>-AF43*AF48*Summary!$F$18</f>
        <v/>
      </c>
      <c r="AG54" s="899">
        <f>-AG43*AG48*Summary!$F$18</f>
        <v/>
      </c>
      <c r="AH54" s="899">
        <f>-AH43*AH48*Summary!$F$18</f>
        <v/>
      </c>
      <c r="AI54" s="899">
        <f>-AI43*AI48*Summary!$F$18</f>
        <v/>
      </c>
      <c r="AJ54" s="899">
        <f>-AJ43*AJ48*Summary!$F$18</f>
        <v/>
      </c>
      <c r="AK54" s="899">
        <f>-AK43*AK48*Summary!$F$18</f>
        <v/>
      </c>
      <c r="AL54" s="899">
        <f>-AL43*AL48*Summary!$F$18</f>
        <v/>
      </c>
      <c r="AM54" s="899">
        <f>-AM43*AM48*Summary!$F$18</f>
        <v/>
      </c>
      <c r="AN54" s="899">
        <f>-AN43*AN48*Summary!$F$18</f>
        <v/>
      </c>
      <c r="AO54" s="735" t="n"/>
      <c r="AP54" s="744" t="n"/>
      <c r="AQ54" s="735" t="n"/>
      <c r="AR54" s="735" t="n"/>
      <c r="AS54" s="735" t="n"/>
      <c r="AT54" s="735" t="n"/>
    </row>
    <row r="55">
      <c r="C55" s="735" t="inlineStr">
        <is>
          <t>TOTAL COLLECTIONS</t>
        </is>
      </c>
      <c r="D55" s="780" t="n"/>
      <c r="E55" s="899">
        <f>MAX(0,SUM(E52:E54))</f>
        <v/>
      </c>
      <c r="F55" s="899">
        <f>MAX(0,SUM(F52:F54))</f>
        <v/>
      </c>
      <c r="G55" s="899">
        <f>MAX(0,SUM(G52:G54))</f>
        <v/>
      </c>
      <c r="H55" s="899">
        <f>MAX(0,SUM(H52:H54))</f>
        <v/>
      </c>
      <c r="I55" s="899">
        <f>MAX(0,SUM(I52:I54))</f>
        <v/>
      </c>
      <c r="J55" s="899">
        <f>MAX(0,SUM(J52:J54))</f>
        <v/>
      </c>
      <c r="K55" s="899">
        <f>MAX(0,SUM(K52:K54))</f>
        <v/>
      </c>
      <c r="L55" s="899">
        <f>MAX(0,SUM(L52:L54))</f>
        <v/>
      </c>
      <c r="M55" s="899">
        <f>MAX(0,SUM(M52:M54))</f>
        <v/>
      </c>
      <c r="N55" s="899">
        <f>MAX(0,SUM(N52:N54))</f>
        <v/>
      </c>
      <c r="O55" s="899">
        <f>MAX(0,SUM(O52:O54))</f>
        <v/>
      </c>
      <c r="P55" s="899">
        <f>MAX(0,SUM(P52:P54))</f>
        <v/>
      </c>
      <c r="Q55" s="899">
        <f>MAX(0,SUM(Q52:Q54))</f>
        <v/>
      </c>
      <c r="R55" s="899">
        <f>MAX(0,SUM(R52:R54))</f>
        <v/>
      </c>
      <c r="S55" s="899">
        <f>MAX(0,SUM(S52:S54))</f>
        <v/>
      </c>
      <c r="T55" s="899">
        <f>MAX(0,SUM(T52:T54))</f>
        <v/>
      </c>
      <c r="U55" s="899">
        <f>MAX(0,SUM(U52:U54))</f>
        <v/>
      </c>
      <c r="V55" s="899">
        <f>MAX(0,SUM(V52:V54))</f>
        <v/>
      </c>
      <c r="W55" s="899">
        <f>MAX(0,SUM(W52:W54))</f>
        <v/>
      </c>
      <c r="X55" s="899">
        <f>MAX(0,SUM(X52:X54))</f>
        <v/>
      </c>
      <c r="Y55" s="899">
        <f>MAX(0,SUM(Y52:Y54))</f>
        <v/>
      </c>
      <c r="Z55" s="899">
        <f>MAX(0,SUM(Z52:Z54))</f>
        <v/>
      </c>
      <c r="AA55" s="899">
        <f>MAX(0,SUM(AA52:AA54))</f>
        <v/>
      </c>
      <c r="AB55" s="899">
        <f>MAX(0,SUM(AB52:AB54))</f>
        <v/>
      </c>
      <c r="AC55" s="899">
        <f>MAX(0,SUM(AC52:AC54))</f>
        <v/>
      </c>
      <c r="AD55" s="899">
        <f>MAX(0,SUM(AD52:AD54))</f>
        <v/>
      </c>
      <c r="AE55" s="899">
        <f>MAX(0,SUM(AE52:AE54))</f>
        <v/>
      </c>
      <c r="AF55" s="899">
        <f>MAX(0,SUM(AF52:AF54))</f>
        <v/>
      </c>
      <c r="AG55" s="899">
        <f>MAX(0,SUM(AG52:AG54))</f>
        <v/>
      </c>
      <c r="AH55" s="899">
        <f>MAX(0,SUM(AH52:AH54))</f>
        <v/>
      </c>
      <c r="AI55" s="899">
        <f>MAX(0,SUM(AI52:AI54))</f>
        <v/>
      </c>
      <c r="AJ55" s="899">
        <f>MAX(0,SUM(AJ52:AJ54))</f>
        <v/>
      </c>
      <c r="AK55" s="899">
        <f>MAX(0,SUM(AK52:AK54))</f>
        <v/>
      </c>
      <c r="AL55" s="899">
        <f>MAX(0,SUM(AL52:AL54))</f>
        <v/>
      </c>
      <c r="AM55" s="899">
        <f>MAX(0,SUM(AM52:AM54))</f>
        <v/>
      </c>
      <c r="AN55" s="899">
        <f>MAX(0,SUM(AN52:AN54))</f>
        <v/>
      </c>
      <c r="AO55" s="735" t="n"/>
      <c r="AP55" s="744" t="n"/>
      <c r="AQ55" s="1038" t="n"/>
      <c r="AR55" s="1038" t="n"/>
      <c r="AS55" s="1048" t="n"/>
      <c r="AT55" s="735" t="n"/>
    </row>
    <row r="56">
      <c r="C56" s="735" t="inlineStr">
        <is>
          <t>EXPENSES</t>
        </is>
      </c>
      <c r="D56" s="780" t="n"/>
      <c r="E56" s="780" t="n"/>
      <c r="F56" s="780" t="n"/>
      <c r="G56" s="780" t="n"/>
      <c r="H56" s="780" t="n"/>
      <c r="I56" s="780" t="n"/>
      <c r="J56" s="780" t="n"/>
      <c r="K56" s="780" t="n"/>
      <c r="L56" s="780" t="n"/>
      <c r="M56" s="780" t="n"/>
      <c r="N56" s="780" t="n"/>
      <c r="O56" s="780" t="n"/>
      <c r="P56" s="780" t="n"/>
      <c r="Q56" s="780" t="n"/>
      <c r="R56" s="780" t="n"/>
      <c r="S56" s="780" t="n"/>
      <c r="T56" s="780" t="n"/>
      <c r="U56" s="780" t="n"/>
      <c r="V56" s="780" t="n"/>
      <c r="W56" s="780" t="n"/>
      <c r="X56" s="780" t="n"/>
      <c r="Y56" s="780" t="n"/>
      <c r="Z56" s="780" t="n"/>
      <c r="AA56" s="780" t="n"/>
      <c r="AB56" s="780" t="n"/>
      <c r="AC56" s="780" t="n"/>
      <c r="AD56" s="780" t="n"/>
      <c r="AE56" s="780" t="n"/>
      <c r="AF56" s="780" t="n"/>
      <c r="AG56" s="780" t="n"/>
      <c r="AH56" s="780" t="n"/>
      <c r="AI56" s="780" t="n"/>
      <c r="AJ56" s="780" t="n"/>
      <c r="AK56" s="780" t="n"/>
      <c r="AL56" s="780" t="n"/>
      <c r="AM56" s="780" t="n"/>
      <c r="AN56" s="780" t="n"/>
      <c r="AO56" s="735" t="n"/>
      <c r="AP56" s="744" t="n"/>
      <c r="AQ56" s="735" t="n"/>
      <c r="AR56" s="735" t="n"/>
      <c r="AS56" s="735" t="n"/>
      <c r="AT56" s="735" t="n"/>
    </row>
    <row r="57">
      <c r="C57" s="735" t="inlineStr">
        <is>
          <t>AVERAGE ANNUAL STABILIZED EXPENSE PER UNIT</t>
        </is>
      </c>
      <c r="D57" s="780" t="n"/>
      <c r="E57" s="780">
        <f>Summary!F123</f>
        <v/>
      </c>
      <c r="F57" s="780">
        <f>E57</f>
        <v/>
      </c>
      <c r="G57" s="780">
        <f>F57</f>
        <v/>
      </c>
      <c r="H57" s="780">
        <f>G57</f>
        <v/>
      </c>
      <c r="I57" s="780">
        <f>H57</f>
        <v/>
      </c>
      <c r="J57" s="780">
        <f>I57</f>
        <v/>
      </c>
      <c r="K57" s="780">
        <f>J57</f>
        <v/>
      </c>
      <c r="L57" s="780">
        <f>K57</f>
        <v/>
      </c>
      <c r="M57" s="780">
        <f>L57</f>
        <v/>
      </c>
      <c r="N57" s="780">
        <f>M57</f>
        <v/>
      </c>
      <c r="O57" s="780">
        <f>N57</f>
        <v/>
      </c>
      <c r="P57" s="780">
        <f>O57</f>
        <v/>
      </c>
      <c r="Q57" s="780">
        <f>P57</f>
        <v/>
      </c>
      <c r="R57" s="780">
        <f>Q57</f>
        <v/>
      </c>
      <c r="S57" s="780">
        <f>R57</f>
        <v/>
      </c>
      <c r="T57" s="780">
        <f>S57</f>
        <v/>
      </c>
      <c r="U57" s="780">
        <f>T57</f>
        <v/>
      </c>
      <c r="V57" s="780">
        <f>U57</f>
        <v/>
      </c>
      <c r="W57" s="780">
        <f>V57</f>
        <v/>
      </c>
      <c r="X57" s="780">
        <f>W57</f>
        <v/>
      </c>
      <c r="Y57" s="780">
        <f>X57</f>
        <v/>
      </c>
      <c r="Z57" s="780">
        <f>Y57</f>
        <v/>
      </c>
      <c r="AA57" s="780">
        <f>Z57</f>
        <v/>
      </c>
      <c r="AB57" s="780">
        <f>AA57</f>
        <v/>
      </c>
      <c r="AC57" s="780">
        <f>AB57</f>
        <v/>
      </c>
      <c r="AD57" s="780">
        <f>AC57</f>
        <v/>
      </c>
      <c r="AE57" s="780">
        <f>AD57</f>
        <v/>
      </c>
      <c r="AF57" s="780">
        <f>AE57</f>
        <v/>
      </c>
      <c r="AG57" s="780">
        <f>AF57</f>
        <v/>
      </c>
      <c r="AH57" s="780">
        <f>AG57</f>
        <v/>
      </c>
      <c r="AI57" s="780">
        <f>AH57</f>
        <v/>
      </c>
      <c r="AJ57" s="780">
        <f>AI57</f>
        <v/>
      </c>
      <c r="AK57" s="780">
        <f>AJ57</f>
        <v/>
      </c>
      <c r="AL57" s="780">
        <f>AK57</f>
        <v/>
      </c>
      <c r="AM57" s="780">
        <f>AL57</f>
        <v/>
      </c>
      <c r="AN57" s="780">
        <f>AM57</f>
        <v/>
      </c>
      <c r="AO57" s="735" t="n"/>
      <c r="AP57" s="744" t="n"/>
      <c r="AQ57" s="735" t="n"/>
      <c r="AR57" s="735" t="n"/>
      <c r="AS57" s="735" t="n"/>
      <c r="AT57" s="735" t="n"/>
    </row>
    <row r="58">
      <c r="C58" s="735" t="n"/>
      <c r="D58" s="780" t="n"/>
      <c r="E58" s="780" t="n"/>
      <c r="F58" s="780" t="n"/>
      <c r="G58" s="780" t="n"/>
      <c r="H58" s="780" t="n"/>
      <c r="I58" s="780" t="n"/>
      <c r="J58" s="780" t="n"/>
      <c r="K58" s="780" t="n"/>
      <c r="L58" s="780" t="n"/>
      <c r="M58" s="780" t="n"/>
      <c r="N58" s="780" t="n"/>
      <c r="O58" s="780" t="n"/>
      <c r="P58" s="780" t="n"/>
      <c r="Q58" s="780" t="n"/>
      <c r="R58" s="780" t="n"/>
      <c r="S58" s="780" t="n"/>
      <c r="T58" s="780" t="n"/>
      <c r="U58" s="780" t="n"/>
      <c r="V58" s="780" t="n"/>
      <c r="W58" s="780" t="n"/>
      <c r="X58" s="780" t="n"/>
      <c r="Y58" s="780" t="n"/>
      <c r="Z58" s="780" t="n"/>
      <c r="AA58" s="780" t="n"/>
      <c r="AB58" s="780" t="n"/>
      <c r="AC58" s="780" t="n"/>
      <c r="AD58" s="780" t="n"/>
      <c r="AE58" s="780" t="n"/>
      <c r="AF58" s="780" t="n"/>
      <c r="AG58" s="780" t="n"/>
      <c r="AH58" s="780" t="n"/>
      <c r="AI58" s="780" t="n"/>
      <c r="AJ58" s="780" t="n"/>
      <c r="AK58" s="780" t="n"/>
      <c r="AL58" s="780" t="n"/>
      <c r="AM58" s="780" t="n"/>
      <c r="AN58" s="780" t="n"/>
      <c r="AO58" s="735" t="n"/>
      <c r="AP58" s="744" t="n"/>
      <c r="AQ58" s="735" t="n"/>
      <c r="AR58" s="735" t="n"/>
      <c r="AS58" s="735" t="n"/>
      <c r="AT58" s="735" t="n"/>
    </row>
    <row r="59">
      <c r="C59" s="735" t="inlineStr">
        <is>
          <t>PAYROLL</t>
        </is>
      </c>
      <c r="D59" s="1272">
        <f>+Summary!F196</f>
        <v/>
      </c>
      <c r="E59" s="780">
        <f>+$D59*E122*Total_Number_Units/12</f>
        <v/>
      </c>
      <c r="F59" s="780">
        <f>+$D59*F122*Total_Number_Units/12</f>
        <v/>
      </c>
      <c r="G59" s="780">
        <f>+$D59*G122*Total_Number_Units/12</f>
        <v/>
      </c>
      <c r="H59" s="780">
        <f>+$D59*H122*Total_Number_Units/12</f>
        <v/>
      </c>
      <c r="I59" s="780">
        <f>+$D59*I122*Total_Number_Units/12</f>
        <v/>
      </c>
      <c r="J59" s="780">
        <f>+$D59*J122*Total_Number_Units/12</f>
        <v/>
      </c>
      <c r="K59" s="780">
        <f>+$D59*K122*Total_Number_Units/12</f>
        <v/>
      </c>
      <c r="L59" s="780">
        <f>+$D59*L122*Total_Number_Units/12</f>
        <v/>
      </c>
      <c r="M59" s="780">
        <f>+$D59*M122*Total_Number_Units/12</f>
        <v/>
      </c>
      <c r="N59" s="780">
        <f>+$D59*N122*Total_Number_Units/12</f>
        <v/>
      </c>
      <c r="O59" s="780">
        <f>+$D59*O122*Total_Number_Units/12</f>
        <v/>
      </c>
      <c r="P59" s="780">
        <f>+$D59*P122*Total_Number_Units/12</f>
        <v/>
      </c>
      <c r="Q59" s="780">
        <f>+$D59*Q122*Total_Number_Units/12</f>
        <v/>
      </c>
      <c r="R59" s="780">
        <f>+$D59*R122*Total_Number_Units/12</f>
        <v/>
      </c>
      <c r="S59" s="780">
        <f>+$D59*S122*Total_Number_Units/12</f>
        <v/>
      </c>
      <c r="T59" s="780">
        <f>+$D59*T122*Total_Number_Units/12</f>
        <v/>
      </c>
      <c r="U59" s="780">
        <f>+$D59*U122*Total_Number_Units/12</f>
        <v/>
      </c>
      <c r="V59" s="780">
        <f>+$D59*V122*Total_Number_Units/12</f>
        <v/>
      </c>
      <c r="W59" s="780">
        <f>+$D59*W122*Total_Number_Units/12</f>
        <v/>
      </c>
      <c r="X59" s="780">
        <f>+$D59*X122*Total_Number_Units/12</f>
        <v/>
      </c>
      <c r="Y59" s="780">
        <f>+$D59*Y122*Total_Number_Units/12</f>
        <v/>
      </c>
      <c r="Z59" s="780">
        <f>+$D59*Z122*Total_Number_Units/12</f>
        <v/>
      </c>
      <c r="AA59" s="780">
        <f>+$D59*AA122*Total_Number_Units/12</f>
        <v/>
      </c>
      <c r="AB59" s="780">
        <f>+$D59*AB122*Total_Number_Units/12</f>
        <v/>
      </c>
      <c r="AC59" s="780">
        <f>+$D59*AC122*Total_Number_Units/12</f>
        <v/>
      </c>
      <c r="AD59" s="780">
        <f>+$D59*AD122*Total_Number_Units/12</f>
        <v/>
      </c>
      <c r="AE59" s="780">
        <f>+$D59*AE122*Total_Number_Units/12</f>
        <v/>
      </c>
      <c r="AF59" s="780">
        <f>+$D59*AF122*Total_Number_Units/12</f>
        <v/>
      </c>
      <c r="AG59" s="780">
        <f>+$D59*AG122*Total_Number_Units/12</f>
        <v/>
      </c>
      <c r="AH59" s="780">
        <f>+$D59*AH122*Total_Number_Units/12</f>
        <v/>
      </c>
      <c r="AI59" s="780">
        <f>+$D59*AI122*Total_Number_Units/12</f>
        <v/>
      </c>
      <c r="AJ59" s="780">
        <f>+$D59*AJ122*Total_Number_Units/12</f>
        <v/>
      </c>
      <c r="AK59" s="780">
        <f>+$D59*AK122*Total_Number_Units/12</f>
        <v/>
      </c>
      <c r="AL59" s="780">
        <f>+$D59*AL122*Total_Number_Units/12</f>
        <v/>
      </c>
      <c r="AM59" s="780">
        <f>+$D59*AM122*Total_Number_Units/12</f>
        <v/>
      </c>
      <c r="AN59" s="780">
        <f>+$D59*AN122*Total_Number_Units/12</f>
        <v/>
      </c>
      <c r="AO59" s="735" t="n"/>
      <c r="AP59" s="744" t="n"/>
      <c r="AQ59" s="735" t="n"/>
      <c r="AR59" s="735" t="n"/>
      <c r="AS59" s="735" t="n"/>
      <c r="AT59" s="735" t="n"/>
    </row>
    <row r="60">
      <c r="C60" s="735" t="inlineStr">
        <is>
          <t>REDECORATING</t>
        </is>
      </c>
      <c r="D60" s="1272">
        <f>+Summary!F197</f>
        <v/>
      </c>
      <c r="E60" s="780">
        <f>+$D60*E123*Total_Number_Units/12</f>
        <v/>
      </c>
      <c r="F60" s="780">
        <f>+$D60*F123*Total_Number_Units/12</f>
        <v/>
      </c>
      <c r="G60" s="780">
        <f>+$D60*G123*Total_Number_Units/12</f>
        <v/>
      </c>
      <c r="H60" s="780">
        <f>+$D60*H123*Total_Number_Units/12</f>
        <v/>
      </c>
      <c r="I60" s="780">
        <f>+$D60*I123*Total_Number_Units/12</f>
        <v/>
      </c>
      <c r="J60" s="780">
        <f>+$D60*J123*Total_Number_Units/12</f>
        <v/>
      </c>
      <c r="K60" s="780">
        <f>+$D60*K123*Total_Number_Units/12</f>
        <v/>
      </c>
      <c r="L60" s="780">
        <f>+$D60*L123*Total_Number_Units/12</f>
        <v/>
      </c>
      <c r="M60" s="780">
        <f>+$D60*M123*Total_Number_Units/12</f>
        <v/>
      </c>
      <c r="N60" s="780">
        <f>+$D60*N123*Total_Number_Units/12</f>
        <v/>
      </c>
      <c r="O60" s="780">
        <f>+$D60*O123*Total_Number_Units/12</f>
        <v/>
      </c>
      <c r="P60" s="780">
        <f>+$D60*P123*Total_Number_Units/12</f>
        <v/>
      </c>
      <c r="Q60" s="780">
        <f>+$D60*Q123*Total_Number_Units/12</f>
        <v/>
      </c>
      <c r="R60" s="780">
        <f>+$D60*R123*Total_Number_Units/12</f>
        <v/>
      </c>
      <c r="S60" s="780">
        <f>+$D60*S123*Total_Number_Units/12</f>
        <v/>
      </c>
      <c r="T60" s="780">
        <f>+$D60*T123*Total_Number_Units/12</f>
        <v/>
      </c>
      <c r="U60" s="780">
        <f>+$D60*U123*Total_Number_Units/12</f>
        <v/>
      </c>
      <c r="V60" s="780">
        <f>+$D60*V123*Total_Number_Units/12</f>
        <v/>
      </c>
      <c r="W60" s="780">
        <f>+$D60*W123*Total_Number_Units/12</f>
        <v/>
      </c>
      <c r="X60" s="780">
        <f>+$D60*X123*Total_Number_Units/12</f>
        <v/>
      </c>
      <c r="Y60" s="780">
        <f>+$D60*Y123*Total_Number_Units/12</f>
        <v/>
      </c>
      <c r="Z60" s="780">
        <f>+$D60*Z123*Total_Number_Units/12</f>
        <v/>
      </c>
      <c r="AA60" s="780">
        <f>+$D60*AA123*Total_Number_Units/12</f>
        <v/>
      </c>
      <c r="AB60" s="780">
        <f>+$D60*AB123*Total_Number_Units/12</f>
        <v/>
      </c>
      <c r="AC60" s="780">
        <f>+$D60*AC123*Total_Number_Units/12</f>
        <v/>
      </c>
      <c r="AD60" s="780">
        <f>+$D60*AD123*Total_Number_Units/12</f>
        <v/>
      </c>
      <c r="AE60" s="780">
        <f>+$D60*AE123*Total_Number_Units/12</f>
        <v/>
      </c>
      <c r="AF60" s="780">
        <f>+$D60*AF123*Total_Number_Units/12</f>
        <v/>
      </c>
      <c r="AG60" s="780">
        <f>+$D60*AG123*Total_Number_Units/12</f>
        <v/>
      </c>
      <c r="AH60" s="780">
        <f>+$D60*AH123*Total_Number_Units/12</f>
        <v/>
      </c>
      <c r="AI60" s="780">
        <f>+$D60*AI123*Total_Number_Units/12</f>
        <v/>
      </c>
      <c r="AJ60" s="780">
        <f>+$D60*AJ123*Total_Number_Units/12</f>
        <v/>
      </c>
      <c r="AK60" s="780">
        <f>+$D60*AK123*Total_Number_Units/12</f>
        <v/>
      </c>
      <c r="AL60" s="780">
        <f>+$D60*AL123*Total_Number_Units/12</f>
        <v/>
      </c>
      <c r="AM60" s="780">
        <f>+$D60*AM123*Total_Number_Units/12</f>
        <v/>
      </c>
      <c r="AN60" s="780">
        <f>+$D60*AN123*Total_Number_Units/12</f>
        <v/>
      </c>
      <c r="AO60" s="735" t="n"/>
      <c r="AP60" s="744" t="n"/>
      <c r="AQ60" s="735" t="n"/>
      <c r="AR60" s="735" t="n"/>
      <c r="AS60" s="735" t="n"/>
      <c r="AT60" s="735" t="n"/>
    </row>
    <row r="61">
      <c r="C61" s="735" t="inlineStr">
        <is>
          <t>LANDSCAPING</t>
        </is>
      </c>
      <c r="D61" s="1272">
        <f>+Summary!F198</f>
        <v/>
      </c>
      <c r="E61" s="780">
        <f>+$D61*E124*Total_Number_Units/12</f>
        <v/>
      </c>
      <c r="F61" s="780">
        <f>+$D61*F124*Total_Number_Units/12</f>
        <v/>
      </c>
      <c r="G61" s="780">
        <f>+$D61*G124*Total_Number_Units/12</f>
        <v/>
      </c>
      <c r="H61" s="780">
        <f>+$D61*H124*Total_Number_Units/12</f>
        <v/>
      </c>
      <c r="I61" s="780">
        <f>+$D61*I124*Total_Number_Units/12</f>
        <v/>
      </c>
      <c r="J61" s="780">
        <f>+$D61*J124*Total_Number_Units/12</f>
        <v/>
      </c>
      <c r="K61" s="780">
        <f>+$D61*K124*Total_Number_Units/12</f>
        <v/>
      </c>
      <c r="L61" s="780">
        <f>+$D61*L124*Total_Number_Units/12</f>
        <v/>
      </c>
      <c r="M61" s="780">
        <f>+$D61*M124*Total_Number_Units/12</f>
        <v/>
      </c>
      <c r="N61" s="780">
        <f>+$D61*N124*Total_Number_Units/12</f>
        <v/>
      </c>
      <c r="O61" s="780">
        <f>+$D61*O124*Total_Number_Units/12</f>
        <v/>
      </c>
      <c r="P61" s="780">
        <f>+$D61*P124*Total_Number_Units/12</f>
        <v/>
      </c>
      <c r="Q61" s="780">
        <f>+$D61*Q124*Total_Number_Units/12</f>
        <v/>
      </c>
      <c r="R61" s="780">
        <f>+$D61*R124*Total_Number_Units/12</f>
        <v/>
      </c>
      <c r="S61" s="780">
        <f>+$D61*S124*Total_Number_Units/12</f>
        <v/>
      </c>
      <c r="T61" s="780">
        <f>+$D61*T124*Total_Number_Units/12</f>
        <v/>
      </c>
      <c r="U61" s="780">
        <f>+$D61*U124*Total_Number_Units/12</f>
        <v/>
      </c>
      <c r="V61" s="780">
        <f>+$D61*V124*Total_Number_Units/12</f>
        <v/>
      </c>
      <c r="W61" s="780">
        <f>+$D61*W124*Total_Number_Units/12</f>
        <v/>
      </c>
      <c r="X61" s="780">
        <f>+$D61*X124*Total_Number_Units/12</f>
        <v/>
      </c>
      <c r="Y61" s="780">
        <f>+$D61*Y124*Total_Number_Units/12</f>
        <v/>
      </c>
      <c r="Z61" s="780">
        <f>+$D61*Z124*Total_Number_Units/12</f>
        <v/>
      </c>
      <c r="AA61" s="780">
        <f>+$D61*AA124*Total_Number_Units/12</f>
        <v/>
      </c>
      <c r="AB61" s="780">
        <f>+$D61*AB124*Total_Number_Units/12</f>
        <v/>
      </c>
      <c r="AC61" s="780">
        <f>+$D61*AC124*Total_Number_Units/12</f>
        <v/>
      </c>
      <c r="AD61" s="780">
        <f>+$D61*AD124*Total_Number_Units/12</f>
        <v/>
      </c>
      <c r="AE61" s="780">
        <f>+$D61*AE124*Total_Number_Units/12</f>
        <v/>
      </c>
      <c r="AF61" s="780">
        <f>+$D61*AF124*Total_Number_Units/12</f>
        <v/>
      </c>
      <c r="AG61" s="780">
        <f>+$D61*AG124*Total_Number_Units/12</f>
        <v/>
      </c>
      <c r="AH61" s="780">
        <f>+$D61*AH124*Total_Number_Units/12</f>
        <v/>
      </c>
      <c r="AI61" s="780">
        <f>+$D61*AI124*Total_Number_Units/12</f>
        <v/>
      </c>
      <c r="AJ61" s="780">
        <f>+$D61*AJ124*Total_Number_Units/12</f>
        <v/>
      </c>
      <c r="AK61" s="780">
        <f>+$D61*AK124*Total_Number_Units/12</f>
        <v/>
      </c>
      <c r="AL61" s="780">
        <f>+$D61*AL124*Total_Number_Units/12</f>
        <v/>
      </c>
      <c r="AM61" s="780">
        <f>+$D61*AM124*Total_Number_Units/12</f>
        <v/>
      </c>
      <c r="AN61" s="780">
        <f>+$D61*AN124*Total_Number_Units/12</f>
        <v/>
      </c>
      <c r="AO61" s="735" t="n"/>
      <c r="AP61" s="744" t="n"/>
      <c r="AQ61" s="735" t="n"/>
      <c r="AR61" s="735" t="n"/>
      <c r="AS61" s="735" t="n"/>
      <c r="AT61" s="735" t="n"/>
    </row>
    <row r="62">
      <c r="C62" s="735" t="inlineStr">
        <is>
          <t>REPAIRS</t>
        </is>
      </c>
      <c r="D62" s="1272">
        <f>+Summary!F199</f>
        <v/>
      </c>
      <c r="E62" s="780">
        <f>+$D62*E125*Total_Number_Units/12</f>
        <v/>
      </c>
      <c r="F62" s="780">
        <f>+$D62*F125*Total_Number_Units/12</f>
        <v/>
      </c>
      <c r="G62" s="780">
        <f>+$D62*G125*Total_Number_Units/12</f>
        <v/>
      </c>
      <c r="H62" s="780">
        <f>+$D62*H125*Total_Number_Units/12</f>
        <v/>
      </c>
      <c r="I62" s="780">
        <f>+$D62*I125*Total_Number_Units/12</f>
        <v/>
      </c>
      <c r="J62" s="780">
        <f>+$D62*J125*Total_Number_Units/12</f>
        <v/>
      </c>
      <c r="K62" s="780">
        <f>+$D62*K125*Total_Number_Units/12</f>
        <v/>
      </c>
      <c r="L62" s="780">
        <f>+$D62*L125*Total_Number_Units/12</f>
        <v/>
      </c>
      <c r="M62" s="780">
        <f>+$D62*M125*Total_Number_Units/12</f>
        <v/>
      </c>
      <c r="N62" s="780">
        <f>+$D62*N125*Total_Number_Units/12</f>
        <v/>
      </c>
      <c r="O62" s="780">
        <f>+$D62*O125*Total_Number_Units/12</f>
        <v/>
      </c>
      <c r="P62" s="780">
        <f>+$D62*P125*Total_Number_Units/12</f>
        <v/>
      </c>
      <c r="Q62" s="780">
        <f>+$D62*Q125*Total_Number_Units/12</f>
        <v/>
      </c>
      <c r="R62" s="780">
        <f>+$D62*R125*Total_Number_Units/12</f>
        <v/>
      </c>
      <c r="S62" s="780">
        <f>+$D62*S125*Total_Number_Units/12</f>
        <v/>
      </c>
      <c r="T62" s="780">
        <f>+$D62*T125*Total_Number_Units/12</f>
        <v/>
      </c>
      <c r="U62" s="780">
        <f>+$D62*U125*Total_Number_Units/12</f>
        <v/>
      </c>
      <c r="V62" s="780">
        <f>+$D62*V125*Total_Number_Units/12</f>
        <v/>
      </c>
      <c r="W62" s="780">
        <f>+$D62*W125*Total_Number_Units/12</f>
        <v/>
      </c>
      <c r="X62" s="780">
        <f>+$D62*X125*Total_Number_Units/12</f>
        <v/>
      </c>
      <c r="Y62" s="780">
        <f>+$D62*Y125*Total_Number_Units/12</f>
        <v/>
      </c>
      <c r="Z62" s="780">
        <f>+$D62*Z125*Total_Number_Units/12</f>
        <v/>
      </c>
      <c r="AA62" s="780">
        <f>+$D62*AA125*Total_Number_Units/12</f>
        <v/>
      </c>
      <c r="AB62" s="780">
        <f>+$D62*AB125*Total_Number_Units/12</f>
        <v/>
      </c>
      <c r="AC62" s="780">
        <f>+$D62*AC125*Total_Number_Units/12</f>
        <v/>
      </c>
      <c r="AD62" s="780">
        <f>+$D62*AD125*Total_Number_Units/12</f>
        <v/>
      </c>
      <c r="AE62" s="780">
        <f>+$D62*AE125*Total_Number_Units/12</f>
        <v/>
      </c>
      <c r="AF62" s="780">
        <f>+$D62*AF125*Total_Number_Units/12</f>
        <v/>
      </c>
      <c r="AG62" s="780">
        <f>+$D62*AG125*Total_Number_Units/12</f>
        <v/>
      </c>
      <c r="AH62" s="780">
        <f>+$D62*AH125*Total_Number_Units/12</f>
        <v/>
      </c>
      <c r="AI62" s="780">
        <f>+$D62*AI125*Total_Number_Units/12</f>
        <v/>
      </c>
      <c r="AJ62" s="780">
        <f>+$D62*AJ125*Total_Number_Units/12</f>
        <v/>
      </c>
      <c r="AK62" s="780">
        <f>+$D62*AK125*Total_Number_Units/12</f>
        <v/>
      </c>
      <c r="AL62" s="780">
        <f>+$D62*AL125*Total_Number_Units/12</f>
        <v/>
      </c>
      <c r="AM62" s="780">
        <f>+$D62*AM125*Total_Number_Units/12</f>
        <v/>
      </c>
      <c r="AN62" s="780">
        <f>+$D62*AN125*Total_Number_Units/12</f>
        <v/>
      </c>
      <c r="AO62" s="735" t="n"/>
      <c r="AP62" s="744" t="n"/>
      <c r="AQ62" s="735" t="n"/>
      <c r="AR62" s="735" t="n"/>
      <c r="AS62" s="735" t="n"/>
      <c r="AT62" s="735" t="n"/>
    </row>
    <row r="63">
      <c r="C63" s="735" t="inlineStr">
        <is>
          <t>LEASING &amp; MARKETING</t>
        </is>
      </c>
      <c r="D63" s="1272">
        <f>+Summary!F200</f>
        <v/>
      </c>
      <c r="E63" s="780">
        <f>+$D63*E126*Total_Number_Units/12</f>
        <v/>
      </c>
      <c r="F63" s="780">
        <f>+$D63*F126*Total_Number_Units/12</f>
        <v/>
      </c>
      <c r="G63" s="780">
        <f>+$D63*G126*Total_Number_Units/12</f>
        <v/>
      </c>
      <c r="H63" s="780">
        <f>+$D63*H126*Total_Number_Units/12</f>
        <v/>
      </c>
      <c r="I63" s="780">
        <f>+$D63*I126*Total_Number_Units/12</f>
        <v/>
      </c>
      <c r="J63" s="780">
        <f>+$D63*J126*Total_Number_Units/12</f>
        <v/>
      </c>
      <c r="K63" s="780">
        <f>+$D63*K126*Total_Number_Units/12</f>
        <v/>
      </c>
      <c r="L63" s="780">
        <f>+$D63*L126*Total_Number_Units/12</f>
        <v/>
      </c>
      <c r="M63" s="780">
        <f>+$D63*M126*Total_Number_Units/12</f>
        <v/>
      </c>
      <c r="N63" s="780">
        <f>+$D63*N126*Total_Number_Units/12</f>
        <v/>
      </c>
      <c r="O63" s="780">
        <f>+$D63*O126*Total_Number_Units/12</f>
        <v/>
      </c>
      <c r="P63" s="780">
        <f>+$D63*P126*Total_Number_Units/12</f>
        <v/>
      </c>
      <c r="Q63" s="780">
        <f>+$D63*Q126*Total_Number_Units/12</f>
        <v/>
      </c>
      <c r="R63" s="780">
        <f>+$D63*R126*Total_Number_Units/12</f>
        <v/>
      </c>
      <c r="S63" s="780">
        <f>+$D63*S126*Total_Number_Units/12</f>
        <v/>
      </c>
      <c r="T63" s="780">
        <f>+$D63*T126*Total_Number_Units/12</f>
        <v/>
      </c>
      <c r="U63" s="780">
        <f>+$D63*U126*Total_Number_Units/12</f>
        <v/>
      </c>
      <c r="V63" s="780">
        <f>+$D63*V126*Total_Number_Units/12</f>
        <v/>
      </c>
      <c r="W63" s="780">
        <f>+$D63*W126*Total_Number_Units/12</f>
        <v/>
      </c>
      <c r="X63" s="780">
        <f>+$D63*X126*Total_Number_Units/12</f>
        <v/>
      </c>
      <c r="Y63" s="780">
        <f>+$D63*Y126*Total_Number_Units/12</f>
        <v/>
      </c>
      <c r="Z63" s="780">
        <f>+$D63*Z126*Total_Number_Units/12</f>
        <v/>
      </c>
      <c r="AA63" s="780">
        <f>+$D63*AA126*Total_Number_Units/12</f>
        <v/>
      </c>
      <c r="AB63" s="780">
        <f>+$D63*AB126*Total_Number_Units/12</f>
        <v/>
      </c>
      <c r="AC63" s="780">
        <f>+$D63*AC126*Total_Number_Units/12</f>
        <v/>
      </c>
      <c r="AD63" s="780">
        <f>+$D63*AD126*Total_Number_Units/12</f>
        <v/>
      </c>
      <c r="AE63" s="780">
        <f>+$D63*AE126*Total_Number_Units/12</f>
        <v/>
      </c>
      <c r="AF63" s="780">
        <f>+$D63*AF126*Total_Number_Units/12</f>
        <v/>
      </c>
      <c r="AG63" s="780">
        <f>+$D63*AG126*Total_Number_Units/12</f>
        <v/>
      </c>
      <c r="AH63" s="780">
        <f>+$D63*AH126*Total_Number_Units/12</f>
        <v/>
      </c>
      <c r="AI63" s="780">
        <f>+$D63*AI126*Total_Number_Units/12</f>
        <v/>
      </c>
      <c r="AJ63" s="780">
        <f>+$D63*AJ126*Total_Number_Units/12</f>
        <v/>
      </c>
      <c r="AK63" s="780">
        <f>+$D63*AK126*Total_Number_Units/12</f>
        <v/>
      </c>
      <c r="AL63" s="780">
        <f>+$D63*AL126*Total_Number_Units/12</f>
        <v/>
      </c>
      <c r="AM63" s="780">
        <f>+$D63*AM126*Total_Number_Units/12</f>
        <v/>
      </c>
      <c r="AN63" s="780">
        <f>+$D63*AN126*Total_Number_Units/12</f>
        <v/>
      </c>
      <c r="AO63" s="735" t="n"/>
      <c r="AP63" s="744" t="n"/>
      <c r="AQ63" s="735" t="n"/>
      <c r="AR63" s="735" t="n"/>
      <c r="AS63" s="735" t="n"/>
      <c r="AT63" s="735" t="n"/>
    </row>
    <row r="64">
      <c r="C64" s="735" t="inlineStr">
        <is>
          <t>G&amp;A</t>
        </is>
      </c>
      <c r="D64" s="1272">
        <f>+Summary!F201</f>
        <v/>
      </c>
      <c r="E64" s="780">
        <f>+$D64*E127*Total_Number_Units/12</f>
        <v/>
      </c>
      <c r="F64" s="780">
        <f>+$D64*F127*Total_Number_Units/12</f>
        <v/>
      </c>
      <c r="G64" s="780">
        <f>+$D64*G127*Total_Number_Units/12</f>
        <v/>
      </c>
      <c r="H64" s="780">
        <f>+$D64*H127*Total_Number_Units/12</f>
        <v/>
      </c>
      <c r="I64" s="780">
        <f>+$D64*I127*Total_Number_Units/12</f>
        <v/>
      </c>
      <c r="J64" s="780">
        <f>+$D64*J127*Total_Number_Units/12</f>
        <v/>
      </c>
      <c r="K64" s="780">
        <f>+$D64*K127*Total_Number_Units/12</f>
        <v/>
      </c>
      <c r="L64" s="780">
        <f>+$D64*L127*Total_Number_Units/12</f>
        <v/>
      </c>
      <c r="M64" s="780">
        <f>+$D64*M127*Total_Number_Units/12</f>
        <v/>
      </c>
      <c r="N64" s="780">
        <f>+$D64*N127*Total_Number_Units/12</f>
        <v/>
      </c>
      <c r="O64" s="780">
        <f>+$D64*O127*Total_Number_Units/12</f>
        <v/>
      </c>
      <c r="P64" s="780">
        <f>+$D64*P127*Total_Number_Units/12</f>
        <v/>
      </c>
      <c r="Q64" s="780">
        <f>+$D64*Q127*Total_Number_Units/12</f>
        <v/>
      </c>
      <c r="R64" s="780">
        <f>+$D64*R127*Total_Number_Units/12</f>
        <v/>
      </c>
      <c r="S64" s="780">
        <f>+$D64*S127*Total_Number_Units/12</f>
        <v/>
      </c>
      <c r="T64" s="780">
        <f>+$D64*T127*Total_Number_Units/12</f>
        <v/>
      </c>
      <c r="U64" s="780">
        <f>+$D64*U127*Total_Number_Units/12</f>
        <v/>
      </c>
      <c r="V64" s="780">
        <f>+$D64*V127*Total_Number_Units/12</f>
        <v/>
      </c>
      <c r="W64" s="780">
        <f>+$D64*W127*Total_Number_Units/12</f>
        <v/>
      </c>
      <c r="X64" s="780">
        <f>+$D64*X127*Total_Number_Units/12</f>
        <v/>
      </c>
      <c r="Y64" s="780">
        <f>+$D64*Y127*Total_Number_Units/12</f>
        <v/>
      </c>
      <c r="Z64" s="780">
        <f>+$D64*Z127*Total_Number_Units/12</f>
        <v/>
      </c>
      <c r="AA64" s="780">
        <f>+$D64*AA127*Total_Number_Units/12</f>
        <v/>
      </c>
      <c r="AB64" s="780">
        <f>+$D64*AB127*Total_Number_Units/12</f>
        <v/>
      </c>
      <c r="AC64" s="780">
        <f>+$D64*AC127*Total_Number_Units/12</f>
        <v/>
      </c>
      <c r="AD64" s="780">
        <f>+$D64*AD127*Total_Number_Units/12</f>
        <v/>
      </c>
      <c r="AE64" s="780">
        <f>+$D64*AE127*Total_Number_Units/12</f>
        <v/>
      </c>
      <c r="AF64" s="780">
        <f>+$D64*AF127*Total_Number_Units/12</f>
        <v/>
      </c>
      <c r="AG64" s="780">
        <f>+$D64*AG127*Total_Number_Units/12</f>
        <v/>
      </c>
      <c r="AH64" s="780">
        <f>+$D64*AH127*Total_Number_Units/12</f>
        <v/>
      </c>
      <c r="AI64" s="780">
        <f>+$D64*AI127*Total_Number_Units/12</f>
        <v/>
      </c>
      <c r="AJ64" s="780">
        <f>+$D64*AJ127*Total_Number_Units/12</f>
        <v/>
      </c>
      <c r="AK64" s="780">
        <f>+$D64*AK127*Total_Number_Units/12</f>
        <v/>
      </c>
      <c r="AL64" s="780">
        <f>+$D64*AL127*Total_Number_Units/12</f>
        <v/>
      </c>
      <c r="AM64" s="780">
        <f>+$D64*AM127*Total_Number_Units/12</f>
        <v/>
      </c>
      <c r="AN64" s="780">
        <f>+$D64*AN127*Total_Number_Units/12</f>
        <v/>
      </c>
      <c r="AO64" s="735" t="n"/>
      <c r="AP64" s="744" t="n"/>
      <c r="AQ64" s="735" t="n"/>
      <c r="AR64" s="735" t="n"/>
      <c r="AS64" s="735" t="n"/>
      <c r="AT64" s="735" t="n"/>
    </row>
    <row r="65">
      <c r="C65" s="735" t="inlineStr">
        <is>
          <t>UTILITIES</t>
        </is>
      </c>
      <c r="D65" s="1272">
        <f>+Summary!F205</f>
        <v/>
      </c>
      <c r="E65" s="780">
        <f>+$D65*E128*Total_Number_Units/12</f>
        <v/>
      </c>
      <c r="F65" s="780">
        <f>+$D65*F128*Total_Number_Units/12</f>
        <v/>
      </c>
      <c r="G65" s="780">
        <f>+$D65*G128*Total_Number_Units/12</f>
        <v/>
      </c>
      <c r="H65" s="780">
        <f>+$D65*H128*Total_Number_Units/12</f>
        <v/>
      </c>
      <c r="I65" s="780">
        <f>+$D65*I128*Total_Number_Units/12</f>
        <v/>
      </c>
      <c r="J65" s="780">
        <f>+$D65*J128*Total_Number_Units/12</f>
        <v/>
      </c>
      <c r="K65" s="780">
        <f>+$D65*K128*Total_Number_Units/12</f>
        <v/>
      </c>
      <c r="L65" s="780">
        <f>+$D65*L128*Total_Number_Units/12</f>
        <v/>
      </c>
      <c r="M65" s="780">
        <f>+$D65*M128*Total_Number_Units/12</f>
        <v/>
      </c>
      <c r="N65" s="780">
        <f>+$D65*N128*Total_Number_Units/12</f>
        <v/>
      </c>
      <c r="O65" s="780">
        <f>+$D65*O128*Total_Number_Units/12</f>
        <v/>
      </c>
      <c r="P65" s="780">
        <f>+$D65*P128*Total_Number_Units/12</f>
        <v/>
      </c>
      <c r="Q65" s="780">
        <f>+$D65*Q128*Total_Number_Units/12</f>
        <v/>
      </c>
      <c r="R65" s="780">
        <f>+$D65*R128*Total_Number_Units/12</f>
        <v/>
      </c>
      <c r="S65" s="780">
        <f>+$D65*S128*Total_Number_Units/12</f>
        <v/>
      </c>
      <c r="T65" s="780">
        <f>+$D65*T128*Total_Number_Units/12</f>
        <v/>
      </c>
      <c r="U65" s="780">
        <f>+$D65*U128*Total_Number_Units/12</f>
        <v/>
      </c>
      <c r="V65" s="780">
        <f>+$D65*V128*Total_Number_Units/12</f>
        <v/>
      </c>
      <c r="W65" s="780">
        <f>+$D65*W128*Total_Number_Units/12</f>
        <v/>
      </c>
      <c r="X65" s="780">
        <f>+$D65*X128*Total_Number_Units/12</f>
        <v/>
      </c>
      <c r="Y65" s="780">
        <f>+$D65*Y128*Total_Number_Units/12</f>
        <v/>
      </c>
      <c r="Z65" s="780">
        <f>+$D65*Z128*Total_Number_Units/12</f>
        <v/>
      </c>
      <c r="AA65" s="780">
        <f>+$D65*AA128*Total_Number_Units/12</f>
        <v/>
      </c>
      <c r="AB65" s="780">
        <f>+$D65*AB128*Total_Number_Units/12</f>
        <v/>
      </c>
      <c r="AC65" s="780">
        <f>+$D65*AC128*Total_Number_Units/12</f>
        <v/>
      </c>
      <c r="AD65" s="780">
        <f>+$D65*AD128*Total_Number_Units/12</f>
        <v/>
      </c>
      <c r="AE65" s="780">
        <f>+$D65*AE128*Total_Number_Units/12</f>
        <v/>
      </c>
      <c r="AF65" s="780">
        <f>+$D65*AF128*Total_Number_Units/12</f>
        <v/>
      </c>
      <c r="AG65" s="780">
        <f>+$D65*AG128*Total_Number_Units/12</f>
        <v/>
      </c>
      <c r="AH65" s="780">
        <f>+$D65*AH128*Total_Number_Units/12</f>
        <v/>
      </c>
      <c r="AI65" s="780">
        <f>+$D65*AI128*Total_Number_Units/12</f>
        <v/>
      </c>
      <c r="AJ65" s="780">
        <f>+$D65*AJ128*Total_Number_Units/12</f>
        <v/>
      </c>
      <c r="AK65" s="780">
        <f>+$D65*AK128*Total_Number_Units/12</f>
        <v/>
      </c>
      <c r="AL65" s="780">
        <f>+$D65*AL128*Total_Number_Units/12</f>
        <v/>
      </c>
      <c r="AM65" s="780">
        <f>+$D65*AM128*Total_Number_Units/12</f>
        <v/>
      </c>
      <c r="AN65" s="780">
        <f>+$D65*AN128*Total_Number_Units/12</f>
        <v/>
      </c>
      <c r="AO65" s="735" t="n"/>
      <c r="AP65" s="744" t="n"/>
      <c r="AQ65" s="735" t="n"/>
      <c r="AR65" s="735" t="n"/>
      <c r="AS65" s="735" t="n"/>
    </row>
    <row r="66">
      <c r="C66" s="735" t="inlineStr">
        <is>
          <t>MGMT FEE</t>
        </is>
      </c>
      <c r="D66" s="1273">
        <f>+Summary!D121</f>
        <v/>
      </c>
      <c r="E66" s="780">
        <f>IF(SUM(E59:E65)&gt;0,MAX(Summary!$M$8,E55*$D$66),0)</f>
        <v/>
      </c>
      <c r="F66" s="780">
        <f>IF(SUM(F59:F65)&gt;0,MAX(Summary!$M$8,F55*$D$66),0)</f>
        <v/>
      </c>
      <c r="G66" s="780">
        <f>IF(SUM(G59:G65)&gt;0,MAX(Summary!$M$8,G55*$D$66),0)</f>
        <v/>
      </c>
      <c r="H66" s="780">
        <f>IF(SUM(H59:H65)&gt;0,MAX(Summary!$M$8,H55*$D$66),0)</f>
        <v/>
      </c>
      <c r="I66" s="780">
        <f>IF(SUM(I59:I65)&gt;0,MAX(Summary!$M$8,I55*$D$66),0)</f>
        <v/>
      </c>
      <c r="J66" s="780">
        <f>IF(SUM(J59:J65)&gt;0,MAX(Summary!$M$8,J55*$D$66),0)</f>
        <v/>
      </c>
      <c r="K66" s="780">
        <f>IF(SUM(K59:K65)&gt;0,MAX(Summary!$M$8,K55*$D$66),0)</f>
        <v/>
      </c>
      <c r="L66" s="780">
        <f>IF(SUM(L59:L65)&gt;0,MAX(Summary!$M$8,L55*$D$66),0)</f>
        <v/>
      </c>
      <c r="M66" s="780">
        <f>IF(SUM(M59:M65)&gt;0,MAX(Summary!$M$8,M55*$D$66),0)</f>
        <v/>
      </c>
      <c r="N66" s="780">
        <f>IF(SUM(N59:N65)&gt;0,MAX(Summary!$M$8,N55*$D$66),0)</f>
        <v/>
      </c>
      <c r="O66" s="780">
        <f>IF(SUM(O59:O65)&gt;0,MAX(Summary!$M$8,O55*$D$66),0)</f>
        <v/>
      </c>
      <c r="P66" s="780">
        <f>IF(SUM(P59:P65)&gt;0,MAX(Summary!$M$8,P55*$D$66),0)</f>
        <v/>
      </c>
      <c r="Q66" s="780">
        <f>IF(SUM(Q59:Q65)&gt;0,MAX(Summary!$M$8,Q55*$D$66),0)</f>
        <v/>
      </c>
      <c r="R66" s="780">
        <f>IF(SUM(R59:R65)&gt;0,MAX(Summary!$M$8,R55*$D$66),0)</f>
        <v/>
      </c>
      <c r="S66" s="780">
        <f>IF(SUM(S59:S65)&gt;0,MAX(Summary!$M$8,S55*$D$66),0)</f>
        <v/>
      </c>
      <c r="T66" s="780">
        <f>IF(SUM(T59:T65)&gt;0,MAX(Summary!$M$8,T55*$D$66),0)</f>
        <v/>
      </c>
      <c r="U66" s="780">
        <f>IF(SUM(U59:U65)&gt;0,MAX(Summary!$M$8,U55*$D$66),0)</f>
        <v/>
      </c>
      <c r="V66" s="780">
        <f>IF(SUM(V59:V65)&gt;0,MAX(Summary!$M$8,V55*$D$66),0)</f>
        <v/>
      </c>
      <c r="W66" s="780">
        <f>IF(SUM(W59:W65)&gt;0,MAX(Summary!$M$8,W55*$D$66),0)</f>
        <v/>
      </c>
      <c r="X66" s="780">
        <f>IF(SUM(X59:X65)&gt;0,MAX(Summary!$M$8,X55*$D$66),0)</f>
        <v/>
      </c>
      <c r="Y66" s="780">
        <f>IF(SUM(Y59:Y65)&gt;0,MAX(Summary!$M$8,Y55*$D$66),0)</f>
        <v/>
      </c>
      <c r="Z66" s="780">
        <f>IF(SUM(Z59:Z65)&gt;0,MAX(Summary!$M$8,Z55*$D$66),0)</f>
        <v/>
      </c>
      <c r="AA66" s="780">
        <f>IF(SUM(AA59:AA65)&gt;0,MAX(Summary!$M$8,AA55*$D$66),0)</f>
        <v/>
      </c>
      <c r="AB66" s="780">
        <f>IF(SUM(AB59:AB65)&gt;0,MAX(Summary!$M$8,AB55*$D$66),0)</f>
        <v/>
      </c>
      <c r="AC66" s="780">
        <f>IF(SUM(AC59:AC65)&gt;0,MAX(Summary!$M$8,AC55*$D$66),0)</f>
        <v/>
      </c>
      <c r="AD66" s="780">
        <f>IF(SUM(AD59:AD65)&gt;0,MAX(Summary!$M$8,AD55*$D$66),0)</f>
        <v/>
      </c>
      <c r="AE66" s="780">
        <f>IF(SUM(AE59:AE65)&gt;0,MAX(Summary!$M$8,AE55*$D$66),0)</f>
        <v/>
      </c>
      <c r="AF66" s="780">
        <f>IF(SUM(AF59:AF65)&gt;0,MAX(Summary!$M$8,AF55*$D$66),0)</f>
        <v/>
      </c>
      <c r="AG66" s="780">
        <f>IF(SUM(AG59:AG65)&gt;0,MAX(Summary!$M$8,AG55*$D$66),0)</f>
        <v/>
      </c>
      <c r="AH66" s="780">
        <f>IF(SUM(AH59:AH65)&gt;0,MAX(Summary!$M$8,AH55*$D$66),0)</f>
        <v/>
      </c>
      <c r="AI66" s="780">
        <f>IF(SUM(AI59:AI65)&gt;0,MAX(Summary!$M$8,AI55*$D$66),0)</f>
        <v/>
      </c>
      <c r="AJ66" s="780">
        <f>IF(SUM(AJ59:AJ65)&gt;0,MAX(Summary!$M$8,AJ55*$D$66),0)</f>
        <v/>
      </c>
      <c r="AK66" s="780">
        <f>IF(SUM(AK59:AK65)&gt;0,MAX(Summary!$M$8,AK55*$D$66),0)</f>
        <v/>
      </c>
      <c r="AL66" s="780">
        <f>IF(SUM(AL59:AL65)&gt;0,MAX(Summary!$M$8,AL55*$D$66),0)</f>
        <v/>
      </c>
      <c r="AM66" s="780">
        <f>IF(SUM(AM59:AM65)&gt;0,MAX(Summary!$M$8,AM55*$D$66),0)</f>
        <v/>
      </c>
      <c r="AN66" s="780">
        <f>IF(SUM(AN59:AN65)&gt;0,MAX(Summary!$M$8,AN55*$D$66),0)</f>
        <v/>
      </c>
      <c r="AO66" s="735" t="n"/>
      <c r="AP66" s="744" t="n"/>
      <c r="AQ66" s="735" t="n"/>
      <c r="AR66" s="735" t="n"/>
      <c r="AS66" s="735" t="n"/>
    </row>
    <row r="67">
      <c r="C67" s="735" t="inlineStr">
        <is>
          <t>INSURANCE</t>
        </is>
      </c>
      <c r="D67" s="1272">
        <f>+Summary!F207</f>
        <v/>
      </c>
      <c r="E67" s="780">
        <f>+$D67*E130*Total_Number_Units/12</f>
        <v/>
      </c>
      <c r="F67" s="780">
        <f>+$D67*F130*Total_Number_Units/12</f>
        <v/>
      </c>
      <c r="G67" s="780">
        <f>+$D67*G130*Total_Number_Units/12</f>
        <v/>
      </c>
      <c r="H67" s="780">
        <f>+$D67*H130*Total_Number_Units/12</f>
        <v/>
      </c>
      <c r="I67" s="780">
        <f>+$D67*I130*Total_Number_Units/12</f>
        <v/>
      </c>
      <c r="J67" s="780">
        <f>+$D67*J130*Total_Number_Units/12</f>
        <v/>
      </c>
      <c r="K67" s="780">
        <f>+$D67*K130*Total_Number_Units/12</f>
        <v/>
      </c>
      <c r="L67" s="780">
        <f>+$D67*L130*Total_Number_Units/12</f>
        <v/>
      </c>
      <c r="M67" s="780">
        <f>+$D67*M130*Total_Number_Units/12</f>
        <v/>
      </c>
      <c r="N67" s="780">
        <f>+$D67*N130*Total_Number_Units/12</f>
        <v/>
      </c>
      <c r="O67" s="780">
        <f>+$D67*O130*Total_Number_Units/12</f>
        <v/>
      </c>
      <c r="P67" s="780">
        <f>+$D67*P130*Total_Number_Units/12</f>
        <v/>
      </c>
      <c r="Q67" s="780">
        <f>+$D67*Q130*Total_Number_Units/12</f>
        <v/>
      </c>
      <c r="R67" s="780">
        <f>+$D67*R130*Total_Number_Units/12</f>
        <v/>
      </c>
      <c r="S67" s="780">
        <f>+$D67*S130*Total_Number_Units/12</f>
        <v/>
      </c>
      <c r="T67" s="780">
        <f>+$D67*T130*Total_Number_Units/12</f>
        <v/>
      </c>
      <c r="U67" s="780">
        <f>+$D67*U130*Total_Number_Units/12</f>
        <v/>
      </c>
      <c r="V67" s="780">
        <f>+$D67*V130*Total_Number_Units/12</f>
        <v/>
      </c>
      <c r="W67" s="780">
        <f>+$D67*W130*Total_Number_Units/12</f>
        <v/>
      </c>
      <c r="X67" s="780">
        <f>+$D67*X130*Total_Number_Units/12</f>
        <v/>
      </c>
      <c r="Y67" s="780">
        <f>+$D67*Y130*Total_Number_Units/12</f>
        <v/>
      </c>
      <c r="Z67" s="780">
        <f>+$D67*Z130*Total_Number_Units/12</f>
        <v/>
      </c>
      <c r="AA67" s="780">
        <f>+$D67*AA130*Total_Number_Units/12</f>
        <v/>
      </c>
      <c r="AB67" s="780">
        <f>+$D67*AB130*Total_Number_Units/12</f>
        <v/>
      </c>
      <c r="AC67" s="780">
        <f>+$D67*AC130*Total_Number_Units/12</f>
        <v/>
      </c>
      <c r="AD67" s="780">
        <f>+$D67*AD130*Total_Number_Units/12</f>
        <v/>
      </c>
      <c r="AE67" s="780">
        <f>+$D67*AE130*Total_Number_Units/12</f>
        <v/>
      </c>
      <c r="AF67" s="780">
        <f>+$D67*AF130*Total_Number_Units/12</f>
        <v/>
      </c>
      <c r="AG67" s="780">
        <f>+$D67*AG130*Total_Number_Units/12</f>
        <v/>
      </c>
      <c r="AH67" s="780">
        <f>+$D67*AH130*Total_Number_Units/12</f>
        <v/>
      </c>
      <c r="AI67" s="780">
        <f>+$D67*AI130*Total_Number_Units/12</f>
        <v/>
      </c>
      <c r="AJ67" s="780">
        <f>+$D67*AJ130*Total_Number_Units/12</f>
        <v/>
      </c>
      <c r="AK67" s="780">
        <f>+$D67*AK130*Total_Number_Units/12</f>
        <v/>
      </c>
      <c r="AL67" s="780">
        <f>+$D67*AL130*Total_Number_Units/12</f>
        <v/>
      </c>
      <c r="AM67" s="780">
        <f>+$D67*AM130*Total_Number_Units/12</f>
        <v/>
      </c>
      <c r="AN67" s="780">
        <f>+$D67*AN130*Total_Number_Units/12</f>
        <v/>
      </c>
      <c r="AO67" s="735" t="n"/>
      <c r="AP67" s="744" t="n"/>
      <c r="AQ67" s="735" t="n"/>
      <c r="AR67" s="735" t="n"/>
      <c r="AS67" s="735" t="n"/>
    </row>
    <row r="68">
      <c r="C68" s="735" t="inlineStr">
        <is>
          <t>REAL ESTATE TAXES</t>
        </is>
      </c>
      <c r="D68" s="1272">
        <f>+Summary!F208</f>
        <v/>
      </c>
      <c r="E68" s="780">
        <f>+$D68*E131*Total_Number_Units/12</f>
        <v/>
      </c>
      <c r="F68" s="780">
        <f>+$D68*F131*Total_Number_Units/12</f>
        <v/>
      </c>
      <c r="G68" s="780">
        <f>+$D68*G131*Total_Number_Units/12</f>
        <v/>
      </c>
      <c r="H68" s="780">
        <f>+$D68*H131*Total_Number_Units/12</f>
        <v/>
      </c>
      <c r="I68" s="780">
        <f>+$D68*I131*Total_Number_Units/12</f>
        <v/>
      </c>
      <c r="J68" s="780">
        <f>+$D68*J131*Total_Number_Units/12</f>
        <v/>
      </c>
      <c r="K68" s="780">
        <f>+$D68*K131*Total_Number_Units/12</f>
        <v/>
      </c>
      <c r="L68" s="780">
        <f>+$D68*L131*Total_Number_Units/12</f>
        <v/>
      </c>
      <c r="M68" s="780">
        <f>+$D68*M131*Total_Number_Units/12</f>
        <v/>
      </c>
      <c r="N68" s="780">
        <f>+$D68*N131*Total_Number_Units/12</f>
        <v/>
      </c>
      <c r="O68" s="780">
        <f>+$D68*O131*Total_Number_Units/12</f>
        <v/>
      </c>
      <c r="P68" s="780">
        <f>+$D68*P131*Total_Number_Units/12</f>
        <v/>
      </c>
      <c r="Q68" s="780">
        <f>+$D68*Q131*Total_Number_Units/12</f>
        <v/>
      </c>
      <c r="R68" s="780">
        <f>+$D68*R131*Total_Number_Units/12</f>
        <v/>
      </c>
      <c r="S68" s="780">
        <f>+$D68*S131*Total_Number_Units/12</f>
        <v/>
      </c>
      <c r="T68" s="780">
        <f>+$D68*T131*Total_Number_Units/12</f>
        <v/>
      </c>
      <c r="U68" s="780">
        <f>+$D68*U131*Total_Number_Units/12</f>
        <v/>
      </c>
      <c r="V68" s="780">
        <f>+$D68*V131*Total_Number_Units/12</f>
        <v/>
      </c>
      <c r="W68" s="780">
        <f>+$D68*W131*Total_Number_Units/12</f>
        <v/>
      </c>
      <c r="X68" s="780">
        <f>+$D68*X131*Total_Number_Units/12</f>
        <v/>
      </c>
      <c r="Y68" s="780">
        <f>+$D68*Y131*Total_Number_Units/12</f>
        <v/>
      </c>
      <c r="Z68" s="780">
        <f>+$D68*Z131*Total_Number_Units/12</f>
        <v/>
      </c>
      <c r="AA68" s="780">
        <f>+$D68*AA131*Total_Number_Units/12</f>
        <v/>
      </c>
      <c r="AB68" s="780">
        <f>+$D68*AB131*Total_Number_Units/12</f>
        <v/>
      </c>
      <c r="AC68" s="780">
        <f>+$D68*AC131*Total_Number_Units/12</f>
        <v/>
      </c>
      <c r="AD68" s="780">
        <f>+$D68*AD131*Total_Number_Units/12</f>
        <v/>
      </c>
      <c r="AE68" s="780">
        <f>+$D68*AE131*Total_Number_Units/12</f>
        <v/>
      </c>
      <c r="AF68" s="780">
        <f>+$D68*AF131*Total_Number_Units/12</f>
        <v/>
      </c>
      <c r="AG68" s="780">
        <f>+$D68*AG131*Total_Number_Units/12</f>
        <v/>
      </c>
      <c r="AH68" s="780">
        <f>+$D68*AH131*Total_Number_Units/12</f>
        <v/>
      </c>
      <c r="AI68" s="780">
        <f>+$D68*AI131*Total_Number_Units/12</f>
        <v/>
      </c>
      <c r="AJ68" s="780">
        <f>+$D68*AJ131*Total_Number_Units/12</f>
        <v/>
      </c>
      <c r="AK68" s="780">
        <f>+$D68*AK131*Total_Number_Units/12</f>
        <v/>
      </c>
      <c r="AL68" s="780">
        <f>+$D68*AL131*Total_Number_Units/12</f>
        <v/>
      </c>
      <c r="AM68" s="780">
        <f>+$D68*AM131*Total_Number_Units/12</f>
        <v/>
      </c>
      <c r="AN68" s="780">
        <f>+$D68*AN131*Total_Number_Units/12</f>
        <v/>
      </c>
      <c r="AO68" s="735" t="n"/>
      <c r="AP68" s="744" t="n"/>
      <c r="AQ68" s="735" t="n"/>
      <c r="AR68" s="735" t="n"/>
      <c r="AS68" s="735" t="n"/>
    </row>
    <row r="69">
      <c r="C69" s="735" t="inlineStr">
        <is>
          <t>TOTAL EXPENSES</t>
        </is>
      </c>
      <c r="D69" s="780" t="n"/>
      <c r="E69" s="780">
        <f>SUM(E59:E68)</f>
        <v/>
      </c>
      <c r="F69" s="780">
        <f>SUM(F59:F68)</f>
        <v/>
      </c>
      <c r="G69" s="780">
        <f>SUM(G59:G68)</f>
        <v/>
      </c>
      <c r="H69" s="780">
        <f>SUM(H59:H68)</f>
        <v/>
      </c>
      <c r="I69" s="780">
        <f>SUM(I59:I68)</f>
        <v/>
      </c>
      <c r="J69" s="780">
        <f>SUM(J59:J68)</f>
        <v/>
      </c>
      <c r="K69" s="780">
        <f>SUM(K59:K68)</f>
        <v/>
      </c>
      <c r="L69" s="780">
        <f>SUM(L59:L68)</f>
        <v/>
      </c>
      <c r="M69" s="780">
        <f>SUM(M59:M68)</f>
        <v/>
      </c>
      <c r="N69" s="780">
        <f>SUM(N59:N68)</f>
        <v/>
      </c>
      <c r="O69" s="780">
        <f>SUM(O59:O68)</f>
        <v/>
      </c>
      <c r="P69" s="780">
        <f>SUM(P59:P68)</f>
        <v/>
      </c>
      <c r="Q69" s="780">
        <f>SUM(Q59:Q68)</f>
        <v/>
      </c>
      <c r="R69" s="780">
        <f>SUM(R59:R68)</f>
        <v/>
      </c>
      <c r="S69" s="780">
        <f>SUM(S59:S68)</f>
        <v/>
      </c>
      <c r="T69" s="780">
        <f>SUM(T59:T68)</f>
        <v/>
      </c>
      <c r="U69" s="780">
        <f>SUM(U59:U68)</f>
        <v/>
      </c>
      <c r="V69" s="780">
        <f>SUM(V59:V68)</f>
        <v/>
      </c>
      <c r="W69" s="780">
        <f>SUM(W59:W68)</f>
        <v/>
      </c>
      <c r="X69" s="780">
        <f>SUM(X59:X68)</f>
        <v/>
      </c>
      <c r="Y69" s="780">
        <f>SUM(Y59:Y68)</f>
        <v/>
      </c>
      <c r="Z69" s="780">
        <f>SUM(Z59:Z68)</f>
        <v/>
      </c>
      <c r="AA69" s="780">
        <f>SUM(AA59:AA68)</f>
        <v/>
      </c>
      <c r="AB69" s="780">
        <f>SUM(AB59:AB68)</f>
        <v/>
      </c>
      <c r="AC69" s="780">
        <f>SUM(AC59:AC68)</f>
        <v/>
      </c>
      <c r="AD69" s="780">
        <f>SUM(AD59:AD68)</f>
        <v/>
      </c>
      <c r="AE69" s="780">
        <f>SUM(AE59:AE68)</f>
        <v/>
      </c>
      <c r="AF69" s="780">
        <f>SUM(AF59:AF68)</f>
        <v/>
      </c>
      <c r="AG69" s="780">
        <f>SUM(AG59:AG68)</f>
        <v/>
      </c>
      <c r="AH69" s="780">
        <f>SUM(AH59:AH68)</f>
        <v/>
      </c>
      <c r="AI69" s="780">
        <f>SUM(AI59:AI68)</f>
        <v/>
      </c>
      <c r="AJ69" s="780">
        <f>SUM(AJ59:AJ68)</f>
        <v/>
      </c>
      <c r="AK69" s="780">
        <f>SUM(AK59:AK68)</f>
        <v/>
      </c>
      <c r="AL69" s="780">
        <f>SUM(AL59:AL68)</f>
        <v/>
      </c>
      <c r="AM69" s="780">
        <f>SUM(AM59:AM68)</f>
        <v/>
      </c>
      <c r="AN69" s="780">
        <f>SUM(AN59:AN68)</f>
        <v/>
      </c>
      <c r="AO69" s="735" t="n"/>
      <c r="AP69" s="744" t="n"/>
      <c r="AQ69" s="1038" t="n"/>
      <c r="AR69" s="1038" t="n"/>
      <c r="AS69" s="1048" t="n"/>
    </row>
    <row r="70">
      <c r="C70" s="735" t="n"/>
      <c r="D70" s="780" t="n"/>
      <c r="E70" s="780" t="n"/>
      <c r="F70" s="780" t="n"/>
      <c r="G70" s="780" t="n"/>
      <c r="H70" s="780" t="n"/>
      <c r="I70" s="780" t="n"/>
      <c r="J70" s="780" t="n"/>
      <c r="K70" s="780" t="n"/>
      <c r="L70" s="780" t="n"/>
      <c r="M70" s="780" t="n"/>
      <c r="N70" s="780" t="n"/>
      <c r="O70" s="780" t="n"/>
      <c r="P70" s="780" t="n"/>
      <c r="Q70" s="780" t="n"/>
      <c r="R70" s="780" t="n"/>
      <c r="S70" s="780" t="n"/>
      <c r="T70" s="780" t="n"/>
      <c r="U70" s="780" t="n"/>
      <c r="V70" s="780" t="n"/>
      <c r="W70" s="780" t="n"/>
      <c r="X70" s="780" t="n"/>
      <c r="Y70" s="780" t="n"/>
      <c r="Z70" s="780" t="n"/>
      <c r="AA70" s="780" t="n"/>
      <c r="AB70" s="780" t="n"/>
      <c r="AC70" s="780" t="n"/>
      <c r="AD70" s="780" t="n"/>
      <c r="AE70" s="780" t="n"/>
      <c r="AF70" s="780" t="n"/>
      <c r="AG70" s="780" t="n"/>
      <c r="AH70" s="780" t="n"/>
      <c r="AI70" s="780" t="n"/>
      <c r="AJ70" s="780" t="n"/>
      <c r="AK70" s="780" t="n"/>
      <c r="AL70" s="780" t="n"/>
      <c r="AM70" s="780" t="n"/>
      <c r="AN70" s="780" t="n"/>
      <c r="AO70" s="735" t="n"/>
      <c r="AP70" s="744" t="n"/>
      <c r="AQ70" s="1038" t="n"/>
      <c r="AR70" s="1038" t="n"/>
      <c r="AS70" s="1048" t="n"/>
    </row>
    <row r="71">
      <c r="C71" s="735" t="inlineStr">
        <is>
          <t>NOI: RESIDENTIAL</t>
        </is>
      </c>
      <c r="D71" s="780" t="n"/>
      <c r="E71" s="902">
        <f>E55-E69</f>
        <v/>
      </c>
      <c r="F71" s="902">
        <f>F55-F69</f>
        <v/>
      </c>
      <c r="G71" s="902">
        <f>G55-G69</f>
        <v/>
      </c>
      <c r="H71" s="902">
        <f>H55-H69</f>
        <v/>
      </c>
      <c r="I71" s="902">
        <f>I55-I69</f>
        <v/>
      </c>
      <c r="J71" s="902">
        <f>J55-J69</f>
        <v/>
      </c>
      <c r="K71" s="902">
        <f>K55-K69</f>
        <v/>
      </c>
      <c r="L71" s="902">
        <f>L55-L69</f>
        <v/>
      </c>
      <c r="M71" s="902">
        <f>M55-M69</f>
        <v/>
      </c>
      <c r="N71" s="902">
        <f>N55-N69</f>
        <v/>
      </c>
      <c r="O71" s="902">
        <f>O55-O69</f>
        <v/>
      </c>
      <c r="P71" s="902">
        <f>P55-P69</f>
        <v/>
      </c>
      <c r="Q71" s="902">
        <f>Q55-Q69</f>
        <v/>
      </c>
      <c r="R71" s="902">
        <f>R55-R69</f>
        <v/>
      </c>
      <c r="S71" s="902">
        <f>S55-S69</f>
        <v/>
      </c>
      <c r="T71" s="902">
        <f>T55-T69</f>
        <v/>
      </c>
      <c r="U71" s="902">
        <f>U55-U69</f>
        <v/>
      </c>
      <c r="V71" s="902">
        <f>V55-V69</f>
        <v/>
      </c>
      <c r="W71" s="902">
        <f>W55-W69</f>
        <v/>
      </c>
      <c r="X71" s="902">
        <f>X55-X69</f>
        <v/>
      </c>
      <c r="Y71" s="902">
        <f>Y55-Y69</f>
        <v/>
      </c>
      <c r="Z71" s="902">
        <f>Z55-Z69</f>
        <v/>
      </c>
      <c r="AA71" s="902">
        <f>AA55-AA69</f>
        <v/>
      </c>
      <c r="AB71" s="902">
        <f>AB55-AB69</f>
        <v/>
      </c>
      <c r="AC71" s="902">
        <f>AC55-AC69</f>
        <v/>
      </c>
      <c r="AD71" s="902">
        <f>AD55-AD69</f>
        <v/>
      </c>
      <c r="AE71" s="902">
        <f>AE55-AE69</f>
        <v/>
      </c>
      <c r="AF71" s="902">
        <f>AF55-AF69</f>
        <v/>
      </c>
      <c r="AG71" s="902">
        <f>AG55-AG69</f>
        <v/>
      </c>
      <c r="AH71" s="902">
        <f>AH55-AH69</f>
        <v/>
      </c>
      <c r="AI71" s="902">
        <f>AI55-AI69</f>
        <v/>
      </c>
      <c r="AJ71" s="902">
        <f>AJ55-AJ69</f>
        <v/>
      </c>
      <c r="AK71" s="902">
        <f>AK55-AK69</f>
        <v/>
      </c>
      <c r="AL71" s="902">
        <f>AL55-AL69</f>
        <v/>
      </c>
      <c r="AM71" s="902">
        <f>AM55-AM69</f>
        <v/>
      </c>
      <c r="AN71" s="902">
        <f>AN55-AN69</f>
        <v/>
      </c>
      <c r="AO71" s="735" t="n"/>
      <c r="AP71" s="744" t="n"/>
      <c r="AQ71" s="735" t="n"/>
      <c r="AR71" s="735" t="n"/>
      <c r="AS71" s="735" t="n"/>
    </row>
    <row r="72">
      <c r="C72" s="735" t="n"/>
      <c r="D72" s="780" t="n"/>
      <c r="E72" s="780" t="n"/>
      <c r="F72" s="780" t="n"/>
      <c r="G72" s="780" t="n"/>
      <c r="H72" s="780" t="n"/>
      <c r="I72" s="780" t="n"/>
      <c r="J72" s="780" t="n"/>
      <c r="K72" s="780" t="n"/>
      <c r="L72" s="780" t="n"/>
      <c r="M72" s="780" t="n"/>
      <c r="N72" s="780" t="n"/>
      <c r="O72" s="780" t="n"/>
      <c r="P72" s="780" t="n"/>
      <c r="Q72" s="78" t="n"/>
      <c r="R72" s="78" t="n"/>
      <c r="S72" s="78" t="n"/>
      <c r="T72" s="78" t="n"/>
      <c r="U72" s="780" t="n"/>
      <c r="V72" s="780" t="n"/>
      <c r="W72" s="780" t="n"/>
      <c r="X72" s="780" t="n"/>
      <c r="Y72" s="780" t="n"/>
      <c r="Z72" s="780" t="n"/>
      <c r="AA72" s="780" t="n"/>
      <c r="AB72" s="780" t="n"/>
      <c r="AC72" s="780" t="n"/>
      <c r="AD72" s="780" t="n"/>
      <c r="AE72" s="780" t="n"/>
      <c r="AF72" s="780" t="n"/>
      <c r="AG72" s="780" t="n"/>
      <c r="AH72" s="780" t="n"/>
      <c r="AI72" s="780" t="n"/>
      <c r="AJ72" s="780" t="n"/>
      <c r="AK72" s="780" t="n"/>
      <c r="AL72" s="780" t="n"/>
      <c r="AM72" s="780" t="n"/>
      <c r="AN72" s="780" t="n"/>
      <c r="AO72" s="735" t="n"/>
      <c r="AP72" s="744" t="n"/>
      <c r="AQ72" s="735" t="n"/>
      <c r="AR72" s="735" t="n"/>
      <c r="AS72" s="735" t="n"/>
    </row>
    <row r="73" customFormat="1" s="44">
      <c r="C73" s="347" t="inlineStr">
        <is>
          <t>RESIDENTIAL EXPENSE %</t>
        </is>
      </c>
      <c r="D73" s="76" t="n"/>
      <c r="E73" s="581">
        <f>E69/(Summary!$E$210/12)</f>
        <v/>
      </c>
      <c r="F73" s="581">
        <f>F69/(Summary!$E$210/12)</f>
        <v/>
      </c>
      <c r="G73" s="581">
        <f>G69/(Summary!$E$210/12)</f>
        <v/>
      </c>
      <c r="H73" s="581">
        <f>H69/(Summary!$E$210/12)</f>
        <v/>
      </c>
      <c r="I73" s="581">
        <f>I69/(Summary!$E$210/12)</f>
        <v/>
      </c>
      <c r="J73" s="581">
        <f>J69/(Summary!$E$210/12)</f>
        <v/>
      </c>
      <c r="K73" s="581">
        <f>K69/(Summary!$E$210/12)</f>
        <v/>
      </c>
      <c r="L73" s="581">
        <f>L69/(Summary!$E$210/12)</f>
        <v/>
      </c>
      <c r="M73" s="581">
        <f>M69/(Summary!$E$210/12)</f>
        <v/>
      </c>
      <c r="N73" s="581">
        <f>N69/(Summary!$E$210/12)</f>
        <v/>
      </c>
      <c r="O73" s="581">
        <f>O69/(Summary!$E$210/12)</f>
        <v/>
      </c>
      <c r="P73" s="581">
        <f>P69/(Summary!$E$210/12)</f>
        <v/>
      </c>
      <c r="Q73" s="581">
        <f>Q69/(Summary!$E$210/12)</f>
        <v/>
      </c>
      <c r="R73" s="581">
        <f>R69/(Summary!$E$210/12)</f>
        <v/>
      </c>
      <c r="S73" s="581">
        <f>S69/(Summary!$E$210/12)</f>
        <v/>
      </c>
      <c r="T73" s="581">
        <f>T69/(Summary!$E$210/12)</f>
        <v/>
      </c>
      <c r="U73" s="581">
        <f>U69/(Summary!$E$210/12)</f>
        <v/>
      </c>
      <c r="V73" s="581">
        <f>V69/(Summary!$E$210/12)</f>
        <v/>
      </c>
      <c r="W73" s="581">
        <f>W69/(Summary!$E$210/12)</f>
        <v/>
      </c>
      <c r="X73" s="581">
        <f>X69/(Summary!$E$210/12)</f>
        <v/>
      </c>
      <c r="Y73" s="581">
        <f>Y69/(Summary!$E$210/12)</f>
        <v/>
      </c>
      <c r="Z73" s="581">
        <f>Z69/(Summary!$E$210/12)</f>
        <v/>
      </c>
      <c r="AA73" s="581">
        <f>AA69/(Summary!$E$210/12)</f>
        <v/>
      </c>
      <c r="AB73" s="581">
        <f>AB69/(Summary!$E$210/12)</f>
        <v/>
      </c>
      <c r="AC73" s="581">
        <f>AC69/(Summary!$E$210/12)</f>
        <v/>
      </c>
      <c r="AD73" s="581">
        <f>AD69/(Summary!$E$210/12)</f>
        <v/>
      </c>
      <c r="AE73" s="581">
        <f>AE69/(Summary!$E$210/12)</f>
        <v/>
      </c>
      <c r="AF73" s="581">
        <f>AF69/(Summary!$E$210/12)</f>
        <v/>
      </c>
      <c r="AG73" s="581">
        <f>AG69/(Summary!$E$210/12)</f>
        <v/>
      </c>
      <c r="AH73" s="581">
        <f>AH69/(Summary!$E$210/12)</f>
        <v/>
      </c>
      <c r="AI73" s="581">
        <f>AI69/(Summary!$E$210/12)</f>
        <v/>
      </c>
      <c r="AJ73" s="581">
        <f>AJ69/(Summary!$E$210/12)</f>
        <v/>
      </c>
      <c r="AK73" s="581">
        <f>AK69/(Summary!$E$210/12)</f>
        <v/>
      </c>
      <c r="AL73" s="581">
        <f>AL69/(Summary!$E$210/12)</f>
        <v/>
      </c>
      <c r="AM73" s="581">
        <f>AM69/(Summary!$E$210/12)</f>
        <v/>
      </c>
      <c r="AN73" s="581">
        <f>AN69/(Summary!$E$210/12)</f>
        <v/>
      </c>
      <c r="AP73" s="48" t="n"/>
    </row>
    <row r="74">
      <c r="C74" s="735" t="n"/>
      <c r="D74" s="780" t="n"/>
      <c r="E74" s="780" t="n"/>
      <c r="F74" s="780" t="n"/>
      <c r="G74" s="780" t="n"/>
      <c r="H74" s="780" t="n"/>
      <c r="I74" s="780" t="n"/>
      <c r="J74" s="780" t="n"/>
      <c r="K74" s="780" t="n"/>
      <c r="L74" s="780" t="n"/>
      <c r="M74" s="780" t="n"/>
      <c r="N74" s="780" t="n"/>
      <c r="O74" s="780" t="n"/>
      <c r="P74" s="780" t="n"/>
      <c r="Q74" s="78" t="n"/>
      <c r="R74" s="78" t="n"/>
      <c r="S74" s="78" t="n"/>
      <c r="T74" s="78" t="n"/>
      <c r="U74" s="78" t="n"/>
      <c r="V74" s="78" t="n"/>
      <c r="W74" s="78" t="n"/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8" t="n"/>
      <c r="AK74" s="78" t="n"/>
      <c r="AL74" s="78" t="n"/>
      <c r="AM74" s="78" t="n"/>
      <c r="AN74" s="78" t="n"/>
      <c r="AO74" s="735" t="n"/>
      <c r="AP74" s="744" t="n"/>
      <c r="AQ74" s="735" t="n"/>
      <c r="AR74" s="735" t="n"/>
      <c r="AS74" s="735" t="n"/>
    </row>
    <row r="75">
      <c r="C75" s="735" t="inlineStr">
        <is>
          <t>OCCUPANCY - RETAIL</t>
        </is>
      </c>
      <c r="D75" s="780" t="n"/>
      <c r="E75" s="947">
        <f>+E44/$AN$42</f>
        <v/>
      </c>
      <c r="F75" s="947">
        <f>+F44/$AN$42</f>
        <v/>
      </c>
      <c r="G75" s="947">
        <f>+G44/$AN$42</f>
        <v/>
      </c>
      <c r="H75" s="947">
        <f>+H44/$AN$42</f>
        <v/>
      </c>
      <c r="I75" s="947">
        <f>+I44/$AN$42</f>
        <v/>
      </c>
      <c r="J75" s="947">
        <f>+J44/$AN$42</f>
        <v/>
      </c>
      <c r="K75" s="947">
        <f>+K44/$AN$42</f>
        <v/>
      </c>
      <c r="L75" s="947">
        <f>+L44/$AN$42</f>
        <v/>
      </c>
      <c r="M75" s="947">
        <f>+M44/$AN$42</f>
        <v/>
      </c>
      <c r="N75" s="947">
        <f>+N44/$AN$42</f>
        <v/>
      </c>
      <c r="O75" s="947">
        <f>+O44/$AN$42</f>
        <v/>
      </c>
      <c r="P75" s="947">
        <f>+P44/$AN$42</f>
        <v/>
      </c>
      <c r="Q75" s="947">
        <f>+Q44/$AN$42</f>
        <v/>
      </c>
      <c r="R75" s="947">
        <f>+R44/$AN$42</f>
        <v/>
      </c>
      <c r="S75" s="947">
        <f>+S44/$AN$42</f>
        <v/>
      </c>
      <c r="T75" s="947">
        <f>+T44/$AN$42</f>
        <v/>
      </c>
      <c r="U75" s="947">
        <f>+U44/$AN$42</f>
        <v/>
      </c>
      <c r="V75" s="947">
        <f>+V44/$AN$42</f>
        <v/>
      </c>
      <c r="W75" s="947">
        <f>+W44/$AN$42</f>
        <v/>
      </c>
      <c r="X75" s="947">
        <f>+X44/$AN$42</f>
        <v/>
      </c>
      <c r="Y75" s="947">
        <f>+Y44/$AN$42</f>
        <v/>
      </c>
      <c r="Z75" s="947">
        <f>+Z44/$AN$42</f>
        <v/>
      </c>
      <c r="AA75" s="947">
        <f>+AA44/$AN$42</f>
        <v/>
      </c>
      <c r="AB75" s="947">
        <f>+AB44/$AN$42</f>
        <v/>
      </c>
      <c r="AC75" s="947">
        <f>+AC44/$AN$42</f>
        <v/>
      </c>
      <c r="AD75" s="947">
        <f>+AD44/$AN$42</f>
        <v/>
      </c>
      <c r="AE75" s="947">
        <f>+AE44/$AN$42</f>
        <v/>
      </c>
      <c r="AF75" s="947">
        <f>+AF44/$AN$42</f>
        <v/>
      </c>
      <c r="AG75" s="947">
        <f>+AG44/$AN$42</f>
        <v/>
      </c>
      <c r="AH75" s="947">
        <f>+AH44/$AN$42</f>
        <v/>
      </c>
      <c r="AI75" s="947">
        <f>+AI44/$AN$42</f>
        <v/>
      </c>
      <c r="AJ75" s="947">
        <f>+AJ44/$AN$42</f>
        <v/>
      </c>
      <c r="AK75" s="947">
        <f>+AK44/$AN$42</f>
        <v/>
      </c>
      <c r="AL75" s="947">
        <f>+AL44/$AN$42</f>
        <v/>
      </c>
      <c r="AM75" s="947">
        <f>+AM44/$AN$42</f>
        <v/>
      </c>
      <c r="AN75" s="947">
        <f>+AN44/$AN$42</f>
        <v/>
      </c>
      <c r="AO75" s="735" t="n"/>
      <c r="AP75" s="744" t="n"/>
      <c r="AQ75" s="735" t="n"/>
      <c r="AR75" s="735" t="n"/>
      <c r="AS75" s="735" t="n"/>
    </row>
    <row r="76">
      <c r="C76" s="735" t="inlineStr">
        <is>
          <t>NOI: RETAIL</t>
        </is>
      </c>
      <c r="D76" s="780" t="n"/>
      <c r="E76" s="904">
        <f>MAX(0,E75*Summary!$K$103/12-Summary!$K$123/12)</f>
        <v/>
      </c>
      <c r="F76" s="904">
        <f>MAX(0,F75*Summary!$K$103/12-Summary!$K$123/12)</f>
        <v/>
      </c>
      <c r="G76" s="904">
        <f>MAX(0,G75*Summary!$K$103/12-Summary!$K$123/12)</f>
        <v/>
      </c>
      <c r="H76" s="904">
        <f>MAX(0,H75*Summary!$K$103/12-Summary!$K$123/12)</f>
        <v/>
      </c>
      <c r="I76" s="904">
        <f>MAX(0,I75*Summary!$K$103/12-Summary!$K$123/12)</f>
        <v/>
      </c>
      <c r="J76" s="904">
        <f>MAX(0,J75*Summary!$K$103/12-Summary!$K$123/12)</f>
        <v/>
      </c>
      <c r="K76" s="904">
        <f>MAX(0,K75*Summary!$K$103/12-Summary!$K$123/12)</f>
        <v/>
      </c>
      <c r="L76" s="904">
        <f>MAX(0,L75*Summary!$K$103/12-Summary!$K$123/12)</f>
        <v/>
      </c>
      <c r="M76" s="904">
        <f>MAX(0,M75*Summary!$K$103/12-Summary!$K$123/12)</f>
        <v/>
      </c>
      <c r="N76" s="904">
        <f>MAX(0,N75*Summary!$K$103/12-Summary!$K$123/12)</f>
        <v/>
      </c>
      <c r="O76" s="904">
        <f>MAX(0,O75*Summary!$K$103/12-Summary!$K$123/12)</f>
        <v/>
      </c>
      <c r="P76" s="904">
        <f>MAX(0,P75*Summary!$K$103/12-Summary!$K$123/12)</f>
        <v/>
      </c>
      <c r="Q76" s="904">
        <f>MAX(0,Q75*Summary!$K$103/12-Summary!$K$123/12)</f>
        <v/>
      </c>
      <c r="R76" s="904">
        <f>MAX(0,R75*Summary!$K$103/12-Summary!$K$123/12)</f>
        <v/>
      </c>
      <c r="S76" s="904">
        <f>MAX(0,S75*Summary!$K$103/12-Summary!$K$123/12)</f>
        <v/>
      </c>
      <c r="T76" s="904">
        <f>MAX(0,T75*Summary!$K$103/12-Summary!$K$123/12)</f>
        <v/>
      </c>
      <c r="U76" s="904">
        <f>MAX(0,U75*Summary!$K$103/12-Summary!$K$123/12)</f>
        <v/>
      </c>
      <c r="V76" s="904">
        <f>MAX(0,V75*Summary!$K$103/12-Summary!$K$123/12)</f>
        <v/>
      </c>
      <c r="W76" s="904">
        <f>MAX(0,W75*Summary!$K$103/12-Summary!$K$123/12)</f>
        <v/>
      </c>
      <c r="X76" s="904">
        <f>MAX(0,X75*Summary!$K$103/12-Summary!$K$123/12)</f>
        <v/>
      </c>
      <c r="Y76" s="904">
        <f>MAX(0,Y75*Summary!$K$103/12-Summary!$K$123/12)</f>
        <v/>
      </c>
      <c r="Z76" s="904">
        <f>MAX(0,Z75*Summary!$K$103/12-Summary!$K$123/12)</f>
        <v/>
      </c>
      <c r="AA76" s="904">
        <f>MAX(0,AA75*Summary!$K$103/12-Summary!$K$123/12)</f>
        <v/>
      </c>
      <c r="AB76" s="904">
        <f>MAX(0,AB75*Summary!$K$103/12-Summary!$K$123/12)</f>
        <v/>
      </c>
      <c r="AC76" s="904">
        <f>MAX(0,AC75*Summary!$K$103/12-Summary!$K$123/12)</f>
        <v/>
      </c>
      <c r="AD76" s="904">
        <f>MAX(0,AD75*Summary!$K$103/12-Summary!$K$123/12)</f>
        <v/>
      </c>
      <c r="AE76" s="904">
        <f>MAX(0,AE75*Summary!$K$103/12-Summary!$K$123/12)</f>
        <v/>
      </c>
      <c r="AF76" s="904">
        <f>MAX(0,AF75*Summary!$K$103/12-Summary!$K$123/12)</f>
        <v/>
      </c>
      <c r="AG76" s="904">
        <f>MAX(0,AG75*Summary!$K$103/12-Summary!$K$123/12)</f>
        <v/>
      </c>
      <c r="AH76" s="904">
        <f>MAX(0,AH75*Summary!$K$103/12-Summary!$K$123/12)</f>
        <v/>
      </c>
      <c r="AI76" s="904">
        <f>MAX(0,AI75*Summary!$K$103/12-Summary!$K$123/12)</f>
        <v/>
      </c>
      <c r="AJ76" s="904">
        <f>MAX(0,AJ75*Summary!$K$103/12-Summary!$K$123/12)</f>
        <v/>
      </c>
      <c r="AK76" s="904">
        <f>MAX(0,AK75*Summary!$K$103/12-Summary!$K$123/12)</f>
        <v/>
      </c>
      <c r="AL76" s="904">
        <f>MAX(0,AL75*Summary!$K$103/12-Summary!$K$123/12)</f>
        <v/>
      </c>
      <c r="AM76" s="904">
        <f>MAX(0,AM75*Summary!$K$103/12-Summary!$K$123/12)</f>
        <v/>
      </c>
      <c r="AN76" s="904">
        <f>MAX(0,AN75*Summary!$K$103/12-Summary!$K$123/12)</f>
        <v/>
      </c>
      <c r="AO76" s="735" t="n"/>
      <c r="AP76" s="744" t="n"/>
      <c r="AQ76" s="1038" t="n"/>
      <c r="AR76" s="1038" t="n"/>
      <c r="AS76" s="1048" t="n"/>
    </row>
    <row r="77">
      <c r="C77" s="735" t="n"/>
      <c r="D77" s="780" t="n"/>
      <c r="E77" s="780" t="n"/>
      <c r="F77" s="780" t="n"/>
      <c r="G77" s="780" t="n"/>
      <c r="H77" s="780" t="n"/>
      <c r="I77" s="780" t="n"/>
      <c r="J77" s="780" t="n"/>
      <c r="K77" s="780" t="n"/>
      <c r="L77" s="780" t="n"/>
      <c r="M77" s="780" t="n"/>
      <c r="N77" s="780" t="n"/>
      <c r="O77" s="780" t="n"/>
      <c r="P77" s="780" t="n"/>
      <c r="Q77" s="780" t="n"/>
      <c r="R77" s="780" t="n"/>
      <c r="S77" s="780" t="n"/>
      <c r="T77" s="780" t="n"/>
      <c r="U77" s="780" t="n"/>
      <c r="V77" s="780" t="n"/>
      <c r="W77" s="780" t="n"/>
      <c r="X77" s="780" t="n"/>
      <c r="Y77" s="780" t="n"/>
      <c r="Z77" s="780" t="n"/>
      <c r="AA77" s="780" t="n"/>
      <c r="AB77" s="780" t="n"/>
      <c r="AC77" s="780" t="n"/>
      <c r="AD77" s="780" t="n"/>
      <c r="AE77" s="780" t="n"/>
      <c r="AF77" s="780" t="n"/>
      <c r="AG77" s="780" t="n"/>
      <c r="AH77" s="780" t="n"/>
      <c r="AI77" s="780" t="n"/>
      <c r="AJ77" s="780" t="n"/>
      <c r="AK77" s="780" t="n"/>
      <c r="AL77" s="780" t="n"/>
      <c r="AM77" s="780" t="n"/>
      <c r="AN77" s="780" t="n"/>
      <c r="AO77" s="735" t="n"/>
      <c r="AP77" s="744" t="n"/>
      <c r="AQ77" s="735" t="n"/>
      <c r="AR77" s="735" t="n"/>
      <c r="AS77" s="735" t="n"/>
    </row>
    <row r="78">
      <c r="C78" s="9" t="inlineStr">
        <is>
          <t>NOI - TOTAL</t>
        </is>
      </c>
      <c r="D78" s="780" t="n"/>
      <c r="E78" s="79">
        <f>+E71+E76</f>
        <v/>
      </c>
      <c r="F78" s="79">
        <f>+F71+F76</f>
        <v/>
      </c>
      <c r="G78" s="79">
        <f>+G71+G76</f>
        <v/>
      </c>
      <c r="H78" s="79">
        <f>+H71+H76</f>
        <v/>
      </c>
      <c r="I78" s="79">
        <f>+I71+I76</f>
        <v/>
      </c>
      <c r="J78" s="79">
        <f>+J71+J76</f>
        <v/>
      </c>
      <c r="K78" s="79">
        <f>+K71+K76</f>
        <v/>
      </c>
      <c r="L78" s="79">
        <f>+L71+L76</f>
        <v/>
      </c>
      <c r="M78" s="79">
        <f>+M71+M76</f>
        <v/>
      </c>
      <c r="N78" s="79">
        <f>+N71+N76</f>
        <v/>
      </c>
      <c r="O78" s="79">
        <f>+O71+O76</f>
        <v/>
      </c>
      <c r="P78" s="79">
        <f>+P71+P76</f>
        <v/>
      </c>
      <c r="Q78" s="79">
        <f>+Q71+Q76</f>
        <v/>
      </c>
      <c r="R78" s="79">
        <f>+R71+R76</f>
        <v/>
      </c>
      <c r="S78" s="79">
        <f>+S71+S76</f>
        <v/>
      </c>
      <c r="T78" s="79">
        <f>+T71+T76</f>
        <v/>
      </c>
      <c r="U78" s="79">
        <f>+U71+U76</f>
        <v/>
      </c>
      <c r="V78" s="79">
        <f>+V71+V76</f>
        <v/>
      </c>
      <c r="W78" s="79">
        <f>+W71+W76</f>
        <v/>
      </c>
      <c r="X78" s="79">
        <f>+X71+X76</f>
        <v/>
      </c>
      <c r="Y78" s="79">
        <f>+Y71+Y76</f>
        <v/>
      </c>
      <c r="Z78" s="79">
        <f>+Z71+Z76</f>
        <v/>
      </c>
      <c r="AA78" s="79">
        <f>+AA71+AA76</f>
        <v/>
      </c>
      <c r="AB78" s="79">
        <f>+AB71+AB76</f>
        <v/>
      </c>
      <c r="AC78" s="79">
        <f>+AC71+AC76</f>
        <v/>
      </c>
      <c r="AD78" s="79">
        <f>+AD71+AD76</f>
        <v/>
      </c>
      <c r="AE78" s="79">
        <f>+AE71+AE76</f>
        <v/>
      </c>
      <c r="AF78" s="79">
        <f>+AF71+AF76</f>
        <v/>
      </c>
      <c r="AG78" s="79">
        <f>+AG71+AG76</f>
        <v/>
      </c>
      <c r="AH78" s="79">
        <f>+AH71+AH76</f>
        <v/>
      </c>
      <c r="AI78" s="79">
        <f>+AI71+AI76</f>
        <v/>
      </c>
      <c r="AJ78" s="79">
        <f>+AJ71+AJ76</f>
        <v/>
      </c>
      <c r="AK78" s="79">
        <f>+AK71+AK76</f>
        <v/>
      </c>
      <c r="AL78" s="79">
        <f>+AL71+AL76</f>
        <v/>
      </c>
      <c r="AM78" s="79">
        <f>+AM71+AM76</f>
        <v/>
      </c>
      <c r="AN78" s="79">
        <f>+AN71+AN76</f>
        <v/>
      </c>
      <c r="AO78" s="735" t="n"/>
      <c r="AP78" s="744" t="n"/>
      <c r="AQ78" s="735" t="n"/>
      <c r="AR78" s="735" t="n"/>
      <c r="AS78" s="735" t="n"/>
    </row>
    <row r="79">
      <c r="C79" s="735" t="n"/>
      <c r="D79" s="735" t="n"/>
      <c r="E79" s="735" t="n"/>
      <c r="F79" s="735" t="n"/>
      <c r="G79" s="735" t="n"/>
      <c r="H79" s="735" t="n"/>
      <c r="I79" s="735" t="n"/>
      <c r="J79" s="735" t="n"/>
      <c r="K79" s="735" t="n"/>
      <c r="L79" s="735" t="n"/>
      <c r="M79" s="735" t="n"/>
      <c r="N79" s="735" t="n"/>
      <c r="O79" s="735" t="n"/>
      <c r="P79" s="776" t="n"/>
      <c r="Q79" s="735" t="n"/>
      <c r="R79" s="859" t="n"/>
      <c r="S79" s="859" t="n"/>
      <c r="T79" s="859" t="n"/>
      <c r="U79" s="735" t="n"/>
      <c r="V79" s="735" t="n"/>
      <c r="W79" s="735" t="n"/>
      <c r="X79" s="735" t="n"/>
      <c r="Y79" s="735" t="n"/>
      <c r="Z79" s="735" t="n"/>
      <c r="AA79" s="735" t="n"/>
      <c r="AB79" s="735" t="n"/>
      <c r="AC79" s="735" t="n"/>
      <c r="AD79" s="735" t="n"/>
      <c r="AE79" s="735" t="n"/>
      <c r="AF79" s="735" t="n"/>
      <c r="AG79" s="735" t="n"/>
      <c r="AH79" s="735" t="n"/>
      <c r="AI79" s="735" t="n"/>
      <c r="AJ79" s="735" t="n"/>
      <c r="AK79" s="735" t="n"/>
      <c r="AL79" s="735" t="n"/>
      <c r="AM79" s="735" t="n"/>
      <c r="AN79" s="735" t="n"/>
      <c r="AO79" s="735" t="n"/>
      <c r="AP79" s="744" t="n"/>
      <c r="AQ79" s="735" t="n"/>
      <c r="AR79" s="735" t="n"/>
      <c r="AS79" s="735" t="n"/>
    </row>
    <row r="80">
      <c r="C80" s="7" t="inlineStr">
        <is>
          <t>RETAIL SALE (N/A)</t>
        </is>
      </c>
      <c r="D80" s="735" t="n"/>
      <c r="E80" s="735" t="n"/>
      <c r="F80" s="735" t="n"/>
      <c r="G80" s="735" t="n"/>
      <c r="H80" s="735" t="n"/>
      <c r="I80" s="735" t="n"/>
      <c r="J80" s="735" t="n"/>
      <c r="K80" s="735" t="n"/>
      <c r="L80" s="735" t="n"/>
      <c r="M80" s="735" t="n"/>
      <c r="N80" s="735" t="n"/>
      <c r="O80" s="735" t="n"/>
      <c r="P80" s="776" t="n"/>
      <c r="Q80" s="735" t="n"/>
      <c r="R80" s="735" t="n"/>
      <c r="S80" s="735" t="n"/>
      <c r="T80" s="735" t="n"/>
      <c r="U80" s="1274">
        <f>Summary!L73</f>
        <v/>
      </c>
      <c r="V80" s="735" t="n"/>
      <c r="W80" s="735" t="n"/>
      <c r="X80" s="735" t="n"/>
      <c r="Y80" s="735" t="n"/>
      <c r="Z80" s="735" t="n"/>
      <c r="AA80" s="735" t="n"/>
      <c r="AB80" s="735" t="n"/>
      <c r="AC80" s="735" t="n"/>
      <c r="AD80" s="735" t="n"/>
      <c r="AE80" s="735" t="n"/>
      <c r="AF80" s="735" t="n"/>
      <c r="AG80" s="735" t="n"/>
      <c r="AH80" s="735" t="n"/>
      <c r="AI80" s="735" t="n"/>
      <c r="AJ80" s="735" t="n"/>
      <c r="AK80" s="735" t="n"/>
      <c r="AL80" s="735" t="n"/>
      <c r="AM80" s="735" t="n"/>
      <c r="AN80" s="735" t="n"/>
      <c r="AO80" s="735" t="n"/>
      <c r="AP80" s="744" t="n"/>
      <c r="AQ80" s="735" t="n"/>
      <c r="AR80" s="735" t="n"/>
      <c r="AS80" s="735" t="n"/>
    </row>
    <row r="81">
      <c r="C81" s="735" t="n"/>
      <c r="D81" s="735" t="n"/>
      <c r="E81" s="735" t="n"/>
      <c r="F81" s="735" t="n"/>
      <c r="G81" s="735" t="n"/>
      <c r="H81" s="735" t="n"/>
      <c r="I81" s="735" t="n"/>
      <c r="J81" s="735" t="n"/>
      <c r="K81" s="735" t="n"/>
      <c r="L81" s="735" t="n"/>
      <c r="M81" s="735" t="n"/>
      <c r="N81" s="735" t="n"/>
      <c r="O81" s="735" t="n"/>
      <c r="P81" s="776" t="n"/>
      <c r="Q81" s="735" t="n"/>
      <c r="R81" s="735" t="n"/>
      <c r="S81" s="735" t="n"/>
      <c r="T81" s="735" t="n"/>
      <c r="U81" s="735" t="n"/>
      <c r="V81" s="735" t="n"/>
      <c r="W81" s="735" t="n"/>
      <c r="X81" s="735" t="n"/>
      <c r="Y81" s="735" t="n"/>
      <c r="Z81" s="735" t="n"/>
      <c r="AA81" s="735" t="n"/>
      <c r="AB81" s="735" t="n"/>
      <c r="AC81" s="735" t="n"/>
      <c r="AD81" s="735" t="n"/>
      <c r="AE81" s="735" t="n"/>
      <c r="AF81" s="735" t="n"/>
      <c r="AG81" s="735" t="n"/>
      <c r="AH81" s="735" t="n"/>
      <c r="AI81" s="735" t="n"/>
      <c r="AJ81" s="735" t="n"/>
      <c r="AK81" s="735" t="n"/>
      <c r="AL81" s="735" t="n"/>
      <c r="AM81" s="735" t="n"/>
      <c r="AN81" s="735" t="n"/>
      <c r="AO81" s="735" t="n"/>
      <c r="AP81" s="744" t="n"/>
      <c r="AQ81" s="735" t="n"/>
      <c r="AR81" s="735" t="n"/>
      <c r="AS81" s="735" t="n"/>
    </row>
    <row r="82">
      <c r="C82" s="885" t="inlineStr">
        <is>
          <t>NOI AVAILABLE FOR DS ON SR. LOAN</t>
        </is>
      </c>
      <c r="D82" s="885" t="n"/>
      <c r="E82" s="780">
        <f>IF(E78&lt;0,0,E78)</f>
        <v/>
      </c>
      <c r="F82" s="780">
        <f>IF(F78&lt;0,0,F78)</f>
        <v/>
      </c>
      <c r="G82" s="780">
        <f>IF(G78&lt;0,0,G78)</f>
        <v/>
      </c>
      <c r="H82" s="780">
        <f>IF(H78&lt;0,0,H78)</f>
        <v/>
      </c>
      <c r="I82" s="780">
        <f>IF(I78&lt;0,0,I78)</f>
        <v/>
      </c>
      <c r="J82" s="780">
        <f>IF(J78&lt;0,0,J78)</f>
        <v/>
      </c>
      <c r="K82" s="780">
        <f>IF(K78&lt;0,0,K78)</f>
        <v/>
      </c>
      <c r="L82" s="780">
        <f>IF(L78&lt;0,0,L78)</f>
        <v/>
      </c>
      <c r="M82" s="780">
        <f>IF(M78&lt;0,0,M78)</f>
        <v/>
      </c>
      <c r="N82" s="780">
        <f>IF(N78&lt;0,0,N78)</f>
        <v/>
      </c>
      <c r="O82" s="780">
        <f>IF(O78&lt;0,0,O78)</f>
        <v/>
      </c>
      <c r="P82" s="780">
        <f>IF(P78&lt;0,0,P78)</f>
        <v/>
      </c>
      <c r="Q82" s="780">
        <f>IF(Q78&lt;0,0,Q78)</f>
        <v/>
      </c>
      <c r="R82" s="780">
        <f>IF(R78&lt;0,0,R78)</f>
        <v/>
      </c>
      <c r="S82" s="780">
        <f>IF(S78&lt;0,0,S78)</f>
        <v/>
      </c>
      <c r="T82" s="780">
        <f>IF(T78&lt;0,0,T78)</f>
        <v/>
      </c>
      <c r="U82" s="452">
        <f>IF(U78&lt;0,U80,U78)</f>
        <v/>
      </c>
      <c r="V82" s="780">
        <f>IF(V78&lt;0,0,V78)</f>
        <v/>
      </c>
      <c r="W82" s="780">
        <f>IF(W78&lt;0,0,W78)</f>
        <v/>
      </c>
      <c r="X82" s="780">
        <f>IF(X78&lt;0,0,X78)</f>
        <v/>
      </c>
      <c r="Y82" s="780">
        <f>IF(Y78&lt;0,0,Y78)</f>
        <v/>
      </c>
      <c r="Z82" s="780">
        <f>IF(Z78&lt;0,0,Z78)</f>
        <v/>
      </c>
      <c r="AA82" s="780">
        <f>IF(AA78&lt;0,0,AA78)</f>
        <v/>
      </c>
      <c r="AB82" s="780">
        <f>IF(AB78&lt;0,0,AB78)</f>
        <v/>
      </c>
      <c r="AC82" s="780">
        <f>IF(AC78&lt;0,0,AC78)</f>
        <v/>
      </c>
      <c r="AD82" s="780">
        <f>IF(AD78&lt;0,0,AD78)</f>
        <v/>
      </c>
      <c r="AE82" s="780">
        <f>IF(AE78&lt;0,0,AE78)</f>
        <v/>
      </c>
      <c r="AF82" s="780">
        <f>IF(AF78&lt;0,0,AF78)</f>
        <v/>
      </c>
      <c r="AG82" s="780">
        <f>IF(AG78&lt;0,0,AG78)</f>
        <v/>
      </c>
      <c r="AH82" s="780">
        <f>IF(AH78&lt;0,0,AH78)</f>
        <v/>
      </c>
      <c r="AI82" s="780">
        <f>IF(AI78&lt;0,0,AI78)</f>
        <v/>
      </c>
      <c r="AJ82" s="780">
        <f>IF(AJ78&lt;0,0,AJ78)</f>
        <v/>
      </c>
      <c r="AK82" s="780">
        <f>IF(AK78&lt;0,0,AK78)</f>
        <v/>
      </c>
      <c r="AL82" s="780">
        <f>IF(AL78&lt;0,0,AL78)</f>
        <v/>
      </c>
      <c r="AM82" s="780">
        <f>IF(AM78&lt;0,0,AM78)</f>
        <v/>
      </c>
      <c r="AN82" s="780">
        <f>IF(AN78&lt;0,0,AN78)</f>
        <v/>
      </c>
      <c r="AO82" s="885" t="n"/>
      <c r="AP82" s="905" t="n"/>
      <c r="AQ82" s="885" t="n"/>
      <c r="AR82" s="885" t="n"/>
      <c r="AS82" s="885" t="n"/>
    </row>
    <row r="83">
      <c r="C83" s="885" t="inlineStr">
        <is>
          <t>APPLIED TO SENIOR LOAN</t>
        </is>
      </c>
      <c r="D83" s="885" t="n"/>
      <c r="E83" s="893">
        <f>IF(E115&gt;E82,-E82,-E115)</f>
        <v/>
      </c>
      <c r="F83" s="893">
        <f>IF(F115&gt;F82,-F82,-F115)</f>
        <v/>
      </c>
      <c r="G83" s="893">
        <f>IF(G115&gt;G82,-G82,-G115)</f>
        <v/>
      </c>
      <c r="H83" s="893">
        <f>IF(H115&gt;H82,-H82,-H115)</f>
        <v/>
      </c>
      <c r="I83" s="893">
        <f>IF(I115&gt;I82,-I82,-I115)</f>
        <v/>
      </c>
      <c r="J83" s="893">
        <f>IF(J115&gt;J82,-J82,-J115)</f>
        <v/>
      </c>
      <c r="K83" s="893">
        <f>IF(K115&gt;K82,-K82,-K115)</f>
        <v/>
      </c>
      <c r="L83" s="893">
        <f>IF(L115&gt;L82,-L82,-L115)</f>
        <v/>
      </c>
      <c r="M83" s="893">
        <f>IF(M115&gt;M82,-M82,-M115)</f>
        <v/>
      </c>
      <c r="N83" s="893">
        <f>IF(N115&gt;N82,-N82,-N115)</f>
        <v/>
      </c>
      <c r="O83" s="893">
        <f>IF(O115&gt;O82,-O82,-O115)</f>
        <v/>
      </c>
      <c r="P83" s="893">
        <f>IF(P115&gt;P82,-P82,-P115)</f>
        <v/>
      </c>
      <c r="Q83" s="893">
        <f>IF(Q115&gt;Q82,-Q82,-Q115)</f>
        <v/>
      </c>
      <c r="R83" s="893">
        <f>IF(R115&gt;R82,-R82,-R115)</f>
        <v/>
      </c>
      <c r="S83" s="893">
        <f>IF(S115&gt;S82,-S82,-S115)</f>
        <v/>
      </c>
      <c r="T83" s="893">
        <f>IF(T115&gt;T82,-T82,-T115)</f>
        <v/>
      </c>
      <c r="U83" s="718">
        <f>-U82*Summary!$F$70</f>
        <v/>
      </c>
      <c r="V83" s="893">
        <f>IF(V115&gt;V82,-V82,-V115)</f>
        <v/>
      </c>
      <c r="W83" s="893">
        <f>IF(W115&gt;W82,-W82,-W115)</f>
        <v/>
      </c>
      <c r="X83" s="893">
        <f>IF(X115&gt;X82,-X82,-X115)</f>
        <v/>
      </c>
      <c r="Y83" s="893">
        <f>IF(Y115&gt;Y82,-Y82,-Y115)</f>
        <v/>
      </c>
      <c r="Z83" s="893">
        <f>IF(Z115&gt;Z82,-Z82,-Z115)</f>
        <v/>
      </c>
      <c r="AA83" s="893">
        <f>IF(AA115&gt;AA82,-AA82,-AA115)</f>
        <v/>
      </c>
      <c r="AB83" s="893">
        <f>IF(AB115&gt;AB82,-AB82,-AB115)</f>
        <v/>
      </c>
      <c r="AC83" s="893">
        <f>IF(AC115&gt;AC82,-AC82,-AC115)</f>
        <v/>
      </c>
      <c r="AD83" s="893">
        <f>IF(AD115&gt;AD82,-AD82,-AD115)</f>
        <v/>
      </c>
      <c r="AE83" s="893">
        <f>IF(AE115&gt;AE82,-AE82,-AE115)</f>
        <v/>
      </c>
      <c r="AF83" s="893">
        <f>IF(AF115&gt;AF82,-AF82,-AF115)</f>
        <v/>
      </c>
      <c r="AG83" s="893">
        <f>IF(AG115&gt;AG82,-AG82,-AG115)</f>
        <v/>
      </c>
      <c r="AH83" s="893">
        <f>IF(AH115&gt;AH82,-AH82,-AH115)</f>
        <v/>
      </c>
      <c r="AI83" s="893">
        <f>IF(AI115&gt;AI82,-AI82,-AI115)</f>
        <v/>
      </c>
      <c r="AJ83" s="893">
        <f>IF(AJ115&gt;AJ82,-AJ82,-AJ115)</f>
        <v/>
      </c>
      <c r="AK83" s="893">
        <f>IF(AK115&gt;AK82,-AK82,-AK115)</f>
        <v/>
      </c>
      <c r="AL83" s="893">
        <f>IF(AL115&gt;AL82,-AL82,-AL115)</f>
        <v/>
      </c>
      <c r="AM83" s="893">
        <f>IF(AM115&gt;AM82,-AM82,-AM115)</f>
        <v/>
      </c>
      <c r="AN83" s="893">
        <f>IF(AN115&gt;AN82,-AN82,-AN115)</f>
        <v/>
      </c>
      <c r="AO83" s="885" t="n"/>
      <c r="AP83" s="905" t="n"/>
      <c r="AQ83" s="885" t="n"/>
      <c r="AR83" s="885" t="n"/>
      <c r="AS83" s="885" t="n"/>
    </row>
    <row r="84">
      <c r="C84" s="885" t="inlineStr">
        <is>
          <t>NOI AVAILABLE FOR DS ON MEZZ. LOAN</t>
        </is>
      </c>
      <c r="D84" s="885" t="n"/>
      <c r="E84" s="780">
        <f>SUM(E82:E83)</f>
        <v/>
      </c>
      <c r="F84" s="780">
        <f>SUM(F82:F83)</f>
        <v/>
      </c>
      <c r="G84" s="780">
        <f>SUM(G82:G83)</f>
        <v/>
      </c>
      <c r="H84" s="780">
        <f>SUM(H82:H83)</f>
        <v/>
      </c>
      <c r="I84" s="780">
        <f>SUM(I82:I83)</f>
        <v/>
      </c>
      <c r="J84" s="780">
        <f>SUM(J82:J83)</f>
        <v/>
      </c>
      <c r="K84" s="780">
        <f>SUM(K82:K83)</f>
        <v/>
      </c>
      <c r="L84" s="780">
        <f>SUM(L82:L83)</f>
        <v/>
      </c>
      <c r="M84" s="780">
        <f>SUM(M82:M83)</f>
        <v/>
      </c>
      <c r="N84" s="780">
        <f>SUM(N82:N83)</f>
        <v/>
      </c>
      <c r="O84" s="780">
        <f>SUM(O82:O83)</f>
        <v/>
      </c>
      <c r="P84" s="780">
        <f>SUM(P82:P83)</f>
        <v/>
      </c>
      <c r="Q84" s="780">
        <f>SUM(Q82:Q83)</f>
        <v/>
      </c>
      <c r="R84" s="780">
        <f>SUM(R82:R83)</f>
        <v/>
      </c>
      <c r="S84" s="780">
        <f>SUM(S82:S83)</f>
        <v/>
      </c>
      <c r="T84" s="780">
        <f>SUM(T82:T83)</f>
        <v/>
      </c>
      <c r="U84" s="452">
        <f>SUM(U82:U83)</f>
        <v/>
      </c>
      <c r="V84" s="780">
        <f>SUM(V82:V83)</f>
        <v/>
      </c>
      <c r="W84" s="780">
        <f>SUM(W82:W83)</f>
        <v/>
      </c>
      <c r="X84" s="780">
        <f>SUM(X82:X83)</f>
        <v/>
      </c>
      <c r="Y84" s="780">
        <f>SUM(Y82:Y83)</f>
        <v/>
      </c>
      <c r="Z84" s="780">
        <f>SUM(Z82:Z83)</f>
        <v/>
      </c>
      <c r="AA84" s="780">
        <f>SUM(AA82:AA83)</f>
        <v/>
      </c>
      <c r="AB84" s="780">
        <f>SUM(AB82:AB83)</f>
        <v/>
      </c>
      <c r="AC84" s="780">
        <f>SUM(AC82:AC83)</f>
        <v/>
      </c>
      <c r="AD84" s="780">
        <f>SUM(AD82:AD83)</f>
        <v/>
      </c>
      <c r="AE84" s="780">
        <f>SUM(AE82:AE83)</f>
        <v/>
      </c>
      <c r="AF84" s="780">
        <f>SUM(AF82:AF83)</f>
        <v/>
      </c>
      <c r="AG84" s="780">
        <f>SUM(AG82:AG83)</f>
        <v/>
      </c>
      <c r="AH84" s="780">
        <f>SUM(AH82:AH83)</f>
        <v/>
      </c>
      <c r="AI84" s="780">
        <f>SUM(AI82:AI83)</f>
        <v/>
      </c>
      <c r="AJ84" s="780">
        <f>SUM(AJ82:AJ83)</f>
        <v/>
      </c>
      <c r="AK84" s="780">
        <f>SUM(AK82:AK83)</f>
        <v/>
      </c>
      <c r="AL84" s="780">
        <f>SUM(AL82:AL83)</f>
        <v/>
      </c>
      <c r="AM84" s="780">
        <f>SUM(AM82:AM83)</f>
        <v/>
      </c>
      <c r="AN84" s="780">
        <f>SUM(AN82:AN83)</f>
        <v/>
      </c>
      <c r="AO84" s="885" t="n"/>
      <c r="AP84" s="905" t="n"/>
      <c r="AQ84" s="885" t="n"/>
      <c r="AR84" s="885" t="n"/>
      <c r="AS84" s="885" t="n"/>
    </row>
    <row r="85">
      <c r="C85" s="885" t="inlineStr">
        <is>
          <t>APPLIED TO MEZZ. LOAN</t>
        </is>
      </c>
      <c r="D85" s="885" t="n"/>
      <c r="E85" s="893">
        <f>IF(AND(E100&gt;0,E84&gt;0,Summary!$M15=TRUE),-E84,IF(AND(E100&gt;0,E84&gt;0),-MIN(E84,E103),0))</f>
        <v/>
      </c>
      <c r="F85" s="893">
        <f>IF(AND(F100&gt;0,F84&gt;0,Summary!$M15=TRUE),-F84,IF(AND(F100&gt;0,F84&gt;0),-MIN(F84,F103),0))</f>
        <v/>
      </c>
      <c r="G85" s="893">
        <f>IF(AND(G100&gt;0,G84&gt;0,Summary!$M15=TRUE),-G84,IF(AND(G100&gt;0,G84&gt;0),-MIN(G84,G103),0))</f>
        <v/>
      </c>
      <c r="H85" s="893">
        <f>IF(AND(H100&gt;0,H84&gt;0,Summary!$M15=TRUE),-H84,IF(AND(H100&gt;0,H84&gt;0),-MIN(H84,H103),0))</f>
        <v/>
      </c>
      <c r="I85" s="893">
        <f>IF(AND(I100&gt;0,I84&gt;0,Summary!$M15=TRUE),-I84,IF(AND(I100&gt;0,I84&gt;0),-MIN(I84,I103),0))</f>
        <v/>
      </c>
      <c r="J85" s="893">
        <f>IF(AND(J100&gt;0,J84&gt;0,Summary!$M15=TRUE),-J84,IF(AND(J100&gt;0,J84&gt;0),-MIN(J84,J103),0))</f>
        <v/>
      </c>
      <c r="K85" s="893">
        <f>IF(AND(K100&gt;0,K84&gt;0,Summary!$M15=TRUE),-K84,IF(AND(K100&gt;0,K84&gt;0),-MIN(K84,K103),0))</f>
        <v/>
      </c>
      <c r="L85" s="893">
        <f>IF(AND(L100&gt;0,L84&gt;0,Summary!$M15=TRUE),-L84,IF(AND(L100&gt;0,L84&gt;0),-MIN(L84,L103),0))</f>
        <v/>
      </c>
      <c r="M85" s="893">
        <f>IF(AND(M100&gt;0,M84&gt;0,Summary!$M15=TRUE),-M84,IF(AND(M100&gt;0,M84&gt;0),-MIN(M84,M103),0))</f>
        <v/>
      </c>
      <c r="N85" s="893">
        <f>IF(AND(N100&gt;0,N84&gt;0,Summary!$M15=TRUE),-N84,IF(AND(N100&gt;0,N84&gt;0),-MIN(N84,N103),0))</f>
        <v/>
      </c>
      <c r="O85" s="893">
        <f>IF(AND(O100&gt;0,O84&gt;0,Summary!$M15=TRUE),-O84,IF(AND(O100&gt;0,O84&gt;0),-MIN(O84,O103),0))</f>
        <v/>
      </c>
      <c r="P85" s="893">
        <f>IF(AND(P100&gt;0,P84&gt;0,Summary!$M15=TRUE),-P84,IF(AND(P100&gt;0,P84&gt;0),-MIN(P84,P103),0))</f>
        <v/>
      </c>
      <c r="Q85" s="893">
        <f>IF(AND(Q100&gt;0,Q84&gt;0,Summary!$M15=TRUE),-Q84,IF(AND(Q100&gt;0,Q84&gt;0),-MIN(Q84,Q103),0))</f>
        <v/>
      </c>
      <c r="R85" s="893">
        <f>IF(AND(R100&gt;0,R84&gt;0,Summary!$M15=TRUE),-R84,IF(AND(R100&gt;0,R84&gt;0),-MIN(R84,R103),0))</f>
        <v/>
      </c>
      <c r="S85" s="893">
        <f>IF(AND(S100&gt;0,S84&gt;0,Summary!$M15=TRUE),-S84,IF(AND(S100&gt;0,S84&gt;0),-MIN(S84,S103),0))</f>
        <v/>
      </c>
      <c r="T85" s="893">
        <f>IF(AND(T100&gt;0,T84&gt;0,Summary!$M15=TRUE),-T84,IF(AND(T100&gt;0,T84&gt;0),-MIN(T84,T103),0))</f>
        <v/>
      </c>
      <c r="U85" s="718">
        <f>IF(AND(U100&gt;0,U80&gt;0,Summary!$M15=TRUE),-U80*Summary!$F$69,IF(AND(U100&gt;0,U80&gt;0),-MIN(U80,U103),0))</f>
        <v/>
      </c>
      <c r="V85" s="893">
        <f>IF(AND(V100&gt;0,V84&gt;0,Summary!$M15=TRUE),-V84,IF(AND(V100&gt;0,V84&gt;0),-MIN(V84,V103),0))</f>
        <v/>
      </c>
      <c r="W85" s="893">
        <f>IF(AND(W100&gt;0,W84&gt;0,Summary!$M15=TRUE),-W84,IF(AND(W100&gt;0,W84&gt;0),-MIN(W84,W103),0))</f>
        <v/>
      </c>
      <c r="X85" s="893">
        <f>IF(AND(X100&gt;0,X84&gt;0,Summary!$M15=TRUE),-X84,IF(AND(X100&gt;0,X84&gt;0),-MIN(X84,X103),0))</f>
        <v/>
      </c>
      <c r="Y85" s="893">
        <f>IF(AND(Y100&gt;0,Y84&gt;0,Summary!$M15=TRUE),-Y84,IF(AND(Y100&gt;0,Y84&gt;0),-MIN(Y84,Y103),0))</f>
        <v/>
      </c>
      <c r="Z85" s="893">
        <f>IF(AND(Z100&gt;0,Z84&gt;0,Summary!$M15=TRUE),-Z84,IF(AND(Z100&gt;0,Z84&gt;0),-MIN(Z84,Z103),0))</f>
        <v/>
      </c>
      <c r="AA85" s="893">
        <f>IF(AND(AA100&gt;0,AA84&gt;0,Summary!$M15=TRUE),-AA84,IF(AND(AA100&gt;0,AA84&gt;0),-MIN(AA84,AA103),0))</f>
        <v/>
      </c>
      <c r="AB85" s="893">
        <f>IF(AND(AB100&gt;0,AB84&gt;0,Summary!$M15=TRUE),-AB84,IF(AND(AB100&gt;0,AB84&gt;0),-MIN(AB84,AB103),0))</f>
        <v/>
      </c>
      <c r="AC85" s="893">
        <f>IF(AND(AC100&gt;0,AC84&gt;0,Summary!$M15=TRUE),-AC84,IF(AND(AC100&gt;0,AC84&gt;0),-MIN(AC84,AC103),0))</f>
        <v/>
      </c>
      <c r="AD85" s="893">
        <f>IF(AND(AD100&gt;0,AD84&gt;0,Summary!$M15=TRUE),-AD84,IF(AND(AD100&gt;0,AD84&gt;0),-MIN(AD84,AD103),0))</f>
        <v/>
      </c>
      <c r="AE85" s="893">
        <f>IF(AND(AE100&gt;0,AE84&gt;0,Summary!$M15=TRUE),-AE84,IF(AND(AE100&gt;0,AE84&gt;0),-MIN(AE84,AE103),0))</f>
        <v/>
      </c>
      <c r="AF85" s="893">
        <f>IF(AND(AF100&gt;0,AF84&gt;0,Summary!$M15=TRUE),-AF84,IF(AND(AF100&gt;0,AF84&gt;0),-MIN(AF84,AF103),0))</f>
        <v/>
      </c>
      <c r="AG85" s="893">
        <f>IF(AND(AG100&gt;0,AG84&gt;0,Summary!$M15=TRUE),-AG84,IF(AND(AG100&gt;0,AG84&gt;0),-MIN(AG84,AG103),0))</f>
        <v/>
      </c>
      <c r="AH85" s="893">
        <f>IF(AND(AH100&gt;0,AH84&gt;0,Summary!$M15=TRUE),-AH84,IF(AND(AH100&gt;0,AH84&gt;0),-MIN(AH84,AH103),0))</f>
        <v/>
      </c>
      <c r="AI85" s="893">
        <f>IF(AND(AI100&gt;0,AI84&gt;0,Summary!$M15=TRUE),-AI84,IF(AND(AI100&gt;0,AI84&gt;0),-MIN(AI84,AI103),0))</f>
        <v/>
      </c>
      <c r="AJ85" s="893">
        <f>IF(AND(AJ100&gt;0,AJ84&gt;0,Summary!$M15=TRUE),-AJ84,IF(AND(AJ100&gt;0,AJ84&gt;0),-MIN(AJ84,AJ103),0))</f>
        <v/>
      </c>
      <c r="AK85" s="893">
        <f>IF(AND(AK100&gt;0,AK84&gt;0,Summary!$M15=TRUE),-AK84,IF(AND(AK100&gt;0,AK84&gt;0),-MIN(AK84,AK103),0))</f>
        <v/>
      </c>
      <c r="AL85" s="893">
        <f>IF(AND(AL100&gt;0,AL84&gt;0,Summary!$M15=TRUE),-AL84,IF(AND(AL100&gt;0,AL84&gt;0),-MIN(AL84,AL103),0))</f>
        <v/>
      </c>
      <c r="AM85" s="893">
        <f>IF(AND(AM100&gt;0,AM84&gt;0,Summary!$M15=TRUE),-AM84,IF(AND(AM100&gt;0,AM84&gt;0),-MIN(AM84,AM103),0))</f>
        <v/>
      </c>
      <c r="AN85" s="893">
        <f>IF(AND(AN100&gt;0,AN84&gt;0,Summary!$M15=TRUE),-AN84,IF(AND(AN100&gt;0,AN84&gt;0),-MIN(AN84,AN103),0))</f>
        <v/>
      </c>
      <c r="AO85" s="885" t="n"/>
      <c r="AP85" s="905" t="n"/>
      <c r="AQ85" s="885" t="n"/>
      <c r="AR85" s="885" t="n"/>
      <c r="AS85" s="885" t="n"/>
    </row>
    <row r="86">
      <c r="C86" s="885" t="inlineStr">
        <is>
          <t>AVAILABLE FOR EQUITY DISTRIBUTION</t>
        </is>
      </c>
      <c r="D86" s="885" t="n"/>
      <c r="E86" s="780">
        <f>E84+E85</f>
        <v/>
      </c>
      <c r="F86" s="780">
        <f>F84+F85</f>
        <v/>
      </c>
      <c r="G86" s="780">
        <f>G84+G85</f>
        <v/>
      </c>
      <c r="H86" s="780">
        <f>H84+H85</f>
        <v/>
      </c>
      <c r="I86" s="780">
        <f>I84+I85</f>
        <v/>
      </c>
      <c r="J86" s="780">
        <f>J84+J85</f>
        <v/>
      </c>
      <c r="K86" s="780">
        <f>K84+K85</f>
        <v/>
      </c>
      <c r="L86" s="780">
        <f>L84+L85</f>
        <v/>
      </c>
      <c r="M86" s="780">
        <f>M84+M85</f>
        <v/>
      </c>
      <c r="N86" s="780">
        <f>N84+N85</f>
        <v/>
      </c>
      <c r="O86" s="780">
        <f>O84+O85</f>
        <v/>
      </c>
      <c r="P86" s="780">
        <f>P84+P85</f>
        <v/>
      </c>
      <c r="Q86" s="780">
        <f>Q84+Q85</f>
        <v/>
      </c>
      <c r="R86" s="780">
        <f>R84+R85</f>
        <v/>
      </c>
      <c r="S86" s="780">
        <f>S84+S85</f>
        <v/>
      </c>
      <c r="T86" s="780">
        <f>T84+T85</f>
        <v/>
      </c>
      <c r="U86" s="452">
        <f>U84+U85</f>
        <v/>
      </c>
      <c r="V86" s="780">
        <f>V84+V85</f>
        <v/>
      </c>
      <c r="W86" s="780">
        <f>W84+W85</f>
        <v/>
      </c>
      <c r="X86" s="780">
        <f>X84+X85</f>
        <v/>
      </c>
      <c r="Y86" s="780">
        <f>Y84+Y85</f>
        <v/>
      </c>
      <c r="Z86" s="780">
        <f>Z84+Z85</f>
        <v/>
      </c>
      <c r="AA86" s="777">
        <f>AA84+AA85</f>
        <v/>
      </c>
      <c r="AB86" s="777">
        <f>AB84+AB85</f>
        <v/>
      </c>
      <c r="AC86" s="777">
        <f>AC84+AC85</f>
        <v/>
      </c>
      <c r="AD86" s="777">
        <f>AD84+AD85</f>
        <v/>
      </c>
      <c r="AE86" s="777">
        <f>AE84+AE85</f>
        <v/>
      </c>
      <c r="AF86" s="777">
        <f>AF84+AF85</f>
        <v/>
      </c>
      <c r="AG86" s="777">
        <f>AG84+AG85</f>
        <v/>
      </c>
      <c r="AH86" s="777">
        <f>AH84+AH85</f>
        <v/>
      </c>
      <c r="AI86" s="777">
        <f>AI84+AI85</f>
        <v/>
      </c>
      <c r="AJ86" s="777">
        <f>AJ84+AJ85</f>
        <v/>
      </c>
      <c r="AK86" s="777">
        <f>AK84+AK85</f>
        <v/>
      </c>
      <c r="AL86" s="777">
        <f>AL84+AL85</f>
        <v/>
      </c>
      <c r="AM86" s="777">
        <f>AM84+AM85</f>
        <v/>
      </c>
      <c r="AN86" s="777">
        <f>AN84+AN85</f>
        <v/>
      </c>
      <c r="AO86" s="885">
        <f>SUM(V86:AN86)</f>
        <v/>
      </c>
      <c r="AP86" s="905" t="n"/>
      <c r="AQ86" s="885" t="n"/>
      <c r="AR86" s="885" t="n"/>
      <c r="AS86" s="885" t="n"/>
    </row>
    <row r="87">
      <c r="C87" s="885" t="n"/>
      <c r="D87" s="885" t="n"/>
      <c r="E87" s="780" t="n"/>
      <c r="F87" s="780" t="n"/>
      <c r="G87" s="780" t="n"/>
      <c r="H87" s="780" t="n"/>
      <c r="I87" s="780" t="n"/>
      <c r="J87" s="780" t="n"/>
      <c r="K87" s="780" t="n"/>
      <c r="L87" s="780" t="n"/>
      <c r="M87" s="780" t="n"/>
      <c r="N87" s="780" t="n"/>
      <c r="O87" s="780" t="n"/>
      <c r="P87" s="780" t="n"/>
      <c r="Q87" s="780" t="n"/>
      <c r="R87" s="780" t="n"/>
      <c r="S87" s="780" t="n"/>
      <c r="T87" s="780" t="n"/>
      <c r="U87" s="937" t="n"/>
      <c r="V87" s="947" t="n"/>
      <c r="W87" s="780" t="n"/>
      <c r="X87" s="780" t="n"/>
      <c r="Y87" s="780" t="n"/>
      <c r="Z87" s="780" t="n"/>
      <c r="AA87" s="777" t="n"/>
      <c r="AB87" s="777" t="n"/>
      <c r="AC87" s="777" t="n"/>
      <c r="AD87" s="777" t="n"/>
      <c r="AE87" s="777" t="n"/>
      <c r="AF87" s="777" t="n"/>
      <c r="AG87" s="777" t="n"/>
      <c r="AH87" s="777" t="n"/>
      <c r="AI87" s="777" t="n"/>
      <c r="AJ87" s="777" t="n"/>
      <c r="AK87" s="777" t="n"/>
      <c r="AL87" s="777" t="n"/>
      <c r="AM87" s="777" t="n"/>
      <c r="AN87" s="777" t="n"/>
      <c r="AO87" s="885" t="n"/>
      <c r="AP87" s="905" t="n"/>
      <c r="AQ87" s="885" t="n"/>
      <c r="AR87" s="885" t="n"/>
      <c r="AS87" s="885" t="n"/>
    </row>
    <row r="88">
      <c r="C88" s="735" t="n"/>
      <c r="D88" s="735" t="n"/>
      <c r="E88" s="735" t="n"/>
      <c r="F88" s="735" t="n"/>
      <c r="G88" s="735" t="n"/>
      <c r="H88" s="735" t="n"/>
      <c r="I88" s="735" t="n"/>
      <c r="J88" s="735" t="n"/>
      <c r="K88" s="735" t="n"/>
      <c r="L88" s="735" t="n"/>
      <c r="M88" s="735" t="n"/>
      <c r="N88" s="735" t="n"/>
      <c r="O88" s="735" t="n"/>
      <c r="P88" s="776" t="n"/>
      <c r="Q88" s="1275" t="n"/>
      <c r="R88" s="1275" t="n"/>
      <c r="S88" s="1275" t="n"/>
      <c r="T88" s="1275" t="n"/>
      <c r="U88" s="1275" t="n"/>
      <c r="V88" s="1275" t="n"/>
      <c r="W88" s="1275" t="n"/>
      <c r="X88" s="1275" t="n"/>
      <c r="Y88" s="1275" t="n"/>
      <c r="Z88" s="1275" t="n"/>
      <c r="AA88" s="1275" t="n"/>
      <c r="AB88" s="1275" t="n"/>
      <c r="AC88" s="1275" t="n"/>
      <c r="AD88" s="1275" t="n"/>
      <c r="AE88" s="1275" t="n"/>
      <c r="AF88" s="1275" t="n"/>
      <c r="AG88" s="1275" t="n"/>
      <c r="AH88" s="1275" t="n"/>
      <c r="AI88" s="1275" t="n"/>
      <c r="AJ88" s="1275" t="n"/>
      <c r="AK88" s="1275" t="n"/>
      <c r="AL88" s="1275" t="n"/>
      <c r="AM88" s="1275" t="n"/>
      <c r="AN88" s="1275" t="n"/>
      <c r="AO88" s="735" t="n"/>
      <c r="AP88" s="744" t="n"/>
      <c r="AQ88" s="735" t="n"/>
      <c r="AR88" s="735" t="n"/>
      <c r="AS88" s="735" t="n"/>
    </row>
    <row r="89">
      <c r="C89" s="6" t="inlineStr">
        <is>
          <t>EQUITY FUNDING</t>
        </is>
      </c>
      <c r="D89" s="35">
        <f>Summary!E68</f>
        <v/>
      </c>
      <c r="E89" s="735" t="n"/>
      <c r="F89" s="735" t="n"/>
      <c r="G89" s="735" t="n"/>
      <c r="H89" s="735" t="n"/>
      <c r="I89" s="735" t="n"/>
      <c r="J89" s="735" t="n"/>
      <c r="K89" s="735" t="n"/>
      <c r="L89" s="735" t="n"/>
      <c r="M89" s="735" t="n"/>
      <c r="N89" s="735" t="n"/>
      <c r="O89" s="735" t="n"/>
      <c r="P89" s="735" t="n"/>
      <c r="Q89" s="776" t="n"/>
      <c r="R89" s="735" t="n"/>
      <c r="S89" s="735" t="n"/>
      <c r="T89" s="735" t="n"/>
      <c r="U89" s="735" t="n"/>
      <c r="V89" s="735" t="n"/>
      <c r="W89" s="735" t="n"/>
      <c r="X89" s="735" t="n"/>
      <c r="Y89" s="735" t="n"/>
      <c r="Z89" s="735" t="n"/>
      <c r="AA89" s="735" t="n"/>
      <c r="AB89" s="735" t="n"/>
      <c r="AC89" s="735" t="n"/>
      <c r="AD89" s="735" t="n"/>
      <c r="AE89" s="735" t="n"/>
      <c r="AF89" s="735" t="n"/>
      <c r="AG89" s="735" t="n"/>
      <c r="AH89" s="735" t="n"/>
      <c r="AI89" s="735" t="n"/>
      <c r="AJ89" s="735" t="n"/>
      <c r="AK89" s="735" t="n"/>
      <c r="AL89" s="735" t="n"/>
      <c r="AM89" s="735" t="n"/>
      <c r="AN89" s="735" t="n"/>
      <c r="AO89" s="735" t="n"/>
      <c r="AP89" s="744" t="n"/>
      <c r="AQ89" s="735" t="n"/>
      <c r="AR89" s="735" t="n"/>
      <c r="AS89" s="735" t="n"/>
    </row>
    <row r="90">
      <c r="C90" s="735" t="inlineStr">
        <is>
          <t>BEGINNING BALANCE</t>
        </is>
      </c>
      <c r="D90" s="735" t="n"/>
      <c r="E90" s="780" t="n">
        <v>0</v>
      </c>
      <c r="F90" s="780">
        <f>E92</f>
        <v/>
      </c>
      <c r="G90" s="780">
        <f>F92</f>
        <v/>
      </c>
      <c r="H90" s="780">
        <f>G92</f>
        <v/>
      </c>
      <c r="I90" s="780">
        <f>H92</f>
        <v/>
      </c>
      <c r="J90" s="780">
        <f>I92</f>
        <v/>
      </c>
      <c r="K90" s="780">
        <f>J92</f>
        <v/>
      </c>
      <c r="L90" s="780">
        <f>K92</f>
        <v/>
      </c>
      <c r="M90" s="780">
        <f>L92</f>
        <v/>
      </c>
      <c r="N90" s="780">
        <f>M92</f>
        <v/>
      </c>
      <c r="O90" s="780">
        <f>N92</f>
        <v/>
      </c>
      <c r="P90" s="780">
        <f>O92</f>
        <v/>
      </c>
      <c r="Q90" s="780">
        <f>P92</f>
        <v/>
      </c>
      <c r="R90" s="780">
        <f>Q92</f>
        <v/>
      </c>
      <c r="S90" s="780">
        <f>R92</f>
        <v/>
      </c>
      <c r="T90" s="780">
        <f>S92</f>
        <v/>
      </c>
      <c r="U90" s="780">
        <f>T92</f>
        <v/>
      </c>
      <c r="V90" s="780">
        <f>U92</f>
        <v/>
      </c>
      <c r="W90" s="780">
        <f>V92</f>
        <v/>
      </c>
      <c r="X90" s="780">
        <f>W92</f>
        <v/>
      </c>
      <c r="Y90" s="780">
        <f>X92</f>
        <v/>
      </c>
      <c r="Z90" s="780">
        <f>Y92</f>
        <v/>
      </c>
      <c r="AA90" s="780">
        <f>Z92</f>
        <v/>
      </c>
      <c r="AB90" s="780">
        <f>AA92</f>
        <v/>
      </c>
      <c r="AC90" s="780">
        <f>AB92</f>
        <v/>
      </c>
      <c r="AD90" s="780">
        <f>AC92</f>
        <v/>
      </c>
      <c r="AE90" s="780">
        <f>AD92</f>
        <v/>
      </c>
      <c r="AF90" s="780">
        <f>AE92</f>
        <v/>
      </c>
      <c r="AG90" s="780">
        <f>AF92</f>
        <v/>
      </c>
      <c r="AH90" s="780">
        <f>AG92</f>
        <v/>
      </c>
      <c r="AI90" s="780">
        <f>AH92</f>
        <v/>
      </c>
      <c r="AJ90" s="780">
        <f>AI92</f>
        <v/>
      </c>
      <c r="AK90" s="780">
        <f>AJ92</f>
        <v/>
      </c>
      <c r="AL90" s="780">
        <f>AK92</f>
        <v/>
      </c>
      <c r="AM90" s="780">
        <f>AL92</f>
        <v/>
      </c>
      <c r="AN90" s="780">
        <f>AM92</f>
        <v/>
      </c>
      <c r="AO90" s="735" t="n"/>
      <c r="AP90" s="744" t="n"/>
      <c r="AQ90" s="735" t="n"/>
      <c r="AR90" s="735" t="n"/>
      <c r="AS90" s="735" t="n"/>
    </row>
    <row r="91">
      <c r="C91" s="735" t="inlineStr">
        <is>
          <t xml:space="preserve">DRAWN </t>
        </is>
      </c>
      <c r="D91" s="735" t="n"/>
      <c r="E91" s="893">
        <f>MIN(E38,$D$89-E90)</f>
        <v/>
      </c>
      <c r="F91" s="893">
        <f>MIN(F38,$D$89-F90)</f>
        <v/>
      </c>
      <c r="G91" s="893">
        <f>MIN(G38,$D$89-G90)</f>
        <v/>
      </c>
      <c r="H91" s="893">
        <f>MIN(H38,$D$89-H90)</f>
        <v/>
      </c>
      <c r="I91" s="893">
        <f>MIN(I38,$D$89-I90)</f>
        <v/>
      </c>
      <c r="J91" s="893">
        <f>MIN(J38,$D$89-J90)</f>
        <v/>
      </c>
      <c r="K91" s="893">
        <f>MIN(K38,$D$89-K90)</f>
        <v/>
      </c>
      <c r="L91" s="893">
        <f>MIN(L38,$D$89-L90)</f>
        <v/>
      </c>
      <c r="M91" s="893">
        <f>MIN(M38,$D$89-M90)</f>
        <v/>
      </c>
      <c r="N91" s="893">
        <f>MIN(N38,$D$89-N90)</f>
        <v/>
      </c>
      <c r="O91" s="893">
        <f>MIN(O38,$D$89-O90)</f>
        <v/>
      </c>
      <c r="P91" s="893">
        <f>MIN(P38,$D$89-P90)</f>
        <v/>
      </c>
      <c r="Q91" s="893">
        <f>MIN(Q38,$D$89-Q90)</f>
        <v/>
      </c>
      <c r="R91" s="893">
        <f>MIN(R38,$D$89-R90)</f>
        <v/>
      </c>
      <c r="S91" s="893">
        <f>MIN(S38,$D$89-S90)</f>
        <v/>
      </c>
      <c r="T91" s="893">
        <f>MIN(T38,$D$89-T90)</f>
        <v/>
      </c>
      <c r="U91" s="893">
        <f>MIN(U38,$D$89-U90)</f>
        <v/>
      </c>
      <c r="V91" s="893">
        <f>MIN(V38,$D$89-V90)</f>
        <v/>
      </c>
      <c r="W91" s="893">
        <f>MIN(W38,$D$89-W90)</f>
        <v/>
      </c>
      <c r="X91" s="893">
        <f>MIN(X38,$D$89-X90)</f>
        <v/>
      </c>
      <c r="Y91" s="893">
        <f>MIN(Y38,$D$89-Y90)</f>
        <v/>
      </c>
      <c r="Z91" s="893">
        <f>MIN(Z38,$D$89-Z90)</f>
        <v/>
      </c>
      <c r="AA91" s="893">
        <f>MIN(AA38,$D$89-AA90)</f>
        <v/>
      </c>
      <c r="AB91" s="893">
        <f>MIN(AB38,$D$89-AB90)</f>
        <v/>
      </c>
      <c r="AC91" s="893">
        <f>MIN(AC38,$D$89-AC90)</f>
        <v/>
      </c>
      <c r="AD91" s="893">
        <f>MIN(AD38,$D$89-AD90)</f>
        <v/>
      </c>
      <c r="AE91" s="893">
        <f>MIN(AE38,$D$89-AE90)</f>
        <v/>
      </c>
      <c r="AF91" s="893">
        <f>MIN(AF38,$D$89-AF90)</f>
        <v/>
      </c>
      <c r="AG91" s="893">
        <f>MIN(AG38,$D$89-AG90)</f>
        <v/>
      </c>
      <c r="AH91" s="893">
        <f>MIN(AH38,$D$89-AH90)</f>
        <v/>
      </c>
      <c r="AI91" s="893">
        <f>MIN(AI38,$D$89-AI90)</f>
        <v/>
      </c>
      <c r="AJ91" s="893">
        <f>MIN(AJ38,$D$89-AJ90)</f>
        <v/>
      </c>
      <c r="AK91" s="893">
        <f>MIN(AK38,$D$89-AK90)</f>
        <v/>
      </c>
      <c r="AL91" s="893">
        <f>MIN(AL38,$D$89-AL90)</f>
        <v/>
      </c>
      <c r="AM91" s="893">
        <f>MIN(AM38,$D$89-AM90)</f>
        <v/>
      </c>
      <c r="AN91" s="893">
        <f>MIN(AN38,$D$89-AN90)</f>
        <v/>
      </c>
      <c r="AO91" s="780">
        <f>SUM(E91:AN91)</f>
        <v/>
      </c>
      <c r="AP91" s="744" t="n"/>
      <c r="AQ91" s="735" t="n"/>
      <c r="AR91" s="735" t="n"/>
      <c r="AS91" s="735" t="n"/>
    </row>
    <row r="92">
      <c r="C92" s="735" t="inlineStr">
        <is>
          <t>ENDING BALANCE</t>
        </is>
      </c>
      <c r="D92" s="735" t="n"/>
      <c r="E92" s="780">
        <f>SUM(E90:E91)</f>
        <v/>
      </c>
      <c r="F92" s="780">
        <f>SUM(F90:F91)</f>
        <v/>
      </c>
      <c r="G92" s="780">
        <f>SUM(G90:G91)</f>
        <v/>
      </c>
      <c r="H92" s="780">
        <f>SUM(H90:H91)</f>
        <v/>
      </c>
      <c r="I92" s="780">
        <f>SUM(I90:I91)</f>
        <v/>
      </c>
      <c r="J92" s="780">
        <f>SUM(J90:J91)</f>
        <v/>
      </c>
      <c r="K92" s="780">
        <f>SUM(K90:K91)</f>
        <v/>
      </c>
      <c r="L92" s="780">
        <f>SUM(L90:L91)</f>
        <v/>
      </c>
      <c r="M92" s="780">
        <f>SUM(M90:M91)</f>
        <v/>
      </c>
      <c r="N92" s="780">
        <f>SUM(N90:N91)</f>
        <v/>
      </c>
      <c r="O92" s="780">
        <f>SUM(O90:O91)</f>
        <v/>
      </c>
      <c r="P92" s="780">
        <f>SUM(P90:P91)</f>
        <v/>
      </c>
      <c r="Q92" s="780">
        <f>SUM(Q90:Q91)</f>
        <v/>
      </c>
      <c r="R92" s="780">
        <f>SUM(R90:R91)</f>
        <v/>
      </c>
      <c r="S92" s="780">
        <f>SUM(S90:S91)</f>
        <v/>
      </c>
      <c r="T92" s="780">
        <f>SUM(T90:T91)</f>
        <v/>
      </c>
      <c r="U92" s="780">
        <f>SUM(U90:U91)</f>
        <v/>
      </c>
      <c r="V92" s="780">
        <f>SUM(V90:V91)</f>
        <v/>
      </c>
      <c r="W92" s="780">
        <f>SUM(W90:W91)</f>
        <v/>
      </c>
      <c r="X92" s="780">
        <f>SUM(X90:X91)</f>
        <v/>
      </c>
      <c r="Y92" s="780">
        <f>SUM(Y90:Y91)</f>
        <v/>
      </c>
      <c r="Z92" s="780">
        <f>SUM(Z90:Z91)</f>
        <v/>
      </c>
      <c r="AA92" s="780">
        <f>SUM(AA90:AA91)</f>
        <v/>
      </c>
      <c r="AB92" s="780">
        <f>SUM(AB90:AB91)</f>
        <v/>
      </c>
      <c r="AC92" s="780">
        <f>SUM(AC90:AC91)</f>
        <v/>
      </c>
      <c r="AD92" s="780">
        <f>SUM(AD90:AD91)</f>
        <v/>
      </c>
      <c r="AE92" s="780">
        <f>SUM(AE90:AE91)</f>
        <v/>
      </c>
      <c r="AF92" s="780">
        <f>SUM(AF90:AF91)</f>
        <v/>
      </c>
      <c r="AG92" s="780">
        <f>SUM(AG90:AG91)</f>
        <v/>
      </c>
      <c r="AH92" s="780">
        <f>SUM(AH90:AH91)</f>
        <v/>
      </c>
      <c r="AI92" s="780">
        <f>SUM(AI90:AI91)</f>
        <v/>
      </c>
      <c r="AJ92" s="780">
        <f>SUM(AJ90:AJ91)</f>
        <v/>
      </c>
      <c r="AK92" s="780">
        <f>SUM(AK90:AK91)</f>
        <v/>
      </c>
      <c r="AL92" s="780">
        <f>SUM(AL90:AL91)</f>
        <v/>
      </c>
      <c r="AM92" s="780">
        <f>SUM(AM90:AM91)</f>
        <v/>
      </c>
      <c r="AN92" s="780">
        <f>SUM(AN90:AN91)</f>
        <v/>
      </c>
      <c r="AO92" s="735" t="n"/>
      <c r="AP92" s="744" t="n"/>
      <c r="AQ92" s="735" t="n"/>
      <c r="AR92" s="735" t="n"/>
      <c r="AS92" s="735" t="n"/>
    </row>
    <row r="93">
      <c r="C93" s="735" t="n"/>
      <c r="D93" s="735" t="n"/>
      <c r="E93" s="780" t="n"/>
      <c r="F93" s="780" t="n"/>
      <c r="G93" s="780" t="n"/>
      <c r="H93" s="780" t="n"/>
      <c r="I93" s="780" t="n"/>
      <c r="J93" s="780" t="n"/>
      <c r="K93" s="780" t="n"/>
      <c r="L93" s="780" t="n"/>
      <c r="M93" s="780" t="n"/>
      <c r="N93" s="780" t="n"/>
      <c r="O93" s="780" t="n"/>
      <c r="P93" s="780" t="n"/>
      <c r="Q93" s="780" t="n"/>
      <c r="R93" s="780" t="n"/>
      <c r="S93" s="780" t="n"/>
      <c r="T93" s="780" t="n"/>
      <c r="U93" s="780" t="n"/>
      <c r="V93" s="780" t="n"/>
      <c r="W93" s="780" t="n"/>
      <c r="X93" s="780" t="n"/>
      <c r="Y93" s="780" t="n"/>
      <c r="Z93" s="780" t="n"/>
      <c r="AA93" s="780" t="n"/>
      <c r="AB93" s="780" t="n"/>
      <c r="AC93" s="780" t="n"/>
      <c r="AD93" s="780" t="n"/>
      <c r="AE93" s="780" t="n"/>
      <c r="AF93" s="780" t="n"/>
      <c r="AG93" s="780" t="n"/>
      <c r="AH93" s="780" t="n"/>
      <c r="AI93" s="780" t="n"/>
      <c r="AJ93" s="780" t="n"/>
      <c r="AK93" s="780" t="n"/>
      <c r="AL93" s="780" t="n"/>
      <c r="AM93" s="780" t="n"/>
      <c r="AN93" s="780" t="n"/>
      <c r="AO93" s="780" t="n"/>
      <c r="AP93" s="907" t="n"/>
      <c r="AQ93" s="780" t="n"/>
      <c r="AR93" s="735" t="n"/>
      <c r="AS93" s="735" t="n"/>
    </row>
    <row r="94">
      <c r="C94" s="6" t="inlineStr">
        <is>
          <t>MEZZANINE FUNDING</t>
        </is>
      </c>
      <c r="D94" s="325">
        <f>+Summary!E69</f>
        <v/>
      </c>
      <c r="E94" s="780" t="n"/>
      <c r="F94" s="780" t="n"/>
      <c r="G94" s="780" t="n"/>
      <c r="H94" s="780" t="n"/>
      <c r="I94" s="780" t="n"/>
      <c r="J94" s="780" t="n"/>
      <c r="K94" s="780" t="n"/>
      <c r="L94" s="780" t="n"/>
      <c r="M94" s="780" t="n"/>
      <c r="N94" s="780" t="n"/>
      <c r="O94" s="780" t="n"/>
      <c r="P94" s="780" t="n"/>
      <c r="Q94" s="780" t="n"/>
      <c r="R94" s="780" t="n"/>
      <c r="S94" s="780" t="n"/>
      <c r="T94" s="780" t="n"/>
      <c r="U94" s="780" t="n"/>
      <c r="V94" s="780" t="n"/>
      <c r="W94" s="780" t="n"/>
      <c r="X94" s="780" t="n"/>
      <c r="Y94" s="780" t="n"/>
      <c r="Z94" s="780" t="n"/>
      <c r="AA94" s="780" t="n"/>
      <c r="AB94" s="780" t="n"/>
      <c r="AC94" s="780" t="n"/>
      <c r="AD94" s="780" t="n"/>
      <c r="AE94" s="780" t="n"/>
      <c r="AF94" s="780" t="n"/>
      <c r="AG94" s="780" t="n"/>
      <c r="AH94" s="780" t="n"/>
      <c r="AI94" s="780" t="n"/>
      <c r="AJ94" s="780" t="n"/>
      <c r="AK94" s="780" t="n"/>
      <c r="AL94" s="780" t="n"/>
      <c r="AM94" s="780" t="n"/>
      <c r="AN94" s="780" t="n"/>
      <c r="AO94" s="780" t="n"/>
      <c r="AP94" s="907" t="n"/>
      <c r="AQ94" s="780" t="n"/>
      <c r="AR94" s="735" t="n"/>
      <c r="AS94" s="735" t="n"/>
    </row>
    <row r="95">
      <c r="C95" s="735" t="inlineStr">
        <is>
          <t>BEGINNING BALANCE</t>
        </is>
      </c>
      <c r="D95" s="735" t="n"/>
      <c r="E95" s="76">
        <f>+D94</f>
        <v/>
      </c>
      <c r="F95" s="780">
        <f>+E97</f>
        <v/>
      </c>
      <c r="G95" s="780">
        <f>+F97</f>
        <v/>
      </c>
      <c r="H95" s="780">
        <f>+G97</f>
        <v/>
      </c>
      <c r="I95" s="780">
        <f>+H97</f>
        <v/>
      </c>
      <c r="J95" s="780">
        <f>+I97</f>
        <v/>
      </c>
      <c r="K95" s="780">
        <f>+J97</f>
        <v/>
      </c>
      <c r="L95" s="780">
        <f>+K97</f>
        <v/>
      </c>
      <c r="M95" s="780">
        <f>+L97</f>
        <v/>
      </c>
      <c r="N95" s="780">
        <f>+M97</f>
        <v/>
      </c>
      <c r="O95" s="780">
        <f>+N97</f>
        <v/>
      </c>
      <c r="P95" s="780">
        <f>+O97</f>
        <v/>
      </c>
      <c r="Q95" s="780">
        <f>+P97</f>
        <v/>
      </c>
      <c r="R95" s="780">
        <f>+Q97</f>
        <v/>
      </c>
      <c r="S95" s="780">
        <f>+R97</f>
        <v/>
      </c>
      <c r="T95" s="780">
        <f>+S97</f>
        <v/>
      </c>
      <c r="U95" s="780">
        <f>+T97</f>
        <v/>
      </c>
      <c r="V95" s="780">
        <f>+U97</f>
        <v/>
      </c>
      <c r="W95" s="780" t="n"/>
      <c r="X95" s="780" t="n"/>
      <c r="Y95" s="780" t="n"/>
      <c r="Z95" s="780" t="n"/>
      <c r="AA95" s="780" t="n"/>
      <c r="AB95" s="780" t="n"/>
      <c r="AC95" s="780" t="n"/>
      <c r="AD95" s="780" t="n"/>
      <c r="AE95" s="780" t="n"/>
      <c r="AF95" s="780" t="n"/>
      <c r="AG95" s="780" t="n"/>
      <c r="AH95" s="780" t="n"/>
      <c r="AI95" s="780" t="n"/>
      <c r="AJ95" s="780" t="n"/>
      <c r="AK95" s="780" t="n"/>
      <c r="AL95" s="780" t="n"/>
      <c r="AM95" s="780" t="n"/>
      <c r="AN95" s="780" t="n"/>
      <c r="AO95" s="780" t="n"/>
      <c r="AP95" s="907" t="n"/>
      <c r="AQ95" s="780" t="n"/>
      <c r="AR95" s="735" t="n"/>
      <c r="AS95" s="735" t="n"/>
    </row>
    <row r="96">
      <c r="C96" s="735" t="inlineStr">
        <is>
          <t xml:space="preserve">DRAWN </t>
        </is>
      </c>
      <c r="D96" s="735" t="n"/>
      <c r="E96" s="893">
        <f>IF(E95=0,0,-MIN(E38-E91,E95))</f>
        <v/>
      </c>
      <c r="F96" s="893">
        <f>IF(F95=0,0,-MIN(F38-F91,F95))</f>
        <v/>
      </c>
      <c r="G96" s="893">
        <f>IF(G95=0,0,-MIN(G38-G91,G95))</f>
        <v/>
      </c>
      <c r="H96" s="893">
        <f>IF(H95=0,0,-MIN(H38-H91,H95))</f>
        <v/>
      </c>
      <c r="I96" s="893">
        <f>IF(I95=0,0,-MIN(I38-I91,I95))</f>
        <v/>
      </c>
      <c r="J96" s="893">
        <f>IF(J95=0,0,-MIN(J38-J91,J95))</f>
        <v/>
      </c>
      <c r="K96" s="893">
        <f>IF(K95=0,0,-MIN(K38-K91,K95))</f>
        <v/>
      </c>
      <c r="L96" s="893">
        <f>IF(L95=0,0,-MIN(L38-L91,L95))</f>
        <v/>
      </c>
      <c r="M96" s="893">
        <f>IF(M95=0,0,-MIN(M38-M91,M95))</f>
        <v/>
      </c>
      <c r="N96" s="893">
        <f>IF(N95=0,0,-MIN(N38-N91,N95))</f>
        <v/>
      </c>
      <c r="O96" s="893">
        <f>IF(O95=0,0,-MIN(O38-O91,O95))</f>
        <v/>
      </c>
      <c r="P96" s="893">
        <f>IF(P95=0,0,-MIN(P38-P91,P95))</f>
        <v/>
      </c>
      <c r="Q96" s="893">
        <f>IF(Q95=0,0,-MIN(Q38-Q91,Q95))</f>
        <v/>
      </c>
      <c r="R96" s="893">
        <f>IF(R95=0,0,-MIN(R38-R91,R95))</f>
        <v/>
      </c>
      <c r="S96" s="893">
        <f>IF(S95=0,0,-MIN(S38-S91,S95))</f>
        <v/>
      </c>
      <c r="T96" s="893">
        <f>IF(T95=0,0,-MIN(T38-T91,T95))</f>
        <v/>
      </c>
      <c r="U96" s="893">
        <f>IF(U95=0,0,-MIN(U38-U91,U95))</f>
        <v/>
      </c>
      <c r="V96" s="893">
        <f>IF(V95=0,0,-MIN(V38-V91,V95))</f>
        <v/>
      </c>
      <c r="W96" s="780" t="n"/>
      <c r="X96" s="780" t="n"/>
      <c r="Y96" s="780" t="n"/>
      <c r="Z96" s="780" t="n"/>
      <c r="AA96" s="780" t="n"/>
      <c r="AB96" s="780" t="n"/>
      <c r="AC96" s="780" t="n"/>
      <c r="AD96" s="780" t="n"/>
      <c r="AE96" s="780" t="n"/>
      <c r="AF96" s="780" t="n"/>
      <c r="AG96" s="780" t="n"/>
      <c r="AH96" s="780" t="n"/>
      <c r="AI96" s="780" t="n"/>
      <c r="AJ96" s="780" t="n"/>
      <c r="AK96" s="780" t="n"/>
      <c r="AL96" s="780" t="n"/>
      <c r="AM96" s="780" t="n"/>
      <c r="AN96" s="780" t="n"/>
      <c r="AO96" s="780">
        <f>SUM(E96:AN96)</f>
        <v/>
      </c>
      <c r="AP96" s="907" t="n"/>
      <c r="AQ96" s="780" t="n"/>
      <c r="AR96" s="735" t="n"/>
      <c r="AS96" s="735" t="n"/>
    </row>
    <row r="97">
      <c r="C97" s="735" t="inlineStr">
        <is>
          <t>ENDING BALANCE</t>
        </is>
      </c>
      <c r="D97" s="735" t="n"/>
      <c r="E97" s="780">
        <f>+SUM(E95:E96)</f>
        <v/>
      </c>
      <c r="F97" s="780">
        <f>+SUM(F95:F96)</f>
        <v/>
      </c>
      <c r="G97" s="780">
        <f>+SUM(G95:G96)</f>
        <v/>
      </c>
      <c r="H97" s="780">
        <f>+SUM(H95:H96)</f>
        <v/>
      </c>
      <c r="I97" s="780">
        <f>+SUM(I95:I96)</f>
        <v/>
      </c>
      <c r="J97" s="780">
        <f>+SUM(J95:J96)</f>
        <v/>
      </c>
      <c r="K97" s="780">
        <f>+SUM(K95:K96)</f>
        <v/>
      </c>
      <c r="L97" s="780">
        <f>+SUM(L95:L96)</f>
        <v/>
      </c>
      <c r="M97" s="780">
        <f>+SUM(M95:M96)</f>
        <v/>
      </c>
      <c r="N97" s="780">
        <f>+SUM(N95:N96)</f>
        <v/>
      </c>
      <c r="O97" s="780">
        <f>+SUM(O95:O96)</f>
        <v/>
      </c>
      <c r="P97" s="780">
        <f>+SUM(P95:P96)</f>
        <v/>
      </c>
      <c r="Q97" s="780">
        <f>+SUM(Q95:Q96)</f>
        <v/>
      </c>
      <c r="R97" s="780">
        <f>+SUM(R95:R96)</f>
        <v/>
      </c>
      <c r="S97" s="780">
        <f>+SUM(S95:S96)</f>
        <v/>
      </c>
      <c r="T97" s="780">
        <f>+SUM(T95:T96)</f>
        <v/>
      </c>
      <c r="U97" s="780">
        <f>+SUM(U95:U96)</f>
        <v/>
      </c>
      <c r="V97" s="780">
        <f>+SUM(V95:V96)</f>
        <v/>
      </c>
      <c r="W97" s="780" t="n"/>
      <c r="X97" s="780" t="n"/>
      <c r="Y97" s="780" t="n"/>
      <c r="Z97" s="780" t="n"/>
      <c r="AA97" s="780" t="n"/>
      <c r="AB97" s="780" t="n"/>
      <c r="AC97" s="780" t="n"/>
      <c r="AD97" s="780" t="n"/>
      <c r="AE97" s="780" t="n"/>
      <c r="AF97" s="780" t="n"/>
      <c r="AG97" s="780" t="n"/>
      <c r="AH97" s="780" t="n"/>
      <c r="AI97" s="780" t="n"/>
      <c r="AJ97" s="780" t="n"/>
      <c r="AK97" s="780" t="n"/>
      <c r="AL97" s="780" t="n"/>
      <c r="AM97" s="780" t="n"/>
      <c r="AN97" s="780" t="n"/>
      <c r="AO97" s="780" t="n"/>
      <c r="AP97" s="907" t="n"/>
      <c r="AQ97" s="780" t="n"/>
      <c r="AR97" s="735" t="n"/>
      <c r="AS97" s="735" t="n"/>
    </row>
    <row r="98">
      <c r="C98" s="735" t="n"/>
      <c r="D98" s="735" t="n"/>
      <c r="E98" s="735" t="n"/>
      <c r="F98" s="735" t="n"/>
      <c r="G98" s="735" t="n"/>
      <c r="H98" s="735" t="n"/>
      <c r="I98" s="735" t="n"/>
      <c r="J98" s="735" t="n"/>
      <c r="K98" s="735" t="n"/>
      <c r="L98" s="735" t="n"/>
      <c r="M98" s="735" t="n"/>
      <c r="N98" s="735" t="n"/>
      <c r="O98" s="735" t="n"/>
      <c r="P98" s="735" t="n"/>
      <c r="Q98" s="735" t="n"/>
      <c r="R98" s="735" t="n"/>
      <c r="S98" s="735" t="n"/>
      <c r="T98" s="735" t="n"/>
      <c r="U98" s="735" t="n"/>
      <c r="V98" s="735" t="n"/>
      <c r="W98" s="735" t="n"/>
      <c r="X98" s="735" t="n"/>
      <c r="Y98" s="735" t="n"/>
      <c r="Z98" s="735" t="n"/>
      <c r="AA98" s="735" t="n"/>
      <c r="AB98" s="735" t="n"/>
      <c r="AC98" s="735" t="n"/>
      <c r="AD98" s="735" t="n"/>
      <c r="AE98" s="735" t="n"/>
      <c r="AF98" s="735" t="n"/>
      <c r="AG98" s="735" t="n"/>
      <c r="AH98" s="735" t="n"/>
      <c r="AI98" s="735" t="n"/>
      <c r="AJ98" s="735" t="n"/>
      <c r="AK98" s="735" t="n"/>
      <c r="AL98" s="735" t="n"/>
      <c r="AM98" s="735" t="n"/>
      <c r="AN98" s="735" t="n"/>
      <c r="AO98" s="735" t="n"/>
      <c r="AP98" s="744" t="n"/>
      <c r="AQ98" s="735" t="n"/>
      <c r="AR98" s="735" t="n"/>
      <c r="AS98" s="735" t="n"/>
    </row>
    <row r="99">
      <c r="C99" s="6" t="inlineStr">
        <is>
          <t>MEZZANINE LOAN</t>
        </is>
      </c>
      <c r="D99" s="735" t="n"/>
      <c r="E99" s="735" t="n"/>
      <c r="F99" s="735" t="n"/>
      <c r="G99" s="735" t="n"/>
      <c r="H99" s="735" t="n"/>
      <c r="I99" s="735" t="n"/>
      <c r="J99" s="735" t="n"/>
      <c r="K99" s="735" t="n"/>
      <c r="L99" s="735" t="n"/>
      <c r="M99" s="735" t="n"/>
      <c r="N99" s="735" t="n"/>
      <c r="O99" s="735" t="n"/>
      <c r="P99" s="735" t="n"/>
      <c r="Q99" s="735" t="n"/>
      <c r="R99" s="735" t="n"/>
      <c r="S99" s="735" t="n"/>
      <c r="T99" s="735" t="n"/>
      <c r="U99" s="735" t="n"/>
      <c r="V99" s="735" t="n"/>
      <c r="W99" s="735" t="n"/>
      <c r="X99" s="735" t="n"/>
      <c r="Y99" s="735" t="n"/>
      <c r="Z99" s="735" t="n"/>
      <c r="AA99" s="735" t="n"/>
      <c r="AB99" s="735" t="n"/>
      <c r="AC99" s="735" t="n"/>
      <c r="AD99" s="735" t="n"/>
      <c r="AE99" s="735" t="n"/>
      <c r="AF99" s="735" t="n"/>
      <c r="AG99" s="735" t="n"/>
      <c r="AH99" s="735" t="n"/>
      <c r="AI99" s="735" t="n"/>
      <c r="AJ99" s="735" t="n"/>
      <c r="AK99" s="735" t="n"/>
      <c r="AL99" s="735" t="n"/>
      <c r="AM99" s="735" t="n"/>
      <c r="AN99" s="735" t="n"/>
      <c r="AO99" s="735" t="n"/>
      <c r="AP99" s="744" t="n"/>
      <c r="AQ99" s="735" t="n"/>
      <c r="AR99" s="735" t="n"/>
      <c r="AS99" s="735" t="n"/>
    </row>
    <row r="100">
      <c r="C100" s="735" t="inlineStr">
        <is>
          <t>BEGINNING BALANCE</t>
        </is>
      </c>
      <c r="D100" s="735" t="n"/>
      <c r="E100" s="349" t="n"/>
      <c r="F100" s="780">
        <f>E105</f>
        <v/>
      </c>
      <c r="G100" s="780">
        <f>F105</f>
        <v/>
      </c>
      <c r="H100" s="780">
        <f>G105</f>
        <v/>
      </c>
      <c r="I100" s="780">
        <f>H105</f>
        <v/>
      </c>
      <c r="J100" s="780">
        <f>I105</f>
        <v/>
      </c>
      <c r="K100" s="780">
        <f>J105</f>
        <v/>
      </c>
      <c r="L100" s="780">
        <f>K105</f>
        <v/>
      </c>
      <c r="M100" s="780">
        <f>L105</f>
        <v/>
      </c>
      <c r="N100" s="780">
        <f>M105</f>
        <v/>
      </c>
      <c r="O100" s="780">
        <f>N105</f>
        <v/>
      </c>
      <c r="P100" s="780">
        <f>O105</f>
        <v/>
      </c>
      <c r="Q100" s="780">
        <f>P105</f>
        <v/>
      </c>
      <c r="R100" s="780">
        <f>Q105</f>
        <v/>
      </c>
      <c r="S100" s="780">
        <f>R105</f>
        <v/>
      </c>
      <c r="T100" s="780">
        <f>S105</f>
        <v/>
      </c>
      <c r="U100" s="780">
        <f>T105</f>
        <v/>
      </c>
      <c r="V100" s="780">
        <f>U105</f>
        <v/>
      </c>
      <c r="W100" s="780">
        <f>V105</f>
        <v/>
      </c>
      <c r="X100" s="780">
        <f>W105</f>
        <v/>
      </c>
      <c r="Y100" s="780">
        <f>X105</f>
        <v/>
      </c>
      <c r="Z100" s="780">
        <f>Y105</f>
        <v/>
      </c>
      <c r="AA100" s="780">
        <f>Z105</f>
        <v/>
      </c>
      <c r="AB100" s="780">
        <f>AA105</f>
        <v/>
      </c>
      <c r="AC100" s="780">
        <f>AB105</f>
        <v/>
      </c>
      <c r="AD100" s="780">
        <f>AC105</f>
        <v/>
      </c>
      <c r="AE100" s="780">
        <f>AD105</f>
        <v/>
      </c>
      <c r="AF100" s="780">
        <f>AE105</f>
        <v/>
      </c>
      <c r="AG100" s="780">
        <f>AF105</f>
        <v/>
      </c>
      <c r="AH100" s="780">
        <f>AG105</f>
        <v/>
      </c>
      <c r="AI100" s="780">
        <f>AH105</f>
        <v/>
      </c>
      <c r="AJ100" s="780">
        <f>AI105</f>
        <v/>
      </c>
      <c r="AK100" s="780">
        <f>AJ105</f>
        <v/>
      </c>
      <c r="AL100" s="780">
        <f>AK105</f>
        <v/>
      </c>
      <c r="AM100" s="780">
        <f>AL105</f>
        <v/>
      </c>
      <c r="AN100" s="780">
        <f>AM105</f>
        <v/>
      </c>
      <c r="AO100" s="735" t="n"/>
      <c r="AP100" s="744" t="n"/>
      <c r="AQ100" s="735" t="n"/>
      <c r="AR100" s="735" t="n"/>
      <c r="AS100" s="735" t="n"/>
    </row>
    <row r="101">
      <c r="C101" s="735" t="inlineStr">
        <is>
          <t>DRAWN</t>
        </is>
      </c>
      <c r="D101" s="735" t="n"/>
      <c r="E101" s="780">
        <f>-E96</f>
        <v/>
      </c>
      <c r="F101" s="780">
        <f>-F96</f>
        <v/>
      </c>
      <c r="G101" s="780">
        <f>-G96</f>
        <v/>
      </c>
      <c r="H101" s="780">
        <f>-H96</f>
        <v/>
      </c>
      <c r="I101" s="780">
        <f>-I96</f>
        <v/>
      </c>
      <c r="J101" s="780">
        <f>-J96</f>
        <v/>
      </c>
      <c r="K101" s="780">
        <f>-K96</f>
        <v/>
      </c>
      <c r="L101" s="780">
        <f>-L96</f>
        <v/>
      </c>
      <c r="M101" s="780">
        <f>-M96</f>
        <v/>
      </c>
      <c r="N101" s="780">
        <f>-N96</f>
        <v/>
      </c>
      <c r="O101" s="780">
        <f>-O96</f>
        <v/>
      </c>
      <c r="P101" s="780">
        <f>-P96</f>
        <v/>
      </c>
      <c r="Q101" s="780">
        <f>-Q96</f>
        <v/>
      </c>
      <c r="R101" s="780">
        <f>-R96</f>
        <v/>
      </c>
      <c r="S101" s="780">
        <f>-S96</f>
        <v/>
      </c>
      <c r="T101" s="780">
        <f>-T96</f>
        <v/>
      </c>
      <c r="U101" s="780">
        <f>-U96</f>
        <v/>
      </c>
      <c r="V101" s="780">
        <f>-V96</f>
        <v/>
      </c>
      <c r="W101" s="780">
        <f>-W96</f>
        <v/>
      </c>
      <c r="X101" s="780">
        <f>-X96</f>
        <v/>
      </c>
      <c r="Y101" s="780">
        <f>-Y96</f>
        <v/>
      </c>
      <c r="Z101" s="780">
        <f>-Z96</f>
        <v/>
      </c>
      <c r="AA101" s="780">
        <f>-AA96</f>
        <v/>
      </c>
      <c r="AB101" s="780">
        <f>-AB96</f>
        <v/>
      </c>
      <c r="AC101" s="780">
        <f>-AC96</f>
        <v/>
      </c>
      <c r="AD101" s="780">
        <f>-AD96</f>
        <v/>
      </c>
      <c r="AE101" s="780">
        <f>-AE96</f>
        <v/>
      </c>
      <c r="AF101" s="780">
        <f>-AF96</f>
        <v/>
      </c>
      <c r="AG101" s="780">
        <f>-AG96</f>
        <v/>
      </c>
      <c r="AH101" s="780">
        <f>-AH96</f>
        <v/>
      </c>
      <c r="AI101" s="780">
        <f>-AI96</f>
        <v/>
      </c>
      <c r="AJ101" s="780">
        <f>-AJ96</f>
        <v/>
      </c>
      <c r="AK101" s="780">
        <f>-AK96</f>
        <v/>
      </c>
      <c r="AL101" s="780">
        <f>-AL96</f>
        <v/>
      </c>
      <c r="AM101" s="780">
        <f>-AM96</f>
        <v/>
      </c>
      <c r="AN101" s="780">
        <f>-AN96</f>
        <v/>
      </c>
      <c r="AO101" s="735" t="n"/>
      <c r="AP101" s="744" t="n"/>
      <c r="AQ101" s="735" t="n"/>
      <c r="AR101" s="735" t="n"/>
      <c r="AS101" s="735" t="n"/>
    </row>
    <row r="102">
      <c r="C102" s="735" t="inlineStr">
        <is>
          <t>INTEREST ACCRUED</t>
        </is>
      </c>
      <c r="D102" s="392">
        <f>+Summary!M16</f>
        <v/>
      </c>
      <c r="E102" s="780">
        <f>+E$100*$D102/12</f>
        <v/>
      </c>
      <c r="F102" s="780">
        <f>+F$100*$D102/12</f>
        <v/>
      </c>
      <c r="G102" s="780">
        <f>+G$100*$D102/12</f>
        <v/>
      </c>
      <c r="H102" s="780">
        <f>+H$100*$D102/12</f>
        <v/>
      </c>
      <c r="I102" s="780">
        <f>+I$100*$D102/12</f>
        <v/>
      </c>
      <c r="J102" s="780">
        <f>+J$100*$D102/12</f>
        <v/>
      </c>
      <c r="K102" s="780">
        <f>+K$100*$D102/12</f>
        <v/>
      </c>
      <c r="L102" s="780">
        <f>+L$100*$D102/12</f>
        <v/>
      </c>
      <c r="M102" s="780">
        <f>+M$100*$D102/12</f>
        <v/>
      </c>
      <c r="N102" s="780">
        <f>+N$100*$D102/12</f>
        <v/>
      </c>
      <c r="O102" s="780">
        <f>+O$100*$D102/12</f>
        <v/>
      </c>
      <c r="P102" s="780">
        <f>+P$100*$D102/12</f>
        <v/>
      </c>
      <c r="Q102" s="780">
        <f>+Q$100*$D102/12</f>
        <v/>
      </c>
      <c r="R102" s="780">
        <f>+R$100*$D102/12</f>
        <v/>
      </c>
      <c r="S102" s="780">
        <f>+S$100*$D102/12</f>
        <v/>
      </c>
      <c r="T102" s="780">
        <f>+T$100*$D102/12</f>
        <v/>
      </c>
      <c r="U102" s="780">
        <f>+U$100*$D102/12</f>
        <v/>
      </c>
      <c r="V102" s="780">
        <f>+V$100*$D102/12</f>
        <v/>
      </c>
      <c r="W102" s="780">
        <f>+W$100*$D102/12</f>
        <v/>
      </c>
      <c r="X102" s="780">
        <f>+X$100*$D102/12</f>
        <v/>
      </c>
      <c r="Y102" s="780">
        <f>+Y$100*$D102/12</f>
        <v/>
      </c>
      <c r="Z102" s="780">
        <f>+Z$100*$D102/12</f>
        <v/>
      </c>
      <c r="AA102" s="780">
        <f>+AA$100*$D102/12</f>
        <v/>
      </c>
      <c r="AB102" s="780">
        <f>+AB$100*$D102/12</f>
        <v/>
      </c>
      <c r="AC102" s="780">
        <f>+AC$100*$D102/12</f>
        <v/>
      </c>
      <c r="AD102" s="780">
        <f>+AD$100*$D102/12</f>
        <v/>
      </c>
      <c r="AE102" s="780">
        <f>+AE$100*$D102/12</f>
        <v/>
      </c>
      <c r="AF102" s="780">
        <f>+AF$100*$D102/12</f>
        <v/>
      </c>
      <c r="AG102" s="780">
        <f>+AG$100*$D102/12</f>
        <v/>
      </c>
      <c r="AH102" s="780">
        <f>+AH$100*$D102/12</f>
        <v/>
      </c>
      <c r="AI102" s="780">
        <f>+AI$100*$D102/12</f>
        <v/>
      </c>
      <c r="AJ102" s="780">
        <f>+AJ$100*$D102/12</f>
        <v/>
      </c>
      <c r="AK102" s="780">
        <f>+AK$100*$D102/12</f>
        <v/>
      </c>
      <c r="AL102" s="780">
        <f>+AL$100*$D102/12</f>
        <v/>
      </c>
      <c r="AM102" s="780">
        <f>+AM$100*$D102/12</f>
        <v/>
      </c>
      <c r="AN102" s="780">
        <f>+AN$100*$D102/12</f>
        <v/>
      </c>
      <c r="AO102" s="780">
        <f>SUM(E102:AN102)</f>
        <v/>
      </c>
      <c r="AP102" s="744" t="n"/>
      <c r="AQ102" s="735" t="n"/>
      <c r="AR102" s="735" t="n"/>
      <c r="AS102" s="735" t="n"/>
    </row>
    <row r="103">
      <c r="C103" s="735" t="inlineStr">
        <is>
          <t>INTEREST PAID FROM RESERVE</t>
        </is>
      </c>
      <c r="D103" s="392">
        <f>+Summary!M17</f>
        <v/>
      </c>
      <c r="E103" s="780">
        <f>+E$100*$D103/12</f>
        <v/>
      </c>
      <c r="F103" s="780">
        <f>+F$100*$D103/12</f>
        <v/>
      </c>
      <c r="G103" s="780">
        <f>+G$100*$D103/12</f>
        <v/>
      </c>
      <c r="H103" s="780">
        <f>+H$100*$D103/12</f>
        <v/>
      </c>
      <c r="I103" s="780">
        <f>+I$100*$D103/12</f>
        <v/>
      </c>
      <c r="J103" s="780">
        <f>+J$100*$D103/12</f>
        <v/>
      </c>
      <c r="K103" s="780">
        <f>+K$100*$D103/12</f>
        <v/>
      </c>
      <c r="L103" s="780">
        <f>+L$100*$D103/12</f>
        <v/>
      </c>
      <c r="M103" s="780">
        <f>+M$100*$D103/12</f>
        <v/>
      </c>
      <c r="N103" s="780">
        <f>+N$100*$D103/12</f>
        <v/>
      </c>
      <c r="O103" s="780">
        <f>+O$100*$D103/12</f>
        <v/>
      </c>
      <c r="P103" s="780">
        <f>+P$100*$D103/12</f>
        <v/>
      </c>
      <c r="Q103" s="780">
        <f>+Q$100*$D103/12</f>
        <v/>
      </c>
      <c r="R103" s="780">
        <f>+R$100*$D103/12</f>
        <v/>
      </c>
      <c r="S103" s="780">
        <f>+S$100*$D103/12</f>
        <v/>
      </c>
      <c r="T103" s="780">
        <f>+T$100*$D103/12</f>
        <v/>
      </c>
      <c r="U103" s="780">
        <f>+U$100*$D103/12</f>
        <v/>
      </c>
      <c r="V103" s="780">
        <f>+V$100*$D103/12</f>
        <v/>
      </c>
      <c r="W103" s="780">
        <f>+W$100*$D103/12</f>
        <v/>
      </c>
      <c r="X103" s="780">
        <f>+X$100*$D103/12</f>
        <v/>
      </c>
      <c r="Y103" s="780">
        <f>+Y$100*$D103/12</f>
        <v/>
      </c>
      <c r="Z103" s="780">
        <f>+Z$100*$D103/12</f>
        <v/>
      </c>
      <c r="AA103" s="780">
        <f>+AA$100*$D103/12</f>
        <v/>
      </c>
      <c r="AB103" s="780">
        <f>+AB$100*$D103/12</f>
        <v/>
      </c>
      <c r="AC103" s="780">
        <f>+AC$100*$D103/12</f>
        <v/>
      </c>
      <c r="AD103" s="780">
        <f>+AD$100*$D103/12</f>
        <v/>
      </c>
      <c r="AE103" s="780">
        <f>+AE$100*$D103/12</f>
        <v/>
      </c>
      <c r="AF103" s="780">
        <f>+AF$100*$D103/12</f>
        <v/>
      </c>
      <c r="AG103" s="780">
        <f>+AG$100*$D103/12</f>
        <v/>
      </c>
      <c r="AH103" s="780">
        <f>+AH$100*$D103/12</f>
        <v/>
      </c>
      <c r="AI103" s="780">
        <f>+AI$100*$D103/12</f>
        <v/>
      </c>
      <c r="AJ103" s="780">
        <f>+AJ$100*$D103/12</f>
        <v/>
      </c>
      <c r="AK103" s="780">
        <f>+AK$100*$D103/12</f>
        <v/>
      </c>
      <c r="AL103" s="780">
        <f>+AL$100*$D103/12</f>
        <v/>
      </c>
      <c r="AM103" s="780">
        <f>+AM$100*$D103/12</f>
        <v/>
      </c>
      <c r="AN103" s="780">
        <f>+AN$100*$D103/12</f>
        <v/>
      </c>
      <c r="AO103" s="780">
        <f>SUM(E103:AN103)</f>
        <v/>
      </c>
      <c r="AP103" s="744" t="n"/>
      <c r="AQ103" s="735" t="n"/>
      <c r="AR103" s="735" t="n"/>
      <c r="AS103" s="735" t="n"/>
    </row>
    <row r="104">
      <c r="C104" s="735" t="inlineStr">
        <is>
          <t>INTEREST PAID FROM CF</t>
        </is>
      </c>
      <c r="D104" s="13" t="n"/>
      <c r="E104" s="893">
        <f>+E85</f>
        <v/>
      </c>
      <c r="F104" s="893">
        <f>+F85</f>
        <v/>
      </c>
      <c r="G104" s="893">
        <f>+G85</f>
        <v/>
      </c>
      <c r="H104" s="893">
        <f>+H85</f>
        <v/>
      </c>
      <c r="I104" s="893">
        <f>+I85</f>
        <v/>
      </c>
      <c r="J104" s="893">
        <f>+J85</f>
        <v/>
      </c>
      <c r="K104" s="893">
        <f>+K85</f>
        <v/>
      </c>
      <c r="L104" s="893">
        <f>+L85</f>
        <v/>
      </c>
      <c r="M104" s="893">
        <f>+M85</f>
        <v/>
      </c>
      <c r="N104" s="893">
        <f>+N85</f>
        <v/>
      </c>
      <c r="O104" s="893">
        <f>+O85</f>
        <v/>
      </c>
      <c r="P104" s="893">
        <f>+P85</f>
        <v/>
      </c>
      <c r="Q104" s="893">
        <f>+Q85</f>
        <v/>
      </c>
      <c r="R104" s="893">
        <f>+R85</f>
        <v/>
      </c>
      <c r="S104" s="893">
        <f>+S85</f>
        <v/>
      </c>
      <c r="T104" s="893">
        <f>+T85</f>
        <v/>
      </c>
      <c r="U104" s="893">
        <f>+U85</f>
        <v/>
      </c>
      <c r="V104" s="893">
        <f>+V85</f>
        <v/>
      </c>
      <c r="W104" s="893">
        <f>+W85</f>
        <v/>
      </c>
      <c r="X104" s="893">
        <f>+X85</f>
        <v/>
      </c>
      <c r="Y104" s="893">
        <f>+Y85</f>
        <v/>
      </c>
      <c r="Z104" s="893">
        <f>+Z85</f>
        <v/>
      </c>
      <c r="AA104" s="893">
        <f>+AA85</f>
        <v/>
      </c>
      <c r="AB104" s="893">
        <f>+AB85</f>
        <v/>
      </c>
      <c r="AC104" s="893">
        <f>+AC85</f>
        <v/>
      </c>
      <c r="AD104" s="893">
        <f>+AD85</f>
        <v/>
      </c>
      <c r="AE104" s="893">
        <f>+AE85</f>
        <v/>
      </c>
      <c r="AF104" s="893">
        <f>+AF85</f>
        <v/>
      </c>
      <c r="AG104" s="893">
        <f>+AG85</f>
        <v/>
      </c>
      <c r="AH104" s="893">
        <f>+AH85</f>
        <v/>
      </c>
      <c r="AI104" s="893">
        <f>+AI85</f>
        <v/>
      </c>
      <c r="AJ104" s="893">
        <f>+AJ85</f>
        <v/>
      </c>
      <c r="AK104" s="893">
        <f>+AK85</f>
        <v/>
      </c>
      <c r="AL104" s="893">
        <f>+AL85</f>
        <v/>
      </c>
      <c r="AM104" s="893">
        <f>+AM85</f>
        <v/>
      </c>
      <c r="AN104" s="893">
        <f>+AN85</f>
        <v/>
      </c>
      <c r="AO104" s="780">
        <f>SUM(E104:AN104)</f>
        <v/>
      </c>
      <c r="AP104" s="744" t="n"/>
      <c r="AQ104" s="735" t="n"/>
      <c r="AR104" s="735" t="n"/>
      <c r="AS104" s="735" t="n"/>
    </row>
    <row r="105">
      <c r="C105" s="735" t="inlineStr">
        <is>
          <t>ENDING BALANCE</t>
        </is>
      </c>
      <c r="D105" s="735" t="n"/>
      <c r="E105" s="780">
        <f>SUM(E100:E104)</f>
        <v/>
      </c>
      <c r="F105" s="780">
        <f>SUM(F100:F104)</f>
        <v/>
      </c>
      <c r="G105" s="780">
        <f>SUM(G100:G104)</f>
        <v/>
      </c>
      <c r="H105" s="780">
        <f>SUM(H100:H104)</f>
        <v/>
      </c>
      <c r="I105" s="780">
        <f>SUM(I100:I104)</f>
        <v/>
      </c>
      <c r="J105" s="780">
        <f>SUM(J100:J104)</f>
        <v/>
      </c>
      <c r="K105" s="780">
        <f>SUM(K100:K104)</f>
        <v/>
      </c>
      <c r="L105" s="780">
        <f>SUM(L100:L104)</f>
        <v/>
      </c>
      <c r="M105" s="780">
        <f>SUM(M100:M104)</f>
        <v/>
      </c>
      <c r="N105" s="780">
        <f>SUM(N100:N104)</f>
        <v/>
      </c>
      <c r="O105" s="780">
        <f>SUM(O100:O104)</f>
        <v/>
      </c>
      <c r="P105" s="780">
        <f>SUM(P100:P104)</f>
        <v/>
      </c>
      <c r="Q105" s="780">
        <f>SUM(Q100:Q104)</f>
        <v/>
      </c>
      <c r="R105" s="780">
        <f>SUM(R100:R104)</f>
        <v/>
      </c>
      <c r="S105" s="780">
        <f>SUM(S100:S104)</f>
        <v/>
      </c>
      <c r="T105" s="780">
        <f>SUM(T100:T104)</f>
        <v/>
      </c>
      <c r="U105" s="780">
        <f>SUM(U100:U104)</f>
        <v/>
      </c>
      <c r="V105" s="780">
        <f>SUM(V100:V104)</f>
        <v/>
      </c>
      <c r="W105" s="780">
        <f>SUM(W100:W104)</f>
        <v/>
      </c>
      <c r="X105" s="780">
        <f>SUM(X100:X104)</f>
        <v/>
      </c>
      <c r="Y105" s="780">
        <f>SUM(Y100:Y104)</f>
        <v/>
      </c>
      <c r="Z105" s="780">
        <f>SUM(Z100:Z104)</f>
        <v/>
      </c>
      <c r="AA105" s="780">
        <f>SUM(AA100:AA104)</f>
        <v/>
      </c>
      <c r="AB105" s="780">
        <f>SUM(AB100:AB104)</f>
        <v/>
      </c>
      <c r="AC105" s="780">
        <f>SUM(AC100:AC104)</f>
        <v/>
      </c>
      <c r="AD105" s="780">
        <f>SUM(AD100:AD104)</f>
        <v/>
      </c>
      <c r="AE105" s="780">
        <f>SUM(AE100:AE104)</f>
        <v/>
      </c>
      <c r="AF105" s="780">
        <f>SUM(AF100:AF104)</f>
        <v/>
      </c>
      <c r="AG105" s="780">
        <f>SUM(AG100:AG104)</f>
        <v/>
      </c>
      <c r="AH105" s="780">
        <f>SUM(AH100:AH104)</f>
        <v/>
      </c>
      <c r="AI105" s="780">
        <f>SUM(AI100:AI104)</f>
        <v/>
      </c>
      <c r="AJ105" s="780">
        <f>SUM(AJ100:AJ104)</f>
        <v/>
      </c>
      <c r="AK105" s="780">
        <f>SUM(AK100:AK104)</f>
        <v/>
      </c>
      <c r="AL105" s="780">
        <f>SUM(AL100:AL104)</f>
        <v/>
      </c>
      <c r="AM105" s="780">
        <f>SUM(AM100:AM104)</f>
        <v/>
      </c>
      <c r="AN105" s="780">
        <f>SUM(AN100:AN104)</f>
        <v/>
      </c>
      <c r="AO105" s="735" t="n"/>
      <c r="AP105" s="744" t="n"/>
      <c r="AQ105" s="735" t="n"/>
      <c r="AR105" s="735" t="n"/>
      <c r="AS105" s="735" t="n"/>
    </row>
    <row r="106">
      <c r="C106" s="735" t="n"/>
      <c r="D106" s="735" t="n"/>
      <c r="E106" s="735" t="n"/>
      <c r="F106" s="735" t="n"/>
      <c r="G106" s="735" t="n"/>
      <c r="H106" s="735" t="n"/>
      <c r="I106" s="735" t="n"/>
      <c r="J106" s="735" t="n"/>
      <c r="K106" s="735" t="n"/>
      <c r="L106" s="735" t="n"/>
      <c r="M106" s="735" t="n"/>
      <c r="N106" s="735" t="n"/>
      <c r="O106" s="735" t="n"/>
      <c r="P106" s="735" t="n"/>
      <c r="Q106" s="735" t="n"/>
      <c r="R106" s="735" t="n"/>
      <c r="S106" s="735" t="n"/>
      <c r="T106" s="735" t="n"/>
      <c r="U106" s="735" t="n"/>
      <c r="V106" s="735" t="n"/>
      <c r="W106" s="735" t="n"/>
      <c r="X106" s="735" t="n"/>
      <c r="Y106" s="735" t="n"/>
      <c r="Z106" s="735" t="n"/>
      <c r="AA106" s="735" t="n"/>
      <c r="AB106" s="735" t="n"/>
      <c r="AC106" s="735" t="n"/>
      <c r="AD106" s="735" t="n"/>
      <c r="AE106" s="735" t="n"/>
      <c r="AF106" s="735" t="n"/>
      <c r="AG106" s="735" t="n"/>
      <c r="AH106" s="735" t="n"/>
      <c r="AI106" s="735" t="n"/>
      <c r="AJ106" s="735" t="n"/>
      <c r="AK106" s="735" t="n"/>
      <c r="AL106" s="735" t="n"/>
      <c r="AM106" s="735" t="n"/>
      <c r="AN106" s="735" t="n"/>
      <c r="AO106" s="735" t="n"/>
      <c r="AP106" s="744" t="n"/>
      <c r="AQ106" s="735" t="n"/>
      <c r="AR106" s="735" t="n"/>
      <c r="AS106" s="735" t="n"/>
    </row>
    <row r="107">
      <c r="C107" s="6" t="inlineStr">
        <is>
          <t>CONSTRUCTION LOAN</t>
        </is>
      </c>
      <c r="D107" s="326">
        <f>+Summary!E70</f>
        <v/>
      </c>
      <c r="E107" s="885" t="n"/>
      <c r="F107" s="735" t="n"/>
      <c r="G107" s="735" t="n"/>
      <c r="H107" s="735" t="n"/>
      <c r="I107" s="735" t="n"/>
      <c r="J107" s="735" t="n"/>
      <c r="K107" s="735" t="n"/>
      <c r="L107" s="735" t="n"/>
      <c r="M107" s="735" t="n"/>
      <c r="N107" s="735" t="n"/>
      <c r="O107" s="735" t="n"/>
      <c r="P107" s="735" t="n"/>
      <c r="Q107" s="735" t="n"/>
      <c r="R107" s="735" t="n"/>
      <c r="S107" s="735" t="n"/>
      <c r="T107" s="735" t="n"/>
      <c r="U107" s="735" t="n"/>
      <c r="V107" s="735" t="n"/>
      <c r="W107" s="735" t="n"/>
      <c r="X107" s="735" t="n"/>
      <c r="Y107" s="735" t="n"/>
      <c r="Z107" s="735" t="n"/>
      <c r="AA107" s="735" t="n"/>
      <c r="AB107" s="735" t="n"/>
      <c r="AC107" s="735" t="n"/>
      <c r="AD107" s="735" t="n"/>
      <c r="AE107" s="735" t="n"/>
      <c r="AF107" s="735" t="n"/>
      <c r="AG107" s="735" t="n"/>
      <c r="AH107" s="735" t="n"/>
      <c r="AI107" s="735" t="n"/>
      <c r="AJ107" s="735" t="n"/>
      <c r="AK107" s="735" t="n"/>
      <c r="AL107" s="735" t="n"/>
      <c r="AM107" s="735" t="n"/>
      <c r="AN107" s="735" t="n"/>
      <c r="AO107" s="885" t="n"/>
      <c r="AP107" s="744" t="n"/>
      <c r="AQ107" s="735" t="n"/>
      <c r="AR107" s="735" t="n"/>
      <c r="AS107" s="735" t="n"/>
    </row>
    <row r="108">
      <c r="C108" s="735" t="inlineStr">
        <is>
          <t>BEGINNING BALANCE</t>
        </is>
      </c>
      <c r="D108" s="14" t="n"/>
      <c r="E108" s="75" t="n">
        <v>0</v>
      </c>
      <c r="F108" s="780">
        <f>E110</f>
        <v/>
      </c>
      <c r="G108" s="780">
        <f>F110</f>
        <v/>
      </c>
      <c r="H108" s="780">
        <f>G110</f>
        <v/>
      </c>
      <c r="I108" s="780">
        <f>H110</f>
        <v/>
      </c>
      <c r="J108" s="780">
        <f>I110</f>
        <v/>
      </c>
      <c r="K108" s="780">
        <f>J110</f>
        <v/>
      </c>
      <c r="L108" s="780">
        <f>K110</f>
        <v/>
      </c>
      <c r="M108" s="780">
        <f>L110</f>
        <v/>
      </c>
      <c r="N108" s="780">
        <f>M110</f>
        <v/>
      </c>
      <c r="O108" s="780">
        <f>N110</f>
        <v/>
      </c>
      <c r="P108" s="780">
        <f>O110</f>
        <v/>
      </c>
      <c r="Q108" s="780">
        <f>P110</f>
        <v/>
      </c>
      <c r="R108" s="780">
        <f>Q110</f>
        <v/>
      </c>
      <c r="S108" s="780">
        <f>R110</f>
        <v/>
      </c>
      <c r="T108" s="780">
        <f>S110</f>
        <v/>
      </c>
      <c r="U108" s="780">
        <f>T110</f>
        <v/>
      </c>
      <c r="V108" s="780">
        <f>U110</f>
        <v/>
      </c>
      <c r="W108" s="780">
        <f>V110</f>
        <v/>
      </c>
      <c r="X108" s="780">
        <f>W110</f>
        <v/>
      </c>
      <c r="Y108" s="780">
        <f>X110</f>
        <v/>
      </c>
      <c r="Z108" s="780">
        <f>Y110</f>
        <v/>
      </c>
      <c r="AA108" s="780">
        <f>Z110</f>
        <v/>
      </c>
      <c r="AB108" s="780">
        <f>AA110</f>
        <v/>
      </c>
      <c r="AC108" s="780">
        <f>AB110</f>
        <v/>
      </c>
      <c r="AD108" s="780">
        <f>AC110</f>
        <v/>
      </c>
      <c r="AE108" s="780">
        <f>AD110</f>
        <v/>
      </c>
      <c r="AF108" s="780">
        <f>AE110</f>
        <v/>
      </c>
      <c r="AG108" s="780">
        <f>AF110</f>
        <v/>
      </c>
      <c r="AH108" s="780">
        <f>AG110</f>
        <v/>
      </c>
      <c r="AI108" s="780">
        <f>AH110</f>
        <v/>
      </c>
      <c r="AJ108" s="780">
        <f>AI110</f>
        <v/>
      </c>
      <c r="AK108" s="780">
        <f>AJ110</f>
        <v/>
      </c>
      <c r="AL108" s="780">
        <f>AK110</f>
        <v/>
      </c>
      <c r="AM108" s="780">
        <f>AL110</f>
        <v/>
      </c>
      <c r="AN108" s="780">
        <f>AM110</f>
        <v/>
      </c>
      <c r="AO108" s="780" t="n"/>
      <c r="AP108" s="744" t="n"/>
      <c r="AQ108" s="735" t="n"/>
      <c r="AR108" s="735" t="n"/>
      <c r="AS108" s="735" t="n"/>
    </row>
    <row r="109">
      <c r="C109" s="735" t="inlineStr">
        <is>
          <t>DRAWN</t>
        </is>
      </c>
      <c r="D109" s="14" t="n"/>
      <c r="E109" s="893">
        <f>+E38-E91-E101</f>
        <v/>
      </c>
      <c r="F109" s="893">
        <f>+F38-F91-F101</f>
        <v/>
      </c>
      <c r="G109" s="1186">
        <f>+G38-G91-G101</f>
        <v/>
      </c>
      <c r="H109" s="893">
        <f>+H38-H91-H101</f>
        <v/>
      </c>
      <c r="I109" s="893">
        <f>+I38-I91-I101</f>
        <v/>
      </c>
      <c r="J109" s="893">
        <f>+J38-J91-J101</f>
        <v/>
      </c>
      <c r="K109" s="893">
        <f>+K38-K91-K101</f>
        <v/>
      </c>
      <c r="L109" s="893">
        <f>+L38-L91-L101</f>
        <v/>
      </c>
      <c r="M109" s="893">
        <f>+M38-M91-M101</f>
        <v/>
      </c>
      <c r="N109" s="893">
        <f>+N38-N91-N101</f>
        <v/>
      </c>
      <c r="O109" s="893">
        <f>+O38-O91-O101</f>
        <v/>
      </c>
      <c r="P109" s="893">
        <f>+P38-P91-P101</f>
        <v/>
      </c>
      <c r="Q109" s="893">
        <f>+Q38-Q91-Q101</f>
        <v/>
      </c>
      <c r="R109" s="893">
        <f>+R38-R91-R101</f>
        <v/>
      </c>
      <c r="S109" s="893">
        <f>+S38-S91-S101</f>
        <v/>
      </c>
      <c r="T109" s="893">
        <f>+T38-T91-T101</f>
        <v/>
      </c>
      <c r="U109" s="893">
        <f>+U38-U91-U101+U83</f>
        <v/>
      </c>
      <c r="V109" s="893">
        <f>+V38-V91-V101</f>
        <v/>
      </c>
      <c r="W109" s="893">
        <f>+W38-W91-W101</f>
        <v/>
      </c>
      <c r="X109" s="893">
        <f>+X38-X91-X101</f>
        <v/>
      </c>
      <c r="Y109" s="893">
        <f>+Y38-Y91-Y101</f>
        <v/>
      </c>
      <c r="Z109" s="893">
        <f>+Z38-Z91-Z101</f>
        <v/>
      </c>
      <c r="AA109" s="893">
        <f>+AA38-AA91-AA101</f>
        <v/>
      </c>
      <c r="AB109" s="893">
        <f>+AB38-AB91-AB101</f>
        <v/>
      </c>
      <c r="AC109" s="893">
        <f>+AC38-AC91-AC101</f>
        <v/>
      </c>
      <c r="AD109" s="893">
        <f>+AD38-AD91-AD101</f>
        <v/>
      </c>
      <c r="AE109" s="893">
        <f>+AE38-AE91-AE101</f>
        <v/>
      </c>
      <c r="AF109" s="893">
        <f>+AF38-AF91-AF101</f>
        <v/>
      </c>
      <c r="AG109" s="893">
        <f>+AG38-AG91-AG101</f>
        <v/>
      </c>
      <c r="AH109" s="893">
        <f>+AH38-AH91-AH101</f>
        <v/>
      </c>
      <c r="AI109" s="893">
        <f>+AI38-AI91-AI101</f>
        <v/>
      </c>
      <c r="AJ109" s="893">
        <f>+AJ38-AJ91-AJ101</f>
        <v/>
      </c>
      <c r="AK109" s="893">
        <f>+AK38-AK91-AK101</f>
        <v/>
      </c>
      <c r="AL109" s="893">
        <f>+AL38-AL91-AL101</f>
        <v/>
      </c>
      <c r="AM109" s="893">
        <f>+AM38-AM91-AM101</f>
        <v/>
      </c>
      <c r="AN109" s="893">
        <f>+AN38-AN91-AN101</f>
        <v/>
      </c>
      <c r="AO109" s="885" t="n"/>
      <c r="AP109" s="905" t="n"/>
      <c r="AQ109" s="885" t="n"/>
      <c r="AR109" s="885" t="n"/>
      <c r="AS109" s="885" t="n"/>
    </row>
    <row r="110">
      <c r="C110" s="735" t="inlineStr">
        <is>
          <t>ENDING BALANCE</t>
        </is>
      </c>
      <c r="D110" s="14" t="n"/>
      <c r="E110" s="780">
        <f>SUM(E108:E109)</f>
        <v/>
      </c>
      <c r="F110" s="780">
        <f>SUM(F108:F109)</f>
        <v/>
      </c>
      <c r="G110" s="780">
        <f>SUM(G108:G109)</f>
        <v/>
      </c>
      <c r="H110" s="780">
        <f>SUM(H108:H109)</f>
        <v/>
      </c>
      <c r="I110" s="780">
        <f>SUM(I108:I109)</f>
        <v/>
      </c>
      <c r="J110" s="780">
        <f>SUM(J108:J109)</f>
        <v/>
      </c>
      <c r="K110" s="780">
        <f>SUM(K108:K109)</f>
        <v/>
      </c>
      <c r="L110" s="780">
        <f>SUM(L108:L109)</f>
        <v/>
      </c>
      <c r="M110" s="780">
        <f>SUM(M108:M109)</f>
        <v/>
      </c>
      <c r="N110" s="780">
        <f>SUM(N108:N109)</f>
        <v/>
      </c>
      <c r="O110" s="780">
        <f>SUM(O108:O109)</f>
        <v/>
      </c>
      <c r="P110" s="780">
        <f>SUM(P108:P109)</f>
        <v/>
      </c>
      <c r="Q110" s="780">
        <f>SUM(Q108:Q109)</f>
        <v/>
      </c>
      <c r="R110" s="780">
        <f>SUM(R108:R109)</f>
        <v/>
      </c>
      <c r="S110" s="780">
        <f>SUM(S108:S109)</f>
        <v/>
      </c>
      <c r="T110" s="780">
        <f>SUM(T108:T109)</f>
        <v/>
      </c>
      <c r="U110" s="780">
        <f>SUM(U108:U109)</f>
        <v/>
      </c>
      <c r="V110" s="780">
        <f>SUM(V108:V109)</f>
        <v/>
      </c>
      <c r="W110" s="780">
        <f>SUM(W108:W109)</f>
        <v/>
      </c>
      <c r="X110" s="780">
        <f>SUM(X108:X109)</f>
        <v/>
      </c>
      <c r="Y110" s="780">
        <f>SUM(Y108:Y109)</f>
        <v/>
      </c>
      <c r="Z110" s="780">
        <f>SUM(Z108:Z109)</f>
        <v/>
      </c>
      <c r="AA110" s="780">
        <f>SUM(AA108:AA109)</f>
        <v/>
      </c>
      <c r="AB110" s="780">
        <f>SUM(AB108:AB109)</f>
        <v/>
      </c>
      <c r="AC110" s="780">
        <f>SUM(AC108:AC109)</f>
        <v/>
      </c>
      <c r="AD110" s="780">
        <f>SUM(AD108:AD109)</f>
        <v/>
      </c>
      <c r="AE110" s="780">
        <f>SUM(AE108:AE109)</f>
        <v/>
      </c>
      <c r="AF110" s="780">
        <f>SUM(AF108:AF109)</f>
        <v/>
      </c>
      <c r="AG110" s="780">
        <f>SUM(AG108:AG109)</f>
        <v/>
      </c>
      <c r="AH110" s="780">
        <f>SUM(AH108:AH109)</f>
        <v/>
      </c>
      <c r="AI110" s="780">
        <f>SUM(AI108:AI109)</f>
        <v/>
      </c>
      <c r="AJ110" s="780">
        <f>SUM(AJ108:AJ109)</f>
        <v/>
      </c>
      <c r="AK110" s="780">
        <f>SUM(AK108:AK109)</f>
        <v/>
      </c>
      <c r="AL110" s="780">
        <f>SUM(AL108:AL109)</f>
        <v/>
      </c>
      <c r="AM110" s="780">
        <f>SUM(AM108:AM109)</f>
        <v/>
      </c>
      <c r="AN110" s="780">
        <f>SUM(AN108:AN109)</f>
        <v/>
      </c>
      <c r="AO110" s="885" t="n"/>
      <c r="AP110" s="905" t="n"/>
      <c r="AQ110" s="885" t="n"/>
      <c r="AR110" s="885" t="n"/>
      <c r="AS110" s="885" t="n"/>
    </row>
    <row r="111">
      <c r="C111" s="735" t="n"/>
      <c r="D111" s="451" t="inlineStr">
        <is>
          <t>BANK SPREAD OVER LIBOR</t>
        </is>
      </c>
      <c r="E111" s="780" t="n"/>
      <c r="F111" s="780" t="n"/>
      <c r="G111" s="780" t="n"/>
      <c r="H111" s="780" t="n"/>
      <c r="I111" s="780" t="n"/>
      <c r="J111" s="780" t="n"/>
      <c r="K111" s="780" t="n"/>
      <c r="L111" s="780" t="n"/>
      <c r="M111" s="780" t="n"/>
      <c r="N111" s="780" t="n"/>
      <c r="O111" s="780" t="n"/>
      <c r="P111" s="780" t="n"/>
      <c r="Q111" s="780" t="n"/>
      <c r="R111" s="780" t="n"/>
      <c r="S111" s="780" t="n"/>
      <c r="T111" s="780" t="n"/>
      <c r="U111" s="780" t="n"/>
      <c r="V111" s="780" t="n"/>
      <c r="W111" s="780" t="n"/>
      <c r="X111" s="780" t="n"/>
      <c r="Y111" s="780" t="n"/>
      <c r="Z111" s="780" t="n"/>
      <c r="AA111" s="780" t="n"/>
      <c r="AB111" s="780" t="n"/>
      <c r="AC111" s="780" t="n"/>
      <c r="AD111" s="780" t="n"/>
      <c r="AE111" s="780" t="n"/>
      <c r="AF111" s="780" t="n"/>
      <c r="AG111" s="780" t="n"/>
      <c r="AH111" s="780" t="n"/>
      <c r="AI111" s="780" t="n"/>
      <c r="AJ111" s="780" t="n"/>
      <c r="AK111" s="780" t="n"/>
      <c r="AL111" s="780" t="n"/>
      <c r="AM111" s="780" t="n"/>
      <c r="AN111" s="780" t="n"/>
      <c r="AO111" s="885" t="n"/>
      <c r="AP111" s="905" t="n"/>
      <c r="AQ111" s="885" t="n"/>
      <c r="AR111" s="885" t="n"/>
      <c r="AS111" s="885" t="n"/>
    </row>
    <row r="112">
      <c r="C112" s="735" t="n"/>
      <c r="D112" s="456">
        <f>+Summary!M13</f>
        <v/>
      </c>
      <c r="E112" s="780" t="n"/>
      <c r="F112" s="780" t="n"/>
      <c r="G112" s="780" t="n"/>
      <c r="H112" s="780" t="n"/>
      <c r="I112" s="780" t="n"/>
      <c r="J112" s="780" t="n"/>
      <c r="K112" s="780" t="n"/>
      <c r="L112" s="780" t="n"/>
      <c r="M112" s="780" t="n"/>
      <c r="N112" s="780" t="n"/>
      <c r="O112" s="780" t="n"/>
      <c r="P112" s="780" t="n"/>
      <c r="Q112" s="780" t="n"/>
      <c r="R112" s="780" t="n"/>
      <c r="S112" s="780" t="n"/>
      <c r="T112" s="780" t="n"/>
      <c r="U112" s="780" t="n"/>
      <c r="V112" s="780" t="n"/>
      <c r="W112" s="780" t="n"/>
      <c r="X112" s="780" t="n"/>
      <c r="Y112" s="780" t="n"/>
      <c r="Z112" s="780" t="n"/>
      <c r="AA112" s="780" t="n"/>
      <c r="AB112" s="780" t="n"/>
      <c r="AC112" s="780" t="n"/>
      <c r="AD112" s="780" t="n"/>
      <c r="AE112" s="780" t="n"/>
      <c r="AF112" s="780" t="n"/>
      <c r="AG112" s="780" t="n"/>
      <c r="AH112" s="780" t="n"/>
      <c r="AI112" s="780" t="n"/>
      <c r="AJ112" s="780" t="n"/>
      <c r="AK112" s="780" t="n"/>
      <c r="AL112" s="780" t="n"/>
      <c r="AM112" s="780" t="n"/>
      <c r="AN112" s="780" t="n"/>
      <c r="AO112" s="885" t="n"/>
      <c r="AP112" s="905" t="n"/>
      <c r="AQ112" s="885" t="n"/>
      <c r="AR112" s="885" t="n"/>
      <c r="AS112" s="885" t="n"/>
    </row>
    <row r="113">
      <c r="B113" s="735" t="n"/>
      <c r="C113" s="735" t="n"/>
      <c r="D113" s="451" t="inlineStr">
        <is>
          <t>AVG. INTEREST RATE OVER HOLD</t>
        </is>
      </c>
      <c r="E113" s="453">
        <f>IF(E$108&gt;0,HLOOKUP(E$13,'Forward Curves-Monthly'!B6:FO22,3)+$D$112,"")</f>
        <v/>
      </c>
      <c r="F113" s="453">
        <f>IF(F$108&gt;0,HLOOKUP(F$13,'Forward Curves-Monthly'!C6:FP22,3)+$D$112,"")</f>
        <v/>
      </c>
      <c r="G113" s="453">
        <f>IF(G$108&gt;0,HLOOKUP(G$13,'Forward Curves-Monthly'!D6:FQ22,3)+$D$112,"")</f>
        <v/>
      </c>
      <c r="H113" s="453">
        <f>IF(H$108&gt;0,HLOOKUP(H$13,'Forward Curves-Monthly'!E6:FR22,3)+$D$112,"")</f>
        <v/>
      </c>
      <c r="I113" s="453">
        <f>IF(I$108&gt;0,HLOOKUP(I$13,'Forward Curves-Monthly'!F6:FS22,3)+$D$112,"")</f>
        <v/>
      </c>
      <c r="J113" s="453">
        <f>IF(J$108&gt;0,HLOOKUP(J$13,'Forward Curves-Monthly'!G6:FT22,3)+$D$112,"")</f>
        <v/>
      </c>
      <c r="K113" s="453">
        <f>IF(K$108&gt;0,HLOOKUP(K$13,'Forward Curves-Monthly'!H6:FU22,3)+$D$112,"")</f>
        <v/>
      </c>
      <c r="L113" s="453">
        <f>IF(L$108&gt;0,HLOOKUP(L$13,'Forward Curves-Monthly'!I6:FV22,3)+$D$112,"")</f>
        <v/>
      </c>
      <c r="M113" s="453">
        <f>IF(M$108&gt;0,HLOOKUP(M$13,'Forward Curves-Monthly'!J6:FW22,3)+$D$112,"")</f>
        <v/>
      </c>
      <c r="N113" s="453">
        <f>IF(N$108&gt;0,HLOOKUP(N$13,'Forward Curves-Monthly'!K6:FX22,3)+$D$112,"")</f>
        <v/>
      </c>
      <c r="O113" s="453">
        <f>IF(O$108&gt;0,HLOOKUP(O$13,'Forward Curves-Monthly'!L6:FY22,3)+$D$112,"")</f>
        <v/>
      </c>
      <c r="P113" s="453">
        <f>IF(P$108&gt;0,HLOOKUP(P$13,'Forward Curves-Monthly'!M6:FZ22,3)+$D$112,"")</f>
        <v/>
      </c>
      <c r="Q113" s="453">
        <f>IF(Q$108&gt;0,HLOOKUP(Q$13,'Forward Curves-Monthly'!N6:GA22,3)+$D$112,"")</f>
        <v/>
      </c>
      <c r="R113" s="453">
        <f>IF(R$108&gt;0,HLOOKUP(R$13,'Forward Curves-Monthly'!O6:GB22,3)+$D$112,"")</f>
        <v/>
      </c>
      <c r="S113" s="453">
        <f>IF(S$108&gt;0,HLOOKUP(S$13,'Forward Curves-Monthly'!P6:GC22,3)+$D$112,"")</f>
        <v/>
      </c>
      <c r="T113" s="453">
        <f>IF(T$108&gt;0,HLOOKUP(T$13,'Forward Curves-Monthly'!Q6:GD22,3)+$D$112,"")</f>
        <v/>
      </c>
      <c r="U113" s="453">
        <f>IF(U$108&gt;0,HLOOKUP(U$13,'Forward Curves-Monthly'!R6:GE22,3)+$D$112,"")</f>
        <v/>
      </c>
      <c r="V113" s="453">
        <f>IF(V$108&gt;0,HLOOKUP(V$13,'Forward Curves-Monthly'!S6:GF22,3)+$D$112,"")</f>
        <v/>
      </c>
      <c r="W113" s="453">
        <f>IF(W$108&gt;0,HLOOKUP(W$13,'Forward Curves-Monthly'!T6:GG22,3)+$D$112,"")</f>
        <v/>
      </c>
      <c r="X113" s="453">
        <f>IF(X$108&gt;0,HLOOKUP(X$13,'Forward Curves-Monthly'!U6:GH22,3)+$D$112,"")</f>
        <v/>
      </c>
      <c r="Y113" s="453">
        <f>IF(Y$108&gt;0,HLOOKUP(Y$13,'Forward Curves-Monthly'!V6:GI22,3)+$D$112,"")</f>
        <v/>
      </c>
      <c r="Z113" s="453">
        <f>IF(Z$108&gt;0,HLOOKUP(Z$13,'Forward Curves-Monthly'!W6:GJ22,3)+$D$112,"")</f>
        <v/>
      </c>
      <c r="AA113" s="453">
        <f>IF(AA$108&gt;0,HLOOKUP(AA$13,'Forward Curves-Monthly'!X6:GK22,3)+$D$112,"")</f>
        <v/>
      </c>
      <c r="AB113" s="453">
        <f>IF(AB$108&gt;0,HLOOKUP(AB$13,'Forward Curves-Monthly'!Y6:GL22,3)+$D$112,"")</f>
        <v/>
      </c>
      <c r="AC113" s="453">
        <f>IF(AC$108&gt;0,HLOOKUP(AC$13,'Forward Curves-Monthly'!Z6:GM22,3)+$D$112,"")</f>
        <v/>
      </c>
      <c r="AD113" s="453">
        <f>IF(AD$108&gt;0,HLOOKUP(AD$13,'Forward Curves-Monthly'!AA6:GN22,3)+$D$112,"")</f>
        <v/>
      </c>
      <c r="AE113" s="453">
        <f>IF(AE$108&gt;0,HLOOKUP(AE$13,'Forward Curves-Monthly'!AB6:GO22,3)+$D$112,"")</f>
        <v/>
      </c>
      <c r="AF113" s="453">
        <f>IF(AF$108&gt;0,HLOOKUP(AF$13,'Forward Curves-Monthly'!AC6:GP22,3)+$D$112,"")</f>
        <v/>
      </c>
      <c r="AG113" s="453">
        <f>IF(AG$108&gt;0,HLOOKUP(AG$13,'Forward Curves-Monthly'!AD6:GQ22,3)+$D$112,"")</f>
        <v/>
      </c>
      <c r="AH113" s="453">
        <f>IF(AH$108&gt;0,HLOOKUP(AH$13,'Forward Curves-Monthly'!AE6:GR22,3)+$D$112,"")</f>
        <v/>
      </c>
      <c r="AI113" s="453">
        <f>IF(AI$108&gt;0,HLOOKUP(AI$13,'Forward Curves-Monthly'!AF6:GS22,3)+$D$112,"")</f>
        <v/>
      </c>
      <c r="AJ113" s="453">
        <f>IF(AJ$108&gt;0,HLOOKUP(AJ$13,'Forward Curves-Monthly'!AG6:GT22,3)+$D$112,"")</f>
        <v/>
      </c>
      <c r="AK113" s="453">
        <f>IF(AK$108&gt;0,HLOOKUP(AK$13,'Forward Curves-Monthly'!AH6:GU22,3)+$D$112,"")</f>
        <v/>
      </c>
      <c r="AL113" s="453">
        <f>IF(AL$108&gt;0,HLOOKUP(AL$13,'Forward Curves-Monthly'!AI6:GV22,3)+$D$112,"")</f>
        <v/>
      </c>
      <c r="AM113" s="453">
        <f>IF(AM$108&gt;0,HLOOKUP(AM$13,'Forward Curves-Monthly'!AJ6:GW22,3)+$D$112,"")</f>
        <v/>
      </c>
      <c r="AN113" s="453">
        <f>IF(AN$108&gt;0,HLOOKUP(AN$13,'Forward Curves-Monthly'!AK6:GX22,3)+$D$112,"")</f>
        <v/>
      </c>
      <c r="AO113" s="885" t="n"/>
      <c r="AP113" s="905" t="n"/>
      <c r="AQ113" s="885" t="n"/>
      <c r="AR113" s="885" t="n"/>
      <c r="AS113" s="885" t="n"/>
    </row>
    <row r="114">
      <c r="B114" s="735" t="n"/>
      <c r="C114" s="735" t="n"/>
      <c r="D114" s="392">
        <f>AVERAGEIF(E113:AN113,"&lt;&gt;0")</f>
        <v/>
      </c>
      <c r="E114" s="453" t="n"/>
      <c r="F114" s="453" t="n"/>
      <c r="G114" s="453" t="n"/>
      <c r="H114" s="453" t="n"/>
      <c r="I114" s="453" t="n"/>
      <c r="J114" s="453" t="n"/>
      <c r="K114" s="453" t="n"/>
      <c r="L114" s="453" t="n"/>
      <c r="M114" s="453" t="n"/>
      <c r="N114" s="453" t="n"/>
      <c r="O114" s="453" t="n"/>
      <c r="P114" s="453" t="n"/>
      <c r="Q114" s="453" t="n"/>
      <c r="R114" s="453" t="n"/>
      <c r="S114" s="453" t="n"/>
      <c r="T114" s="453" t="n"/>
      <c r="U114" s="453" t="n"/>
      <c r="V114" s="453" t="n"/>
      <c r="W114" s="453" t="n"/>
      <c r="X114" s="453" t="n"/>
      <c r="Y114" s="453" t="n"/>
      <c r="Z114" s="453" t="n"/>
      <c r="AA114" s="453" t="n"/>
      <c r="AB114" s="453" t="n"/>
      <c r="AC114" s="453" t="n"/>
      <c r="AD114" s="453" t="n"/>
      <c r="AE114" s="453" t="n"/>
      <c r="AF114" s="453" t="n"/>
      <c r="AG114" s="453" t="n"/>
      <c r="AH114" s="453" t="n"/>
      <c r="AI114" s="453" t="n"/>
      <c r="AJ114" s="453" t="n"/>
      <c r="AK114" s="453" t="n"/>
      <c r="AL114" s="453" t="n"/>
      <c r="AM114" s="453" t="n"/>
      <c r="AN114" s="453" t="n"/>
      <c r="AO114" s="885" t="n"/>
      <c r="AP114" s="905" t="n"/>
      <c r="AQ114" s="885" t="n"/>
      <c r="AR114" s="885" t="n"/>
      <c r="AS114" s="885" t="n"/>
    </row>
    <row r="115" ht="14.25" customHeight="1">
      <c r="B115" s="735" t="n"/>
      <c r="C115" s="735" t="inlineStr">
        <is>
          <t>INTEREST ACCRUED</t>
        </is>
      </c>
      <c r="D115" s="735" t="n"/>
      <c r="E115" s="780">
        <f>MAX(0,(E108*E12*($D$112+HLOOKUP(E13,'Forward Curves-Monthly'!A6:FN22,3))/360))</f>
        <v/>
      </c>
      <c r="F115" s="780">
        <f>MAX(0,(F108*F12*($D$112+HLOOKUP(F13,'Forward Curves-Monthly'!B6:FO22,3))/360))</f>
        <v/>
      </c>
      <c r="G115" s="780">
        <f>MAX(0,(G108*G12*($D$112+HLOOKUP(G13,'Forward Curves-Monthly'!C6:FP22,3))/360))</f>
        <v/>
      </c>
      <c r="H115" s="780">
        <f>MAX(0,(H108*H12*($D$112+HLOOKUP(H13,'Forward Curves-Monthly'!D6:FQ22,3))/360))</f>
        <v/>
      </c>
      <c r="I115" s="780">
        <f>MAX(0,(I108*I12*($D$112+HLOOKUP(I13,'Forward Curves-Monthly'!E6:FR22,3))/360))</f>
        <v/>
      </c>
      <c r="J115" s="780">
        <f>MAX(0,(J108*J12*($D$112+HLOOKUP(J13,'Forward Curves-Monthly'!F6:FS22,3))/360))</f>
        <v/>
      </c>
      <c r="K115" s="780">
        <f>MAX(0,(K108*K12*($D$112+HLOOKUP(K13,'Forward Curves-Monthly'!G6:FT22,3))/360))</f>
        <v/>
      </c>
      <c r="L115" s="780">
        <f>MAX(0,(L108*L12*($D$112+HLOOKUP(L13,'Forward Curves-Monthly'!H6:FU22,3))/360))</f>
        <v/>
      </c>
      <c r="M115" s="780">
        <f>MAX(0,(M108*M12*($D$112+HLOOKUP(M13,'Forward Curves-Monthly'!I6:FV22,3))/360))</f>
        <v/>
      </c>
      <c r="N115" s="780">
        <f>MAX(0,(N108*N12*($D$112+HLOOKUP(N13,'Forward Curves-Monthly'!J6:FW22,3))/360))</f>
        <v/>
      </c>
      <c r="O115" s="780">
        <f>MAX(0,(O108*O12*($D$112+HLOOKUP(O13,'Forward Curves-Monthly'!K6:FX22,3))/360))</f>
        <v/>
      </c>
      <c r="P115" s="780">
        <f>MAX(0,(P108*P12*($D$112+HLOOKUP(P13,'Forward Curves-Monthly'!L6:FY22,3))/360))</f>
        <v/>
      </c>
      <c r="Q115" s="780">
        <f>MAX(0,(Q108*Q12*($D$112+HLOOKUP(Q13,'Forward Curves-Monthly'!M6:FZ22,3))/360))</f>
        <v/>
      </c>
      <c r="R115" s="780">
        <f>MAX(0,(R108*R12*($D$112+HLOOKUP(R13,'Forward Curves-Monthly'!N6:GA22,3))/360))</f>
        <v/>
      </c>
      <c r="S115" s="780">
        <f>MAX(0,(S108*S12*($D$112+HLOOKUP(S13,'Forward Curves-Monthly'!O6:GB22,3))/360))</f>
        <v/>
      </c>
      <c r="T115" s="780">
        <f>MAX(0,(T108*T12*($D$112+HLOOKUP(T13,'Forward Curves-Monthly'!P6:GC22,3))/360))</f>
        <v/>
      </c>
      <c r="U115" s="780">
        <f>MAX(0,(U108*U12*($D$112+HLOOKUP(U13,'Forward Curves-Monthly'!Q6:GD22,3))/360))</f>
        <v/>
      </c>
      <c r="V115" s="780">
        <f>MAX(0,(V108*V12*($D$112+HLOOKUP(V13,'Forward Curves-Monthly'!R6:GE22,3))/360))</f>
        <v/>
      </c>
      <c r="W115" s="780">
        <f>MAX(0,(W108*W12*($D$112+HLOOKUP(W13,'Forward Curves-Monthly'!S6:GF22,3))/360))</f>
        <v/>
      </c>
      <c r="X115" s="780">
        <f>MAX(0,(X108*X12*($D$112+HLOOKUP(X13,'Forward Curves-Monthly'!T6:GG22,3))/360))</f>
        <v/>
      </c>
      <c r="Y115" s="780">
        <f>MAX(0,(Y108*Y12*($D$112+HLOOKUP(Y13,'Forward Curves-Monthly'!U6:GH22,3))/360))</f>
        <v/>
      </c>
      <c r="Z115" s="780">
        <f>MAX(0,(Z108*Z12*($D$112+HLOOKUP(Z13,'Forward Curves-Monthly'!V6:GI22,3))/360))</f>
        <v/>
      </c>
      <c r="AA115" s="780">
        <f>MAX(0,(AA108*AA12*($D$112+HLOOKUP(AA13,'Forward Curves-Monthly'!W6:GJ22,3))/360))</f>
        <v/>
      </c>
      <c r="AB115" s="780">
        <f>MAX(0,(AB108*AB12*($D$112+HLOOKUP(AB13,'Forward Curves-Monthly'!X6:GK22,3))/360))</f>
        <v/>
      </c>
      <c r="AC115" s="780">
        <f>MAX(0,(AC108*AC12*($D$112+HLOOKUP(AC13,'Forward Curves-Monthly'!Y6:GL22,3))/360))</f>
        <v/>
      </c>
      <c r="AD115" s="780">
        <f>MAX(0,(AD108*AD12*($D$112+HLOOKUP(AD13,'Forward Curves-Monthly'!Z6:GM22,3))/360))</f>
        <v/>
      </c>
      <c r="AE115" s="780">
        <f>MAX(0,(AE108*AE12*($D$112+HLOOKUP(AE13,'Forward Curves-Monthly'!AA6:GN22,3))/360))</f>
        <v/>
      </c>
      <c r="AF115" s="780">
        <f>MAX(0,(AF108*AF12*($D$112+HLOOKUP(AF13,'Forward Curves-Monthly'!AB6:GO22,3))/360))</f>
        <v/>
      </c>
      <c r="AG115" s="780">
        <f>MAX(0,(AG108*AG12*($D$112+HLOOKUP(AG13,'Forward Curves-Monthly'!AC6:GP22,3))/360))</f>
        <v/>
      </c>
      <c r="AH115" s="780">
        <f>MAX(0,(AH108*AH12*($D$112+HLOOKUP(AH13,'Forward Curves-Monthly'!AD6:GQ22,3))/360))</f>
        <v/>
      </c>
      <c r="AI115" s="780">
        <f>MAX(0,(AI108*AI12*($D$112+HLOOKUP(AI13,'Forward Curves-Monthly'!AE6:GR22,3))/360))</f>
        <v/>
      </c>
      <c r="AJ115" s="780">
        <f>MAX(0,(AJ108*AJ12*($D$112+HLOOKUP(AJ13,'Forward Curves-Monthly'!AF6:GS22,3))/360))</f>
        <v/>
      </c>
      <c r="AK115" s="780">
        <f>MAX(0,(AK108*AK12*($D$112+HLOOKUP(AK13,'Forward Curves-Monthly'!AG6:GT22,3))/360))</f>
        <v/>
      </c>
      <c r="AL115" s="780">
        <f>MAX(0,(AL108*AL12*($D$112+HLOOKUP(AL13,'Forward Curves-Monthly'!AH6:GU22,3))/360))</f>
        <v/>
      </c>
      <c r="AM115" s="780">
        <f>MAX(0,(AM108*AM12*($D$112+HLOOKUP(AM13,'Forward Curves-Monthly'!AI6:GV22,3))/360))</f>
        <v/>
      </c>
      <c r="AN115" s="780">
        <f>MAX(0,(AN108*AN12*($D$112+HLOOKUP(AN13,'Forward Curves-Monthly'!AJ6:GW22,3))/360))</f>
        <v/>
      </c>
      <c r="AO115" s="885">
        <f>SUM(E115:AN115)</f>
        <v/>
      </c>
      <c r="AP115" s="744" t="n"/>
      <c r="AQ115" s="735" t="n"/>
      <c r="AR115" s="735" t="n"/>
      <c r="AS115" s="735" t="n"/>
    </row>
    <row r="116">
      <c r="B116" s="735" t="n"/>
      <c r="C116" s="735" t="inlineStr">
        <is>
          <t>INTEREST PAID FROM CASH FLOW</t>
        </is>
      </c>
      <c r="D116" s="451" t="n"/>
      <c r="E116" s="780">
        <f>E83</f>
        <v/>
      </c>
      <c r="F116" s="780">
        <f>F83</f>
        <v/>
      </c>
      <c r="G116" s="780">
        <f>G83</f>
        <v/>
      </c>
      <c r="H116" s="780">
        <f>H83</f>
        <v/>
      </c>
      <c r="I116" s="780">
        <f>I83</f>
        <v/>
      </c>
      <c r="J116" s="780">
        <f>J83</f>
        <v/>
      </c>
      <c r="K116" s="780">
        <f>K83</f>
        <v/>
      </c>
      <c r="L116" s="780">
        <f>L83</f>
        <v/>
      </c>
      <c r="M116" s="780">
        <f>M83</f>
        <v/>
      </c>
      <c r="N116" s="780">
        <f>N83</f>
        <v/>
      </c>
      <c r="O116" s="780">
        <f>O83</f>
        <v/>
      </c>
      <c r="P116" s="780">
        <f>P83</f>
        <v/>
      </c>
      <c r="Q116" s="780">
        <f>Q83</f>
        <v/>
      </c>
      <c r="R116" s="780">
        <f>R83</f>
        <v/>
      </c>
      <c r="S116" s="780">
        <f>S83</f>
        <v/>
      </c>
      <c r="T116" s="780">
        <f>T83</f>
        <v/>
      </c>
      <c r="U116" s="780">
        <f>T116</f>
        <v/>
      </c>
      <c r="V116" s="780">
        <f>V83</f>
        <v/>
      </c>
      <c r="W116" s="780">
        <f>W83</f>
        <v/>
      </c>
      <c r="X116" s="780">
        <f>X83</f>
        <v/>
      </c>
      <c r="Y116" s="780">
        <f>Y83</f>
        <v/>
      </c>
      <c r="Z116" s="780">
        <f>Z83</f>
        <v/>
      </c>
      <c r="AA116" s="780">
        <f>AA83</f>
        <v/>
      </c>
      <c r="AB116" s="780">
        <f>AB83</f>
        <v/>
      </c>
      <c r="AC116" s="780">
        <f>AC83</f>
        <v/>
      </c>
      <c r="AD116" s="780">
        <f>AD83</f>
        <v/>
      </c>
      <c r="AE116" s="780">
        <f>AE83</f>
        <v/>
      </c>
      <c r="AF116" s="780">
        <f>AF83</f>
        <v/>
      </c>
      <c r="AG116" s="780">
        <f>AG83</f>
        <v/>
      </c>
      <c r="AH116" s="780">
        <f>AH83</f>
        <v/>
      </c>
      <c r="AI116" s="780">
        <f>AI83</f>
        <v/>
      </c>
      <c r="AJ116" s="780">
        <f>AJ83</f>
        <v/>
      </c>
      <c r="AK116" s="780">
        <f>AK83</f>
        <v/>
      </c>
      <c r="AL116" s="780">
        <f>AL83</f>
        <v/>
      </c>
      <c r="AM116" s="780">
        <f>AM83</f>
        <v/>
      </c>
      <c r="AN116" s="780">
        <f>AN83</f>
        <v/>
      </c>
      <c r="AO116" s="885">
        <f>SUM(E116:AN116)</f>
        <v/>
      </c>
      <c r="AP116" s="744" t="n"/>
      <c r="AQ116" s="735" t="n"/>
      <c r="AR116" s="735" t="n"/>
      <c r="AS116" s="735" t="n"/>
    </row>
    <row r="117">
      <c r="B117" s="735" t="n"/>
      <c r="C117" s="735" t="inlineStr">
        <is>
          <t>INTEREST DRAWN</t>
        </is>
      </c>
      <c r="D117" s="15" t="n"/>
      <c r="E117" s="780">
        <f>+E115+E116</f>
        <v/>
      </c>
      <c r="F117" s="780">
        <f>+F115+F116</f>
        <v/>
      </c>
      <c r="G117" s="780">
        <f>+G115+G116</f>
        <v/>
      </c>
      <c r="H117" s="780">
        <f>+H115+H116</f>
        <v/>
      </c>
      <c r="I117" s="780">
        <f>+I115+I116</f>
        <v/>
      </c>
      <c r="J117" s="780">
        <f>+J115+J116</f>
        <v/>
      </c>
      <c r="K117" s="780">
        <f>+K115+K116</f>
        <v/>
      </c>
      <c r="L117" s="780">
        <f>+L115+L116</f>
        <v/>
      </c>
      <c r="M117" s="780">
        <f>+M115+M116</f>
        <v/>
      </c>
      <c r="N117" s="780">
        <f>+N115+N116</f>
        <v/>
      </c>
      <c r="O117" s="780">
        <f>+O115+O116</f>
        <v/>
      </c>
      <c r="P117" s="780">
        <f>+P115+P116</f>
        <v/>
      </c>
      <c r="Q117" s="780">
        <f>+Q115+Q116</f>
        <v/>
      </c>
      <c r="R117" s="780">
        <f>+R115+R116</f>
        <v/>
      </c>
      <c r="S117" s="780">
        <f>+S115+S116</f>
        <v/>
      </c>
      <c r="T117" s="780">
        <f>+T115+T116</f>
        <v/>
      </c>
      <c r="U117" s="780">
        <f>+U115+U116</f>
        <v/>
      </c>
      <c r="V117" s="780">
        <f>+V115+V116</f>
        <v/>
      </c>
      <c r="W117" s="780">
        <f>+W115+W116</f>
        <v/>
      </c>
      <c r="X117" s="780">
        <f>+X115+X116</f>
        <v/>
      </c>
      <c r="Y117" s="780">
        <f>+Y115+Y116</f>
        <v/>
      </c>
      <c r="Z117" s="780">
        <f>+Z115+Z116</f>
        <v/>
      </c>
      <c r="AA117" s="780">
        <f>+AA115+AA116</f>
        <v/>
      </c>
      <c r="AB117" s="780">
        <f>+AB115+AB116</f>
        <v/>
      </c>
      <c r="AC117" s="780">
        <f>+AC115+AC116</f>
        <v/>
      </c>
      <c r="AD117" s="780">
        <f>+AD115+AD116</f>
        <v/>
      </c>
      <c r="AE117" s="780">
        <f>+AE115+AE116</f>
        <v/>
      </c>
      <c r="AF117" s="780">
        <f>+AF115+AF116</f>
        <v/>
      </c>
      <c r="AG117" s="780">
        <f>+AG115+AG116</f>
        <v/>
      </c>
      <c r="AH117" s="780">
        <f>+AH115+AH116</f>
        <v/>
      </c>
      <c r="AI117" s="780">
        <f>+AI115+AI116</f>
        <v/>
      </c>
      <c r="AJ117" s="780">
        <f>+AJ115+AJ116</f>
        <v/>
      </c>
      <c r="AK117" s="780">
        <f>+AK115+AK116</f>
        <v/>
      </c>
      <c r="AL117" s="780">
        <f>+AL115+AL116</f>
        <v/>
      </c>
      <c r="AM117" s="780">
        <f>+AM115+AM116</f>
        <v/>
      </c>
      <c r="AN117" s="780">
        <f>+AN115+AN116</f>
        <v/>
      </c>
      <c r="AO117" s="885">
        <f>SUM(E117:AN117)</f>
        <v/>
      </c>
      <c r="AP117" s="744" t="n"/>
      <c r="AQ117" s="735" t="n"/>
      <c r="AR117" s="735" t="n"/>
      <c r="AS117" s="735" t="n"/>
    </row>
    <row r="118">
      <c r="B118" s="735" t="n"/>
      <c r="C118" s="735" t="n"/>
      <c r="D118" s="735" t="n"/>
      <c r="E118" s="735" t="n"/>
      <c r="F118" s="735" t="n"/>
      <c r="G118" s="265" t="n"/>
      <c r="H118" s="452" t="n"/>
      <c r="I118" s="452" t="n"/>
      <c r="J118" s="452" t="n"/>
      <c r="K118" s="452" t="n"/>
      <c r="L118" s="452" t="n"/>
      <c r="M118" s="452" t="n"/>
      <c r="N118" s="452" t="n"/>
      <c r="O118" s="452" t="n"/>
      <c r="P118" s="452" t="n"/>
      <c r="Q118" s="452" t="n"/>
      <c r="R118" s="452" t="n"/>
      <c r="S118" s="452" t="n"/>
      <c r="T118" s="452" t="n"/>
      <c r="U118" s="452" t="n"/>
      <c r="V118" s="452" t="n"/>
      <c r="W118" s="452" t="n"/>
      <c r="X118" s="452" t="n"/>
      <c r="Y118" s="452" t="n"/>
      <c r="Z118" s="452" t="n"/>
      <c r="AA118" s="452" t="n"/>
      <c r="AB118" s="452" t="n"/>
      <c r="AC118" s="452" t="n"/>
      <c r="AD118" s="452" t="n"/>
      <c r="AE118" s="452" t="n"/>
      <c r="AF118" s="452" t="n"/>
      <c r="AG118" s="452" t="n"/>
      <c r="AH118" s="452" t="n"/>
      <c r="AI118" s="452" t="n"/>
      <c r="AJ118" s="452" t="n"/>
      <c r="AK118" s="452" t="n"/>
      <c r="AL118" s="452" t="n"/>
      <c r="AM118" s="452" t="n"/>
      <c r="AN118" s="452" t="n"/>
      <c r="AO118" s="735" t="n"/>
      <c r="AP118" s="744" t="n"/>
      <c r="AQ118" s="735" t="n"/>
      <c r="AR118" s="735" t="n"/>
      <c r="AS118" s="735" t="n"/>
    </row>
    <row r="119">
      <c r="B119" s="735" t="n"/>
      <c r="C119" s="735" t="n"/>
      <c r="D119" s="735" t="n"/>
      <c r="E119" s="735" t="n"/>
      <c r="F119" s="735" t="n"/>
      <c r="G119" s="1276" t="n"/>
      <c r="H119" s="1048" t="n"/>
      <c r="I119" s="452" t="n"/>
      <c r="J119" s="452" t="n"/>
      <c r="K119" s="1277" t="n"/>
      <c r="L119" s="452" t="n"/>
      <c r="M119" s="452" t="n"/>
      <c r="N119" s="452" t="n"/>
      <c r="O119" s="452" t="n"/>
      <c r="P119" s="452" t="n"/>
      <c r="Q119" s="452" t="n"/>
      <c r="R119" s="452" t="n"/>
      <c r="S119" s="452" t="n"/>
      <c r="T119" s="452" t="n"/>
      <c r="U119" s="452" t="n"/>
      <c r="V119" s="452" t="n"/>
      <c r="W119" s="452" t="n"/>
      <c r="X119" s="452" t="n"/>
      <c r="Y119" s="452" t="n"/>
      <c r="Z119" s="452" t="n"/>
      <c r="AA119" s="452" t="n"/>
      <c r="AB119" s="452" t="n"/>
      <c r="AC119" s="452" t="n"/>
      <c r="AD119" s="452" t="n"/>
      <c r="AE119" s="452" t="n"/>
      <c r="AF119" s="452" t="n"/>
      <c r="AG119" s="452" t="n"/>
      <c r="AH119" s="452" t="n"/>
      <c r="AI119" s="452" t="n"/>
      <c r="AJ119" s="452" t="n"/>
      <c r="AK119" s="452" t="n"/>
      <c r="AL119" s="452" t="n"/>
      <c r="AM119" s="452" t="n"/>
      <c r="AN119" s="452" t="n"/>
      <c r="AO119" s="735" t="n"/>
      <c r="AP119" s="735" t="n"/>
      <c r="AQ119" s="735" t="n"/>
      <c r="AR119" s="735" t="n"/>
      <c r="AS119" s="735" t="n"/>
    </row>
    <row r="120">
      <c r="B120" s="6" t="inlineStr">
        <is>
          <t>OPERATING EXPENSE CALUCULATOR</t>
        </is>
      </c>
      <c r="C120" s="735" t="n"/>
      <c r="D120" s="735" t="n"/>
      <c r="E120" s="735" t="n"/>
      <c r="F120" s="735" t="n"/>
      <c r="G120" s="735" t="n"/>
      <c r="H120" s="735" t="n"/>
      <c r="I120" s="735" t="n"/>
      <c r="J120" s="735" t="n"/>
      <c r="K120" s="735" t="n"/>
      <c r="L120" s="735" t="n"/>
      <c r="M120" s="1048" t="n"/>
      <c r="N120" s="735" t="n"/>
      <c r="O120" s="735" t="n"/>
      <c r="P120" s="735" t="n"/>
      <c r="Q120" s="735" t="n"/>
      <c r="R120" s="735" t="n"/>
      <c r="S120" s="735" t="n"/>
      <c r="T120" s="735" t="n"/>
      <c r="U120" s="735" t="n"/>
      <c r="V120" s="735" t="n"/>
      <c r="W120" s="735" t="n"/>
      <c r="X120" s="735" t="n"/>
      <c r="Y120" s="735" t="n"/>
      <c r="Z120" s="735" t="n"/>
      <c r="AA120" s="735" t="n"/>
      <c r="AB120" s="735" t="n"/>
      <c r="AC120" s="735" t="n"/>
      <c r="AD120" s="735" t="n"/>
      <c r="AE120" s="735" t="n"/>
      <c r="AF120" s="735" t="n"/>
      <c r="AG120" s="735" t="n"/>
      <c r="AH120" s="735" t="n"/>
      <c r="AI120" s="735" t="n"/>
      <c r="AJ120" s="735" t="n"/>
      <c r="AK120" s="735" t="n"/>
      <c r="AL120" s="735" t="n"/>
      <c r="AM120" s="735" t="n"/>
      <c r="AN120" s="735" t="n"/>
      <c r="AO120" s="735" t="n"/>
      <c r="AP120" s="735" t="n"/>
      <c r="AQ120" s="735" t="n"/>
      <c r="AR120" s="735" t="n"/>
      <c r="AS120" s="735" t="n"/>
    </row>
    <row r="122">
      <c r="B122" s="735" t="n"/>
      <c r="C122" s="735" t="inlineStr">
        <is>
          <t>PAYROLL</t>
        </is>
      </c>
      <c r="D122" s="735" t="n"/>
      <c r="E122" s="581">
        <f>IF(E10&lt;-2,0,IF(E10&lt;0,0.6,IF(E10=0,1,IF(E10&lt;7,1+(0.05*(E10)),IF(E9&lt;1,1.3,1)))))</f>
        <v/>
      </c>
      <c r="F122" s="581">
        <f>IF(F10&lt;-2,0,IF(F10&lt;0,0.6,IF(F10=0,1,IF(F10&lt;7,1+(0.05*(F10)),IF(F9&lt;1,1.3,1)))))</f>
        <v/>
      </c>
      <c r="G122" s="581">
        <f>IF(G10&lt;-2,0,IF(G10&lt;0,0.6,IF(G10=0,1,IF(G10&lt;7,1+(0.05*(G10)),IF(G9&lt;1,1.3,1)))))</f>
        <v/>
      </c>
      <c r="H122" s="581">
        <f>IF(H10&lt;-2,0,IF(H10&lt;0,0.6,IF(H10=0,1,IF(H10&lt;7,1+(0.05*(H10)),IF(H9&lt;1,1.3,1)))))</f>
        <v/>
      </c>
      <c r="I122" s="581">
        <f>IF(I10&lt;-2,0,IF(I10&lt;0,0.6,IF(I10=0,1,IF(I10&lt;7,1+(0.05*(I10)),IF(I9&lt;1,1.3,1)))))</f>
        <v/>
      </c>
      <c r="J122" s="581">
        <f>IF(J10&lt;-2,0,IF(J10&lt;0,0.6,IF(J10=0,1,IF(J10&lt;7,1+(0.05*(J10)),IF(J9&lt;1,1.3,1)))))</f>
        <v/>
      </c>
      <c r="K122" s="581">
        <f>IF(K10&lt;-2,0,IF(K10&lt;0,0.6,IF(K10=0,1,IF(K10&lt;7,1+(0.05*(K10)),IF(K9&lt;1,1.3,1)))))</f>
        <v/>
      </c>
      <c r="L122" s="581">
        <f>IF(L10&lt;-2,0,IF(L10&lt;0,0.6,IF(L10=0,1,IF(L10&lt;7,1+(0.05*(L10)),IF(L9&lt;1,1.3,1)))))</f>
        <v/>
      </c>
      <c r="M122" s="581">
        <f>IF(M10&lt;-2,0,IF(M10&lt;0,0.6,IF(M10=0,1,IF(M10&lt;7,1+(0.05*(M10)),IF(M9&lt;1,1.3,1)))))</f>
        <v/>
      </c>
      <c r="N122" s="581">
        <f>IF(N10&lt;-2,0,IF(N10&lt;0,0.6,IF(N10=0,1,IF(N10&lt;7,1+(0.05*(N10)),IF(N9&lt;1,1.3,1)))))</f>
        <v/>
      </c>
      <c r="O122" s="581">
        <f>IF(O10&lt;-2,0,IF(O10&lt;0,0.6,IF(O10=0,1,IF(O10&lt;7,1+(0.05*(O10)),IF(O9&lt;1,1.3,1)))))</f>
        <v/>
      </c>
      <c r="P122" s="581">
        <f>IF(P10&lt;-2,0,IF(P10&lt;0,0.6,IF(P10=0,1,IF(P10&lt;7,1+(0.05*(P10)),IF(P9&lt;1,1.3,1)))))</f>
        <v/>
      </c>
      <c r="Q122" s="581">
        <f>IF(Q10&lt;-2,0,IF(Q10&lt;0,0.6,IF(Q10=0,1,IF(Q10&lt;7,1+(0.05*(Q10)),IF(Q9&lt;1,1.3,1)))))</f>
        <v/>
      </c>
      <c r="R122" s="581">
        <f>IF(R10&lt;-2,0,IF(R10&lt;0,0.6,IF(R10=0,1,IF(R10&lt;7,1+(0.05*(R10)),IF(R9&lt;1,1.3,1)))))</f>
        <v/>
      </c>
      <c r="S122" s="581">
        <f>IF(S10&lt;-2,0,IF(S10&lt;0,0.6,IF(S10=0,1,IF(S10&lt;7,1+(0.05*(S10)),IF(S9&lt;1,1.3,1)))))</f>
        <v/>
      </c>
      <c r="T122" s="581">
        <f>IF(T10&lt;-2,0,IF(T10&lt;0,0.6,IF(T10=0,1,IF(T10&lt;7,1+(0.05*(T10)),IF(T9&lt;1,1.3,1)))))</f>
        <v/>
      </c>
      <c r="U122" s="581">
        <f>IF(U10&lt;-2,0,IF(U10&lt;0,0.6,IF(U10=0,1,IF(U10&lt;7,1+(0.05*(U10)),IF(U9&lt;1,1.3,1)))))</f>
        <v/>
      </c>
      <c r="V122" s="581">
        <f>IF(V10&lt;-2,0,IF(V10&lt;0,0.6,IF(V10=0,1,IF(V10&lt;7,1+(0.05*(V10)),IF(V9&lt;1,1.3,1)))))</f>
        <v/>
      </c>
      <c r="W122" s="581">
        <f>IF(W10&lt;-2,0,IF(W10&lt;0,0.6,IF(W10=0,1,IF(W10&lt;7,1+(0.05*(W10)),IF(W9&lt;1,1.3,1)))))</f>
        <v/>
      </c>
      <c r="X122" s="581">
        <f>IF(X10&lt;-2,0,IF(X10&lt;0,0.6,IF(X10=0,1,IF(X10&lt;7,1+(0.05*(X10)),IF(X9&lt;1,1.3,1)))))</f>
        <v/>
      </c>
      <c r="Y122" s="581">
        <f>IF(Y10&lt;-2,0,IF(Y10&lt;0,0.6,IF(Y10=0,1,IF(Y10&lt;7,1+(0.05*(Y10)),IF(Y9&lt;1,1.3,1)))))</f>
        <v/>
      </c>
      <c r="Z122" s="581">
        <f>IF(Z10&lt;-2,0,IF(Z10&lt;0,0.6,IF(Z10=0,1,IF(Z10&lt;7,1+(0.05*(Z10)),IF(Z9&lt;1,1.3,1)))))</f>
        <v/>
      </c>
      <c r="AA122" s="581">
        <f>IF(AA10&lt;-2,0,IF(AA10&lt;0,0.6,IF(AA10=0,1,IF(AA10&lt;7,1+(0.05*(AA10)),IF(AA9&lt;1,1.3,1)))))</f>
        <v/>
      </c>
      <c r="AB122" s="581">
        <f>IF(AB10&lt;-2,0,IF(AB10&lt;0,0.6,IF(AB10=0,1,IF(AB10&lt;7,1+(0.05*(AB10)),IF(AB9&lt;1,1.3,1)))))</f>
        <v/>
      </c>
      <c r="AC122" s="581">
        <f>IF(AC10&lt;-2,0,IF(AC10&lt;0,0.6,IF(AC10=0,1,IF(AC10&lt;7,1+(0.05*(AC10)),IF(AC9&lt;1,1.3,1)))))</f>
        <v/>
      </c>
      <c r="AD122" s="581">
        <f>IF(AD10&lt;-2,0,IF(AD10&lt;0,0.6,IF(AD10=0,1,IF(AD10&lt;7,1+(0.05*(AD10)),IF(AD9&lt;1,1.3,1)))))</f>
        <v/>
      </c>
      <c r="AE122" s="581">
        <f>IF(AE10&lt;-2,0,IF(AE10&lt;0,0.6,IF(AE10=0,1,IF(AE10&lt;7,1+(0.05*(AE10)),IF(AE9&lt;1,1.3,1)))))</f>
        <v/>
      </c>
      <c r="AF122" s="581">
        <f>IF(AF10&lt;-2,0,IF(AF10&lt;0,0.6,IF(AF10=0,1,IF(AF10&lt;7,1+(0.05*(AF10)),IF(AF9&lt;1,1.3,1)))))</f>
        <v/>
      </c>
      <c r="AG122" s="581">
        <f>IF(AG10&lt;-2,0,IF(AG10&lt;0,0.6,IF(AG10=0,1,IF(AG10&lt;7,1+(0.05*(AG10)),IF(AG9&lt;1,1.3,1)))))</f>
        <v/>
      </c>
      <c r="AH122" s="581">
        <f>IF(AH10&lt;-2,0,IF(AH10&lt;0,0.6,IF(AH10=0,1,IF(AH10&lt;7,1+(0.05*(AH10)),IF(AH9&lt;1,1.3,1)))))</f>
        <v/>
      </c>
      <c r="AI122" s="581">
        <f>IF(AI10&lt;-2,0,IF(AI10&lt;0,0.6,IF(AI10=0,1,IF(AI10&lt;7,1+(0.05*(AI10)),IF(AI9&lt;1,1.3,1)))))</f>
        <v/>
      </c>
      <c r="AJ122" s="581">
        <f>IF(AJ10&lt;-2,0,IF(AJ10&lt;0,0.6,IF(AJ10=0,1,IF(AJ10&lt;7,1+(0.05*(AJ10)),IF(AJ9&lt;1,1.3,1)))))</f>
        <v/>
      </c>
      <c r="AK122" s="581">
        <f>IF(AK10&lt;-2,0,IF(AK10&lt;0,0.6,IF(AK10=0,1,IF(AK10&lt;7,1+(0.05*(AK10)),IF(AK9&lt;1,1.3,1)))))</f>
        <v/>
      </c>
      <c r="AL122" s="581">
        <f>IF(AL10&lt;-2,0,IF(AL10&lt;0,0.6,IF(AL10=0,1,IF(AL10&lt;7,1+(0.05*(AL10)),IF(AL9&lt;1,1.3,1)))))</f>
        <v/>
      </c>
      <c r="AM122" s="581">
        <f>IF(AM10&lt;-2,0,IF(AM10&lt;0,0.6,IF(AM10=0,1,IF(AM10&lt;7,1+(0.05*(AM10)),IF(AM9&lt;1,1.3,1)))))</f>
        <v/>
      </c>
      <c r="AN122" s="581">
        <f>IF(AN10&lt;-2,0,IF(AN10&lt;0,0.6,IF(AN10=0,1,IF(AN10&lt;7,1+(0.05*(AN10)),IF(AN9&lt;1,1.3,1)))))</f>
        <v/>
      </c>
      <c r="AO122" s="735" t="n"/>
      <c r="AP122" s="735" t="n"/>
      <c r="AQ122" s="735" t="n"/>
      <c r="AR122" s="735" t="n"/>
      <c r="AS122" s="735" t="n"/>
    </row>
    <row r="123">
      <c r="B123" s="735" t="n"/>
      <c r="C123" s="735" t="inlineStr">
        <is>
          <t>REDECORATING</t>
        </is>
      </c>
      <c r="D123" s="735" t="n"/>
      <c r="E123" s="581">
        <f>IF((E11)&lt;(Summary!$D$14+12),0,1)</f>
        <v/>
      </c>
      <c r="F123" s="581">
        <f>IF((F11)&lt;(Summary!$D$14+12),0,1)</f>
        <v/>
      </c>
      <c r="G123" s="581">
        <f>IF((G11)&lt;(Summary!$D$14+12),0,1)</f>
        <v/>
      </c>
      <c r="H123" s="581">
        <f>IF((H11)&lt;(Summary!$D$14+12),0,1)</f>
        <v/>
      </c>
      <c r="I123" s="581">
        <f>IF((I11)&lt;(Summary!$D$14+12),0,1)</f>
        <v/>
      </c>
      <c r="J123" s="581">
        <f>IF((J11)&lt;(Summary!$D$14+12),0,1)</f>
        <v/>
      </c>
      <c r="K123" s="581">
        <f>IF((K11)&lt;(Summary!$D$14+12),0,1)</f>
        <v/>
      </c>
      <c r="L123" s="581">
        <f>IF((L11)&lt;(Summary!$D$14+12),0,1)</f>
        <v/>
      </c>
      <c r="M123" s="581">
        <f>IF((M11)&lt;(Summary!$D$14+12),0,1)</f>
        <v/>
      </c>
      <c r="N123" s="581">
        <f>IF((N11)&lt;(Summary!$D$14+12),0,1)</f>
        <v/>
      </c>
      <c r="O123" s="581">
        <f>IF((O11)&lt;(Summary!$D$14+12),0,1)</f>
        <v/>
      </c>
      <c r="P123" s="581">
        <f>IF((P11)&lt;(Summary!$D$14+12),0,1)</f>
        <v/>
      </c>
      <c r="Q123" s="581">
        <f>IF((Q11)&lt;(Summary!$D$14+12),0,1)</f>
        <v/>
      </c>
      <c r="R123" s="581">
        <f>IF((R11)&lt;(Summary!$D$14+12),0,1)</f>
        <v/>
      </c>
      <c r="S123" s="581">
        <f>IF((S11)&lt;(Summary!$D$14+12),0,1)</f>
        <v/>
      </c>
      <c r="T123" s="581">
        <f>IF((T11)&lt;(Summary!$D$14+12),0,1)</f>
        <v/>
      </c>
      <c r="U123" s="581">
        <f>IF((U11)&lt;(Summary!$D$14+12),0,1)</f>
        <v/>
      </c>
      <c r="V123" s="581">
        <f>IF((V11)&lt;(Summary!$D$14+12),0,1)</f>
        <v/>
      </c>
      <c r="W123" s="581">
        <f>IF((W11)&lt;(Summary!$D$14+12),0,1)</f>
        <v/>
      </c>
      <c r="X123" s="581">
        <f>IF((X11)&lt;(Summary!$D$14+12),0,1)</f>
        <v/>
      </c>
      <c r="Y123" s="581">
        <f>IF((Y11)&lt;(Summary!$D$14+12),0,1)</f>
        <v/>
      </c>
      <c r="Z123" s="581">
        <f>IF((Z11)&lt;(Summary!$D$14+12),0,1)</f>
        <v/>
      </c>
      <c r="AA123" s="581">
        <f>IF((AA11)&lt;(Summary!$D$14+12),0,1)</f>
        <v/>
      </c>
      <c r="AB123" s="581">
        <f>IF((AB11)&lt;(Summary!$D$14+12),0,1)</f>
        <v/>
      </c>
      <c r="AC123" s="581">
        <f>IF((AC11)&lt;(Summary!$D$14+12),0,1)</f>
        <v/>
      </c>
      <c r="AD123" s="581">
        <f>IF((AD11)&lt;(Summary!$D$14+12),0,1)</f>
        <v/>
      </c>
      <c r="AE123" s="581">
        <f>IF((AE11)&lt;(Summary!$D$14+12),0,1)</f>
        <v/>
      </c>
      <c r="AF123" s="581">
        <f>IF((AF11)&lt;(Summary!$D$14+12),0,1)</f>
        <v/>
      </c>
      <c r="AG123" s="581">
        <f>IF((AG11)&lt;(Summary!$D$14+12),0,1)</f>
        <v/>
      </c>
      <c r="AH123" s="581">
        <f>IF((AH11)&lt;(Summary!$D$14+12),0,1)</f>
        <v/>
      </c>
      <c r="AI123" s="581">
        <f>IF((AI11)&lt;(Summary!$D$14+12),0,1)</f>
        <v/>
      </c>
      <c r="AJ123" s="581">
        <f>IF((AJ11)&lt;(Summary!$D$14+12),0,1)</f>
        <v/>
      </c>
      <c r="AK123" s="581">
        <f>IF((AK11)&lt;(Summary!$D$14+12),0,1)</f>
        <v/>
      </c>
      <c r="AL123" s="581">
        <f>IF((AL11)&lt;(Summary!$D$14+12),0,1)</f>
        <v/>
      </c>
      <c r="AM123" s="581">
        <f>IF((AM11)&lt;(Summary!$D$14+12),0,1)</f>
        <v/>
      </c>
      <c r="AN123" s="581">
        <f>IF((AN11)&lt;(Summary!$D$14+12),0,1)</f>
        <v/>
      </c>
      <c r="AO123" s="735" t="n"/>
      <c r="AP123" s="735" t="n"/>
      <c r="AQ123" s="735" t="n"/>
      <c r="AR123" s="735" t="n"/>
      <c r="AS123" s="735" t="n"/>
    </row>
    <row r="124">
      <c r="B124" s="735" t="n"/>
      <c r="C124" s="735" t="inlineStr">
        <is>
          <t>LANDSCAPING</t>
        </is>
      </c>
      <c r="D124" s="735" t="n"/>
      <c r="E124" s="581">
        <f>+IF(E$9&gt;0,1,IF(E$10&lt;-2,0,MIN(1,0.2+E$44/(ROUND(Summary!$F$16*Total_Number_Units,0)))))</f>
        <v/>
      </c>
      <c r="F124" s="581">
        <f>+IF(F$9&gt;0,1,IF(F$10&lt;-2,0,MIN(1,0.2+F$44/(ROUND(Summary!$F$16*Total_Number_Units,0)))))</f>
        <v/>
      </c>
      <c r="G124" s="581">
        <f>+IF(G$9&gt;0,1,IF(G$10&lt;-2,0,MIN(1,0.2+G$44/(ROUND(Summary!$F$16*Total_Number_Units,0)))))</f>
        <v/>
      </c>
      <c r="H124" s="581">
        <f>+IF(H$9&gt;0,1,IF(H$10&lt;-2,0,MIN(1,0.2+H$44/(ROUND(Summary!$F$16*Total_Number_Units,0)))))</f>
        <v/>
      </c>
      <c r="I124" s="581">
        <f>+IF(I$9&gt;0,1,IF(I$10&lt;-2,0,MIN(1,0.2+I$44/(ROUND(Summary!$F$16*Total_Number_Units,0)))))</f>
        <v/>
      </c>
      <c r="J124" s="581">
        <f>+IF(J$9&gt;0,1,IF(J$10&lt;-2,0,MIN(1,0.2+J$44/(ROUND(Summary!$F$16*Total_Number_Units,0)))))</f>
        <v/>
      </c>
      <c r="K124" s="581">
        <f>+IF(K$9&gt;0,1,IF(K$10&lt;-2,0,MIN(1,0.2+K$44/(ROUND(Summary!$F$16*Total_Number_Units,0)))))</f>
        <v/>
      </c>
      <c r="L124" s="581">
        <f>+IF(L$9&gt;0,1,IF(L$10&lt;-2,0,MIN(1,0.2+L$44/(ROUND(Summary!$F$16*Total_Number_Units,0)))))</f>
        <v/>
      </c>
      <c r="M124" s="581">
        <f>+IF(M$9&gt;0,1,IF(M$10&lt;-2,0,MIN(1,0.2+M$44/(ROUND(Summary!$F$16*Total_Number_Units,0)))))</f>
        <v/>
      </c>
      <c r="N124" s="581">
        <f>+IF(N$9&gt;0,1,IF(N$10&lt;-2,0,MIN(1,0.2+N$44/(ROUND(Summary!$F$16*Total_Number_Units,0)))))</f>
        <v/>
      </c>
      <c r="O124" s="581">
        <f>+IF(O$9&gt;0,1,IF(O$10&lt;-2,0,MIN(1,0.2+O$44/(ROUND(Summary!$F$16*Total_Number_Units,0)))))</f>
        <v/>
      </c>
      <c r="P124" s="581">
        <f>+IF(P$9&gt;0,1,IF(P$10&lt;-2,0,MIN(1,0.2+P$44/(ROUND(Summary!$F$16*Total_Number_Units,0)))))</f>
        <v/>
      </c>
      <c r="Q124" s="581">
        <f>+IF(Q$9&gt;0,1,IF(Q$10&lt;-2,0,MIN(1,0.2+Q$44/(ROUND(Summary!$F$16*Total_Number_Units,0)))))</f>
        <v/>
      </c>
      <c r="R124" s="581">
        <f>+IF(R$9&gt;0,1,IF(R$10&lt;-2,0,MIN(1,0.2+R$44/(ROUND(Summary!$F$16*Total_Number_Units,0)))))</f>
        <v/>
      </c>
      <c r="S124" s="581">
        <f>+IF(S$9&gt;0,1,IF(S$10&lt;-2,0,MIN(1,0.2+S$44/(ROUND(Summary!$F$16*Total_Number_Units,0)))))</f>
        <v/>
      </c>
      <c r="T124" s="581">
        <f>+IF(T$9&gt;0,1,IF(T$10&lt;-2,0,MIN(1,0.2+T$44/(ROUND(Summary!$F$16*Total_Number_Units,0)))))</f>
        <v/>
      </c>
      <c r="U124" s="581">
        <f>+IF(U$9&gt;0,1,IF(U$10&lt;-2,0,MIN(1,0.2+U$44/(ROUND(Summary!$F$16*Total_Number_Units,0)))))</f>
        <v/>
      </c>
      <c r="V124" s="581">
        <f>+IF(V$9&gt;0,1,IF(V$10&lt;-2,0,MIN(1,0.2+V$44/(ROUND(Summary!$F$16*Total_Number_Units,0)))))</f>
        <v/>
      </c>
      <c r="W124" s="581">
        <f>+IF(W$9&gt;0,1,IF(W$10&lt;-2,0,MIN(1,0.2+W$44/(ROUND(Summary!$F$16*Total_Number_Units,0)))))</f>
        <v/>
      </c>
      <c r="X124" s="581">
        <f>+IF(X$9&gt;0,1,IF(X$10&lt;-2,0,MIN(1,0.2+X$44/(ROUND(Summary!$F$16*Total_Number_Units,0)))))</f>
        <v/>
      </c>
      <c r="Y124" s="581">
        <f>+IF(Y$9&gt;0,1,IF(Y$10&lt;-2,0,MIN(1,0.2+Y$44/(ROUND(Summary!$F$16*Total_Number_Units,0)))))</f>
        <v/>
      </c>
      <c r="Z124" s="581">
        <f>+IF(Z$9&gt;0,1,IF(Z$10&lt;-2,0,MIN(1,0.2+Z$44/(ROUND(Summary!$F$16*Total_Number_Units,0)))))</f>
        <v/>
      </c>
      <c r="AA124" s="581">
        <f>+IF(AA$9&gt;0,1,IF(AA$10&lt;-2,0,MIN(1,0.2+AA$44/(ROUND(Summary!$F$16*Total_Number_Units,0)))))</f>
        <v/>
      </c>
      <c r="AB124" s="581">
        <f>+IF(AB$9&gt;0,1,IF(AB$10&lt;-2,0,MIN(1,0.2+AB$44/(ROUND(Summary!$F$16*Total_Number_Units,0)))))</f>
        <v/>
      </c>
      <c r="AC124" s="581">
        <f>+IF(AC$9&gt;0,1,IF(AC$10&lt;-2,0,MIN(1,0.2+AC$44/(ROUND(Summary!$F$16*Total_Number_Units,0)))))</f>
        <v/>
      </c>
      <c r="AD124" s="581">
        <f>+IF(AD$9&gt;0,1,IF(AD$10&lt;-2,0,MIN(1,0.2+AD$44/(ROUND(Summary!$F$16*Total_Number_Units,0)))))</f>
        <v/>
      </c>
      <c r="AE124" s="581">
        <f>+IF(AE$9&gt;0,1,IF(AE$10&lt;-2,0,MIN(1,0.2+AE$44/(ROUND(Summary!$F$16*Total_Number_Units,0)))))</f>
        <v/>
      </c>
      <c r="AF124" s="581">
        <f>+IF(AF$9&gt;0,1,IF(AF$10&lt;-2,0,MIN(1,0.2+AF$44/(ROUND(Summary!$F$16*Total_Number_Units,0)))))</f>
        <v/>
      </c>
      <c r="AG124" s="581">
        <f>+IF(AG$9&gt;0,1,IF(AG$10&lt;-2,0,MIN(1,0.2+AG$44/(ROUND(Summary!$F$16*Total_Number_Units,0)))))</f>
        <v/>
      </c>
      <c r="AH124" s="581">
        <f>+IF(AH$9&gt;0,1,IF(AH$10&lt;-2,0,MIN(1,0.2+AH$44/(ROUND(Summary!$F$16*Total_Number_Units,0)))))</f>
        <v/>
      </c>
      <c r="AI124" s="581">
        <f>+IF(AI$9&gt;0,1,IF(AI$10&lt;-2,0,MIN(1,0.2+AI$44/(ROUND(Summary!$F$16*Total_Number_Units,0)))))</f>
        <v/>
      </c>
      <c r="AJ124" s="581">
        <f>+IF(AJ$9&gt;0,1,IF(AJ$10&lt;-2,0,MIN(1,0.2+AJ$44/(ROUND(Summary!$F$16*Total_Number_Units,0)))))</f>
        <v/>
      </c>
      <c r="AK124" s="581">
        <f>+IF(AK$9&gt;0,1,IF(AK$10&lt;-2,0,MIN(1,0.2+AK$44/(ROUND(Summary!$F$16*Total_Number_Units,0)))))</f>
        <v/>
      </c>
      <c r="AL124" s="581">
        <f>+IF(AL$9&gt;0,1,IF(AL$10&lt;-2,0,MIN(1,0.2+AL$44/(ROUND(Summary!$F$16*Total_Number_Units,0)))))</f>
        <v/>
      </c>
      <c r="AM124" s="581">
        <f>+IF(AM$9&gt;0,1,IF(AM$10&lt;-2,0,MIN(1,0.2+AM$44/(ROUND(Summary!$F$16*Total_Number_Units,0)))))</f>
        <v/>
      </c>
      <c r="AN124" s="581">
        <f>+IF(AN$9&gt;0,1,IF(AN$10&lt;-2,0,MIN(1,0.2+AN$44/(ROUND(Summary!$F$16*Total_Number_Units,0)))))</f>
        <v/>
      </c>
      <c r="AO124" s="735" t="n"/>
      <c r="AP124" s="735" t="n"/>
      <c r="AQ124" s="735" t="n"/>
      <c r="AR124" s="735" t="n"/>
      <c r="AS124" s="735" t="n"/>
    </row>
    <row r="125">
      <c r="B125" s="735" t="n"/>
      <c r="C125" s="735" t="inlineStr">
        <is>
          <t>REPAIRS</t>
        </is>
      </c>
      <c r="D125" s="735" t="n"/>
      <c r="E125" s="581">
        <f>+IF(E$9&gt;0,1,IF(E$10&lt;-2,0,MIN(1,0.2+E$44/(ROUND(Summary!$F$16*Total_Number_Units,0)))))</f>
        <v/>
      </c>
      <c r="F125" s="581">
        <f>+IF(F$9&gt;0,1,IF(F$10&lt;-2,0,MIN(1,0.2+F$44/(ROUND(Summary!$F$16*Total_Number_Units,0)))))</f>
        <v/>
      </c>
      <c r="G125" s="581">
        <f>+IF(G$9&gt;0,1,IF(G$10&lt;-2,0,MIN(1,0.2+G$44/(ROUND(Summary!$F$16*Total_Number_Units,0)))))</f>
        <v/>
      </c>
      <c r="H125" s="581">
        <f>+IF(H$9&gt;0,1,IF(H$10&lt;-2,0,MIN(1,0.2+H$44/(ROUND(Summary!$F$16*Total_Number_Units,0)))))</f>
        <v/>
      </c>
      <c r="I125" s="581">
        <f>+IF(I$9&gt;0,1,IF(I$10&lt;-2,0,MIN(1,0.2+I$44/(ROUND(Summary!$F$16*Total_Number_Units,0)))))</f>
        <v/>
      </c>
      <c r="J125" s="581">
        <f>+IF(J$9&gt;0,1,IF(J$10&lt;-2,0,MIN(1,0.2+J$44/(ROUND(Summary!$F$16*Total_Number_Units,0)))))</f>
        <v/>
      </c>
      <c r="K125" s="581">
        <f>+IF(K$9&gt;0,1,IF(K$10&lt;-2,0,MIN(1,0.2+K$44/(ROUND(Summary!$F$16*Total_Number_Units,0)))))</f>
        <v/>
      </c>
      <c r="L125" s="581">
        <f>+IF(L$9&gt;0,1,IF(L$10&lt;-2,0,MIN(1,0.2+L$44/(ROUND(Summary!$F$16*Total_Number_Units,0)))))</f>
        <v/>
      </c>
      <c r="M125" s="581">
        <f>+IF(M$9&gt;0,1,IF(M$10&lt;-2,0,MIN(1,0.2+M$44/(ROUND(Summary!$F$16*Total_Number_Units,0)))))</f>
        <v/>
      </c>
      <c r="N125" s="581">
        <f>+IF(N$9&gt;0,1,IF(N$10&lt;-2,0,MIN(1,0.2+N$44/(ROUND(Summary!$F$16*Total_Number_Units,0)))))</f>
        <v/>
      </c>
      <c r="O125" s="581">
        <f>+IF(O$9&gt;0,1,IF(O$10&lt;-2,0,MIN(1,0.2+O$44/(ROUND(Summary!$F$16*Total_Number_Units,0)))))</f>
        <v/>
      </c>
      <c r="P125" s="581">
        <f>+IF(P$9&gt;0,1,IF(P$10&lt;-2,0,MIN(1,0.2+P$44/(ROUND(Summary!$F$16*Total_Number_Units,0)))))</f>
        <v/>
      </c>
      <c r="Q125" s="581">
        <f>+IF(Q$9&gt;0,1,IF(Q$10&lt;-2,0,MIN(1,0.2+Q$44/(ROUND(Summary!$F$16*Total_Number_Units,0)))))</f>
        <v/>
      </c>
      <c r="R125" s="581">
        <f>+IF(R$9&gt;0,1,IF(R$10&lt;-2,0,MIN(1,0.2+R$44/(ROUND(Summary!$F$16*Total_Number_Units,0)))))</f>
        <v/>
      </c>
      <c r="S125" s="581">
        <f>+IF(S$9&gt;0,1,IF(S$10&lt;-2,0,MIN(1,0.2+S$44/(ROUND(Summary!$F$16*Total_Number_Units,0)))))</f>
        <v/>
      </c>
      <c r="T125" s="581">
        <f>+IF(T$9&gt;0,1,IF(T$10&lt;-2,0,MIN(1,0.2+T$44/(ROUND(Summary!$F$16*Total_Number_Units,0)))))</f>
        <v/>
      </c>
      <c r="U125" s="581">
        <f>+IF(U$9&gt;0,1,IF(U$10&lt;-2,0,MIN(1,0.2+U$44/(ROUND(Summary!$F$16*Total_Number_Units,0)))))</f>
        <v/>
      </c>
      <c r="V125" s="581">
        <f>+IF(V$9&gt;0,1,IF(V$10&lt;-2,0,MIN(1,0.2+V$44/(ROUND(Summary!$F$16*Total_Number_Units,0)))))</f>
        <v/>
      </c>
      <c r="W125" s="581">
        <f>+IF(W$9&gt;0,1,IF(W$10&lt;-2,0,MIN(1,0.2+W$44/(ROUND(Summary!$F$16*Total_Number_Units,0)))))</f>
        <v/>
      </c>
      <c r="X125" s="581">
        <f>+IF(X$9&gt;0,1,IF(X$10&lt;-2,0,MIN(1,0.2+X$44/(ROUND(Summary!$F$16*Total_Number_Units,0)))))</f>
        <v/>
      </c>
      <c r="Y125" s="581">
        <f>+IF(Y$9&gt;0,1,IF(Y$10&lt;-2,0,MIN(1,0.2+Y$44/(ROUND(Summary!$F$16*Total_Number_Units,0)))))</f>
        <v/>
      </c>
      <c r="Z125" s="581">
        <f>+IF(Z$9&gt;0,1,IF(Z$10&lt;-2,0,MIN(1,0.2+Z$44/(ROUND(Summary!$F$16*Total_Number_Units,0)))))</f>
        <v/>
      </c>
      <c r="AA125" s="581">
        <f>+IF(AA$9&gt;0,1,IF(AA$10&lt;-2,0,MIN(1,0.2+AA$44/(ROUND(Summary!$F$16*Total_Number_Units,0)))))</f>
        <v/>
      </c>
      <c r="AB125" s="581">
        <f>+IF(AB$9&gt;0,1,IF(AB$10&lt;-2,0,MIN(1,0.2+AB$44/(ROUND(Summary!$F$16*Total_Number_Units,0)))))</f>
        <v/>
      </c>
      <c r="AC125" s="581">
        <f>+IF(AC$9&gt;0,1,IF(AC$10&lt;-2,0,MIN(1,0.2+AC$44/(ROUND(Summary!$F$16*Total_Number_Units,0)))))</f>
        <v/>
      </c>
      <c r="AD125" s="581">
        <f>+IF(AD$9&gt;0,1,IF(AD$10&lt;-2,0,MIN(1,0.2+AD$44/(ROUND(Summary!$F$16*Total_Number_Units,0)))))</f>
        <v/>
      </c>
      <c r="AE125" s="581">
        <f>+IF(AE$9&gt;0,1,IF(AE$10&lt;-2,0,MIN(1,0.2+AE$44/(ROUND(Summary!$F$16*Total_Number_Units,0)))))</f>
        <v/>
      </c>
      <c r="AF125" s="581">
        <f>+IF(AF$9&gt;0,1,IF(AF$10&lt;-2,0,MIN(1,0.2+AF$44/(ROUND(Summary!$F$16*Total_Number_Units,0)))))</f>
        <v/>
      </c>
      <c r="AG125" s="581">
        <f>+IF(AG$9&gt;0,1,IF(AG$10&lt;-2,0,MIN(1,0.2+AG$44/(ROUND(Summary!$F$16*Total_Number_Units,0)))))</f>
        <v/>
      </c>
      <c r="AH125" s="581">
        <f>+IF(AH$9&gt;0,1,IF(AH$10&lt;-2,0,MIN(1,0.2+AH$44/(ROUND(Summary!$F$16*Total_Number_Units,0)))))</f>
        <v/>
      </c>
      <c r="AI125" s="581">
        <f>+IF(AI$9&gt;0,1,IF(AI$10&lt;-2,0,MIN(1,0.2+AI$44/(ROUND(Summary!$F$16*Total_Number_Units,0)))))</f>
        <v/>
      </c>
      <c r="AJ125" s="581">
        <f>+IF(AJ$9&gt;0,1,IF(AJ$10&lt;-2,0,MIN(1,0.2+AJ$44/(ROUND(Summary!$F$16*Total_Number_Units,0)))))</f>
        <v/>
      </c>
      <c r="AK125" s="581">
        <f>+IF(AK$9&gt;0,1,IF(AK$10&lt;-2,0,MIN(1,0.2+AK$44/(ROUND(Summary!$F$16*Total_Number_Units,0)))))</f>
        <v/>
      </c>
      <c r="AL125" s="581">
        <f>+IF(AL$9&gt;0,1,IF(AL$10&lt;-2,0,MIN(1,0.2+AL$44/(ROUND(Summary!$F$16*Total_Number_Units,0)))))</f>
        <v/>
      </c>
      <c r="AM125" s="581">
        <f>+IF(AM$9&gt;0,1,IF(AM$10&lt;-2,0,MIN(1,0.2+AM$44/(ROUND(Summary!$F$16*Total_Number_Units,0)))))</f>
        <v/>
      </c>
      <c r="AN125" s="581">
        <f>+IF(AN$9&gt;0,1,IF(AN$10&lt;-2,0,MIN(1,0.2+AN$44/(ROUND(Summary!$F$16*Total_Number_Units,0)))))</f>
        <v/>
      </c>
      <c r="AO125" s="735" t="n"/>
      <c r="AP125" s="735" t="n"/>
      <c r="AQ125" s="735" t="n"/>
      <c r="AR125" s="735" t="n"/>
      <c r="AS125" s="735" t="n"/>
    </row>
    <row r="126">
      <c r="B126" s="735" t="n"/>
      <c r="C126" s="735" t="inlineStr">
        <is>
          <t>LEASING &amp; MARKETING</t>
        </is>
      </c>
      <c r="D126" s="735" t="n"/>
      <c r="E126" s="581">
        <f>+IF(E$9&gt;0,1,IF(E$10&lt;-2,0,MIN(1,0.2+E$44/(ROUND(Summary!$F$16*Total_Number_Units,0)))))</f>
        <v/>
      </c>
      <c r="F126" s="581">
        <f>+IF(F$9&gt;0,1,IF(F$10&lt;-2,0,MIN(1,0.2+F$44/(ROUND(Summary!$F$16*Total_Number_Units,0)))))</f>
        <v/>
      </c>
      <c r="G126" s="581">
        <f>+IF(G$9&gt;0,1,IF(G$10&lt;-2,0,MIN(1,0.2+G$44/(ROUND(Summary!$F$16*Total_Number_Units,0)))))</f>
        <v/>
      </c>
      <c r="H126" s="581">
        <f>+IF(H$9&gt;0,1,IF(H$10&lt;-2,0,MIN(1,0.2+H$44/(ROUND(Summary!$F$16*Total_Number_Units,0)))))</f>
        <v/>
      </c>
      <c r="I126" s="581">
        <f>+IF(I$9&gt;0,1,IF(I$10&lt;-2,0,MIN(1,0.2+I$44/(ROUND(Summary!$F$16*Total_Number_Units,0)))))</f>
        <v/>
      </c>
      <c r="J126" s="581">
        <f>+IF(J$9&gt;0,1,IF(J$10&lt;-2,0,MIN(1,0.2+J$44/(ROUND(Summary!$F$16*Total_Number_Units,0)))))</f>
        <v/>
      </c>
      <c r="K126" s="581">
        <f>+IF(K$9&gt;0,1,IF(K$10&lt;-2,0,MIN(1,0.2+K$44/(ROUND(Summary!$F$16*Total_Number_Units,0)))))</f>
        <v/>
      </c>
      <c r="L126" s="581">
        <f>+IF(L$9&gt;0,1,IF(L$10&lt;-2,0,MIN(1,0.2+L$44/(ROUND(Summary!$F$16*Total_Number_Units,0)))))</f>
        <v/>
      </c>
      <c r="M126" s="581">
        <f>+IF(M$9&gt;0,1,IF(M$10&lt;-2,0,MIN(1,0.2+M$44/(ROUND(Summary!$F$16*Total_Number_Units,0)))))</f>
        <v/>
      </c>
      <c r="N126" s="581">
        <f>+IF(N$9&gt;0,1,IF(N$10&lt;-2,0,MIN(1,0.2+N$44/(ROUND(Summary!$F$16*Total_Number_Units,0)))))</f>
        <v/>
      </c>
      <c r="O126" s="581">
        <f>+IF(O$9&gt;0,1,IF(O$10&lt;-2,0,MIN(1,0.2+O$44/(ROUND(Summary!$F$16*Total_Number_Units,0)))))</f>
        <v/>
      </c>
      <c r="P126" s="581">
        <f>+IF(P$9&gt;0,1,IF(P$10&lt;-2,0,MIN(1,0.2+P$44/(ROUND(Summary!$F$16*Total_Number_Units,0)))))</f>
        <v/>
      </c>
      <c r="Q126" s="581">
        <f>+IF(Q$9&gt;0,1,IF(Q$10&lt;-2,0,MIN(1,0.2+Q$44/(ROUND(Summary!$F$16*Total_Number_Units,0)))))</f>
        <v/>
      </c>
      <c r="R126" s="581">
        <f>+IF(R$9&gt;0,1,IF(R$10&lt;-2,0,MIN(1,0.2+R$44/(ROUND(Summary!$F$16*Total_Number_Units,0)))))</f>
        <v/>
      </c>
      <c r="S126" s="581">
        <f>+IF(S$9&gt;0,1,IF(S$10&lt;-2,0,MIN(1,0.2+S$44/(ROUND(Summary!$F$16*Total_Number_Units,0)))))</f>
        <v/>
      </c>
      <c r="T126" s="581">
        <f>+IF(T$9&gt;0,1,IF(T$10&lt;-2,0,MIN(1,0.2+T$44/(ROUND(Summary!$F$16*Total_Number_Units,0)))))</f>
        <v/>
      </c>
      <c r="U126" s="581">
        <f>+IF(U$9&gt;0,1,IF(U$10&lt;-2,0,MIN(1,0.2+U$44/(ROUND(Summary!$F$16*Total_Number_Units,0)))))</f>
        <v/>
      </c>
      <c r="V126" s="581">
        <f>+IF(V$9&gt;0,1,IF(V$10&lt;-2,0,MIN(1,0.2+V$44/(ROUND(Summary!$F$16*Total_Number_Units,0)))))</f>
        <v/>
      </c>
      <c r="W126" s="581">
        <f>+IF(W$9&gt;0,1,IF(W$10&lt;-2,0,MIN(1,0.2+W$44/(ROUND(Summary!$F$16*Total_Number_Units,0)))))</f>
        <v/>
      </c>
      <c r="X126" s="581">
        <f>+IF(X$9&gt;0,1,IF(X$10&lt;-2,0,MIN(1,0.2+X$44/(ROUND(Summary!$F$16*Total_Number_Units,0)))))</f>
        <v/>
      </c>
      <c r="Y126" s="581">
        <f>+IF(Y$9&gt;0,1,IF(Y$10&lt;-2,0,MIN(1,0.2+Y$44/(ROUND(Summary!$F$16*Total_Number_Units,0)))))</f>
        <v/>
      </c>
      <c r="Z126" s="581">
        <f>+IF(Z$9&gt;0,1,IF(Z$10&lt;-2,0,MIN(1,0.2+Z$44/(ROUND(Summary!$F$16*Total_Number_Units,0)))))</f>
        <v/>
      </c>
      <c r="AA126" s="581">
        <f>+IF(AA$9&gt;0,1,IF(AA$10&lt;-2,0,MIN(1,0.2+AA$44/(ROUND(Summary!$F$16*Total_Number_Units,0)))))</f>
        <v/>
      </c>
      <c r="AB126" s="581">
        <f>+IF(AB$9&gt;0,1,IF(AB$10&lt;-2,0,MIN(1,0.2+AB$44/(ROUND(Summary!$F$16*Total_Number_Units,0)))))</f>
        <v/>
      </c>
      <c r="AC126" s="581">
        <f>+IF(AC$9&gt;0,1,IF(AC$10&lt;-2,0,MIN(1,0.2+AC$44/(ROUND(Summary!$F$16*Total_Number_Units,0)))))</f>
        <v/>
      </c>
      <c r="AD126" s="581">
        <f>+IF(AD$9&gt;0,1,IF(AD$10&lt;-2,0,MIN(1,0.2+AD$44/(ROUND(Summary!$F$16*Total_Number_Units,0)))))</f>
        <v/>
      </c>
      <c r="AE126" s="581">
        <f>+IF(AE$9&gt;0,1,IF(AE$10&lt;-2,0,MIN(1,0.2+AE$44/(ROUND(Summary!$F$16*Total_Number_Units,0)))))</f>
        <v/>
      </c>
      <c r="AF126" s="581">
        <f>+IF(AF$9&gt;0,1,IF(AF$10&lt;-2,0,MIN(1,0.2+AF$44/(ROUND(Summary!$F$16*Total_Number_Units,0)))))</f>
        <v/>
      </c>
      <c r="AG126" s="581">
        <f>+IF(AG$9&gt;0,1,IF(AG$10&lt;-2,0,MIN(1,0.2+AG$44/(ROUND(Summary!$F$16*Total_Number_Units,0)))))</f>
        <v/>
      </c>
      <c r="AH126" s="581">
        <f>+IF(AH$9&gt;0,1,IF(AH$10&lt;-2,0,MIN(1,0.2+AH$44/(ROUND(Summary!$F$16*Total_Number_Units,0)))))</f>
        <v/>
      </c>
      <c r="AI126" s="581">
        <f>+IF(AI$9&gt;0,1,IF(AI$10&lt;-2,0,MIN(1,0.2+AI$44/(ROUND(Summary!$F$16*Total_Number_Units,0)))))</f>
        <v/>
      </c>
      <c r="AJ126" s="581">
        <f>+IF(AJ$9&gt;0,1,IF(AJ$10&lt;-2,0,MIN(1,0.2+AJ$44/(ROUND(Summary!$F$16*Total_Number_Units,0)))))</f>
        <v/>
      </c>
      <c r="AK126" s="581">
        <f>+IF(AK$9&gt;0,1,IF(AK$10&lt;-2,0,MIN(1,0.2+AK$44/(ROUND(Summary!$F$16*Total_Number_Units,0)))))</f>
        <v/>
      </c>
      <c r="AL126" s="581">
        <f>+IF(AL$9&gt;0,1,IF(AL$10&lt;-2,0,MIN(1,0.2+AL$44/(ROUND(Summary!$F$16*Total_Number_Units,0)))))</f>
        <v/>
      </c>
      <c r="AM126" s="581">
        <f>+IF(AM$9&gt;0,1,IF(AM$10&lt;-2,0,MIN(1,0.2+AM$44/(ROUND(Summary!$F$16*Total_Number_Units,0)))))</f>
        <v/>
      </c>
      <c r="AN126" s="581">
        <f>+IF(AN$9&gt;0,1,IF(AN$10&lt;-2,0,MIN(1,0.2+AN$44/(ROUND(Summary!$F$16*Total_Number_Units,0)))))</f>
        <v/>
      </c>
      <c r="AO126" s="735" t="n"/>
      <c r="AP126" s="735" t="n"/>
      <c r="AQ126" s="735" t="n"/>
      <c r="AR126" s="735" t="n"/>
      <c r="AS126" s="735" t="n"/>
    </row>
    <row r="127">
      <c r="B127" s="735" t="n"/>
      <c r="C127" s="735" t="inlineStr">
        <is>
          <t>G&amp;A</t>
        </is>
      </c>
      <c r="D127" s="735" t="n"/>
      <c r="E127" s="581">
        <f>+IF(E$9&gt;0,1,IF(E$10&lt;-2,0,MIN(1,0.2+E$44/(ROUND(Summary!$F$16*Total_Number_Units,0)))))</f>
        <v/>
      </c>
      <c r="F127" s="581">
        <f>+IF(F$9&gt;0,1,IF(F$10&lt;-2,0,MIN(1,0.2+F$44/(ROUND(Summary!$F$16*Total_Number_Units,0)))))</f>
        <v/>
      </c>
      <c r="G127" s="581">
        <f>+IF(G$9&gt;0,1,IF(G$10&lt;-2,0,MIN(1,0.2+G$44/(ROUND(Summary!$F$16*Total_Number_Units,0)))))</f>
        <v/>
      </c>
      <c r="H127" s="581">
        <f>+IF(H$9&gt;0,1,IF(H$10&lt;-2,0,MIN(1,0.2+H$44/(ROUND(Summary!$F$16*Total_Number_Units,0)))))</f>
        <v/>
      </c>
      <c r="I127" s="581">
        <f>+IF(I$9&gt;0,1,IF(I$10&lt;-2,0,MIN(1,0.2+I$44/(ROUND(Summary!$F$16*Total_Number_Units,0)))))</f>
        <v/>
      </c>
      <c r="J127" s="581">
        <f>+IF(J$9&gt;0,1,IF(J$10&lt;-2,0,MIN(1,0.2+J$44/(ROUND(Summary!$F$16*Total_Number_Units,0)))))</f>
        <v/>
      </c>
      <c r="K127" s="581">
        <f>+IF(K$9&gt;0,1,IF(K$10&lt;-2,0,MIN(1,0.2+K$44/(ROUND(Summary!$F$16*Total_Number_Units,0)))))</f>
        <v/>
      </c>
      <c r="L127" s="581">
        <f>+IF(L$9&gt;0,1,IF(L$10&lt;-2,0,MIN(1,0.2+L$44/(ROUND(Summary!$F$16*Total_Number_Units,0)))))</f>
        <v/>
      </c>
      <c r="M127" s="581">
        <f>+IF(M$9&gt;0,1,IF(M$10&lt;-2,0,MIN(1,0.2+M$44/(ROUND(Summary!$F$16*Total_Number_Units,0)))))</f>
        <v/>
      </c>
      <c r="N127" s="581">
        <f>+IF(N$9&gt;0,1,IF(N$10&lt;-2,0,MIN(1,0.2+N$44/(ROUND(Summary!$F$16*Total_Number_Units,0)))))</f>
        <v/>
      </c>
      <c r="O127" s="581">
        <f>+IF(O$9&gt;0,1,IF(O$10&lt;-2,0,MIN(1,0.2+O$44/(ROUND(Summary!$F$16*Total_Number_Units,0)))))</f>
        <v/>
      </c>
      <c r="P127" s="581">
        <f>+IF(P$9&gt;0,1,IF(P$10&lt;-2,0,MIN(1,0.2+P$44/(ROUND(Summary!$F$16*Total_Number_Units,0)))))</f>
        <v/>
      </c>
      <c r="Q127" s="581">
        <f>+IF(Q$9&gt;0,1,IF(Q$10&lt;-2,0,MIN(1,0.2+Q$44/(ROUND(Summary!$F$16*Total_Number_Units,0)))))</f>
        <v/>
      </c>
      <c r="R127" s="581">
        <f>+IF(R$9&gt;0,1,IF(R$10&lt;-2,0,MIN(1,0.2+R$44/(ROUND(Summary!$F$16*Total_Number_Units,0)))))</f>
        <v/>
      </c>
      <c r="S127" s="581">
        <f>+IF(S$9&gt;0,1,IF(S$10&lt;-2,0,MIN(1,0.2+S$44/(ROUND(Summary!$F$16*Total_Number_Units,0)))))</f>
        <v/>
      </c>
      <c r="T127" s="581">
        <f>+IF(T$9&gt;0,1,IF(T$10&lt;-2,0,MIN(1,0.2+T$44/(ROUND(Summary!$F$16*Total_Number_Units,0)))))</f>
        <v/>
      </c>
      <c r="U127" s="581">
        <f>+IF(U$9&gt;0,1,IF(U$10&lt;-2,0,MIN(1,0.2+U$44/(ROUND(Summary!$F$16*Total_Number_Units,0)))))</f>
        <v/>
      </c>
      <c r="V127" s="581">
        <f>+IF(V$9&gt;0,1,IF(V$10&lt;-2,0,MIN(1,0.2+V$44/(ROUND(Summary!$F$16*Total_Number_Units,0)))))</f>
        <v/>
      </c>
      <c r="W127" s="581">
        <f>+IF(W$9&gt;0,1,IF(W$10&lt;-2,0,MIN(1,0.2+W$44/(ROUND(Summary!$F$16*Total_Number_Units,0)))))</f>
        <v/>
      </c>
      <c r="X127" s="581">
        <f>+IF(X$9&gt;0,1,IF(X$10&lt;-2,0,MIN(1,0.2+X$44/(ROUND(Summary!$F$16*Total_Number_Units,0)))))</f>
        <v/>
      </c>
      <c r="Y127" s="581">
        <f>+IF(Y$9&gt;0,1,IF(Y$10&lt;-2,0,MIN(1,0.2+Y$44/(ROUND(Summary!$F$16*Total_Number_Units,0)))))</f>
        <v/>
      </c>
      <c r="Z127" s="581">
        <f>+IF(Z$9&gt;0,1,IF(Z$10&lt;-2,0,MIN(1,0.2+Z$44/(ROUND(Summary!$F$16*Total_Number_Units,0)))))</f>
        <v/>
      </c>
      <c r="AA127" s="581">
        <f>+IF(AA$9&gt;0,1,IF(AA$10&lt;-2,0,MIN(1,0.2+AA$44/(ROUND(Summary!$F$16*Total_Number_Units,0)))))</f>
        <v/>
      </c>
      <c r="AB127" s="581">
        <f>+IF(AB$9&gt;0,1,IF(AB$10&lt;-2,0,MIN(1,0.2+AB$44/(ROUND(Summary!$F$16*Total_Number_Units,0)))))</f>
        <v/>
      </c>
      <c r="AC127" s="581">
        <f>+IF(AC$9&gt;0,1,IF(AC$10&lt;-2,0,MIN(1,0.2+AC$44/(ROUND(Summary!$F$16*Total_Number_Units,0)))))</f>
        <v/>
      </c>
      <c r="AD127" s="581">
        <f>+IF(AD$9&gt;0,1,IF(AD$10&lt;-2,0,MIN(1,0.2+AD$44/(ROUND(Summary!$F$16*Total_Number_Units,0)))))</f>
        <v/>
      </c>
      <c r="AE127" s="581">
        <f>+IF(AE$9&gt;0,1,IF(AE$10&lt;-2,0,MIN(1,0.2+AE$44/(ROUND(Summary!$F$16*Total_Number_Units,0)))))</f>
        <v/>
      </c>
      <c r="AF127" s="581">
        <f>+IF(AF$9&gt;0,1,IF(AF$10&lt;-2,0,MIN(1,0.2+AF$44/(ROUND(Summary!$F$16*Total_Number_Units,0)))))</f>
        <v/>
      </c>
      <c r="AG127" s="581">
        <f>+IF(AG$9&gt;0,1,IF(AG$10&lt;-2,0,MIN(1,0.2+AG$44/(ROUND(Summary!$F$16*Total_Number_Units,0)))))</f>
        <v/>
      </c>
      <c r="AH127" s="581">
        <f>+IF(AH$9&gt;0,1,IF(AH$10&lt;-2,0,MIN(1,0.2+AH$44/(ROUND(Summary!$F$16*Total_Number_Units,0)))))</f>
        <v/>
      </c>
      <c r="AI127" s="581">
        <f>+IF(AI$9&gt;0,1,IF(AI$10&lt;-2,0,MIN(1,0.2+AI$44/(ROUND(Summary!$F$16*Total_Number_Units,0)))))</f>
        <v/>
      </c>
      <c r="AJ127" s="581">
        <f>+IF(AJ$9&gt;0,1,IF(AJ$10&lt;-2,0,MIN(1,0.2+AJ$44/(ROUND(Summary!$F$16*Total_Number_Units,0)))))</f>
        <v/>
      </c>
      <c r="AK127" s="581">
        <f>+IF(AK$9&gt;0,1,IF(AK$10&lt;-2,0,MIN(1,0.2+AK$44/(ROUND(Summary!$F$16*Total_Number_Units,0)))))</f>
        <v/>
      </c>
      <c r="AL127" s="581">
        <f>+IF(AL$9&gt;0,1,IF(AL$10&lt;-2,0,MIN(1,0.2+AL$44/(ROUND(Summary!$F$16*Total_Number_Units,0)))))</f>
        <v/>
      </c>
      <c r="AM127" s="581">
        <f>+IF(AM$9&gt;0,1,IF(AM$10&lt;-2,0,MIN(1,0.2+AM$44/(ROUND(Summary!$F$16*Total_Number_Units,0)))))</f>
        <v/>
      </c>
      <c r="AN127" s="581">
        <f>+IF(AN$9&gt;0,1,IF(AN$10&lt;-2,0,MIN(1,0.2+AN$44/(ROUND(Summary!$F$16*Total_Number_Units,0)))))</f>
        <v/>
      </c>
      <c r="AO127" s="735" t="n"/>
      <c r="AP127" s="735" t="n"/>
      <c r="AQ127" s="735" t="n"/>
      <c r="AR127" s="735" t="n"/>
      <c r="AS127" s="735" t="n"/>
    </row>
    <row r="128">
      <c r="B128" s="735" t="n"/>
      <c r="C128" s="735" t="inlineStr">
        <is>
          <t>UTILITIES</t>
        </is>
      </c>
      <c r="D128" s="735" t="n"/>
      <c r="E128" s="581">
        <f>+IF(E$9&gt;0,1,IF(E$10&lt;-2,0,MIN(1,0.2+E$44/(ROUND(Summary!$F$16*Total_Number_Units,0)))))</f>
        <v/>
      </c>
      <c r="F128" s="581">
        <f>+IF(F$9&gt;0,1,IF(F$10&lt;-2,0,MIN(1,0.2+F$44/(ROUND(Summary!$F$16*Total_Number_Units,0)))))</f>
        <v/>
      </c>
      <c r="G128" s="581">
        <f>+IF(G$9&gt;0,1,IF(G$10&lt;-2,0,MIN(1,0.2+G$44/(ROUND(Summary!$F$16*Total_Number_Units,0)))))</f>
        <v/>
      </c>
      <c r="H128" s="581">
        <f>+IF(H$9&gt;0,1,IF(H$10&lt;-2,0,MIN(1,0.2+H$44/(ROUND(Summary!$F$16*Total_Number_Units,0)))))</f>
        <v/>
      </c>
      <c r="I128" s="581">
        <f>+IF(I$9&gt;0,1,IF(I$10&lt;-2,0,MIN(1,0.2+I$44/(ROUND(Summary!$F$16*Total_Number_Units,0)))))</f>
        <v/>
      </c>
      <c r="J128" s="581">
        <f>+IF(J$9&gt;0,1,IF(J$10&lt;-2,0,MIN(1,0.2+J$44/(ROUND(Summary!$F$16*Total_Number_Units,0)))))</f>
        <v/>
      </c>
      <c r="K128" s="581">
        <f>+IF(K$9&gt;0,1,IF(K$10&lt;-2,0,MIN(1,0.2+K$44/(ROUND(Summary!$F$16*Total_Number_Units,0)))))</f>
        <v/>
      </c>
      <c r="L128" s="581">
        <f>+IF(L$9&gt;0,1,IF(L$10&lt;-2,0,MIN(1,0.2+L$44/(ROUND(Summary!$F$16*Total_Number_Units,0)))))</f>
        <v/>
      </c>
      <c r="M128" s="581">
        <f>+IF(M$9&gt;0,1,IF(M$10&lt;-2,0,MIN(1,0.2+M$44/(ROUND(Summary!$F$16*Total_Number_Units,0)))))</f>
        <v/>
      </c>
      <c r="N128" s="581">
        <f>+IF(N$9&gt;0,1,IF(N$10&lt;-2,0,MIN(1,0.2+N$44/(ROUND(Summary!$F$16*Total_Number_Units,0)))))</f>
        <v/>
      </c>
      <c r="O128" s="581">
        <f>+IF(O$9&gt;0,1,IF(O$10&lt;-2,0,MIN(1,0.2+O$44/(ROUND(Summary!$F$16*Total_Number_Units,0)))))</f>
        <v/>
      </c>
      <c r="P128" s="581">
        <f>+IF(P$9&gt;0,1,IF(P$10&lt;-2,0,MIN(1,0.2+P$44/(ROUND(Summary!$F$16*Total_Number_Units,0)))))</f>
        <v/>
      </c>
      <c r="Q128" s="581">
        <f>+IF(Q$9&gt;0,1,IF(Q$10&lt;-2,0,MIN(1,0.2+Q$44/(ROUND(Summary!$F$16*Total_Number_Units,0)))))</f>
        <v/>
      </c>
      <c r="R128" s="581">
        <f>+IF(R$9&gt;0,1,IF(R$10&lt;-2,0,MIN(1,0.2+R$44/(ROUND(Summary!$F$16*Total_Number_Units,0)))))</f>
        <v/>
      </c>
      <c r="S128" s="581">
        <f>+IF(S$9&gt;0,1,IF(S$10&lt;-2,0,MIN(1,0.2+S$44/(ROUND(Summary!$F$16*Total_Number_Units,0)))))</f>
        <v/>
      </c>
      <c r="T128" s="581">
        <f>+IF(T$9&gt;0,1,IF(T$10&lt;-2,0,MIN(1,0.2+T$44/(ROUND(Summary!$F$16*Total_Number_Units,0)))))</f>
        <v/>
      </c>
      <c r="U128" s="581">
        <f>+IF(U$9&gt;0,1,IF(U$10&lt;-2,0,MIN(1,0.2+U$44/(ROUND(Summary!$F$16*Total_Number_Units,0)))))</f>
        <v/>
      </c>
      <c r="V128" s="581">
        <f>+IF(V$9&gt;0,1,IF(V$10&lt;-2,0,MIN(1,0.2+V$44/(ROUND(Summary!$F$16*Total_Number_Units,0)))))</f>
        <v/>
      </c>
      <c r="W128" s="581">
        <f>+IF(W$9&gt;0,1,IF(W$10&lt;-2,0,MIN(1,0.2+W$44/(ROUND(Summary!$F$16*Total_Number_Units,0)))))</f>
        <v/>
      </c>
      <c r="X128" s="581">
        <f>+IF(X$9&gt;0,1,IF(X$10&lt;-2,0,MIN(1,0.2+X$44/(ROUND(Summary!$F$16*Total_Number_Units,0)))))</f>
        <v/>
      </c>
      <c r="Y128" s="581">
        <f>+IF(Y$9&gt;0,1,IF(Y$10&lt;-2,0,MIN(1,0.2+Y$44/(ROUND(Summary!$F$16*Total_Number_Units,0)))))</f>
        <v/>
      </c>
      <c r="Z128" s="581">
        <f>+IF(Z$9&gt;0,1,IF(Z$10&lt;-2,0,MIN(1,0.2+Z$44/(ROUND(Summary!$F$16*Total_Number_Units,0)))))</f>
        <v/>
      </c>
      <c r="AA128" s="581">
        <f>+IF(AA$9&gt;0,1,IF(AA$10&lt;-2,0,MIN(1,0.2+AA$44/(ROUND(Summary!$F$16*Total_Number_Units,0)))))</f>
        <v/>
      </c>
      <c r="AB128" s="581">
        <f>+IF(AB$9&gt;0,1,IF(AB$10&lt;-2,0,MIN(1,0.2+AB$44/(ROUND(Summary!$F$16*Total_Number_Units,0)))))</f>
        <v/>
      </c>
      <c r="AC128" s="581">
        <f>+IF(AC$9&gt;0,1,IF(AC$10&lt;-2,0,MIN(1,0.2+AC$44/(ROUND(Summary!$F$16*Total_Number_Units,0)))))</f>
        <v/>
      </c>
      <c r="AD128" s="581">
        <f>+IF(AD$9&gt;0,1,IF(AD$10&lt;-2,0,MIN(1,0.2+AD$44/(ROUND(Summary!$F$16*Total_Number_Units,0)))))</f>
        <v/>
      </c>
      <c r="AE128" s="581">
        <f>+IF(AE$9&gt;0,1,IF(AE$10&lt;-2,0,MIN(1,0.2+AE$44/(ROUND(Summary!$F$16*Total_Number_Units,0)))))</f>
        <v/>
      </c>
      <c r="AF128" s="581">
        <f>+IF(AF$9&gt;0,1,IF(AF$10&lt;-2,0,MIN(1,0.2+AF$44/(ROUND(Summary!$F$16*Total_Number_Units,0)))))</f>
        <v/>
      </c>
      <c r="AG128" s="581">
        <f>+IF(AG$9&gt;0,1,IF(AG$10&lt;-2,0,MIN(1,0.2+AG$44/(ROUND(Summary!$F$16*Total_Number_Units,0)))))</f>
        <v/>
      </c>
      <c r="AH128" s="581">
        <f>+IF(AH$9&gt;0,1,IF(AH$10&lt;-2,0,MIN(1,0.2+AH$44/(ROUND(Summary!$F$16*Total_Number_Units,0)))))</f>
        <v/>
      </c>
      <c r="AI128" s="581">
        <f>+IF(AI$9&gt;0,1,IF(AI$10&lt;-2,0,MIN(1,0.2+AI$44/(ROUND(Summary!$F$16*Total_Number_Units,0)))))</f>
        <v/>
      </c>
      <c r="AJ128" s="581">
        <f>+IF(AJ$9&gt;0,1,IF(AJ$10&lt;-2,0,MIN(1,0.2+AJ$44/(ROUND(Summary!$F$16*Total_Number_Units,0)))))</f>
        <v/>
      </c>
      <c r="AK128" s="581">
        <f>+IF(AK$9&gt;0,1,IF(AK$10&lt;-2,0,MIN(1,0.2+AK$44/(ROUND(Summary!$F$16*Total_Number_Units,0)))))</f>
        <v/>
      </c>
      <c r="AL128" s="581">
        <f>+IF(AL$9&gt;0,1,IF(AL$10&lt;-2,0,MIN(1,0.2+AL$44/(ROUND(Summary!$F$16*Total_Number_Units,0)))))</f>
        <v/>
      </c>
      <c r="AM128" s="581">
        <f>+IF(AM$9&gt;0,1,IF(AM$10&lt;-2,0,MIN(1,0.2+AM$44/(ROUND(Summary!$F$16*Total_Number_Units,0)))))</f>
        <v/>
      </c>
      <c r="AN128" s="581">
        <f>+IF(AN$9&gt;0,1,IF(AN$10&lt;-2,0,MIN(1,0.2+AN$44/(ROUND(Summary!$F$16*Total_Number_Units,0)))))</f>
        <v/>
      </c>
      <c r="AO128" s="735" t="n"/>
      <c r="AP128" s="735" t="n"/>
      <c r="AQ128" s="735" t="n"/>
      <c r="AR128" s="735" t="n"/>
      <c r="AS128" s="735" t="n"/>
    </row>
    <row r="129">
      <c r="C129" s="735" t="inlineStr">
        <is>
          <t>MGMT FEE</t>
        </is>
      </c>
      <c r="D129" s="735" t="n"/>
      <c r="E129" s="66" t="inlineStr">
        <is>
          <t>N/A</t>
        </is>
      </c>
      <c r="F129" s="66" t="inlineStr">
        <is>
          <t>N/A</t>
        </is>
      </c>
      <c r="G129" s="66" t="inlineStr">
        <is>
          <t>N/A</t>
        </is>
      </c>
      <c r="H129" s="66" t="inlineStr">
        <is>
          <t>N/A</t>
        </is>
      </c>
      <c r="I129" s="66" t="inlineStr">
        <is>
          <t>N/A</t>
        </is>
      </c>
      <c r="J129" s="66" t="inlineStr">
        <is>
          <t>N/A</t>
        </is>
      </c>
      <c r="K129" s="66" t="inlineStr">
        <is>
          <t>N/A</t>
        </is>
      </c>
      <c r="L129" s="66" t="inlineStr">
        <is>
          <t>N/A</t>
        </is>
      </c>
      <c r="M129" s="66" t="inlineStr">
        <is>
          <t>N/A</t>
        </is>
      </c>
      <c r="N129" s="66" t="inlineStr">
        <is>
          <t>N/A</t>
        </is>
      </c>
      <c r="O129" s="66" t="inlineStr">
        <is>
          <t>N/A</t>
        </is>
      </c>
      <c r="P129" s="66" t="inlineStr">
        <is>
          <t>N/A</t>
        </is>
      </c>
      <c r="Q129" s="66" t="inlineStr">
        <is>
          <t>N/A</t>
        </is>
      </c>
      <c r="R129" s="66" t="inlineStr">
        <is>
          <t>N/A</t>
        </is>
      </c>
      <c r="S129" s="66" t="inlineStr">
        <is>
          <t>N/A</t>
        </is>
      </c>
      <c r="T129" s="66" t="inlineStr">
        <is>
          <t>N/A</t>
        </is>
      </c>
      <c r="U129" s="66" t="inlineStr">
        <is>
          <t>N/A</t>
        </is>
      </c>
      <c r="V129" s="66" t="inlineStr">
        <is>
          <t>N/A</t>
        </is>
      </c>
      <c r="W129" s="66" t="inlineStr">
        <is>
          <t>N/A</t>
        </is>
      </c>
      <c r="X129" s="66" t="inlineStr">
        <is>
          <t>N/A</t>
        </is>
      </c>
      <c r="Y129" s="66" t="inlineStr">
        <is>
          <t>N/A</t>
        </is>
      </c>
      <c r="Z129" s="66" t="inlineStr">
        <is>
          <t>N/A</t>
        </is>
      </c>
      <c r="AA129" s="66" t="inlineStr">
        <is>
          <t>N/A</t>
        </is>
      </c>
      <c r="AB129" s="66" t="inlineStr">
        <is>
          <t>N/A</t>
        </is>
      </c>
      <c r="AC129" s="66" t="inlineStr">
        <is>
          <t>N/A</t>
        </is>
      </c>
      <c r="AD129" s="66" t="inlineStr">
        <is>
          <t>N/A</t>
        </is>
      </c>
      <c r="AE129" s="66" t="inlineStr">
        <is>
          <t>N/A</t>
        </is>
      </c>
      <c r="AF129" s="66" t="inlineStr">
        <is>
          <t>N/A</t>
        </is>
      </c>
      <c r="AG129" s="66" t="inlineStr">
        <is>
          <t>N/A</t>
        </is>
      </c>
      <c r="AH129" s="66" t="inlineStr">
        <is>
          <t>N/A</t>
        </is>
      </c>
      <c r="AI129" s="66" t="inlineStr">
        <is>
          <t>N/A</t>
        </is>
      </c>
      <c r="AJ129" s="66" t="inlineStr">
        <is>
          <t>N/A</t>
        </is>
      </c>
      <c r="AK129" s="66" t="inlineStr">
        <is>
          <t>N/A</t>
        </is>
      </c>
      <c r="AL129" s="66" t="inlineStr">
        <is>
          <t>N/A</t>
        </is>
      </c>
      <c r="AM129" s="66" t="inlineStr">
        <is>
          <t>N/A</t>
        </is>
      </c>
      <c r="AN129" s="66" t="inlineStr">
        <is>
          <t>N/A</t>
        </is>
      </c>
      <c r="AO129" s="735" t="n"/>
    </row>
    <row r="130">
      <c r="C130" s="735" t="inlineStr">
        <is>
          <t>INSURANCE</t>
        </is>
      </c>
      <c r="D130" s="735" t="n"/>
      <c r="E130" s="581">
        <f>+IF(E$9&gt;0,1,IF(E$10&lt;-2,0,MIN(1,0.2+E$44/(ROUND(Summary!$F$16*Total_Number_Units,0)))))</f>
        <v/>
      </c>
      <c r="F130" s="581">
        <f>+IF(F$9&gt;0,1,IF(F$10&lt;-2,0,MIN(1,0.2+F$44/(ROUND(Summary!$F$16*Total_Number_Units,0)))))</f>
        <v/>
      </c>
      <c r="G130" s="581">
        <f>+IF(G$9&gt;0,1,IF(G$10&lt;-2,0,MIN(1,0.2+G$44/(ROUND(Summary!$F$16*Total_Number_Units,0)))))</f>
        <v/>
      </c>
      <c r="H130" s="581">
        <f>+IF(H$9&gt;0,1,IF(H$10&lt;-2,0,MIN(1,0.2+H$44/(ROUND(Summary!$F$16*Total_Number_Units,0)))))</f>
        <v/>
      </c>
      <c r="I130" s="581">
        <f>+IF(I$9&gt;0,1,IF(I$10&lt;-2,0,MIN(1,0.2+I$44/(ROUND(Summary!$F$16*Total_Number_Units,0)))))</f>
        <v/>
      </c>
      <c r="J130" s="581">
        <f>+IF(J$9&gt;0,1,IF(J$10&lt;-2,0,MIN(1,0.2+J$44/(ROUND(Summary!$F$16*Total_Number_Units,0)))))</f>
        <v/>
      </c>
      <c r="K130" s="581">
        <f>+IF(K$9&gt;0,1,IF(K$10&lt;-2,0,MIN(1,0.2+K$44/(ROUND(Summary!$F$16*Total_Number_Units,0)))))</f>
        <v/>
      </c>
      <c r="L130" s="581">
        <f>+IF(L$9&gt;0,1,IF(L$10&lt;-2,0,MIN(1,0.2+L$44/(ROUND(Summary!$F$16*Total_Number_Units,0)))))</f>
        <v/>
      </c>
      <c r="M130" s="581">
        <f>+IF(M$9&gt;0,1,IF(M$10&lt;-2,0,MIN(1,0.2+M$44/(ROUND(Summary!$F$16*Total_Number_Units,0)))))</f>
        <v/>
      </c>
      <c r="N130" s="581">
        <f>+IF(N$9&gt;0,1,IF(N$10&lt;-2,0,MIN(1,0.2+N$44/(ROUND(Summary!$F$16*Total_Number_Units,0)))))</f>
        <v/>
      </c>
      <c r="O130" s="581">
        <f>+IF(O$9&gt;0,1,IF(O$10&lt;-2,0,MIN(1,0.2+O$44/(ROUND(Summary!$F$16*Total_Number_Units,0)))))</f>
        <v/>
      </c>
      <c r="P130" s="581">
        <f>+IF(P$9&gt;0,1,IF(P$10&lt;-2,0,MIN(1,0.2+P$44/(ROUND(Summary!$F$16*Total_Number_Units,0)))))</f>
        <v/>
      </c>
      <c r="Q130" s="581">
        <f>+IF(Q$9&gt;0,1,IF(Q$10&lt;-2,0,MIN(1,0.2+Q$44/(ROUND(Summary!$F$16*Total_Number_Units,0)))))</f>
        <v/>
      </c>
      <c r="R130" s="581">
        <f>+IF(R$9&gt;0,1,IF(R$10&lt;-2,0,MIN(1,0.2+R$44/(ROUND(Summary!$F$16*Total_Number_Units,0)))))</f>
        <v/>
      </c>
      <c r="S130" s="581">
        <f>+IF(S$9&gt;0,1,IF(S$10&lt;-2,0,MIN(1,0.2+S$44/(ROUND(Summary!$F$16*Total_Number_Units,0)))))</f>
        <v/>
      </c>
      <c r="T130" s="581">
        <f>+IF(T$9&gt;0,1,IF(T$10&lt;-2,0,MIN(1,0.2+T$44/(ROUND(Summary!$F$16*Total_Number_Units,0)))))</f>
        <v/>
      </c>
      <c r="U130" s="581">
        <f>+IF(U$9&gt;0,1,IF(U$10&lt;-2,0,MIN(1,0.2+U$44/(ROUND(Summary!$F$16*Total_Number_Units,0)))))</f>
        <v/>
      </c>
      <c r="V130" s="581">
        <f>+IF(V$9&gt;0,1,IF(V$10&lt;-2,0,MIN(1,0.2+V$44/(ROUND(Summary!$F$16*Total_Number_Units,0)))))</f>
        <v/>
      </c>
      <c r="W130" s="581">
        <f>+IF(W$9&gt;0,1,IF(W$10&lt;-2,0,MIN(1,0.2+W$44/(ROUND(Summary!$F$16*Total_Number_Units,0)))))</f>
        <v/>
      </c>
      <c r="X130" s="581">
        <f>+IF(X$9&gt;0,1,IF(X$10&lt;-2,0,MIN(1,0.2+X$44/(ROUND(Summary!$F$16*Total_Number_Units,0)))))</f>
        <v/>
      </c>
      <c r="Y130" s="581">
        <f>+IF(Y$9&gt;0,1,IF(Y$10&lt;-2,0,MIN(1,0.2+Y$44/(ROUND(Summary!$F$16*Total_Number_Units,0)))))</f>
        <v/>
      </c>
      <c r="Z130" s="581">
        <f>+IF(Z$9&gt;0,1,IF(Z$10&lt;-2,0,MIN(1,0.2+Z$44/(ROUND(Summary!$F$16*Total_Number_Units,0)))))</f>
        <v/>
      </c>
      <c r="AA130" s="581">
        <f>+IF(AA$9&gt;0,1,IF(AA$10&lt;-2,0,MIN(1,0.2+AA$44/(ROUND(Summary!$F$16*Total_Number_Units,0)))))</f>
        <v/>
      </c>
      <c r="AB130" s="581">
        <f>+IF(AB$9&gt;0,1,IF(AB$10&lt;-2,0,MIN(1,0.2+AB$44/(ROUND(Summary!$F$16*Total_Number_Units,0)))))</f>
        <v/>
      </c>
      <c r="AC130" s="581">
        <f>+IF(AC$9&gt;0,1,IF(AC$10&lt;-2,0,MIN(1,0.2+AC$44/(ROUND(Summary!$F$16*Total_Number_Units,0)))))</f>
        <v/>
      </c>
      <c r="AD130" s="581">
        <f>+IF(AD$9&gt;0,1,IF(AD$10&lt;-2,0,MIN(1,0.2+AD$44/(ROUND(Summary!$F$16*Total_Number_Units,0)))))</f>
        <v/>
      </c>
      <c r="AE130" s="581">
        <f>+IF(AE$9&gt;0,1,IF(AE$10&lt;-2,0,MIN(1,0.2+AE$44/(ROUND(Summary!$F$16*Total_Number_Units,0)))))</f>
        <v/>
      </c>
      <c r="AF130" s="581">
        <f>+IF(AF$9&gt;0,1,IF(AF$10&lt;-2,0,MIN(1,0.2+AF$44/(ROUND(Summary!$F$16*Total_Number_Units,0)))))</f>
        <v/>
      </c>
      <c r="AG130" s="581">
        <f>+IF(AG$9&gt;0,1,IF(AG$10&lt;-2,0,MIN(1,0.2+AG$44/(ROUND(Summary!$F$16*Total_Number_Units,0)))))</f>
        <v/>
      </c>
      <c r="AH130" s="581">
        <f>+IF(AH$9&gt;0,1,IF(AH$10&lt;-2,0,MIN(1,0.2+AH$44/(ROUND(Summary!$F$16*Total_Number_Units,0)))))</f>
        <v/>
      </c>
      <c r="AI130" s="581">
        <f>+IF(AI$9&gt;0,1,IF(AI$10&lt;-2,0,MIN(1,0.2+AI$44/(ROUND(Summary!$F$16*Total_Number_Units,0)))))</f>
        <v/>
      </c>
      <c r="AJ130" s="581">
        <f>+IF(AJ$9&gt;0,1,IF(AJ$10&lt;-2,0,MIN(1,0.2+AJ$44/(ROUND(Summary!$F$16*Total_Number_Units,0)))))</f>
        <v/>
      </c>
      <c r="AK130" s="581">
        <f>+IF(AK$9&gt;0,1,IF(AK$10&lt;-2,0,MIN(1,0.2+AK$44/(ROUND(Summary!$F$16*Total_Number_Units,0)))))</f>
        <v/>
      </c>
      <c r="AL130" s="581">
        <f>+IF(AL$9&gt;0,1,IF(AL$10&lt;-2,0,MIN(1,0.2+AL$44/(ROUND(Summary!$F$16*Total_Number_Units,0)))))</f>
        <v/>
      </c>
      <c r="AM130" s="581">
        <f>+IF(AM$9&gt;0,1,IF(AM$10&lt;-2,0,MIN(1,0.2+AM$44/(ROUND(Summary!$F$16*Total_Number_Units,0)))))</f>
        <v/>
      </c>
      <c r="AN130" s="581">
        <f>+IF(AN$9&gt;0,1,IF(AN$10&lt;-2,0,MIN(1,0.2+AN$44/(ROUND(Summary!$F$16*Total_Number_Units,0)))))</f>
        <v/>
      </c>
      <c r="AO130" s="735" t="n"/>
    </row>
    <row r="131">
      <c r="C131" s="735" t="inlineStr">
        <is>
          <t>REAL ESTATE TAXES</t>
        </is>
      </c>
      <c r="D131" s="735" t="n"/>
      <c r="E131" s="581">
        <f>ROUND(E44/Total_Number_Units/Summary!$F$16,0)</f>
        <v/>
      </c>
      <c r="F131" s="581">
        <f>ROUND(F44/Total_Number_Units/Summary!$F$16,0)</f>
        <v/>
      </c>
      <c r="G131" s="581">
        <f>ROUND(G44/Total_Number_Units/Summary!$F$16,0)</f>
        <v/>
      </c>
      <c r="H131" s="581">
        <f>ROUND(H44/Total_Number_Units/Summary!$F$16,0)</f>
        <v/>
      </c>
      <c r="I131" s="581">
        <f>ROUND(I44/Total_Number_Units/Summary!$F$16,0)</f>
        <v/>
      </c>
      <c r="J131" s="581">
        <f>ROUND(J44/Total_Number_Units/Summary!$F$16,0)</f>
        <v/>
      </c>
      <c r="K131" s="581">
        <f>ROUND(K44/Total_Number_Units/Summary!$F$16,0)</f>
        <v/>
      </c>
      <c r="L131" s="581">
        <f>ROUND(L44/Total_Number_Units/Summary!$F$16,0)</f>
        <v/>
      </c>
      <c r="M131" s="581">
        <f>ROUND(M44/Total_Number_Units/Summary!$F$16,0)</f>
        <v/>
      </c>
      <c r="N131" s="581">
        <f>ROUND(N44/Total_Number_Units/Summary!$F$16,0)</f>
        <v/>
      </c>
      <c r="O131" s="581">
        <f>ROUND(O44/Total_Number_Units/Summary!$F$16,0)</f>
        <v/>
      </c>
      <c r="P131" s="581">
        <f>ROUND(P44/Total_Number_Units/Summary!$F$16,0)</f>
        <v/>
      </c>
      <c r="Q131" s="581">
        <f>ROUND(Q44/Total_Number_Units/Summary!$F$16,0)</f>
        <v/>
      </c>
      <c r="R131" s="581">
        <f>ROUND(R44/Total_Number_Units/Summary!$F$16,0)</f>
        <v/>
      </c>
      <c r="S131" s="581">
        <f>ROUND(S44/Total_Number_Units/Summary!$F$16,0)</f>
        <v/>
      </c>
      <c r="T131" s="581">
        <f>ROUND(T44/Total_Number_Units/Summary!$F$16,0)</f>
        <v/>
      </c>
      <c r="U131" s="581">
        <f>ROUND(U44/Total_Number_Units/Summary!$F$16,0)</f>
        <v/>
      </c>
      <c r="V131" s="581">
        <f>ROUND(V44/Total_Number_Units/Summary!$F$16,0)</f>
        <v/>
      </c>
      <c r="W131" s="581">
        <f>ROUND(W44/Total_Number_Units/Summary!$F$16,0)</f>
        <v/>
      </c>
      <c r="X131" s="581">
        <f>ROUND(X44/Total_Number_Units/Summary!$F$16,0)</f>
        <v/>
      </c>
      <c r="Y131" s="581">
        <f>ROUND(Y44/Total_Number_Units/Summary!$F$16,0)</f>
        <v/>
      </c>
      <c r="Z131" s="581">
        <f>ROUND(Z44/Total_Number_Units/Summary!$F$16,0)</f>
        <v/>
      </c>
      <c r="AA131" s="581">
        <f>ROUND(AA44/Total_Number_Units/Summary!$F$16,0)</f>
        <v/>
      </c>
      <c r="AB131" s="581">
        <f>ROUND(AB44/Total_Number_Units/Summary!$F$16,0)</f>
        <v/>
      </c>
      <c r="AC131" s="581">
        <f>ROUND(AC44/Total_Number_Units/Summary!$F$16,0)</f>
        <v/>
      </c>
      <c r="AD131" s="581">
        <f>ROUND(AD44/Total_Number_Units/Summary!$F$16,0)</f>
        <v/>
      </c>
      <c r="AE131" s="581">
        <f>ROUND(AE44/Total_Number_Units/Summary!$F$16,0)</f>
        <v/>
      </c>
      <c r="AF131" s="581">
        <f>ROUND(AF44/Total_Number_Units/Summary!$F$16,0)</f>
        <v/>
      </c>
      <c r="AG131" s="581">
        <f>ROUND(AG44/Total_Number_Units/Summary!$F$16,0)</f>
        <v/>
      </c>
      <c r="AH131" s="581">
        <f>ROUND(AH44/Total_Number_Units/Summary!$F$16,0)</f>
        <v/>
      </c>
      <c r="AI131" s="581">
        <f>ROUND(AI44/Total_Number_Units/Summary!$F$16,0)</f>
        <v/>
      </c>
      <c r="AJ131" s="581">
        <f>ROUND(AJ44/Total_Number_Units/Summary!$F$16,0)</f>
        <v/>
      </c>
      <c r="AK131" s="581">
        <f>ROUND(AK44/Total_Number_Units/Summary!$F$16,0)</f>
        <v/>
      </c>
      <c r="AL131" s="581">
        <f>ROUND(AL44/Total_Number_Units/Summary!$F$16,0)</f>
        <v/>
      </c>
      <c r="AM131" s="581">
        <f>ROUND(AM44/Total_Number_Units/Summary!$F$16,0)</f>
        <v/>
      </c>
      <c r="AN131" s="581">
        <f>ROUND(AN44/Total_Number_Units/Summary!$F$16,0)</f>
        <v/>
      </c>
      <c r="AO131" s="735" t="n"/>
    </row>
    <row r="134">
      <c r="C134" s="6" t="inlineStr">
        <is>
          <t>MEZZANINE LOAN INTEREST RESERVE</t>
        </is>
      </c>
      <c r="D134" s="735" t="n"/>
      <c r="E134" s="735" t="n"/>
      <c r="F134" s="735" t="n"/>
      <c r="G134" s="735" t="n"/>
      <c r="H134" s="735" t="n"/>
      <c r="I134" s="735" t="n"/>
      <c r="J134" s="735" t="n"/>
      <c r="K134" s="735" t="n"/>
      <c r="L134" s="735" t="n"/>
      <c r="M134" s="735" t="n"/>
      <c r="N134" s="735" t="n"/>
      <c r="O134" s="735" t="n"/>
      <c r="P134" s="735" t="n"/>
      <c r="Q134" s="735" t="n"/>
      <c r="R134" s="735" t="n"/>
      <c r="S134" s="735" t="n"/>
      <c r="T134" s="735" t="n"/>
      <c r="U134" s="735" t="n"/>
      <c r="V134" s="735" t="n"/>
      <c r="W134" s="735" t="n"/>
      <c r="X134" s="735" t="n"/>
      <c r="Y134" s="735" t="n"/>
      <c r="Z134" s="735" t="n"/>
      <c r="AA134" s="735" t="n"/>
      <c r="AB134" s="735" t="n"/>
      <c r="AC134" s="735" t="n"/>
      <c r="AD134" s="735" t="n"/>
      <c r="AE134" s="735" t="n"/>
      <c r="AF134" s="735" t="n"/>
      <c r="AG134" s="735" t="n"/>
      <c r="AH134" s="735" t="n"/>
      <c r="AI134" s="735" t="n"/>
      <c r="AJ134" s="735" t="n"/>
      <c r="AK134" s="735" t="n"/>
      <c r="AL134" s="735" t="n"/>
      <c r="AM134" s="735" t="n"/>
      <c r="AN134" s="735" t="n"/>
      <c r="AO134" s="735" t="n"/>
    </row>
    <row r="135">
      <c r="C135" s="735" t="inlineStr">
        <is>
          <t>INTEREST - CURRENT PAY</t>
        </is>
      </c>
      <c r="D135" s="735" t="n"/>
      <c r="E135" s="780">
        <f>+E103</f>
        <v/>
      </c>
      <c r="F135" s="780">
        <f>+F103</f>
        <v/>
      </c>
      <c r="G135" s="780">
        <f>+G103</f>
        <v/>
      </c>
      <c r="H135" s="780">
        <f>+H103</f>
        <v/>
      </c>
      <c r="I135" s="780">
        <f>+I103</f>
        <v/>
      </c>
      <c r="J135" s="780">
        <f>+J103</f>
        <v/>
      </c>
      <c r="K135" s="780">
        <f>+K103</f>
        <v/>
      </c>
      <c r="L135" s="780">
        <f>+L103</f>
        <v/>
      </c>
      <c r="M135" s="780">
        <f>+M103</f>
        <v/>
      </c>
      <c r="N135" s="780">
        <f>+N103</f>
        <v/>
      </c>
      <c r="O135" s="780">
        <f>+O103</f>
        <v/>
      </c>
      <c r="P135" s="780">
        <f>+P103</f>
        <v/>
      </c>
      <c r="Q135" s="780">
        <f>+Q103</f>
        <v/>
      </c>
      <c r="R135" s="780">
        <f>+R103</f>
        <v/>
      </c>
      <c r="S135" s="780">
        <f>+S103</f>
        <v/>
      </c>
      <c r="T135" s="780">
        <f>+T103</f>
        <v/>
      </c>
      <c r="U135" s="780">
        <f>+U103</f>
        <v/>
      </c>
      <c r="V135" s="780">
        <f>+V103</f>
        <v/>
      </c>
      <c r="W135" s="780">
        <f>+W103</f>
        <v/>
      </c>
      <c r="X135" s="780">
        <f>+X103</f>
        <v/>
      </c>
      <c r="Y135" s="780">
        <f>+Y103</f>
        <v/>
      </c>
      <c r="Z135" s="780">
        <f>+Z103</f>
        <v/>
      </c>
      <c r="AA135" s="780">
        <f>+AA103</f>
        <v/>
      </c>
      <c r="AB135" s="780">
        <f>+AB103</f>
        <v/>
      </c>
      <c r="AC135" s="780">
        <f>+AC103</f>
        <v/>
      </c>
      <c r="AD135" s="780">
        <f>+AD103</f>
        <v/>
      </c>
      <c r="AE135" s="780">
        <f>+AE103</f>
        <v/>
      </c>
      <c r="AF135" s="780">
        <f>+AF103</f>
        <v/>
      </c>
      <c r="AG135" s="780">
        <f>+AG103</f>
        <v/>
      </c>
      <c r="AH135" s="780">
        <f>+AH103</f>
        <v/>
      </c>
      <c r="AI135" s="780">
        <f>+AI103</f>
        <v/>
      </c>
      <c r="AJ135" s="780">
        <f>+AJ103</f>
        <v/>
      </c>
      <c r="AK135" s="780">
        <f>+AK103</f>
        <v/>
      </c>
      <c r="AL135" s="780">
        <f>+AL103</f>
        <v/>
      </c>
      <c r="AM135" s="780">
        <f>+AM103</f>
        <v/>
      </c>
      <c r="AN135" s="780">
        <f>+AN103</f>
        <v/>
      </c>
      <c r="AO135" s="780">
        <f>+SUM(E135:AN135)</f>
        <v/>
      </c>
    </row>
    <row r="136">
      <c r="C136" s="735" t="inlineStr">
        <is>
          <t>INTEREST PAID FROM CF (MAX = CURRENT PAY)</t>
        </is>
      </c>
      <c r="D136" s="735" t="n"/>
      <c r="E136" s="893">
        <f>-MIN(-E104,E135)</f>
        <v/>
      </c>
      <c r="F136" s="893">
        <f>-MIN(-F104,F135)</f>
        <v/>
      </c>
      <c r="G136" s="893">
        <f>-MIN(-G104,G135)</f>
        <v/>
      </c>
      <c r="H136" s="893">
        <f>-MIN(-H104,H135)</f>
        <v/>
      </c>
      <c r="I136" s="893">
        <f>-MIN(-I104,I135)</f>
        <v/>
      </c>
      <c r="J136" s="893">
        <f>-MIN(-J104,J135)</f>
        <v/>
      </c>
      <c r="K136" s="893">
        <f>-MIN(-K104,K135)</f>
        <v/>
      </c>
      <c r="L136" s="893">
        <f>-MIN(-L104,L135)</f>
        <v/>
      </c>
      <c r="M136" s="893">
        <f>-MIN(-M104,M135)</f>
        <v/>
      </c>
      <c r="N136" s="893">
        <f>-MIN(-N104,N135)</f>
        <v/>
      </c>
      <c r="O136" s="893">
        <f>-MIN(-O104,O135)</f>
        <v/>
      </c>
      <c r="P136" s="893">
        <f>-MIN(-P104,P135)</f>
        <v/>
      </c>
      <c r="Q136" s="893">
        <f>-MIN(-Q104,Q135)</f>
        <v/>
      </c>
      <c r="R136" s="893">
        <f>-MIN(-R104,R135)</f>
        <v/>
      </c>
      <c r="S136" s="893">
        <f>-MIN(-S104,S135)</f>
        <v/>
      </c>
      <c r="T136" s="893">
        <f>-MIN(-T104,T135)</f>
        <v/>
      </c>
      <c r="U136" s="893">
        <f>-MIN(-U104,U135)</f>
        <v/>
      </c>
      <c r="V136" s="893">
        <f>-MIN(-V104,V135)</f>
        <v/>
      </c>
      <c r="W136" s="893">
        <f>-MIN(-W104,W135)</f>
        <v/>
      </c>
      <c r="X136" s="893">
        <f>-MIN(-X104,X135)</f>
        <v/>
      </c>
      <c r="Y136" s="893">
        <f>-MIN(-Y104,Y135)</f>
        <v/>
      </c>
      <c r="Z136" s="893">
        <f>-MIN(-Z104,Z135)</f>
        <v/>
      </c>
      <c r="AA136" s="893">
        <f>-MIN(-AA104,AA135)</f>
        <v/>
      </c>
      <c r="AB136" s="893">
        <f>-MIN(-AB104,AB135)</f>
        <v/>
      </c>
      <c r="AC136" s="893">
        <f>-MIN(-AC104,AC135)</f>
        <v/>
      </c>
      <c r="AD136" s="893">
        <f>-MIN(-AD104,AD135)</f>
        <v/>
      </c>
      <c r="AE136" s="893">
        <f>-MIN(-AE104,AE135)</f>
        <v/>
      </c>
      <c r="AF136" s="893">
        <f>-MIN(-AF104,AF135)</f>
        <v/>
      </c>
      <c r="AG136" s="893">
        <f>-MIN(-AG104,AG135)</f>
        <v/>
      </c>
      <c r="AH136" s="893">
        <f>-MIN(-AH104,AH135)</f>
        <v/>
      </c>
      <c r="AI136" s="893">
        <f>-MIN(-AI104,AI135)</f>
        <v/>
      </c>
      <c r="AJ136" s="893">
        <f>-MIN(-AJ104,AJ135)</f>
        <v/>
      </c>
      <c r="AK136" s="893">
        <f>-MIN(-AK104,AK135)</f>
        <v/>
      </c>
      <c r="AL136" s="893">
        <f>-MIN(-AL104,AL135)</f>
        <v/>
      </c>
      <c r="AM136" s="893">
        <f>-MIN(-AM104,AM135)</f>
        <v/>
      </c>
      <c r="AN136" s="893">
        <f>-MIN(-AN104,AN135)</f>
        <v/>
      </c>
      <c r="AO136" s="893">
        <f>+SUM(E136:AN136)</f>
        <v/>
      </c>
    </row>
    <row r="137">
      <c r="C137" s="735" t="inlineStr">
        <is>
          <t>INTEREST RESERVE CALCULATION</t>
        </is>
      </c>
      <c r="D137" s="735" t="n"/>
      <c r="E137" s="780">
        <f>+SUM(E135:E136)</f>
        <v/>
      </c>
      <c r="F137" s="780">
        <f>+SUM(F135:F136)</f>
        <v/>
      </c>
      <c r="G137" s="780">
        <f>+SUM(G135:G136)</f>
        <v/>
      </c>
      <c r="H137" s="780">
        <f>+SUM(H135:H136)</f>
        <v/>
      </c>
      <c r="I137" s="780">
        <f>+SUM(I135:I136)</f>
        <v/>
      </c>
      <c r="J137" s="780">
        <f>+SUM(J135:J136)</f>
        <v/>
      </c>
      <c r="K137" s="780">
        <f>+SUM(K135:K136)</f>
        <v/>
      </c>
      <c r="L137" s="780">
        <f>+SUM(L135:L136)</f>
        <v/>
      </c>
      <c r="M137" s="780">
        <f>+SUM(M135:M136)</f>
        <v/>
      </c>
      <c r="N137" s="780">
        <f>+SUM(N135:N136)</f>
        <v/>
      </c>
      <c r="O137" s="780">
        <f>+SUM(O135:O136)</f>
        <v/>
      </c>
      <c r="P137" s="780">
        <f>+SUM(P135:P136)</f>
        <v/>
      </c>
      <c r="Q137" s="780">
        <f>+SUM(Q135:Q136)</f>
        <v/>
      </c>
      <c r="R137" s="780">
        <f>+SUM(R135:R136)</f>
        <v/>
      </c>
      <c r="S137" s="780">
        <f>+SUM(S135:S136)</f>
        <v/>
      </c>
      <c r="T137" s="780">
        <f>+SUM(T135:T136)</f>
        <v/>
      </c>
      <c r="U137" s="780">
        <f>+SUM(U135:U136)</f>
        <v/>
      </c>
      <c r="V137" s="780">
        <f>+SUM(V135:V136)</f>
        <v/>
      </c>
      <c r="W137" s="780">
        <f>+SUM(W135:W136)</f>
        <v/>
      </c>
      <c r="X137" s="780">
        <f>+SUM(X135:X136)</f>
        <v/>
      </c>
      <c r="Y137" s="780">
        <f>+SUM(Y135:Y136)</f>
        <v/>
      </c>
      <c r="Z137" s="780">
        <f>+SUM(Z135:Z136)</f>
        <v/>
      </c>
      <c r="AA137" s="780">
        <f>+SUM(AA135:AA136)</f>
        <v/>
      </c>
      <c r="AB137" s="780">
        <f>+SUM(AB135:AB136)</f>
        <v/>
      </c>
      <c r="AC137" s="780">
        <f>+SUM(AC135:AC136)</f>
        <v/>
      </c>
      <c r="AD137" s="780">
        <f>+SUM(AD135:AD136)</f>
        <v/>
      </c>
      <c r="AE137" s="780">
        <f>+SUM(AE135:AE136)</f>
        <v/>
      </c>
      <c r="AF137" s="780">
        <f>+SUM(AF135:AF136)</f>
        <v/>
      </c>
      <c r="AG137" s="780">
        <f>+SUM(AG135:AG136)</f>
        <v/>
      </c>
      <c r="AH137" s="780">
        <f>+SUM(AH135:AH136)</f>
        <v/>
      </c>
      <c r="AI137" s="780">
        <f>+SUM(AI135:AI136)</f>
        <v/>
      </c>
      <c r="AJ137" s="780">
        <f>+SUM(AJ135:AJ136)</f>
        <v/>
      </c>
      <c r="AK137" s="780">
        <f>+SUM(AK135:AK136)</f>
        <v/>
      </c>
      <c r="AL137" s="780">
        <f>+SUM(AL135:AL136)</f>
        <v/>
      </c>
      <c r="AM137" s="780">
        <f>+SUM(AM135:AM136)</f>
        <v/>
      </c>
      <c r="AN137" s="780">
        <f>+SUM(AN135:AN136)</f>
        <v/>
      </c>
      <c r="AO137" s="780">
        <f>+SUM(AO135:AO136)</f>
        <v/>
      </c>
    </row>
    <row r="139" ht="16" customHeight="1"/>
    <row r="140" ht="16" customHeight="1">
      <c r="C140" s="735" t="inlineStr">
        <is>
          <t>LAND</t>
        </is>
      </c>
      <c r="E140" s="857" t="n">
        <v>1</v>
      </c>
      <c r="F140" s="857" t="n">
        <v>0</v>
      </c>
      <c r="G140" s="857" t="n">
        <v>0</v>
      </c>
      <c r="H140" s="857" t="n">
        <v>0</v>
      </c>
      <c r="I140" s="857" t="n">
        <v>0</v>
      </c>
      <c r="J140" s="857" t="n">
        <v>0</v>
      </c>
      <c r="K140" s="857" t="n">
        <v>0</v>
      </c>
      <c r="L140" s="857" t="n">
        <v>0</v>
      </c>
      <c r="M140" s="857" t="n">
        <v>0</v>
      </c>
      <c r="N140" s="857" t="n">
        <v>0</v>
      </c>
      <c r="O140" s="857" t="n">
        <v>0</v>
      </c>
      <c r="P140" s="857" t="n">
        <v>0</v>
      </c>
      <c r="Q140" s="857" t="n">
        <v>0</v>
      </c>
      <c r="R140" s="857" t="n">
        <v>0</v>
      </c>
      <c r="S140" s="857" t="n">
        <v>0</v>
      </c>
      <c r="T140" s="857" t="n">
        <v>0</v>
      </c>
      <c r="U140" s="857" t="n">
        <v>0</v>
      </c>
      <c r="V140" s="857" t="n">
        <v>0</v>
      </c>
      <c r="W140" s="857" t="n">
        <v>0</v>
      </c>
      <c r="X140" s="857" t="n">
        <v>0</v>
      </c>
      <c r="Y140" s="857" t="n">
        <v>0</v>
      </c>
      <c r="Z140" s="857" t="n">
        <v>0</v>
      </c>
      <c r="AA140" s="857" t="n">
        <v>0</v>
      </c>
      <c r="AB140" s="857" t="n">
        <v>0</v>
      </c>
      <c r="AC140" s="857" t="n">
        <v>0</v>
      </c>
      <c r="AD140" s="857" t="n">
        <v>0</v>
      </c>
      <c r="AE140" s="857" t="n">
        <v>0</v>
      </c>
      <c r="AF140" s="857" t="n">
        <v>0</v>
      </c>
      <c r="AG140" s="857" t="n">
        <v>0</v>
      </c>
      <c r="AH140" s="857" t="n">
        <v>0</v>
      </c>
      <c r="AI140" s="857" t="n">
        <v>0</v>
      </c>
      <c r="AJ140" s="857" t="n">
        <v>0</v>
      </c>
      <c r="AK140" s="857" t="n">
        <v>0</v>
      </c>
      <c r="AL140" s="857" t="n">
        <v>0</v>
      </c>
      <c r="AM140" s="857" t="n">
        <v>0</v>
      </c>
      <c r="AN140" s="857" t="n">
        <v>0</v>
      </c>
      <c r="AO140" s="1087">
        <f>SUM(E140:AN140)</f>
        <v/>
      </c>
    </row>
    <row r="141" ht="16" customHeight="1">
      <c r="C141" s="735" t="inlineStr">
        <is>
          <t>ARCHITECT</t>
        </is>
      </c>
      <c r="E141" s="857" t="n">
        <v>0.7</v>
      </c>
      <c r="F141" s="857" t="n">
        <v>0.03</v>
      </c>
      <c r="G141" s="857" t="n">
        <v>0.03</v>
      </c>
      <c r="H141" s="857" t="n">
        <v>0.02</v>
      </c>
      <c r="I141" s="857" t="n">
        <v>0.02</v>
      </c>
      <c r="J141" s="857" t="n">
        <v>0.02</v>
      </c>
      <c r="K141" s="857" t="n">
        <v>0.02</v>
      </c>
      <c r="L141" s="857" t="n">
        <v>0.02</v>
      </c>
      <c r="M141" s="857" t="n">
        <v>0.02</v>
      </c>
      <c r="N141" s="857" t="n">
        <v>0.01</v>
      </c>
      <c r="O141" s="857" t="n">
        <v>0.01</v>
      </c>
      <c r="P141" s="857" t="n">
        <v>0.01</v>
      </c>
      <c r="Q141" s="857" t="n">
        <v>0.01</v>
      </c>
      <c r="R141" s="857" t="n">
        <v>0.01</v>
      </c>
      <c r="S141" s="857" t="n">
        <v>0.01</v>
      </c>
      <c r="T141" s="857" t="n">
        <v>0.01</v>
      </c>
      <c r="U141" s="857" t="n">
        <v>0.01</v>
      </c>
      <c r="V141" s="857" t="n">
        <v>0.01</v>
      </c>
      <c r="W141" s="857" t="n">
        <v>0.01</v>
      </c>
      <c r="X141" s="857" t="n">
        <v>0.01</v>
      </c>
      <c r="Y141" s="857" t="n">
        <v>0.01</v>
      </c>
      <c r="Z141" s="857" t="n">
        <v>0</v>
      </c>
      <c r="AA141" s="857" t="n">
        <v>0</v>
      </c>
      <c r="AB141" s="857" t="n">
        <v>0</v>
      </c>
      <c r="AC141" s="857" t="n">
        <v>0</v>
      </c>
      <c r="AD141" s="857" t="n">
        <v>0</v>
      </c>
      <c r="AE141" s="857" t="n">
        <v>0</v>
      </c>
      <c r="AF141" s="857" t="n">
        <v>0</v>
      </c>
      <c r="AG141" s="857" t="n">
        <v>0</v>
      </c>
      <c r="AH141" s="857" t="n">
        <v>0</v>
      </c>
      <c r="AI141" s="857" t="n">
        <v>0</v>
      </c>
      <c r="AJ141" s="857" t="n">
        <v>0</v>
      </c>
      <c r="AK141" s="857" t="n">
        <v>0</v>
      </c>
      <c r="AL141" s="857" t="n">
        <v>0</v>
      </c>
      <c r="AM141" s="857" t="n">
        <v>0</v>
      </c>
      <c r="AN141" s="857" t="n">
        <v>0</v>
      </c>
      <c r="AO141" s="1087">
        <f>SUM(E141:AN141)</f>
        <v/>
      </c>
    </row>
    <row r="142" ht="16" customHeight="1">
      <c r="C142" s="735" t="inlineStr">
        <is>
          <t>ENVIRONMENTAL</t>
        </is>
      </c>
      <c r="E142" s="857" t="n">
        <v>0.75</v>
      </c>
      <c r="F142" s="1087" t="n">
        <v>0.025</v>
      </c>
      <c r="G142" s="1087" t="n">
        <v>0.025</v>
      </c>
      <c r="H142" s="1087" t="n">
        <v>0.025</v>
      </c>
      <c r="I142" s="1087" t="n">
        <v>0.025</v>
      </c>
      <c r="J142" s="1087" t="n">
        <v>0.025</v>
      </c>
      <c r="K142" s="1087" t="n">
        <v>0.025</v>
      </c>
      <c r="L142" s="1087" t="n">
        <v>0.025</v>
      </c>
      <c r="M142" s="1087" t="n">
        <v>0.025</v>
      </c>
      <c r="N142" s="1087" t="n">
        <v>0.025</v>
      </c>
      <c r="O142" s="1087" t="n">
        <v>0.025</v>
      </c>
      <c r="P142" s="857" t="n">
        <v>0</v>
      </c>
      <c r="Q142" s="857" t="n">
        <v>0</v>
      </c>
      <c r="R142" s="857" t="n">
        <v>0</v>
      </c>
      <c r="S142" s="857" t="n">
        <v>0</v>
      </c>
      <c r="T142" s="857" t="n">
        <v>0</v>
      </c>
      <c r="U142" s="857" t="n">
        <v>0</v>
      </c>
      <c r="V142" s="857" t="n">
        <v>0</v>
      </c>
      <c r="W142" s="857" t="n">
        <v>0</v>
      </c>
      <c r="X142" s="857" t="n">
        <v>0</v>
      </c>
      <c r="Y142" s="857" t="n">
        <v>0</v>
      </c>
      <c r="Z142" s="857" t="n">
        <v>0</v>
      </c>
      <c r="AA142" s="857" t="n">
        <v>0</v>
      </c>
      <c r="AB142" s="857" t="n">
        <v>0</v>
      </c>
      <c r="AC142" s="857" t="n">
        <v>0</v>
      </c>
      <c r="AD142" s="857" t="n">
        <v>0</v>
      </c>
      <c r="AE142" s="857" t="n">
        <v>0</v>
      </c>
      <c r="AF142" s="857" t="n">
        <v>0</v>
      </c>
      <c r="AG142" s="857" t="n">
        <v>0</v>
      </c>
      <c r="AH142" s="857" t="n">
        <v>0</v>
      </c>
      <c r="AI142" s="857" t="n">
        <v>0</v>
      </c>
      <c r="AJ142" s="857" t="n">
        <v>0</v>
      </c>
      <c r="AK142" s="857" t="n">
        <v>0</v>
      </c>
      <c r="AL142" s="857" t="n">
        <v>0</v>
      </c>
      <c r="AM142" s="857" t="n">
        <v>0</v>
      </c>
      <c r="AN142" s="857" t="n">
        <v>0</v>
      </c>
      <c r="AO142" s="1087">
        <f>SUM(E142:AN142)</f>
        <v/>
      </c>
    </row>
    <row r="143" ht="16" customHeight="1">
      <c r="C143" s="735" t="inlineStr">
        <is>
          <t>SURVEY</t>
        </is>
      </c>
      <c r="E143" s="857" t="n">
        <v>1</v>
      </c>
      <c r="F143" s="857" t="n">
        <v>0</v>
      </c>
      <c r="G143" s="857" t="n">
        <v>0</v>
      </c>
      <c r="H143" s="857" t="n">
        <v>0</v>
      </c>
      <c r="I143" s="857" t="n">
        <v>0</v>
      </c>
      <c r="J143" s="857" t="n">
        <v>0</v>
      </c>
      <c r="K143" s="857" t="n">
        <v>0</v>
      </c>
      <c r="L143" s="857" t="n">
        <v>0</v>
      </c>
      <c r="M143" s="857" t="n">
        <v>0</v>
      </c>
      <c r="N143" s="857" t="n">
        <v>0</v>
      </c>
      <c r="O143" s="857" t="n">
        <v>0</v>
      </c>
      <c r="P143" s="857" t="n">
        <v>0</v>
      </c>
      <c r="Q143" s="857" t="n">
        <v>0</v>
      </c>
      <c r="R143" s="857" t="n">
        <v>0</v>
      </c>
      <c r="S143" s="857" t="n">
        <v>0</v>
      </c>
      <c r="T143" s="857" t="n">
        <v>0</v>
      </c>
      <c r="U143" s="857" t="n">
        <v>0</v>
      </c>
      <c r="V143" s="857" t="n">
        <v>0</v>
      </c>
      <c r="W143" s="857" t="n">
        <v>0</v>
      </c>
      <c r="X143" s="857" t="n">
        <v>0</v>
      </c>
      <c r="Y143" s="857" t="n">
        <v>0</v>
      </c>
      <c r="Z143" s="857" t="n">
        <v>0</v>
      </c>
      <c r="AA143" s="857" t="n">
        <v>0</v>
      </c>
      <c r="AB143" s="857" t="n">
        <v>0</v>
      </c>
      <c r="AC143" s="857" t="n">
        <v>0</v>
      </c>
      <c r="AD143" s="857" t="n">
        <v>0</v>
      </c>
      <c r="AE143" s="857" t="n">
        <v>0</v>
      </c>
      <c r="AF143" s="857" t="n">
        <v>0</v>
      </c>
      <c r="AG143" s="857" t="n">
        <v>0</v>
      </c>
      <c r="AH143" s="857" t="n">
        <v>0</v>
      </c>
      <c r="AI143" s="857" t="n">
        <v>0</v>
      </c>
      <c r="AJ143" s="857" t="n">
        <v>0</v>
      </c>
      <c r="AK143" s="857" t="n">
        <v>0</v>
      </c>
      <c r="AL143" s="857" t="n">
        <v>0</v>
      </c>
      <c r="AM143" s="857" t="n">
        <v>0</v>
      </c>
      <c r="AN143" s="857" t="n">
        <v>0</v>
      </c>
      <c r="AO143" s="1087">
        <f>SUM(E143:AN143)</f>
        <v/>
      </c>
    </row>
    <row r="144" ht="16" customHeight="1">
      <c r="C144" s="735" t="inlineStr">
        <is>
          <t>CONSTRUCTION &amp; SOILS TESTING</t>
        </is>
      </c>
      <c r="E144" s="857" t="n">
        <v>0.1</v>
      </c>
      <c r="F144" s="857" t="n">
        <v>0.06</v>
      </c>
      <c r="G144" s="857" t="n">
        <v>0.06</v>
      </c>
      <c r="H144" s="857" t="n">
        <v>0.06</v>
      </c>
      <c r="I144" s="857" t="n">
        <v>0.06</v>
      </c>
      <c r="J144" s="857" t="n">
        <v>0.06</v>
      </c>
      <c r="K144" s="857" t="n">
        <v>0.06</v>
      </c>
      <c r="L144" s="857" t="n">
        <v>0.06</v>
      </c>
      <c r="M144" s="857" t="n">
        <v>0.06</v>
      </c>
      <c r="N144" s="857" t="n">
        <v>0.06</v>
      </c>
      <c r="O144" s="857" t="n">
        <v>0.06</v>
      </c>
      <c r="P144" s="857" t="n">
        <v>0.06</v>
      </c>
      <c r="Q144" s="857" t="n">
        <v>0.06</v>
      </c>
      <c r="R144" s="857" t="n">
        <v>0.06</v>
      </c>
      <c r="S144" s="857" t="n">
        <v>0.06</v>
      </c>
      <c r="T144" s="857" t="n">
        <v>0.06</v>
      </c>
      <c r="U144" s="857" t="n">
        <v>0</v>
      </c>
      <c r="V144" s="857" t="n">
        <v>0</v>
      </c>
      <c r="W144" s="857" t="n">
        <v>0</v>
      </c>
      <c r="X144" s="857" t="n">
        <v>0</v>
      </c>
      <c r="Y144" s="857" t="n">
        <v>0</v>
      </c>
      <c r="Z144" s="857" t="n">
        <v>0</v>
      </c>
      <c r="AA144" s="857" t="n">
        <v>0</v>
      </c>
      <c r="AB144" s="857" t="n">
        <v>0</v>
      </c>
      <c r="AC144" s="857" t="n">
        <v>0</v>
      </c>
      <c r="AD144" s="857" t="n">
        <v>0</v>
      </c>
      <c r="AE144" s="857" t="n">
        <v>0</v>
      </c>
      <c r="AF144" s="857" t="n">
        <v>0</v>
      </c>
      <c r="AG144" s="857" t="n">
        <v>0</v>
      </c>
      <c r="AH144" s="857" t="n">
        <v>0</v>
      </c>
      <c r="AI144" s="857" t="n">
        <v>0</v>
      </c>
      <c r="AJ144" s="857" t="n">
        <v>0</v>
      </c>
      <c r="AK144" s="857" t="n">
        <v>0</v>
      </c>
      <c r="AL144" s="857" t="n">
        <v>0</v>
      </c>
      <c r="AM144" s="857" t="n">
        <v>0</v>
      </c>
      <c r="AN144" s="857" t="n">
        <v>0</v>
      </c>
      <c r="AO144" s="1087">
        <f>SUM(E144:AN144)</f>
        <v/>
      </c>
    </row>
    <row r="145" ht="16" customHeight="1">
      <c r="C145" s="735" t="inlineStr">
        <is>
          <t>ENGINEERING</t>
        </is>
      </c>
      <c r="E145" s="857" t="n">
        <v>0.5</v>
      </c>
      <c r="F145" s="1087" t="n">
        <v>0.1</v>
      </c>
      <c r="G145" s="1087" t="n">
        <v>0.1</v>
      </c>
      <c r="H145" s="1087" t="n">
        <v>0.1</v>
      </c>
      <c r="I145" s="1087" t="n">
        <v>0.05</v>
      </c>
      <c r="J145" s="1087" t="n">
        <v>0.025</v>
      </c>
      <c r="K145" s="1087" t="n">
        <v>0.025</v>
      </c>
      <c r="L145" s="1087" t="n">
        <v>0.025</v>
      </c>
      <c r="M145" s="1087" t="n">
        <v>0.025</v>
      </c>
      <c r="N145" s="1087" t="n">
        <v>0.025</v>
      </c>
      <c r="O145" s="1087" t="n">
        <v>0.025</v>
      </c>
      <c r="P145" s="857" t="n">
        <v>0</v>
      </c>
      <c r="Q145" s="857" t="n">
        <v>0</v>
      </c>
      <c r="R145" s="857" t="n">
        <v>0</v>
      </c>
      <c r="S145" s="857" t="n">
        <v>0</v>
      </c>
      <c r="T145" s="857" t="n">
        <v>0</v>
      </c>
      <c r="U145" s="857" t="n">
        <v>0</v>
      </c>
      <c r="V145" s="857" t="n">
        <v>0</v>
      </c>
      <c r="W145" s="857" t="n">
        <v>0</v>
      </c>
      <c r="X145" s="857" t="n">
        <v>0</v>
      </c>
      <c r="Y145" s="857" t="n">
        <v>0</v>
      </c>
      <c r="Z145" s="857" t="n">
        <v>0</v>
      </c>
      <c r="AA145" s="857" t="n">
        <v>0</v>
      </c>
      <c r="AB145" s="857" t="n">
        <v>0</v>
      </c>
      <c r="AC145" s="857" t="n">
        <v>0</v>
      </c>
      <c r="AD145" s="857" t="n">
        <v>0</v>
      </c>
      <c r="AE145" s="857" t="n">
        <v>0</v>
      </c>
      <c r="AF145" s="857" t="n">
        <v>0</v>
      </c>
      <c r="AG145" s="857" t="n">
        <v>0</v>
      </c>
      <c r="AH145" s="857" t="n">
        <v>0</v>
      </c>
      <c r="AI145" s="857" t="n">
        <v>0</v>
      </c>
      <c r="AJ145" s="857" t="n">
        <v>0</v>
      </c>
      <c r="AK145" s="857" t="n">
        <v>0</v>
      </c>
      <c r="AL145" s="857" t="n">
        <v>0</v>
      </c>
      <c r="AM145" s="857" t="n">
        <v>0</v>
      </c>
      <c r="AN145" s="857" t="n">
        <v>0</v>
      </c>
      <c r="AO145" s="1087">
        <f>SUM(E145:AN145)</f>
        <v/>
      </c>
    </row>
    <row r="146" ht="16" customHeight="1">
      <c r="C146" s="735" t="inlineStr">
        <is>
          <t>LEGAL &amp; CLOSING</t>
        </is>
      </c>
      <c r="E146" s="857" t="n">
        <v>0.9</v>
      </c>
      <c r="F146" s="857" t="n">
        <v>0.05</v>
      </c>
      <c r="G146" s="857" t="n">
        <v>0.02</v>
      </c>
      <c r="H146" s="857" t="n">
        <v>0.02</v>
      </c>
      <c r="I146" s="857" t="n">
        <v>0.01</v>
      </c>
      <c r="J146" s="857" t="n">
        <v>0</v>
      </c>
      <c r="K146" s="857" t="n">
        <v>0</v>
      </c>
      <c r="L146" s="857" t="n">
        <v>0</v>
      </c>
      <c r="M146" s="857" t="n">
        <v>0</v>
      </c>
      <c r="N146" s="857" t="n">
        <v>0</v>
      </c>
      <c r="O146" s="857" t="n">
        <v>0</v>
      </c>
      <c r="P146" s="857" t="n">
        <v>0</v>
      </c>
      <c r="Q146" s="857" t="n">
        <v>0</v>
      </c>
      <c r="R146" s="857" t="n">
        <v>0</v>
      </c>
      <c r="S146" s="857" t="n">
        <v>0</v>
      </c>
      <c r="T146" s="857" t="n">
        <v>0</v>
      </c>
      <c r="U146" s="857" t="n">
        <v>0</v>
      </c>
      <c r="V146" s="857" t="n">
        <v>0</v>
      </c>
      <c r="W146" s="857" t="n">
        <v>0</v>
      </c>
      <c r="X146" s="857" t="n">
        <v>0</v>
      </c>
      <c r="Y146" s="857" t="n">
        <v>0</v>
      </c>
      <c r="Z146" s="857" t="n">
        <v>0</v>
      </c>
      <c r="AA146" s="857" t="n">
        <v>0</v>
      </c>
      <c r="AB146" s="857" t="n">
        <v>0</v>
      </c>
      <c r="AC146" s="857" t="n">
        <v>0</v>
      </c>
      <c r="AD146" s="857" t="n">
        <v>0</v>
      </c>
      <c r="AE146" s="857" t="n">
        <v>0</v>
      </c>
      <c r="AF146" s="857" t="n">
        <v>0</v>
      </c>
      <c r="AG146" s="857" t="n">
        <v>0</v>
      </c>
      <c r="AH146" s="857" t="n">
        <v>0</v>
      </c>
      <c r="AI146" s="857" t="n">
        <v>0</v>
      </c>
      <c r="AJ146" s="857" t="n">
        <v>0</v>
      </c>
      <c r="AK146" s="857" t="n">
        <v>0</v>
      </c>
      <c r="AL146" s="857" t="n">
        <v>0</v>
      </c>
      <c r="AM146" s="857" t="n">
        <v>0</v>
      </c>
      <c r="AN146" s="857" t="n">
        <v>0</v>
      </c>
      <c r="AO146" s="1087">
        <f>SUM(E146:AN146)</f>
        <v/>
      </c>
    </row>
    <row r="147" ht="16" customHeight="1">
      <c r="C147" s="735" t="inlineStr">
        <is>
          <t>TAXES &amp; INSURANCE</t>
        </is>
      </c>
      <c r="E147" s="857" t="n">
        <v>0</v>
      </c>
      <c r="F147" s="857" t="n">
        <v>0</v>
      </c>
      <c r="G147" s="857" t="n">
        <v>0</v>
      </c>
      <c r="H147" s="857" t="n">
        <v>0</v>
      </c>
      <c r="I147" s="857" t="n">
        <v>0.6</v>
      </c>
      <c r="J147" s="857" t="n">
        <v>0.05</v>
      </c>
      <c r="K147" s="857" t="n">
        <v>0.05</v>
      </c>
      <c r="L147" s="857" t="n">
        <v>0.05</v>
      </c>
      <c r="M147" s="857" t="n">
        <v>0.05</v>
      </c>
      <c r="N147" s="857" t="n">
        <v>0.05</v>
      </c>
      <c r="O147" s="857" t="n">
        <v>0.05</v>
      </c>
      <c r="P147" s="857" t="n">
        <v>0.05</v>
      </c>
      <c r="Q147" s="857" t="n">
        <v>0.05</v>
      </c>
      <c r="R147" s="857" t="n">
        <v>0</v>
      </c>
      <c r="S147" s="857" t="n">
        <v>0</v>
      </c>
      <c r="T147" s="857" t="n">
        <v>0</v>
      </c>
      <c r="U147" s="857" t="n">
        <v>0</v>
      </c>
      <c r="V147" s="857" t="n">
        <v>0</v>
      </c>
      <c r="W147" s="857" t="n">
        <v>0</v>
      </c>
      <c r="X147" s="857" t="n">
        <v>0</v>
      </c>
      <c r="Y147" s="857" t="n">
        <v>0</v>
      </c>
      <c r="Z147" s="857" t="n">
        <v>0</v>
      </c>
      <c r="AA147" s="857" t="n">
        <v>0</v>
      </c>
      <c r="AB147" s="857" t="n">
        <v>0</v>
      </c>
      <c r="AC147" s="857" t="n">
        <v>0</v>
      </c>
      <c r="AD147" s="857" t="n">
        <v>0</v>
      </c>
      <c r="AE147" s="857" t="n">
        <v>0</v>
      </c>
      <c r="AF147" s="857" t="n">
        <v>0</v>
      </c>
      <c r="AG147" s="857" t="n">
        <v>0</v>
      </c>
      <c r="AH147" s="857" t="n">
        <v>0</v>
      </c>
      <c r="AI147" s="857" t="n">
        <v>0</v>
      </c>
      <c r="AJ147" s="857" t="n">
        <v>0</v>
      </c>
      <c r="AK147" s="857" t="n">
        <v>0</v>
      </c>
      <c r="AL147" s="857" t="n">
        <v>0</v>
      </c>
      <c r="AM147" s="857" t="n">
        <v>0</v>
      </c>
      <c r="AN147" s="857" t="n">
        <v>0</v>
      </c>
      <c r="AO147" s="1087">
        <f>SUM(E147:AN147)</f>
        <v/>
      </c>
    </row>
    <row r="148" ht="16" customHeight="1">
      <c r="C148" s="735" t="inlineStr">
        <is>
          <t>FINANCING COSTS</t>
        </is>
      </c>
      <c r="E148" s="857" t="n">
        <v>0.95</v>
      </c>
      <c r="F148" s="739" t="n">
        <v>0.0025</v>
      </c>
      <c r="G148" s="739" t="n">
        <v>0.0025</v>
      </c>
      <c r="H148" s="739" t="n">
        <v>0.0025</v>
      </c>
      <c r="I148" s="739" t="n">
        <v>0.0025</v>
      </c>
      <c r="J148" s="739" t="n">
        <v>0.0025</v>
      </c>
      <c r="K148" s="739" t="n">
        <v>0.0025</v>
      </c>
      <c r="L148" s="739" t="n">
        <v>0.0025</v>
      </c>
      <c r="M148" s="739" t="n">
        <v>0.0025</v>
      </c>
      <c r="N148" s="739" t="n">
        <v>0.0025</v>
      </c>
      <c r="O148" s="739" t="n">
        <v>0.0025</v>
      </c>
      <c r="P148" s="739" t="n">
        <v>0.0025</v>
      </c>
      <c r="Q148" s="739" t="n">
        <v>0.0025</v>
      </c>
      <c r="R148" s="739" t="n">
        <v>0.0025</v>
      </c>
      <c r="S148" s="739" t="n">
        <v>0.0025</v>
      </c>
      <c r="T148" s="739" t="n">
        <v>0.0025</v>
      </c>
      <c r="U148" s="739" t="n">
        <v>0.0025</v>
      </c>
      <c r="V148" s="739" t="n">
        <v>0.0025</v>
      </c>
      <c r="W148" s="739" t="n">
        <v>0.0025</v>
      </c>
      <c r="X148" s="739" t="n">
        <v>0.0025</v>
      </c>
      <c r="Y148" s="739" t="n">
        <v>0.0025</v>
      </c>
      <c r="Z148" s="857" t="n">
        <v>0</v>
      </c>
      <c r="AA148" s="857" t="n">
        <v>0</v>
      </c>
      <c r="AB148" s="857" t="n">
        <v>0</v>
      </c>
      <c r="AC148" s="857" t="n">
        <v>0</v>
      </c>
      <c r="AD148" s="857" t="n">
        <v>0</v>
      </c>
      <c r="AE148" s="857" t="n">
        <v>0</v>
      </c>
      <c r="AF148" s="857" t="n">
        <v>0</v>
      </c>
      <c r="AG148" s="857" t="n">
        <v>0</v>
      </c>
      <c r="AH148" s="857" t="n">
        <v>0</v>
      </c>
      <c r="AI148" s="857" t="n">
        <v>0</v>
      </c>
      <c r="AJ148" s="857" t="n">
        <v>0</v>
      </c>
      <c r="AK148" s="857" t="n">
        <v>0</v>
      </c>
      <c r="AL148" s="857" t="n">
        <v>0</v>
      </c>
      <c r="AM148" s="857" t="n">
        <v>0</v>
      </c>
      <c r="AN148" s="857" t="n">
        <v>0</v>
      </c>
      <c r="AO148" s="1087">
        <f>SUM(E148:AN148)</f>
        <v/>
      </c>
    </row>
    <row r="149" ht="16" customHeight="1">
      <c r="C149" s="735" t="inlineStr">
        <is>
          <t>MUNI FEES &amp; BUILDING PERMITS</t>
        </is>
      </c>
      <c r="E149" s="857" t="n">
        <v>0.25</v>
      </c>
      <c r="F149" s="857" t="n">
        <v>0</v>
      </c>
      <c r="G149" s="857" t="n">
        <v>0</v>
      </c>
      <c r="H149" s="857" t="n">
        <v>0.75</v>
      </c>
      <c r="I149" s="857" t="n">
        <v>0</v>
      </c>
      <c r="J149" s="857" t="n">
        <v>0</v>
      </c>
      <c r="K149" s="857" t="n">
        <v>0</v>
      </c>
      <c r="L149" s="857" t="n">
        <v>0</v>
      </c>
      <c r="M149" s="857" t="n">
        <v>0</v>
      </c>
      <c r="N149" s="857" t="n">
        <v>0</v>
      </c>
      <c r="O149" s="857" t="n">
        <v>0</v>
      </c>
      <c r="P149" s="857" t="n">
        <v>0</v>
      </c>
      <c r="Q149" s="857" t="n">
        <v>0</v>
      </c>
      <c r="R149" s="857" t="n">
        <v>0</v>
      </c>
      <c r="S149" s="857" t="n">
        <v>0</v>
      </c>
      <c r="T149" s="857" t="n">
        <v>0</v>
      </c>
      <c r="U149" s="857" t="n">
        <v>0</v>
      </c>
      <c r="V149" s="857" t="n">
        <v>0</v>
      </c>
      <c r="W149" s="857" t="n">
        <v>0</v>
      </c>
      <c r="X149" s="857" t="n">
        <v>0</v>
      </c>
      <c r="Y149" s="857" t="n">
        <v>0</v>
      </c>
      <c r="Z149" s="857" t="n">
        <v>0</v>
      </c>
      <c r="AA149" s="857" t="n">
        <v>0</v>
      </c>
      <c r="AB149" s="857" t="n">
        <v>0</v>
      </c>
      <c r="AC149" s="857" t="n">
        <v>0</v>
      </c>
      <c r="AD149" s="857" t="n">
        <v>0</v>
      </c>
      <c r="AE149" s="857" t="n">
        <v>0</v>
      </c>
      <c r="AF149" s="857" t="n">
        <v>0</v>
      </c>
      <c r="AG149" s="857" t="n">
        <v>0</v>
      </c>
      <c r="AH149" s="857" t="n">
        <v>0</v>
      </c>
      <c r="AI149" s="857" t="n">
        <v>0</v>
      </c>
      <c r="AJ149" s="857" t="n">
        <v>0</v>
      </c>
      <c r="AK149" s="857" t="n">
        <v>0</v>
      </c>
      <c r="AL149" s="857" t="n">
        <v>0</v>
      </c>
      <c r="AM149" s="857" t="n">
        <v>0</v>
      </c>
      <c r="AN149" s="857" t="n">
        <v>0</v>
      </c>
      <c r="AO149" s="1087">
        <f>SUM(E149:AN149)</f>
        <v/>
      </c>
    </row>
    <row r="150" ht="16" customHeight="1">
      <c r="C150" s="735" t="inlineStr">
        <is>
          <t>INTEREST RESERVE</t>
        </is>
      </c>
      <c r="E150" s="776" t="inlineStr">
        <is>
          <t>N/A</t>
        </is>
      </c>
      <c r="F150" s="776" t="inlineStr">
        <is>
          <t>N/A</t>
        </is>
      </c>
      <c r="G150" s="776" t="inlineStr">
        <is>
          <t>N/A</t>
        </is>
      </c>
      <c r="H150" s="776" t="inlineStr">
        <is>
          <t>N/A</t>
        </is>
      </c>
      <c r="I150" s="776" t="inlineStr">
        <is>
          <t>N/A</t>
        </is>
      </c>
      <c r="J150" s="776" t="inlineStr">
        <is>
          <t>N/A</t>
        </is>
      </c>
      <c r="K150" s="776" t="inlineStr">
        <is>
          <t>N/A</t>
        </is>
      </c>
      <c r="L150" s="776" t="inlineStr">
        <is>
          <t>N/A</t>
        </is>
      </c>
      <c r="M150" s="776" t="inlineStr">
        <is>
          <t>N/A</t>
        </is>
      </c>
      <c r="N150" s="776" t="inlineStr">
        <is>
          <t>N/A</t>
        </is>
      </c>
      <c r="O150" s="776" t="inlineStr">
        <is>
          <t>N/A</t>
        </is>
      </c>
      <c r="P150" s="776" t="inlineStr">
        <is>
          <t>N/A</t>
        </is>
      </c>
      <c r="Q150" s="776" t="inlineStr">
        <is>
          <t>N/A</t>
        </is>
      </c>
      <c r="R150" s="776" t="inlineStr">
        <is>
          <t>N/A</t>
        </is>
      </c>
      <c r="S150" s="776" t="inlineStr">
        <is>
          <t>N/A</t>
        </is>
      </c>
      <c r="T150" s="776" t="inlineStr">
        <is>
          <t>N/A</t>
        </is>
      </c>
      <c r="U150" s="776" t="inlineStr">
        <is>
          <t>N/A</t>
        </is>
      </c>
      <c r="V150" s="776" t="inlineStr">
        <is>
          <t>N/A</t>
        </is>
      </c>
      <c r="W150" s="776" t="inlineStr">
        <is>
          <t>N/A</t>
        </is>
      </c>
      <c r="X150" s="776" t="inlineStr">
        <is>
          <t>N/A</t>
        </is>
      </c>
      <c r="Y150" s="776" t="inlineStr">
        <is>
          <t>N/A</t>
        </is>
      </c>
      <c r="Z150" s="776" t="inlineStr">
        <is>
          <t>N/A</t>
        </is>
      </c>
      <c r="AA150" s="776" t="inlineStr">
        <is>
          <t>N/A</t>
        </is>
      </c>
      <c r="AB150" s="776" t="inlineStr">
        <is>
          <t>N/A</t>
        </is>
      </c>
      <c r="AC150" s="776" t="inlineStr">
        <is>
          <t>N/A</t>
        </is>
      </c>
      <c r="AD150" s="776" t="inlineStr">
        <is>
          <t>N/A</t>
        </is>
      </c>
      <c r="AE150" s="776" t="inlineStr">
        <is>
          <t>N/A</t>
        </is>
      </c>
      <c r="AF150" s="776" t="inlineStr">
        <is>
          <t>N/A</t>
        </is>
      </c>
      <c r="AG150" s="776" t="inlineStr">
        <is>
          <t>N/A</t>
        </is>
      </c>
      <c r="AH150" s="776" t="inlineStr">
        <is>
          <t>N/A</t>
        </is>
      </c>
      <c r="AI150" s="776" t="inlineStr">
        <is>
          <t>N/A</t>
        </is>
      </c>
      <c r="AJ150" s="776" t="inlineStr">
        <is>
          <t>N/A</t>
        </is>
      </c>
      <c r="AK150" s="776" t="inlineStr">
        <is>
          <t>N/A</t>
        </is>
      </c>
      <c r="AL150" s="776" t="inlineStr">
        <is>
          <t>N/A</t>
        </is>
      </c>
      <c r="AM150" s="776" t="inlineStr">
        <is>
          <t>N/A</t>
        </is>
      </c>
      <c r="AN150" s="776" t="inlineStr">
        <is>
          <t>N/A</t>
        </is>
      </c>
      <c r="AO150" s="1087">
        <f>SUM(E150:AN150)</f>
        <v/>
      </c>
    </row>
    <row r="151" ht="16" customHeight="1">
      <c r="C151" s="735" t="inlineStr">
        <is>
          <t>PRELEASING EXPENSE</t>
        </is>
      </c>
      <c r="E151" s="857" t="n">
        <v>0.05</v>
      </c>
      <c r="F151" s="857" t="n">
        <v>0.05</v>
      </c>
      <c r="G151" s="857" t="n">
        <v>0.05</v>
      </c>
      <c r="H151" s="857" t="n">
        <v>0.05</v>
      </c>
      <c r="I151" s="857" t="n">
        <v>0.05</v>
      </c>
      <c r="J151" s="857" t="n">
        <v>0.05</v>
      </c>
      <c r="K151" s="857" t="n">
        <v>0.05</v>
      </c>
      <c r="L151" s="857" t="n">
        <v>0.05</v>
      </c>
      <c r="M151" s="857" t="n">
        <v>0.05</v>
      </c>
      <c r="N151" s="857" t="n">
        <v>0.05</v>
      </c>
      <c r="O151" s="857" t="n">
        <v>0.05</v>
      </c>
      <c r="P151" s="857" t="n">
        <v>0.05</v>
      </c>
      <c r="Q151" s="857" t="n">
        <v>0.05</v>
      </c>
      <c r="R151" s="857" t="n">
        <v>0.05</v>
      </c>
      <c r="S151" s="857" t="n">
        <v>0.05</v>
      </c>
      <c r="T151" s="857" t="n">
        <v>0.05</v>
      </c>
      <c r="U151" s="857" t="n">
        <v>0.05</v>
      </c>
      <c r="V151" s="857" t="n">
        <v>0.05</v>
      </c>
      <c r="W151" s="857" t="n">
        <v>0.05</v>
      </c>
      <c r="X151" s="857" t="n">
        <v>0.05</v>
      </c>
      <c r="Y151" s="857" t="n">
        <v>0</v>
      </c>
      <c r="Z151" s="857" t="n">
        <v>0</v>
      </c>
      <c r="AA151" s="857" t="n">
        <v>0</v>
      </c>
      <c r="AB151" s="857" t="n">
        <v>0</v>
      </c>
      <c r="AC151" s="857" t="n">
        <v>0</v>
      </c>
      <c r="AD151" s="857" t="n">
        <v>0</v>
      </c>
      <c r="AE151" s="857" t="n">
        <v>0</v>
      </c>
      <c r="AF151" s="857" t="n">
        <v>0</v>
      </c>
      <c r="AG151" s="857" t="n">
        <v>0</v>
      </c>
      <c r="AH151" s="857" t="n">
        <v>0</v>
      </c>
      <c r="AI151" s="857" t="n">
        <v>0</v>
      </c>
      <c r="AJ151" s="857" t="n">
        <v>0</v>
      </c>
      <c r="AK151" s="857" t="n">
        <v>0</v>
      </c>
      <c r="AL151" s="857" t="n">
        <v>0</v>
      </c>
      <c r="AM151" s="857" t="n">
        <v>0</v>
      </c>
      <c r="AN151" s="857" t="n">
        <v>0</v>
      </c>
      <c r="AO151" s="1087">
        <f>SUM(E151:AN151)</f>
        <v/>
      </c>
    </row>
    <row r="152" ht="16" customHeight="1">
      <c r="C152" s="735" t="inlineStr">
        <is>
          <t>OPERATING DEFICIT</t>
        </is>
      </c>
      <c r="E152" s="776" t="inlineStr">
        <is>
          <t>N/A</t>
        </is>
      </c>
      <c r="F152" s="776" t="inlineStr">
        <is>
          <t>N/A</t>
        </is>
      </c>
      <c r="G152" s="776" t="inlineStr">
        <is>
          <t>N/A</t>
        </is>
      </c>
      <c r="H152" s="776" t="inlineStr">
        <is>
          <t>N/A</t>
        </is>
      </c>
      <c r="I152" s="776" t="inlineStr">
        <is>
          <t>N/A</t>
        </is>
      </c>
      <c r="J152" s="776" t="inlineStr">
        <is>
          <t>N/A</t>
        </is>
      </c>
      <c r="K152" s="776" t="inlineStr">
        <is>
          <t>N/A</t>
        </is>
      </c>
      <c r="L152" s="776" t="inlineStr">
        <is>
          <t>N/A</t>
        </is>
      </c>
      <c r="M152" s="776" t="inlineStr">
        <is>
          <t>N/A</t>
        </is>
      </c>
      <c r="N152" s="776" t="inlineStr">
        <is>
          <t>N/A</t>
        </is>
      </c>
      <c r="O152" s="776" t="inlineStr">
        <is>
          <t>N/A</t>
        </is>
      </c>
      <c r="P152" s="776" t="inlineStr">
        <is>
          <t>N/A</t>
        </is>
      </c>
      <c r="Q152" s="776" t="inlineStr">
        <is>
          <t>N/A</t>
        </is>
      </c>
      <c r="R152" s="776" t="inlineStr">
        <is>
          <t>N/A</t>
        </is>
      </c>
      <c r="S152" s="776" t="inlineStr">
        <is>
          <t>N/A</t>
        </is>
      </c>
      <c r="T152" s="776" t="inlineStr">
        <is>
          <t>N/A</t>
        </is>
      </c>
      <c r="U152" s="776" t="inlineStr">
        <is>
          <t>N/A</t>
        </is>
      </c>
      <c r="V152" s="776" t="inlineStr">
        <is>
          <t>N/A</t>
        </is>
      </c>
      <c r="W152" s="776" t="inlineStr">
        <is>
          <t>N/A</t>
        </is>
      </c>
      <c r="X152" s="776" t="inlineStr">
        <is>
          <t>N/A</t>
        </is>
      </c>
      <c r="Y152" s="776" t="inlineStr">
        <is>
          <t>N/A</t>
        </is>
      </c>
      <c r="Z152" s="776" t="inlineStr">
        <is>
          <t>N/A</t>
        </is>
      </c>
      <c r="AA152" s="776" t="inlineStr">
        <is>
          <t>N/A</t>
        </is>
      </c>
      <c r="AB152" s="776" t="inlineStr">
        <is>
          <t>N/A</t>
        </is>
      </c>
      <c r="AC152" s="776" t="inlineStr">
        <is>
          <t>N/A</t>
        </is>
      </c>
      <c r="AD152" s="776" t="inlineStr">
        <is>
          <t>N/A</t>
        </is>
      </c>
      <c r="AE152" s="776" t="inlineStr">
        <is>
          <t>N/A</t>
        </is>
      </c>
      <c r="AF152" s="776" t="inlineStr">
        <is>
          <t>N/A</t>
        </is>
      </c>
      <c r="AG152" s="776" t="inlineStr">
        <is>
          <t>N/A</t>
        </is>
      </c>
      <c r="AH152" s="776" t="inlineStr">
        <is>
          <t>N/A</t>
        </is>
      </c>
      <c r="AI152" s="776" t="inlineStr">
        <is>
          <t>N/A</t>
        </is>
      </c>
      <c r="AJ152" s="776" t="inlineStr">
        <is>
          <t>N/A</t>
        </is>
      </c>
      <c r="AK152" s="776" t="inlineStr">
        <is>
          <t>N/A</t>
        </is>
      </c>
      <c r="AL152" s="776" t="inlineStr">
        <is>
          <t>N/A</t>
        </is>
      </c>
      <c r="AM152" s="776" t="inlineStr">
        <is>
          <t>N/A</t>
        </is>
      </c>
      <c r="AN152" s="776" t="inlineStr">
        <is>
          <t>N/A</t>
        </is>
      </c>
      <c r="AO152" s="1087">
        <f>SUM(E152:AN152)</f>
        <v/>
      </c>
    </row>
    <row r="153" ht="16" customHeight="1">
      <c r="C153" s="735" t="inlineStr">
        <is>
          <t>FURNITURE, FIXTURES &amp; EQUIPMENT</t>
        </is>
      </c>
      <c r="E153" s="857" t="n">
        <v>0</v>
      </c>
      <c r="F153" s="857" t="n">
        <v>0</v>
      </c>
      <c r="G153" s="857" t="n">
        <v>0</v>
      </c>
      <c r="H153" s="857" t="n">
        <v>0</v>
      </c>
      <c r="I153" s="857" t="n">
        <v>0</v>
      </c>
      <c r="J153" s="857" t="n">
        <v>0</v>
      </c>
      <c r="K153" s="857" t="n">
        <v>0</v>
      </c>
      <c r="L153" s="857" t="n">
        <v>0</v>
      </c>
      <c r="M153" s="857" t="n">
        <v>0</v>
      </c>
      <c r="N153" s="857" t="n">
        <v>0</v>
      </c>
      <c r="O153" s="857" t="n">
        <v>0</v>
      </c>
      <c r="P153" s="857" t="n">
        <v>0</v>
      </c>
      <c r="Q153" s="857" t="n">
        <v>0.25</v>
      </c>
      <c r="R153" s="857" t="n">
        <v>0.25</v>
      </c>
      <c r="S153" s="857" t="n">
        <v>0.25</v>
      </c>
      <c r="T153" s="857" t="n">
        <v>0.25</v>
      </c>
      <c r="U153" s="857" t="n">
        <v>0</v>
      </c>
      <c r="V153" s="857" t="n">
        <v>0</v>
      </c>
      <c r="W153" s="857" t="n">
        <v>0</v>
      </c>
      <c r="X153" s="857" t="n">
        <v>0</v>
      </c>
      <c r="Y153" s="857" t="n">
        <v>0</v>
      </c>
      <c r="Z153" s="857" t="n">
        <v>0</v>
      </c>
      <c r="AA153" s="857" t="n">
        <v>0</v>
      </c>
      <c r="AB153" s="857" t="n">
        <v>0</v>
      </c>
      <c r="AC153" s="857" t="n">
        <v>0</v>
      </c>
      <c r="AD153" s="857" t="n">
        <v>0</v>
      </c>
      <c r="AE153" s="857" t="n">
        <v>0</v>
      </c>
      <c r="AF153" s="857" t="n">
        <v>0</v>
      </c>
      <c r="AG153" s="857" t="n">
        <v>0</v>
      </c>
      <c r="AH153" s="857" t="n">
        <v>0</v>
      </c>
      <c r="AI153" s="857" t="n">
        <v>0</v>
      </c>
      <c r="AJ153" s="857" t="n">
        <v>0</v>
      </c>
      <c r="AK153" s="857" t="n">
        <v>0</v>
      </c>
      <c r="AL153" s="857" t="n">
        <v>0</v>
      </c>
      <c r="AM153" s="857" t="n">
        <v>0</v>
      </c>
      <c r="AN153" s="857" t="n">
        <v>0</v>
      </c>
      <c r="AO153" s="1087">
        <f>SUM(E153:AN153)</f>
        <v/>
      </c>
    </row>
    <row r="154" ht="16" customHeight="1">
      <c r="C154" s="735" t="inlineStr">
        <is>
          <t>DEVELOPMENT FEES</t>
        </is>
      </c>
      <c r="E154" s="857" t="n">
        <v>0.25</v>
      </c>
      <c r="F154" s="937" t="n">
        <v>0.03260869565217391</v>
      </c>
      <c r="G154" s="937" t="n">
        <v>0.03260869565217391</v>
      </c>
      <c r="H154" s="937" t="n">
        <v>0.03260869565217391</v>
      </c>
      <c r="I154" s="937" t="n">
        <v>0.03260869565217391</v>
      </c>
      <c r="J154" s="937" t="n">
        <v>0.03260869565217391</v>
      </c>
      <c r="K154" s="937" t="n">
        <v>0.03260869565217391</v>
      </c>
      <c r="L154" s="937" t="n">
        <v>0.03260869565217391</v>
      </c>
      <c r="M154" s="937" t="n">
        <v>0.03260869565217391</v>
      </c>
      <c r="N154" s="937" t="n">
        <v>0.03260869565217391</v>
      </c>
      <c r="O154" s="937" t="n">
        <v>0.03260869565217391</v>
      </c>
      <c r="P154" s="937" t="n">
        <v>0.03260869565217391</v>
      </c>
      <c r="Q154" s="937" t="n">
        <v>0.03260869565217391</v>
      </c>
      <c r="R154" s="937" t="n">
        <v>0.03260869565217391</v>
      </c>
      <c r="S154" s="937" t="n">
        <v>0.03260869565217391</v>
      </c>
      <c r="T154" s="937" t="n">
        <v>0.03260869565217391</v>
      </c>
      <c r="U154" s="937" t="n">
        <v>0.03260869565217391</v>
      </c>
      <c r="V154" s="937" t="n">
        <v>0.03260869565217391</v>
      </c>
      <c r="W154" s="937" t="n">
        <v>0.03260869565217391</v>
      </c>
      <c r="X154" s="937" t="n">
        <v>0.03260869565217391</v>
      </c>
      <c r="Y154" s="937" t="n">
        <v>0.03260869565217391</v>
      </c>
      <c r="Z154" s="937" t="n">
        <v>0.03260869565217391</v>
      </c>
      <c r="AA154" s="937" t="n">
        <v>0.03260869565217391</v>
      </c>
      <c r="AB154" s="937" t="n">
        <v>0.03260869565217391</v>
      </c>
      <c r="AC154" s="857" t="n">
        <v>0</v>
      </c>
      <c r="AD154" s="857" t="n">
        <v>0</v>
      </c>
      <c r="AE154" s="857" t="n">
        <v>0</v>
      </c>
      <c r="AF154" s="857" t="n">
        <v>0</v>
      </c>
      <c r="AG154" s="857" t="n">
        <v>0</v>
      </c>
      <c r="AH154" s="857" t="n">
        <v>0</v>
      </c>
      <c r="AI154" s="857" t="n">
        <v>0</v>
      </c>
      <c r="AJ154" s="857" t="n">
        <v>0</v>
      </c>
      <c r="AK154" s="857" t="n">
        <v>0</v>
      </c>
      <c r="AL154" s="857" t="n">
        <v>0</v>
      </c>
      <c r="AM154" s="857" t="n">
        <v>0</v>
      </c>
      <c r="AN154" s="857" t="n">
        <v>0</v>
      </c>
      <c r="AO154" s="1087">
        <f>SUM(E154:AN154)</f>
        <v/>
      </c>
    </row>
    <row r="155" ht="16" customHeight="1">
      <c r="C155" s="735" t="inlineStr">
        <is>
          <t>GUARANTY FEES</t>
        </is>
      </c>
      <c r="E155" s="857" t="n">
        <v>1</v>
      </c>
      <c r="F155" s="857" t="n">
        <v>0</v>
      </c>
      <c r="G155" s="857" t="n">
        <v>0</v>
      </c>
      <c r="H155" s="857" t="n">
        <v>0</v>
      </c>
      <c r="I155" s="857" t="n">
        <v>0</v>
      </c>
      <c r="J155" s="857" t="n">
        <v>0</v>
      </c>
      <c r="K155" s="857" t="n">
        <v>0</v>
      </c>
      <c r="L155" s="857" t="n">
        <v>0</v>
      </c>
      <c r="M155" s="857" t="n">
        <v>0</v>
      </c>
      <c r="N155" s="857" t="n">
        <v>0</v>
      </c>
      <c r="O155" s="857" t="n">
        <v>0</v>
      </c>
      <c r="P155" s="857" t="n">
        <v>0</v>
      </c>
      <c r="Q155" s="857" t="n">
        <v>0</v>
      </c>
      <c r="R155" s="857" t="n">
        <v>0</v>
      </c>
      <c r="S155" s="857" t="n">
        <v>0</v>
      </c>
      <c r="T155" s="857" t="n">
        <v>0</v>
      </c>
      <c r="U155" s="857" t="n">
        <v>0</v>
      </c>
      <c r="V155" s="857" t="n">
        <v>0</v>
      </c>
      <c r="W155" s="857" t="n">
        <v>0</v>
      </c>
      <c r="X155" s="857" t="n">
        <v>0</v>
      </c>
      <c r="Y155" s="857" t="n">
        <v>0</v>
      </c>
      <c r="Z155" s="857" t="n">
        <v>0</v>
      </c>
      <c r="AA155" s="857" t="n">
        <v>0</v>
      </c>
      <c r="AB155" s="857" t="n">
        <v>0</v>
      </c>
      <c r="AC155" s="857" t="n">
        <v>0</v>
      </c>
      <c r="AD155" s="857" t="n">
        <v>0</v>
      </c>
      <c r="AE155" s="857" t="n">
        <v>0</v>
      </c>
      <c r="AF155" s="857" t="n">
        <v>0</v>
      </c>
      <c r="AG155" s="857" t="n">
        <v>0</v>
      </c>
      <c r="AH155" s="857" t="n">
        <v>0</v>
      </c>
      <c r="AI155" s="857" t="n">
        <v>0</v>
      </c>
      <c r="AJ155" s="857" t="n">
        <v>0</v>
      </c>
      <c r="AK155" s="857" t="n">
        <v>0</v>
      </c>
      <c r="AL155" s="857" t="n">
        <v>0</v>
      </c>
      <c r="AM155" s="857" t="n">
        <v>0</v>
      </c>
      <c r="AN155" s="857" t="n">
        <v>0</v>
      </c>
      <c r="AO155" s="1087">
        <f>SUM(E155:AN155)</f>
        <v/>
      </c>
    </row>
    <row r="156" ht="16" customHeight="1">
      <c r="C156" s="735" t="inlineStr">
        <is>
          <t>CONSTRUCTION MANAGEMENT FEES</t>
        </is>
      </c>
      <c r="E156" s="857" t="n">
        <v>0</v>
      </c>
      <c r="F156" s="937" t="n">
        <v>0.04347826086956522</v>
      </c>
      <c r="G156" s="937" t="n">
        <v>0.04347826086956522</v>
      </c>
      <c r="H156" s="937" t="n">
        <v>0.04347826086956522</v>
      </c>
      <c r="I156" s="937" t="n">
        <v>0.04347826086956522</v>
      </c>
      <c r="J156" s="937" t="n">
        <v>0.04347826086956522</v>
      </c>
      <c r="K156" s="937" t="n">
        <v>0.04347826086956522</v>
      </c>
      <c r="L156" s="937" t="n">
        <v>0.04347826086956522</v>
      </c>
      <c r="M156" s="937" t="n">
        <v>0.04347826086956522</v>
      </c>
      <c r="N156" s="937" t="n">
        <v>0.04347826086956522</v>
      </c>
      <c r="O156" s="937" t="n">
        <v>0.04347826086956522</v>
      </c>
      <c r="P156" s="937" t="n">
        <v>0.04347826086956522</v>
      </c>
      <c r="Q156" s="937" t="n">
        <v>0.04347826086956522</v>
      </c>
      <c r="R156" s="937" t="n">
        <v>0.04347826086956522</v>
      </c>
      <c r="S156" s="937" t="n">
        <v>0.04347826086956522</v>
      </c>
      <c r="T156" s="937" t="n">
        <v>0.04347826086956522</v>
      </c>
      <c r="U156" s="937" t="n">
        <v>0.04347826086956522</v>
      </c>
      <c r="V156" s="937" t="n">
        <v>0.04347826086956522</v>
      </c>
      <c r="W156" s="937" t="n">
        <v>0.04347826086956522</v>
      </c>
      <c r="X156" s="937" t="n">
        <v>0.04347826086956522</v>
      </c>
      <c r="Y156" s="937" t="n">
        <v>0.04347826086956522</v>
      </c>
      <c r="Z156" s="937" t="n">
        <v>0.04347826086956522</v>
      </c>
      <c r="AA156" s="937" t="n">
        <v>0.04347826086956522</v>
      </c>
      <c r="AB156" s="937" t="n">
        <v>0.04347826086956522</v>
      </c>
      <c r="AC156" s="857" t="n">
        <v>0</v>
      </c>
      <c r="AD156" s="857" t="n">
        <v>0</v>
      </c>
      <c r="AE156" s="857" t="n">
        <v>0</v>
      </c>
      <c r="AF156" s="857" t="n">
        <v>0</v>
      </c>
      <c r="AG156" s="857" t="n">
        <v>0</v>
      </c>
      <c r="AH156" s="857" t="n">
        <v>0</v>
      </c>
      <c r="AI156" s="857" t="n">
        <v>0</v>
      </c>
      <c r="AJ156" s="857" t="n">
        <v>0</v>
      </c>
      <c r="AK156" s="857" t="n">
        <v>0</v>
      </c>
      <c r="AL156" s="857" t="n">
        <v>0</v>
      </c>
      <c r="AM156" s="857" t="n">
        <v>0</v>
      </c>
      <c r="AN156" s="857" t="n">
        <v>0</v>
      </c>
      <c r="AO156" s="1087">
        <f>SUM(E156:AN156)</f>
        <v/>
      </c>
    </row>
    <row r="157" ht="16" customHeight="1">
      <c r="C157" s="735" t="inlineStr">
        <is>
          <t>SOFT COST CONTINGENCY</t>
        </is>
      </c>
      <c r="E157" s="776" t="inlineStr">
        <is>
          <t>N/A</t>
        </is>
      </c>
      <c r="F157" s="776" t="inlineStr">
        <is>
          <t>N/A</t>
        </is>
      </c>
      <c r="G157" s="776" t="inlineStr">
        <is>
          <t>N/A</t>
        </is>
      </c>
      <c r="H157" s="776" t="inlineStr">
        <is>
          <t>N/A</t>
        </is>
      </c>
      <c r="I157" s="776" t="inlineStr">
        <is>
          <t>N/A</t>
        </is>
      </c>
      <c r="J157" s="776" t="inlineStr">
        <is>
          <t>N/A</t>
        </is>
      </c>
      <c r="K157" s="776" t="inlineStr">
        <is>
          <t>N/A</t>
        </is>
      </c>
      <c r="L157" s="776" t="inlineStr">
        <is>
          <t>N/A</t>
        </is>
      </c>
      <c r="M157" s="776" t="inlineStr">
        <is>
          <t>N/A</t>
        </is>
      </c>
      <c r="N157" s="776" t="inlineStr">
        <is>
          <t>N/A</t>
        </is>
      </c>
      <c r="O157" s="776" t="inlineStr">
        <is>
          <t>N/A</t>
        </is>
      </c>
      <c r="P157" s="776" t="inlineStr">
        <is>
          <t>N/A</t>
        </is>
      </c>
      <c r="Q157" s="776" t="inlineStr">
        <is>
          <t>N/A</t>
        </is>
      </c>
      <c r="R157" s="776" t="inlineStr">
        <is>
          <t>N/A</t>
        </is>
      </c>
      <c r="S157" s="776" t="inlineStr">
        <is>
          <t>N/A</t>
        </is>
      </c>
      <c r="T157" s="776" t="inlineStr">
        <is>
          <t>N/A</t>
        </is>
      </c>
      <c r="U157" s="776" t="inlineStr">
        <is>
          <t>N/A</t>
        </is>
      </c>
      <c r="V157" s="776" t="inlineStr">
        <is>
          <t>N/A</t>
        </is>
      </c>
      <c r="W157" s="776" t="inlineStr">
        <is>
          <t>N/A</t>
        </is>
      </c>
      <c r="X157" s="776" t="inlineStr">
        <is>
          <t>N/A</t>
        </is>
      </c>
      <c r="Y157" s="776" t="inlineStr">
        <is>
          <t>N/A</t>
        </is>
      </c>
      <c r="Z157" s="776" t="inlineStr">
        <is>
          <t>N/A</t>
        </is>
      </c>
      <c r="AA157" s="776" t="inlineStr">
        <is>
          <t>N/A</t>
        </is>
      </c>
      <c r="AB157" s="776" t="inlineStr">
        <is>
          <t>N/A</t>
        </is>
      </c>
      <c r="AC157" s="776" t="inlineStr">
        <is>
          <t>N/A</t>
        </is>
      </c>
      <c r="AD157" s="776" t="inlineStr">
        <is>
          <t>N/A</t>
        </is>
      </c>
      <c r="AE157" s="776" t="inlineStr">
        <is>
          <t>N/A</t>
        </is>
      </c>
      <c r="AF157" s="776" t="inlineStr">
        <is>
          <t>N/A</t>
        </is>
      </c>
      <c r="AG157" s="776" t="inlineStr">
        <is>
          <t>N/A</t>
        </is>
      </c>
      <c r="AH157" s="776" t="inlineStr">
        <is>
          <t>N/A</t>
        </is>
      </c>
      <c r="AI157" s="776" t="inlineStr">
        <is>
          <t>N/A</t>
        </is>
      </c>
      <c r="AJ157" s="776" t="inlineStr">
        <is>
          <t>N/A</t>
        </is>
      </c>
      <c r="AK157" s="776" t="inlineStr">
        <is>
          <t>N/A</t>
        </is>
      </c>
      <c r="AL157" s="776" t="inlineStr">
        <is>
          <t>N/A</t>
        </is>
      </c>
      <c r="AM157" s="776" t="inlineStr">
        <is>
          <t>N/A</t>
        </is>
      </c>
      <c r="AN157" s="776" t="inlineStr">
        <is>
          <t>N/A</t>
        </is>
      </c>
      <c r="AO157" s="1087">
        <f>SUM(E157:AN157)</f>
        <v/>
      </c>
    </row>
    <row r="158" ht="16" customHeight="1">
      <c r="C158" s="735" t="inlineStr">
        <is>
          <t>CONSTRUCTION HARD COSTS</t>
        </is>
      </c>
      <c r="E158" s="776" t="inlineStr">
        <is>
          <t>N/A</t>
        </is>
      </c>
      <c r="F158" s="776" t="inlineStr">
        <is>
          <t>N/A</t>
        </is>
      </c>
      <c r="G158" s="776" t="inlineStr">
        <is>
          <t>N/A</t>
        </is>
      </c>
      <c r="H158" s="776" t="inlineStr">
        <is>
          <t>N/A</t>
        </is>
      </c>
      <c r="I158" s="776" t="inlineStr">
        <is>
          <t>N/A</t>
        </is>
      </c>
      <c r="J158" s="776" t="inlineStr">
        <is>
          <t>N/A</t>
        </is>
      </c>
      <c r="K158" s="776" t="inlineStr">
        <is>
          <t>N/A</t>
        </is>
      </c>
      <c r="L158" s="776" t="inlineStr">
        <is>
          <t>N/A</t>
        </is>
      </c>
      <c r="M158" s="776" t="inlineStr">
        <is>
          <t>N/A</t>
        </is>
      </c>
      <c r="N158" s="776" t="inlineStr">
        <is>
          <t>N/A</t>
        </is>
      </c>
      <c r="O158" s="776" t="inlineStr">
        <is>
          <t>N/A</t>
        </is>
      </c>
      <c r="P158" s="776" t="inlineStr">
        <is>
          <t>N/A</t>
        </is>
      </c>
      <c r="Q158" s="776" t="inlineStr">
        <is>
          <t>N/A</t>
        </is>
      </c>
      <c r="R158" s="776" t="inlineStr">
        <is>
          <t>N/A</t>
        </is>
      </c>
      <c r="S158" s="776" t="inlineStr">
        <is>
          <t>N/A</t>
        </is>
      </c>
      <c r="T158" s="776" t="inlineStr">
        <is>
          <t>N/A</t>
        </is>
      </c>
      <c r="U158" s="776" t="inlineStr">
        <is>
          <t>N/A</t>
        </is>
      </c>
      <c r="V158" s="776" t="inlineStr">
        <is>
          <t>N/A</t>
        </is>
      </c>
      <c r="W158" s="776" t="inlineStr">
        <is>
          <t>N/A</t>
        </is>
      </c>
      <c r="X158" s="776" t="inlineStr">
        <is>
          <t>N/A</t>
        </is>
      </c>
      <c r="Y158" s="776" t="inlineStr">
        <is>
          <t>N/A</t>
        </is>
      </c>
      <c r="Z158" s="776" t="inlineStr">
        <is>
          <t>N/A</t>
        </is>
      </c>
      <c r="AA158" s="776" t="inlineStr">
        <is>
          <t>N/A</t>
        </is>
      </c>
      <c r="AB158" s="776" t="inlineStr">
        <is>
          <t>N/A</t>
        </is>
      </c>
      <c r="AC158" s="776" t="inlineStr">
        <is>
          <t>N/A</t>
        </is>
      </c>
      <c r="AD158" s="776" t="inlineStr">
        <is>
          <t>N/A</t>
        </is>
      </c>
      <c r="AE158" s="776" t="inlineStr">
        <is>
          <t>N/A</t>
        </is>
      </c>
      <c r="AF158" s="776" t="inlineStr">
        <is>
          <t>N/A</t>
        </is>
      </c>
      <c r="AG158" s="776" t="inlineStr">
        <is>
          <t>N/A</t>
        </is>
      </c>
      <c r="AH158" s="776" t="inlineStr">
        <is>
          <t>N/A</t>
        </is>
      </c>
      <c r="AI158" s="776" t="inlineStr">
        <is>
          <t>N/A</t>
        </is>
      </c>
      <c r="AJ158" s="776" t="inlineStr">
        <is>
          <t>N/A</t>
        </is>
      </c>
      <c r="AK158" s="776" t="inlineStr">
        <is>
          <t>N/A</t>
        </is>
      </c>
      <c r="AL158" s="776" t="inlineStr">
        <is>
          <t>N/A</t>
        </is>
      </c>
      <c r="AM158" s="776" t="inlineStr">
        <is>
          <t>N/A</t>
        </is>
      </c>
      <c r="AN158" s="776" t="inlineStr">
        <is>
          <t>N/A</t>
        </is>
      </c>
      <c r="AO158" s="1087">
        <f>SUM(E158:AN158)</f>
        <v/>
      </c>
    </row>
    <row r="159" ht="16" customHeight="1">
      <c r="C159" s="735" t="inlineStr">
        <is>
          <t>HARD COSTS CONTINGENCY</t>
        </is>
      </c>
      <c r="E159" s="776" t="inlineStr">
        <is>
          <t>N/A</t>
        </is>
      </c>
      <c r="F159" s="776" t="inlineStr">
        <is>
          <t>N/A</t>
        </is>
      </c>
      <c r="G159" s="776" t="inlineStr">
        <is>
          <t>N/A</t>
        </is>
      </c>
      <c r="H159" s="776" t="inlineStr">
        <is>
          <t>N/A</t>
        </is>
      </c>
      <c r="I159" s="776" t="inlineStr">
        <is>
          <t>N/A</t>
        </is>
      </c>
      <c r="J159" s="776" t="inlineStr">
        <is>
          <t>N/A</t>
        </is>
      </c>
      <c r="K159" s="776" t="inlineStr">
        <is>
          <t>N/A</t>
        </is>
      </c>
      <c r="L159" s="776" t="inlineStr">
        <is>
          <t>N/A</t>
        </is>
      </c>
      <c r="M159" s="776" t="inlineStr">
        <is>
          <t>N/A</t>
        </is>
      </c>
      <c r="N159" s="776" t="inlineStr">
        <is>
          <t>N/A</t>
        </is>
      </c>
      <c r="O159" s="776" t="inlineStr">
        <is>
          <t>N/A</t>
        </is>
      </c>
      <c r="P159" s="776" t="inlineStr">
        <is>
          <t>N/A</t>
        </is>
      </c>
      <c r="Q159" s="776" t="inlineStr">
        <is>
          <t>N/A</t>
        </is>
      </c>
      <c r="R159" s="776" t="inlineStr">
        <is>
          <t>N/A</t>
        </is>
      </c>
      <c r="S159" s="776" t="inlineStr">
        <is>
          <t>N/A</t>
        </is>
      </c>
      <c r="T159" s="776" t="inlineStr">
        <is>
          <t>N/A</t>
        </is>
      </c>
      <c r="U159" s="776" t="inlineStr">
        <is>
          <t>N/A</t>
        </is>
      </c>
      <c r="V159" s="776" t="inlineStr">
        <is>
          <t>N/A</t>
        </is>
      </c>
      <c r="W159" s="776" t="inlineStr">
        <is>
          <t>N/A</t>
        </is>
      </c>
      <c r="X159" s="776" t="inlineStr">
        <is>
          <t>N/A</t>
        </is>
      </c>
      <c r="Y159" s="776" t="inlineStr">
        <is>
          <t>N/A</t>
        </is>
      </c>
      <c r="Z159" s="776" t="inlineStr">
        <is>
          <t>N/A</t>
        </is>
      </c>
      <c r="AA159" s="776" t="inlineStr">
        <is>
          <t>N/A</t>
        </is>
      </c>
      <c r="AB159" s="776" t="inlineStr">
        <is>
          <t>N/A</t>
        </is>
      </c>
      <c r="AC159" s="776" t="inlineStr">
        <is>
          <t>N/A</t>
        </is>
      </c>
      <c r="AD159" s="776" t="inlineStr">
        <is>
          <t>N/A</t>
        </is>
      </c>
      <c r="AE159" s="776" t="inlineStr">
        <is>
          <t>N/A</t>
        </is>
      </c>
      <c r="AF159" s="776" t="inlineStr">
        <is>
          <t>N/A</t>
        </is>
      </c>
      <c r="AG159" s="776" t="inlineStr">
        <is>
          <t>N/A</t>
        </is>
      </c>
      <c r="AH159" s="776" t="inlineStr">
        <is>
          <t>N/A</t>
        </is>
      </c>
      <c r="AI159" s="776" t="inlineStr">
        <is>
          <t>N/A</t>
        </is>
      </c>
      <c r="AJ159" s="776" t="inlineStr">
        <is>
          <t>N/A</t>
        </is>
      </c>
      <c r="AK159" s="776" t="inlineStr">
        <is>
          <t>N/A</t>
        </is>
      </c>
      <c r="AL159" s="776" t="inlineStr">
        <is>
          <t>N/A</t>
        </is>
      </c>
      <c r="AM159" s="776" t="inlineStr">
        <is>
          <t>N/A</t>
        </is>
      </c>
      <c r="AN159" s="776" t="inlineStr">
        <is>
          <t>N/A</t>
        </is>
      </c>
      <c r="AO159" s="1087">
        <f>SUM(E159:AN159)</f>
        <v/>
      </c>
    </row>
    <row r="182">
      <c r="AP182" s="744" t="n"/>
    </row>
  </sheetData>
  <conditionalFormatting sqref="AP15:AP38">
    <cfRule type="cellIs" priority="1" operator="equal" dxfId="0">
      <formula>"""no"""</formula>
    </cfRule>
  </conditionalFormatting>
  <pageMargins left="0.4" right="0.4" top="0.86" bottom="0.3" header="0.3" footer="0.05"/>
  <pageSetup orientation="landscape" paperSize="17" scale="38" pageOrder="overThenDown" horizontalDpi="4294967292" verticalDpi="4294967292"/>
  <headerFooter>
    <oddHeader>&amp;L&amp;G&amp;C_x000a__x000a_&amp;R&amp;11 &amp;D_x000a_&amp;T</oddHeader>
    <oddFooter>&amp;L&amp;"-,Italic"Confidential</oddFooter>
    <evenHeader/>
    <evenFooter/>
    <firstHeader/>
    <firstFooter/>
  </headerFooter>
  <rowBreaks count="2" manualBreakCount="2">
    <brk id="49" min="1" max="40" man="1"/>
    <brk id="87" min="0" max="40" man="1"/>
  </rowBreaks>
  <colBreaks count="2" manualBreakCount="2">
    <brk id="17" min="0" max="1048575" man="1"/>
    <brk id="29" min="0" max="1048575" man="1"/>
  </colBreaks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theme="3"/>
    <outlinePr summaryBelow="1" summaryRight="1"/>
    <pageSetUpPr/>
  </sheetPr>
  <dimension ref="A1:AS214"/>
  <sheetViews>
    <sheetView showGridLines="0" topLeftCell="C101" zoomScale="81" workbookViewId="0">
      <selection activeCell="D113" sqref="D113"/>
    </sheetView>
  </sheetViews>
  <sheetFormatPr baseColWidth="10" defaultColWidth="10.83203125" defaultRowHeight="14"/>
  <cols>
    <col width="2.33203125" customWidth="1" style="3" min="1" max="2"/>
    <col width="30" customWidth="1" style="3" min="3" max="3"/>
    <col width="17" customWidth="1" style="3" min="4" max="4"/>
    <col width="12.5" customWidth="1" style="3" min="5" max="5"/>
    <col width="11" customWidth="1" style="3" min="6" max="7"/>
    <col width="10.83203125" customWidth="1" style="3" min="8" max="8"/>
    <col width="12.5" customWidth="1" style="3" min="9" max="9"/>
    <col width="11" bestFit="1" customWidth="1" style="3" min="10" max="10"/>
    <col width="10.83203125" customWidth="1" style="3" min="11" max="11"/>
    <col width="11.83203125" customWidth="1" style="3" min="12" max="13"/>
    <col width="11" customWidth="1" style="3" min="14" max="15"/>
    <col width="16" customWidth="1" style="3" min="16" max="17"/>
    <col width="11" customWidth="1" style="3" min="18" max="22"/>
    <col width="13" customWidth="1" style="3" min="23" max="23"/>
    <col width="11" customWidth="1" style="3" min="24" max="27"/>
    <col width="10.83203125" customWidth="1" style="3" min="28" max="39"/>
    <col width="14.6640625" bestFit="1" customWidth="1" style="3" min="40" max="40"/>
    <col width="10.83203125" customWidth="1" style="3" min="41" max="41"/>
    <col width="12.1640625" customWidth="1" style="3" min="42" max="42"/>
    <col width="10.83203125" customWidth="1" style="3" min="43" max="16384"/>
  </cols>
  <sheetData>
    <row r="1" ht="26" customHeight="1">
      <c r="B1" s="80">
        <f>+Summary!B1</f>
        <v/>
      </c>
      <c r="C1" s="81" t="n"/>
    </row>
    <row r="2" ht="15" customHeight="1">
      <c r="B2" s="82" t="n"/>
      <c r="C2" s="73">
        <f>+Summary!C2</f>
        <v/>
      </c>
    </row>
    <row r="3" ht="15" customHeight="1">
      <c r="C3" s="1278">
        <f>+Summary!C3</f>
        <v/>
      </c>
    </row>
    <row r="4" ht="15" customHeight="1">
      <c r="A4" s="735" t="n"/>
      <c r="B4" s="735" t="n"/>
    </row>
    <row r="5" ht="15" customFormat="1" customHeight="1" s="26">
      <c r="A5" s="735" t="n"/>
      <c r="B5" s="735" t="n"/>
      <c r="C5" s="735" t="n"/>
      <c r="D5" s="735" t="n"/>
      <c r="E5" s="735" t="n"/>
      <c r="F5" s="735" t="n"/>
      <c r="G5" s="735" t="n"/>
      <c r="H5" s="735" t="n"/>
      <c r="I5" s="735" t="n"/>
      <c r="J5" s="735" t="n"/>
      <c r="K5" s="735" t="n"/>
      <c r="L5" s="735" t="n"/>
      <c r="M5" s="735" t="n"/>
      <c r="N5" s="735" t="n"/>
      <c r="O5" s="735" t="n"/>
      <c r="P5" s="735" t="n"/>
      <c r="Q5" s="735" t="n"/>
      <c r="R5" s="735" t="n"/>
      <c r="S5" s="735" t="n"/>
      <c r="T5" s="735" t="n"/>
      <c r="U5" s="735" t="n"/>
      <c r="V5" s="735" t="n"/>
      <c r="W5" s="735" t="n"/>
      <c r="X5" s="735" t="n"/>
      <c r="Y5" s="735" t="n"/>
      <c r="Z5" s="735" t="n"/>
      <c r="AA5" s="735" t="n"/>
      <c r="AB5" s="735" t="n"/>
      <c r="AC5" s="735" t="n"/>
      <c r="AD5" s="735" t="n"/>
      <c r="AE5" s="735" t="n"/>
      <c r="AF5" s="735" t="n"/>
      <c r="AG5" s="735" t="n"/>
      <c r="AH5" s="735" t="n"/>
      <c r="AI5" s="735" t="n"/>
      <c r="AJ5" s="735" t="n"/>
      <c r="AK5" s="735" t="n"/>
      <c r="AL5" s="735" t="n"/>
      <c r="AM5" s="735" t="n"/>
      <c r="AN5" s="735" t="n"/>
      <c r="AO5" s="735" t="n"/>
      <c r="AP5" s="735" t="n"/>
      <c r="AQ5" s="735" t="n"/>
      <c r="AR5" s="735" t="n"/>
      <c r="AS5" s="735" t="n"/>
    </row>
    <row r="6" ht="21" customFormat="1" customHeight="1" s="4">
      <c r="A6" s="735" t="n"/>
      <c r="B6" s="387" t="inlineStr">
        <is>
          <t>EXIT SUMMARY CALCULATIONS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267" t="n"/>
      <c r="W6" s="735" t="n"/>
      <c r="X6" s="8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</row>
    <row r="7" ht="15" customFormat="1" customHeight="1" s="4">
      <c r="A7" s="735" t="n"/>
      <c r="B7" s="735" t="n"/>
      <c r="C7" s="735" t="n"/>
      <c r="D7" s="735" t="n"/>
      <c r="E7" s="735" t="n"/>
      <c r="F7" s="410" t="n"/>
      <c r="G7" s="735" t="n"/>
      <c r="H7" s="735" t="n"/>
      <c r="I7" s="735" t="n"/>
      <c r="J7" s="735" t="n"/>
      <c r="K7" s="735" t="n"/>
      <c r="L7" s="735" t="n"/>
      <c r="M7" s="735" t="n"/>
      <c r="N7" s="735" t="n"/>
      <c r="O7" s="735" t="n"/>
      <c r="P7" s="735" t="n"/>
      <c r="Q7" s="735" t="n"/>
      <c r="R7" s="735" t="n"/>
      <c r="S7" s="735" t="n"/>
      <c r="T7" s="735" t="n"/>
      <c r="U7" s="735" t="n"/>
      <c r="V7" s="735" t="n"/>
      <c r="W7" s="735" t="n"/>
      <c r="X7" s="735" t="n"/>
      <c r="Y7" s="735" t="n"/>
      <c r="Z7" s="735" t="n"/>
      <c r="AA7" s="735" t="n"/>
      <c r="AB7" s="735" t="n"/>
      <c r="AC7" s="735" t="n"/>
      <c r="AD7" s="735" t="n"/>
      <c r="AE7" s="735" t="n"/>
      <c r="AF7" s="735" t="n"/>
      <c r="AG7" s="735" t="n"/>
      <c r="AH7" s="735" t="n"/>
      <c r="AI7" s="735" t="n"/>
      <c r="AJ7" s="735" t="n"/>
      <c r="AK7" s="735" t="n"/>
      <c r="AL7" s="735" t="n"/>
      <c r="AM7" s="735" t="n"/>
      <c r="AN7" s="735" t="n"/>
      <c r="AO7" s="735" t="n"/>
      <c r="AP7" s="735" t="n"/>
      <c r="AQ7" s="735" t="n"/>
      <c r="AR7" s="735" t="n"/>
      <c r="AS7" s="735" t="n"/>
    </row>
    <row r="8" ht="15" customFormat="1" customHeight="1" s="4">
      <c r="A8" s="735" t="n"/>
      <c r="B8" s="735" t="n"/>
      <c r="C8" s="735" t="n"/>
      <c r="D8" s="735" t="n"/>
      <c r="E8" s="735" t="n"/>
      <c r="F8" s="735" t="n"/>
      <c r="G8" s="735" t="n"/>
      <c r="H8" s="735" t="n"/>
      <c r="I8" s="735" t="n"/>
      <c r="J8" s="735" t="n"/>
      <c r="K8" s="735" t="n"/>
      <c r="L8" s="735" t="n"/>
      <c r="M8" s="735" t="n"/>
      <c r="N8" s="735" t="n"/>
      <c r="O8" s="735" t="n"/>
      <c r="P8" s="735" t="n"/>
      <c r="Q8" s="735" t="n"/>
      <c r="R8" s="735" t="n"/>
      <c r="S8" s="735" t="n"/>
      <c r="T8" s="735" t="n"/>
      <c r="U8" s="735" t="n"/>
      <c r="V8" s="735" t="n"/>
      <c r="W8" s="735" t="n"/>
      <c r="X8" s="735" t="n"/>
      <c r="Y8" s="735" t="n"/>
      <c r="Z8" s="735" t="n"/>
      <c r="AA8" s="735" t="n"/>
      <c r="AB8" s="735" t="n"/>
      <c r="AC8" s="735" t="n"/>
      <c r="AD8" s="735" t="n"/>
      <c r="AE8" s="735" t="n"/>
      <c r="AF8" s="735" t="n"/>
      <c r="AG8" s="735" t="n"/>
      <c r="AH8" s="735" t="n"/>
      <c r="AI8" s="735" t="n"/>
      <c r="AJ8" s="735" t="n"/>
      <c r="AK8" s="735" t="n"/>
      <c r="AL8" s="735" t="n"/>
      <c r="AM8" s="735" t="n"/>
      <c r="AN8" s="735" t="n"/>
      <c r="AO8" s="735" t="n"/>
      <c r="AP8" s="744" t="n"/>
      <c r="AQ8" s="735" t="n"/>
      <c r="AR8" s="735" t="n"/>
      <c r="AS8" s="735" t="n"/>
    </row>
    <row r="9" ht="15" customFormat="1" customHeight="1" s="44">
      <c r="C9" s="7" t="inlineStr">
        <is>
          <t>STABILIZATION SCHEDULE</t>
        </is>
      </c>
      <c r="E9" s="48">
        <f>+'Draw and Leaseup Schedule'!E9</f>
        <v/>
      </c>
      <c r="F9" s="48">
        <f>+'Draw and Leaseup Schedule'!F9</f>
        <v/>
      </c>
      <c r="G9" s="48">
        <f>+'Draw and Leaseup Schedule'!G9</f>
        <v/>
      </c>
      <c r="H9" s="48">
        <f>+'Draw and Leaseup Schedule'!H9</f>
        <v/>
      </c>
      <c r="I9" s="48">
        <f>+'Draw and Leaseup Schedule'!I9</f>
        <v/>
      </c>
      <c r="J9" s="48">
        <f>+'Draw and Leaseup Schedule'!J9</f>
        <v/>
      </c>
      <c r="K9" s="48">
        <f>+'Draw and Leaseup Schedule'!K9</f>
        <v/>
      </c>
      <c r="L9" s="48">
        <f>+'Draw and Leaseup Schedule'!L9</f>
        <v/>
      </c>
      <c r="M9" s="48">
        <f>+'Draw and Leaseup Schedule'!M9</f>
        <v/>
      </c>
      <c r="N9" s="48">
        <f>+'Draw and Leaseup Schedule'!N9</f>
        <v/>
      </c>
      <c r="O9" s="48">
        <f>+'Draw and Leaseup Schedule'!O9</f>
        <v/>
      </c>
      <c r="P9" s="48">
        <f>+'Draw and Leaseup Schedule'!P9</f>
        <v/>
      </c>
      <c r="Q9" s="48">
        <f>+'Draw and Leaseup Schedule'!Q9</f>
        <v/>
      </c>
      <c r="R9" s="48">
        <f>+'Draw and Leaseup Schedule'!R9</f>
        <v/>
      </c>
      <c r="S9" s="48">
        <f>+'Draw and Leaseup Schedule'!S9</f>
        <v/>
      </c>
      <c r="T9" s="48">
        <f>+'Draw and Leaseup Schedule'!T9</f>
        <v/>
      </c>
      <c r="U9" s="48">
        <f>+'Draw and Leaseup Schedule'!U9</f>
        <v/>
      </c>
      <c r="V9" s="48">
        <f>+'Draw and Leaseup Schedule'!V9</f>
        <v/>
      </c>
      <c r="W9" s="48">
        <f>+'Draw and Leaseup Schedule'!W9</f>
        <v/>
      </c>
      <c r="X9" s="48">
        <f>+'Draw and Leaseup Schedule'!X9</f>
        <v/>
      </c>
      <c r="Y9" s="48">
        <f>+'Draw and Leaseup Schedule'!Y9</f>
        <v/>
      </c>
      <c r="Z9" s="48">
        <f>+'Draw and Leaseup Schedule'!Z9</f>
        <v/>
      </c>
      <c r="AA9" s="48">
        <f>+'Draw and Leaseup Schedule'!AA9</f>
        <v/>
      </c>
      <c r="AB9" s="48">
        <f>+'Draw and Leaseup Schedule'!AB9</f>
        <v/>
      </c>
      <c r="AC9" s="48">
        <f>+'Draw and Leaseup Schedule'!AC9</f>
        <v/>
      </c>
      <c r="AD9" s="48">
        <f>+'Draw and Leaseup Schedule'!AD9</f>
        <v/>
      </c>
      <c r="AE9" s="48">
        <f>+'Draw and Leaseup Schedule'!AE9</f>
        <v/>
      </c>
      <c r="AF9" s="48">
        <f>+'Draw and Leaseup Schedule'!AF9</f>
        <v/>
      </c>
      <c r="AG9" s="48">
        <f>+'Draw and Leaseup Schedule'!AG9</f>
        <v/>
      </c>
      <c r="AH9" s="48">
        <f>+'Draw and Leaseup Schedule'!AH9</f>
        <v/>
      </c>
      <c r="AI9" s="48">
        <f>+'Draw and Leaseup Schedule'!AI9</f>
        <v/>
      </c>
      <c r="AJ9" s="48">
        <f>+'Draw and Leaseup Schedule'!AJ9</f>
        <v/>
      </c>
      <c r="AK9" s="48">
        <f>+'Draw and Leaseup Schedule'!AK9</f>
        <v/>
      </c>
      <c r="AL9" s="48">
        <f>+'Draw and Leaseup Schedule'!AL9</f>
        <v/>
      </c>
      <c r="AM9" s="48">
        <f>+'Draw and Leaseup Schedule'!AM9</f>
        <v/>
      </c>
      <c r="AN9" s="48">
        <f>+'Draw and Leaseup Schedule'!AN9</f>
        <v/>
      </c>
      <c r="AP9" s="48" t="n"/>
    </row>
    <row r="10" ht="15" customFormat="1" customHeight="1" s="4">
      <c r="A10" s="735" t="n"/>
      <c r="B10" s="735" t="n"/>
      <c r="C10" s="7" t="inlineStr">
        <is>
          <t>LEASE UP SCHEDULE</t>
        </is>
      </c>
      <c r="D10" s="735" t="n"/>
      <c r="E10" s="744">
        <f>+'Draw and Leaseup Schedule'!E10</f>
        <v/>
      </c>
      <c r="F10" s="744">
        <f>+'Draw and Leaseup Schedule'!F10</f>
        <v/>
      </c>
      <c r="G10" s="744">
        <f>+'Draw and Leaseup Schedule'!G10</f>
        <v/>
      </c>
      <c r="H10" s="744">
        <f>+'Draw and Leaseup Schedule'!H10</f>
        <v/>
      </c>
      <c r="I10" s="744">
        <f>+'Draw and Leaseup Schedule'!I10</f>
        <v/>
      </c>
      <c r="J10" s="744">
        <f>+'Draw and Leaseup Schedule'!J10</f>
        <v/>
      </c>
      <c r="K10" s="744">
        <f>+'Draw and Leaseup Schedule'!K10</f>
        <v/>
      </c>
      <c r="L10" s="744">
        <f>+'Draw and Leaseup Schedule'!L10</f>
        <v/>
      </c>
      <c r="M10" s="744">
        <f>+'Draw and Leaseup Schedule'!M10</f>
        <v/>
      </c>
      <c r="N10" s="744">
        <f>+'Draw and Leaseup Schedule'!N10</f>
        <v/>
      </c>
      <c r="O10" s="744">
        <f>+'Draw and Leaseup Schedule'!O10</f>
        <v/>
      </c>
      <c r="P10" s="744">
        <f>+'Draw and Leaseup Schedule'!P10</f>
        <v/>
      </c>
      <c r="Q10" s="744">
        <f>+'Draw and Leaseup Schedule'!Q10</f>
        <v/>
      </c>
      <c r="R10" s="744">
        <f>+'Draw and Leaseup Schedule'!R10</f>
        <v/>
      </c>
      <c r="S10" s="744">
        <f>+'Draw and Leaseup Schedule'!S10</f>
        <v/>
      </c>
      <c r="T10" s="744">
        <f>+'Draw and Leaseup Schedule'!T10</f>
        <v/>
      </c>
      <c r="U10" s="744">
        <f>+'Draw and Leaseup Schedule'!U10</f>
        <v/>
      </c>
      <c r="V10" s="744">
        <f>+'Draw and Leaseup Schedule'!V10</f>
        <v/>
      </c>
      <c r="W10" s="744">
        <f>+'Draw and Leaseup Schedule'!W10</f>
        <v/>
      </c>
      <c r="X10" s="744">
        <f>+'Draw and Leaseup Schedule'!X10</f>
        <v/>
      </c>
      <c r="Y10" s="744">
        <f>+'Draw and Leaseup Schedule'!Y10</f>
        <v/>
      </c>
      <c r="Z10" s="744">
        <f>+'Draw and Leaseup Schedule'!Z10</f>
        <v/>
      </c>
      <c r="AA10" s="744">
        <f>+'Draw and Leaseup Schedule'!AA10</f>
        <v/>
      </c>
      <c r="AB10" s="744">
        <f>+'Draw and Leaseup Schedule'!AB10</f>
        <v/>
      </c>
      <c r="AC10" s="744">
        <f>+'Draw and Leaseup Schedule'!AC10</f>
        <v/>
      </c>
      <c r="AD10" s="744">
        <f>+'Draw and Leaseup Schedule'!AD10</f>
        <v/>
      </c>
      <c r="AE10" s="744">
        <f>+'Draw and Leaseup Schedule'!AE10</f>
        <v/>
      </c>
      <c r="AF10" s="744">
        <f>+'Draw and Leaseup Schedule'!AF10</f>
        <v/>
      </c>
      <c r="AG10" s="744">
        <f>+'Draw and Leaseup Schedule'!AG10</f>
        <v/>
      </c>
      <c r="AH10" s="744">
        <f>+'Draw and Leaseup Schedule'!AH10</f>
        <v/>
      </c>
      <c r="AI10" s="744">
        <f>+'Draw and Leaseup Schedule'!AI10</f>
        <v/>
      </c>
      <c r="AJ10" s="744">
        <f>+'Draw and Leaseup Schedule'!AJ10</f>
        <v/>
      </c>
      <c r="AK10" s="744">
        <f>+'Draw and Leaseup Schedule'!AK10</f>
        <v/>
      </c>
      <c r="AL10" s="744">
        <f>+'Draw and Leaseup Schedule'!AL10</f>
        <v/>
      </c>
      <c r="AM10" s="744">
        <f>+'Draw and Leaseup Schedule'!AM10</f>
        <v/>
      </c>
      <c r="AN10" s="744">
        <f>+'Draw and Leaseup Schedule'!AN10</f>
        <v/>
      </c>
      <c r="AO10" s="735" t="n"/>
      <c r="AP10" s="744" t="n"/>
      <c r="AQ10" s="735" t="n"/>
      <c r="AR10" s="735" t="n"/>
      <c r="AS10" s="735" t="n"/>
    </row>
    <row r="11" ht="16" customFormat="1" customHeight="1" s="4">
      <c r="A11" s="735" t="n"/>
      <c r="B11" s="735" t="n"/>
      <c r="C11" s="7" t="inlineStr">
        <is>
          <t>MONTH SCHEDULE</t>
        </is>
      </c>
      <c r="D11" s="735" t="n"/>
      <c r="E11" s="383">
        <f>+'Draw and Leaseup Schedule'!E11</f>
        <v/>
      </c>
      <c r="F11" s="384">
        <f>+'Draw and Leaseup Schedule'!F11</f>
        <v/>
      </c>
      <c r="G11" s="384">
        <f>+'Draw and Leaseup Schedule'!G11</f>
        <v/>
      </c>
      <c r="H11" s="384">
        <f>+'Draw and Leaseup Schedule'!H11</f>
        <v/>
      </c>
      <c r="I11" s="384">
        <f>+'Draw and Leaseup Schedule'!I11</f>
        <v/>
      </c>
      <c r="J11" s="384">
        <f>+'Draw and Leaseup Schedule'!J11</f>
        <v/>
      </c>
      <c r="K11" s="384">
        <f>+'Draw and Leaseup Schedule'!K11</f>
        <v/>
      </c>
      <c r="L11" s="384">
        <f>+'Draw and Leaseup Schedule'!L11</f>
        <v/>
      </c>
      <c r="M11" s="384">
        <f>+'Draw and Leaseup Schedule'!M11</f>
        <v/>
      </c>
      <c r="N11" s="384">
        <f>+'Draw and Leaseup Schedule'!N11</f>
        <v/>
      </c>
      <c r="O11" s="384">
        <f>+'Draw and Leaseup Schedule'!O11</f>
        <v/>
      </c>
      <c r="P11" s="384">
        <f>+'Draw and Leaseup Schedule'!P11</f>
        <v/>
      </c>
      <c r="Q11" s="384">
        <f>+'Draw and Leaseup Schedule'!Q11</f>
        <v/>
      </c>
      <c r="R11" s="384">
        <f>+'Draw and Leaseup Schedule'!R11</f>
        <v/>
      </c>
      <c r="S11" s="384">
        <f>+'Draw and Leaseup Schedule'!S11</f>
        <v/>
      </c>
      <c r="T11" s="384">
        <f>+'Draw and Leaseup Schedule'!T11</f>
        <v/>
      </c>
      <c r="U11" s="384">
        <f>+'Draw and Leaseup Schedule'!U11</f>
        <v/>
      </c>
      <c r="V11" s="384">
        <f>+'Draw and Leaseup Schedule'!V11</f>
        <v/>
      </c>
      <c r="W11" s="384">
        <f>+'Draw and Leaseup Schedule'!W11</f>
        <v/>
      </c>
      <c r="X11" s="384">
        <f>+'Draw and Leaseup Schedule'!X11</f>
        <v/>
      </c>
      <c r="Y11" s="384">
        <f>+'Draw and Leaseup Schedule'!Y11</f>
        <v/>
      </c>
      <c r="Z11" s="384">
        <f>+'Draw and Leaseup Schedule'!Z11</f>
        <v/>
      </c>
      <c r="AA11" s="384">
        <f>+'Draw and Leaseup Schedule'!AA11</f>
        <v/>
      </c>
      <c r="AB11" s="384">
        <f>+'Draw and Leaseup Schedule'!AB11</f>
        <v/>
      </c>
      <c r="AC11" s="384">
        <f>+'Draw and Leaseup Schedule'!AC11</f>
        <v/>
      </c>
      <c r="AD11" s="384">
        <f>+'Draw and Leaseup Schedule'!AD11</f>
        <v/>
      </c>
      <c r="AE11" s="384">
        <f>+'Draw and Leaseup Schedule'!AE11</f>
        <v/>
      </c>
      <c r="AF11" s="384">
        <f>+'Draw and Leaseup Schedule'!AF11</f>
        <v/>
      </c>
      <c r="AG11" s="384">
        <f>+'Draw and Leaseup Schedule'!AG11</f>
        <v/>
      </c>
      <c r="AH11" s="384">
        <f>+'Draw and Leaseup Schedule'!AH11</f>
        <v/>
      </c>
      <c r="AI11" s="384">
        <f>+'Draw and Leaseup Schedule'!AI11</f>
        <v/>
      </c>
      <c r="AJ11" s="384">
        <f>+'Draw and Leaseup Schedule'!AJ11</f>
        <v/>
      </c>
      <c r="AK11" s="384">
        <f>+'Draw and Leaseup Schedule'!AK11</f>
        <v/>
      </c>
      <c r="AL11" s="384">
        <f>+'Draw and Leaseup Schedule'!AL11</f>
        <v/>
      </c>
      <c r="AM11" s="384">
        <f>+'Draw and Leaseup Schedule'!AM11</f>
        <v/>
      </c>
      <c r="AN11" s="384">
        <f>+'Draw and Leaseup Schedule'!AN11</f>
        <v/>
      </c>
      <c r="AO11" s="735" t="n"/>
      <c r="AP11" s="744" t="n"/>
      <c r="AQ11" s="735" t="n"/>
      <c r="AR11" s="735" t="n"/>
      <c r="AS11" s="735" t="n"/>
    </row>
    <row r="12" ht="15" customFormat="1" customHeight="1" s="4">
      <c r="A12" s="735" t="n"/>
      <c r="B12" s="735" t="n"/>
      <c r="C12" s="7" t="inlineStr">
        <is>
          <t>DAYS IN MONTH</t>
        </is>
      </c>
      <c r="D12" s="735" t="n"/>
      <c r="E12" s="8">
        <f>+'Draw and Leaseup Schedule'!E12</f>
        <v/>
      </c>
      <c r="F12" s="8">
        <f>+'Draw and Leaseup Schedule'!F12</f>
        <v/>
      </c>
      <c r="G12" s="8">
        <f>+'Draw and Leaseup Schedule'!G12</f>
        <v/>
      </c>
      <c r="H12" s="8">
        <f>+'Draw and Leaseup Schedule'!H12</f>
        <v/>
      </c>
      <c r="I12" s="8">
        <f>+'Draw and Leaseup Schedule'!I12</f>
        <v/>
      </c>
      <c r="J12" s="8">
        <f>+'Draw and Leaseup Schedule'!J12</f>
        <v/>
      </c>
      <c r="K12" s="8">
        <f>+'Draw and Leaseup Schedule'!K12</f>
        <v/>
      </c>
      <c r="L12" s="8">
        <f>+'Draw and Leaseup Schedule'!L12</f>
        <v/>
      </c>
      <c r="M12" s="8">
        <f>+'Draw and Leaseup Schedule'!M12</f>
        <v/>
      </c>
      <c r="N12" s="8">
        <f>+'Draw and Leaseup Schedule'!N12</f>
        <v/>
      </c>
      <c r="O12" s="8">
        <f>+'Draw and Leaseup Schedule'!O12</f>
        <v/>
      </c>
      <c r="P12" s="8">
        <f>+'Draw and Leaseup Schedule'!P12</f>
        <v/>
      </c>
      <c r="Q12" s="8">
        <f>+'Draw and Leaseup Schedule'!Q12</f>
        <v/>
      </c>
      <c r="R12" s="8">
        <f>+'Draw and Leaseup Schedule'!R12</f>
        <v/>
      </c>
      <c r="S12" s="8">
        <f>+'Draw and Leaseup Schedule'!S12</f>
        <v/>
      </c>
      <c r="T12" s="8">
        <f>+'Draw and Leaseup Schedule'!T12</f>
        <v/>
      </c>
      <c r="U12" s="8">
        <f>+'Draw and Leaseup Schedule'!U12</f>
        <v/>
      </c>
      <c r="V12" s="8">
        <f>+'Draw and Leaseup Schedule'!V12</f>
        <v/>
      </c>
      <c r="W12" s="8">
        <f>+'Draw and Leaseup Schedule'!W12</f>
        <v/>
      </c>
      <c r="X12" s="8">
        <f>+'Draw and Leaseup Schedule'!X12</f>
        <v/>
      </c>
      <c r="Y12" s="8">
        <f>+'Draw and Leaseup Schedule'!Y12</f>
        <v/>
      </c>
      <c r="Z12" s="8">
        <f>+'Draw and Leaseup Schedule'!Z12</f>
        <v/>
      </c>
      <c r="AA12" s="8">
        <f>+'Draw and Leaseup Schedule'!AA12</f>
        <v/>
      </c>
      <c r="AB12" s="8">
        <f>+'Draw and Leaseup Schedule'!AB12</f>
        <v/>
      </c>
      <c r="AC12" s="8">
        <f>+'Draw and Leaseup Schedule'!AC12</f>
        <v/>
      </c>
      <c r="AD12" s="8">
        <f>+'Draw and Leaseup Schedule'!AD12</f>
        <v/>
      </c>
      <c r="AE12" s="8">
        <f>+'Draw and Leaseup Schedule'!AE12</f>
        <v/>
      </c>
      <c r="AF12" s="8">
        <f>+'Draw and Leaseup Schedule'!AF12</f>
        <v/>
      </c>
      <c r="AG12" s="8">
        <f>+'Draw and Leaseup Schedule'!AG12</f>
        <v/>
      </c>
      <c r="AH12" s="8">
        <f>+'Draw and Leaseup Schedule'!AH12</f>
        <v/>
      </c>
      <c r="AI12" s="8">
        <f>+'Draw and Leaseup Schedule'!AI12</f>
        <v/>
      </c>
      <c r="AJ12" s="8">
        <f>+'Draw and Leaseup Schedule'!AJ12</f>
        <v/>
      </c>
      <c r="AK12" s="8">
        <f>+'Draw and Leaseup Schedule'!AK12</f>
        <v/>
      </c>
      <c r="AL12" s="8">
        <f>+'Draw and Leaseup Schedule'!AL12</f>
        <v/>
      </c>
      <c r="AM12" s="8">
        <f>+'Draw and Leaseup Schedule'!AM12</f>
        <v/>
      </c>
      <c r="AN12" s="8">
        <f>+'Draw and Leaseup Schedule'!AN12</f>
        <v/>
      </c>
      <c r="AO12" s="735" t="n"/>
      <c r="AP12" s="744" t="n"/>
      <c r="AQ12" s="735" t="n"/>
      <c r="AR12" s="735" t="n"/>
      <c r="AS12" s="735" t="n"/>
    </row>
    <row r="13" ht="15" customFormat="1" customHeight="1" s="4">
      <c r="A13" s="735" t="n"/>
      <c r="B13" s="735" t="n"/>
      <c r="C13" s="7" t="inlineStr">
        <is>
          <t>MONTH</t>
        </is>
      </c>
      <c r="D13" s="9" t="n"/>
      <c r="E13" s="714">
        <f>+'Draw and Leaseup Schedule'!E13</f>
        <v/>
      </c>
      <c r="F13" s="715">
        <f>+'Draw and Leaseup Schedule'!F13</f>
        <v/>
      </c>
      <c r="G13" s="715">
        <f>+'Draw and Leaseup Schedule'!G13</f>
        <v/>
      </c>
      <c r="H13" s="715">
        <f>+'Draw and Leaseup Schedule'!H13</f>
        <v/>
      </c>
      <c r="I13" s="715">
        <f>+'Draw and Leaseup Schedule'!I13</f>
        <v/>
      </c>
      <c r="J13" s="715">
        <f>+'Draw and Leaseup Schedule'!J13</f>
        <v/>
      </c>
      <c r="K13" s="715">
        <f>+'Draw and Leaseup Schedule'!K13</f>
        <v/>
      </c>
      <c r="L13" s="715">
        <f>+'Draw and Leaseup Schedule'!L13</f>
        <v/>
      </c>
      <c r="M13" s="715">
        <f>+'Draw and Leaseup Schedule'!M13</f>
        <v/>
      </c>
      <c r="N13" s="715">
        <f>+'Draw and Leaseup Schedule'!N13</f>
        <v/>
      </c>
      <c r="O13" s="715">
        <f>+'Draw and Leaseup Schedule'!O13</f>
        <v/>
      </c>
      <c r="P13" s="715">
        <f>+'Draw and Leaseup Schedule'!P13</f>
        <v/>
      </c>
      <c r="Q13" s="715">
        <f>+'Draw and Leaseup Schedule'!Q13</f>
        <v/>
      </c>
      <c r="R13" s="715">
        <f>+'Draw and Leaseup Schedule'!R13</f>
        <v/>
      </c>
      <c r="S13" s="715">
        <f>+'Draw and Leaseup Schedule'!S13</f>
        <v/>
      </c>
      <c r="T13" s="715">
        <f>+'Draw and Leaseup Schedule'!T13</f>
        <v/>
      </c>
      <c r="U13" s="715">
        <f>+'Draw and Leaseup Schedule'!U13</f>
        <v/>
      </c>
      <c r="V13" s="715">
        <f>+'Draw and Leaseup Schedule'!V13</f>
        <v/>
      </c>
      <c r="W13" s="715">
        <f>+'Draw and Leaseup Schedule'!W13</f>
        <v/>
      </c>
      <c r="X13" s="715">
        <f>+'Draw and Leaseup Schedule'!X13</f>
        <v/>
      </c>
      <c r="Y13" s="715">
        <f>+'Draw and Leaseup Schedule'!Y13</f>
        <v/>
      </c>
      <c r="Z13" s="715">
        <f>+'Draw and Leaseup Schedule'!Z13</f>
        <v/>
      </c>
      <c r="AA13" s="715">
        <f>+'Draw and Leaseup Schedule'!AA13</f>
        <v/>
      </c>
      <c r="AB13" s="715">
        <f>+'Draw and Leaseup Schedule'!AB13</f>
        <v/>
      </c>
      <c r="AC13" s="715">
        <f>+'Draw and Leaseup Schedule'!AC13</f>
        <v/>
      </c>
      <c r="AD13" s="715">
        <f>+'Draw and Leaseup Schedule'!AD13</f>
        <v/>
      </c>
      <c r="AE13" s="715">
        <f>+'Draw and Leaseup Schedule'!AE13</f>
        <v/>
      </c>
      <c r="AF13" s="715">
        <f>+'Draw and Leaseup Schedule'!AF13</f>
        <v/>
      </c>
      <c r="AG13" s="715">
        <f>+'Draw and Leaseup Schedule'!AG13</f>
        <v/>
      </c>
      <c r="AH13" s="715">
        <f>+'Draw and Leaseup Schedule'!AH13</f>
        <v/>
      </c>
      <c r="AI13" s="715">
        <f>+'Draw and Leaseup Schedule'!AI13</f>
        <v/>
      </c>
      <c r="AJ13" s="715">
        <f>+'Draw and Leaseup Schedule'!AJ13</f>
        <v/>
      </c>
      <c r="AK13" s="715">
        <f>+'Draw and Leaseup Schedule'!AK13</f>
        <v/>
      </c>
      <c r="AL13" s="715">
        <f>+'Draw and Leaseup Schedule'!AL13</f>
        <v/>
      </c>
      <c r="AM13" s="715">
        <f>+'Draw and Leaseup Schedule'!AM13</f>
        <v/>
      </c>
      <c r="AN13" s="715">
        <f>+'Draw and Leaseup Schedule'!AN13</f>
        <v/>
      </c>
      <c r="AO13" s="10" t="n"/>
      <c r="AP13" s="10" t="n"/>
      <c r="AQ13" s="10" t="n"/>
      <c r="AR13" s="10" t="n"/>
      <c r="AS13" s="10" t="n"/>
    </row>
    <row r="14" ht="15" customFormat="1" customHeight="1" s="4">
      <c r="A14" s="735" t="n"/>
      <c r="B14" s="735" t="n"/>
      <c r="C14" s="735" t="n"/>
      <c r="D14" s="735" t="n"/>
      <c r="E14" s="780" t="n"/>
      <c r="F14" s="780" t="n"/>
      <c r="G14" s="780" t="n"/>
      <c r="H14" s="780" t="n"/>
      <c r="I14" s="780" t="n"/>
      <c r="J14" s="780" t="n"/>
      <c r="K14" s="780" t="n"/>
      <c r="L14" s="780" t="n"/>
      <c r="M14" s="780" t="n"/>
      <c r="N14" s="780" t="n"/>
      <c r="O14" s="780" t="n"/>
      <c r="P14" s="780" t="n"/>
      <c r="Q14" s="780" t="n"/>
      <c r="R14" s="780" t="n"/>
      <c r="S14" s="780" t="n"/>
      <c r="T14" s="780" t="n"/>
      <c r="U14" s="780" t="n"/>
      <c r="V14" s="780" t="n"/>
      <c r="W14" s="780" t="n"/>
      <c r="X14" s="780" t="n"/>
      <c r="Y14" s="780" t="n"/>
      <c r="Z14" s="780" t="n"/>
      <c r="AA14" s="780" t="n"/>
      <c r="AB14" s="780" t="n"/>
      <c r="AC14" s="780" t="n"/>
      <c r="AD14" s="780" t="n"/>
      <c r="AE14" s="780" t="n"/>
      <c r="AF14" s="780" t="n"/>
      <c r="AG14" s="780" t="n"/>
      <c r="AH14" s="780" t="n"/>
      <c r="AI14" s="780" t="n"/>
      <c r="AJ14" s="780" t="n"/>
      <c r="AK14" s="780" t="n"/>
      <c r="AL14" s="780" t="n"/>
      <c r="AM14" s="780" t="n"/>
      <c r="AN14" s="780" t="n"/>
      <c r="AO14" s="735" t="n"/>
      <c r="AP14" s="744" t="n"/>
      <c r="AQ14" s="735" t="n"/>
      <c r="AR14" s="735" t="n"/>
      <c r="AS14" s="735" t="n"/>
    </row>
    <row r="15" ht="21" customFormat="1" customHeight="1" s="4">
      <c r="A15" s="387" t="inlineStr">
        <is>
          <t>PROJECT RETURNS SUMMARY</t>
        </is>
      </c>
      <c r="B15" s="735" t="n"/>
      <c r="C15" s="885" t="n"/>
      <c r="D15" s="885" t="n"/>
      <c r="E15" s="780" t="n"/>
      <c r="F15" s="780" t="n"/>
      <c r="G15" s="780" t="n"/>
      <c r="H15" s="780" t="n"/>
      <c r="I15" s="780" t="n"/>
      <c r="J15" s="780" t="n"/>
      <c r="K15" s="780" t="n"/>
      <c r="L15" s="780" t="n"/>
      <c r="M15" s="780" t="n"/>
      <c r="N15" s="780" t="n"/>
      <c r="O15" s="780" t="n"/>
      <c r="P15" s="780" t="n"/>
      <c r="Q15" s="780" t="n"/>
      <c r="R15" s="780" t="n"/>
      <c r="S15" s="780" t="n"/>
      <c r="T15" s="780" t="n"/>
      <c r="U15" s="780" t="n"/>
      <c r="V15" s="780" t="n"/>
      <c r="W15" s="780" t="n"/>
      <c r="X15" s="780" t="n"/>
      <c r="Y15" s="780" t="n"/>
      <c r="Z15" s="780" t="n"/>
      <c r="AA15" s="777" t="n"/>
      <c r="AB15" s="777" t="n"/>
      <c r="AC15" s="777" t="n"/>
      <c r="AD15" s="777" t="n"/>
      <c r="AE15" s="777" t="n"/>
      <c r="AF15" s="777" t="n"/>
      <c r="AG15" s="777" t="n"/>
      <c r="AH15" s="777" t="n"/>
      <c r="AI15" s="777" t="n"/>
      <c r="AJ15" s="777" t="n"/>
      <c r="AK15" s="777" t="n"/>
      <c r="AL15" s="777" t="n"/>
      <c r="AM15" s="777" t="n"/>
      <c r="AN15" s="777" t="n"/>
      <c r="AO15" s="885" t="n"/>
      <c r="AP15" s="905" t="n"/>
      <c r="AQ15" s="885" t="n"/>
      <c r="AR15" s="885" t="n"/>
      <c r="AS15" s="885" t="n"/>
    </row>
    <row r="16" ht="15" customFormat="1" customHeight="1" s="4">
      <c r="A16" s="735" t="n"/>
      <c r="B16" s="6" t="inlineStr">
        <is>
          <t xml:space="preserve">UNTRENDED </t>
        </is>
      </c>
      <c r="C16" s="885" t="n"/>
      <c r="D16" s="885" t="n"/>
      <c r="E16" s="780" t="n"/>
      <c r="F16" s="780" t="n"/>
      <c r="G16" s="780" t="n"/>
      <c r="H16" s="780" t="n"/>
      <c r="I16" s="780" t="n"/>
      <c r="J16" s="780" t="n"/>
      <c r="K16" s="780" t="n"/>
      <c r="L16" s="780" t="n"/>
      <c r="M16" s="780" t="n"/>
      <c r="N16" s="780" t="n"/>
      <c r="O16" s="780" t="n"/>
      <c r="P16" s="780" t="n"/>
      <c r="Q16" s="780" t="n"/>
      <c r="R16" s="780" t="n"/>
      <c r="S16" s="780" t="n"/>
      <c r="T16" s="780" t="n"/>
      <c r="U16" s="780" t="n"/>
      <c r="V16" s="780" t="n"/>
      <c r="W16" s="780" t="n"/>
      <c r="X16" s="780" t="n"/>
      <c r="Y16" s="780" t="n"/>
      <c r="Z16" s="780" t="n"/>
      <c r="AA16" s="777" t="n"/>
      <c r="AB16" s="777" t="n"/>
      <c r="AC16" s="777" t="n"/>
      <c r="AD16" s="777" t="n"/>
      <c r="AE16" s="777" t="n"/>
      <c r="AF16" s="777" t="n"/>
      <c r="AG16" s="777" t="n"/>
      <c r="AH16" s="777" t="n"/>
      <c r="AI16" s="777" t="n"/>
      <c r="AJ16" s="777" t="n"/>
      <c r="AK16" s="777" t="n"/>
      <c r="AL16" s="777" t="n"/>
      <c r="AM16" s="777" t="n"/>
      <c r="AN16" s="777" t="n"/>
      <c r="AO16" s="16" t="n"/>
      <c r="AP16" s="905" t="n"/>
      <c r="AQ16" s="885" t="n"/>
      <c r="AR16" s="885" t="n"/>
      <c r="AS16" s="885" t="n"/>
    </row>
    <row r="17" ht="15" customFormat="1" customHeight="1" s="4">
      <c r="A17" s="735" t="n"/>
      <c r="B17" s="735" t="n"/>
      <c r="C17" s="885" t="inlineStr">
        <is>
          <t>PROJECT EQUITY IN/OUT</t>
        </is>
      </c>
      <c r="D17" s="937" t="n"/>
      <c r="E17" s="780">
        <f>-Summary!E68</f>
        <v/>
      </c>
      <c r="F17" s="780">
        <f>'Draw and Leaseup Schedule'!F86</f>
        <v/>
      </c>
      <c r="G17" s="780">
        <f>'Draw and Leaseup Schedule'!G86</f>
        <v/>
      </c>
      <c r="H17" s="780">
        <f>'Draw and Leaseup Schedule'!H86</f>
        <v/>
      </c>
      <c r="I17" s="780">
        <f>'Draw and Leaseup Schedule'!I86</f>
        <v/>
      </c>
      <c r="J17" s="780">
        <f>'Draw and Leaseup Schedule'!J86</f>
        <v/>
      </c>
      <c r="K17" s="780">
        <f>'Draw and Leaseup Schedule'!K86</f>
        <v/>
      </c>
      <c r="L17" s="780">
        <f>'Draw and Leaseup Schedule'!L86</f>
        <v/>
      </c>
      <c r="M17" s="780">
        <f>'Draw and Leaseup Schedule'!M86</f>
        <v/>
      </c>
      <c r="N17" s="780">
        <f>'Draw and Leaseup Schedule'!N86</f>
        <v/>
      </c>
      <c r="O17" s="780">
        <f>'Draw and Leaseup Schedule'!O86</f>
        <v/>
      </c>
      <c r="P17" s="780">
        <f>'Draw and Leaseup Schedule'!P86</f>
        <v/>
      </c>
      <c r="Q17" s="780">
        <f>'Draw and Leaseup Schedule'!Q86</f>
        <v/>
      </c>
      <c r="R17" s="780">
        <f>'Draw and Leaseup Schedule'!R86</f>
        <v/>
      </c>
      <c r="S17" s="780">
        <f>'Draw and Leaseup Schedule'!S86</f>
        <v/>
      </c>
      <c r="T17" s="780">
        <f>'Draw and Leaseup Schedule'!T86</f>
        <v/>
      </c>
      <c r="U17" s="780">
        <f>'Draw and Leaseup Schedule'!U86</f>
        <v/>
      </c>
      <c r="V17" s="780">
        <f>'Draw and Leaseup Schedule'!V86</f>
        <v/>
      </c>
      <c r="W17" s="780">
        <f>'Draw and Leaseup Schedule'!W86</f>
        <v/>
      </c>
      <c r="X17" s="780">
        <f>'Draw and Leaseup Schedule'!X86</f>
        <v/>
      </c>
      <c r="Y17" s="780">
        <f>'Draw and Leaseup Schedule'!Y86</f>
        <v/>
      </c>
      <c r="Z17" s="780">
        <f>'Draw and Leaseup Schedule'!Z86</f>
        <v/>
      </c>
      <c r="AA17" s="780">
        <f>'Draw and Leaseup Schedule'!AA86</f>
        <v/>
      </c>
      <c r="AB17" s="780">
        <f>'Draw and Leaseup Schedule'!AB86</f>
        <v/>
      </c>
      <c r="AC17" s="780">
        <f>'Draw and Leaseup Schedule'!AC86</f>
        <v/>
      </c>
      <c r="AD17" s="780">
        <f>'Draw and Leaseup Schedule'!AD86</f>
        <v/>
      </c>
      <c r="AE17" s="780">
        <f>'Draw and Leaseup Schedule'!AE86</f>
        <v/>
      </c>
      <c r="AF17" s="780">
        <f>'Draw and Leaseup Schedule'!AF86</f>
        <v/>
      </c>
      <c r="AG17" s="780">
        <f>'Draw and Leaseup Schedule'!AG86</f>
        <v/>
      </c>
      <c r="AH17" s="780">
        <f>'Draw and Leaseup Schedule'!AH86</f>
        <v/>
      </c>
      <c r="AI17" s="780">
        <f>'Draw and Leaseup Schedule'!AI86</f>
        <v/>
      </c>
      <c r="AJ17" s="780">
        <f>'Draw and Leaseup Schedule'!AJ86</f>
        <v/>
      </c>
      <c r="AK17" s="780">
        <f>'Draw and Leaseup Schedule'!AK86</f>
        <v/>
      </c>
      <c r="AL17" s="780">
        <f>'Draw and Leaseup Schedule'!AL86</f>
        <v/>
      </c>
      <c r="AM17" s="780">
        <f>'Draw and Leaseup Schedule'!AM86</f>
        <v/>
      </c>
      <c r="AN17" s="780">
        <f>'Draw and Leaseup Schedule'!AN86</f>
        <v/>
      </c>
      <c r="AO17" s="735" t="n"/>
      <c r="AP17" s="735" t="n"/>
      <c r="AQ17" s="885" t="n"/>
      <c r="AR17" s="885" t="n"/>
      <c r="AS17" s="885" t="n"/>
    </row>
    <row r="18" ht="15" customFormat="1" customHeight="1" s="4">
      <c r="A18" s="735" t="n"/>
      <c r="B18" s="735" t="n"/>
      <c r="C18" s="885" t="inlineStr">
        <is>
          <t>SALES PROCEEDS</t>
        </is>
      </c>
      <c r="D18" s="937" t="n"/>
      <c r="E18" s="780" t="n"/>
      <c r="F18" s="777" t="n"/>
      <c r="G18" s="777" t="n"/>
      <c r="H18" s="777" t="n"/>
      <c r="I18" s="777" t="n"/>
      <c r="J18" s="777" t="n"/>
      <c r="K18" s="777" t="n"/>
      <c r="L18" s="777" t="n"/>
      <c r="M18" s="777" t="n"/>
      <c r="N18" s="777" t="n"/>
      <c r="O18" s="777" t="n"/>
      <c r="P18" s="777" t="n"/>
      <c r="Q18" s="777" t="n"/>
      <c r="R18" s="777" t="n"/>
      <c r="S18" s="777" t="n"/>
      <c r="T18" s="777" t="n"/>
      <c r="U18" s="777" t="n"/>
      <c r="V18" s="777" t="n"/>
      <c r="W18" s="777" t="n"/>
      <c r="X18" s="777" t="n"/>
      <c r="Y18" s="777" t="n"/>
      <c r="Z18" s="777" t="n"/>
      <c r="AA18" s="777" t="n"/>
      <c r="AB18" s="777" t="n"/>
      <c r="AC18" s="777" t="n"/>
      <c r="AD18" s="777" t="n"/>
      <c r="AE18" s="777" t="n"/>
      <c r="AF18" s="777" t="n"/>
      <c r="AG18" s="777" t="n"/>
      <c r="AH18" s="777" t="n"/>
      <c r="AI18" s="777" t="n"/>
      <c r="AJ18" s="777" t="n"/>
      <c r="AK18" s="777" t="n"/>
      <c r="AL18" s="777" t="n"/>
      <c r="AM18" s="777" t="n"/>
      <c r="AN18" s="780">
        <f>+'Exit Summary'!E32</f>
        <v/>
      </c>
      <c r="AO18" s="937" t="n"/>
      <c r="AP18" s="905" t="n"/>
      <c r="AQ18" s="885" t="n"/>
      <c r="AR18" s="885" t="n"/>
      <c r="AS18" s="885" t="n"/>
    </row>
    <row r="19" ht="15" customFormat="1" customHeight="1" s="4">
      <c r="A19" s="735" t="n"/>
      <c r="B19" s="735" t="n"/>
      <c r="C19" s="885" t="inlineStr">
        <is>
          <t>TOTALS</t>
        </is>
      </c>
      <c r="D19" s="937" t="n"/>
      <c r="E19" s="780">
        <f>+E17+E18</f>
        <v/>
      </c>
      <c r="F19" s="780">
        <f>+F17+F18</f>
        <v/>
      </c>
      <c r="G19" s="780">
        <f>+G17+G18</f>
        <v/>
      </c>
      <c r="H19" s="780">
        <f>+H17+H18</f>
        <v/>
      </c>
      <c r="I19" s="780">
        <f>+I17+I18</f>
        <v/>
      </c>
      <c r="J19" s="780">
        <f>+J17+J18</f>
        <v/>
      </c>
      <c r="K19" s="780">
        <f>+K17+K18</f>
        <v/>
      </c>
      <c r="L19" s="780">
        <f>+L17+L18</f>
        <v/>
      </c>
      <c r="M19" s="780">
        <f>+M17+M18</f>
        <v/>
      </c>
      <c r="N19" s="780">
        <f>+N17+N18</f>
        <v/>
      </c>
      <c r="O19" s="780">
        <f>+O17+O18</f>
        <v/>
      </c>
      <c r="P19" s="780">
        <f>+P17+P18</f>
        <v/>
      </c>
      <c r="Q19" s="780">
        <f>+Q17+Q18</f>
        <v/>
      </c>
      <c r="R19" s="780">
        <f>+R17+R18</f>
        <v/>
      </c>
      <c r="S19" s="780">
        <f>+S17+S18</f>
        <v/>
      </c>
      <c r="T19" s="780">
        <f>+T17+T18</f>
        <v/>
      </c>
      <c r="U19" s="780">
        <f>+U17+U18</f>
        <v/>
      </c>
      <c r="V19" s="780">
        <f>+V17+V18</f>
        <v/>
      </c>
      <c r="W19" s="780">
        <f>+W17+W18</f>
        <v/>
      </c>
      <c r="X19" s="780">
        <f>+X17+X18</f>
        <v/>
      </c>
      <c r="Y19" s="780">
        <f>+Y17+Y18</f>
        <v/>
      </c>
      <c r="Z19" s="780">
        <f>+Z17+Z18</f>
        <v/>
      </c>
      <c r="AA19" s="780">
        <f>+AA17+AA18</f>
        <v/>
      </c>
      <c r="AB19" s="780">
        <f>+AB17+AB18</f>
        <v/>
      </c>
      <c r="AC19" s="780">
        <f>+AC17+AC18</f>
        <v/>
      </c>
      <c r="AD19" s="780">
        <f>+AD17+AD18</f>
        <v/>
      </c>
      <c r="AE19" s="780">
        <f>+AE17+AE18</f>
        <v/>
      </c>
      <c r="AF19" s="780">
        <f>+AF17+AF18</f>
        <v/>
      </c>
      <c r="AG19" s="780">
        <f>+AG17+AG18</f>
        <v/>
      </c>
      <c r="AH19" s="780">
        <f>+AH17+AH18</f>
        <v/>
      </c>
      <c r="AI19" s="780">
        <f>+AI17+AI18</f>
        <v/>
      </c>
      <c r="AJ19" s="780">
        <f>+AJ17+AJ18</f>
        <v/>
      </c>
      <c r="AK19" s="780">
        <f>+AK17+AK18</f>
        <v/>
      </c>
      <c r="AL19" s="780">
        <f>+AL17+AL18</f>
        <v/>
      </c>
      <c r="AM19" s="780">
        <f>+AM17+AM18</f>
        <v/>
      </c>
      <c r="AN19" s="780">
        <f>+AN17+AN18</f>
        <v/>
      </c>
      <c r="AO19" s="937">
        <f>(1+IRR(E19:AN19,0.02))^12-1</f>
        <v/>
      </c>
      <c r="AP19" s="905" t="inlineStr">
        <is>
          <t>&lt;= project IRR</t>
        </is>
      </c>
      <c r="AQ19" s="885" t="n"/>
      <c r="AR19" s="885" t="n"/>
      <c r="AS19" s="885" t="n"/>
    </row>
    <row r="20" ht="15" customFormat="1" customHeight="1" s="4">
      <c r="A20" s="735" t="n"/>
      <c r="B20" s="735" t="n"/>
      <c r="C20" s="885" t="n"/>
      <c r="D20" s="937" t="n"/>
      <c r="E20" s="780" t="n"/>
      <c r="F20" s="780" t="n"/>
      <c r="G20" s="780" t="n"/>
      <c r="H20" s="780" t="n"/>
      <c r="I20" s="780" t="n"/>
      <c r="J20" s="780" t="n"/>
      <c r="K20" s="780" t="n"/>
      <c r="L20" s="780" t="n"/>
      <c r="M20" s="780" t="n"/>
      <c r="N20" s="780" t="n"/>
      <c r="O20" s="780" t="n"/>
      <c r="P20" s="780" t="n"/>
      <c r="Q20" s="780" t="n"/>
      <c r="R20" s="780" t="n"/>
      <c r="S20" s="780" t="n"/>
      <c r="T20" s="780" t="n"/>
      <c r="U20" s="780" t="n"/>
      <c r="V20" s="780" t="n"/>
      <c r="W20" s="780" t="n"/>
      <c r="X20" s="780" t="n"/>
      <c r="Y20" s="780" t="n"/>
      <c r="Z20" s="780" t="n"/>
      <c r="AA20" s="780" t="n"/>
      <c r="AB20" s="780" t="n"/>
      <c r="AC20" s="780" t="n"/>
      <c r="AD20" s="780" t="n"/>
      <c r="AE20" s="780" t="n"/>
      <c r="AF20" s="780" t="n"/>
      <c r="AG20" s="780" t="n"/>
      <c r="AH20" s="780" t="n"/>
      <c r="AI20" s="780" t="n"/>
      <c r="AJ20" s="780" t="n"/>
      <c r="AK20" s="780" t="n"/>
      <c r="AL20" s="780" t="n"/>
      <c r="AM20" s="780" t="n"/>
      <c r="AN20" s="780" t="n"/>
      <c r="AO20" s="937" t="n"/>
      <c r="AP20" s="905" t="n"/>
      <c r="AQ20" s="885" t="n"/>
      <c r="AR20" s="885" t="n"/>
      <c r="AS20" s="885" t="n"/>
    </row>
    <row r="21" ht="15" customHeight="1">
      <c r="B21" s="6" t="inlineStr">
        <is>
          <t>TRENDED - YEAR 3</t>
        </is>
      </c>
      <c r="F21" s="324" t="n"/>
      <c r="G21" s="324" t="n"/>
      <c r="H21" s="324" t="n"/>
      <c r="I21" s="324" t="n"/>
      <c r="J21" s="324" t="n"/>
      <c r="K21" s="324" t="n"/>
      <c r="L21" s="324" t="n"/>
      <c r="M21" s="324" t="n"/>
      <c r="N21" s="324" t="n"/>
      <c r="O21" s="324" t="n"/>
      <c r="P21" s="324" t="n"/>
      <c r="Q21" s="324" t="n"/>
      <c r="R21" s="324" t="n"/>
      <c r="S21" s="324" t="n"/>
      <c r="T21" s="324" t="n"/>
      <c r="U21" s="324" t="n"/>
      <c r="V21" s="324" t="n"/>
      <c r="W21" s="324" t="n"/>
      <c r="X21" s="324" t="n"/>
      <c r="Y21" s="324" t="n"/>
      <c r="Z21" s="324" t="n"/>
      <c r="AA21" s="324" t="n"/>
      <c r="AB21" s="324" t="n"/>
      <c r="AC21" s="324" t="n"/>
      <c r="AD21" s="324" t="n"/>
      <c r="AE21" s="324" t="n"/>
      <c r="AF21" s="324" t="n"/>
      <c r="AG21" s="324" t="n"/>
      <c r="AH21" s="324" t="n"/>
      <c r="AI21" s="324" t="n"/>
      <c r="AJ21" s="324" t="n"/>
      <c r="AK21" s="324" t="n"/>
      <c r="AL21" s="324" t="n"/>
      <c r="AM21" s="324" t="n"/>
      <c r="AN21" s="780" t="n"/>
    </row>
    <row r="22" ht="15" customHeight="1">
      <c r="C22" s="885" t="inlineStr">
        <is>
          <t>PROJECT EQUITY IN/OUT</t>
        </is>
      </c>
      <c r="E22" s="780">
        <f>-Summary!E68</f>
        <v/>
      </c>
      <c r="F22" s="780">
        <f>'Draw and Leaseup Schedule'!F86</f>
        <v/>
      </c>
      <c r="G22" s="780">
        <f>'Draw and Leaseup Schedule'!G86</f>
        <v/>
      </c>
      <c r="H22" s="780">
        <f>'Draw and Leaseup Schedule'!H86</f>
        <v/>
      </c>
      <c r="I22" s="780">
        <f>'Draw and Leaseup Schedule'!I86</f>
        <v/>
      </c>
      <c r="J22" s="780">
        <f>'Draw and Leaseup Schedule'!J86</f>
        <v/>
      </c>
      <c r="K22" s="780">
        <f>'Draw and Leaseup Schedule'!K86</f>
        <v/>
      </c>
      <c r="L22" s="780">
        <f>'Draw and Leaseup Schedule'!L86</f>
        <v/>
      </c>
      <c r="M22" s="780">
        <f>'Draw and Leaseup Schedule'!M86</f>
        <v/>
      </c>
      <c r="N22" s="780">
        <f>'Draw and Leaseup Schedule'!N86</f>
        <v/>
      </c>
      <c r="O22" s="780">
        <f>'Draw and Leaseup Schedule'!O86</f>
        <v/>
      </c>
      <c r="P22" s="780">
        <f>'Draw and Leaseup Schedule'!P86</f>
        <v/>
      </c>
      <c r="Q22" s="780">
        <f>'Draw and Leaseup Schedule'!Q86</f>
        <v/>
      </c>
      <c r="R22" s="780">
        <f>'Draw and Leaseup Schedule'!R86</f>
        <v/>
      </c>
      <c r="S22" s="780">
        <f>'Draw and Leaseup Schedule'!S86</f>
        <v/>
      </c>
      <c r="T22" s="780">
        <f>'Draw and Leaseup Schedule'!T86</f>
        <v/>
      </c>
      <c r="U22" s="780">
        <f>'Draw and Leaseup Schedule'!U86</f>
        <v/>
      </c>
      <c r="V22" s="780">
        <f>'Draw and Leaseup Schedule'!V86</f>
        <v/>
      </c>
      <c r="W22" s="780">
        <f>'Draw and Leaseup Schedule'!W86</f>
        <v/>
      </c>
      <c r="X22" s="780">
        <f>'Draw and Leaseup Schedule'!X86</f>
        <v/>
      </c>
      <c r="Y22" s="780">
        <f>'Draw and Leaseup Schedule'!Y86</f>
        <v/>
      </c>
      <c r="Z22" s="780">
        <f>'Draw and Leaseup Schedule'!Z86</f>
        <v/>
      </c>
      <c r="AA22" s="780">
        <f>'Draw and Leaseup Schedule'!AA86</f>
        <v/>
      </c>
      <c r="AB22" s="780">
        <f>'Draw and Leaseup Schedule'!AB86</f>
        <v/>
      </c>
      <c r="AC22" s="780">
        <f>'Draw and Leaseup Schedule'!AC86</f>
        <v/>
      </c>
      <c r="AD22" s="780">
        <f>'Draw and Leaseup Schedule'!AD86</f>
        <v/>
      </c>
      <c r="AE22" s="780">
        <f>'Draw and Leaseup Schedule'!AE86</f>
        <v/>
      </c>
      <c r="AF22" s="780">
        <f>'Draw and Leaseup Schedule'!AF86</f>
        <v/>
      </c>
      <c r="AG22" s="780">
        <f>'Draw and Leaseup Schedule'!AG86</f>
        <v/>
      </c>
      <c r="AH22" s="780">
        <f>'Draw and Leaseup Schedule'!AH86</f>
        <v/>
      </c>
      <c r="AI22" s="780">
        <f>'Draw and Leaseup Schedule'!AI86</f>
        <v/>
      </c>
      <c r="AJ22" s="780">
        <f>'Draw and Leaseup Schedule'!AJ86</f>
        <v/>
      </c>
      <c r="AK22" s="780">
        <f>'Draw and Leaseup Schedule'!AK86</f>
        <v/>
      </c>
      <c r="AL22" s="780">
        <f>'Draw and Leaseup Schedule'!AL86</f>
        <v/>
      </c>
      <c r="AM22" s="780">
        <f>'Draw and Leaseup Schedule'!AM86</f>
        <v/>
      </c>
      <c r="AN22" s="780">
        <f>'Draw and Leaseup Schedule'!AN86</f>
        <v/>
      </c>
    </row>
    <row r="23" ht="15" customHeight="1">
      <c r="C23" s="885" t="inlineStr">
        <is>
          <t>SALES PROCEEDS</t>
        </is>
      </c>
      <c r="D23" s="937" t="n"/>
      <c r="E23" s="780" t="n"/>
      <c r="F23" s="777" t="n"/>
      <c r="G23" s="777" t="n"/>
      <c r="H23" s="777" t="n"/>
      <c r="I23" s="777" t="n"/>
      <c r="J23" s="777" t="n"/>
      <c r="K23" s="777" t="n"/>
      <c r="L23" s="777" t="n"/>
      <c r="M23" s="777" t="n"/>
      <c r="N23" s="777" t="n"/>
      <c r="O23" s="777" t="n"/>
      <c r="P23" s="777" t="n"/>
      <c r="Q23" s="777" t="n"/>
      <c r="R23" s="777" t="n"/>
      <c r="S23" s="777" t="n"/>
      <c r="T23" s="777" t="n"/>
      <c r="U23" s="777" t="n"/>
      <c r="V23" s="777" t="n"/>
      <c r="W23" s="777" t="n"/>
      <c r="X23" s="777" t="n"/>
      <c r="Y23" s="777" t="n"/>
      <c r="Z23" s="777" t="n"/>
      <c r="AA23" s="777" t="n"/>
      <c r="AB23" s="777" t="n"/>
      <c r="AC23" s="777" t="n"/>
      <c r="AD23" s="777" t="n"/>
      <c r="AE23" s="777" t="n"/>
      <c r="AF23" s="777" t="n"/>
      <c r="AG23" s="777" t="n"/>
      <c r="AH23" s="777" t="n"/>
      <c r="AI23" s="777" t="n"/>
      <c r="AJ23" s="777" t="n"/>
      <c r="AK23" s="777" t="n"/>
      <c r="AL23" s="777" t="n"/>
      <c r="AM23" s="777" t="n"/>
      <c r="AN23" s="780">
        <f>+'Exit Summary'!H32</f>
        <v/>
      </c>
      <c r="AO23" s="937" t="n"/>
      <c r="AP23" s="735" t="n"/>
    </row>
    <row r="24" ht="15" customHeight="1">
      <c r="C24" s="885" t="inlineStr">
        <is>
          <t>TOTALS</t>
        </is>
      </c>
      <c r="D24" s="937" t="n"/>
      <c r="E24" s="780">
        <f>+E22+E23</f>
        <v/>
      </c>
      <c r="F24" s="780">
        <f>+F22+F23</f>
        <v/>
      </c>
      <c r="G24" s="780">
        <f>+G22+G23</f>
        <v/>
      </c>
      <c r="H24" s="780">
        <f>+H22+H23</f>
        <v/>
      </c>
      <c r="I24" s="780">
        <f>+I22+I23</f>
        <v/>
      </c>
      <c r="J24" s="780">
        <f>+J22+J23</f>
        <v/>
      </c>
      <c r="K24" s="780">
        <f>+K22+K23</f>
        <v/>
      </c>
      <c r="L24" s="780">
        <f>+L22+L23</f>
        <v/>
      </c>
      <c r="M24" s="780">
        <f>+M22+M23</f>
        <v/>
      </c>
      <c r="N24" s="780">
        <f>+N22+N23</f>
        <v/>
      </c>
      <c r="O24" s="780">
        <f>+O22+O23</f>
        <v/>
      </c>
      <c r="P24" s="780">
        <f>+P22+P23</f>
        <v/>
      </c>
      <c r="Q24" s="780">
        <f>+Q22+Q23</f>
        <v/>
      </c>
      <c r="R24" s="780">
        <f>+R22+R23</f>
        <v/>
      </c>
      <c r="S24" s="780">
        <f>+S22+S23</f>
        <v/>
      </c>
      <c r="T24" s="780">
        <f>+T22+T23</f>
        <v/>
      </c>
      <c r="U24" s="780">
        <f>+U22+U23</f>
        <v/>
      </c>
      <c r="V24" s="780">
        <f>+V22+V23</f>
        <v/>
      </c>
      <c r="W24" s="780">
        <f>+W22+W23</f>
        <v/>
      </c>
      <c r="X24" s="780">
        <f>+X22+X23</f>
        <v/>
      </c>
      <c r="Y24" s="780">
        <f>+Y22+Y23</f>
        <v/>
      </c>
      <c r="Z24" s="780">
        <f>+Z22+Z23</f>
        <v/>
      </c>
      <c r="AA24" s="780">
        <f>+AA22+AA23</f>
        <v/>
      </c>
      <c r="AB24" s="780">
        <f>+AB22+AB23</f>
        <v/>
      </c>
      <c r="AC24" s="780">
        <f>+AC22+AC23</f>
        <v/>
      </c>
      <c r="AD24" s="780">
        <f>+AD22+AD23</f>
        <v/>
      </c>
      <c r="AE24" s="780">
        <f>+AE22+AE23</f>
        <v/>
      </c>
      <c r="AF24" s="780">
        <f>+AF22+AF23</f>
        <v/>
      </c>
      <c r="AG24" s="780">
        <f>+AG22+AG23</f>
        <v/>
      </c>
      <c r="AH24" s="780">
        <f>+AH22+AH23</f>
        <v/>
      </c>
      <c r="AI24" s="780">
        <f>+AI22+AI23</f>
        <v/>
      </c>
      <c r="AJ24" s="780">
        <f>+AJ22+AJ23</f>
        <v/>
      </c>
      <c r="AK24" s="780">
        <f>+AK22+AK23</f>
        <v/>
      </c>
      <c r="AL24" s="780">
        <f>+AL22+AL23</f>
        <v/>
      </c>
      <c r="AM24" s="780">
        <f>+AM22+AM23</f>
        <v/>
      </c>
      <c r="AN24" s="780">
        <f>+AN22+AN23</f>
        <v/>
      </c>
      <c r="AO24" s="937">
        <f>(1+IRR(E24:AN24,0.02))^12-1</f>
        <v/>
      </c>
      <c r="AP24" s="735" t="inlineStr">
        <is>
          <t>&lt;= project IRR</t>
        </is>
      </c>
    </row>
    <row r="25" ht="15" customFormat="1" customHeight="1" s="4">
      <c r="A25" s="735" t="n"/>
      <c r="B25" s="735" t="n"/>
      <c r="C25" s="885" t="n"/>
      <c r="D25" s="937" t="n"/>
      <c r="E25" s="780" t="n"/>
      <c r="F25" s="777" t="n"/>
      <c r="G25" s="777" t="n"/>
      <c r="H25" s="777" t="n"/>
      <c r="I25" s="777" t="n"/>
      <c r="J25" s="777" t="n"/>
      <c r="K25" s="777" t="n"/>
      <c r="L25" s="777" t="n"/>
      <c r="M25" s="777" t="n"/>
      <c r="N25" s="777" t="n"/>
      <c r="O25" s="777" t="n"/>
      <c r="P25" s="777" t="n"/>
      <c r="Q25" s="777" t="n"/>
      <c r="R25" s="777" t="n"/>
      <c r="S25" s="777" t="n"/>
      <c r="T25" s="777" t="n"/>
      <c r="U25" s="777" t="n"/>
      <c r="V25" s="777" t="n"/>
      <c r="W25" s="777" t="n"/>
      <c r="X25" s="777" t="n"/>
      <c r="Y25" s="777" t="n"/>
      <c r="Z25" s="777" t="n"/>
      <c r="AA25" s="777" t="n"/>
      <c r="AB25" s="777" t="n"/>
      <c r="AC25" s="777" t="n"/>
      <c r="AD25" s="777" t="n"/>
      <c r="AE25" s="777" t="n"/>
      <c r="AF25" s="777" t="n"/>
      <c r="AG25" s="777" t="n"/>
      <c r="AH25" s="777" t="n"/>
      <c r="AI25" s="777" t="n"/>
      <c r="AJ25" s="777" t="n"/>
      <c r="AK25" s="777" t="n"/>
      <c r="AL25" s="777" t="n"/>
      <c r="AM25" s="777" t="n"/>
      <c r="AN25" s="780" t="n"/>
      <c r="AO25" s="937" t="n"/>
      <c r="AP25" s="905" t="n"/>
      <c r="AQ25" s="885" t="n"/>
      <c r="AR25" s="885" t="n"/>
      <c r="AS25" s="885" t="n"/>
    </row>
    <row r="26" ht="21" customFormat="1" customHeight="1" s="4">
      <c r="A26" s="387" t="n"/>
      <c r="B26" s="6" t="inlineStr">
        <is>
          <t>PREFERRED RETURN</t>
        </is>
      </c>
      <c r="C26" s="885" t="n"/>
      <c r="D26" s="937" t="n"/>
      <c r="E26" s="780" t="n"/>
      <c r="F26" s="777" t="n"/>
      <c r="G26" s="777" t="n"/>
      <c r="H26" s="777" t="n"/>
      <c r="I26" s="777" t="n"/>
      <c r="J26" s="777" t="n"/>
      <c r="K26" s="777" t="n"/>
      <c r="L26" s="777" t="n"/>
      <c r="M26" s="777" t="n"/>
      <c r="N26" s="777" t="n"/>
      <c r="O26" s="777" t="n"/>
      <c r="P26" s="777" t="n"/>
      <c r="Q26" s="777" t="n"/>
      <c r="R26" s="777" t="n"/>
      <c r="S26" s="777" t="n"/>
      <c r="T26" s="777" t="n"/>
      <c r="U26" s="777" t="n"/>
      <c r="V26" s="777" t="n"/>
      <c r="W26" s="777" t="n"/>
      <c r="X26" s="777" t="n"/>
      <c r="Y26" s="777" t="n"/>
      <c r="Z26" s="777" t="n"/>
      <c r="AA26" s="777" t="n"/>
      <c r="AB26" s="777" t="n"/>
      <c r="AC26" s="777" t="n"/>
      <c r="AD26" s="777" t="n"/>
      <c r="AE26" s="777" t="n"/>
      <c r="AF26" s="777" t="n"/>
      <c r="AG26" s="777" t="n"/>
      <c r="AH26" s="777" t="n"/>
      <c r="AI26" s="777" t="n"/>
      <c r="AJ26" s="777" t="n"/>
      <c r="AK26" s="777" t="n"/>
      <c r="AL26" s="777" t="n"/>
      <c r="AM26" s="777" t="n"/>
      <c r="AN26" s="780" t="n"/>
      <c r="AO26" s="937" t="n"/>
      <c r="AP26" s="905" t="n"/>
      <c r="AQ26" s="885" t="n"/>
      <c r="AR26" s="885" t="n"/>
      <c r="AS26" s="885" t="n"/>
    </row>
    <row r="27" ht="15" customFormat="1" customHeight="1" s="4">
      <c r="A27" s="735" t="n"/>
      <c r="B27" s="735" t="n"/>
      <c r="C27" s="885" t="inlineStr">
        <is>
          <t>INVESTOR EQUITY IN/OUT</t>
        </is>
      </c>
      <c r="D27" s="937" t="n"/>
      <c r="E27" s="780">
        <f>-Summary!E68</f>
        <v/>
      </c>
      <c r="F27" s="780">
        <f>'Draw and Leaseup Schedule'!F86</f>
        <v/>
      </c>
      <c r="G27" s="780">
        <f>'Draw and Leaseup Schedule'!G86</f>
        <v/>
      </c>
      <c r="H27" s="780">
        <f>'Draw and Leaseup Schedule'!H86</f>
        <v/>
      </c>
      <c r="I27" s="780">
        <f>'Draw and Leaseup Schedule'!I86</f>
        <v/>
      </c>
      <c r="J27" s="780">
        <f>'Draw and Leaseup Schedule'!J86</f>
        <v/>
      </c>
      <c r="K27" s="780">
        <f>'Draw and Leaseup Schedule'!K86</f>
        <v/>
      </c>
      <c r="L27" s="780">
        <f>'Draw and Leaseup Schedule'!L86</f>
        <v/>
      </c>
      <c r="M27" s="780">
        <f>'Draw and Leaseup Schedule'!M86</f>
        <v/>
      </c>
      <c r="N27" s="780">
        <f>'Draw and Leaseup Schedule'!N86</f>
        <v/>
      </c>
      <c r="O27" s="780">
        <f>'Draw and Leaseup Schedule'!O86</f>
        <v/>
      </c>
      <c r="P27" s="780">
        <f>'Draw and Leaseup Schedule'!P86</f>
        <v/>
      </c>
      <c r="Q27" s="780">
        <f>'Draw and Leaseup Schedule'!Q86</f>
        <v/>
      </c>
      <c r="R27" s="780">
        <f>'Draw and Leaseup Schedule'!R86</f>
        <v/>
      </c>
      <c r="S27" s="780">
        <f>'Draw and Leaseup Schedule'!S86</f>
        <v/>
      </c>
      <c r="T27" s="780">
        <f>'Draw and Leaseup Schedule'!T86</f>
        <v/>
      </c>
      <c r="U27" s="780">
        <f>'Draw and Leaseup Schedule'!U86</f>
        <v/>
      </c>
      <c r="V27" s="780">
        <f>'Draw and Leaseup Schedule'!V86</f>
        <v/>
      </c>
      <c r="W27" s="780">
        <f>'Draw and Leaseup Schedule'!W86</f>
        <v/>
      </c>
      <c r="X27" s="780">
        <f>'Draw and Leaseup Schedule'!X86</f>
        <v/>
      </c>
      <c r="Y27" s="780">
        <f>'Draw and Leaseup Schedule'!Y86</f>
        <v/>
      </c>
      <c r="Z27" s="780">
        <f>'Draw and Leaseup Schedule'!Z86</f>
        <v/>
      </c>
      <c r="AA27" s="780">
        <f>'Draw and Leaseup Schedule'!AA86</f>
        <v/>
      </c>
      <c r="AB27" s="780">
        <f>'Draw and Leaseup Schedule'!AB86</f>
        <v/>
      </c>
      <c r="AC27" s="780">
        <f>'Draw and Leaseup Schedule'!AC86</f>
        <v/>
      </c>
      <c r="AD27" s="780">
        <f>'Draw and Leaseup Schedule'!AD86</f>
        <v/>
      </c>
      <c r="AE27" s="780">
        <f>'Draw and Leaseup Schedule'!AE86</f>
        <v/>
      </c>
      <c r="AF27" s="780">
        <f>'Draw and Leaseup Schedule'!AF86</f>
        <v/>
      </c>
      <c r="AG27" s="780">
        <f>'Draw and Leaseup Schedule'!AG86</f>
        <v/>
      </c>
      <c r="AH27" s="780">
        <f>'Draw and Leaseup Schedule'!AH86</f>
        <v/>
      </c>
      <c r="AI27" s="780">
        <f>'Draw and Leaseup Schedule'!AI86</f>
        <v/>
      </c>
      <c r="AJ27" s="780">
        <f>'Draw and Leaseup Schedule'!AJ86</f>
        <v/>
      </c>
      <c r="AK27" s="780">
        <f>'Draw and Leaseup Schedule'!AK86</f>
        <v/>
      </c>
      <c r="AL27" s="780">
        <f>'Draw and Leaseup Schedule'!AL86</f>
        <v/>
      </c>
      <c r="AM27" s="780">
        <f>'Draw and Leaseup Schedule'!AM86</f>
        <v/>
      </c>
      <c r="AN27" s="780">
        <f>'Draw and Leaseup Schedule'!AN86</f>
        <v/>
      </c>
      <c r="AO27" s="735" t="n"/>
      <c r="AP27" s="735" t="n"/>
      <c r="AQ27" s="885" t="n"/>
      <c r="AR27" s="885" t="n"/>
      <c r="AS27" s="885" t="n"/>
    </row>
    <row r="28" ht="15" customFormat="1" customHeight="1" s="4">
      <c r="A28" s="735" t="n"/>
      <c r="B28" s="735" t="n"/>
      <c r="C28" s="885" t="inlineStr">
        <is>
          <t>SOLVER</t>
        </is>
      </c>
      <c r="D28" s="885" t="n"/>
      <c r="E28" s="780" t="n"/>
      <c r="F28" s="777" t="n"/>
      <c r="G28" s="777" t="n"/>
      <c r="H28" s="777" t="n"/>
      <c r="I28" s="777" t="n"/>
      <c r="J28" s="777" t="n"/>
      <c r="K28" s="777" t="n"/>
      <c r="L28" s="777" t="n"/>
      <c r="M28" s="777" t="n"/>
      <c r="N28" s="777" t="n"/>
      <c r="O28" s="777" t="n"/>
      <c r="P28" s="777" t="n"/>
      <c r="Q28" s="777" t="n"/>
      <c r="R28" s="777" t="n"/>
      <c r="S28" s="777" t="n"/>
      <c r="T28" s="777" t="n"/>
      <c r="U28" s="777" t="n"/>
      <c r="V28" s="777" t="n"/>
      <c r="W28" s="777" t="n"/>
      <c r="X28" s="777" t="n"/>
      <c r="Y28" s="777" t="n"/>
      <c r="Z28" s="777" t="n"/>
      <c r="AA28" s="777" t="n"/>
      <c r="AB28" s="777" t="n"/>
      <c r="AC28" s="777" t="n"/>
      <c r="AD28" s="777" t="n"/>
      <c r="AE28" s="777" t="n"/>
      <c r="AF28" s="777" t="n"/>
      <c r="AG28" s="777" t="n"/>
      <c r="AH28" s="777" t="n"/>
      <c r="AI28" s="777" t="n"/>
      <c r="AJ28" s="777" t="n"/>
      <c r="AK28" s="777" t="n"/>
      <c r="AL28" s="777" t="n"/>
      <c r="AM28" s="777" t="n"/>
      <c r="AN28" s="780">
        <f>+'Exit Summary'!N39</f>
        <v/>
      </c>
      <c r="AO28" s="937" t="n"/>
      <c r="AP28" s="909" t="n"/>
      <c r="AQ28" s="885" t="n"/>
      <c r="AR28" s="885" t="n"/>
      <c r="AS28" s="885" t="n"/>
    </row>
    <row r="29" ht="15" customFormat="1" customHeight="1" s="4">
      <c r="A29" s="735" t="n"/>
      <c r="B29" s="735" t="n"/>
      <c r="C29" s="885" t="inlineStr">
        <is>
          <t>TOTALS</t>
        </is>
      </c>
      <c r="D29" s="937" t="n"/>
      <c r="E29" s="780">
        <f>+E27+E28</f>
        <v/>
      </c>
      <c r="F29" s="780">
        <f>+F27+F28</f>
        <v/>
      </c>
      <c r="G29" s="780">
        <f>+G27+G28</f>
        <v/>
      </c>
      <c r="H29" s="780">
        <f>+H27+H28</f>
        <v/>
      </c>
      <c r="I29" s="780">
        <f>+I27+I28</f>
        <v/>
      </c>
      <c r="J29" s="780">
        <f>+J27+J28</f>
        <v/>
      </c>
      <c r="K29" s="780">
        <f>+K27+K28</f>
        <v/>
      </c>
      <c r="L29" s="780">
        <f>+L27+L28</f>
        <v/>
      </c>
      <c r="M29" s="780">
        <f>+M27+M28</f>
        <v/>
      </c>
      <c r="N29" s="780">
        <f>+N27+N28</f>
        <v/>
      </c>
      <c r="O29" s="780">
        <f>+O27+O28</f>
        <v/>
      </c>
      <c r="P29" s="780">
        <f>+P27+P28</f>
        <v/>
      </c>
      <c r="Q29" s="780">
        <f>+Q27+Q28</f>
        <v/>
      </c>
      <c r="R29" s="780">
        <f>+R27+R28</f>
        <v/>
      </c>
      <c r="S29" s="780">
        <f>+S27+S28</f>
        <v/>
      </c>
      <c r="T29" s="780">
        <f>+T27+T28</f>
        <v/>
      </c>
      <c r="U29" s="780">
        <f>+U27+U28</f>
        <v/>
      </c>
      <c r="V29" s="780">
        <f>+V27+V28</f>
        <v/>
      </c>
      <c r="W29" s="780">
        <f>+W27+W28</f>
        <v/>
      </c>
      <c r="X29" s="780">
        <f>+X27+X28</f>
        <v/>
      </c>
      <c r="Y29" s="780">
        <f>+Y27+Y28</f>
        <v/>
      </c>
      <c r="Z29" s="780">
        <f>+Z27+Z28</f>
        <v/>
      </c>
      <c r="AA29" s="780">
        <f>+AA27+AA28</f>
        <v/>
      </c>
      <c r="AB29" s="780">
        <f>+AB27+AB28</f>
        <v/>
      </c>
      <c r="AC29" s="780">
        <f>+AC27+AC28</f>
        <v/>
      </c>
      <c r="AD29" s="780">
        <f>+AD27+AD28</f>
        <v/>
      </c>
      <c r="AE29" s="780">
        <f>+AE27+AE28</f>
        <v/>
      </c>
      <c r="AF29" s="780">
        <f>+AF27+AF28</f>
        <v/>
      </c>
      <c r="AG29" s="780">
        <f>+AG27+AG28</f>
        <v/>
      </c>
      <c r="AH29" s="780">
        <f>+AH27+AH28</f>
        <v/>
      </c>
      <c r="AI29" s="780">
        <f>+AI27+AI28</f>
        <v/>
      </c>
      <c r="AJ29" s="780">
        <f>+AJ27+AJ28</f>
        <v/>
      </c>
      <c r="AK29" s="780">
        <f>+AK27+AK28</f>
        <v/>
      </c>
      <c r="AL29" s="780">
        <f>+AL27+AL28</f>
        <v/>
      </c>
      <c r="AM29" s="780">
        <f>+AM27+AM28</f>
        <v/>
      </c>
      <c r="AN29" s="780">
        <f>+AN27+AN28</f>
        <v/>
      </c>
      <c r="AO29" s="937">
        <f>(1+IRR(E29:AN29,0.02))^12-1</f>
        <v/>
      </c>
      <c r="AP29" s="909" t="n"/>
      <c r="AQ29" s="885" t="n"/>
      <c r="AR29" s="885" t="n"/>
      <c r="AS29" s="885" t="n"/>
    </row>
    <row r="30" ht="15" customFormat="1" customHeight="1" s="4">
      <c r="A30" s="735" t="n"/>
      <c r="B30" s="735" t="n"/>
      <c r="C30" s="885" t="n"/>
      <c r="D30" s="885" t="n"/>
      <c r="E30" s="780" t="n"/>
      <c r="F30" s="780" t="n"/>
      <c r="G30" s="780" t="n"/>
      <c r="H30" s="780" t="n"/>
      <c r="I30" s="780" t="n"/>
      <c r="J30" s="780" t="n"/>
      <c r="K30" s="780" t="n"/>
      <c r="L30" s="780" t="n"/>
      <c r="M30" s="780" t="n"/>
      <c r="N30" s="780" t="n"/>
      <c r="O30" s="780" t="n"/>
      <c r="P30" s="780" t="n"/>
      <c r="Q30" s="780" t="n"/>
      <c r="R30" s="780" t="n"/>
      <c r="S30" s="780" t="n"/>
      <c r="T30" s="780" t="n"/>
      <c r="U30" s="780" t="n"/>
      <c r="V30" s="780" t="n"/>
      <c r="W30" s="780" t="n"/>
      <c r="X30" s="780" t="n"/>
      <c r="Y30" s="780" t="n"/>
      <c r="Z30" s="780" t="n"/>
      <c r="AA30" s="777" t="n"/>
      <c r="AB30" s="777" t="n"/>
      <c r="AC30" s="777" t="n"/>
      <c r="AD30" s="777" t="n"/>
      <c r="AE30" s="777" t="n"/>
      <c r="AF30" s="777" t="n"/>
      <c r="AG30" s="777" t="n"/>
      <c r="AH30" s="777" t="n"/>
      <c r="AI30" s="777" t="n"/>
      <c r="AJ30" s="777" t="n"/>
      <c r="AK30" s="777" t="n"/>
      <c r="AL30" s="777" t="n"/>
      <c r="AM30" s="777" t="n"/>
      <c r="AN30" s="780" t="n"/>
      <c r="AO30" s="937" t="n"/>
      <c r="AP30" s="909" t="n"/>
      <c r="AQ30" s="885" t="n"/>
      <c r="AR30" s="885" t="n"/>
      <c r="AS30" s="885" t="n"/>
    </row>
    <row r="31" ht="15" customFormat="1" customHeight="1" s="4">
      <c r="A31" s="735" t="n"/>
      <c r="B31" s="735" t="n"/>
      <c r="C31" s="885" t="inlineStr">
        <is>
          <t>AVAILABLE AFTER PREF.</t>
        </is>
      </c>
      <c r="D31" s="885" t="n"/>
      <c r="E31" s="780" t="n"/>
      <c r="F31" s="780" t="n"/>
      <c r="G31" s="780" t="n"/>
      <c r="H31" s="780" t="n"/>
      <c r="I31" s="780" t="n"/>
      <c r="J31" s="780" t="n"/>
      <c r="K31" s="780" t="n"/>
      <c r="L31" s="780" t="n"/>
      <c r="M31" s="780" t="n"/>
      <c r="N31" s="780" t="n"/>
      <c r="O31" s="780" t="n"/>
      <c r="P31" s="780" t="n"/>
      <c r="Q31" s="780" t="n"/>
      <c r="R31" s="780" t="n"/>
      <c r="S31" s="780" t="n"/>
      <c r="T31" s="780" t="n"/>
      <c r="U31" s="780" t="n"/>
      <c r="V31" s="780" t="n"/>
      <c r="W31" s="780" t="n"/>
      <c r="X31" s="780" t="n"/>
      <c r="Y31" s="780" t="n"/>
      <c r="Z31" s="780" t="n"/>
      <c r="AA31" s="777" t="n"/>
      <c r="AB31" s="777" t="n"/>
      <c r="AC31" s="777" t="n"/>
      <c r="AD31" s="777" t="n"/>
      <c r="AE31" s="777" t="n"/>
      <c r="AF31" s="777" t="n"/>
      <c r="AG31" s="777" t="n"/>
      <c r="AH31" s="777" t="n"/>
      <c r="AI31" s="777" t="n"/>
      <c r="AJ31" s="777" t="n"/>
      <c r="AK31" s="777" t="n"/>
      <c r="AL31" s="777" t="n"/>
      <c r="AM31" s="777" t="n"/>
      <c r="AN31" s="780">
        <f>AN18-AN28</f>
        <v/>
      </c>
      <c r="AO31" s="1040" t="n"/>
      <c r="AP31" s="905" t="n"/>
      <c r="AQ31" s="885" t="n"/>
      <c r="AR31" s="885" t="n"/>
      <c r="AS31" s="885" t="n"/>
    </row>
    <row r="32" ht="15" customFormat="1" customHeight="1" s="4">
      <c r="A32" s="735" t="n"/>
      <c r="B32" s="735" t="n"/>
      <c r="C32" s="885" t="n"/>
      <c r="D32" s="885" t="n"/>
      <c r="E32" s="780" t="n"/>
      <c r="F32" s="780" t="n"/>
      <c r="G32" s="780" t="n"/>
      <c r="H32" s="780" t="n"/>
      <c r="I32" s="780" t="n"/>
      <c r="J32" s="780" t="n"/>
      <c r="K32" s="780" t="n"/>
      <c r="L32" s="780" t="n"/>
      <c r="M32" s="780" t="n"/>
      <c r="N32" s="780" t="n"/>
      <c r="O32" s="780" t="n"/>
      <c r="P32" s="780" t="n"/>
      <c r="Q32" s="780" t="n"/>
      <c r="R32" s="780" t="n"/>
      <c r="S32" s="780" t="n"/>
      <c r="T32" s="780" t="n"/>
      <c r="U32" s="780" t="n"/>
      <c r="V32" s="780" t="n"/>
      <c r="W32" s="780" t="n"/>
      <c r="X32" s="780" t="n"/>
      <c r="Y32" s="780" t="n"/>
      <c r="Z32" s="780" t="n"/>
      <c r="AA32" s="777" t="n"/>
      <c r="AB32" s="777" t="n"/>
      <c r="AC32" s="777" t="n"/>
      <c r="AD32" s="777" t="n"/>
      <c r="AE32" s="777" t="n"/>
      <c r="AF32" s="777" t="n"/>
      <c r="AG32" s="777" t="n"/>
      <c r="AH32" s="777" t="n"/>
      <c r="AI32" s="777" t="n"/>
      <c r="AJ32" s="777" t="n"/>
      <c r="AK32" s="777" t="n"/>
      <c r="AL32" s="777" t="n"/>
      <c r="AM32" s="777" t="n"/>
      <c r="AN32" s="780" t="n"/>
      <c r="AO32" s="1040" t="n"/>
      <c r="AP32" s="905" t="n"/>
      <c r="AQ32" s="885" t="n"/>
      <c r="AR32" s="885" t="n"/>
      <c r="AS32" s="885" t="n"/>
    </row>
    <row r="33" ht="21" customFormat="1" customHeight="1" s="4">
      <c r="A33" s="387" t="inlineStr">
        <is>
          <t>INVESTOR RETURNS SUMMARY</t>
        </is>
      </c>
      <c r="B33" s="735" t="n"/>
      <c r="C33" s="885" t="n"/>
      <c r="D33" s="937" t="n"/>
      <c r="E33" s="780" t="n"/>
      <c r="F33" s="780" t="n"/>
      <c r="G33" s="780" t="n"/>
      <c r="H33" s="780" t="n"/>
      <c r="I33" s="780" t="n"/>
      <c r="J33" s="780" t="n"/>
      <c r="K33" s="780" t="n"/>
      <c r="L33" s="780" t="n"/>
      <c r="M33" s="780" t="n"/>
      <c r="N33" s="780" t="n"/>
      <c r="O33" s="780" t="n"/>
      <c r="P33" s="780" t="n"/>
      <c r="Q33" s="780" t="n"/>
      <c r="R33" s="780" t="n"/>
      <c r="S33" s="780" t="n"/>
      <c r="T33" s="780" t="n"/>
      <c r="U33" s="780" t="n"/>
      <c r="V33" s="780" t="n"/>
      <c r="W33" s="780" t="n"/>
      <c r="X33" s="780" t="n"/>
      <c r="Y33" s="780" t="n"/>
      <c r="Z33" s="780" t="n"/>
      <c r="AA33" s="777" t="n"/>
      <c r="AB33" s="777" t="n"/>
      <c r="AC33" s="777" t="n"/>
      <c r="AD33" s="777" t="n"/>
      <c r="AE33" s="777" t="n"/>
      <c r="AF33" s="777" t="n"/>
      <c r="AG33" s="777" t="n"/>
      <c r="AH33" s="777" t="n"/>
      <c r="AI33" s="777" t="n"/>
      <c r="AJ33" s="777" t="n"/>
      <c r="AK33" s="777" t="n"/>
      <c r="AL33" s="777" t="n"/>
      <c r="AM33" s="777" t="n"/>
      <c r="AN33" s="780" t="n"/>
      <c r="AO33" s="937" t="n"/>
      <c r="AP33" s="905" t="n"/>
      <c r="AQ33" s="885" t="n"/>
      <c r="AR33" s="885" t="n"/>
      <c r="AS33" s="885" t="n"/>
    </row>
    <row r="35">
      <c r="B35" s="346" t="inlineStr">
        <is>
          <t>UNTRENDED</t>
        </is>
      </c>
    </row>
    <row r="36" ht="15" customHeight="1">
      <c r="C36" s="406" t="inlineStr">
        <is>
          <t>INVESTOR EQUITY</t>
        </is>
      </c>
      <c r="D36" s="393">
        <f>1-Summary!$M$10</f>
        <v/>
      </c>
      <c r="E36" s="780">
        <f>+'Draw and Leaseup Schedule'!$D$89*D36</f>
        <v/>
      </c>
      <c r="F36" s="780" t="n"/>
      <c r="G36" s="780" t="n"/>
      <c r="AO36" s="1048">
        <f>+SUM(E36:AN36)</f>
        <v/>
      </c>
    </row>
    <row r="37" ht="15" customFormat="1" customHeight="1" s="4">
      <c r="A37" s="735" t="n"/>
      <c r="B37" s="735" t="n"/>
      <c r="C37" s="735" t="inlineStr">
        <is>
          <t>Cash Flow</t>
        </is>
      </c>
      <c r="D37" s="885" t="n"/>
      <c r="E37" s="780">
        <f>-E36</f>
        <v/>
      </c>
      <c r="F37" s="780">
        <f>+'Draw and Leaseup Schedule'!F$86*$D36</f>
        <v/>
      </c>
      <c r="G37" s="780">
        <f>+'Draw and Leaseup Schedule'!G$86*$D36</f>
        <v/>
      </c>
      <c r="H37" s="780">
        <f>+'Draw and Leaseup Schedule'!H$86*$D36</f>
        <v/>
      </c>
      <c r="I37" s="780">
        <f>+'Draw and Leaseup Schedule'!I$86*$D36</f>
        <v/>
      </c>
      <c r="J37" s="780">
        <f>+'Draw and Leaseup Schedule'!J$86*$D36</f>
        <v/>
      </c>
      <c r="K37" s="780">
        <f>+'Draw and Leaseup Schedule'!K$86*$D36</f>
        <v/>
      </c>
      <c r="L37" s="780">
        <f>+'Draw and Leaseup Schedule'!L$86*$D36</f>
        <v/>
      </c>
      <c r="M37" s="780">
        <f>+'Draw and Leaseup Schedule'!M$86*$D36</f>
        <v/>
      </c>
      <c r="N37" s="780">
        <f>+'Draw and Leaseup Schedule'!N$86*$D36</f>
        <v/>
      </c>
      <c r="O37" s="780">
        <f>+'Draw and Leaseup Schedule'!O$86*$D36</f>
        <v/>
      </c>
      <c r="P37" s="780">
        <f>+'Draw and Leaseup Schedule'!P$86*$D36</f>
        <v/>
      </c>
      <c r="Q37" s="780">
        <f>+'Draw and Leaseup Schedule'!Q$86*$D36</f>
        <v/>
      </c>
      <c r="R37" s="780">
        <f>+'Draw and Leaseup Schedule'!R$86*$D36</f>
        <v/>
      </c>
      <c r="S37" s="780">
        <f>+'Draw and Leaseup Schedule'!S$86*$D36</f>
        <v/>
      </c>
      <c r="T37" s="780">
        <f>+'Draw and Leaseup Schedule'!T$86*$D36</f>
        <v/>
      </c>
      <c r="U37" s="780">
        <f>+'Draw and Leaseup Schedule'!U$86*$D36</f>
        <v/>
      </c>
      <c r="V37" s="780">
        <f>+'Draw and Leaseup Schedule'!V$86*$D36</f>
        <v/>
      </c>
      <c r="W37" s="780">
        <f>+'Draw and Leaseup Schedule'!W$86*$D36</f>
        <v/>
      </c>
      <c r="X37" s="780">
        <f>+'Draw and Leaseup Schedule'!X$86*$D36</f>
        <v/>
      </c>
      <c r="Y37" s="780">
        <f>+'Draw and Leaseup Schedule'!Y$86*$D36</f>
        <v/>
      </c>
      <c r="Z37" s="780">
        <f>+'Draw and Leaseup Schedule'!Z$86*$D36</f>
        <v/>
      </c>
      <c r="AA37" s="780">
        <f>+'Draw and Leaseup Schedule'!AA$86*$D36</f>
        <v/>
      </c>
      <c r="AB37" s="780">
        <f>+'Draw and Leaseup Schedule'!AB$86*$D36</f>
        <v/>
      </c>
      <c r="AC37" s="780">
        <f>+'Draw and Leaseup Schedule'!AC$86*$D36</f>
        <v/>
      </c>
      <c r="AD37" s="780">
        <f>+'Draw and Leaseup Schedule'!AD$86*$D36</f>
        <v/>
      </c>
      <c r="AE37" s="780">
        <f>+'Draw and Leaseup Schedule'!AE$86*$D36</f>
        <v/>
      </c>
      <c r="AF37" s="780">
        <f>+'Draw and Leaseup Schedule'!AF$86*$D36</f>
        <v/>
      </c>
      <c r="AG37" s="780">
        <f>+'Draw and Leaseup Schedule'!AG$86*$D36</f>
        <v/>
      </c>
      <c r="AH37" s="780">
        <f>+'Draw and Leaseup Schedule'!AH$86*$D36</f>
        <v/>
      </c>
      <c r="AI37" s="780">
        <f>+'Draw and Leaseup Schedule'!AI$86*$D36</f>
        <v/>
      </c>
      <c r="AJ37" s="780">
        <f>+'Draw and Leaseup Schedule'!AJ$86*$D36</f>
        <v/>
      </c>
      <c r="AK37" s="780">
        <f>+'Draw and Leaseup Schedule'!AK$86*$D36</f>
        <v/>
      </c>
      <c r="AL37" s="780">
        <f>+'Draw and Leaseup Schedule'!AL$86*$D36</f>
        <v/>
      </c>
      <c r="AM37" s="780">
        <f>+'Draw and Leaseup Schedule'!AM$86*$D36</f>
        <v/>
      </c>
      <c r="AN37" s="780">
        <f>+'Draw and Leaseup Schedule'!AN$86*$D36</f>
        <v/>
      </c>
      <c r="AO37" s="1048">
        <f>+SUM(E37:AN37)+AO36</f>
        <v/>
      </c>
      <c r="AP37" s="905" t="n"/>
      <c r="AQ37" s="885" t="n"/>
      <c r="AR37" s="885" t="n"/>
      <c r="AS37" s="885" t="n"/>
    </row>
    <row r="38" ht="15" customFormat="1" customHeight="1" s="4">
      <c r="A38" s="735" t="n"/>
      <c r="B38" s="735" t="n"/>
      <c r="C38" s="735" t="inlineStr">
        <is>
          <t>Return of Equity</t>
        </is>
      </c>
      <c r="D38" s="885" t="n"/>
      <c r="E38" s="780" t="n"/>
      <c r="F38" s="780" t="n"/>
      <c r="G38" s="780" t="n"/>
      <c r="H38" s="780" t="n"/>
      <c r="I38" s="780" t="n"/>
      <c r="J38" s="780" t="n"/>
      <c r="K38" s="780" t="n"/>
      <c r="L38" s="780" t="n"/>
      <c r="M38" s="780" t="n"/>
      <c r="N38" s="780" t="n"/>
      <c r="O38" s="780" t="n"/>
      <c r="P38" s="780" t="n"/>
      <c r="Q38" s="780" t="n"/>
      <c r="R38" s="780" t="n"/>
      <c r="S38" s="780" t="n"/>
      <c r="T38" s="780" t="n"/>
      <c r="U38" s="780" t="n"/>
      <c r="V38" s="780" t="n"/>
      <c r="W38" s="780" t="n"/>
      <c r="X38" s="780" t="n"/>
      <c r="Y38" s="780" t="n"/>
      <c r="Z38" s="780" t="n"/>
      <c r="AA38" s="777" t="n"/>
      <c r="AB38" s="777" t="n"/>
      <c r="AC38" s="777" t="n"/>
      <c r="AD38" s="777" t="n"/>
      <c r="AE38" s="777" t="n"/>
      <c r="AF38" s="777" t="n"/>
      <c r="AG38" s="777" t="n"/>
      <c r="AH38" s="777" t="n"/>
      <c r="AI38" s="777" t="n"/>
      <c r="AJ38" s="777" t="n"/>
      <c r="AK38" s="777" t="n"/>
      <c r="AL38" s="777" t="n"/>
      <c r="AM38" s="777" t="n"/>
      <c r="AN38" s="1048">
        <f>-AN54</f>
        <v/>
      </c>
      <c r="AO38" s="1040" t="n"/>
      <c r="AP38" s="905" t="n"/>
      <c r="AQ38" s="885" t="n"/>
      <c r="AR38" s="885" t="n"/>
      <c r="AS38" s="885" t="n"/>
    </row>
    <row r="39" ht="15" customFormat="1" customHeight="1" s="4">
      <c r="A39" s="735" t="n"/>
      <c r="B39" s="735" t="n"/>
      <c r="C39" s="735" t="inlineStr">
        <is>
          <t>Pref from sale</t>
        </is>
      </c>
      <c r="D39" s="885" t="n"/>
      <c r="E39" s="780" t="n"/>
      <c r="F39" s="780" t="n"/>
      <c r="G39" s="780" t="n"/>
      <c r="H39" s="780" t="n"/>
      <c r="I39" s="780" t="n"/>
      <c r="J39" s="780" t="n"/>
      <c r="K39" s="780" t="n"/>
      <c r="L39" s="780" t="n"/>
      <c r="M39" s="780" t="n"/>
      <c r="N39" s="780" t="n"/>
      <c r="O39" s="780" t="n"/>
      <c r="P39" s="780" t="n"/>
      <c r="Q39" s="780" t="n"/>
      <c r="R39" s="780" t="n"/>
      <c r="S39" s="780" t="n"/>
      <c r="T39" s="780" t="n"/>
      <c r="U39" s="780" t="n"/>
      <c r="V39" s="780" t="n"/>
      <c r="W39" s="780" t="n"/>
      <c r="X39" s="780" t="n"/>
      <c r="Y39" s="780" t="n"/>
      <c r="Z39" s="780" t="n"/>
      <c r="AA39" s="777" t="n"/>
      <c r="AB39" s="777" t="n"/>
      <c r="AC39" s="777" t="n"/>
      <c r="AD39" s="777" t="n"/>
      <c r="AE39" s="777" t="n"/>
      <c r="AF39" s="777" t="n"/>
      <c r="AG39" s="777" t="n"/>
      <c r="AH39" s="777" t="n"/>
      <c r="AI39" s="777" t="n"/>
      <c r="AJ39" s="777" t="n"/>
      <c r="AK39" s="777" t="n"/>
      <c r="AL39" s="777" t="n"/>
      <c r="AM39" s="777" t="n"/>
      <c r="AN39" s="780">
        <f>-AN57</f>
        <v/>
      </c>
      <c r="AO39" s="1040" t="n"/>
      <c r="AP39" s="905" t="n"/>
      <c r="AQ39" s="885" t="n"/>
      <c r="AR39" s="885" t="n"/>
      <c r="AS39" s="885" t="n"/>
    </row>
    <row r="40" ht="15" customFormat="1" customHeight="1" s="4">
      <c r="A40" s="735" t="n"/>
      <c r="B40" s="735" t="n"/>
      <c r="C40" s="735" t="inlineStr">
        <is>
          <t>Sales profits</t>
        </is>
      </c>
      <c r="D40" s="885" t="n"/>
      <c r="E40" s="780" t="n"/>
      <c r="F40" s="780" t="n"/>
      <c r="G40" s="780" t="n"/>
      <c r="H40" s="780" t="n"/>
      <c r="I40" s="780" t="n"/>
      <c r="J40" s="780" t="n"/>
      <c r="K40" s="780" t="n"/>
      <c r="L40" s="780" t="n"/>
      <c r="M40" s="780" t="n"/>
      <c r="N40" s="780" t="n"/>
      <c r="O40" s="780" t="n"/>
      <c r="P40" s="780" t="n"/>
      <c r="Q40" s="780" t="n"/>
      <c r="R40" s="780" t="n"/>
      <c r="S40" s="780" t="n"/>
      <c r="T40" s="780" t="n"/>
      <c r="U40" s="780" t="n"/>
      <c r="V40" s="780" t="n"/>
      <c r="W40" s="780" t="n"/>
      <c r="X40" s="780" t="n"/>
      <c r="Y40" s="780" t="n"/>
      <c r="Z40" s="780" t="n"/>
      <c r="AA40" s="777" t="n"/>
      <c r="AB40" s="777" t="n"/>
      <c r="AC40" s="777" t="n"/>
      <c r="AD40" s="777" t="n"/>
      <c r="AE40" s="777" t="n"/>
      <c r="AF40" s="777" t="n"/>
      <c r="AG40" s="777" t="n"/>
      <c r="AH40" s="777" t="n"/>
      <c r="AI40" s="777" t="n"/>
      <c r="AJ40" s="777" t="n"/>
      <c r="AK40" s="777" t="n"/>
      <c r="AL40" s="777" t="n"/>
      <c r="AM40" s="777" t="n"/>
      <c r="AN40" s="780">
        <f>-(AN60+AN63+AN66)</f>
        <v/>
      </c>
      <c r="AO40" s="1040" t="n"/>
      <c r="AP40" s="905" t="n"/>
      <c r="AQ40" s="885" t="n"/>
      <c r="AR40" s="885" t="n"/>
      <c r="AS40" s="885" t="n"/>
    </row>
    <row r="41" ht="15" customFormat="1" customHeight="1" s="4">
      <c r="A41" s="735" t="n"/>
      <c r="B41" s="735" t="n"/>
      <c r="C41" s="735" t="inlineStr">
        <is>
          <t>IRR Calculation</t>
        </is>
      </c>
      <c r="D41" s="885" t="n"/>
      <c r="E41" s="780">
        <f>SUM(E37:E40)</f>
        <v/>
      </c>
      <c r="F41" s="780">
        <f>SUM(F37:F40)</f>
        <v/>
      </c>
      <c r="G41" s="780">
        <f>SUM(G37:G40)</f>
        <v/>
      </c>
      <c r="H41" s="780">
        <f>SUM(H37:H40)</f>
        <v/>
      </c>
      <c r="I41" s="780">
        <f>SUM(I37:I40)</f>
        <v/>
      </c>
      <c r="J41" s="780">
        <f>SUM(J37:J40)</f>
        <v/>
      </c>
      <c r="K41" s="780">
        <f>SUM(K37:K40)</f>
        <v/>
      </c>
      <c r="L41" s="780">
        <f>SUM(L37:L40)</f>
        <v/>
      </c>
      <c r="M41" s="780">
        <f>SUM(M37:M40)</f>
        <v/>
      </c>
      <c r="N41" s="780">
        <f>SUM(N37:N40)</f>
        <v/>
      </c>
      <c r="O41" s="780">
        <f>SUM(O37:O40)</f>
        <v/>
      </c>
      <c r="P41" s="780">
        <f>SUM(P37:P40)</f>
        <v/>
      </c>
      <c r="Q41" s="780">
        <f>SUM(Q37:Q40)</f>
        <v/>
      </c>
      <c r="R41" s="780">
        <f>SUM(R37:R40)</f>
        <v/>
      </c>
      <c r="S41" s="780">
        <f>SUM(S37:S40)</f>
        <v/>
      </c>
      <c r="T41" s="780">
        <f>SUM(T37:T40)</f>
        <v/>
      </c>
      <c r="U41" s="780">
        <f>SUM(U37:U40)</f>
        <v/>
      </c>
      <c r="V41" s="780">
        <f>SUM(V37:V40)</f>
        <v/>
      </c>
      <c r="W41" s="780">
        <f>SUM(W37:W40)</f>
        <v/>
      </c>
      <c r="X41" s="780">
        <f>SUM(X37:X40)</f>
        <v/>
      </c>
      <c r="Y41" s="780">
        <f>SUM(Y37:Y40)</f>
        <v/>
      </c>
      <c r="Z41" s="780">
        <f>SUM(Z37:Z40)</f>
        <v/>
      </c>
      <c r="AA41" s="780">
        <f>SUM(AA37:AA40)</f>
        <v/>
      </c>
      <c r="AB41" s="780">
        <f>SUM(AB37:AB40)</f>
        <v/>
      </c>
      <c r="AC41" s="780">
        <f>SUM(AC37:AC40)</f>
        <v/>
      </c>
      <c r="AD41" s="780">
        <f>SUM(AD37:AD40)</f>
        <v/>
      </c>
      <c r="AE41" s="780">
        <f>SUM(AE37:AE40)</f>
        <v/>
      </c>
      <c r="AF41" s="780">
        <f>SUM(AF37:AF40)</f>
        <v/>
      </c>
      <c r="AG41" s="780">
        <f>SUM(AG37:AG40)</f>
        <v/>
      </c>
      <c r="AH41" s="780">
        <f>SUM(AH37:AH40)</f>
        <v/>
      </c>
      <c r="AI41" s="780">
        <f>SUM(AI37:AI40)</f>
        <v/>
      </c>
      <c r="AJ41" s="780">
        <f>SUM(AJ37:AJ40)</f>
        <v/>
      </c>
      <c r="AK41" s="780">
        <f>SUM(AK37:AK40)</f>
        <v/>
      </c>
      <c r="AL41" s="780">
        <f>SUM(AL37:AL40)</f>
        <v/>
      </c>
      <c r="AM41" s="780">
        <f>SUM(AM37:AM40)</f>
        <v/>
      </c>
      <c r="AN41" s="780">
        <f>SUM(AN37:AN40)</f>
        <v/>
      </c>
      <c r="AO41" s="937">
        <f>(1+IRR(E41:AN41,0.02))^12-1</f>
        <v/>
      </c>
      <c r="AP41" s="905" t="n"/>
      <c r="AQ41" s="885" t="n"/>
      <c r="AR41" s="885" t="n"/>
      <c r="AS41" s="885" t="n"/>
    </row>
    <row r="42" ht="15" customFormat="1" customHeight="1" s="4">
      <c r="A42" s="735" t="n"/>
      <c r="B42" s="735" t="n"/>
      <c r="C42" s="885" t="n"/>
      <c r="D42" s="885" t="n"/>
      <c r="E42" s="780" t="n"/>
      <c r="F42" s="780" t="n"/>
      <c r="G42" s="780" t="n"/>
      <c r="H42" s="780" t="n"/>
      <c r="I42" s="780" t="n"/>
      <c r="J42" s="780" t="n"/>
      <c r="K42" s="780" t="n"/>
      <c r="L42" s="780" t="n"/>
      <c r="M42" s="780" t="n"/>
      <c r="N42" s="780" t="n"/>
      <c r="O42" s="780" t="n"/>
      <c r="P42" s="780" t="n"/>
      <c r="Q42" s="780" t="n"/>
      <c r="R42" s="780" t="n"/>
      <c r="S42" s="780" t="n"/>
      <c r="T42" s="780" t="n"/>
      <c r="U42" s="780" t="n"/>
      <c r="V42" s="780" t="n"/>
      <c r="W42" s="780" t="n"/>
      <c r="X42" s="780" t="n"/>
      <c r="Y42" s="780" t="n"/>
      <c r="Z42" s="780" t="n"/>
      <c r="AA42" s="777" t="n"/>
      <c r="AB42" s="777" t="n"/>
      <c r="AC42" s="777" t="n"/>
      <c r="AD42" s="777" t="n"/>
      <c r="AE42" s="777" t="n"/>
      <c r="AF42" s="777" t="n"/>
      <c r="AG42" s="777" t="n"/>
      <c r="AH42" s="777" t="n"/>
      <c r="AI42" s="777" t="n"/>
      <c r="AJ42" s="777" t="n"/>
      <c r="AK42" s="777" t="n"/>
      <c r="AL42" s="777" t="n"/>
      <c r="AM42" s="777" t="n"/>
      <c r="AN42" s="780" t="n"/>
      <c r="AO42" s="1040" t="n"/>
      <c r="AP42" s="905" t="n"/>
      <c r="AQ42" s="885" t="n"/>
      <c r="AR42" s="885" t="n"/>
      <c r="AS42" s="885" t="n"/>
    </row>
    <row r="43" ht="15" customHeight="1">
      <c r="AA43" s="324" t="n"/>
      <c r="AB43" s="324" t="n"/>
      <c r="AC43" s="324" t="n"/>
      <c r="AD43" s="324" t="n"/>
      <c r="AE43" s="324" t="n"/>
      <c r="AF43" s="324" t="n"/>
      <c r="AG43" s="324" t="n"/>
      <c r="AH43" s="324" t="n"/>
      <c r="AI43" s="324" t="n"/>
      <c r="AJ43" s="324" t="n"/>
      <c r="AK43" s="324" t="n"/>
      <c r="AL43" s="324" t="n"/>
      <c r="AM43" s="324" t="n"/>
      <c r="AN43" s="780" t="n"/>
      <c r="AP43" s="5" t="n"/>
    </row>
    <row r="44">
      <c r="B44" s="346" t="inlineStr">
        <is>
          <t>TRENDED</t>
        </is>
      </c>
    </row>
    <row r="45" ht="15" customHeight="1">
      <c r="C45" s="406" t="inlineStr">
        <is>
          <t>INVESTOR EQUITY</t>
        </is>
      </c>
      <c r="D45" s="393">
        <f>1-Summary!$M$10</f>
        <v/>
      </c>
      <c r="E45" s="780">
        <f>+'Draw and Leaseup Schedule'!$D$89*D45</f>
        <v/>
      </c>
      <c r="F45" s="780" t="n"/>
      <c r="G45" s="780" t="n"/>
    </row>
    <row r="46" ht="15" customFormat="1" customHeight="1" s="4">
      <c r="A46" s="735" t="n"/>
      <c r="B46" s="735" t="n"/>
      <c r="C46" s="735" t="inlineStr">
        <is>
          <t>Cash Flow</t>
        </is>
      </c>
      <c r="D46" s="885" t="n"/>
      <c r="E46" s="780">
        <f>-E45</f>
        <v/>
      </c>
      <c r="F46" s="780">
        <f>+'Draw and Leaseup Schedule'!F$86*$D45</f>
        <v/>
      </c>
      <c r="G46" s="780">
        <f>+'Draw and Leaseup Schedule'!G$86*$D45</f>
        <v/>
      </c>
      <c r="H46" s="780">
        <f>+'Draw and Leaseup Schedule'!H$86*$D45</f>
        <v/>
      </c>
      <c r="I46" s="780">
        <f>+'Draw and Leaseup Schedule'!I$86*$D45</f>
        <v/>
      </c>
      <c r="J46" s="780">
        <f>+'Draw and Leaseup Schedule'!J$86*$D45</f>
        <v/>
      </c>
      <c r="K46" s="780">
        <f>+'Draw and Leaseup Schedule'!K$86*$D45</f>
        <v/>
      </c>
      <c r="L46" s="780">
        <f>+'Draw and Leaseup Schedule'!L$86*$D45</f>
        <v/>
      </c>
      <c r="M46" s="780">
        <f>+'Draw and Leaseup Schedule'!M$86*$D45</f>
        <v/>
      </c>
      <c r="N46" s="780">
        <f>+'Draw and Leaseup Schedule'!N$86*$D45</f>
        <v/>
      </c>
      <c r="O46" s="780">
        <f>+'Draw and Leaseup Schedule'!O$86*$D45</f>
        <v/>
      </c>
      <c r="P46" s="780">
        <f>+'Draw and Leaseup Schedule'!P$86*$D45</f>
        <v/>
      </c>
      <c r="Q46" s="780">
        <f>+'Draw and Leaseup Schedule'!Q$86*$D45</f>
        <v/>
      </c>
      <c r="R46" s="780">
        <f>+'Draw and Leaseup Schedule'!R$86*$D45</f>
        <v/>
      </c>
      <c r="S46" s="780">
        <f>+'Draw and Leaseup Schedule'!S$86*$D45</f>
        <v/>
      </c>
      <c r="T46" s="780">
        <f>+'Draw and Leaseup Schedule'!T$86*$D45</f>
        <v/>
      </c>
      <c r="U46" s="780">
        <f>+'Draw and Leaseup Schedule'!U$86*$D45</f>
        <v/>
      </c>
      <c r="V46" s="780">
        <f>+'Draw and Leaseup Schedule'!V$86*$D45</f>
        <v/>
      </c>
      <c r="W46" s="780">
        <f>+'Draw and Leaseup Schedule'!W$86*$D45</f>
        <v/>
      </c>
      <c r="X46" s="780">
        <f>+'Draw and Leaseup Schedule'!X$86*$D45</f>
        <v/>
      </c>
      <c r="Y46" s="780">
        <f>+'Draw and Leaseup Schedule'!Y$86*$D45</f>
        <v/>
      </c>
      <c r="Z46" s="780">
        <f>+'Draw and Leaseup Schedule'!Z$86*$D45</f>
        <v/>
      </c>
      <c r="AA46" s="780">
        <f>+'Draw and Leaseup Schedule'!AA$86*$D45</f>
        <v/>
      </c>
      <c r="AB46" s="780">
        <f>+'Draw and Leaseup Schedule'!AB$86*$D45</f>
        <v/>
      </c>
      <c r="AC46" s="780">
        <f>+'Draw and Leaseup Schedule'!AC$86*$D45</f>
        <v/>
      </c>
      <c r="AD46" s="780">
        <f>+'Draw and Leaseup Schedule'!AD$86*$D45</f>
        <v/>
      </c>
      <c r="AE46" s="780">
        <f>+'Draw and Leaseup Schedule'!AE$86*$D45</f>
        <v/>
      </c>
      <c r="AF46" s="780">
        <f>+'Draw and Leaseup Schedule'!AF$86*$D45</f>
        <v/>
      </c>
      <c r="AG46" s="780">
        <f>+'Draw and Leaseup Schedule'!AG$86*$D45</f>
        <v/>
      </c>
      <c r="AH46" s="780">
        <f>+'Draw and Leaseup Schedule'!AH$86*$D45</f>
        <v/>
      </c>
      <c r="AI46" s="780">
        <f>+'Draw and Leaseup Schedule'!AI$86*$D45</f>
        <v/>
      </c>
      <c r="AJ46" s="780">
        <f>+'Draw and Leaseup Schedule'!AJ$86*$D45</f>
        <v/>
      </c>
      <c r="AK46" s="780">
        <f>+'Draw and Leaseup Schedule'!AK$86*$D45</f>
        <v/>
      </c>
      <c r="AL46" s="780">
        <f>+'Draw and Leaseup Schedule'!AL$86*$D45</f>
        <v/>
      </c>
      <c r="AM46" s="780">
        <f>+'Draw and Leaseup Schedule'!AM$86*$D45</f>
        <v/>
      </c>
      <c r="AN46" s="780">
        <f>+'Draw and Leaseup Schedule'!AN$86*$D45</f>
        <v/>
      </c>
      <c r="AO46" s="1040" t="n"/>
      <c r="AP46" s="905" t="n"/>
      <c r="AQ46" s="885" t="n"/>
      <c r="AR46" s="885" t="n"/>
      <c r="AS46" s="885" t="n"/>
    </row>
    <row r="47" ht="15" customFormat="1" customHeight="1" s="4">
      <c r="A47" s="735" t="n"/>
      <c r="B47" s="735" t="n"/>
      <c r="C47" s="735" t="inlineStr">
        <is>
          <t>Return of Equity</t>
        </is>
      </c>
      <c r="D47" s="885" t="n"/>
      <c r="E47" s="780" t="n"/>
      <c r="F47" s="780" t="n"/>
      <c r="G47" s="780" t="n"/>
      <c r="H47" s="780" t="n"/>
      <c r="I47" s="780" t="n"/>
      <c r="J47" s="780" t="n"/>
      <c r="K47" s="780" t="n"/>
      <c r="L47" s="780" t="n"/>
      <c r="M47" s="780" t="n"/>
      <c r="N47" s="780" t="n"/>
      <c r="O47" s="780" t="n"/>
      <c r="P47" s="780" t="n"/>
      <c r="Q47" s="780" t="n"/>
      <c r="R47" s="780" t="n"/>
      <c r="S47" s="780" t="n"/>
      <c r="T47" s="780" t="n"/>
      <c r="U47" s="780" t="n"/>
      <c r="V47" s="780" t="n"/>
      <c r="W47" s="780" t="n"/>
      <c r="X47" s="780" t="n"/>
      <c r="Y47" s="780" t="n"/>
      <c r="Z47" s="780" t="n"/>
      <c r="AA47" s="777" t="n"/>
      <c r="AB47" s="777" t="n"/>
      <c r="AC47" s="777" t="n"/>
      <c r="AD47" s="777" t="n"/>
      <c r="AE47" s="777" t="n"/>
      <c r="AF47" s="777" t="n"/>
      <c r="AG47" s="777" t="n"/>
      <c r="AH47" s="777" t="n"/>
      <c r="AI47" s="777" t="n"/>
      <c r="AJ47" s="777" t="n"/>
      <c r="AK47" s="777" t="n"/>
      <c r="AL47" s="777" t="n"/>
      <c r="AM47" s="777" t="n"/>
      <c r="AN47" s="1048">
        <f>-AP54</f>
        <v/>
      </c>
      <c r="AO47" s="1040" t="n"/>
      <c r="AP47" s="905" t="n"/>
      <c r="AQ47" s="885" t="n"/>
      <c r="AR47" s="885" t="n"/>
      <c r="AS47" s="885" t="n"/>
    </row>
    <row r="48" ht="15" customFormat="1" customHeight="1" s="4">
      <c r="A48" s="735" t="n"/>
      <c r="B48" s="735" t="n"/>
      <c r="C48" s="735" t="inlineStr">
        <is>
          <t>Pref from sale</t>
        </is>
      </c>
      <c r="D48" s="885" t="n"/>
      <c r="E48" s="780" t="n"/>
      <c r="F48" s="780" t="n"/>
      <c r="G48" s="780" t="n"/>
      <c r="H48" s="780" t="n"/>
      <c r="I48" s="780" t="n"/>
      <c r="J48" s="780" t="n"/>
      <c r="K48" s="780" t="n"/>
      <c r="L48" s="780" t="n"/>
      <c r="M48" s="780" t="n"/>
      <c r="N48" s="780" t="n"/>
      <c r="O48" s="780" t="n"/>
      <c r="P48" s="780" t="n"/>
      <c r="Q48" s="780" t="n"/>
      <c r="R48" s="780" t="n"/>
      <c r="S48" s="780" t="n"/>
      <c r="T48" s="780" t="n"/>
      <c r="U48" s="780" t="n"/>
      <c r="V48" s="780" t="n"/>
      <c r="W48" s="780" t="n"/>
      <c r="X48" s="780" t="n"/>
      <c r="Y48" s="780" t="n"/>
      <c r="Z48" s="780" t="n"/>
      <c r="AA48" s="777" t="n"/>
      <c r="AB48" s="777" t="n"/>
      <c r="AC48" s="777" t="n"/>
      <c r="AD48" s="777" t="n"/>
      <c r="AE48" s="777" t="n"/>
      <c r="AF48" s="777" t="n"/>
      <c r="AG48" s="777" t="n"/>
      <c r="AH48" s="777" t="n"/>
      <c r="AI48" s="777" t="n"/>
      <c r="AJ48" s="777" t="n"/>
      <c r="AK48" s="777" t="n"/>
      <c r="AL48" s="777" t="n"/>
      <c r="AM48" s="777" t="n"/>
      <c r="AN48" s="780">
        <f>-AP57</f>
        <v/>
      </c>
      <c r="AO48" s="1040" t="n"/>
      <c r="AP48" s="905" t="n"/>
      <c r="AQ48" s="885" t="n"/>
      <c r="AR48" s="885" t="n"/>
      <c r="AS48" s="885" t="n"/>
    </row>
    <row r="49" ht="15" customFormat="1" customHeight="1" s="4">
      <c r="A49" s="735" t="n"/>
      <c r="B49" s="735" t="n"/>
      <c r="C49" s="735" t="inlineStr">
        <is>
          <t>Sales profits</t>
        </is>
      </c>
      <c r="D49" s="885" t="n"/>
      <c r="E49" s="780" t="n"/>
      <c r="F49" s="780" t="n"/>
      <c r="G49" s="780" t="n"/>
      <c r="H49" s="780" t="n"/>
      <c r="I49" s="780" t="n"/>
      <c r="J49" s="780" t="n"/>
      <c r="K49" s="780" t="n"/>
      <c r="L49" s="780" t="n"/>
      <c r="M49" s="780" t="n"/>
      <c r="N49" s="780" t="n"/>
      <c r="O49" s="780" t="n"/>
      <c r="P49" s="780" t="n"/>
      <c r="Q49" s="780" t="n"/>
      <c r="R49" s="780" t="n"/>
      <c r="S49" s="780" t="n"/>
      <c r="T49" s="780" t="n"/>
      <c r="U49" s="780" t="n"/>
      <c r="V49" s="780" t="n"/>
      <c r="W49" s="780" t="n"/>
      <c r="X49" s="780" t="n"/>
      <c r="Y49" s="780" t="n"/>
      <c r="Z49" s="780" t="n"/>
      <c r="AA49" s="777" t="n"/>
      <c r="AB49" s="777" t="n"/>
      <c r="AC49" s="777" t="n"/>
      <c r="AD49" s="777" t="n"/>
      <c r="AE49" s="777" t="n"/>
      <c r="AF49" s="777" t="n"/>
      <c r="AG49" s="777" t="n"/>
      <c r="AH49" s="777" t="n"/>
      <c r="AI49" s="777" t="n"/>
      <c r="AJ49" s="777" t="n"/>
      <c r="AK49" s="777" t="n"/>
      <c r="AL49" s="777" t="n"/>
      <c r="AM49" s="777" t="n"/>
      <c r="AN49" s="780">
        <f>-AP60-AP63-AP66</f>
        <v/>
      </c>
      <c r="AO49" s="1040" t="n"/>
      <c r="AP49" s="905" t="n"/>
      <c r="AQ49" s="885" t="n"/>
      <c r="AR49" s="885" t="n"/>
      <c r="AS49" s="885" t="n"/>
    </row>
    <row r="50" ht="15" customFormat="1" customHeight="1" s="4">
      <c r="A50" s="735" t="n"/>
      <c r="B50" s="735" t="n"/>
      <c r="C50" s="735" t="inlineStr">
        <is>
          <t>IRR Calculation</t>
        </is>
      </c>
      <c r="D50" s="885" t="n"/>
      <c r="E50" s="780">
        <f>SUM(E46:E49)</f>
        <v/>
      </c>
      <c r="F50" s="780">
        <f>SUM(F46:F49)</f>
        <v/>
      </c>
      <c r="G50" s="780">
        <f>SUM(G46:G49)</f>
        <v/>
      </c>
      <c r="H50" s="780">
        <f>SUM(H46:H49)</f>
        <v/>
      </c>
      <c r="I50" s="780">
        <f>SUM(I46:I49)</f>
        <v/>
      </c>
      <c r="J50" s="780">
        <f>SUM(J46:J49)</f>
        <v/>
      </c>
      <c r="K50" s="780">
        <f>SUM(K46:K49)</f>
        <v/>
      </c>
      <c r="L50" s="780">
        <f>SUM(L46:L49)</f>
        <v/>
      </c>
      <c r="M50" s="780">
        <f>SUM(M46:M49)</f>
        <v/>
      </c>
      <c r="N50" s="780">
        <f>SUM(N46:N49)</f>
        <v/>
      </c>
      <c r="O50" s="780">
        <f>SUM(O46:O49)</f>
        <v/>
      </c>
      <c r="P50" s="780">
        <f>SUM(P46:P49)</f>
        <v/>
      </c>
      <c r="Q50" s="780">
        <f>SUM(Q46:Q49)</f>
        <v/>
      </c>
      <c r="R50" s="780">
        <f>SUM(R46:R49)</f>
        <v/>
      </c>
      <c r="S50" s="780">
        <f>SUM(S46:S49)</f>
        <v/>
      </c>
      <c r="T50" s="780">
        <f>SUM(T46:T49)</f>
        <v/>
      </c>
      <c r="U50" s="780">
        <f>SUM(U46:U49)</f>
        <v/>
      </c>
      <c r="V50" s="780">
        <f>SUM(V46:V49)</f>
        <v/>
      </c>
      <c r="W50" s="780">
        <f>SUM(W46:W49)</f>
        <v/>
      </c>
      <c r="X50" s="780">
        <f>SUM(X46:X49)</f>
        <v/>
      </c>
      <c r="Y50" s="780">
        <f>SUM(Y46:Y49)</f>
        <v/>
      </c>
      <c r="Z50" s="780">
        <f>SUM(Z46:Z49)</f>
        <v/>
      </c>
      <c r="AA50" s="780">
        <f>SUM(AA46:AA49)</f>
        <v/>
      </c>
      <c r="AB50" s="780">
        <f>SUM(AB46:AB49)</f>
        <v/>
      </c>
      <c r="AC50" s="780">
        <f>SUM(AC46:AC49)</f>
        <v/>
      </c>
      <c r="AD50" s="780">
        <f>SUM(AD46:AD49)</f>
        <v/>
      </c>
      <c r="AE50" s="780">
        <f>SUM(AE46:AE49)</f>
        <v/>
      </c>
      <c r="AF50" s="780">
        <f>SUM(AF46:AF49)</f>
        <v/>
      </c>
      <c r="AG50" s="780">
        <f>SUM(AG46:AG49)</f>
        <v/>
      </c>
      <c r="AH50" s="780">
        <f>SUM(AH46:AH49)</f>
        <v/>
      </c>
      <c r="AI50" s="780">
        <f>SUM(AI46:AI49)</f>
        <v/>
      </c>
      <c r="AJ50" s="780">
        <f>SUM(AJ46:AJ49)</f>
        <v/>
      </c>
      <c r="AK50" s="780">
        <f>SUM(AK46:AK49)</f>
        <v/>
      </c>
      <c r="AL50" s="780">
        <f>SUM(AL46:AL49)</f>
        <v/>
      </c>
      <c r="AM50" s="780">
        <f>SUM(AM46:AM49)</f>
        <v/>
      </c>
      <c r="AN50" s="780">
        <f>SUM(AN46:AN49)</f>
        <v/>
      </c>
      <c r="AO50" s="1040">
        <f>(1+IRR(E50:AN50,0.02))^12-1</f>
        <v/>
      </c>
      <c r="AP50" s="905" t="n"/>
      <c r="AQ50" s="885" t="n"/>
      <c r="AR50" s="885" t="n"/>
      <c r="AS50" s="885" t="n"/>
    </row>
    <row r="51" ht="15" customHeight="1">
      <c r="C51" s="885" t="n"/>
      <c r="E51" s="1048" t="n"/>
      <c r="F51" s="1048" t="n"/>
      <c r="G51" s="1048" t="n"/>
      <c r="H51" s="1048" t="n"/>
      <c r="I51" s="1048" t="n"/>
      <c r="J51" s="1048" t="n"/>
      <c r="K51" s="1048" t="n"/>
      <c r="L51" s="1048" t="n"/>
      <c r="M51" s="1048" t="n"/>
      <c r="N51" s="1048" t="n"/>
      <c r="O51" s="1048" t="n"/>
      <c r="P51" s="1048" t="n"/>
      <c r="Q51" s="1048" t="n"/>
      <c r="R51" s="1048" t="n"/>
      <c r="S51" s="1048" t="n"/>
      <c r="T51" s="1048" t="n"/>
      <c r="U51" s="1048" t="n"/>
      <c r="V51" s="1048" t="n"/>
      <c r="W51" s="1048" t="n"/>
      <c r="X51" s="1048" t="n"/>
      <c r="Y51" s="1048" t="n"/>
      <c r="Z51" s="1048" t="n"/>
      <c r="AA51" s="1048" t="n"/>
      <c r="AB51" s="1048" t="n"/>
      <c r="AC51" s="1048" t="n"/>
      <c r="AD51" s="1048" t="n"/>
      <c r="AE51" s="1048" t="n"/>
      <c r="AF51" s="1048" t="n"/>
      <c r="AG51" s="1048" t="n"/>
      <c r="AH51" s="1048" t="n"/>
      <c r="AI51" s="1048" t="n"/>
      <c r="AJ51" s="1048" t="n"/>
      <c r="AK51" s="1048" t="n"/>
      <c r="AL51" s="1048" t="n"/>
      <c r="AM51" s="1048" t="n"/>
      <c r="AN51" s="1048" t="n"/>
    </row>
    <row r="52" ht="18" customHeight="1">
      <c r="C52" s="885" t="n"/>
      <c r="E52" s="1048" t="n"/>
      <c r="F52" s="1048" t="n"/>
      <c r="G52" s="1048" t="n"/>
      <c r="H52" s="1048" t="n"/>
      <c r="I52" s="1048" t="n"/>
      <c r="J52" s="1048" t="n"/>
      <c r="K52" s="1048" t="n"/>
      <c r="L52" s="1048" t="n"/>
      <c r="M52" s="1048" t="n"/>
      <c r="N52" s="1048" t="n"/>
      <c r="O52" s="1048" t="n"/>
      <c r="P52" s="1048" t="n"/>
      <c r="Q52" s="1048" t="n"/>
      <c r="R52" s="1048" t="n"/>
      <c r="S52" s="1048" t="n"/>
      <c r="T52" s="1048" t="n"/>
      <c r="U52" s="1048" t="n"/>
      <c r="V52" s="1048" t="n"/>
      <c r="W52" s="1048" t="n"/>
      <c r="X52" s="1048" t="n"/>
      <c r="Y52" s="1048" t="n"/>
      <c r="Z52" s="1048" t="n"/>
      <c r="AA52" s="1048" t="n"/>
      <c r="AB52" s="1048" t="n"/>
      <c r="AC52" s="1048" t="n"/>
      <c r="AD52" s="1048" t="n"/>
      <c r="AE52" s="1048" t="n"/>
      <c r="AF52" s="1048" t="n"/>
      <c r="AG52" s="1048" t="n"/>
      <c r="AH52" s="1048" t="n"/>
      <c r="AI52" s="1048" t="n"/>
      <c r="AJ52" s="1048" t="n"/>
      <c r="AK52" s="1048" t="n"/>
      <c r="AL52" s="1048" t="n"/>
      <c r="AM52" s="1048" t="n"/>
      <c r="AN52" s="409" t="inlineStr">
        <is>
          <t>UNTRENDED</t>
        </is>
      </c>
      <c r="AP52" s="409" t="inlineStr">
        <is>
          <t>TRENDED</t>
        </is>
      </c>
    </row>
    <row r="53" ht="15" customHeight="1">
      <c r="A53" s="406" t="inlineStr">
        <is>
          <t>Proceeds after Debt</t>
        </is>
      </c>
      <c r="E53" s="1048" t="n"/>
      <c r="F53" s="1048" t="n"/>
      <c r="G53" s="1048" t="n"/>
      <c r="H53" s="1048" t="n"/>
      <c r="I53" s="1048" t="n"/>
      <c r="J53" s="1048" t="n"/>
      <c r="K53" s="1048" t="n"/>
      <c r="L53" s="1048" t="n"/>
      <c r="M53" s="1048" t="n"/>
      <c r="N53" s="1048" t="n"/>
      <c r="O53" s="1048" t="n"/>
      <c r="P53" s="1048" t="n"/>
      <c r="Q53" s="1048" t="n"/>
      <c r="R53" s="1048" t="n"/>
      <c r="S53" s="1048" t="n"/>
      <c r="T53" s="1048" t="n"/>
      <c r="U53" s="1048" t="n"/>
      <c r="V53" s="1048" t="n"/>
      <c r="W53" s="1048" t="n"/>
      <c r="X53" s="1048" t="n"/>
      <c r="Y53" s="1048" t="n"/>
      <c r="Z53" s="1048" t="n"/>
      <c r="AA53" s="1048" t="n"/>
      <c r="AB53" s="1048" t="n"/>
      <c r="AC53" s="1048" t="n"/>
      <c r="AD53" s="1048" t="n"/>
      <c r="AE53" s="1048" t="n"/>
      <c r="AF53" s="1048" t="n"/>
      <c r="AG53" s="1048" t="n"/>
      <c r="AH53" s="1048" t="n"/>
      <c r="AI53" s="1048" t="n"/>
      <c r="AJ53" s="1048" t="n"/>
      <c r="AK53" s="1048" t="n"/>
      <c r="AL53" s="1048" t="n"/>
      <c r="AM53" s="1048" t="n"/>
      <c r="AN53" s="1148">
        <f>+AN18</f>
        <v/>
      </c>
      <c r="AP53" s="1148">
        <f>+'Exit Summary'!H32</f>
        <v/>
      </c>
    </row>
    <row r="54" ht="15" customHeight="1">
      <c r="B54" s="3" t="inlineStr">
        <is>
          <t>Equity Investor</t>
        </is>
      </c>
      <c r="D54" s="1279">
        <f>1-D55</f>
        <v/>
      </c>
      <c r="E54" s="1048" t="n"/>
      <c r="F54" s="1048" t="n"/>
      <c r="G54" s="1048" t="n"/>
      <c r="H54" s="1048" t="n"/>
      <c r="I54" s="1048" t="n"/>
      <c r="J54" s="1048" t="n"/>
      <c r="K54" s="1048" t="n"/>
      <c r="L54" s="1048" t="n"/>
      <c r="M54" s="1048" t="n"/>
      <c r="N54" s="1048" t="n"/>
      <c r="O54" s="1048" t="n"/>
      <c r="P54" s="1048" t="n"/>
      <c r="Q54" s="1048" t="n"/>
      <c r="R54" s="1048" t="n"/>
      <c r="S54" s="1048" t="n"/>
      <c r="T54" s="1048" t="n"/>
      <c r="U54" s="1048" t="n"/>
      <c r="V54" s="1048" t="n"/>
      <c r="W54" s="1048" t="n"/>
      <c r="X54" s="1048" t="n"/>
      <c r="Y54" s="1048" t="n"/>
      <c r="Z54" s="1048" t="n"/>
      <c r="AA54" s="1048" t="n"/>
      <c r="AB54" s="1048" t="n"/>
      <c r="AC54" s="1048" t="n"/>
      <c r="AD54" s="1048" t="n"/>
      <c r="AE54" s="1048" t="n"/>
      <c r="AF54" s="1048" t="n"/>
      <c r="AG54" s="1048" t="n"/>
      <c r="AH54" s="1048" t="n"/>
      <c r="AI54" s="1048" t="n"/>
      <c r="AJ54" s="1048" t="n"/>
      <c r="AK54" s="1048" t="n"/>
      <c r="AL54" s="1048" t="n"/>
      <c r="AM54" s="1048" t="n"/>
      <c r="AN54" s="780">
        <f>-MIN('Draw and Leaseup Schedule'!$D$89*$D54,AN53*$D54)</f>
        <v/>
      </c>
      <c r="AP54" s="780">
        <f>-MIN('Draw and Leaseup Schedule'!$D$89*$D54,AP53*$D54)</f>
        <v/>
      </c>
    </row>
    <row r="55" ht="15" customHeight="1">
      <c r="B55" s="3" t="inlineStr">
        <is>
          <t>TP Developer</t>
        </is>
      </c>
      <c r="D55" s="1279">
        <f>+Summary!$M$10</f>
        <v/>
      </c>
      <c r="E55" s="1048" t="n"/>
      <c r="F55" s="1048" t="n"/>
      <c r="G55" s="1048" t="n"/>
      <c r="H55" s="1048" t="n"/>
      <c r="I55" s="1048" t="n"/>
      <c r="J55" s="1048" t="n"/>
      <c r="K55" s="1048" t="n"/>
      <c r="L55" s="1048" t="n"/>
      <c r="M55" s="1048" t="n"/>
      <c r="N55" s="1048" t="n"/>
      <c r="O55" s="1048" t="n"/>
      <c r="P55" s="1048" t="n"/>
      <c r="Q55" s="1048" t="n"/>
      <c r="R55" s="1048" t="n"/>
      <c r="S55" s="1048" t="n"/>
      <c r="T55" s="1048" t="n"/>
      <c r="U55" s="1048" t="n"/>
      <c r="V55" s="1048" t="n"/>
      <c r="W55" s="1048" t="n"/>
      <c r="X55" s="1048" t="n"/>
      <c r="Y55" s="1048" t="n"/>
      <c r="Z55" s="1048" t="n"/>
      <c r="AA55" s="1048" t="n"/>
      <c r="AB55" s="1048" t="n"/>
      <c r="AC55" s="1048" t="n"/>
      <c r="AD55" s="1048" t="n"/>
      <c r="AE55" s="1048" t="n"/>
      <c r="AF55" s="1048" t="n"/>
      <c r="AG55" s="1048" t="n"/>
      <c r="AH55" s="1048" t="n"/>
      <c r="AI55" s="1048" t="n"/>
      <c r="AJ55" s="1048" t="n"/>
      <c r="AK55" s="1048" t="n"/>
      <c r="AL55" s="1048" t="n"/>
      <c r="AM55" s="1048" t="n"/>
      <c r="AN55" s="893">
        <f>-MIN('Draw and Leaseup Schedule'!$D$89*$D55,AN53*$D55)</f>
        <v/>
      </c>
      <c r="AP55" s="893">
        <f>-MIN('Draw and Leaseup Schedule'!$D$89*$D55,AP53*$D55)</f>
        <v/>
      </c>
    </row>
    <row r="56" ht="15" customHeight="1">
      <c r="A56" s="406" t="inlineStr">
        <is>
          <t>Proceeds after Preferred Return</t>
        </is>
      </c>
      <c r="E56" s="1048" t="n"/>
      <c r="F56" s="1048" t="n"/>
      <c r="G56" s="1048" t="n"/>
      <c r="H56" s="1048" t="n"/>
      <c r="I56" s="1048" t="n"/>
      <c r="J56" s="1048" t="n"/>
      <c r="K56" s="1048" t="n"/>
      <c r="L56" s="1048" t="n"/>
      <c r="M56" s="1048" t="n"/>
      <c r="N56" s="1048" t="n"/>
      <c r="O56" s="1048" t="n"/>
      <c r="P56" s="1048" t="n"/>
      <c r="Q56" s="1048" t="n"/>
      <c r="R56" s="1048" t="n"/>
      <c r="S56" s="1048" t="n"/>
      <c r="T56" s="1048" t="n"/>
      <c r="U56" s="1048" t="n"/>
      <c r="V56" s="1048" t="n"/>
      <c r="W56" s="1048" t="n"/>
      <c r="X56" s="1048" t="n"/>
      <c r="Y56" s="1048" t="n"/>
      <c r="Z56" s="1048" t="n"/>
      <c r="AA56" s="1048" t="n"/>
      <c r="AB56" s="1048" t="n"/>
      <c r="AC56" s="1048" t="n"/>
      <c r="AD56" s="1048" t="n"/>
      <c r="AE56" s="1048" t="n"/>
      <c r="AF56" s="1048" t="n"/>
      <c r="AG56" s="1048" t="n"/>
      <c r="AH56" s="1048" t="n"/>
      <c r="AI56" s="1048" t="n"/>
      <c r="AJ56" s="1048" t="n"/>
      <c r="AK56" s="1048" t="n"/>
      <c r="AL56" s="1048" t="n"/>
      <c r="AM56" s="1048" t="n"/>
      <c r="AN56" s="1148">
        <f>SUM(AN53:AN55)</f>
        <v/>
      </c>
      <c r="AP56" s="1148">
        <f>SUM(AP53:AP55)</f>
        <v/>
      </c>
    </row>
    <row r="57" ht="15" customHeight="1">
      <c r="B57" s="3" t="inlineStr">
        <is>
          <t>Equity Investor</t>
        </is>
      </c>
      <c r="D57" s="1279">
        <f>1-D58</f>
        <v/>
      </c>
      <c r="E57" s="1048" t="n"/>
      <c r="F57" s="1048" t="n"/>
      <c r="G57" s="1048" t="n"/>
      <c r="H57" s="1048" t="n"/>
      <c r="I57" s="1048" t="n"/>
      <c r="J57" s="1048" t="n"/>
      <c r="K57" s="1048" t="n"/>
      <c r="L57" s="1048" t="n"/>
      <c r="M57" s="1048" t="n"/>
      <c r="N57" s="1048" t="n"/>
      <c r="O57" s="1048" t="n"/>
      <c r="P57" s="1048" t="n"/>
      <c r="Q57" s="1048" t="n"/>
      <c r="R57" s="1048" t="n"/>
      <c r="S57" s="1048" t="n"/>
      <c r="T57" s="1048" t="n"/>
      <c r="U57" s="1048" t="n"/>
      <c r="V57" s="1048" t="n"/>
      <c r="W57" s="1048" t="n"/>
      <c r="X57" s="1048" t="n"/>
      <c r="Y57" s="1048" t="n"/>
      <c r="Z57" s="1048" t="n"/>
      <c r="AA57" s="1048" t="n"/>
      <c r="AB57" s="1048" t="n"/>
      <c r="AC57" s="1048" t="n"/>
      <c r="AD57" s="1048" t="n"/>
      <c r="AE57" s="1048" t="n"/>
      <c r="AF57" s="1048" t="n"/>
      <c r="AG57" s="1048" t="n"/>
      <c r="AH57" s="1048" t="n"/>
      <c r="AI57" s="1048" t="n"/>
      <c r="AJ57" s="1048" t="n"/>
      <c r="AK57" s="1048" t="n"/>
      <c r="AL57" s="1048" t="n"/>
      <c r="AM57" s="1048" t="n"/>
      <c r="AN57" s="1048">
        <f>-MIN((($AN$94-$E$88)),AN$56*$D57)</f>
        <v/>
      </c>
      <c r="AO57" s="937" t="n"/>
      <c r="AP57" s="1048">
        <f>-MIN((($AN$94-$E$88)),AP$56*$D57)</f>
        <v/>
      </c>
    </row>
    <row r="58" ht="15" customHeight="1">
      <c r="B58" s="3" t="inlineStr">
        <is>
          <t>TP Developer</t>
        </is>
      </c>
      <c r="D58" s="1279">
        <f>+Summary!$M$10</f>
        <v/>
      </c>
      <c r="E58" s="1048" t="n"/>
      <c r="F58" s="1048" t="n"/>
      <c r="G58" s="1048" t="n"/>
      <c r="H58" s="1048" t="n"/>
      <c r="I58" s="1048" t="n"/>
      <c r="J58" s="1048" t="n"/>
      <c r="K58" s="1048" t="n"/>
      <c r="L58" s="1048" t="n"/>
      <c r="M58" s="1048" t="n"/>
      <c r="N58" s="1048" t="n"/>
      <c r="O58" s="1048" t="n"/>
      <c r="P58" s="937" t="n"/>
      <c r="Q58" s="1048" t="n"/>
      <c r="R58" s="1048" t="n"/>
      <c r="S58" s="1048" t="n"/>
      <c r="T58" s="1048" t="n"/>
      <c r="U58" s="1048" t="n"/>
      <c r="V58" s="1048" t="n"/>
      <c r="W58" s="1048" t="n"/>
      <c r="X58" s="1048" t="n"/>
      <c r="Y58" s="1048" t="n"/>
      <c r="Z58" s="1048" t="n"/>
      <c r="AA58" s="1048" t="n"/>
      <c r="AB58" s="1048" t="n"/>
      <c r="AC58" s="937" t="n"/>
      <c r="AD58" s="1048" t="n"/>
      <c r="AE58" s="1048" t="n"/>
      <c r="AF58" s="1048" t="n"/>
      <c r="AG58" s="1048" t="n"/>
      <c r="AH58" s="1048" t="n"/>
      <c r="AI58" s="1048" t="n"/>
      <c r="AJ58" s="1048" t="n"/>
      <c r="AK58" s="1048" t="n"/>
      <c r="AL58" s="1048" t="n"/>
      <c r="AM58" s="1048" t="n"/>
      <c r="AN58" s="1186">
        <f>-MIN((($AN$105-$E$99)),AN$56*$D58)</f>
        <v/>
      </c>
      <c r="AO58" s="1048" t="n"/>
      <c r="AP58" s="1186">
        <f>-MIN((($AN$105-$E$99)),AP$56*$D58)</f>
        <v/>
      </c>
    </row>
    <row r="59" ht="15" customHeight="1">
      <c r="A59" s="406" t="inlineStr">
        <is>
          <t>Proceeds after Preferred Return</t>
        </is>
      </c>
      <c r="E59" s="1048" t="n"/>
      <c r="F59" s="1048" t="n"/>
      <c r="G59" s="1048" t="n"/>
      <c r="H59" s="1048" t="n"/>
      <c r="I59" s="1048" t="n"/>
      <c r="J59" s="1048" t="n"/>
      <c r="K59" s="1048" t="n"/>
      <c r="L59" s="1048" t="n"/>
      <c r="M59" s="1048" t="n"/>
      <c r="N59" s="1048" t="n"/>
      <c r="O59" s="1048" t="n"/>
      <c r="P59" s="937" t="n"/>
      <c r="Q59" s="1048" t="n"/>
      <c r="R59" s="1048" t="n"/>
      <c r="S59" s="1048" t="n"/>
      <c r="T59" s="1048" t="n"/>
      <c r="U59" s="1048" t="n"/>
      <c r="V59" s="1048" t="n"/>
      <c r="W59" s="1048" t="n"/>
      <c r="X59" s="1048" t="n"/>
      <c r="Y59" s="1048" t="n"/>
      <c r="Z59" s="1048" t="n"/>
      <c r="AA59" s="1048" t="n"/>
      <c r="AB59" s="1048" t="n"/>
      <c r="AC59" s="937" t="n"/>
      <c r="AD59" s="1048" t="n"/>
      <c r="AE59" s="1048" t="n"/>
      <c r="AF59" s="1048" t="n"/>
      <c r="AG59" s="1048" t="n"/>
      <c r="AH59" s="1048" t="n"/>
      <c r="AI59" s="1048" t="n"/>
      <c r="AJ59" s="1048" t="n"/>
      <c r="AK59" s="1048" t="n"/>
      <c r="AL59" s="1048" t="n"/>
      <c r="AM59" s="1048" t="n"/>
      <c r="AN59" s="1148">
        <f>SUM(AN56:AN58)</f>
        <v/>
      </c>
      <c r="AO59" s="1048" t="n"/>
      <c r="AP59" s="1148">
        <f>SUM(AP56:AP58)</f>
        <v/>
      </c>
    </row>
    <row r="60" ht="15" customHeight="1">
      <c r="B60" s="3" t="inlineStr">
        <is>
          <t>Equity Investor</t>
        </is>
      </c>
      <c r="D60" s="1279">
        <f>+'Exit Summary'!D38</f>
        <v/>
      </c>
      <c r="E60" s="1048" t="n"/>
      <c r="F60" s="1048" t="n"/>
      <c r="G60" s="1048" t="n"/>
      <c r="H60" s="1048" t="n"/>
      <c r="I60" s="1048" t="n"/>
      <c r="J60" s="1048" t="n"/>
      <c r="K60" s="1048" t="n"/>
      <c r="L60" s="1048" t="n"/>
      <c r="M60" s="1048" t="n"/>
      <c r="N60" s="1048" t="n"/>
      <c r="O60" s="1048" t="n"/>
      <c r="P60" s="1048" t="n"/>
      <c r="Q60" s="1048" t="n"/>
      <c r="R60" s="1048" t="n"/>
      <c r="S60" s="1048" t="n"/>
      <c r="T60" s="1048" t="n"/>
      <c r="U60" s="1048" t="n"/>
      <c r="V60" s="1048" t="n"/>
      <c r="W60" s="1048" t="n"/>
      <c r="X60" s="1048" t="n"/>
      <c r="Y60" s="1048" t="n"/>
      <c r="Z60" s="1048" t="n"/>
      <c r="AA60" s="1048" t="n"/>
      <c r="AB60" s="1048" t="n"/>
      <c r="AC60" s="1048" t="n"/>
      <c r="AD60" s="1048" t="n"/>
      <c r="AE60" s="1048" t="n"/>
      <c r="AF60" s="1048" t="n"/>
      <c r="AG60" s="1048" t="n"/>
      <c r="AH60" s="1048" t="n"/>
      <c r="AI60" s="1048" t="n"/>
      <c r="AJ60" s="1048" t="n"/>
      <c r="AK60" s="1048" t="n"/>
      <c r="AL60" s="1048" t="n"/>
      <c r="AM60" s="1048" t="n"/>
      <c r="AN60" s="1048">
        <f>-MIN(AN118-AN94,AN$59*$D60)</f>
        <v/>
      </c>
      <c r="AO60" s="1048" t="n"/>
      <c r="AP60" s="1048">
        <f>-MIN($AN$118-$AN$94,AP$59*$D60)</f>
        <v/>
      </c>
    </row>
    <row r="61" ht="15" customHeight="1">
      <c r="B61" s="3" t="inlineStr">
        <is>
          <t>TP Developer</t>
        </is>
      </c>
      <c r="D61" s="1279">
        <f>+'Exit Summary'!D39</f>
        <v/>
      </c>
      <c r="E61" s="1048" t="n"/>
      <c r="F61" s="1048" t="n"/>
      <c r="G61" s="1048" t="n"/>
      <c r="H61" s="1048" t="n"/>
      <c r="I61" s="1048" t="n"/>
      <c r="J61" s="1048" t="n"/>
      <c r="K61" s="1048" t="n"/>
      <c r="L61" s="1048" t="n"/>
      <c r="M61" s="1048" t="n"/>
      <c r="N61" s="1048" t="n"/>
      <c r="O61" s="1048" t="n"/>
      <c r="P61" s="1048" t="n"/>
      <c r="Q61" s="1048" t="n"/>
      <c r="R61" s="1048" t="n"/>
      <c r="S61" s="1048" t="n"/>
      <c r="T61" s="1048" t="n"/>
      <c r="U61" s="1048" t="n"/>
      <c r="V61" s="1048" t="n"/>
      <c r="W61" s="1048" t="n"/>
      <c r="X61" s="1048" t="n"/>
      <c r="Y61" s="1048" t="n"/>
      <c r="Z61" s="1048" t="n"/>
      <c r="AA61" s="1048" t="n"/>
      <c r="AB61" s="1048" t="n"/>
      <c r="AC61" s="1048" t="n"/>
      <c r="AD61" s="1048" t="n"/>
      <c r="AE61" s="1048" t="n"/>
      <c r="AF61" s="1048" t="n"/>
      <c r="AG61" s="1048" t="n"/>
      <c r="AH61" s="1048" t="n"/>
      <c r="AI61" s="1048" t="n"/>
      <c r="AJ61" s="1048" t="n"/>
      <c r="AK61" s="1048" t="n"/>
      <c r="AL61" s="1048" t="n"/>
      <c r="AM61" s="1048" t="n"/>
      <c r="AN61" s="1186">
        <f>(AN60/$D60)*$D61</f>
        <v/>
      </c>
      <c r="AO61" s="1048" t="n"/>
      <c r="AP61" s="1186">
        <f>(AP60/$D60)*$D61</f>
        <v/>
      </c>
    </row>
    <row r="62" ht="15" customHeight="1">
      <c r="A62" s="406" t="inlineStr">
        <is>
          <t>Proceeds after First IRR Hurrdle</t>
        </is>
      </c>
      <c r="E62" s="1048" t="n"/>
      <c r="F62" s="1048" t="n"/>
      <c r="G62" s="1048" t="n"/>
      <c r="H62" s="1048" t="n"/>
      <c r="I62" s="1048" t="n"/>
      <c r="J62" s="1048" t="n"/>
      <c r="K62" s="1048" t="n"/>
      <c r="L62" s="1048" t="n"/>
      <c r="M62" s="1048" t="n"/>
      <c r="N62" s="1048" t="n"/>
      <c r="O62" s="1048" t="n"/>
      <c r="P62" s="1048" t="n"/>
      <c r="Q62" s="1048" t="n"/>
      <c r="R62" s="1048" t="n"/>
      <c r="S62" s="1048" t="n"/>
      <c r="T62" s="1048" t="n"/>
      <c r="U62" s="1048" t="n"/>
      <c r="V62" s="1048" t="n"/>
      <c r="W62" s="1048" t="n"/>
      <c r="X62" s="1048" t="n"/>
      <c r="Y62" s="1048" t="n"/>
      <c r="Z62" s="1048" t="n"/>
      <c r="AA62" s="1048" t="n"/>
      <c r="AB62" s="1048" t="n"/>
      <c r="AC62" s="1048" t="n"/>
      <c r="AD62" s="1048" t="n"/>
      <c r="AE62" s="1048" t="n"/>
      <c r="AF62" s="1048" t="n"/>
      <c r="AG62" s="1048" t="n"/>
      <c r="AH62" s="1048" t="n"/>
      <c r="AI62" s="1048" t="n"/>
      <c r="AJ62" s="1048" t="n"/>
      <c r="AK62" s="1048" t="n"/>
      <c r="AL62" s="1048" t="n"/>
      <c r="AM62" s="1048" t="n"/>
      <c r="AN62" s="1148">
        <f>SUM(AN59:AN61)</f>
        <v/>
      </c>
      <c r="AO62" s="1048" t="n"/>
      <c r="AP62" s="1148">
        <f>SUM(AP59:AP61)</f>
        <v/>
      </c>
    </row>
    <row r="63" ht="15" customHeight="1">
      <c r="B63" s="3" t="inlineStr">
        <is>
          <t>Equity Investor</t>
        </is>
      </c>
      <c r="D63" s="1279">
        <f>+'Exit Summary'!D44</f>
        <v/>
      </c>
      <c r="E63" s="1048" t="n"/>
      <c r="F63" s="1048" t="n"/>
      <c r="G63" s="1048" t="n"/>
      <c r="H63" s="1048" t="n"/>
      <c r="I63" s="1048" t="n"/>
      <c r="J63" s="1048" t="n"/>
      <c r="K63" s="1048" t="n"/>
      <c r="L63" s="1048" t="n"/>
      <c r="M63" s="1048" t="n"/>
      <c r="N63" s="1048" t="n"/>
      <c r="O63" s="1048" t="n"/>
      <c r="P63" s="1048" t="n"/>
      <c r="Q63" s="1048" t="n"/>
      <c r="R63" s="1048" t="n"/>
      <c r="S63" s="1048" t="n"/>
      <c r="T63" s="1048" t="n"/>
      <c r="U63" s="1048" t="n"/>
      <c r="V63" s="1048" t="n"/>
      <c r="W63" s="1048" t="n"/>
      <c r="X63" s="1048" t="n"/>
      <c r="Y63" s="1048" t="n"/>
      <c r="Z63" s="1048" t="n"/>
      <c r="AA63" s="1048" t="n"/>
      <c r="AB63" s="1048" t="n"/>
      <c r="AC63" s="1048" t="n"/>
      <c r="AD63" s="1048" t="n"/>
      <c r="AE63" s="1048" t="n"/>
      <c r="AF63" s="1048" t="n"/>
      <c r="AG63" s="1048" t="n"/>
      <c r="AH63" s="1048" t="n"/>
      <c r="AI63" s="1048" t="n"/>
      <c r="AJ63" s="1048" t="n"/>
      <c r="AK63" s="1048" t="n"/>
      <c r="AL63" s="1048" t="n"/>
      <c r="AM63" s="1048" t="n"/>
      <c r="AN63" s="1048">
        <f>-MIN(AN132-AN118,AN$62*$D63)</f>
        <v/>
      </c>
      <c r="AO63" s="1048" t="n"/>
      <c r="AP63" s="1048">
        <f>-MIN($AN$132-$AN$118,AP$62*$D63)</f>
        <v/>
      </c>
    </row>
    <row r="64" ht="15" customHeight="1">
      <c r="B64" s="3" t="inlineStr">
        <is>
          <t>TP Developer</t>
        </is>
      </c>
      <c r="D64" s="1279">
        <f>+'Exit Summary'!D45</f>
        <v/>
      </c>
      <c r="E64" s="1048" t="n"/>
      <c r="F64" s="1048" t="n"/>
      <c r="G64" s="1048" t="n"/>
      <c r="H64" s="1048" t="n"/>
      <c r="I64" s="1048" t="n"/>
      <c r="J64" s="1048" t="n"/>
      <c r="K64" s="1048" t="n"/>
      <c r="L64" s="1048" t="n"/>
      <c r="M64" s="1048" t="n"/>
      <c r="N64" s="1048" t="n"/>
      <c r="O64" s="1048" t="n"/>
      <c r="P64" s="1048" t="n"/>
      <c r="Q64" s="1048" t="n"/>
      <c r="R64" s="1048" t="n"/>
      <c r="S64" s="1048" t="n"/>
      <c r="T64" s="1048" t="n"/>
      <c r="U64" s="1048" t="n"/>
      <c r="V64" s="1048" t="n"/>
      <c r="W64" s="1048" t="n"/>
      <c r="X64" s="1048" t="n"/>
      <c r="Y64" s="1048" t="n"/>
      <c r="Z64" s="1048" t="n"/>
      <c r="AA64" s="1048" t="n"/>
      <c r="AB64" s="1048" t="n"/>
      <c r="AC64" s="1048" t="n"/>
      <c r="AD64" s="1048" t="n"/>
      <c r="AE64" s="1048" t="n"/>
      <c r="AF64" s="1048" t="n"/>
      <c r="AG64" s="1048" t="n"/>
      <c r="AH64" s="1048" t="n"/>
      <c r="AI64" s="1048" t="n"/>
      <c r="AJ64" s="1048" t="n"/>
      <c r="AK64" s="1048" t="n"/>
      <c r="AL64" s="1048" t="n"/>
      <c r="AM64" s="1048" t="n"/>
      <c r="AN64" s="1186">
        <f>(AN63/$D63)*$D64</f>
        <v/>
      </c>
      <c r="AO64" s="1048" t="n"/>
      <c r="AP64" s="1186">
        <f>(AP63/$D63)*$D64</f>
        <v/>
      </c>
    </row>
    <row r="65" ht="15" customHeight="1">
      <c r="A65" s="406" t="inlineStr">
        <is>
          <t>Proceeds after Second IRR Hurrdle</t>
        </is>
      </c>
      <c r="E65" s="1048" t="n"/>
      <c r="F65" s="1048" t="n"/>
      <c r="G65" s="1048" t="n"/>
      <c r="H65" s="1048" t="n"/>
      <c r="I65" s="1048" t="n"/>
      <c r="J65" s="1048" t="n"/>
      <c r="K65" s="1048" t="n"/>
      <c r="L65" s="1048" t="n"/>
      <c r="M65" s="1048" t="n"/>
      <c r="N65" s="1048" t="n"/>
      <c r="O65" s="1048" t="n"/>
      <c r="P65" s="1048" t="n"/>
      <c r="Q65" s="1048" t="n"/>
      <c r="R65" s="1048" t="n"/>
      <c r="S65" s="1048" t="n"/>
      <c r="T65" s="1048" t="n"/>
      <c r="U65" s="1048" t="n"/>
      <c r="V65" s="1048" t="n"/>
      <c r="W65" s="1048" t="n"/>
      <c r="X65" s="1048" t="n"/>
      <c r="Y65" s="1048" t="n"/>
      <c r="Z65" s="1048" t="n"/>
      <c r="AA65" s="1048" t="n"/>
      <c r="AB65" s="1048" t="n"/>
      <c r="AC65" s="1048" t="n"/>
      <c r="AD65" s="1048" t="n"/>
      <c r="AE65" s="1048" t="n"/>
      <c r="AF65" s="1048" t="n"/>
      <c r="AG65" s="1048" t="n"/>
      <c r="AH65" s="1048" t="n"/>
      <c r="AI65" s="1048" t="n"/>
      <c r="AJ65" s="1048" t="n"/>
      <c r="AK65" s="1048" t="n"/>
      <c r="AL65" s="1048" t="n"/>
      <c r="AM65" s="1048" t="n"/>
      <c r="AN65" s="1148">
        <f>SUM(AN62:AN64)</f>
        <v/>
      </c>
      <c r="AO65" s="1048" t="n"/>
      <c r="AP65" s="1148">
        <f>SUM(AP62:AP64)</f>
        <v/>
      </c>
    </row>
    <row r="66" ht="15" customHeight="1">
      <c r="B66" s="3" t="inlineStr">
        <is>
          <t>Equity Investor</t>
        </is>
      </c>
      <c r="D66" s="1279">
        <f>+'Exit Summary'!D49</f>
        <v/>
      </c>
      <c r="AN66" s="1048">
        <f>-AN65*$D66</f>
        <v/>
      </c>
      <c r="AP66" s="1048">
        <f>-AP65*$D66</f>
        <v/>
      </c>
    </row>
    <row r="67" ht="15" customHeight="1">
      <c r="B67" s="3" t="inlineStr">
        <is>
          <t>TP Developer</t>
        </is>
      </c>
      <c r="D67" s="1279">
        <f>+'Exit Summary'!D50</f>
        <v/>
      </c>
      <c r="AN67" s="1186">
        <f>(AN66/$D66)*$D67</f>
        <v/>
      </c>
      <c r="AO67" s="1048" t="n"/>
      <c r="AP67" s="1186">
        <f>(AP66/$D66)*$D67</f>
        <v/>
      </c>
    </row>
    <row r="68" ht="15" customHeight="1">
      <c r="A68" s="406" t="inlineStr">
        <is>
          <t>Proceeds after Final Split</t>
        </is>
      </c>
      <c r="AN68" s="1148">
        <f>+AN65+AN66+AN67</f>
        <v/>
      </c>
      <c r="AP68" s="1148">
        <f>+AP65+AP66+AP67</f>
        <v/>
      </c>
    </row>
    <row r="72" ht="21" customHeight="1">
      <c r="A72" s="387" t="inlineStr">
        <is>
          <t>IRR HURRDLE CALCULATIONS</t>
        </is>
      </c>
    </row>
    <row r="73" ht="15" customHeight="1">
      <c r="E73" s="1048" t="n"/>
      <c r="F73" s="1048" t="n"/>
      <c r="G73" s="1048" t="n"/>
      <c r="H73" s="1048" t="n"/>
      <c r="I73" s="1048" t="n"/>
      <c r="J73" s="1048" t="n"/>
      <c r="K73" s="1048" t="n"/>
      <c r="L73" s="1048" t="n"/>
      <c r="M73" s="1048" t="n"/>
      <c r="N73" s="1048" t="n"/>
      <c r="O73" s="1048" t="n"/>
      <c r="P73" s="1048" t="n"/>
      <c r="Q73" s="1048" t="n"/>
      <c r="R73" s="1048" t="n"/>
      <c r="S73" s="1048" t="n"/>
      <c r="T73" s="1048" t="n"/>
      <c r="U73" s="1048" t="n"/>
      <c r="V73" s="1048" t="n"/>
      <c r="W73" s="1048" t="n"/>
      <c r="X73" s="1048" t="n"/>
      <c r="Y73" s="1048" t="n"/>
      <c r="Z73" s="1048" t="n"/>
      <c r="AA73" s="1048" t="n"/>
      <c r="AB73" s="1048" t="n"/>
      <c r="AC73" s="1048" t="n"/>
      <c r="AD73" s="1048" t="n"/>
      <c r="AE73" s="1048" t="n"/>
      <c r="AF73" s="1048" t="n"/>
      <c r="AG73" s="1048" t="n"/>
      <c r="AH73" s="1048" t="n"/>
      <c r="AI73" s="1048" t="n"/>
      <c r="AJ73" s="1048" t="n"/>
      <c r="AK73" s="1048" t="n"/>
      <c r="AL73" s="1048" t="n"/>
      <c r="AM73" s="1048" t="n"/>
    </row>
    <row r="74" ht="15" customHeight="1">
      <c r="AN74" s="1048" t="n"/>
    </row>
    <row r="75" ht="15" customHeight="1">
      <c r="E75" s="1048" t="n"/>
      <c r="F75" s="1048" t="n"/>
      <c r="G75" s="1048" t="n"/>
      <c r="H75" s="1048" t="n"/>
      <c r="I75" s="1048" t="n"/>
      <c r="J75" s="1048" t="n"/>
      <c r="K75" s="1048" t="n"/>
      <c r="L75" s="1048" t="n"/>
      <c r="M75" s="1048" t="n"/>
      <c r="N75" s="1048" t="n"/>
      <c r="O75" s="1048" t="n"/>
      <c r="P75" s="1048" t="n"/>
      <c r="Q75" s="1048" t="n"/>
      <c r="R75" s="1048" t="n"/>
      <c r="S75" s="1048" t="n"/>
      <c r="T75" s="1048" t="n"/>
      <c r="U75" s="1048" t="n"/>
      <c r="V75" s="1048" t="n"/>
      <c r="W75" s="1048" t="n"/>
      <c r="X75" s="1048" t="n"/>
      <c r="Y75" s="1048" t="n"/>
      <c r="Z75" s="1048" t="n"/>
      <c r="AA75" s="1048" t="n"/>
      <c r="AB75" s="1048" t="n"/>
      <c r="AC75" s="1048" t="n"/>
      <c r="AD75" s="1048" t="n"/>
      <c r="AE75" s="1048" t="n"/>
      <c r="AF75" s="1048" t="n"/>
      <c r="AG75" s="1048" t="n"/>
      <c r="AH75" s="1048" t="n"/>
      <c r="AI75" s="1048" t="n"/>
      <c r="AJ75" s="1048" t="n"/>
      <c r="AK75" s="1048" t="n"/>
      <c r="AL75" s="1048" t="n"/>
      <c r="AM75" s="1048" t="n"/>
    </row>
    <row r="76" ht="15" customHeight="1">
      <c r="B76" s="406" t="inlineStr">
        <is>
          <t>PREFERRED RETURN (TOTAL EQUITY)</t>
        </is>
      </c>
      <c r="E76" s="1048" t="n"/>
      <c r="F76" s="1048" t="n"/>
      <c r="G76" s="1048" t="n"/>
      <c r="H76" s="1048" t="n"/>
      <c r="I76" s="1048" t="n"/>
      <c r="J76" s="1048" t="n"/>
      <c r="K76" s="1048" t="n"/>
      <c r="L76" s="1048" t="n"/>
      <c r="M76" s="1048" t="n"/>
      <c r="N76" s="1048" t="n"/>
      <c r="O76" s="1048" t="n"/>
      <c r="P76" s="1048" t="n"/>
      <c r="Q76" s="1048" t="n"/>
      <c r="R76" s="1048" t="n"/>
      <c r="S76" s="1048" t="n"/>
      <c r="T76" s="1048" t="n"/>
      <c r="U76" s="1048" t="n"/>
      <c r="V76" s="1048" t="n"/>
      <c r="W76" s="1048" t="n"/>
      <c r="X76" s="1048" t="n"/>
      <c r="Y76" s="1048" t="n"/>
      <c r="Z76" s="1048" t="n"/>
      <c r="AA76" s="1048" t="n"/>
      <c r="AB76" s="1048" t="n"/>
      <c r="AC76" s="1048" t="n"/>
      <c r="AD76" s="1048" t="n"/>
      <c r="AE76" s="1048" t="n"/>
      <c r="AF76" s="1048" t="n"/>
      <c r="AG76" s="1048" t="n"/>
      <c r="AH76" s="1048" t="n"/>
      <c r="AI76" s="1048" t="n"/>
      <c r="AJ76" s="1048" t="n"/>
      <c r="AK76" s="1048" t="n"/>
      <c r="AL76" s="1048" t="n"/>
      <c r="AM76" s="1048" t="n"/>
      <c r="AN76" s="1048" t="n"/>
    </row>
    <row r="77" ht="15" customHeight="1">
      <c r="C77" s="3" t="inlineStr">
        <is>
          <t>Equity</t>
        </is>
      </c>
      <c r="D77" s="1279" t="n">
        <v>1</v>
      </c>
      <c r="E77" s="1048">
        <f>+'Draw and Leaseup Schedule'!$D$89*D77</f>
        <v/>
      </c>
      <c r="F77" s="1048" t="n"/>
      <c r="G77" s="1048" t="n"/>
      <c r="H77" s="1048" t="n"/>
      <c r="I77" s="1048" t="n"/>
      <c r="J77" s="1048" t="n"/>
      <c r="K77" s="1048" t="n"/>
      <c r="L77" s="1048" t="n"/>
      <c r="M77" s="1048" t="n"/>
      <c r="N77" s="1048" t="n"/>
      <c r="O77" s="1048" t="n"/>
      <c r="P77" s="1048" t="n"/>
      <c r="Q77" s="1048" t="n"/>
      <c r="R77" s="1048" t="n"/>
      <c r="S77" s="1048" t="n"/>
      <c r="T77" s="1048" t="n"/>
      <c r="U77" s="1048" t="n"/>
      <c r="V77" s="1048" t="n"/>
      <c r="W77" s="1048" t="n"/>
      <c r="X77" s="1048" t="n"/>
      <c r="Y77" s="1048" t="n"/>
      <c r="Z77" s="1048" t="n"/>
      <c r="AA77" s="1048" t="n"/>
      <c r="AB77" s="1048" t="n"/>
      <c r="AC77" s="1048" t="n"/>
      <c r="AD77" s="1048" t="n"/>
      <c r="AE77" s="1048" t="n"/>
      <c r="AF77" s="1048" t="n"/>
      <c r="AG77" s="1048" t="n"/>
      <c r="AH77" s="1048" t="n"/>
      <c r="AI77" s="1048" t="n"/>
      <c r="AJ77" s="1048" t="n"/>
      <c r="AK77" s="1048" t="n"/>
      <c r="AL77" s="1048" t="n"/>
      <c r="AM77" s="1048" t="n"/>
      <c r="AN77" s="1048" t="n"/>
    </row>
    <row r="78" ht="15" customHeight="1">
      <c r="C78" s="3" t="inlineStr">
        <is>
          <t>Preferred Return Calculation</t>
        </is>
      </c>
      <c r="D78" s="1279">
        <f>+'Exit Summary'!D34</f>
        <v/>
      </c>
      <c r="E78" s="1048" t="n"/>
      <c r="F78" s="1048" t="n"/>
      <c r="G78" s="1048" t="n"/>
      <c r="H78" s="1048" t="n"/>
      <c r="I78" s="1048" t="n"/>
      <c r="J78" s="1048" t="n"/>
      <c r="K78" s="1048" t="n"/>
      <c r="L78" s="1048" t="n"/>
      <c r="M78" s="1048" t="n"/>
      <c r="N78" s="1048" t="n"/>
      <c r="O78" s="1048" t="n"/>
      <c r="P78" s="1048" t="n"/>
      <c r="Q78" s="1048" t="n"/>
      <c r="R78" s="1048" t="n"/>
      <c r="S78" s="1048" t="n"/>
      <c r="T78" s="1048" t="n"/>
      <c r="U78" s="1048" t="n"/>
      <c r="V78" s="1048" t="n"/>
      <c r="W78" s="1048" t="n"/>
      <c r="X78" s="1048" t="n"/>
      <c r="Y78" s="1048" t="n"/>
      <c r="Z78" s="1048" t="n"/>
      <c r="AA78" s="1048" t="n"/>
      <c r="AB78" s="1048" t="n"/>
      <c r="AC78" s="1048" t="n"/>
      <c r="AD78" s="1048" t="n"/>
      <c r="AE78" s="1048" t="n"/>
      <c r="AF78" s="1048" t="n"/>
      <c r="AG78" s="1048" t="n"/>
      <c r="AH78" s="1048" t="n"/>
      <c r="AI78" s="1048" t="n"/>
      <c r="AJ78" s="1048" t="n"/>
      <c r="AK78" s="1048" t="n"/>
      <c r="AL78" s="1048" t="n"/>
      <c r="AM78" s="1048" t="n"/>
      <c r="AN78" s="1048" t="n"/>
      <c r="AO78" s="1048" t="n"/>
      <c r="AP78" s="1048" t="n"/>
    </row>
    <row r="79" ht="15" customHeight="1">
      <c r="C79" s="3" t="inlineStr">
        <is>
          <t>Pref Nominal Rate</t>
        </is>
      </c>
      <c r="D79" s="408">
        <f>NOMINAL(D78,12)</f>
        <v/>
      </c>
      <c r="E79" s="1048" t="n"/>
      <c r="F79" s="1048" t="n"/>
      <c r="G79" s="1048" t="n"/>
      <c r="H79" s="1048" t="n"/>
      <c r="I79" s="1048" t="n"/>
      <c r="J79" s="1048" t="n"/>
      <c r="K79" s="1048" t="n"/>
      <c r="L79" s="1048" t="n"/>
      <c r="M79" s="1048" t="n"/>
      <c r="N79" s="1048" t="n"/>
      <c r="O79" s="1048" t="n"/>
      <c r="P79" s="1048" t="n"/>
      <c r="Q79" s="1048" t="n"/>
      <c r="R79" s="1048" t="n"/>
      <c r="S79" s="1048" t="n"/>
      <c r="T79" s="1048" t="n"/>
      <c r="U79" s="1048" t="n"/>
      <c r="V79" s="1048" t="n"/>
      <c r="W79" s="1048" t="n"/>
      <c r="X79" s="1048" t="n"/>
      <c r="Y79" s="1048" t="n"/>
      <c r="Z79" s="1048" t="n"/>
      <c r="AA79" s="1048" t="n"/>
      <c r="AB79" s="1048" t="n"/>
      <c r="AC79" s="1048" t="n"/>
      <c r="AD79" s="1048" t="n"/>
      <c r="AE79" s="1048" t="n"/>
      <c r="AF79" s="1048" t="n"/>
      <c r="AG79" s="1048" t="n"/>
      <c r="AH79" s="1048" t="n"/>
      <c r="AI79" s="1048" t="n"/>
      <c r="AJ79" s="1048" t="n"/>
      <c r="AK79" s="1048" t="n"/>
      <c r="AL79" s="1048" t="n"/>
      <c r="AM79" s="1048" t="n"/>
      <c r="AN79" s="1048" t="n"/>
      <c r="AO79" s="1048" t="n"/>
      <c r="AP79" s="1048" t="n"/>
    </row>
    <row r="80" ht="15" customHeight="1">
      <c r="C80" s="3" t="inlineStr">
        <is>
          <t>Beginning Equity</t>
        </is>
      </c>
      <c r="E80" s="1048">
        <f>+E77</f>
        <v/>
      </c>
      <c r="F80" s="1048">
        <f>+E83</f>
        <v/>
      </c>
      <c r="G80" s="1048">
        <f>+F83</f>
        <v/>
      </c>
      <c r="H80" s="1048">
        <f>+G83</f>
        <v/>
      </c>
      <c r="I80" s="1048">
        <f>+H83</f>
        <v/>
      </c>
      <c r="J80" s="1048">
        <f>+I83</f>
        <v/>
      </c>
      <c r="K80" s="1048">
        <f>+J83</f>
        <v/>
      </c>
      <c r="L80" s="1048">
        <f>+K83</f>
        <v/>
      </c>
      <c r="M80" s="1048">
        <f>+L83</f>
        <v/>
      </c>
      <c r="N80" s="1048">
        <f>+M83</f>
        <v/>
      </c>
      <c r="O80" s="1048">
        <f>+N83</f>
        <v/>
      </c>
      <c r="P80" s="1048">
        <f>+O83</f>
        <v/>
      </c>
      <c r="Q80" s="1048">
        <f>+P83</f>
        <v/>
      </c>
      <c r="R80" s="1048">
        <f>+Q83</f>
        <v/>
      </c>
      <c r="S80" s="1048">
        <f>+R83</f>
        <v/>
      </c>
      <c r="T80" s="1048">
        <f>+S83</f>
        <v/>
      </c>
      <c r="U80" s="1048">
        <f>+T83</f>
        <v/>
      </c>
      <c r="V80" s="1048">
        <f>+U83</f>
        <v/>
      </c>
      <c r="W80" s="1048">
        <f>+V83</f>
        <v/>
      </c>
      <c r="X80" s="1048">
        <f>+W83</f>
        <v/>
      </c>
      <c r="Y80" s="1048">
        <f>+X83</f>
        <v/>
      </c>
      <c r="Z80" s="1048">
        <f>+Y83</f>
        <v/>
      </c>
      <c r="AA80" s="1048">
        <f>+Z83</f>
        <v/>
      </c>
      <c r="AB80" s="1048">
        <f>+AA83</f>
        <v/>
      </c>
      <c r="AC80" s="1048">
        <f>+AB83</f>
        <v/>
      </c>
      <c r="AD80" s="1048">
        <f>+AC83</f>
        <v/>
      </c>
      <c r="AE80" s="1048">
        <f>+AD83</f>
        <v/>
      </c>
      <c r="AF80" s="1048">
        <f>+AE83</f>
        <v/>
      </c>
      <c r="AG80" s="1048">
        <f>+AF83</f>
        <v/>
      </c>
      <c r="AH80" s="1048">
        <f>+AG83</f>
        <v/>
      </c>
      <c r="AI80" s="1048">
        <f>+AH83</f>
        <v/>
      </c>
      <c r="AJ80" s="1048">
        <f>+AI83</f>
        <v/>
      </c>
      <c r="AK80" s="1048">
        <f>+AJ83</f>
        <v/>
      </c>
      <c r="AL80" s="1048">
        <f>+AK83</f>
        <v/>
      </c>
      <c r="AM80" s="1048">
        <f>+AL83</f>
        <v/>
      </c>
      <c r="AN80" s="1048">
        <f>+AM83</f>
        <v/>
      </c>
      <c r="AO80" s="1048" t="n"/>
      <c r="AP80" s="1048" t="n"/>
    </row>
    <row r="81" ht="15" customHeight="1">
      <c r="C81" s="3" t="inlineStr">
        <is>
          <t>Acrued Preferred Return</t>
        </is>
      </c>
      <c r="E81" s="1048" t="n"/>
      <c r="F81" s="1048">
        <f>+E83*($D79/12)</f>
        <v/>
      </c>
      <c r="G81" s="1048">
        <f>+F83*($D79/12)</f>
        <v/>
      </c>
      <c r="H81" s="1048">
        <f>+G83*($D79/12)</f>
        <v/>
      </c>
      <c r="I81" s="1048">
        <f>+H83*($D79/12)</f>
        <v/>
      </c>
      <c r="J81" s="1048">
        <f>+I83*($D79/12)</f>
        <v/>
      </c>
      <c r="K81" s="1048">
        <f>+J83*($D79/12)</f>
        <v/>
      </c>
      <c r="L81" s="1048">
        <f>+K83*($D79/12)</f>
        <v/>
      </c>
      <c r="M81" s="1048">
        <f>+L83*($D79/12)</f>
        <v/>
      </c>
      <c r="N81" s="1048">
        <f>+M83*($D79/12)</f>
        <v/>
      </c>
      <c r="O81" s="1048">
        <f>+N83*($D79/12)</f>
        <v/>
      </c>
      <c r="P81" s="1048">
        <f>+O83*($D79/12)</f>
        <v/>
      </c>
      <c r="Q81" s="1048">
        <f>+P83*($D79/12)</f>
        <v/>
      </c>
      <c r="R81" s="1048">
        <f>+Q83*($D79/12)</f>
        <v/>
      </c>
      <c r="S81" s="1048">
        <f>+R83*($D79/12)</f>
        <v/>
      </c>
      <c r="T81" s="1048">
        <f>+S83*($D79/12)</f>
        <v/>
      </c>
      <c r="U81" s="1048">
        <f>+T83*($D79/12)</f>
        <v/>
      </c>
      <c r="V81" s="1048">
        <f>+U83*($D79/12)</f>
        <v/>
      </c>
      <c r="W81" s="1048">
        <f>+V83*($D79/12)</f>
        <v/>
      </c>
      <c r="X81" s="1048">
        <f>+W83*($D79/12)</f>
        <v/>
      </c>
      <c r="Y81" s="1048">
        <f>+X83*($D79/12)</f>
        <v/>
      </c>
      <c r="Z81" s="1048">
        <f>+Y83*($D79/12)</f>
        <v/>
      </c>
      <c r="AA81" s="1048">
        <f>+Z83*($D79/12)</f>
        <v/>
      </c>
      <c r="AB81" s="1048">
        <f>+AA83*($D79/12)</f>
        <v/>
      </c>
      <c r="AC81" s="1048">
        <f>+AB83*($D79/12)</f>
        <v/>
      </c>
      <c r="AD81" s="1048">
        <f>+AC83*($D79/12)</f>
        <v/>
      </c>
      <c r="AE81" s="1048">
        <f>+AD83*($D79/12)</f>
        <v/>
      </c>
      <c r="AF81" s="1048">
        <f>+AE83*($D79/12)</f>
        <v/>
      </c>
      <c r="AG81" s="1048">
        <f>+AF83*($D79/12)</f>
        <v/>
      </c>
      <c r="AH81" s="1048">
        <f>+AG83*($D79/12)</f>
        <v/>
      </c>
      <c r="AI81" s="1048">
        <f>+AH83*($D79/12)</f>
        <v/>
      </c>
      <c r="AJ81" s="1048">
        <f>+AI83*($D79/12)</f>
        <v/>
      </c>
      <c r="AK81" s="1048">
        <f>+AJ83*($D79/12)</f>
        <v/>
      </c>
      <c r="AL81" s="1048">
        <f>+AK83*($D79/12)</f>
        <v/>
      </c>
      <c r="AM81" s="1048">
        <f>+AL83*($D79/12)</f>
        <v/>
      </c>
      <c r="AN81" s="1048">
        <f>+AM83*($D79/12)</f>
        <v/>
      </c>
      <c r="AO81" s="1048" t="n"/>
      <c r="AP81" s="1048" t="n"/>
    </row>
    <row r="82" ht="15" customHeight="1">
      <c r="C82" s="3" t="inlineStr">
        <is>
          <t>Paid Preferred return</t>
        </is>
      </c>
      <c r="E82" s="1048" t="n"/>
      <c r="F82" s="1048">
        <f>-F17</f>
        <v/>
      </c>
      <c r="G82" s="1048">
        <f>-G17</f>
        <v/>
      </c>
      <c r="H82" s="1048">
        <f>-H17</f>
        <v/>
      </c>
      <c r="I82" s="1048">
        <f>-I17</f>
        <v/>
      </c>
      <c r="J82" s="1048">
        <f>-J17</f>
        <v/>
      </c>
      <c r="K82" s="1048">
        <f>-K17</f>
        <v/>
      </c>
      <c r="L82" s="1048">
        <f>-L17</f>
        <v/>
      </c>
      <c r="M82" s="1048">
        <f>-M17</f>
        <v/>
      </c>
      <c r="N82" s="1048">
        <f>-N17</f>
        <v/>
      </c>
      <c r="O82" s="1048">
        <f>-O17</f>
        <v/>
      </c>
      <c r="P82" s="1048">
        <f>-P17</f>
        <v/>
      </c>
      <c r="Q82" s="1048">
        <f>-Q17</f>
        <v/>
      </c>
      <c r="R82" s="1048">
        <f>-R17</f>
        <v/>
      </c>
      <c r="S82" s="1048">
        <f>-S17</f>
        <v/>
      </c>
      <c r="T82" s="1048">
        <f>-T17</f>
        <v/>
      </c>
      <c r="U82" s="1048">
        <f>-U17</f>
        <v/>
      </c>
      <c r="V82" s="1048">
        <f>-V17</f>
        <v/>
      </c>
      <c r="W82" s="1048">
        <f>-W17</f>
        <v/>
      </c>
      <c r="X82" s="1048">
        <f>-X17</f>
        <v/>
      </c>
      <c r="Y82" s="1048">
        <f>-Y17</f>
        <v/>
      </c>
      <c r="Z82" s="1048">
        <f>-Z17</f>
        <v/>
      </c>
      <c r="AA82" s="1048">
        <f>-AA17</f>
        <v/>
      </c>
      <c r="AB82" s="1048">
        <f>-AB17</f>
        <v/>
      </c>
      <c r="AC82" s="1048">
        <f>-AC17</f>
        <v/>
      </c>
      <c r="AD82" s="1048">
        <f>-AD17</f>
        <v/>
      </c>
      <c r="AE82" s="1048">
        <f>-AE17</f>
        <v/>
      </c>
      <c r="AF82" s="1048">
        <f>-AF17</f>
        <v/>
      </c>
      <c r="AG82" s="1048">
        <f>-AG17</f>
        <v/>
      </c>
      <c r="AH82" s="1048">
        <f>-AH17</f>
        <v/>
      </c>
      <c r="AI82" s="1048">
        <f>-AI17</f>
        <v/>
      </c>
      <c r="AJ82" s="1048">
        <f>-AJ17</f>
        <v/>
      </c>
      <c r="AK82" s="1048">
        <f>-AK17</f>
        <v/>
      </c>
      <c r="AL82" s="1048">
        <f>-AL17</f>
        <v/>
      </c>
      <c r="AM82" s="1048">
        <f>-AM17</f>
        <v/>
      </c>
      <c r="AN82" s="1048">
        <f>-AN17</f>
        <v/>
      </c>
      <c r="AO82" s="1048" t="n"/>
      <c r="AP82" s="1048" t="n"/>
    </row>
    <row r="83" ht="15" customHeight="1">
      <c r="C83" s="3" t="inlineStr">
        <is>
          <t>Ending Equity Balance</t>
        </is>
      </c>
      <c r="E83" s="1048">
        <f>+E80+E81+E82</f>
        <v/>
      </c>
      <c r="F83" s="1048">
        <f>+F80+F81+F82</f>
        <v/>
      </c>
      <c r="G83" s="1048">
        <f>+G80+G81+G82</f>
        <v/>
      </c>
      <c r="H83" s="1048">
        <f>+H80+H81+H82</f>
        <v/>
      </c>
      <c r="I83" s="1048">
        <f>+I80+I81+I82</f>
        <v/>
      </c>
      <c r="J83" s="1048">
        <f>+J80+J81+J82</f>
        <v/>
      </c>
      <c r="K83" s="1048">
        <f>+K80+K81+K82</f>
        <v/>
      </c>
      <c r="L83" s="1048">
        <f>+L80+L81+L82</f>
        <v/>
      </c>
      <c r="M83" s="1048">
        <f>+M80+M81+M82</f>
        <v/>
      </c>
      <c r="N83" s="1048">
        <f>+N80+N81+N82</f>
        <v/>
      </c>
      <c r="O83" s="1048">
        <f>+O80+O81+O82</f>
        <v/>
      </c>
      <c r="P83" s="1048">
        <f>+P80+P81+P82</f>
        <v/>
      </c>
      <c r="Q83" s="1048">
        <f>+Q80+Q81+Q82</f>
        <v/>
      </c>
      <c r="R83" s="1048">
        <f>+R80+R81+R82</f>
        <v/>
      </c>
      <c r="S83" s="1048">
        <f>+S80+S81+S82</f>
        <v/>
      </c>
      <c r="T83" s="1048">
        <f>+T80+T81+T82</f>
        <v/>
      </c>
      <c r="U83" s="1048">
        <f>+U80+U81+U82</f>
        <v/>
      </c>
      <c r="V83" s="1048">
        <f>+V80+V81+V82</f>
        <v/>
      </c>
      <c r="W83" s="1048">
        <f>+W80+W81+W82</f>
        <v/>
      </c>
      <c r="X83" s="1048">
        <f>+X80+X81+X82</f>
        <v/>
      </c>
      <c r="Y83" s="1048">
        <f>+Y80+Y81+Y82</f>
        <v/>
      </c>
      <c r="Z83" s="1048">
        <f>+Z80+Z81+Z82</f>
        <v/>
      </c>
      <c r="AA83" s="1048">
        <f>+AA80+AA81+AA82</f>
        <v/>
      </c>
      <c r="AB83" s="1048">
        <f>+AB80+AB81+AB82</f>
        <v/>
      </c>
      <c r="AC83" s="1048">
        <f>+AC80+AC81+AC82</f>
        <v/>
      </c>
      <c r="AD83" s="1048">
        <f>+AD80+AD81+AD82</f>
        <v/>
      </c>
      <c r="AE83" s="1048">
        <f>+AE80+AE81+AE82</f>
        <v/>
      </c>
      <c r="AF83" s="1048">
        <f>+AF80+AF81+AF82</f>
        <v/>
      </c>
      <c r="AG83" s="1048">
        <f>+AG80+AG81+AG82</f>
        <v/>
      </c>
      <c r="AH83" s="1048">
        <f>+AH80+AH81+AH82</f>
        <v/>
      </c>
      <c r="AI83" s="1048">
        <f>+AI80+AI81+AI82</f>
        <v/>
      </c>
      <c r="AJ83" s="1048">
        <f>+AJ80+AJ81+AJ82</f>
        <v/>
      </c>
      <c r="AK83" s="1048">
        <f>+AK80+AK81+AK82</f>
        <v/>
      </c>
      <c r="AL83" s="1048">
        <f>+AL80+AL81+AL82</f>
        <v/>
      </c>
      <c r="AM83" s="1048">
        <f>+AM80+AM81+AM82</f>
        <v/>
      </c>
      <c r="AN83" s="1048">
        <f>+AN80+AN81+AN82</f>
        <v/>
      </c>
      <c r="AO83" s="1048" t="n"/>
      <c r="AP83" s="1048" t="n"/>
    </row>
    <row r="84" ht="15" customHeight="1">
      <c r="C84" s="3" t="inlineStr">
        <is>
          <t xml:space="preserve">    IRR CALCULATION</t>
        </is>
      </c>
      <c r="E84" s="1048">
        <f>-E80</f>
        <v/>
      </c>
      <c r="F84" s="1048">
        <f>-F82</f>
        <v/>
      </c>
      <c r="G84" s="1048">
        <f>-G82</f>
        <v/>
      </c>
      <c r="H84" s="1048">
        <f>-H82</f>
        <v/>
      </c>
      <c r="I84" s="1048">
        <f>-I82</f>
        <v/>
      </c>
      <c r="J84" s="1048">
        <f>-J82</f>
        <v/>
      </c>
      <c r="K84" s="1048">
        <f>-K82</f>
        <v/>
      </c>
      <c r="L84" s="1048">
        <f>-L82</f>
        <v/>
      </c>
      <c r="M84" s="1048">
        <f>-M82</f>
        <v/>
      </c>
      <c r="N84" s="1048">
        <f>-N82</f>
        <v/>
      </c>
      <c r="O84" s="1048">
        <f>-O82</f>
        <v/>
      </c>
      <c r="P84" s="1048">
        <f>-P82</f>
        <v/>
      </c>
      <c r="Q84" s="1048">
        <f>-Q82</f>
        <v/>
      </c>
      <c r="R84" s="1048">
        <f>-R82</f>
        <v/>
      </c>
      <c r="S84" s="1048">
        <f>-S82</f>
        <v/>
      </c>
      <c r="T84" s="1048">
        <f>-T82</f>
        <v/>
      </c>
      <c r="U84" s="1048">
        <f>-U82</f>
        <v/>
      </c>
      <c r="V84" s="1048">
        <f>-V82</f>
        <v/>
      </c>
      <c r="W84" s="1048">
        <f>-W82</f>
        <v/>
      </c>
      <c r="X84" s="1048">
        <f>-X82</f>
        <v/>
      </c>
      <c r="Y84" s="1048">
        <f>-Y82</f>
        <v/>
      </c>
      <c r="Z84" s="1048">
        <f>-Z82</f>
        <v/>
      </c>
      <c r="AA84" s="1048">
        <f>-AA82</f>
        <v/>
      </c>
      <c r="AB84" s="1048">
        <f>-AB82</f>
        <v/>
      </c>
      <c r="AC84" s="1048">
        <f>-AC82</f>
        <v/>
      </c>
      <c r="AD84" s="1048">
        <f>-AD82</f>
        <v/>
      </c>
      <c r="AE84" s="1048">
        <f>-AE82</f>
        <v/>
      </c>
      <c r="AF84" s="1048">
        <f>-AF82</f>
        <v/>
      </c>
      <c r="AG84" s="1048">
        <f>-AG82</f>
        <v/>
      </c>
      <c r="AH84" s="1048">
        <f>-AH82</f>
        <v/>
      </c>
      <c r="AI84" s="1048">
        <f>-AI82</f>
        <v/>
      </c>
      <c r="AJ84" s="1048">
        <f>-AJ82</f>
        <v/>
      </c>
      <c r="AK84" s="1048">
        <f>-AK82</f>
        <v/>
      </c>
      <c r="AL84" s="1048">
        <f>-AL82</f>
        <v/>
      </c>
      <c r="AM84" s="1048">
        <f>-AM82</f>
        <v/>
      </c>
      <c r="AN84" s="1048">
        <f>-AN82+AN83</f>
        <v/>
      </c>
      <c r="AO84" s="937">
        <f>(1+IRR(E84:AN84,0.02))^12-1</f>
        <v/>
      </c>
      <c r="AP84" s="1048" t="n"/>
    </row>
    <row r="85" ht="15" customHeight="1">
      <c r="E85" s="1048" t="n"/>
      <c r="F85" s="1048" t="n"/>
      <c r="G85" s="1048" t="n"/>
      <c r="H85" s="1048" t="n"/>
      <c r="I85" s="1048" t="n"/>
      <c r="J85" s="1048" t="n"/>
      <c r="K85" s="1048" t="n"/>
      <c r="L85" s="1048" t="n"/>
      <c r="M85" s="1048" t="n"/>
      <c r="N85" s="1048" t="n"/>
      <c r="O85" s="1048" t="n"/>
      <c r="P85" s="1048" t="n"/>
      <c r="Q85" s="1048" t="n"/>
      <c r="R85" s="1048" t="n"/>
      <c r="S85" s="1048" t="n"/>
      <c r="T85" s="1048" t="n"/>
      <c r="U85" s="1048" t="n"/>
      <c r="V85" s="1048" t="n"/>
      <c r="W85" s="1048" t="n"/>
      <c r="X85" s="1048" t="n"/>
      <c r="Y85" s="1048" t="n"/>
      <c r="Z85" s="1048" t="n"/>
      <c r="AA85" s="1048" t="n"/>
      <c r="AB85" s="1048" t="n"/>
      <c r="AC85" s="1048" t="n"/>
      <c r="AD85" s="1048" t="n"/>
      <c r="AE85" s="1048" t="n"/>
      <c r="AF85" s="1048" t="n"/>
      <c r="AG85" s="1048" t="n"/>
      <c r="AH85" s="1048" t="n"/>
      <c r="AI85" s="1048" t="n"/>
      <c r="AJ85" s="1048" t="n"/>
      <c r="AK85" s="1048" t="n"/>
      <c r="AL85" s="1048" t="n"/>
      <c r="AM85" s="1048" t="n"/>
      <c r="AN85" s="1048" t="n"/>
      <c r="AO85" s="937" t="n"/>
      <c r="AP85" s="1048" t="n"/>
    </row>
    <row r="86" ht="15" customHeight="1">
      <c r="E86" s="1048" t="n"/>
      <c r="F86" s="1048" t="n"/>
      <c r="G86" s="1048" t="n"/>
      <c r="H86" s="1048" t="n"/>
      <c r="I86" s="1048" t="n"/>
      <c r="J86" s="1048" t="n"/>
      <c r="K86" s="1048" t="n"/>
      <c r="L86" s="1048" t="n"/>
      <c r="M86" s="1048" t="n"/>
      <c r="N86" s="1048" t="n"/>
      <c r="O86" s="1048" t="n"/>
      <c r="P86" s="1048" t="n"/>
      <c r="Q86" s="1048" t="n"/>
      <c r="R86" s="1048" t="n"/>
      <c r="S86" s="1048" t="n"/>
      <c r="T86" s="1048" t="n"/>
      <c r="U86" s="1048" t="n"/>
      <c r="V86" s="1048" t="n"/>
      <c r="W86" s="1048" t="n"/>
      <c r="X86" s="1048" t="n"/>
      <c r="Y86" s="1048" t="n"/>
      <c r="Z86" s="1048" t="n"/>
      <c r="AA86" s="1048" t="n"/>
      <c r="AB86" s="1048" t="n"/>
      <c r="AC86" s="1048" t="n"/>
      <c r="AD86" s="1048" t="n"/>
      <c r="AE86" s="1048" t="n"/>
      <c r="AF86" s="1048" t="n"/>
      <c r="AG86" s="1048" t="n"/>
      <c r="AH86" s="1048" t="n"/>
      <c r="AI86" s="1048" t="n"/>
      <c r="AJ86" s="1048" t="n"/>
      <c r="AK86" s="1048" t="n"/>
      <c r="AL86" s="1048" t="n"/>
      <c r="AM86" s="1048" t="n"/>
      <c r="AN86" s="1048" t="n"/>
      <c r="AO86" s="937" t="n"/>
      <c r="AP86" s="1048" t="n"/>
      <c r="AQ86" s="1280" t="n"/>
    </row>
    <row r="87" ht="15" customHeight="1">
      <c r="B87" s="406" t="inlineStr">
        <is>
          <t>PREFERRED RETURN (INVESTOR EQUITY)</t>
        </is>
      </c>
      <c r="E87" s="1048" t="n"/>
      <c r="F87" s="1048" t="n"/>
      <c r="G87" s="1048" t="n"/>
      <c r="H87" s="1048" t="n"/>
      <c r="I87" s="1048" t="n"/>
      <c r="J87" s="1048" t="n"/>
      <c r="K87" s="1048" t="n"/>
      <c r="L87" s="1048" t="n"/>
      <c r="M87" s="1048" t="n"/>
      <c r="N87" s="1048" t="n"/>
      <c r="O87" s="1048" t="n"/>
      <c r="P87" s="1048" t="n"/>
      <c r="Q87" s="1048" t="n"/>
      <c r="R87" s="1048" t="n"/>
      <c r="S87" s="1048" t="n"/>
      <c r="T87" s="1048" t="n"/>
      <c r="U87" s="1048" t="n"/>
      <c r="V87" s="1048" t="n"/>
      <c r="W87" s="1048" t="n"/>
      <c r="X87" s="1048" t="n"/>
      <c r="Y87" s="1048" t="n"/>
      <c r="Z87" s="1048" t="n"/>
      <c r="AA87" s="1048" t="n"/>
      <c r="AB87" s="1048" t="n"/>
      <c r="AC87" s="1048" t="n"/>
      <c r="AD87" s="1048" t="n"/>
      <c r="AE87" s="1048" t="n"/>
      <c r="AF87" s="1048" t="n"/>
      <c r="AG87" s="1048" t="n"/>
      <c r="AH87" s="1048" t="n"/>
      <c r="AI87" s="1048" t="n"/>
      <c r="AJ87" s="1048" t="n"/>
      <c r="AK87" s="1048" t="n"/>
      <c r="AL87" s="1048" t="n"/>
      <c r="AM87" s="1048" t="n"/>
      <c r="AN87" s="1048" t="n"/>
      <c r="AO87" s="937" t="n"/>
      <c r="AP87" s="1048" t="n"/>
      <c r="AQ87" s="1280" t="n"/>
    </row>
    <row r="88" ht="15" customHeight="1">
      <c r="C88" s="3" t="inlineStr">
        <is>
          <t>Equity</t>
        </is>
      </c>
      <c r="D88" s="1279">
        <f>1-Summary!M10</f>
        <v/>
      </c>
      <c r="E88" s="1048">
        <f>+E77*D88</f>
        <v/>
      </c>
      <c r="F88" s="1048" t="n"/>
      <c r="G88" s="1048" t="n"/>
      <c r="H88" s="1048" t="n"/>
      <c r="I88" s="1048" t="n"/>
      <c r="J88" s="1048" t="n"/>
      <c r="K88" s="1048" t="n"/>
      <c r="L88" s="1048" t="n"/>
      <c r="M88" s="1048" t="n"/>
      <c r="N88" s="1048" t="n"/>
      <c r="O88" s="1048" t="n"/>
      <c r="P88" s="1048" t="n"/>
      <c r="Q88" s="1048" t="n"/>
      <c r="R88" s="1048" t="n"/>
      <c r="S88" s="1048" t="n"/>
      <c r="T88" s="1048" t="n"/>
      <c r="U88" s="1048" t="n"/>
      <c r="V88" s="1048" t="n"/>
      <c r="W88" s="1048" t="n"/>
      <c r="X88" s="1048" t="n"/>
      <c r="Y88" s="1048" t="n"/>
      <c r="Z88" s="1048" t="n"/>
      <c r="AA88" s="1048" t="n"/>
      <c r="AB88" s="1048" t="n"/>
      <c r="AC88" s="1048" t="n"/>
      <c r="AD88" s="1048" t="n"/>
      <c r="AE88" s="1048" t="n"/>
      <c r="AF88" s="1048" t="n"/>
      <c r="AG88" s="1048" t="n"/>
      <c r="AH88" s="1048" t="n"/>
      <c r="AI88" s="1048" t="n"/>
      <c r="AJ88" s="1048" t="n"/>
      <c r="AK88" s="1048" t="n"/>
      <c r="AL88" s="1048" t="n"/>
      <c r="AM88" s="1048" t="n"/>
      <c r="AN88" s="1048" t="n"/>
      <c r="AO88" s="937" t="n"/>
      <c r="AP88" s="1048" t="n"/>
    </row>
    <row r="89" ht="15" customHeight="1">
      <c r="C89" s="3" t="inlineStr">
        <is>
          <t>Preferred Return Calculation</t>
        </is>
      </c>
      <c r="D89" s="1279">
        <f>+D78</f>
        <v/>
      </c>
      <c r="E89" s="1048" t="n"/>
      <c r="F89" s="1048" t="n"/>
      <c r="G89" s="1048" t="n"/>
      <c r="H89" s="1048" t="n"/>
      <c r="I89" s="1048" t="n"/>
      <c r="J89" s="1048" t="n"/>
      <c r="K89" s="1048" t="n"/>
      <c r="L89" s="1048" t="n"/>
      <c r="M89" s="1048" t="n"/>
      <c r="N89" s="1048" t="n"/>
      <c r="O89" s="1048" t="n"/>
      <c r="P89" s="1048" t="n"/>
      <c r="Q89" s="1048" t="n"/>
      <c r="R89" s="1048" t="n"/>
      <c r="S89" s="1048" t="n"/>
      <c r="T89" s="1048" t="n"/>
      <c r="U89" s="1048" t="n"/>
      <c r="V89" s="1048" t="n"/>
      <c r="W89" s="1048" t="n"/>
      <c r="X89" s="1048" t="n"/>
      <c r="Y89" s="1048" t="n"/>
      <c r="Z89" s="1048" t="n"/>
      <c r="AA89" s="1048" t="n"/>
      <c r="AB89" s="1048" t="n"/>
      <c r="AC89" s="1048" t="n"/>
      <c r="AD89" s="1048" t="n"/>
      <c r="AE89" s="1048" t="n"/>
      <c r="AF89" s="1048" t="n"/>
      <c r="AG89" s="1048" t="n"/>
      <c r="AH89" s="1048" t="n"/>
      <c r="AI89" s="1048" t="n"/>
      <c r="AJ89" s="1048" t="n"/>
      <c r="AK89" s="1048" t="n"/>
      <c r="AL89" s="1048" t="n"/>
      <c r="AM89" s="1048" t="n"/>
      <c r="AN89" s="1048" t="n"/>
      <c r="AO89" s="937" t="n"/>
      <c r="AP89" s="1048" t="n"/>
    </row>
    <row r="90" ht="15" customHeight="1">
      <c r="C90" s="3" t="inlineStr">
        <is>
          <t>Pref Nominal Rate</t>
        </is>
      </c>
      <c r="D90" s="408">
        <f>NOMINAL(D89,12)</f>
        <v/>
      </c>
      <c r="E90" s="1048" t="n"/>
      <c r="F90" s="1048" t="n"/>
      <c r="G90" s="1048" t="n"/>
      <c r="H90" s="1048" t="n"/>
      <c r="I90" s="1048" t="n"/>
      <c r="J90" s="1048" t="n"/>
      <c r="K90" s="1048" t="n"/>
      <c r="L90" s="1048" t="n"/>
      <c r="M90" s="1048" t="n"/>
      <c r="N90" s="1048" t="n"/>
      <c r="O90" s="1048" t="n"/>
      <c r="P90" s="1048" t="n"/>
      <c r="Q90" s="1048" t="n"/>
      <c r="R90" s="1048" t="n"/>
      <c r="S90" s="1048" t="n"/>
      <c r="T90" s="1048" t="n"/>
      <c r="U90" s="1048" t="n"/>
      <c r="V90" s="1048" t="n"/>
      <c r="W90" s="1048" t="n"/>
      <c r="X90" s="1048" t="n"/>
      <c r="Y90" s="1048" t="n"/>
      <c r="Z90" s="1048" t="n"/>
      <c r="AA90" s="1048" t="n"/>
      <c r="AB90" s="1048" t="n"/>
      <c r="AC90" s="1048" t="n"/>
      <c r="AD90" s="1048" t="n"/>
      <c r="AE90" s="1048" t="n"/>
      <c r="AF90" s="1048" t="n"/>
      <c r="AG90" s="1048" t="n"/>
      <c r="AH90" s="1048" t="n"/>
      <c r="AI90" s="1048" t="n"/>
      <c r="AJ90" s="1048" t="n"/>
      <c r="AK90" s="1048" t="n"/>
      <c r="AL90" s="1048" t="n"/>
      <c r="AM90" s="1048" t="n"/>
      <c r="AN90" s="1048" t="n"/>
      <c r="AO90" s="937" t="n"/>
      <c r="AP90" s="1048" t="n"/>
    </row>
    <row r="91" ht="15" customHeight="1">
      <c r="C91" s="3" t="inlineStr">
        <is>
          <t>Beginning Equity</t>
        </is>
      </c>
      <c r="E91" s="1048">
        <f>+E88</f>
        <v/>
      </c>
      <c r="F91" s="1048">
        <f>+E94</f>
        <v/>
      </c>
      <c r="G91" s="1048">
        <f>+F94</f>
        <v/>
      </c>
      <c r="H91" s="1048">
        <f>+G94</f>
        <v/>
      </c>
      <c r="I91" s="1048">
        <f>+H94</f>
        <v/>
      </c>
      <c r="J91" s="1048">
        <f>+I94</f>
        <v/>
      </c>
      <c r="K91" s="1048">
        <f>+J94</f>
        <v/>
      </c>
      <c r="L91" s="1048">
        <f>+K94</f>
        <v/>
      </c>
      <c r="M91" s="1048">
        <f>+L94</f>
        <v/>
      </c>
      <c r="N91" s="1048">
        <f>+M94</f>
        <v/>
      </c>
      <c r="O91" s="1048">
        <f>+N94</f>
        <v/>
      </c>
      <c r="P91" s="1048">
        <f>+O94</f>
        <v/>
      </c>
      <c r="Q91" s="1048">
        <f>+P94</f>
        <v/>
      </c>
      <c r="R91" s="1048">
        <f>+Q94</f>
        <v/>
      </c>
      <c r="S91" s="1048">
        <f>+R94</f>
        <v/>
      </c>
      <c r="T91" s="1048">
        <f>+S94</f>
        <v/>
      </c>
      <c r="U91" s="1048">
        <f>+T94</f>
        <v/>
      </c>
      <c r="V91" s="1048">
        <f>+U94</f>
        <v/>
      </c>
      <c r="W91" s="1048">
        <f>+V94</f>
        <v/>
      </c>
      <c r="X91" s="1048">
        <f>+W94</f>
        <v/>
      </c>
      <c r="Y91" s="1048">
        <f>+X94</f>
        <v/>
      </c>
      <c r="Z91" s="1048">
        <f>+Y94</f>
        <v/>
      </c>
      <c r="AA91" s="1048">
        <f>+Z94</f>
        <v/>
      </c>
      <c r="AB91" s="1048">
        <f>+AA94</f>
        <v/>
      </c>
      <c r="AC91" s="1048">
        <f>+AB94</f>
        <v/>
      </c>
      <c r="AD91" s="1048">
        <f>+AC94</f>
        <v/>
      </c>
      <c r="AE91" s="1048">
        <f>+AD94</f>
        <v/>
      </c>
      <c r="AF91" s="1048">
        <f>+AE94</f>
        <v/>
      </c>
      <c r="AG91" s="1048">
        <f>+AF94</f>
        <v/>
      </c>
      <c r="AH91" s="1048">
        <f>+AG94</f>
        <v/>
      </c>
      <c r="AI91" s="1048">
        <f>+AH94</f>
        <v/>
      </c>
      <c r="AJ91" s="1048">
        <f>+AI94</f>
        <v/>
      </c>
      <c r="AK91" s="1048">
        <f>+AJ94</f>
        <v/>
      </c>
      <c r="AL91" s="1048">
        <f>+AK94</f>
        <v/>
      </c>
      <c r="AM91" s="1048">
        <f>+AL94</f>
        <v/>
      </c>
      <c r="AN91" s="1048">
        <f>+AM94</f>
        <v/>
      </c>
      <c r="AO91" s="937" t="n"/>
      <c r="AP91" s="1048" t="n"/>
    </row>
    <row r="92" ht="15" customHeight="1">
      <c r="C92" s="3" t="inlineStr">
        <is>
          <t>Acrued Preferred Return</t>
        </is>
      </c>
      <c r="E92" s="1048" t="n"/>
      <c r="F92" s="1048">
        <f>+E94*($D90/12)</f>
        <v/>
      </c>
      <c r="G92" s="1048">
        <f>+F94*($D90/12)</f>
        <v/>
      </c>
      <c r="H92" s="1048">
        <f>+G94*($D90/12)</f>
        <v/>
      </c>
      <c r="I92" s="1048">
        <f>+H94*($D90/12)</f>
        <v/>
      </c>
      <c r="J92" s="1048">
        <f>+I94*($D90/12)</f>
        <v/>
      </c>
      <c r="K92" s="1048">
        <f>+J94*($D90/12)</f>
        <v/>
      </c>
      <c r="L92" s="1048">
        <f>+K94*($D90/12)</f>
        <v/>
      </c>
      <c r="M92" s="1048">
        <f>+L94*($D90/12)</f>
        <v/>
      </c>
      <c r="N92" s="1048">
        <f>+M94*($D90/12)</f>
        <v/>
      </c>
      <c r="O92" s="1048">
        <f>+N94*($D90/12)</f>
        <v/>
      </c>
      <c r="P92" s="1048">
        <f>+O94*($D90/12)</f>
        <v/>
      </c>
      <c r="Q92" s="1048">
        <f>+P94*($D90/12)</f>
        <v/>
      </c>
      <c r="R92" s="1048">
        <f>+Q94*($D90/12)</f>
        <v/>
      </c>
      <c r="S92" s="1048">
        <f>+R94*($D90/12)</f>
        <v/>
      </c>
      <c r="T92" s="1048">
        <f>+S94*($D90/12)</f>
        <v/>
      </c>
      <c r="U92" s="1048">
        <f>+T94*($D90/12)</f>
        <v/>
      </c>
      <c r="V92" s="1048">
        <f>+U94*($D90/12)</f>
        <v/>
      </c>
      <c r="W92" s="1048">
        <f>+V94*($D90/12)</f>
        <v/>
      </c>
      <c r="X92" s="1048">
        <f>+W94*($D90/12)</f>
        <v/>
      </c>
      <c r="Y92" s="1048">
        <f>+X94*($D90/12)</f>
        <v/>
      </c>
      <c r="Z92" s="1048">
        <f>+Y94*($D90/12)</f>
        <v/>
      </c>
      <c r="AA92" s="1048">
        <f>+Z94*($D90/12)</f>
        <v/>
      </c>
      <c r="AB92" s="1048">
        <f>+AA94*($D90/12)</f>
        <v/>
      </c>
      <c r="AC92" s="1048">
        <f>+AB94*($D90/12)</f>
        <v/>
      </c>
      <c r="AD92" s="1048">
        <f>+AC94*($D90/12)</f>
        <v/>
      </c>
      <c r="AE92" s="1048">
        <f>+AD94*($D90/12)</f>
        <v/>
      </c>
      <c r="AF92" s="1048">
        <f>+AE94*($D90/12)</f>
        <v/>
      </c>
      <c r="AG92" s="1048">
        <f>+AF94*($D90/12)</f>
        <v/>
      </c>
      <c r="AH92" s="1048">
        <f>+AG94*($D90/12)</f>
        <v/>
      </c>
      <c r="AI92" s="1048">
        <f>+AH94*($D90/12)</f>
        <v/>
      </c>
      <c r="AJ92" s="1048">
        <f>+AI94*($D90/12)</f>
        <v/>
      </c>
      <c r="AK92" s="1048">
        <f>+AJ94*($D90/12)</f>
        <v/>
      </c>
      <c r="AL92" s="1048">
        <f>+AK94*($D90/12)</f>
        <v/>
      </c>
      <c r="AM92" s="1048">
        <f>+AL94*($D90/12)</f>
        <v/>
      </c>
      <c r="AN92" s="1048">
        <f>+AM94*($D90/12)</f>
        <v/>
      </c>
      <c r="AO92" s="937" t="n"/>
      <c r="AP92" s="1048" t="n"/>
    </row>
    <row r="93" ht="15" customHeight="1">
      <c r="C93" s="3" t="inlineStr">
        <is>
          <t>Paid Preferred return</t>
        </is>
      </c>
      <c r="E93" s="1048" t="n"/>
      <c r="F93" s="1048">
        <f>+F82*$D88</f>
        <v/>
      </c>
      <c r="G93" s="1048">
        <f>+G82*$D88</f>
        <v/>
      </c>
      <c r="H93" s="1048">
        <f>+H82*$D88</f>
        <v/>
      </c>
      <c r="I93" s="1048">
        <f>+I82*$D88</f>
        <v/>
      </c>
      <c r="J93" s="1048">
        <f>+J82*$D88</f>
        <v/>
      </c>
      <c r="K93" s="1048">
        <f>+K82*$D88</f>
        <v/>
      </c>
      <c r="L93" s="1048">
        <f>+L82*$D88</f>
        <v/>
      </c>
      <c r="M93" s="1048">
        <f>+M82*$D88</f>
        <v/>
      </c>
      <c r="N93" s="1048">
        <f>+N82*$D88</f>
        <v/>
      </c>
      <c r="O93" s="1048">
        <f>+O82*$D88</f>
        <v/>
      </c>
      <c r="P93" s="1048">
        <f>+P82*$D88</f>
        <v/>
      </c>
      <c r="Q93" s="1048">
        <f>+Q82*$D88</f>
        <v/>
      </c>
      <c r="R93" s="1048">
        <f>+R82*$D88</f>
        <v/>
      </c>
      <c r="S93" s="1048">
        <f>+S82*$D88</f>
        <v/>
      </c>
      <c r="T93" s="1048">
        <f>+T82*$D88</f>
        <v/>
      </c>
      <c r="U93" s="1048">
        <f>+U82*$D88</f>
        <v/>
      </c>
      <c r="V93" s="1048">
        <f>+V82*$D88</f>
        <v/>
      </c>
      <c r="W93" s="1048">
        <f>+W82*$D88</f>
        <v/>
      </c>
      <c r="X93" s="1048">
        <f>+X82*$D88</f>
        <v/>
      </c>
      <c r="Y93" s="1048">
        <f>+Y82*$D88</f>
        <v/>
      </c>
      <c r="Z93" s="1048">
        <f>+Z82*$D88</f>
        <v/>
      </c>
      <c r="AA93" s="1048">
        <f>+AA82*$D88</f>
        <v/>
      </c>
      <c r="AB93" s="1048">
        <f>+AB82*$D88</f>
        <v/>
      </c>
      <c r="AC93" s="1048">
        <f>+AC82*$D88</f>
        <v/>
      </c>
      <c r="AD93" s="1048">
        <f>+AD82*$D88</f>
        <v/>
      </c>
      <c r="AE93" s="1048">
        <f>+AE82*$D88</f>
        <v/>
      </c>
      <c r="AF93" s="1048">
        <f>+AF82*$D88</f>
        <v/>
      </c>
      <c r="AG93" s="1048">
        <f>+AG82*$D88</f>
        <v/>
      </c>
      <c r="AH93" s="1048">
        <f>+AH82*$D88</f>
        <v/>
      </c>
      <c r="AI93" s="1048">
        <f>+AI82*$D88</f>
        <v/>
      </c>
      <c r="AJ93" s="1048">
        <f>+AJ82*$D88</f>
        <v/>
      </c>
      <c r="AK93" s="1048">
        <f>+AK82*$D88</f>
        <v/>
      </c>
      <c r="AL93" s="1048">
        <f>+AL82*$D88</f>
        <v/>
      </c>
      <c r="AM93" s="1048">
        <f>+AM82*$D88</f>
        <v/>
      </c>
      <c r="AN93" s="1048">
        <f>+AN82*$D88</f>
        <v/>
      </c>
      <c r="AO93" s="937" t="n"/>
      <c r="AP93" s="1048" t="n"/>
    </row>
    <row r="94" ht="15" customHeight="1">
      <c r="C94" s="3" t="inlineStr">
        <is>
          <t>Ending Equity Balance</t>
        </is>
      </c>
      <c r="E94" s="1048">
        <f>+E91</f>
        <v/>
      </c>
      <c r="F94" s="1048">
        <f>+F91+F92+F93</f>
        <v/>
      </c>
      <c r="G94" s="1048">
        <f>+G91+G92+G93</f>
        <v/>
      </c>
      <c r="H94" s="1048">
        <f>+H91+H92+H93</f>
        <v/>
      </c>
      <c r="I94" s="1048">
        <f>+I91+I92+I93</f>
        <v/>
      </c>
      <c r="J94" s="1048">
        <f>+J91+J92+J93</f>
        <v/>
      </c>
      <c r="K94" s="1048">
        <f>+K91+K92+K93</f>
        <v/>
      </c>
      <c r="L94" s="1048">
        <f>+L91+L92+L93</f>
        <v/>
      </c>
      <c r="M94" s="1048">
        <f>+M91+M92+M93</f>
        <v/>
      </c>
      <c r="N94" s="1048">
        <f>+N91+N92+N93</f>
        <v/>
      </c>
      <c r="O94" s="1048">
        <f>+O91+O92+O93</f>
        <v/>
      </c>
      <c r="P94" s="1048">
        <f>+P91+P92+P93</f>
        <v/>
      </c>
      <c r="Q94" s="1048">
        <f>+Q91+Q92+Q93</f>
        <v/>
      </c>
      <c r="R94" s="1048">
        <f>+R91+R92+R93</f>
        <v/>
      </c>
      <c r="S94" s="1048">
        <f>+S91+S92+S93</f>
        <v/>
      </c>
      <c r="T94" s="1048">
        <f>+T91+T92+T93</f>
        <v/>
      </c>
      <c r="U94" s="1048">
        <f>+U91+U92+U93</f>
        <v/>
      </c>
      <c r="V94" s="1048">
        <f>+V91+V92+V93</f>
        <v/>
      </c>
      <c r="W94" s="1048">
        <f>+W91+W92+W93</f>
        <v/>
      </c>
      <c r="X94" s="1048">
        <f>+X91+X92+X93</f>
        <v/>
      </c>
      <c r="Y94" s="1048">
        <f>+Y91+Y92+Y93</f>
        <v/>
      </c>
      <c r="Z94" s="1048">
        <f>+Z91+Z92+Z93</f>
        <v/>
      </c>
      <c r="AA94" s="1048">
        <f>+AA91+AA92+AA93</f>
        <v/>
      </c>
      <c r="AB94" s="1048">
        <f>+AB91+AB92+AB93</f>
        <v/>
      </c>
      <c r="AC94" s="1048">
        <f>+AC91+AC92+AC93</f>
        <v/>
      </c>
      <c r="AD94" s="1048">
        <f>+AD91+AD92+AD93</f>
        <v/>
      </c>
      <c r="AE94" s="1048">
        <f>+AE91+AE92+AE93</f>
        <v/>
      </c>
      <c r="AF94" s="1048">
        <f>+AF91+AF92+AF93</f>
        <v/>
      </c>
      <c r="AG94" s="1048">
        <f>+AG91+AG92+AG93</f>
        <v/>
      </c>
      <c r="AH94" s="1048">
        <f>+AH91+AH92+AH93</f>
        <v/>
      </c>
      <c r="AI94" s="1048">
        <f>+AI91+AI92+AI93</f>
        <v/>
      </c>
      <c r="AJ94" s="1048">
        <f>+AJ91+AJ92+AJ93</f>
        <v/>
      </c>
      <c r="AK94" s="1048">
        <f>+AK91+AK92+AK93</f>
        <v/>
      </c>
      <c r="AL94" s="1048">
        <f>+AL91+AL92+AL93</f>
        <v/>
      </c>
      <c r="AM94" s="1048">
        <f>+AM91+AM92+AM93</f>
        <v/>
      </c>
      <c r="AN94" s="1048">
        <f>+AN91+AN92+AN93</f>
        <v/>
      </c>
      <c r="AO94" s="937" t="n"/>
      <c r="AP94" s="1048" t="n"/>
    </row>
    <row r="95" ht="15" customHeight="1">
      <c r="C95" s="3" t="inlineStr">
        <is>
          <t xml:space="preserve">    IRR CALCULATION</t>
        </is>
      </c>
      <c r="E95" s="1048">
        <f>-E91</f>
        <v/>
      </c>
      <c r="F95" s="1048">
        <f>-F93</f>
        <v/>
      </c>
      <c r="G95" s="1048">
        <f>-G93</f>
        <v/>
      </c>
      <c r="H95" s="1048">
        <f>-H93</f>
        <v/>
      </c>
      <c r="I95" s="1048">
        <f>-I93</f>
        <v/>
      </c>
      <c r="J95" s="1048">
        <f>-J93</f>
        <v/>
      </c>
      <c r="K95" s="1048">
        <f>-K93</f>
        <v/>
      </c>
      <c r="L95" s="1048">
        <f>-L93</f>
        <v/>
      </c>
      <c r="M95" s="1048">
        <f>-M93</f>
        <v/>
      </c>
      <c r="N95" s="1048">
        <f>-N93</f>
        <v/>
      </c>
      <c r="O95" s="1048">
        <f>-O93</f>
        <v/>
      </c>
      <c r="P95" s="1048">
        <f>-P93</f>
        <v/>
      </c>
      <c r="Q95" s="1048">
        <f>-Q93</f>
        <v/>
      </c>
      <c r="R95" s="1048">
        <f>-R93</f>
        <v/>
      </c>
      <c r="S95" s="1048">
        <f>-S93</f>
        <v/>
      </c>
      <c r="T95" s="1048">
        <f>-T93</f>
        <v/>
      </c>
      <c r="U95" s="1048">
        <f>-U93</f>
        <v/>
      </c>
      <c r="V95" s="1048">
        <f>-V93</f>
        <v/>
      </c>
      <c r="W95" s="1048">
        <f>-W93</f>
        <v/>
      </c>
      <c r="X95" s="1048">
        <f>-X93</f>
        <v/>
      </c>
      <c r="Y95" s="1048">
        <f>-Y93</f>
        <v/>
      </c>
      <c r="Z95" s="1048">
        <f>-Z93</f>
        <v/>
      </c>
      <c r="AA95" s="1048">
        <f>-AA93</f>
        <v/>
      </c>
      <c r="AB95" s="1048">
        <f>-AB93</f>
        <v/>
      </c>
      <c r="AC95" s="1048">
        <f>-AC93</f>
        <v/>
      </c>
      <c r="AD95" s="1048">
        <f>-AD93</f>
        <v/>
      </c>
      <c r="AE95" s="1048">
        <f>-AE93</f>
        <v/>
      </c>
      <c r="AF95" s="1048">
        <f>-AF93</f>
        <v/>
      </c>
      <c r="AG95" s="1048">
        <f>-AG93</f>
        <v/>
      </c>
      <c r="AH95" s="1048">
        <f>-AH93</f>
        <v/>
      </c>
      <c r="AI95" s="1048">
        <f>-AI93</f>
        <v/>
      </c>
      <c r="AJ95" s="1048">
        <f>-AJ93</f>
        <v/>
      </c>
      <c r="AK95" s="1048">
        <f>-AK93</f>
        <v/>
      </c>
      <c r="AL95" s="1048">
        <f>-AL93</f>
        <v/>
      </c>
      <c r="AM95" s="1048">
        <f>-AM93</f>
        <v/>
      </c>
      <c r="AN95" s="1048">
        <f>-AN93+AN94</f>
        <v/>
      </c>
      <c r="AO95" s="937">
        <f>(1+IRR(E95:AN95,0.02))^12-1</f>
        <v/>
      </c>
      <c r="AP95" s="1048" t="n"/>
      <c r="AQ95" s="1280" t="n"/>
    </row>
    <row r="96" ht="15" customHeight="1">
      <c r="E96" s="1048" t="n"/>
      <c r="F96" s="1048" t="n"/>
      <c r="G96" s="1048" t="n"/>
      <c r="H96" s="1048" t="n"/>
      <c r="I96" s="1048" t="n"/>
      <c r="J96" s="1048" t="n"/>
      <c r="K96" s="1048" t="n"/>
      <c r="L96" s="1048" t="n"/>
      <c r="M96" s="1048" t="n"/>
      <c r="N96" s="1048" t="n"/>
      <c r="O96" s="1048" t="n"/>
      <c r="P96" s="1048" t="n"/>
      <c r="Q96" s="1048" t="n"/>
      <c r="R96" s="1048" t="n"/>
      <c r="S96" s="1048" t="n"/>
      <c r="T96" s="1048" t="n"/>
      <c r="U96" s="1048" t="n"/>
      <c r="V96" s="1048" t="n"/>
      <c r="W96" s="1048" t="n"/>
      <c r="X96" s="1048" t="n"/>
      <c r="Y96" s="1048" t="n"/>
      <c r="Z96" s="1048" t="n"/>
      <c r="AA96" s="1048" t="n"/>
      <c r="AB96" s="1048" t="n"/>
      <c r="AC96" s="1048" t="n"/>
      <c r="AD96" s="1048" t="n"/>
      <c r="AE96" s="1048" t="n"/>
      <c r="AF96" s="1048" t="n"/>
      <c r="AG96" s="1048" t="n"/>
      <c r="AH96" s="1048" t="n"/>
      <c r="AI96" s="1048" t="n"/>
      <c r="AJ96" s="1048" t="n"/>
      <c r="AK96" s="1048" t="n"/>
      <c r="AL96" s="1048" t="n"/>
      <c r="AM96" s="1048" t="n"/>
      <c r="AN96" s="1048" t="n"/>
      <c r="AO96" s="937" t="n"/>
      <c r="AP96" s="1048" t="n"/>
    </row>
    <row r="97" ht="15" customHeight="1">
      <c r="E97" s="1048" t="n"/>
      <c r="F97" s="1048" t="n"/>
      <c r="G97" s="1048" t="n"/>
      <c r="H97" s="1048" t="n"/>
      <c r="I97" s="1048" t="n"/>
      <c r="J97" s="1048" t="n"/>
      <c r="K97" s="1048" t="n"/>
      <c r="L97" s="1048" t="n"/>
      <c r="M97" s="1048" t="n"/>
      <c r="N97" s="1048" t="n"/>
      <c r="O97" s="1048" t="n"/>
      <c r="P97" s="1048" t="n"/>
      <c r="Q97" s="1048" t="n"/>
      <c r="R97" s="1048" t="n"/>
      <c r="S97" s="1048" t="n"/>
      <c r="T97" s="1048" t="n"/>
      <c r="U97" s="1048" t="n"/>
      <c r="V97" s="1048" t="n"/>
      <c r="W97" s="1048" t="n"/>
      <c r="X97" s="1048" t="n"/>
      <c r="Y97" s="1048" t="n"/>
      <c r="Z97" s="1048" t="n"/>
      <c r="AA97" s="1048" t="n"/>
      <c r="AB97" s="1048" t="n"/>
      <c r="AC97" s="1048" t="n"/>
      <c r="AD97" s="1048" t="n"/>
      <c r="AE97" s="1048" t="n"/>
      <c r="AF97" s="1048" t="n"/>
      <c r="AG97" s="1048" t="n"/>
      <c r="AH97" s="1048" t="n"/>
      <c r="AI97" s="1048" t="n"/>
      <c r="AJ97" s="1048" t="n"/>
      <c r="AK97" s="1048" t="n"/>
      <c r="AL97" s="1048" t="n"/>
      <c r="AM97" s="1048" t="n"/>
      <c r="AN97" s="1048" t="n"/>
      <c r="AO97" s="937" t="n"/>
      <c r="AP97" s="1048" t="n"/>
    </row>
    <row r="98" ht="15" customHeight="1">
      <c r="B98" s="406" t="inlineStr">
        <is>
          <t>PREFERRED RETURN (DEVELOPER EQUITY)</t>
        </is>
      </c>
      <c r="E98" s="1048" t="n"/>
      <c r="F98" s="1048" t="n"/>
      <c r="G98" s="1048" t="n"/>
      <c r="H98" s="1048" t="n"/>
      <c r="I98" s="1048" t="n"/>
      <c r="J98" s="1048" t="n"/>
      <c r="K98" s="1048" t="n"/>
      <c r="L98" s="1048" t="n"/>
      <c r="M98" s="1048" t="n"/>
      <c r="N98" s="1048" t="n"/>
      <c r="O98" s="1048" t="n"/>
      <c r="P98" s="1048" t="n"/>
      <c r="Q98" s="1048" t="n"/>
      <c r="R98" s="1048" t="n"/>
      <c r="S98" s="1048" t="n"/>
      <c r="T98" s="1048" t="n"/>
      <c r="U98" s="1048" t="n"/>
      <c r="V98" s="1048" t="n"/>
      <c r="W98" s="1048" t="n"/>
      <c r="X98" s="1048" t="n"/>
      <c r="Y98" s="1048" t="n"/>
      <c r="Z98" s="1048" t="n"/>
      <c r="AA98" s="1048" t="n"/>
      <c r="AB98" s="1048" t="n"/>
      <c r="AC98" s="1048" t="n"/>
      <c r="AD98" s="1048" t="n"/>
      <c r="AE98" s="1048" t="n"/>
      <c r="AF98" s="1048" t="n"/>
      <c r="AG98" s="1048" t="n"/>
      <c r="AH98" s="1048" t="n"/>
      <c r="AI98" s="1048" t="n"/>
      <c r="AJ98" s="1048" t="n"/>
      <c r="AK98" s="1048" t="n"/>
      <c r="AL98" s="1048" t="n"/>
      <c r="AM98" s="1048" t="n"/>
      <c r="AN98" s="1048" t="n"/>
      <c r="AO98" s="937" t="n"/>
      <c r="AP98" s="1048" t="n"/>
    </row>
    <row r="99" ht="15" customHeight="1">
      <c r="C99" s="3" t="inlineStr">
        <is>
          <t>Equity</t>
        </is>
      </c>
      <c r="D99" s="1279">
        <f>+Summary!M10</f>
        <v/>
      </c>
      <c r="E99" s="1048">
        <f>+E77*D99</f>
        <v/>
      </c>
      <c r="F99" s="1048" t="n"/>
      <c r="G99" s="1048" t="n"/>
      <c r="H99" s="1048" t="n"/>
      <c r="I99" s="1048" t="n"/>
      <c r="J99" s="1048" t="n"/>
      <c r="K99" s="1048" t="n"/>
      <c r="L99" s="1048" t="n"/>
      <c r="M99" s="1048" t="n"/>
      <c r="N99" s="1048" t="n"/>
      <c r="O99" s="1048" t="n"/>
      <c r="P99" s="1048" t="n"/>
      <c r="Q99" s="1048" t="n"/>
      <c r="R99" s="1048" t="n"/>
      <c r="S99" s="1048" t="n"/>
      <c r="T99" s="1048" t="n"/>
      <c r="U99" s="1048" t="n"/>
      <c r="V99" s="1048" t="n"/>
      <c r="W99" s="1048" t="n"/>
      <c r="X99" s="1048" t="n"/>
      <c r="Y99" s="1048" t="n"/>
      <c r="Z99" s="1048" t="n"/>
      <c r="AA99" s="1048" t="n"/>
      <c r="AB99" s="1048" t="n"/>
      <c r="AC99" s="1048" t="n"/>
      <c r="AD99" s="1048" t="n"/>
      <c r="AE99" s="1048" t="n"/>
      <c r="AF99" s="1048" t="n"/>
      <c r="AG99" s="1048" t="n"/>
      <c r="AH99" s="1048" t="n"/>
      <c r="AI99" s="1048" t="n"/>
      <c r="AJ99" s="1048" t="n"/>
      <c r="AK99" s="1048" t="n"/>
      <c r="AL99" s="1048" t="n"/>
      <c r="AM99" s="1048" t="n"/>
      <c r="AN99" s="1048" t="n"/>
      <c r="AO99" s="937" t="n"/>
      <c r="AP99" s="1048" t="n"/>
    </row>
    <row r="100" ht="15" customHeight="1">
      <c r="C100" s="3" t="inlineStr">
        <is>
          <t>Preferred Return Calculation</t>
        </is>
      </c>
      <c r="D100" s="1279">
        <f>+D89</f>
        <v/>
      </c>
      <c r="E100" s="1048" t="n"/>
      <c r="F100" s="1048" t="n"/>
      <c r="G100" s="1048" t="n"/>
      <c r="H100" s="1048" t="n"/>
      <c r="I100" s="1048" t="n"/>
      <c r="J100" s="1048" t="n"/>
      <c r="K100" s="1048" t="n"/>
      <c r="L100" s="1048" t="n"/>
      <c r="M100" s="1048" t="n"/>
      <c r="N100" s="1048" t="n"/>
      <c r="O100" s="1048" t="n"/>
      <c r="P100" s="1048" t="n"/>
      <c r="Q100" s="1048" t="n"/>
      <c r="R100" s="1048" t="n"/>
      <c r="S100" s="1048" t="n"/>
      <c r="T100" s="1048" t="n"/>
      <c r="U100" s="1048" t="n"/>
      <c r="V100" s="1048" t="n"/>
      <c r="W100" s="1048" t="n"/>
      <c r="X100" s="1048" t="n"/>
      <c r="Y100" s="1048" t="n"/>
      <c r="Z100" s="1048" t="n"/>
      <c r="AA100" s="1048" t="n"/>
      <c r="AB100" s="1048" t="n"/>
      <c r="AC100" s="1048" t="n"/>
      <c r="AD100" s="1048" t="n"/>
      <c r="AE100" s="1048" t="n"/>
      <c r="AF100" s="1048" t="n"/>
      <c r="AG100" s="1048" t="n"/>
      <c r="AH100" s="1048" t="n"/>
      <c r="AI100" s="1048" t="n"/>
      <c r="AJ100" s="1048" t="n"/>
      <c r="AK100" s="1048" t="n"/>
      <c r="AL100" s="1048" t="n"/>
      <c r="AM100" s="1048" t="n"/>
      <c r="AN100" s="1048" t="n"/>
      <c r="AO100" s="937" t="n"/>
      <c r="AP100" s="1048" t="n"/>
    </row>
    <row r="101" ht="15" customHeight="1">
      <c r="C101" s="3" t="inlineStr">
        <is>
          <t>Pref Nominal Rate</t>
        </is>
      </c>
      <c r="D101" s="408">
        <f>NOMINAL(D100,12)</f>
        <v/>
      </c>
      <c r="E101" s="1048" t="n"/>
      <c r="F101" s="1048" t="n"/>
      <c r="G101" s="1048" t="n"/>
      <c r="H101" s="1048" t="n"/>
      <c r="I101" s="1048" t="n"/>
      <c r="J101" s="1048" t="n"/>
      <c r="K101" s="1048" t="n"/>
      <c r="L101" s="1048" t="n"/>
      <c r="M101" s="1048" t="n"/>
      <c r="N101" s="1048" t="n"/>
      <c r="O101" s="1048" t="n"/>
      <c r="P101" s="1048" t="n"/>
      <c r="Q101" s="1048" t="n"/>
      <c r="R101" s="1048" t="n"/>
      <c r="S101" s="1048" t="n"/>
      <c r="T101" s="1048" t="n"/>
      <c r="U101" s="1048" t="n"/>
      <c r="V101" s="1048" t="n"/>
      <c r="W101" s="1048" t="n"/>
      <c r="X101" s="1048" t="n"/>
      <c r="Y101" s="1048" t="n"/>
      <c r="Z101" s="1048" t="n"/>
      <c r="AA101" s="1048" t="n"/>
      <c r="AB101" s="1048" t="n"/>
      <c r="AC101" s="1048" t="n"/>
      <c r="AD101" s="1048" t="n"/>
      <c r="AE101" s="1048" t="n"/>
      <c r="AF101" s="1048" t="n"/>
      <c r="AG101" s="1048" t="n"/>
      <c r="AH101" s="1048" t="n"/>
      <c r="AI101" s="1048" t="n"/>
      <c r="AJ101" s="1048" t="n"/>
      <c r="AK101" s="1048" t="n"/>
      <c r="AL101" s="1048" t="n"/>
      <c r="AM101" s="1048" t="n"/>
      <c r="AN101" s="1048" t="n"/>
      <c r="AO101" s="937" t="n"/>
      <c r="AP101" s="1048" t="n"/>
    </row>
    <row r="102" ht="15" customHeight="1">
      <c r="C102" s="3" t="inlineStr">
        <is>
          <t>Beginning Equity</t>
        </is>
      </c>
      <c r="E102" s="1048">
        <f>+E99</f>
        <v/>
      </c>
      <c r="F102" s="1048">
        <f>+E105</f>
        <v/>
      </c>
      <c r="G102" s="1048">
        <f>+F105</f>
        <v/>
      </c>
      <c r="H102" s="1048">
        <f>+G105</f>
        <v/>
      </c>
      <c r="I102" s="1048">
        <f>+H105</f>
        <v/>
      </c>
      <c r="J102" s="1048">
        <f>+I105</f>
        <v/>
      </c>
      <c r="K102" s="1048">
        <f>+J105</f>
        <v/>
      </c>
      <c r="L102" s="1048">
        <f>+K105</f>
        <v/>
      </c>
      <c r="M102" s="1048">
        <f>+L105</f>
        <v/>
      </c>
      <c r="N102" s="1048">
        <f>+M105</f>
        <v/>
      </c>
      <c r="O102" s="1048">
        <f>+N105</f>
        <v/>
      </c>
      <c r="P102" s="1048">
        <f>+O105</f>
        <v/>
      </c>
      <c r="Q102" s="1048">
        <f>+P105</f>
        <v/>
      </c>
      <c r="R102" s="1048">
        <f>+Q105</f>
        <v/>
      </c>
      <c r="S102" s="1048">
        <f>+R105</f>
        <v/>
      </c>
      <c r="T102" s="1048">
        <f>+S105</f>
        <v/>
      </c>
      <c r="U102" s="1048">
        <f>+T105</f>
        <v/>
      </c>
      <c r="V102" s="1048">
        <f>+U105</f>
        <v/>
      </c>
      <c r="W102" s="1048">
        <f>+V105</f>
        <v/>
      </c>
      <c r="X102" s="1048">
        <f>+W105</f>
        <v/>
      </c>
      <c r="Y102" s="1048">
        <f>+X105</f>
        <v/>
      </c>
      <c r="Z102" s="1048">
        <f>+Y105</f>
        <v/>
      </c>
      <c r="AA102" s="1048">
        <f>+Z105</f>
        <v/>
      </c>
      <c r="AB102" s="1048">
        <f>+AA105</f>
        <v/>
      </c>
      <c r="AC102" s="1048">
        <f>+AB105</f>
        <v/>
      </c>
      <c r="AD102" s="1048">
        <f>+AC105</f>
        <v/>
      </c>
      <c r="AE102" s="1048">
        <f>+AD105</f>
        <v/>
      </c>
      <c r="AF102" s="1048">
        <f>+AE105</f>
        <v/>
      </c>
      <c r="AG102" s="1048">
        <f>+AF105</f>
        <v/>
      </c>
      <c r="AH102" s="1048">
        <f>+AG105</f>
        <v/>
      </c>
      <c r="AI102" s="1048">
        <f>+AH105</f>
        <v/>
      </c>
      <c r="AJ102" s="1048">
        <f>+AI105</f>
        <v/>
      </c>
      <c r="AK102" s="1048">
        <f>+AJ105</f>
        <v/>
      </c>
      <c r="AL102" s="1048">
        <f>+AK105</f>
        <v/>
      </c>
      <c r="AM102" s="1048">
        <f>+AL105</f>
        <v/>
      </c>
      <c r="AN102" s="1048">
        <f>+AM105</f>
        <v/>
      </c>
      <c r="AO102" s="937" t="n"/>
      <c r="AP102" s="1048" t="n"/>
    </row>
    <row r="103" ht="15" customHeight="1">
      <c r="C103" s="3" t="inlineStr">
        <is>
          <t>Acrued Preferred Return</t>
        </is>
      </c>
      <c r="E103" s="1048" t="n"/>
      <c r="F103" s="1048">
        <f>+E105*($D101/12)</f>
        <v/>
      </c>
      <c r="G103" s="1048">
        <f>+F105*($D101/12)</f>
        <v/>
      </c>
      <c r="H103" s="1048">
        <f>+G105*($D101/12)</f>
        <v/>
      </c>
      <c r="I103" s="1048">
        <f>+H105*($D101/12)</f>
        <v/>
      </c>
      <c r="J103" s="1048">
        <f>+I105*($D101/12)</f>
        <v/>
      </c>
      <c r="K103" s="1048">
        <f>+J105*($D101/12)</f>
        <v/>
      </c>
      <c r="L103" s="1048">
        <f>+K105*($D101/12)</f>
        <v/>
      </c>
      <c r="M103" s="1048">
        <f>+L105*($D101/12)</f>
        <v/>
      </c>
      <c r="N103" s="1048">
        <f>+M105*($D101/12)</f>
        <v/>
      </c>
      <c r="O103" s="1048">
        <f>+N105*($D101/12)</f>
        <v/>
      </c>
      <c r="P103" s="1048">
        <f>+O105*($D101/12)</f>
        <v/>
      </c>
      <c r="Q103" s="1048">
        <f>+P105*($D101/12)</f>
        <v/>
      </c>
      <c r="R103" s="1048">
        <f>+Q105*($D101/12)</f>
        <v/>
      </c>
      <c r="S103" s="1048">
        <f>+R105*($D101/12)</f>
        <v/>
      </c>
      <c r="T103" s="1048">
        <f>+S105*($D101/12)</f>
        <v/>
      </c>
      <c r="U103" s="1048">
        <f>+T105*($D101/12)</f>
        <v/>
      </c>
      <c r="V103" s="1048">
        <f>+U105*($D101/12)</f>
        <v/>
      </c>
      <c r="W103" s="1048">
        <f>+V105*($D101/12)</f>
        <v/>
      </c>
      <c r="X103" s="1048">
        <f>+W105*($D101/12)</f>
        <v/>
      </c>
      <c r="Y103" s="1048">
        <f>+X105*($D101/12)</f>
        <v/>
      </c>
      <c r="Z103" s="1048">
        <f>+Y105*($D101/12)</f>
        <v/>
      </c>
      <c r="AA103" s="1048">
        <f>+Z105*($D101/12)</f>
        <v/>
      </c>
      <c r="AB103" s="1048">
        <f>+AA105*($D101/12)</f>
        <v/>
      </c>
      <c r="AC103" s="1048">
        <f>+AB105*($D101/12)</f>
        <v/>
      </c>
      <c r="AD103" s="1048">
        <f>+AC105*($D101/12)</f>
        <v/>
      </c>
      <c r="AE103" s="1048">
        <f>+AD105*($D101/12)</f>
        <v/>
      </c>
      <c r="AF103" s="1048">
        <f>+AE105*($D101/12)</f>
        <v/>
      </c>
      <c r="AG103" s="1048">
        <f>+AF105*($D101/12)</f>
        <v/>
      </c>
      <c r="AH103" s="1048">
        <f>+AG105*($D101/12)</f>
        <v/>
      </c>
      <c r="AI103" s="1048">
        <f>+AH105*($D101/12)</f>
        <v/>
      </c>
      <c r="AJ103" s="1048">
        <f>+AI105*($D101/12)</f>
        <v/>
      </c>
      <c r="AK103" s="1048">
        <f>+AJ105*($D101/12)</f>
        <v/>
      </c>
      <c r="AL103" s="1048">
        <f>+AK105*($D101/12)</f>
        <v/>
      </c>
      <c r="AM103" s="1048">
        <f>+AL105*($D101/12)</f>
        <v/>
      </c>
      <c r="AN103" s="1048">
        <f>+AM105*($D101/12)</f>
        <v/>
      </c>
      <c r="AO103" s="937" t="n"/>
      <c r="AP103" s="1048" t="n"/>
    </row>
    <row r="104" ht="15" customHeight="1">
      <c r="C104" s="3" t="inlineStr">
        <is>
          <t>Paid Preferred return</t>
        </is>
      </c>
      <c r="E104" s="1048" t="n"/>
      <c r="F104" s="1048">
        <f>+F82*$D99</f>
        <v/>
      </c>
      <c r="G104" s="1048">
        <f>+G82*$D99</f>
        <v/>
      </c>
      <c r="H104" s="1048">
        <f>+H82*$D99</f>
        <v/>
      </c>
      <c r="I104" s="1048">
        <f>+I82*$D99</f>
        <v/>
      </c>
      <c r="J104" s="1048">
        <f>+J82*$D99</f>
        <v/>
      </c>
      <c r="K104" s="1048">
        <f>+K82*$D99</f>
        <v/>
      </c>
      <c r="L104" s="1048">
        <f>+L82*$D99</f>
        <v/>
      </c>
      <c r="M104" s="1048">
        <f>+M82*$D99</f>
        <v/>
      </c>
      <c r="N104" s="1048">
        <f>+N82*$D99</f>
        <v/>
      </c>
      <c r="O104" s="1048">
        <f>+O82*$D99</f>
        <v/>
      </c>
      <c r="P104" s="1048">
        <f>+P82*$D99</f>
        <v/>
      </c>
      <c r="Q104" s="1048">
        <f>+Q82*$D99</f>
        <v/>
      </c>
      <c r="R104" s="1048">
        <f>+R82*$D99</f>
        <v/>
      </c>
      <c r="S104" s="1048">
        <f>+S82*$D99</f>
        <v/>
      </c>
      <c r="T104" s="1048">
        <f>+T82*$D99</f>
        <v/>
      </c>
      <c r="U104" s="1048">
        <f>+U82*$D99</f>
        <v/>
      </c>
      <c r="V104" s="1048">
        <f>+V82*$D99</f>
        <v/>
      </c>
      <c r="W104" s="1048">
        <f>+W82*$D99</f>
        <v/>
      </c>
      <c r="X104" s="1048">
        <f>+X82*$D99</f>
        <v/>
      </c>
      <c r="Y104" s="1048">
        <f>+Y82*$D99</f>
        <v/>
      </c>
      <c r="Z104" s="1048">
        <f>+Z82*$D99</f>
        <v/>
      </c>
      <c r="AA104" s="1048">
        <f>+AA82*$D99</f>
        <v/>
      </c>
      <c r="AB104" s="1048">
        <f>+AB82*$D99</f>
        <v/>
      </c>
      <c r="AC104" s="1048">
        <f>+AC82*$D99</f>
        <v/>
      </c>
      <c r="AD104" s="1048">
        <f>+AD82*$D99</f>
        <v/>
      </c>
      <c r="AE104" s="1048">
        <f>+AE82*$D99</f>
        <v/>
      </c>
      <c r="AF104" s="1048">
        <f>+AF82*$D99</f>
        <v/>
      </c>
      <c r="AG104" s="1048">
        <f>+AG82*$D99</f>
        <v/>
      </c>
      <c r="AH104" s="1048">
        <f>+AH82*$D99</f>
        <v/>
      </c>
      <c r="AI104" s="1048">
        <f>+AI82*$D99</f>
        <v/>
      </c>
      <c r="AJ104" s="1048">
        <f>+AJ82*$D99</f>
        <v/>
      </c>
      <c r="AK104" s="1048">
        <f>+AK82*$D99</f>
        <v/>
      </c>
      <c r="AL104" s="1048">
        <f>+AL82*$D99</f>
        <v/>
      </c>
      <c r="AM104" s="1048">
        <f>+AM82*$D99</f>
        <v/>
      </c>
      <c r="AN104" s="1048">
        <f>+AN82*$D99</f>
        <v/>
      </c>
      <c r="AO104" s="937" t="n"/>
      <c r="AP104" s="1048" t="n"/>
    </row>
    <row r="105" ht="15" customHeight="1">
      <c r="C105" s="3" t="inlineStr">
        <is>
          <t>Ending Equity Balance</t>
        </is>
      </c>
      <c r="E105" s="1048">
        <f>+E102</f>
        <v/>
      </c>
      <c r="F105" s="1048">
        <f>+F102+F103+F104</f>
        <v/>
      </c>
      <c r="G105" s="1048">
        <f>+G102+G103+G104</f>
        <v/>
      </c>
      <c r="H105" s="1048">
        <f>+H102+H103+H104</f>
        <v/>
      </c>
      <c r="I105" s="1048">
        <f>+I102+I103+I104</f>
        <v/>
      </c>
      <c r="J105" s="1048">
        <f>+J102+J103+J104</f>
        <v/>
      </c>
      <c r="K105" s="1048">
        <f>+K102+K103+K104</f>
        <v/>
      </c>
      <c r="L105" s="1048">
        <f>+L102+L103+L104</f>
        <v/>
      </c>
      <c r="M105" s="1048">
        <f>+M102+M103+M104</f>
        <v/>
      </c>
      <c r="N105" s="1048">
        <f>+N102+N103+N104</f>
        <v/>
      </c>
      <c r="O105" s="1048">
        <f>+O102+O103+O104</f>
        <v/>
      </c>
      <c r="P105" s="1048">
        <f>+P102+P103+P104</f>
        <v/>
      </c>
      <c r="Q105" s="1048">
        <f>+Q102+Q103+Q104</f>
        <v/>
      </c>
      <c r="R105" s="1048">
        <f>+R102+R103+R104</f>
        <v/>
      </c>
      <c r="S105" s="1048">
        <f>+S102+S103+S104</f>
        <v/>
      </c>
      <c r="T105" s="1048">
        <f>+T102+T103+T104</f>
        <v/>
      </c>
      <c r="U105" s="1048">
        <f>+U102+U103+U104</f>
        <v/>
      </c>
      <c r="V105" s="1048">
        <f>+V102+V103+V104</f>
        <v/>
      </c>
      <c r="W105" s="1048">
        <f>+W102+W103+W104</f>
        <v/>
      </c>
      <c r="X105" s="1048">
        <f>+X102+X103+X104</f>
        <v/>
      </c>
      <c r="Y105" s="1048">
        <f>+Y102+Y103+Y104</f>
        <v/>
      </c>
      <c r="Z105" s="1048">
        <f>+Z102+Z103+Z104</f>
        <v/>
      </c>
      <c r="AA105" s="1048">
        <f>+AA102+AA103+AA104</f>
        <v/>
      </c>
      <c r="AB105" s="1048">
        <f>+AB102+AB103+AB104</f>
        <v/>
      </c>
      <c r="AC105" s="1048">
        <f>+AC102+AC103+AC104</f>
        <v/>
      </c>
      <c r="AD105" s="1048">
        <f>+AD102+AD103+AD104</f>
        <v/>
      </c>
      <c r="AE105" s="1048">
        <f>+AE102+AE103+AE104</f>
        <v/>
      </c>
      <c r="AF105" s="1048">
        <f>+AF102+AF103+AF104</f>
        <v/>
      </c>
      <c r="AG105" s="1048">
        <f>+AG102+AG103+AG104</f>
        <v/>
      </c>
      <c r="AH105" s="1048">
        <f>+AH102+AH103+AH104</f>
        <v/>
      </c>
      <c r="AI105" s="1048">
        <f>+AI102+AI103+AI104</f>
        <v/>
      </c>
      <c r="AJ105" s="1048">
        <f>+AJ102+AJ103+AJ104</f>
        <v/>
      </c>
      <c r="AK105" s="1048">
        <f>+AK102+AK103+AK104</f>
        <v/>
      </c>
      <c r="AL105" s="1048">
        <f>+AL102+AL103+AL104</f>
        <v/>
      </c>
      <c r="AM105" s="1048">
        <f>+AM102+AM103+AM104</f>
        <v/>
      </c>
      <c r="AN105" s="1048">
        <f>+AN102+AN103+AN104</f>
        <v/>
      </c>
      <c r="AO105" s="937" t="n"/>
      <c r="AP105" s="1048" t="n"/>
    </row>
    <row r="106" ht="15" customHeight="1">
      <c r="C106" s="3" t="inlineStr">
        <is>
          <t xml:space="preserve">    IRR CALCULATION</t>
        </is>
      </c>
      <c r="E106" s="1048">
        <f>-E102</f>
        <v/>
      </c>
      <c r="F106" s="1048">
        <f>-F104</f>
        <v/>
      </c>
      <c r="G106" s="1048">
        <f>-G104</f>
        <v/>
      </c>
      <c r="H106" s="1048">
        <f>-H104</f>
        <v/>
      </c>
      <c r="I106" s="1048">
        <f>-I104</f>
        <v/>
      </c>
      <c r="J106" s="1048">
        <f>-J104</f>
        <v/>
      </c>
      <c r="K106" s="1048">
        <f>-K104</f>
        <v/>
      </c>
      <c r="L106" s="1048">
        <f>-L104</f>
        <v/>
      </c>
      <c r="M106" s="1048">
        <f>-M104</f>
        <v/>
      </c>
      <c r="N106" s="1048">
        <f>-N104</f>
        <v/>
      </c>
      <c r="O106" s="1048">
        <f>-O104</f>
        <v/>
      </c>
      <c r="P106" s="1048">
        <f>-P104</f>
        <v/>
      </c>
      <c r="Q106" s="1048">
        <f>-Q104</f>
        <v/>
      </c>
      <c r="R106" s="1048">
        <f>-R104</f>
        <v/>
      </c>
      <c r="S106" s="1048">
        <f>-S104</f>
        <v/>
      </c>
      <c r="T106" s="1048">
        <f>-T104</f>
        <v/>
      </c>
      <c r="U106" s="1048">
        <f>-U104</f>
        <v/>
      </c>
      <c r="V106" s="1048">
        <f>-V104</f>
        <v/>
      </c>
      <c r="W106" s="1048">
        <f>-W104</f>
        <v/>
      </c>
      <c r="X106" s="1048">
        <f>-X104</f>
        <v/>
      </c>
      <c r="Y106" s="1048">
        <f>-Y104</f>
        <v/>
      </c>
      <c r="Z106" s="1048">
        <f>-Z104</f>
        <v/>
      </c>
      <c r="AA106" s="1048">
        <f>-AA104</f>
        <v/>
      </c>
      <c r="AB106" s="1048">
        <f>-AB104</f>
        <v/>
      </c>
      <c r="AC106" s="1048">
        <f>-AC104</f>
        <v/>
      </c>
      <c r="AD106" s="1048">
        <f>-AD104</f>
        <v/>
      </c>
      <c r="AE106" s="1048">
        <f>-AE104</f>
        <v/>
      </c>
      <c r="AF106" s="1048">
        <f>-AF104</f>
        <v/>
      </c>
      <c r="AG106" s="1048">
        <f>-AG104</f>
        <v/>
      </c>
      <c r="AH106" s="1048">
        <f>-AH104</f>
        <v/>
      </c>
      <c r="AI106" s="1048">
        <f>-AI104</f>
        <v/>
      </c>
      <c r="AJ106" s="1048">
        <f>-AJ104</f>
        <v/>
      </c>
      <c r="AK106" s="1048">
        <f>-AK104</f>
        <v/>
      </c>
      <c r="AL106" s="1048">
        <f>-AL104</f>
        <v/>
      </c>
      <c r="AM106" s="1048">
        <f>-AM104</f>
        <v/>
      </c>
      <c r="AN106" s="1048">
        <f>-AN104+AN105</f>
        <v/>
      </c>
      <c r="AO106" s="937">
        <f>(1+IRR(E106:AN106,0.02))^12-1</f>
        <v/>
      </c>
      <c r="AP106" s="1048" t="n"/>
      <c r="AQ106" s="1280" t="n"/>
    </row>
    <row r="110" ht="15" customHeight="1">
      <c r="E110" s="1048" t="n"/>
      <c r="F110" s="1048" t="n"/>
      <c r="G110" s="1048" t="n"/>
      <c r="H110" s="1048" t="n"/>
      <c r="I110" s="1048" t="n"/>
      <c r="J110" s="1048" t="n"/>
      <c r="K110" s="1048" t="n"/>
      <c r="L110" s="1048" t="n"/>
      <c r="M110" s="1048" t="n"/>
      <c r="N110" s="1048" t="n"/>
      <c r="O110" s="1048" t="n"/>
      <c r="P110" s="937" t="n"/>
      <c r="Q110" s="1048" t="n"/>
      <c r="R110" s="1048" t="n"/>
      <c r="S110" s="1048" t="n"/>
      <c r="T110" s="1048" t="n"/>
      <c r="U110" s="1048" t="n"/>
      <c r="V110" s="1048" t="n"/>
      <c r="W110" s="1048" t="n"/>
      <c r="X110" s="1048" t="n"/>
      <c r="Y110" s="1048" t="n"/>
      <c r="Z110" s="1048" t="n"/>
      <c r="AA110" s="1048" t="n"/>
      <c r="AB110" s="1048" t="n"/>
      <c r="AC110" s="937" t="n"/>
      <c r="AD110" s="1048" t="n"/>
      <c r="AE110" s="1048" t="n"/>
      <c r="AF110" s="1048" t="n"/>
      <c r="AG110" s="1048" t="n"/>
      <c r="AH110" s="1048" t="n"/>
      <c r="AI110" s="1048" t="n"/>
      <c r="AJ110" s="1048" t="n"/>
      <c r="AK110" s="1048" t="n"/>
      <c r="AL110" s="1048" t="n"/>
      <c r="AM110" s="1048" t="n"/>
      <c r="AN110" s="748" t="n"/>
      <c r="AO110" s="1048" t="n"/>
      <c r="AP110" s="1048" t="n"/>
    </row>
    <row r="111" ht="15" customHeight="1">
      <c r="B111" s="406" t="inlineStr">
        <is>
          <t>FIRST IRR HURRDLE</t>
        </is>
      </c>
      <c r="E111" s="1048" t="n"/>
      <c r="F111" s="1048" t="n"/>
      <c r="G111" s="1048" t="n"/>
      <c r="H111" s="1048" t="n"/>
      <c r="I111" s="1048" t="n"/>
      <c r="J111" s="1048" t="n"/>
      <c r="K111" s="1048" t="n"/>
      <c r="L111" s="1048" t="n"/>
      <c r="M111" s="1048" t="n"/>
      <c r="N111" s="1048" t="n"/>
      <c r="O111" s="1048" t="n"/>
      <c r="P111" s="1048" t="n"/>
      <c r="Q111" s="1048" t="n"/>
      <c r="R111" s="1048" t="n"/>
      <c r="S111" s="1048" t="n"/>
      <c r="T111" s="1048" t="n"/>
      <c r="U111" s="1048" t="n"/>
      <c r="V111" s="1048" t="n"/>
      <c r="W111" s="1048" t="n"/>
      <c r="X111" s="1048" t="n"/>
      <c r="Y111" s="1048" t="n"/>
      <c r="Z111" s="1048" t="n"/>
      <c r="AA111" s="1048" t="n"/>
      <c r="AB111" s="1048" t="n"/>
      <c r="AC111" s="1281" t="n"/>
      <c r="AD111" s="1048" t="n"/>
      <c r="AE111" s="1048" t="n"/>
      <c r="AF111" s="1048" t="n"/>
      <c r="AG111" s="1048" t="n"/>
      <c r="AH111" s="1048" t="n"/>
      <c r="AI111" s="1048" t="n"/>
      <c r="AJ111" s="1048" t="n"/>
      <c r="AK111" s="1048" t="n"/>
      <c r="AL111" s="1048" t="n"/>
      <c r="AM111" s="1048" t="n"/>
      <c r="AN111" s="1048" t="n"/>
      <c r="AO111" s="1048" t="n"/>
      <c r="AP111" s="1048" t="n"/>
    </row>
    <row r="112" ht="15" customHeight="1">
      <c r="C112" s="3" t="inlineStr">
        <is>
          <t>Equity</t>
        </is>
      </c>
      <c r="D112" s="1279">
        <f>+D36</f>
        <v/>
      </c>
      <c r="E112" s="1048">
        <f>+'Draw and Leaseup Schedule'!$D$89*D112</f>
        <v/>
      </c>
      <c r="F112" s="1048" t="n"/>
      <c r="G112" s="1048" t="n"/>
      <c r="H112" s="1048" t="n"/>
      <c r="I112" s="1048" t="n"/>
      <c r="J112" s="1048" t="n"/>
      <c r="K112" s="1048" t="n"/>
      <c r="L112" s="1048" t="n"/>
      <c r="M112" s="1048" t="n"/>
      <c r="N112" s="1048" t="n"/>
      <c r="O112" s="1048" t="n"/>
      <c r="P112" s="1048" t="n"/>
      <c r="Q112" s="1048" t="n"/>
      <c r="R112" s="1048" t="n"/>
      <c r="S112" s="1048" t="n"/>
      <c r="T112" s="1048" t="n"/>
      <c r="U112" s="1048" t="n"/>
      <c r="V112" s="1048" t="n"/>
      <c r="W112" s="1048" t="n"/>
      <c r="X112" s="1048" t="n"/>
      <c r="Y112" s="1048" t="n"/>
      <c r="Z112" s="1048" t="n"/>
      <c r="AA112" s="1048" t="n"/>
      <c r="AB112" s="1048" t="n"/>
      <c r="AC112" s="1048" t="n"/>
      <c r="AD112" s="1048" t="n"/>
      <c r="AE112" s="1048" t="n"/>
      <c r="AF112" s="1048" t="n"/>
      <c r="AG112" s="1048" t="n"/>
      <c r="AH112" s="1048" t="n"/>
      <c r="AI112" s="1048" t="n"/>
      <c r="AJ112" s="1048" t="n"/>
      <c r="AK112" s="1048" t="n"/>
      <c r="AL112" s="1048" t="n"/>
      <c r="AM112" s="1048" t="n"/>
      <c r="AN112" s="1048" t="n"/>
      <c r="AO112" s="1048" t="n"/>
      <c r="AP112" s="1048" t="n"/>
    </row>
    <row r="113" ht="15" customHeight="1">
      <c r="C113" s="3" t="inlineStr">
        <is>
          <t>IRR Hurrdle</t>
        </is>
      </c>
      <c r="D113" s="1279">
        <f>+'Exit Summary'!D37</f>
        <v/>
      </c>
      <c r="E113" s="1048" t="n"/>
      <c r="F113" s="1048" t="n"/>
      <c r="G113" s="1048" t="n"/>
      <c r="H113" s="1048" t="n"/>
      <c r="I113" s="1048" t="n"/>
      <c r="J113" s="1048" t="n"/>
      <c r="K113" s="1048" t="n"/>
      <c r="L113" s="1048" t="n"/>
      <c r="M113" s="1048" t="n"/>
      <c r="N113" s="1048" t="n"/>
      <c r="O113" s="1048" t="n"/>
      <c r="P113" s="1048" t="n"/>
      <c r="Q113" s="1048" t="n"/>
      <c r="R113" s="1048" t="n"/>
      <c r="S113" s="1048" t="n"/>
      <c r="T113" s="1048" t="n"/>
      <c r="U113" s="1048" t="n"/>
      <c r="V113" s="1048" t="n"/>
      <c r="W113" s="1048" t="n"/>
      <c r="X113" s="1048" t="n"/>
      <c r="Y113" s="1048" t="n"/>
      <c r="Z113" s="1048" t="n"/>
      <c r="AA113" s="1048" t="n"/>
      <c r="AB113" s="1048" t="n"/>
      <c r="AC113" s="1048" t="n"/>
      <c r="AD113" s="1048" t="n"/>
      <c r="AE113" s="1048" t="n"/>
      <c r="AF113" s="1048" t="n"/>
      <c r="AG113" s="1048" t="n"/>
      <c r="AH113" s="1048" t="n"/>
      <c r="AI113" s="1048" t="n"/>
      <c r="AJ113" s="1048" t="n"/>
      <c r="AK113" s="1048" t="n"/>
      <c r="AL113" s="1048" t="n"/>
      <c r="AM113" s="1048" t="n"/>
      <c r="AN113" s="1048" t="n"/>
      <c r="AO113" s="1048" t="n"/>
      <c r="AP113" s="1048" t="n"/>
    </row>
    <row r="114" ht="15" customHeight="1">
      <c r="C114" s="3" t="inlineStr">
        <is>
          <t>IRR Nominal Rate</t>
        </is>
      </c>
      <c r="D114" s="408">
        <f>NOMINAL(D113,12)</f>
        <v/>
      </c>
      <c r="E114" s="1048" t="n"/>
      <c r="F114" s="1048" t="n"/>
      <c r="G114" s="1048" t="n"/>
      <c r="H114" s="1048" t="n"/>
      <c r="I114" s="1048" t="n"/>
      <c r="J114" s="1048" t="n"/>
      <c r="K114" s="1048" t="n"/>
      <c r="L114" s="1048" t="n"/>
      <c r="M114" s="1048" t="n"/>
      <c r="N114" s="1048" t="n"/>
      <c r="O114" s="1048" t="n"/>
      <c r="P114" s="1048" t="n"/>
      <c r="Q114" s="1048" t="n"/>
      <c r="R114" s="1048" t="n"/>
      <c r="S114" s="1048" t="n"/>
      <c r="T114" s="1048" t="n"/>
      <c r="U114" s="1048" t="n"/>
      <c r="V114" s="1048" t="n"/>
      <c r="W114" s="1048" t="n"/>
      <c r="X114" s="1048" t="n"/>
      <c r="Y114" s="1048" t="n"/>
      <c r="Z114" s="1048" t="n"/>
      <c r="AA114" s="1048" t="n"/>
      <c r="AB114" s="1048" t="n"/>
      <c r="AC114" s="1048" t="n"/>
      <c r="AD114" s="1048" t="n"/>
      <c r="AE114" s="1048" t="n"/>
      <c r="AF114" s="1048" t="n"/>
      <c r="AG114" s="1048" t="n"/>
      <c r="AH114" s="1048" t="n"/>
      <c r="AI114" s="1048" t="n"/>
      <c r="AJ114" s="1048" t="n"/>
      <c r="AK114" s="1048" t="n"/>
      <c r="AL114" s="1048" t="n"/>
      <c r="AM114" s="1048" t="n"/>
      <c r="AN114" s="1048" t="n"/>
      <c r="AO114" s="1048" t="n"/>
      <c r="AP114" s="1048" t="n"/>
    </row>
    <row r="115" ht="15" customHeight="1">
      <c r="C115" s="3" t="inlineStr">
        <is>
          <t>Beginning Equity</t>
        </is>
      </c>
      <c r="E115" s="1048">
        <f>+E112</f>
        <v/>
      </c>
      <c r="F115" s="1048">
        <f>+E118</f>
        <v/>
      </c>
      <c r="G115" s="1048">
        <f>+F118</f>
        <v/>
      </c>
      <c r="H115" s="1048">
        <f>+G118</f>
        <v/>
      </c>
      <c r="I115" s="1048">
        <f>+H118</f>
        <v/>
      </c>
      <c r="J115" s="1048">
        <f>+I118</f>
        <v/>
      </c>
      <c r="K115" s="1048">
        <f>+J118</f>
        <v/>
      </c>
      <c r="L115" s="1048">
        <f>+K118</f>
        <v/>
      </c>
      <c r="M115" s="1048">
        <f>+L118</f>
        <v/>
      </c>
      <c r="N115" s="1048">
        <f>+M118</f>
        <v/>
      </c>
      <c r="O115" s="1048">
        <f>+N118</f>
        <v/>
      </c>
      <c r="P115" s="1048">
        <f>+O118</f>
        <v/>
      </c>
      <c r="Q115" s="1048">
        <f>+P118</f>
        <v/>
      </c>
      <c r="R115" s="1048">
        <f>+Q118</f>
        <v/>
      </c>
      <c r="S115" s="1048">
        <f>+R118</f>
        <v/>
      </c>
      <c r="T115" s="1048">
        <f>+S118</f>
        <v/>
      </c>
      <c r="U115" s="1048">
        <f>+T118</f>
        <v/>
      </c>
      <c r="V115" s="1048">
        <f>+U118</f>
        <v/>
      </c>
      <c r="W115" s="1048">
        <f>+V118</f>
        <v/>
      </c>
      <c r="X115" s="1048">
        <f>+W118</f>
        <v/>
      </c>
      <c r="Y115" s="1048">
        <f>+X118</f>
        <v/>
      </c>
      <c r="Z115" s="1048">
        <f>+Y118</f>
        <v/>
      </c>
      <c r="AA115" s="1048">
        <f>+Z118</f>
        <v/>
      </c>
      <c r="AB115" s="1048">
        <f>+AA118</f>
        <v/>
      </c>
      <c r="AC115" s="1048">
        <f>+AB118</f>
        <v/>
      </c>
      <c r="AD115" s="1048">
        <f>+AC118</f>
        <v/>
      </c>
      <c r="AE115" s="1048">
        <f>+AD118</f>
        <v/>
      </c>
      <c r="AF115" s="1048">
        <f>+AE118</f>
        <v/>
      </c>
      <c r="AG115" s="1048">
        <f>+AF118</f>
        <v/>
      </c>
      <c r="AH115" s="1048">
        <f>+AG118</f>
        <v/>
      </c>
      <c r="AI115" s="1048">
        <f>+AH118</f>
        <v/>
      </c>
      <c r="AJ115" s="1048">
        <f>+AI118</f>
        <v/>
      </c>
      <c r="AK115" s="1048">
        <f>+AJ118</f>
        <v/>
      </c>
      <c r="AL115" s="1048">
        <f>+AK118</f>
        <v/>
      </c>
      <c r="AM115" s="1048">
        <f>+AL118</f>
        <v/>
      </c>
      <c r="AN115" s="1048">
        <f>+AM118</f>
        <v/>
      </c>
      <c r="AO115" s="1048" t="n"/>
      <c r="AP115" s="1048" t="n"/>
    </row>
    <row r="116" ht="15" customHeight="1">
      <c r="C116" s="3" t="inlineStr">
        <is>
          <t>Acrued Preferred Return</t>
        </is>
      </c>
      <c r="E116" s="1048" t="n"/>
      <c r="F116" s="1048">
        <f>+E118*($D114/12)</f>
        <v/>
      </c>
      <c r="G116" s="1048">
        <f>+F118*($D114/12)</f>
        <v/>
      </c>
      <c r="H116" s="1048">
        <f>+G118*($D114/12)</f>
        <v/>
      </c>
      <c r="I116" s="1048">
        <f>+H118*($D114/12)</f>
        <v/>
      </c>
      <c r="J116" s="1048">
        <f>+I118*($D114/12)</f>
        <v/>
      </c>
      <c r="K116" s="1048">
        <f>+J118*($D114/12)</f>
        <v/>
      </c>
      <c r="L116" s="1048">
        <f>+K118*($D114/12)</f>
        <v/>
      </c>
      <c r="M116" s="1048">
        <f>+L118*($D114/12)</f>
        <v/>
      </c>
      <c r="N116" s="1048">
        <f>+M118*($D114/12)</f>
        <v/>
      </c>
      <c r="O116" s="1048">
        <f>+N118*($D114/12)</f>
        <v/>
      </c>
      <c r="P116" s="1048">
        <f>+O118*($D114/12)</f>
        <v/>
      </c>
      <c r="Q116" s="1048">
        <f>+P118*($D114/12)</f>
        <v/>
      </c>
      <c r="R116" s="1048">
        <f>+Q118*($D114/12)</f>
        <v/>
      </c>
      <c r="S116" s="1048">
        <f>+R118*($D114/12)</f>
        <v/>
      </c>
      <c r="T116" s="1048">
        <f>+S118*($D114/12)</f>
        <v/>
      </c>
      <c r="U116" s="1048">
        <f>+T118*($D114/12)</f>
        <v/>
      </c>
      <c r="V116" s="1048">
        <f>+U118*($D114/12)</f>
        <v/>
      </c>
      <c r="W116" s="1048">
        <f>+V118*($D114/12)</f>
        <v/>
      </c>
      <c r="X116" s="1048">
        <f>+W118*($D114/12)</f>
        <v/>
      </c>
      <c r="Y116" s="1048">
        <f>+X118*($D114/12)</f>
        <v/>
      </c>
      <c r="Z116" s="1048">
        <f>+Y118*($D114/12)</f>
        <v/>
      </c>
      <c r="AA116" s="1048">
        <f>+Z118*($D114/12)</f>
        <v/>
      </c>
      <c r="AB116" s="1048">
        <f>+AA118*($D114/12)</f>
        <v/>
      </c>
      <c r="AC116" s="1048">
        <f>+AB118*($D114/12)</f>
        <v/>
      </c>
      <c r="AD116" s="1048">
        <f>+AC118*($D114/12)</f>
        <v/>
      </c>
      <c r="AE116" s="1048">
        <f>+AD118*($D114/12)</f>
        <v/>
      </c>
      <c r="AF116" s="1048">
        <f>+AE118*($D114/12)</f>
        <v/>
      </c>
      <c r="AG116" s="1048">
        <f>+AF118*($D114/12)</f>
        <v/>
      </c>
      <c r="AH116" s="1048">
        <f>+AG118*($D114/12)</f>
        <v/>
      </c>
      <c r="AI116" s="1048">
        <f>+AH118*($D114/12)</f>
        <v/>
      </c>
      <c r="AJ116" s="1048">
        <f>+AI118*($D114/12)</f>
        <v/>
      </c>
      <c r="AK116" s="1048">
        <f>+AJ118*($D114/12)</f>
        <v/>
      </c>
      <c r="AL116" s="1048">
        <f>+AK118*($D114/12)</f>
        <v/>
      </c>
      <c r="AM116" s="1048">
        <f>+AL118*($D114/12)</f>
        <v/>
      </c>
      <c r="AN116" s="1048">
        <f>+AM118*($D114/12)</f>
        <v/>
      </c>
      <c r="AO116" s="1048" t="n"/>
      <c r="AP116" s="1048" t="n"/>
    </row>
    <row r="117" ht="15" customHeight="1">
      <c r="C117" s="3" t="inlineStr">
        <is>
          <t>Paid Preferred return</t>
        </is>
      </c>
      <c r="E117" s="1048" t="n"/>
      <c r="F117" s="1048">
        <f>-F37</f>
        <v/>
      </c>
      <c r="G117" s="1048">
        <f>-G37</f>
        <v/>
      </c>
      <c r="H117" s="1048">
        <f>-H37</f>
        <v/>
      </c>
      <c r="I117" s="1048">
        <f>-I37</f>
        <v/>
      </c>
      <c r="J117" s="1048">
        <f>-J37</f>
        <v/>
      </c>
      <c r="K117" s="1048">
        <f>-K37</f>
        <v/>
      </c>
      <c r="L117" s="1048">
        <f>-L37</f>
        <v/>
      </c>
      <c r="M117" s="1048">
        <f>-M37</f>
        <v/>
      </c>
      <c r="N117" s="1048">
        <f>-N37</f>
        <v/>
      </c>
      <c r="O117" s="1048">
        <f>-O37</f>
        <v/>
      </c>
      <c r="P117" s="1048">
        <f>-P37</f>
        <v/>
      </c>
      <c r="Q117" s="1048">
        <f>-Q37</f>
        <v/>
      </c>
      <c r="R117" s="1048">
        <f>-R37</f>
        <v/>
      </c>
      <c r="S117" s="1048">
        <f>-S37</f>
        <v/>
      </c>
      <c r="T117" s="1048">
        <f>-T37</f>
        <v/>
      </c>
      <c r="U117" s="1048">
        <f>-U37</f>
        <v/>
      </c>
      <c r="V117" s="1048">
        <f>-V37</f>
        <v/>
      </c>
      <c r="W117" s="1048">
        <f>-W37</f>
        <v/>
      </c>
      <c r="X117" s="1048">
        <f>-X37</f>
        <v/>
      </c>
      <c r="Y117" s="1048">
        <f>-Y37</f>
        <v/>
      </c>
      <c r="Z117" s="1048">
        <f>-Z37</f>
        <v/>
      </c>
      <c r="AA117" s="1048">
        <f>-AA37</f>
        <v/>
      </c>
      <c r="AB117" s="1048">
        <f>-AB37</f>
        <v/>
      </c>
      <c r="AC117" s="1048">
        <f>-AC37</f>
        <v/>
      </c>
      <c r="AD117" s="1048">
        <f>-AD37</f>
        <v/>
      </c>
      <c r="AE117" s="1048">
        <f>-AE37</f>
        <v/>
      </c>
      <c r="AF117" s="1048">
        <f>-AF37</f>
        <v/>
      </c>
      <c r="AG117" s="1048">
        <f>-AG37</f>
        <v/>
      </c>
      <c r="AH117" s="1048">
        <f>-AH37</f>
        <v/>
      </c>
      <c r="AI117" s="1048">
        <f>-AI37</f>
        <v/>
      </c>
      <c r="AJ117" s="1048">
        <f>-AJ37</f>
        <v/>
      </c>
      <c r="AK117" s="1048">
        <f>-AK37</f>
        <v/>
      </c>
      <c r="AL117" s="1048">
        <f>-AL37</f>
        <v/>
      </c>
      <c r="AM117" s="1048">
        <f>-AM37</f>
        <v/>
      </c>
      <c r="AN117" s="1048">
        <f>-AN37</f>
        <v/>
      </c>
      <c r="AO117" s="1048" t="n"/>
      <c r="AP117" s="1048" t="n"/>
    </row>
    <row r="118" ht="15" customHeight="1">
      <c r="C118" s="3" t="inlineStr">
        <is>
          <t>Ending Equity Balance</t>
        </is>
      </c>
      <c r="E118" s="1048">
        <f>+E115+E116+E117</f>
        <v/>
      </c>
      <c r="F118" s="1048">
        <f>+F115+F116+F117</f>
        <v/>
      </c>
      <c r="G118" s="1048">
        <f>+G115+G116+G117</f>
        <v/>
      </c>
      <c r="H118" s="1048">
        <f>+H115+H116+H117</f>
        <v/>
      </c>
      <c r="I118" s="1048">
        <f>+I115+I116+I117</f>
        <v/>
      </c>
      <c r="J118" s="1048">
        <f>+J115+J116+J117</f>
        <v/>
      </c>
      <c r="K118" s="1048">
        <f>+K115+K116+K117</f>
        <v/>
      </c>
      <c r="L118" s="1048">
        <f>+L115+L116+L117</f>
        <v/>
      </c>
      <c r="M118" s="1048">
        <f>+M115+M116+M117</f>
        <v/>
      </c>
      <c r="N118" s="1048">
        <f>+N115+N116+N117</f>
        <v/>
      </c>
      <c r="O118" s="1048">
        <f>+O115+O116+O117</f>
        <v/>
      </c>
      <c r="P118" s="1048">
        <f>+P115+P116+P117</f>
        <v/>
      </c>
      <c r="Q118" s="1048">
        <f>+Q115+Q116+Q117</f>
        <v/>
      </c>
      <c r="R118" s="1048">
        <f>+R115+R116+R117</f>
        <v/>
      </c>
      <c r="S118" s="1048">
        <f>+S115+S116+S117</f>
        <v/>
      </c>
      <c r="T118" s="1048">
        <f>+T115+T116+T117</f>
        <v/>
      </c>
      <c r="U118" s="1048">
        <f>+U115+U116+U117</f>
        <v/>
      </c>
      <c r="V118" s="1048">
        <f>+V115+V116+V117</f>
        <v/>
      </c>
      <c r="W118" s="1048">
        <f>+W115+W116+W117</f>
        <v/>
      </c>
      <c r="X118" s="1048">
        <f>+X115+X116+X117</f>
        <v/>
      </c>
      <c r="Y118" s="1048">
        <f>+Y115+Y116+Y117</f>
        <v/>
      </c>
      <c r="Z118" s="1048">
        <f>+Z115+Z116+Z117</f>
        <v/>
      </c>
      <c r="AA118" s="1048">
        <f>+AA115+AA116+AA117</f>
        <v/>
      </c>
      <c r="AB118" s="1048">
        <f>+AB115+AB116+AB117</f>
        <v/>
      </c>
      <c r="AC118" s="1048">
        <f>+AC115+AC116+AC117</f>
        <v/>
      </c>
      <c r="AD118" s="1048">
        <f>+AD115+AD116+AD117</f>
        <v/>
      </c>
      <c r="AE118" s="1048">
        <f>+AE115+AE116+AE117</f>
        <v/>
      </c>
      <c r="AF118" s="1048">
        <f>+AF115+AF116+AF117</f>
        <v/>
      </c>
      <c r="AG118" s="1048">
        <f>+AG115+AG116+AG117</f>
        <v/>
      </c>
      <c r="AH118" s="1048">
        <f>+AH115+AH116+AH117</f>
        <v/>
      </c>
      <c r="AI118" s="1048">
        <f>+AI115+AI116+AI117</f>
        <v/>
      </c>
      <c r="AJ118" s="1048">
        <f>+AJ115+AJ116+AJ117</f>
        <v/>
      </c>
      <c r="AK118" s="1048">
        <f>+AK115+AK116+AK117</f>
        <v/>
      </c>
      <c r="AL118" s="1048">
        <f>+AL115+AL116+AL117</f>
        <v/>
      </c>
      <c r="AM118" s="1048">
        <f>+AM115+AM116+AM117</f>
        <v/>
      </c>
      <c r="AN118" s="1048">
        <f>+AN115+AN116+AN117</f>
        <v/>
      </c>
      <c r="AO118" s="1048" t="n"/>
      <c r="AP118" s="1048" t="n"/>
    </row>
    <row r="119" ht="15" customHeight="1">
      <c r="C119" s="3" t="inlineStr">
        <is>
          <t xml:space="preserve">    IRR CALCULATION</t>
        </is>
      </c>
      <c r="E119" s="1048">
        <f>-E115</f>
        <v/>
      </c>
      <c r="F119" s="1048">
        <f>-F117</f>
        <v/>
      </c>
      <c r="G119" s="1048">
        <f>-G117</f>
        <v/>
      </c>
      <c r="H119" s="1048">
        <f>-H117</f>
        <v/>
      </c>
      <c r="I119" s="1048">
        <f>-I117</f>
        <v/>
      </c>
      <c r="J119" s="1048">
        <f>-J117</f>
        <v/>
      </c>
      <c r="K119" s="1048">
        <f>-K117</f>
        <v/>
      </c>
      <c r="L119" s="1048">
        <f>-L117</f>
        <v/>
      </c>
      <c r="M119" s="1048">
        <f>-M117</f>
        <v/>
      </c>
      <c r="N119" s="1048">
        <f>-N117</f>
        <v/>
      </c>
      <c r="O119" s="1048">
        <f>-O117</f>
        <v/>
      </c>
      <c r="P119" s="1048">
        <f>-P117</f>
        <v/>
      </c>
      <c r="Q119" s="1048">
        <f>-Q117</f>
        <v/>
      </c>
      <c r="R119" s="1048">
        <f>-R117</f>
        <v/>
      </c>
      <c r="S119" s="1048">
        <f>-S117</f>
        <v/>
      </c>
      <c r="T119" s="1048">
        <f>-T117</f>
        <v/>
      </c>
      <c r="U119" s="1048">
        <f>-U117</f>
        <v/>
      </c>
      <c r="V119" s="1048">
        <f>-V117</f>
        <v/>
      </c>
      <c r="W119" s="1048">
        <f>-W117</f>
        <v/>
      </c>
      <c r="X119" s="1048">
        <f>-X117</f>
        <v/>
      </c>
      <c r="Y119" s="1048">
        <f>-Y117</f>
        <v/>
      </c>
      <c r="Z119" s="1048">
        <f>-Z117</f>
        <v/>
      </c>
      <c r="AA119" s="1048">
        <f>-AA117</f>
        <v/>
      </c>
      <c r="AB119" s="1048">
        <f>-AB117</f>
        <v/>
      </c>
      <c r="AC119" s="1048">
        <f>-AC117</f>
        <v/>
      </c>
      <c r="AD119" s="1048">
        <f>-AD117</f>
        <v/>
      </c>
      <c r="AE119" s="1048">
        <f>-AE117</f>
        <v/>
      </c>
      <c r="AF119" s="1048">
        <f>-AF117</f>
        <v/>
      </c>
      <c r="AG119" s="1048">
        <f>-AG117</f>
        <v/>
      </c>
      <c r="AH119" s="1048">
        <f>-AH117</f>
        <v/>
      </c>
      <c r="AI119" s="1048">
        <f>-AI117</f>
        <v/>
      </c>
      <c r="AJ119" s="1048">
        <f>-AJ117</f>
        <v/>
      </c>
      <c r="AK119" s="1048">
        <f>-AK117</f>
        <v/>
      </c>
      <c r="AL119" s="1048">
        <f>-AL117</f>
        <v/>
      </c>
      <c r="AM119" s="1048">
        <f>-AM117</f>
        <v/>
      </c>
      <c r="AN119" s="1048">
        <f>-AN117+AN118</f>
        <v/>
      </c>
      <c r="AO119" s="937">
        <f>(1+IRR(E119:AN119,0.02))^12-1</f>
        <v/>
      </c>
      <c r="AP119" s="1048" t="n"/>
    </row>
    <row r="120" ht="15" customHeight="1">
      <c r="E120" s="1048" t="n"/>
      <c r="F120" s="1048" t="n"/>
      <c r="G120" s="1048" t="n"/>
      <c r="H120" s="1048" t="n"/>
      <c r="I120" s="1048" t="n"/>
      <c r="J120" s="1048" t="n"/>
      <c r="K120" s="1048" t="n"/>
      <c r="L120" s="1048" t="n"/>
      <c r="M120" s="1048" t="n"/>
      <c r="N120" s="1048" t="n"/>
      <c r="O120" s="1048" t="n"/>
      <c r="P120" s="1048" t="n"/>
      <c r="Q120" s="1048" t="n"/>
      <c r="R120" s="1048" t="n"/>
      <c r="S120" s="1048" t="n"/>
      <c r="T120" s="1048" t="n"/>
      <c r="U120" s="1048" t="n"/>
      <c r="V120" s="1048" t="n"/>
      <c r="W120" s="1048" t="n"/>
      <c r="X120" s="1048" t="n"/>
      <c r="Y120" s="1048" t="n"/>
      <c r="Z120" s="1048" t="n"/>
      <c r="AA120" s="1048" t="n"/>
      <c r="AB120" s="1048" t="n"/>
      <c r="AC120" s="1048" t="n"/>
      <c r="AD120" s="1048" t="n"/>
      <c r="AE120" s="1048" t="n"/>
      <c r="AF120" s="1048" t="n"/>
      <c r="AG120" s="1048" t="n"/>
      <c r="AH120" s="1048" t="n"/>
      <c r="AI120" s="1048" t="n"/>
      <c r="AJ120" s="1048" t="n"/>
      <c r="AK120" s="1048" t="n"/>
      <c r="AL120" s="1048" t="n"/>
      <c r="AM120" s="1048" t="n"/>
      <c r="AN120" s="1048" t="n"/>
      <c r="AO120" s="1048" t="n"/>
      <c r="AP120" s="1048" t="n"/>
    </row>
    <row r="124" ht="15" customHeight="1">
      <c r="E124" s="1048" t="n"/>
      <c r="F124" s="1048" t="n"/>
      <c r="G124" s="1048" t="n"/>
      <c r="H124" s="1048" t="n"/>
      <c r="I124" s="1048" t="n"/>
      <c r="J124" s="1048" t="n"/>
      <c r="K124" s="1048" t="n"/>
      <c r="L124" s="1048" t="n"/>
      <c r="M124" s="1048" t="n"/>
      <c r="N124" s="1048" t="n"/>
      <c r="O124" s="1048" t="n"/>
      <c r="P124" s="1048" t="n"/>
      <c r="Q124" s="1048" t="n"/>
      <c r="R124" s="1048" t="n"/>
      <c r="S124" s="1048" t="n"/>
      <c r="T124" s="1048" t="n"/>
      <c r="U124" s="1048" t="n"/>
      <c r="V124" s="1048" t="n"/>
      <c r="W124" s="1048" t="n"/>
      <c r="X124" s="1048" t="n"/>
      <c r="Y124" s="1048" t="n"/>
      <c r="Z124" s="1048" t="n"/>
      <c r="AA124" s="1048" t="n"/>
      <c r="AB124" s="1048" t="n"/>
      <c r="AC124" s="1048" t="n"/>
      <c r="AD124" s="1048" t="n"/>
      <c r="AE124" s="1048" t="n"/>
      <c r="AF124" s="1048" t="n"/>
      <c r="AG124" s="1048" t="n"/>
      <c r="AH124" s="1048" t="n"/>
      <c r="AI124" s="1048" t="n"/>
      <c r="AJ124" s="1048" t="n"/>
      <c r="AK124" s="1048" t="n"/>
      <c r="AL124" s="1048" t="n"/>
      <c r="AM124" s="1048" t="n"/>
      <c r="AN124" s="1048" t="n"/>
      <c r="AO124" s="1048" t="n"/>
      <c r="AP124" s="1048" t="n"/>
    </row>
    <row r="125" ht="15" customHeight="1">
      <c r="B125" s="406" t="inlineStr">
        <is>
          <t>SECOND IRR HURRDLE</t>
        </is>
      </c>
      <c r="E125" s="1048" t="n"/>
      <c r="F125" s="1048" t="n"/>
      <c r="G125" s="1048" t="n"/>
      <c r="H125" s="1048" t="n"/>
      <c r="I125" s="1048" t="n"/>
      <c r="J125" s="1048" t="n"/>
      <c r="K125" s="1048" t="n"/>
      <c r="L125" s="1048" t="n"/>
      <c r="M125" s="1048" t="n"/>
      <c r="N125" s="1048" t="n"/>
      <c r="O125" s="1048" t="n"/>
      <c r="P125" s="1048" t="n"/>
      <c r="Q125" s="1048" t="n"/>
      <c r="R125" s="1048" t="n"/>
      <c r="S125" s="1048" t="n"/>
      <c r="T125" s="1048" t="n"/>
      <c r="U125" s="1048" t="n"/>
      <c r="V125" s="1048" t="n"/>
      <c r="W125" s="1048" t="n"/>
      <c r="X125" s="1048" t="n"/>
      <c r="Y125" s="1048" t="n"/>
      <c r="Z125" s="1048" t="n"/>
      <c r="AA125" s="1048" t="n"/>
      <c r="AB125" s="1048" t="n"/>
      <c r="AC125" s="1048" t="n"/>
      <c r="AD125" s="1048" t="n"/>
      <c r="AE125" s="1048" t="n"/>
      <c r="AF125" s="1048" t="n"/>
      <c r="AG125" s="1048" t="n"/>
      <c r="AH125" s="1048" t="n"/>
      <c r="AI125" s="1048" t="n"/>
      <c r="AJ125" s="1048" t="n"/>
      <c r="AK125" s="1048" t="n"/>
      <c r="AL125" s="1048" t="n"/>
      <c r="AM125" s="1048" t="n"/>
      <c r="AN125" s="1048" t="n"/>
      <c r="AO125" s="1048" t="n"/>
      <c r="AP125" s="1048" t="n"/>
    </row>
    <row r="126" ht="15" customHeight="1">
      <c r="C126" s="3" t="inlineStr">
        <is>
          <t>Equity</t>
        </is>
      </c>
      <c r="D126" s="1279">
        <f>+D36</f>
        <v/>
      </c>
      <c r="E126" s="1048">
        <f>+'Draw and Leaseup Schedule'!$D$89*D126</f>
        <v/>
      </c>
      <c r="F126" s="1048" t="n"/>
      <c r="G126" s="1048" t="n"/>
      <c r="H126" s="1048" t="n"/>
      <c r="I126" s="1048" t="n"/>
      <c r="J126" s="1048" t="n"/>
      <c r="K126" s="1048" t="n"/>
      <c r="L126" s="1048" t="n"/>
      <c r="M126" s="1048" t="n"/>
      <c r="N126" s="1048" t="n"/>
      <c r="O126" s="1048" t="n"/>
      <c r="P126" s="1048" t="n"/>
      <c r="Q126" s="1048" t="n"/>
      <c r="R126" s="1048" t="n"/>
      <c r="S126" s="1048" t="n"/>
      <c r="T126" s="1048" t="n"/>
      <c r="U126" s="1048" t="n"/>
      <c r="V126" s="1048" t="n"/>
      <c r="W126" s="1048" t="n"/>
      <c r="X126" s="1048" t="n"/>
      <c r="Y126" s="1048" t="n"/>
      <c r="Z126" s="1048" t="n"/>
      <c r="AA126" s="1048" t="n"/>
      <c r="AB126" s="1048" t="n"/>
      <c r="AC126" s="1048" t="n"/>
      <c r="AD126" s="1048" t="n"/>
      <c r="AE126" s="1048" t="n"/>
      <c r="AF126" s="1048" t="n"/>
      <c r="AG126" s="1048" t="n"/>
      <c r="AH126" s="1048" t="n"/>
      <c r="AI126" s="1048" t="n"/>
      <c r="AJ126" s="1048" t="n"/>
      <c r="AK126" s="1048" t="n"/>
      <c r="AL126" s="1048" t="n"/>
      <c r="AM126" s="1048" t="n"/>
      <c r="AN126" s="1048" t="n"/>
      <c r="AO126" s="1048" t="n"/>
      <c r="AP126" s="1048" t="n"/>
    </row>
    <row r="127" ht="15" customHeight="1">
      <c r="C127" s="3" t="inlineStr">
        <is>
          <t>IRR Hurrdle</t>
        </is>
      </c>
      <c r="D127" s="1279">
        <f>+'Exit Summary'!D43</f>
        <v/>
      </c>
      <c r="E127" s="1048" t="n"/>
      <c r="F127" s="1048" t="n"/>
      <c r="G127" s="1048" t="n"/>
      <c r="H127" s="1048" t="n"/>
      <c r="I127" s="1048" t="n"/>
      <c r="J127" s="1048" t="n"/>
      <c r="K127" s="1048" t="n"/>
      <c r="L127" s="1048" t="n"/>
      <c r="M127" s="1048" t="n"/>
      <c r="N127" s="1048" t="n"/>
      <c r="O127" s="1048" t="n"/>
      <c r="P127" s="1048" t="n"/>
      <c r="Q127" s="1048" t="n"/>
      <c r="R127" s="1048" t="n"/>
      <c r="S127" s="1048" t="n"/>
      <c r="T127" s="1048" t="n"/>
      <c r="U127" s="1048" t="n"/>
      <c r="V127" s="1048" t="n"/>
      <c r="W127" s="1048" t="n"/>
      <c r="X127" s="1048" t="n"/>
      <c r="Y127" s="1048" t="n"/>
      <c r="Z127" s="1048" t="n"/>
      <c r="AA127" s="1048" t="n"/>
      <c r="AB127" s="1048" t="n"/>
      <c r="AC127" s="1048" t="n"/>
      <c r="AD127" s="1048" t="n"/>
      <c r="AE127" s="1048" t="n"/>
      <c r="AF127" s="1048" t="n"/>
      <c r="AG127" s="1048" t="n"/>
      <c r="AH127" s="1048" t="n"/>
      <c r="AI127" s="1048" t="n"/>
      <c r="AJ127" s="1048" t="n"/>
      <c r="AK127" s="1048" t="n"/>
      <c r="AL127" s="1048" t="n"/>
      <c r="AM127" s="1048" t="n"/>
      <c r="AN127" s="1048" t="n"/>
      <c r="AO127" s="1048" t="n"/>
      <c r="AP127" s="1048" t="n"/>
    </row>
    <row r="128" ht="15" customHeight="1">
      <c r="C128" s="3" t="inlineStr">
        <is>
          <t>IRR Nominal Rate</t>
        </is>
      </c>
      <c r="D128" s="408">
        <f>NOMINAL(D127,12)</f>
        <v/>
      </c>
      <c r="E128" s="1048" t="n"/>
      <c r="F128" s="1048" t="n"/>
      <c r="G128" s="1048" t="n"/>
      <c r="H128" s="1048" t="n"/>
      <c r="I128" s="1048" t="n"/>
      <c r="J128" s="1048" t="n"/>
      <c r="K128" s="1048" t="n"/>
      <c r="L128" s="1048" t="n"/>
      <c r="M128" s="1048" t="n"/>
      <c r="N128" s="1048" t="n"/>
      <c r="O128" s="1048" t="n"/>
      <c r="P128" s="1048" t="n"/>
      <c r="Q128" s="1048" t="n"/>
      <c r="R128" s="1048" t="n"/>
      <c r="S128" s="1048" t="n"/>
      <c r="T128" s="1048" t="n"/>
      <c r="U128" s="1048" t="n"/>
      <c r="V128" s="1048" t="n"/>
      <c r="W128" s="1048" t="n"/>
      <c r="X128" s="1048" t="n"/>
      <c r="Y128" s="1048" t="n"/>
      <c r="Z128" s="1048" t="n"/>
      <c r="AA128" s="1048" t="n"/>
      <c r="AB128" s="1048" t="n"/>
      <c r="AC128" s="1048" t="n"/>
      <c r="AD128" s="1048" t="n"/>
      <c r="AE128" s="1048" t="n"/>
      <c r="AF128" s="1048" t="n"/>
      <c r="AG128" s="1048" t="n"/>
      <c r="AH128" s="1048" t="n"/>
      <c r="AI128" s="1048" t="n"/>
      <c r="AJ128" s="1048" t="n"/>
      <c r="AK128" s="1048" t="n"/>
      <c r="AL128" s="1048" t="n"/>
      <c r="AM128" s="1048" t="n"/>
      <c r="AN128" s="1048" t="n"/>
      <c r="AO128" s="1048" t="n"/>
      <c r="AP128" s="1048" t="n"/>
    </row>
    <row r="129" ht="15" customHeight="1">
      <c r="C129" s="3" t="inlineStr">
        <is>
          <t>Beginning Equity</t>
        </is>
      </c>
      <c r="E129" s="1048">
        <f>+E126</f>
        <v/>
      </c>
      <c r="F129" s="1048">
        <f>+E132</f>
        <v/>
      </c>
      <c r="G129" s="1048">
        <f>+F132</f>
        <v/>
      </c>
      <c r="H129" s="1048">
        <f>+G132</f>
        <v/>
      </c>
      <c r="I129" s="1048">
        <f>+H132</f>
        <v/>
      </c>
      <c r="J129" s="1048">
        <f>+I132</f>
        <v/>
      </c>
      <c r="K129" s="1048">
        <f>+J132</f>
        <v/>
      </c>
      <c r="L129" s="1048">
        <f>+K132</f>
        <v/>
      </c>
      <c r="M129" s="1048">
        <f>+L132</f>
        <v/>
      </c>
      <c r="N129" s="1048">
        <f>+M132</f>
        <v/>
      </c>
      <c r="O129" s="1048">
        <f>+N132</f>
        <v/>
      </c>
      <c r="P129" s="1048">
        <f>+O132</f>
        <v/>
      </c>
      <c r="Q129" s="1048">
        <f>+P132</f>
        <v/>
      </c>
      <c r="R129" s="1048">
        <f>+Q132</f>
        <v/>
      </c>
      <c r="S129" s="1048">
        <f>+R132</f>
        <v/>
      </c>
      <c r="T129" s="1048">
        <f>+S132</f>
        <v/>
      </c>
      <c r="U129" s="1048">
        <f>+T132</f>
        <v/>
      </c>
      <c r="V129" s="1048">
        <f>+U132</f>
        <v/>
      </c>
      <c r="W129" s="1048">
        <f>+V132</f>
        <v/>
      </c>
      <c r="X129" s="1048">
        <f>+W132</f>
        <v/>
      </c>
      <c r="Y129" s="1048">
        <f>+X132</f>
        <v/>
      </c>
      <c r="Z129" s="1048">
        <f>+Y132</f>
        <v/>
      </c>
      <c r="AA129" s="1048">
        <f>+Z132</f>
        <v/>
      </c>
      <c r="AB129" s="1048">
        <f>+AA132</f>
        <v/>
      </c>
      <c r="AC129" s="1048">
        <f>+AB132</f>
        <v/>
      </c>
      <c r="AD129" s="1048">
        <f>+AC132</f>
        <v/>
      </c>
      <c r="AE129" s="1048">
        <f>+AD132</f>
        <v/>
      </c>
      <c r="AF129" s="1048">
        <f>+AE132</f>
        <v/>
      </c>
      <c r="AG129" s="1048">
        <f>+AF132</f>
        <v/>
      </c>
      <c r="AH129" s="1048">
        <f>+AG132</f>
        <v/>
      </c>
      <c r="AI129" s="1048">
        <f>+AH132</f>
        <v/>
      </c>
      <c r="AJ129" s="1048">
        <f>+AI132</f>
        <v/>
      </c>
      <c r="AK129" s="1048">
        <f>+AJ132</f>
        <v/>
      </c>
      <c r="AL129" s="1048">
        <f>+AK132</f>
        <v/>
      </c>
      <c r="AM129" s="1048">
        <f>+AL132</f>
        <v/>
      </c>
      <c r="AN129" s="1048">
        <f>+AM132</f>
        <v/>
      </c>
      <c r="AO129" s="1048" t="n"/>
      <c r="AP129" s="1048" t="n"/>
    </row>
    <row r="130" ht="15" customHeight="1">
      <c r="C130" s="3" t="inlineStr">
        <is>
          <t>Acrued Preferred Return</t>
        </is>
      </c>
      <c r="E130" s="1048" t="n"/>
      <c r="F130" s="1048">
        <f>+E132*($D128/12)</f>
        <v/>
      </c>
      <c r="G130" s="1048">
        <f>+F132*($D128/12)</f>
        <v/>
      </c>
      <c r="H130" s="1048">
        <f>+G132*($D128/12)</f>
        <v/>
      </c>
      <c r="I130" s="1048">
        <f>+H132*($D128/12)</f>
        <v/>
      </c>
      <c r="J130" s="1048">
        <f>+I132*($D128/12)</f>
        <v/>
      </c>
      <c r="K130" s="1048">
        <f>+J132*($D128/12)</f>
        <v/>
      </c>
      <c r="L130" s="1048">
        <f>+K132*($D128/12)</f>
        <v/>
      </c>
      <c r="M130" s="1048">
        <f>+L132*($D128/12)</f>
        <v/>
      </c>
      <c r="N130" s="1048">
        <f>+M132*($D128/12)</f>
        <v/>
      </c>
      <c r="O130" s="1048">
        <f>+N132*($D128/12)</f>
        <v/>
      </c>
      <c r="P130" s="1048">
        <f>+O132*($D128/12)</f>
        <v/>
      </c>
      <c r="Q130" s="1048">
        <f>+P132*($D128/12)</f>
        <v/>
      </c>
      <c r="R130" s="1048">
        <f>+Q132*($D128/12)</f>
        <v/>
      </c>
      <c r="S130" s="1048">
        <f>+R132*($D128/12)</f>
        <v/>
      </c>
      <c r="T130" s="1048">
        <f>+S132*($D128/12)</f>
        <v/>
      </c>
      <c r="U130" s="1048">
        <f>+T132*($D128/12)</f>
        <v/>
      </c>
      <c r="V130" s="1048">
        <f>+U132*($D128/12)</f>
        <v/>
      </c>
      <c r="W130" s="1048">
        <f>+V132*($D128/12)</f>
        <v/>
      </c>
      <c r="X130" s="1048">
        <f>+W132*($D128/12)</f>
        <v/>
      </c>
      <c r="Y130" s="1048">
        <f>+X132*($D128/12)</f>
        <v/>
      </c>
      <c r="Z130" s="1048">
        <f>+Y132*($D128/12)</f>
        <v/>
      </c>
      <c r="AA130" s="1048">
        <f>+Z132*($D128/12)</f>
        <v/>
      </c>
      <c r="AB130" s="1048">
        <f>+AA132*($D128/12)</f>
        <v/>
      </c>
      <c r="AC130" s="1048">
        <f>+AB132*($D128/12)</f>
        <v/>
      </c>
      <c r="AD130" s="1048">
        <f>+AC132*($D128/12)</f>
        <v/>
      </c>
      <c r="AE130" s="1048">
        <f>+AD132*($D128/12)</f>
        <v/>
      </c>
      <c r="AF130" s="1048">
        <f>+AE132*($D128/12)</f>
        <v/>
      </c>
      <c r="AG130" s="1048">
        <f>+AF132*($D128/12)</f>
        <v/>
      </c>
      <c r="AH130" s="1048">
        <f>+AG132*($D128/12)</f>
        <v/>
      </c>
      <c r="AI130" s="1048">
        <f>+AH132*($D128/12)</f>
        <v/>
      </c>
      <c r="AJ130" s="1048">
        <f>+AI132*($D128/12)</f>
        <v/>
      </c>
      <c r="AK130" s="1048">
        <f>+AJ132*($D128/12)</f>
        <v/>
      </c>
      <c r="AL130" s="1048">
        <f>+AK132*($D128/12)</f>
        <v/>
      </c>
      <c r="AM130" s="1048">
        <f>+AL132*($D128/12)</f>
        <v/>
      </c>
      <c r="AN130" s="1048">
        <f>+AM132*($D128/12)</f>
        <v/>
      </c>
      <c r="AO130" s="1048" t="n"/>
      <c r="AP130" s="1048" t="n"/>
    </row>
    <row r="131" ht="15" customHeight="1">
      <c r="C131" s="3" t="inlineStr">
        <is>
          <t>Paid Preferred return</t>
        </is>
      </c>
      <c r="E131" s="1048" t="n"/>
      <c r="F131" s="1048">
        <f>-F37</f>
        <v/>
      </c>
      <c r="G131" s="1048">
        <f>-G37</f>
        <v/>
      </c>
      <c r="H131" s="1048">
        <f>-H37</f>
        <v/>
      </c>
      <c r="I131" s="1048">
        <f>-I37</f>
        <v/>
      </c>
      <c r="J131" s="1048">
        <f>-J37</f>
        <v/>
      </c>
      <c r="K131" s="1048">
        <f>-K37</f>
        <v/>
      </c>
      <c r="L131" s="1048">
        <f>-L37</f>
        <v/>
      </c>
      <c r="M131" s="1048">
        <f>-M37</f>
        <v/>
      </c>
      <c r="N131" s="1048">
        <f>-N37</f>
        <v/>
      </c>
      <c r="O131" s="1048">
        <f>-O37</f>
        <v/>
      </c>
      <c r="P131" s="1048">
        <f>-P37</f>
        <v/>
      </c>
      <c r="Q131" s="1048">
        <f>-Q37</f>
        <v/>
      </c>
      <c r="R131" s="1048">
        <f>-R37</f>
        <v/>
      </c>
      <c r="S131" s="1048">
        <f>-S37</f>
        <v/>
      </c>
      <c r="T131" s="1048">
        <f>-T37</f>
        <v/>
      </c>
      <c r="U131" s="1048">
        <f>-U37</f>
        <v/>
      </c>
      <c r="V131" s="1048">
        <f>-V37</f>
        <v/>
      </c>
      <c r="W131" s="1048">
        <f>-W37</f>
        <v/>
      </c>
      <c r="X131" s="1048">
        <f>-X37</f>
        <v/>
      </c>
      <c r="Y131" s="1048">
        <f>-Y37</f>
        <v/>
      </c>
      <c r="Z131" s="1048">
        <f>-Z37</f>
        <v/>
      </c>
      <c r="AA131" s="1048">
        <f>-AA37</f>
        <v/>
      </c>
      <c r="AB131" s="1048">
        <f>-AB37</f>
        <v/>
      </c>
      <c r="AC131" s="1048">
        <f>-AC37</f>
        <v/>
      </c>
      <c r="AD131" s="1048">
        <f>-AD37</f>
        <v/>
      </c>
      <c r="AE131" s="1048">
        <f>-AE37</f>
        <v/>
      </c>
      <c r="AF131" s="1048">
        <f>-AF37</f>
        <v/>
      </c>
      <c r="AG131" s="1048">
        <f>-AG37</f>
        <v/>
      </c>
      <c r="AH131" s="1048">
        <f>-AH37</f>
        <v/>
      </c>
      <c r="AI131" s="1048">
        <f>-AI37</f>
        <v/>
      </c>
      <c r="AJ131" s="1048">
        <f>-AJ37</f>
        <v/>
      </c>
      <c r="AK131" s="1048">
        <f>-AK37</f>
        <v/>
      </c>
      <c r="AL131" s="1048">
        <f>-AL37</f>
        <v/>
      </c>
      <c r="AM131" s="1048">
        <f>-AM37</f>
        <v/>
      </c>
      <c r="AN131" s="1048">
        <f>-AN37</f>
        <v/>
      </c>
      <c r="AO131" s="1048" t="n"/>
      <c r="AP131" s="1048" t="n"/>
    </row>
    <row r="132" ht="15" customHeight="1">
      <c r="C132" s="3" t="inlineStr">
        <is>
          <t>Ending Equity Balance</t>
        </is>
      </c>
      <c r="E132" s="1048">
        <f>+E129+E130+E131</f>
        <v/>
      </c>
      <c r="F132" s="1048">
        <f>+F129+F130+F131</f>
        <v/>
      </c>
      <c r="G132" s="1048">
        <f>+G129+G130+G131</f>
        <v/>
      </c>
      <c r="H132" s="1048">
        <f>+H129+H130+H131</f>
        <v/>
      </c>
      <c r="I132" s="1048">
        <f>+I129+I130+I131</f>
        <v/>
      </c>
      <c r="J132" s="1048">
        <f>+J129+J130+J131</f>
        <v/>
      </c>
      <c r="K132" s="1048">
        <f>+K129+K130+K131</f>
        <v/>
      </c>
      <c r="L132" s="1048">
        <f>+L129+L130+L131</f>
        <v/>
      </c>
      <c r="M132" s="1048">
        <f>+M129+M130+M131</f>
        <v/>
      </c>
      <c r="N132" s="1048">
        <f>+N129+N130+N131</f>
        <v/>
      </c>
      <c r="O132" s="1048">
        <f>+O129+O130+O131</f>
        <v/>
      </c>
      <c r="P132" s="1048">
        <f>+P129+P130+P131</f>
        <v/>
      </c>
      <c r="Q132" s="1048">
        <f>+Q129+Q130+Q131</f>
        <v/>
      </c>
      <c r="R132" s="1048">
        <f>+R129+R130+R131</f>
        <v/>
      </c>
      <c r="S132" s="1048">
        <f>+S129+S130+S131</f>
        <v/>
      </c>
      <c r="T132" s="1048">
        <f>+T129+T130+T131</f>
        <v/>
      </c>
      <c r="U132" s="1048">
        <f>+U129+U130+U131</f>
        <v/>
      </c>
      <c r="V132" s="1048">
        <f>+V129+V130+V131</f>
        <v/>
      </c>
      <c r="W132" s="1048">
        <f>+W129+W130+W131</f>
        <v/>
      </c>
      <c r="X132" s="1048">
        <f>+X129+X130+X131</f>
        <v/>
      </c>
      <c r="Y132" s="1048">
        <f>+Y129+Y130+Y131</f>
        <v/>
      </c>
      <c r="Z132" s="1048">
        <f>+Z129+Z130+Z131</f>
        <v/>
      </c>
      <c r="AA132" s="1048">
        <f>+AA129+AA130+AA131</f>
        <v/>
      </c>
      <c r="AB132" s="1048">
        <f>+AB129+AB130+AB131</f>
        <v/>
      </c>
      <c r="AC132" s="1048">
        <f>+AC129+AC130+AC131</f>
        <v/>
      </c>
      <c r="AD132" s="1048">
        <f>+AD129+AD130+AD131</f>
        <v/>
      </c>
      <c r="AE132" s="1048">
        <f>+AE129+AE130+AE131</f>
        <v/>
      </c>
      <c r="AF132" s="1048">
        <f>+AF129+AF130+AF131</f>
        <v/>
      </c>
      <c r="AG132" s="1048">
        <f>+AG129+AG130+AG131</f>
        <v/>
      </c>
      <c r="AH132" s="1048">
        <f>+AH129+AH130+AH131</f>
        <v/>
      </c>
      <c r="AI132" s="1048">
        <f>+AI129+AI130+AI131</f>
        <v/>
      </c>
      <c r="AJ132" s="1048">
        <f>+AJ129+AJ130+AJ131</f>
        <v/>
      </c>
      <c r="AK132" s="1048">
        <f>+AK129+AK130+AK131</f>
        <v/>
      </c>
      <c r="AL132" s="1048">
        <f>+AL129+AL130+AL131</f>
        <v/>
      </c>
      <c r="AM132" s="1048">
        <f>+AM129+AM130+AM131</f>
        <v/>
      </c>
      <c r="AN132" s="1048">
        <f>+AN129+AN130+AN131</f>
        <v/>
      </c>
      <c r="AO132" s="1048" t="n"/>
      <c r="AP132" s="1048" t="n"/>
    </row>
    <row r="133" ht="15" customHeight="1">
      <c r="C133" s="3" t="inlineStr">
        <is>
          <t xml:space="preserve">    IRR CALCULATION</t>
        </is>
      </c>
      <c r="E133" s="1048">
        <f>-E129</f>
        <v/>
      </c>
      <c r="F133" s="1048">
        <f>-F131</f>
        <v/>
      </c>
      <c r="G133" s="1048">
        <f>-G131</f>
        <v/>
      </c>
      <c r="H133" s="1048">
        <f>-H131</f>
        <v/>
      </c>
      <c r="I133" s="1048">
        <f>-I131</f>
        <v/>
      </c>
      <c r="J133" s="1048">
        <f>-J131</f>
        <v/>
      </c>
      <c r="K133" s="1048">
        <f>-K131</f>
        <v/>
      </c>
      <c r="L133" s="1048">
        <f>-L131</f>
        <v/>
      </c>
      <c r="M133" s="1048">
        <f>-M131</f>
        <v/>
      </c>
      <c r="N133" s="1048">
        <f>-N131</f>
        <v/>
      </c>
      <c r="O133" s="1048">
        <f>-O131</f>
        <v/>
      </c>
      <c r="P133" s="1048">
        <f>-P131</f>
        <v/>
      </c>
      <c r="Q133" s="1048">
        <f>-Q131</f>
        <v/>
      </c>
      <c r="R133" s="1048">
        <f>-R131</f>
        <v/>
      </c>
      <c r="S133" s="1048">
        <f>-S131</f>
        <v/>
      </c>
      <c r="T133" s="1048">
        <f>-T131</f>
        <v/>
      </c>
      <c r="U133" s="1048">
        <f>-U131</f>
        <v/>
      </c>
      <c r="V133" s="1048">
        <f>-V131</f>
        <v/>
      </c>
      <c r="W133" s="1048">
        <f>-W131</f>
        <v/>
      </c>
      <c r="X133" s="1048">
        <f>-X131</f>
        <v/>
      </c>
      <c r="Y133" s="1048">
        <f>-Y131</f>
        <v/>
      </c>
      <c r="Z133" s="1048">
        <f>-Z131</f>
        <v/>
      </c>
      <c r="AA133" s="1048">
        <f>-AA131</f>
        <v/>
      </c>
      <c r="AB133" s="1048">
        <f>-AB131</f>
        <v/>
      </c>
      <c r="AC133" s="1048">
        <f>-AC131</f>
        <v/>
      </c>
      <c r="AD133" s="1048">
        <f>-AD131</f>
        <v/>
      </c>
      <c r="AE133" s="1048">
        <f>-AE131</f>
        <v/>
      </c>
      <c r="AF133" s="1048">
        <f>-AF131</f>
        <v/>
      </c>
      <c r="AG133" s="1048">
        <f>-AG131</f>
        <v/>
      </c>
      <c r="AH133" s="1048">
        <f>-AH131</f>
        <v/>
      </c>
      <c r="AI133" s="1048">
        <f>-AI131</f>
        <v/>
      </c>
      <c r="AJ133" s="1048">
        <f>-AJ131</f>
        <v/>
      </c>
      <c r="AK133" s="1048">
        <f>-AK131</f>
        <v/>
      </c>
      <c r="AL133" s="1048">
        <f>-AL131</f>
        <v/>
      </c>
      <c r="AM133" s="1048">
        <f>-AM131</f>
        <v/>
      </c>
      <c r="AN133" s="1048">
        <f>-AN131+AN132</f>
        <v/>
      </c>
      <c r="AO133" s="937">
        <f>(1+IRR(E133:AN133,0.02))^12-1</f>
        <v/>
      </c>
      <c r="AP133" s="1048" t="n"/>
    </row>
    <row r="213" ht="15" customHeight="1">
      <c r="B213" s="735" t="n"/>
      <c r="D213" s="735" t="n"/>
      <c r="E213" s="735" t="n"/>
      <c r="F213" s="735" t="n"/>
      <c r="G213" s="735" t="n"/>
      <c r="H213" s="735" t="n"/>
      <c r="I213" s="735" t="n"/>
      <c r="J213" s="735" t="n"/>
      <c r="K213" s="735" t="n"/>
      <c r="L213" s="735" t="n"/>
      <c r="M213" s="735" t="n"/>
      <c r="N213" s="735" t="n"/>
      <c r="O213" s="735" t="n"/>
      <c r="P213" s="735" t="n"/>
      <c r="Q213" s="735" t="n"/>
      <c r="R213" s="735" t="n"/>
      <c r="S213" s="735" t="n"/>
      <c r="T213" s="735" t="n"/>
      <c r="U213" s="735" t="n"/>
      <c r="V213" s="735" t="n"/>
      <c r="W213" s="735" t="n"/>
      <c r="X213" s="735" t="n"/>
      <c r="Y213" s="735" t="n"/>
      <c r="Z213" s="735" t="n"/>
      <c r="AA213" s="735" t="n"/>
      <c r="AB213" s="735" t="n"/>
      <c r="AC213" s="735" t="n"/>
      <c r="AD213" s="735" t="n"/>
      <c r="AE213" s="735" t="n"/>
      <c r="AF213" s="735" t="n"/>
      <c r="AG213" s="735" t="n"/>
      <c r="AH213" s="735" t="n"/>
      <c r="AI213" s="735" t="n"/>
      <c r="AJ213" s="735" t="n"/>
      <c r="AK213" s="735" t="n"/>
      <c r="AL213" s="735" t="n"/>
      <c r="AM213" s="735" t="n"/>
      <c r="AO213" s="735" t="n"/>
      <c r="AP213" s="744" t="n"/>
      <c r="AQ213" s="735" t="n"/>
      <c r="AR213" s="735" t="n"/>
      <c r="AS213" s="735" t="n"/>
    </row>
    <row r="214" ht="15" customHeight="1">
      <c r="C214" s="735" t="n"/>
      <c r="AN214" s="735" t="n"/>
    </row>
  </sheetData>
  <pageMargins left="0.7" right="0.7" top="1" bottom="0.75" header="0.3" footer="0.3"/>
  <pageSetup orientation="landscape" scale="53" fitToHeight="5" pageOrder="overThenDown" horizontalDpi="4294967292" verticalDpi="4294967292"/>
  <headerFooter>
    <oddHeader>&amp;L&amp;G&amp;C_x000a__x000a_&amp;R&amp;11 &amp;D_x000a_&amp;T</oddHeader>
    <oddFooter>&amp;L&amp;"-,Italic"Confidential</oddFooter>
    <evenHeader/>
    <evenFooter/>
    <firstHeader/>
    <firstFooter/>
  </headerFooter>
  <colBreaks count="2" manualBreakCount="2">
    <brk id="17" min="0" max="1048575" man="1"/>
    <brk id="29" min="0" max="1048575" man="1"/>
  </colBreaks>
</worksheet>
</file>

<file path=xl/worksheets/sheet6.xml><?xml version="1.0" encoding="utf-8"?>
<worksheet xmlns="http://schemas.openxmlformats.org/spreadsheetml/2006/main">
  <sheetPr>
    <tabColor theme="3"/>
    <outlinePr summaryBelow="1" summaryRight="1"/>
    <pageSetUpPr fitToPage="1"/>
  </sheetPr>
  <dimension ref="B2:T110"/>
  <sheetViews>
    <sheetView topLeftCell="A9" zoomScale="85" zoomScaleNormal="85" workbookViewId="0">
      <selection activeCell="H17" sqref="H17"/>
    </sheetView>
  </sheetViews>
  <sheetFormatPr baseColWidth="10" defaultColWidth="8.83203125" defaultRowHeight="14"/>
  <cols>
    <col width="1.5" customWidth="1" style="25" min="1" max="2"/>
    <col width="35" bestFit="1" customWidth="1" style="25" min="3" max="3"/>
    <col width="9" customWidth="1" style="25" min="4" max="4"/>
    <col width="15.5" customWidth="1" style="25" min="5" max="5"/>
    <col width="14.83203125" customWidth="1" style="25" min="6" max="6"/>
    <col width="5.83203125" customWidth="1" style="25" min="7" max="7"/>
    <col width="14.5" customWidth="1" style="25" min="8" max="9"/>
    <col width="2.5" customWidth="1" style="25" min="10" max="10"/>
    <col width="8.83203125" customWidth="1" style="25" min="11" max="11"/>
    <col width="12.1640625" bestFit="1" customWidth="1" style="25" min="12" max="12"/>
    <col width="14.5" customWidth="1" style="25" min="13" max="14"/>
    <col width="14" customWidth="1" style="25" min="15" max="20"/>
    <col width="8.83203125" customWidth="1" style="25" min="21" max="16384"/>
  </cols>
  <sheetData>
    <row r="2" ht="26" customHeight="1">
      <c r="B2" s="24">
        <f>Summary!B1</f>
        <v/>
      </c>
      <c r="M2" s="24">
        <f>Summary!B1</f>
        <v/>
      </c>
    </row>
    <row r="3" ht="15" customFormat="1" customHeight="1" s="232">
      <c r="B3" s="912" t="n"/>
      <c r="C3" s="233" t="n"/>
      <c r="D3" s="233" t="n"/>
      <c r="E3" s="912" t="n"/>
      <c r="F3" s="912" t="n"/>
      <c r="G3" s="912" t="n"/>
      <c r="H3" s="912" t="n"/>
      <c r="I3" s="912" t="n"/>
      <c r="J3" s="912" t="n"/>
      <c r="K3" s="912" t="n"/>
      <c r="L3" s="912" t="n"/>
      <c r="M3" s="912" t="n"/>
      <c r="N3" s="912" t="n"/>
      <c r="O3" s="912" t="n"/>
      <c r="P3" s="912" t="n"/>
      <c r="Q3" s="912" t="n"/>
      <c r="R3" s="912" t="n"/>
      <c r="S3" s="912" t="n"/>
      <c r="T3" s="912" t="n"/>
    </row>
    <row r="4" ht="15" customFormat="1" customHeight="1" s="232">
      <c r="B4" s="912" t="n"/>
      <c r="C4" s="234" t="n"/>
      <c r="D4" s="234" t="n"/>
      <c r="E4" s="912" t="n"/>
      <c r="F4" s="912" t="n"/>
      <c r="G4" s="235" t="n"/>
      <c r="H4" s="912" t="n"/>
      <c r="I4" s="912" t="n"/>
      <c r="J4" s="912" t="n"/>
      <c r="K4" s="912" t="n"/>
      <c r="L4" s="912" t="n"/>
      <c r="M4" s="912" t="n"/>
      <c r="N4" s="912" t="n"/>
      <c r="O4" s="912" t="n"/>
      <c r="P4" s="912" t="n"/>
      <c r="Q4" s="912" t="n"/>
      <c r="R4" s="912" t="n"/>
      <c r="S4" s="912" t="n"/>
      <c r="T4" s="912" t="n"/>
    </row>
    <row r="5" ht="15" customFormat="1" customHeight="1" s="232">
      <c r="B5" s="912" t="n"/>
      <c r="C5" s="241" t="inlineStr">
        <is>
          <t>CAPITALIZATION</t>
        </is>
      </c>
      <c r="D5" s="241" t="n"/>
      <c r="E5" s="242" t="n"/>
      <c r="F5" s="242" t="n"/>
      <c r="G5" s="243" t="n"/>
      <c r="H5" s="242" t="n"/>
      <c r="I5" s="242" t="n"/>
      <c r="J5" s="242" t="n"/>
      <c r="K5" s="912" t="n"/>
      <c r="L5" s="912" t="n"/>
      <c r="M5" s="241" t="inlineStr">
        <is>
          <t>SENSITIVITY ANALYSIS</t>
        </is>
      </c>
      <c r="N5" s="241" t="n"/>
      <c r="O5" s="242" t="n"/>
      <c r="P5" s="242" t="n"/>
      <c r="Q5" s="243" t="n"/>
      <c r="R5" s="242" t="n"/>
      <c r="S5" s="242" t="n"/>
      <c r="T5" s="242" t="n"/>
    </row>
    <row r="6" ht="15" customFormat="1" customHeight="1" s="232">
      <c r="B6" s="912" t="n"/>
      <c r="C6" s="913" t="inlineStr">
        <is>
          <t>CONSTRUCTION LOAN</t>
        </is>
      </c>
      <c r="D6" s="913" t="n"/>
      <c r="E6" s="914">
        <f>Summary!E70</f>
        <v/>
      </c>
      <c r="F6" s="914">
        <f>+E6/Total_Number_Units</f>
        <v/>
      </c>
      <c r="G6" s="915">
        <f>E6/$E$9</f>
        <v/>
      </c>
      <c r="H6" s="912" t="n"/>
      <c r="I6" s="912" t="n"/>
      <c r="J6" s="912" t="n"/>
      <c r="K6" s="912" t="n"/>
      <c r="L6" s="912" t="n"/>
      <c r="M6" s="912" t="n"/>
      <c r="N6" s="912" t="n"/>
      <c r="O6" s="912" t="n"/>
      <c r="P6" s="912" t="n"/>
      <c r="Q6" s="912" t="n"/>
      <c r="R6" s="912" t="n"/>
      <c r="S6" s="912" t="n"/>
      <c r="T6" s="912" t="n"/>
    </row>
    <row r="7" ht="15" customFormat="1" customHeight="1" s="232">
      <c r="B7" s="912" t="n"/>
      <c r="C7" s="916" t="inlineStr">
        <is>
          <t>MEZZ OR PREFERRED EQUITY</t>
        </is>
      </c>
      <c r="D7" s="916" t="n"/>
      <c r="E7" s="917">
        <f>Summary!E69</f>
        <v/>
      </c>
      <c r="F7" s="917">
        <f>+E7/Total_Number_Units</f>
        <v/>
      </c>
      <c r="G7" s="881">
        <f>E7/$E$9</f>
        <v/>
      </c>
      <c r="H7" s="912" t="n"/>
      <c r="I7" s="912" t="n"/>
      <c r="J7" s="912" t="n"/>
      <c r="K7" s="912" t="n"/>
      <c r="L7" s="912" t="n"/>
      <c r="M7" s="912" t="n"/>
      <c r="N7" s="912" t="n"/>
      <c r="O7" s="912" t="n"/>
      <c r="P7" s="912" t="n"/>
      <c r="Q7" s="912" t="n"/>
      <c r="R7" s="912" t="n"/>
      <c r="S7" s="912" t="n"/>
      <c r="T7" s="912" t="n"/>
    </row>
    <row r="8" ht="15" customFormat="1" customHeight="1" s="232">
      <c r="B8" s="912" t="n"/>
      <c r="C8" s="918" t="inlineStr">
        <is>
          <t>COMMON EQUITY</t>
        </is>
      </c>
      <c r="D8" s="918" t="n"/>
      <c r="E8" s="919">
        <f>Summary!E68</f>
        <v/>
      </c>
      <c r="F8" s="919">
        <f>+E8/Total_Number_Units</f>
        <v/>
      </c>
      <c r="G8" s="920">
        <f>E8/$E$9</f>
        <v/>
      </c>
      <c r="H8" s="912" t="n"/>
      <c r="I8" s="912" t="n"/>
      <c r="J8" s="912" t="n"/>
      <c r="K8" s="947" t="n"/>
      <c r="L8" s="912" t="n"/>
      <c r="M8" s="912" t="n"/>
      <c r="N8" s="912" t="n"/>
      <c r="O8" s="912" t="n"/>
      <c r="P8" s="912" t="n"/>
      <c r="Q8" s="912" t="n"/>
      <c r="R8" s="912" t="n"/>
      <c r="S8" s="912" t="n"/>
      <c r="T8" s="912" t="n"/>
    </row>
    <row r="9" ht="16" customFormat="1" customHeight="1" s="232" thickBot="1">
      <c r="B9" s="912" t="n"/>
      <c r="C9" s="912" t="n"/>
      <c r="D9" s="912" t="inlineStr">
        <is>
          <t xml:space="preserve">  </t>
        </is>
      </c>
      <c r="E9" s="922">
        <f>SUM(E6:E8)</f>
        <v/>
      </c>
      <c r="F9" s="922">
        <f>SUM(F6:F8)</f>
        <v/>
      </c>
      <c r="G9" s="923">
        <f>E9/$E$9</f>
        <v/>
      </c>
      <c r="H9" s="912" t="n"/>
      <c r="I9" s="912" t="n"/>
      <c r="J9" s="912" t="n"/>
      <c r="K9" s="947" t="n"/>
      <c r="L9" s="912" t="n"/>
      <c r="M9" s="1037" t="n"/>
      <c r="N9" s="912" t="n"/>
      <c r="O9" s="912" t="n"/>
      <c r="P9" s="912" t="n"/>
      <c r="Q9" s="912" t="n"/>
      <c r="R9" s="912" t="n"/>
      <c r="S9" s="912" t="n"/>
      <c r="T9" s="912" t="n"/>
    </row>
    <row r="10" ht="16" customFormat="1" customHeight="1" s="232" thickTop="1">
      <c r="B10" s="912" t="n"/>
      <c r="C10" s="912" t="n"/>
      <c r="D10" s="912" t="n"/>
      <c r="E10" s="912" t="n"/>
      <c r="F10" s="925" t="n"/>
      <c r="G10" s="925" t="n"/>
      <c r="H10" s="912" t="n"/>
      <c r="I10" s="912" t="n"/>
      <c r="J10" s="912" t="n"/>
      <c r="K10" s="947" t="n"/>
      <c r="L10" s="912" t="n"/>
      <c r="M10" s="241" t="inlineStr">
        <is>
          <t>TOTAL PROCEEDS ABOVE COST</t>
        </is>
      </c>
      <c r="N10" s="241" t="n"/>
      <c r="O10" s="242" t="n"/>
      <c r="P10" s="242" t="n"/>
      <c r="Q10" s="243" t="n"/>
      <c r="R10" s="242" t="n"/>
      <c r="S10" s="242" t="n"/>
      <c r="T10" s="242" t="n"/>
    </row>
    <row r="11" ht="15" customFormat="1" customHeight="1" s="232">
      <c r="B11" s="912" t="n"/>
      <c r="C11" s="912" t="n"/>
      <c r="D11" s="912" t="n"/>
      <c r="E11" s="912" t="n"/>
      <c r="F11" s="925" t="n"/>
      <c r="G11" s="925" t="n"/>
      <c r="H11" s="912" t="n"/>
      <c r="I11" s="912" t="n"/>
      <c r="J11" s="912" t="n"/>
      <c r="K11" s="947" t="n"/>
      <c r="L11" s="912" t="n"/>
      <c r="M11" s="937" t="n"/>
      <c r="N11" s="912" t="n"/>
      <c r="O11" s="912" t="n"/>
      <c r="P11" s="912" t="n"/>
      <c r="Q11" s="912" t="n"/>
      <c r="R11" s="912" t="n"/>
      <c r="S11" s="912" t="n"/>
      <c r="T11" s="912" t="n"/>
    </row>
    <row r="12" ht="15" customFormat="1" customHeight="1" s="232">
      <c r="B12" s="912" t="n"/>
      <c r="C12" s="912" t="n"/>
      <c r="D12" s="912" t="n"/>
      <c r="E12" s="912" t="n"/>
      <c r="F12" s="925" t="n"/>
      <c r="G12" s="925" t="n"/>
      <c r="H12" s="912" t="n"/>
      <c r="I12" s="912" t="n"/>
      <c r="J12" s="912" t="n"/>
      <c r="K12" s="947" t="n"/>
      <c r="L12" s="912" t="n"/>
      <c r="M12" s="937" t="n"/>
      <c r="N12" s="912" t="n"/>
      <c r="O12" s="912" t="n"/>
      <c r="P12" s="912" t="n"/>
      <c r="Q12" s="912" t="n"/>
      <c r="R12" s="912" t="n"/>
      <c r="S12" s="912" t="n"/>
      <c r="T12" s="912" t="n"/>
    </row>
    <row r="13" ht="15" customFormat="1" customHeight="1" s="232">
      <c r="B13" s="912" t="n"/>
      <c r="C13" s="912" t="inlineStr">
        <is>
          <t>Rent/SF</t>
        </is>
      </c>
      <c r="D13" s="912" t="n"/>
      <c r="E13" s="1037">
        <f>+Summary!D95</f>
        <v/>
      </c>
      <c r="F13" s="925" t="n"/>
      <c r="G13" s="925" t="n"/>
      <c r="H13" s="912" t="n"/>
      <c r="I13" s="912" t="n"/>
      <c r="J13" s="912" t="n"/>
      <c r="K13" s="947" t="n"/>
      <c r="L13" s="912" t="n"/>
      <c r="M13" s="937" t="n"/>
      <c r="N13" s="912" t="n"/>
      <c r="O13" s="912" t="n"/>
      <c r="P13" s="912" t="n"/>
      <c r="Q13" s="912" t="n"/>
      <c r="R13" s="912" t="n"/>
      <c r="S13" s="912" t="n"/>
      <c r="T13" s="912" t="n"/>
    </row>
    <row r="14" ht="15" customFormat="1" customHeight="1" s="232">
      <c r="B14" s="912" t="n"/>
      <c r="C14" s="912" t="inlineStr">
        <is>
          <t>Rental Income</t>
        </is>
      </c>
      <c r="D14" s="912" t="n"/>
      <c r="E14" s="912">
        <f>+E13*'Unit Mix'!#REF!*12</f>
        <v/>
      </c>
      <c r="F14" s="925" t="n"/>
      <c r="G14" s="925" t="n"/>
      <c r="H14" s="912" t="n"/>
      <c r="I14" s="912" t="n"/>
      <c r="J14" s="912" t="n"/>
      <c r="K14" s="947" t="n"/>
      <c r="L14" s="912" t="n"/>
      <c r="M14" s="937" t="n"/>
      <c r="N14" s="912" t="n"/>
      <c r="O14" s="912" t="n"/>
      <c r="P14" s="912" t="n"/>
      <c r="Q14" s="912" t="n"/>
      <c r="R14" s="912" t="n"/>
      <c r="S14" s="912" t="n"/>
      <c r="T14" s="912" t="n"/>
    </row>
    <row r="15" ht="15" customFormat="1" customHeight="1" s="232">
      <c r="B15" s="912" t="n"/>
      <c r="C15" s="912" t="inlineStr">
        <is>
          <t>Other Income</t>
        </is>
      </c>
      <c r="D15" s="912" t="n"/>
      <c r="E15" s="912">
        <f>SUM(Summary!G97:G102)</f>
        <v/>
      </c>
      <c r="F15" s="925" t="n"/>
      <c r="G15" s="925" t="n"/>
      <c r="H15" s="912" t="n"/>
      <c r="I15" s="912" t="n"/>
      <c r="J15" s="912" t="n"/>
      <c r="K15" s="947" t="n"/>
      <c r="L15" s="912" t="n"/>
      <c r="M15" s="937" t="n"/>
      <c r="N15" s="912" t="n"/>
      <c r="O15" s="912" t="n"/>
      <c r="P15" s="912" t="n"/>
      <c r="Q15" s="912" t="n"/>
      <c r="R15" s="912" t="n"/>
      <c r="S15" s="912" t="n"/>
      <c r="T15" s="912" t="n"/>
    </row>
    <row r="16" ht="15" customFormat="1" customHeight="1" s="232">
      <c r="B16" s="912" t="n"/>
      <c r="C16" s="912" t="inlineStr">
        <is>
          <t>Vacancy Loss</t>
        </is>
      </c>
      <c r="D16" s="912" t="n"/>
      <c r="E16" s="912">
        <f>+Summary!G104+Summary!G105</f>
        <v/>
      </c>
      <c r="F16" s="925" t="n"/>
      <c r="G16" s="925" t="n"/>
      <c r="H16" s="912" t="n"/>
      <c r="I16" s="912" t="n"/>
      <c r="J16" s="912" t="n"/>
      <c r="K16" s="947" t="n"/>
      <c r="L16" s="912" t="n"/>
      <c r="M16" s="937" t="n"/>
      <c r="N16" s="912" t="n"/>
      <c r="O16" s="912" t="n"/>
      <c r="P16" s="912" t="n"/>
      <c r="Q16" s="912" t="n"/>
      <c r="R16" s="912" t="n"/>
      <c r="S16" s="912" t="n"/>
      <c r="T16" s="912" t="n"/>
    </row>
    <row r="17" ht="15" customFormat="1" customHeight="1" s="232">
      <c r="C17" s="912" t="inlineStr">
        <is>
          <t>Expenses</t>
        </is>
      </c>
      <c r="D17" s="912" t="n"/>
      <c r="E17" s="912">
        <f>-Summary!G123</f>
        <v/>
      </c>
      <c r="F17" s="925" t="n"/>
      <c r="G17" s="925" t="n"/>
      <c r="H17" s="912" t="n"/>
      <c r="I17" s="912" t="n"/>
      <c r="J17" s="912" t="n"/>
      <c r="K17" s="947" t="n"/>
      <c r="L17" s="912" t="n"/>
      <c r="M17" s="912" t="n"/>
      <c r="N17" s="912" t="n"/>
      <c r="O17" s="912" t="n"/>
      <c r="P17" s="912" t="n"/>
      <c r="Q17" s="912" t="n"/>
      <c r="R17" s="912" t="n"/>
      <c r="S17" s="912" t="n"/>
      <c r="T17" s="912" t="n"/>
    </row>
    <row r="18" ht="15" customFormat="1" customHeight="1" s="232">
      <c r="C18" s="912" t="inlineStr">
        <is>
          <t>NOI</t>
        </is>
      </c>
      <c r="D18" s="912" t="n"/>
      <c r="E18" s="912">
        <f>SUM(E14:E17)</f>
        <v/>
      </c>
      <c r="F18" s="1282" t="n"/>
      <c r="G18" s="925" t="n"/>
      <c r="H18" s="912" t="n"/>
      <c r="I18" s="912" t="n"/>
      <c r="J18" s="912" t="n"/>
      <c r="K18" s="947" t="n"/>
      <c r="L18" s="912" t="n"/>
      <c r="M18" s="912" t="n"/>
      <c r="N18" s="912" t="n"/>
      <c r="O18" s="912" t="n"/>
      <c r="P18" s="912" t="n"/>
      <c r="Q18" s="912" t="n"/>
      <c r="R18" s="912" t="n"/>
      <c r="S18" s="912" t="n"/>
      <c r="T18" s="912" t="n"/>
    </row>
    <row r="19" ht="15" customFormat="1" customHeight="1" s="232">
      <c r="C19" s="241" t="inlineStr">
        <is>
          <t>EXIT ASSUMPTIONS</t>
        </is>
      </c>
      <c r="D19" s="241" t="n"/>
      <c r="E19" s="244" t="inlineStr">
        <is>
          <t>UNTRENDED</t>
        </is>
      </c>
      <c r="F19" s="244" t="inlineStr">
        <is>
          <t>PER UNIT</t>
        </is>
      </c>
      <c r="G19" s="242" t="n"/>
      <c r="H19" s="241" t="inlineStr">
        <is>
          <t>TRENDED (YEAR 3)</t>
        </is>
      </c>
      <c r="I19" s="244" t="inlineStr">
        <is>
          <t>PER UNIT</t>
        </is>
      </c>
      <c r="J19" s="244" t="n"/>
      <c r="K19" s="947" t="n"/>
      <c r="L19" s="912" t="n"/>
      <c r="M19" s="912" t="n"/>
      <c r="N19" s="1003" t="inlineStr">
        <is>
          <t>CAP RATE</t>
        </is>
      </c>
      <c r="O19" s="657" t="n"/>
      <c r="P19" s="657" t="n"/>
      <c r="Q19" s="657" t="n"/>
      <c r="R19" s="657" t="n"/>
      <c r="S19" s="657" t="n"/>
      <c r="T19" s="657" t="n"/>
    </row>
    <row r="20" ht="15" customFormat="1" customHeight="1" s="232">
      <c r="C20" s="929" t="inlineStr">
        <is>
          <t>IN PLACE NOI (assumes no rent growth)</t>
        </is>
      </c>
      <c r="D20" s="929" t="n"/>
      <c r="E20" s="929">
        <f>+E18</f>
        <v/>
      </c>
      <c r="F20" s="929">
        <f>+E20/Total_Number_Units</f>
        <v/>
      </c>
      <c r="G20" s="929" t="n"/>
      <c r="H20" s="929">
        <f>Summary!M178</f>
        <v/>
      </c>
      <c r="I20" s="929">
        <f>+H20/Total_Number_Units</f>
        <v/>
      </c>
      <c r="J20" s="912" t="n"/>
      <c r="K20" s="947" t="n"/>
      <c r="L20" s="912" t="n"/>
      <c r="M20" s="1283">
        <f>E23</f>
        <v/>
      </c>
      <c r="N20" s="1388" t="n"/>
      <c r="O20" s="390">
        <f>+N20+0.0025</f>
        <v/>
      </c>
      <c r="P20" s="390">
        <f>+O20+0.0025</f>
        <v/>
      </c>
      <c r="Q20" s="390">
        <f>+P20+0.0025</f>
        <v/>
      </c>
      <c r="R20" s="390">
        <f>+Q20+0.0025</f>
        <v/>
      </c>
      <c r="S20" s="390">
        <f>+R20+0.0025</f>
        <v/>
      </c>
      <c r="T20" s="390">
        <f>+S20+0.0025</f>
        <v/>
      </c>
    </row>
    <row r="21" ht="15.75" customFormat="1" customHeight="1" s="232">
      <c r="C21" s="916" t="inlineStr">
        <is>
          <t>EXIT CAP</t>
        </is>
      </c>
      <c r="D21" s="916" t="n"/>
      <c r="E21" s="328">
        <f>+Summary!M12</f>
        <v/>
      </c>
      <c r="F21" s="328" t="n"/>
      <c r="G21" s="329" t="n"/>
      <c r="H21" s="328">
        <f>+E21</f>
        <v/>
      </c>
      <c r="I21" s="328" t="n"/>
      <c r="J21" s="402" t="n"/>
      <c r="K21" s="947" t="n"/>
      <c r="L21" s="1004" t="inlineStr">
        <is>
          <t>RENTS</t>
        </is>
      </c>
      <c r="M21" s="1284">
        <f>+M22-0.1</f>
        <v/>
      </c>
      <c r="N21" s="930">
        <f t="dataTable" ref="N21:T25" dt2D="1" dtr="1" r1="E21" r2="E13" ca="1"/>
        <v/>
      </c>
      <c r="O21" s="930" t="e">
        <v>#REF!</v>
      </c>
      <c r="P21" s="930" t="e">
        <v>#REF!</v>
      </c>
      <c r="Q21" s="930" t="e">
        <v>#REF!</v>
      </c>
      <c r="R21" s="930" t="e">
        <v>#REF!</v>
      </c>
      <c r="S21" s="930" t="e">
        <v>#REF!</v>
      </c>
      <c r="T21" s="930" t="e">
        <v>#REF!</v>
      </c>
    </row>
    <row r="22" ht="15" customFormat="1" customHeight="1" s="232">
      <c r="C22" s="1285" t="inlineStr">
        <is>
          <t>PLUS BUYER'S NPV FOR TAX ABATEMENTS</t>
        </is>
      </c>
      <c r="D22" s="912" t="n"/>
      <c r="E22" s="912" t="n"/>
      <c r="F22" s="912" t="n"/>
      <c r="G22" s="912" t="n"/>
      <c r="H22" s="912" t="n"/>
      <c r="I22" s="912" t="n"/>
      <c r="J22" s="403" t="n"/>
      <c r="K22" s="947" t="n"/>
      <c r="L22" s="359" t="n"/>
      <c r="M22" s="1284">
        <f>+M23-0.1</f>
        <v/>
      </c>
      <c r="N22" s="930" t="e">
        <v>#REF!</v>
      </c>
      <c r="O22" s="930" t="e">
        <v>#REF!</v>
      </c>
      <c r="P22" s="930" t="e">
        <v>#REF!</v>
      </c>
      <c r="Q22" s="930" t="e">
        <v>#REF!</v>
      </c>
      <c r="R22" s="930" t="e">
        <v>#REF!</v>
      </c>
      <c r="S22" s="930" t="e">
        <v>#REF!</v>
      </c>
      <c r="T22" s="930" t="e">
        <v>#REF!</v>
      </c>
    </row>
    <row r="23" ht="13.5" customFormat="1" customHeight="1" s="232">
      <c r="C23" s="916" t="inlineStr">
        <is>
          <t>GROSS SALE PRICE</t>
        </is>
      </c>
      <c r="D23" s="916" t="n"/>
      <c r="E23" s="916">
        <f>E20/E21</f>
        <v/>
      </c>
      <c r="F23" s="916">
        <f>+E23/Total_Number_Units</f>
        <v/>
      </c>
      <c r="G23" s="1286" t="n"/>
      <c r="H23" s="916">
        <f>H20/H21</f>
        <v/>
      </c>
      <c r="I23" s="916">
        <f>+H23/Total_Number_Units</f>
        <v/>
      </c>
      <c r="J23" s="912" t="n"/>
      <c r="K23" s="947" t="n"/>
      <c r="L23" s="359" t="n"/>
      <c r="M23" s="1284">
        <f>'Unit Mix'!F8</f>
        <v/>
      </c>
      <c r="N23" s="930" t="e">
        <v>#REF!</v>
      </c>
      <c r="O23" s="930" t="e">
        <v>#REF!</v>
      </c>
      <c r="P23" s="930" t="e">
        <v>#REF!</v>
      </c>
      <c r="Q23" s="930" t="e">
        <v>#REF!</v>
      </c>
      <c r="R23" s="930" t="e">
        <v>#REF!</v>
      </c>
      <c r="S23" s="930" t="e">
        <v>#REF!</v>
      </c>
      <c r="T23" s="930" t="e">
        <v>#REF!</v>
      </c>
    </row>
    <row r="24" ht="15" customFormat="1" customHeight="1" s="232">
      <c r="C24" s="249" t="inlineStr">
        <is>
          <t>LESS DISPOSITION FEE</t>
        </is>
      </c>
      <c r="D24" s="440" t="n"/>
      <c r="E24" s="918">
        <f>-E23*D24</f>
        <v/>
      </c>
      <c r="F24" s="918">
        <f>+E24/Total_Number_Units</f>
        <v/>
      </c>
      <c r="G24" s="918" t="n"/>
      <c r="H24" s="918">
        <f>-H23*D24</f>
        <v/>
      </c>
      <c r="I24" s="918">
        <f>+H24/Total_Number_Units</f>
        <v/>
      </c>
      <c r="J24" s="912" t="n"/>
      <c r="K24" s="947" t="n"/>
      <c r="L24" s="359" t="n"/>
      <c r="M24" s="1284">
        <f>M23+0.1</f>
        <v/>
      </c>
      <c r="N24" s="930" t="e">
        <v>#REF!</v>
      </c>
      <c r="O24" s="930" t="e">
        <v>#REF!</v>
      </c>
      <c r="P24" s="930" t="e">
        <v>#REF!</v>
      </c>
      <c r="Q24" s="930" t="e">
        <v>#REF!</v>
      </c>
      <c r="R24" s="930" t="e">
        <v>#REF!</v>
      </c>
      <c r="S24" s="930" t="e">
        <v>#REF!</v>
      </c>
      <c r="T24" s="930" t="e">
        <v>#REF!</v>
      </c>
    </row>
    <row r="25" ht="16" customFormat="1" customHeight="1" s="232" thickBot="1">
      <c r="C25" s="912" t="inlineStr">
        <is>
          <t>NET SALES PROCEEDS</t>
        </is>
      </c>
      <c r="D25" s="912" t="n"/>
      <c r="E25" s="250">
        <f>E23+E24+E22</f>
        <v/>
      </c>
      <c r="F25" s="250">
        <f>+E25/Total_Number_Units</f>
        <v/>
      </c>
      <c r="G25" s="912" t="n"/>
      <c r="H25" s="250">
        <f>H23+H24</f>
        <v/>
      </c>
      <c r="I25" s="250">
        <f>+H25/Total_Number_Units</f>
        <v/>
      </c>
      <c r="J25" s="234" t="n"/>
      <c r="K25" s="947" t="n"/>
      <c r="L25" s="359" t="n"/>
      <c r="M25" s="1284">
        <f>M24+0.1</f>
        <v/>
      </c>
      <c r="N25" s="930" t="e">
        <v>#REF!</v>
      </c>
      <c r="O25" s="930" t="e">
        <v>#REF!</v>
      </c>
      <c r="P25" s="930" t="e">
        <v>#REF!</v>
      </c>
      <c r="Q25" s="930" t="e">
        <v>#REF!</v>
      </c>
      <c r="R25" s="930" t="e">
        <v>#REF!</v>
      </c>
      <c r="S25" s="930" t="e">
        <v>#REF!</v>
      </c>
      <c r="T25" s="930" t="e">
        <v>#REF!</v>
      </c>
    </row>
    <row r="26" ht="16" customFormat="1" customHeight="1" s="232" thickTop="1">
      <c r="C26" s="912" t="n"/>
      <c r="D26" s="912" t="n"/>
      <c r="E26" s="912" t="n"/>
      <c r="F26" s="912" t="n"/>
      <c r="G26" s="912" t="n"/>
      <c r="H26" s="912" t="n"/>
      <c r="I26" s="912" t="n"/>
      <c r="J26" s="912" t="n"/>
      <c r="K26" s="947" t="n"/>
      <c r="L26" s="912" t="n"/>
      <c r="M26" s="912" t="n"/>
      <c r="N26" s="912" t="n"/>
      <c r="O26" s="912" t="n"/>
      <c r="P26" s="912" t="n"/>
      <c r="Q26" s="912" t="n"/>
      <c r="R26" s="912" t="n"/>
      <c r="S26" s="912" t="n"/>
      <c r="T26" s="912" t="n"/>
    </row>
    <row r="27" ht="15" customFormat="1" customHeight="1" s="232">
      <c r="C27" s="241" t="inlineStr">
        <is>
          <t>PROFIT AVAILABLE FOR DISTRIBUTION</t>
        </is>
      </c>
      <c r="D27" s="241" t="n"/>
      <c r="E27" s="245" t="n"/>
      <c r="F27" s="246" t="n"/>
      <c r="G27" s="246" t="n"/>
      <c r="H27" s="245" t="n"/>
      <c r="I27" s="245" t="n"/>
      <c r="J27" s="245" t="n"/>
      <c r="K27" s="947" t="n"/>
      <c r="L27" s="912" t="n"/>
      <c r="M27" s="912" t="n"/>
      <c r="N27" s="912" t="n"/>
      <c r="O27" s="912" t="n"/>
      <c r="P27" s="912" t="n"/>
      <c r="Q27" s="912" t="n"/>
      <c r="R27" s="912" t="n"/>
      <c r="S27" s="912" t="n"/>
      <c r="T27" s="912" t="n"/>
    </row>
    <row r="28" ht="15" customFormat="1" customHeight="1" s="232">
      <c r="C28" s="913" t="inlineStr">
        <is>
          <t>NET SALE PROCEEDS</t>
        </is>
      </c>
      <c r="D28" s="913" t="n"/>
      <c r="E28" s="913">
        <f>E25</f>
        <v/>
      </c>
      <c r="F28" s="929" t="n"/>
      <c r="G28" s="913" t="n"/>
      <c r="H28" s="913">
        <f>H25</f>
        <v/>
      </c>
      <c r="I28" s="929" t="n"/>
      <c r="J28" s="912" t="n"/>
      <c r="K28" s="947" t="n"/>
      <c r="L28" s="912" t="n"/>
      <c r="M28" s="912" t="n"/>
      <c r="N28" s="912" t="n"/>
      <c r="O28" s="912" t="n"/>
      <c r="P28" s="912" t="n"/>
      <c r="Q28" s="912" t="n"/>
      <c r="R28" s="912" t="n"/>
      <c r="S28" s="912" t="n"/>
      <c r="T28" s="912" t="n"/>
    </row>
    <row r="29" ht="15" customFormat="1" customHeight="1" s="232">
      <c r="C29" s="931" t="inlineStr">
        <is>
          <t>LESS: END CONSTRUTION LOAN BALANCE:</t>
        </is>
      </c>
      <c r="D29" s="931" t="n"/>
      <c r="E29" s="916">
        <f>-'Draw and Leaseup Schedule'!AN110</f>
        <v/>
      </c>
      <c r="F29" s="916" t="n"/>
      <c r="G29" s="916" t="n"/>
      <c r="H29" s="916">
        <f>-'Draw and Leaseup Schedule'!AN110</f>
        <v/>
      </c>
      <c r="I29" s="916" t="n"/>
      <c r="J29" s="912" t="n"/>
      <c r="K29" s="947" t="n"/>
      <c r="L29" s="912" t="n"/>
      <c r="M29" s="241" t="inlineStr">
        <is>
          <t>TP PROCEEDS</t>
        </is>
      </c>
      <c r="N29" s="241" t="n"/>
      <c r="O29" s="242" t="n"/>
      <c r="P29" s="242" t="n"/>
      <c r="Q29" s="243" t="n"/>
      <c r="R29" s="242" t="n"/>
      <c r="S29" s="242" t="n"/>
      <c r="T29" s="242" t="n"/>
    </row>
    <row r="30" ht="15" customFormat="1" customHeight="1" s="232">
      <c r="C30" s="931" t="inlineStr">
        <is>
          <t>LESS: ENDING MEZZ LOAN BALANCE:</t>
        </is>
      </c>
      <c r="D30" s="931" t="n"/>
      <c r="E30" s="916">
        <f>-'Draw and Leaseup Schedule'!AN105</f>
        <v/>
      </c>
      <c r="F30" s="916" t="n"/>
      <c r="G30" s="916" t="n"/>
      <c r="H30" s="916">
        <f>-'Draw and Leaseup Schedule'!AN105</f>
        <v/>
      </c>
      <c r="I30" s="916" t="n"/>
      <c r="J30" s="912" t="n"/>
      <c r="K30" s="947" t="n"/>
      <c r="L30" s="912" t="n"/>
      <c r="M30" s="912" t="n"/>
      <c r="N30" s="1003" t="inlineStr">
        <is>
          <t>CAP RATE</t>
        </is>
      </c>
      <c r="O30" s="657" t="n"/>
      <c r="P30" s="657" t="n"/>
      <c r="Q30" s="657" t="n"/>
      <c r="R30" s="657" t="n"/>
      <c r="S30" s="657" t="n"/>
      <c r="T30" s="657" t="n"/>
    </row>
    <row r="31" ht="15" customFormat="1" customHeight="1" s="232">
      <c r="C31" s="932" t="inlineStr">
        <is>
          <t>LESS: MEZZ EXIT FEE:</t>
        </is>
      </c>
      <c r="D31" s="440" t="n"/>
      <c r="E31" s="918">
        <f>E30*D31</f>
        <v/>
      </c>
      <c r="F31" s="918" t="n"/>
      <c r="G31" s="918" t="n"/>
      <c r="H31" s="918">
        <f>H30*D31</f>
        <v/>
      </c>
      <c r="I31" s="918" t="n"/>
      <c r="J31" s="912" t="n"/>
      <c r="K31" s="912" t="n"/>
      <c r="L31" s="912" t="n"/>
      <c r="M31" s="1283">
        <f>+E53</f>
        <v/>
      </c>
      <c r="N31" s="1388" t="n"/>
      <c r="O31" s="390">
        <f>+N31+0.0025</f>
        <v/>
      </c>
      <c r="P31" s="390">
        <f>+O31+0.0025</f>
        <v/>
      </c>
      <c r="Q31" s="390">
        <f>+P31+0.0025</f>
        <v/>
      </c>
      <c r="R31" s="390">
        <f>+Q31+0.0025</f>
        <v/>
      </c>
      <c r="S31" s="390">
        <f>+R31+0.0025</f>
        <v/>
      </c>
      <c r="T31" s="390">
        <f>+S31+0.0025</f>
        <v/>
      </c>
    </row>
    <row r="32" ht="15" customFormat="1" customHeight="1" s="232">
      <c r="C32" s="234" t="inlineStr">
        <is>
          <t>SALES PROCEEDS AFTER DEBT</t>
        </is>
      </c>
      <c r="D32" s="1287" t="n"/>
      <c r="E32" s="234">
        <f>SUM(E28:E31)</f>
        <v/>
      </c>
      <c r="F32" s="399" t="n"/>
      <c r="G32" s="234" t="n"/>
      <c r="H32" s="234">
        <f>SUM(H28:H31)</f>
        <v/>
      </c>
      <c r="I32" s="234" t="n"/>
      <c r="J32" s="234" t="n"/>
      <c r="K32" s="912" t="n"/>
      <c r="L32" s="1004" t="inlineStr">
        <is>
          <t>RENTS</t>
        </is>
      </c>
      <c r="M32" s="1284">
        <f>+M33-0.1</f>
        <v/>
      </c>
      <c r="N32" s="930">
        <f t="dataTable" ref="N32:T36" dt2D="1" dtr="1" r1="E21" r2="E13" ca="1"/>
        <v/>
      </c>
      <c r="O32" s="930" t="e">
        <v>#REF!</v>
      </c>
      <c r="P32" s="930" t="e">
        <v>#REF!</v>
      </c>
      <c r="Q32" s="930" t="e">
        <v>#REF!</v>
      </c>
      <c r="R32" s="930" t="e">
        <v>#REF!</v>
      </c>
      <c r="S32" s="930" t="e">
        <v>#REF!</v>
      </c>
      <c r="T32" s="930" t="e">
        <v>#REF!</v>
      </c>
    </row>
    <row r="33" ht="15" customFormat="1" customHeight="1" s="232">
      <c r="C33" s="933" t="inlineStr">
        <is>
          <t>LESS: REPAY EQUITY</t>
        </is>
      </c>
      <c r="D33" s="1287" t="n"/>
      <c r="E33" s="934">
        <f>-MIN($E$8,E32)</f>
        <v/>
      </c>
      <c r="F33" s="399" t="n"/>
      <c r="G33" s="934" t="n"/>
      <c r="H33" s="934">
        <f>-MIN($E$8,H32)</f>
        <v/>
      </c>
      <c r="I33" s="934" t="n"/>
      <c r="J33" s="912" t="n"/>
      <c r="K33" s="912" t="n"/>
      <c r="L33" s="359" t="n"/>
      <c r="M33" s="1284">
        <f>+M34-0.1</f>
        <v/>
      </c>
      <c r="N33" s="930" t="e">
        <v>#REF!</v>
      </c>
      <c r="O33" s="930" t="e">
        <v>#REF!</v>
      </c>
      <c r="P33" s="930" t="e">
        <v>#REF!</v>
      </c>
      <c r="Q33" s="930" t="e">
        <v>#REF!</v>
      </c>
      <c r="R33" s="930" t="e">
        <v>#REF!</v>
      </c>
      <c r="S33" s="930" t="e">
        <v>#REF!</v>
      </c>
      <c r="T33" s="930" t="e">
        <v>#REF!</v>
      </c>
    </row>
    <row r="34" ht="15" customFormat="1" customHeight="1" s="232">
      <c r="C34" s="935" t="inlineStr">
        <is>
          <t>LESS: REMAINING PREF</t>
        </is>
      </c>
      <c r="D34" s="443">
        <f>+Summary!M11</f>
        <v/>
      </c>
      <c r="E34" s="918">
        <f>+'Exit Summary Calculations'!AN57+'Exit Summary Calculations'!AN58</f>
        <v/>
      </c>
      <c r="F34" s="918" t="n"/>
      <c r="G34" s="918" t="n"/>
      <c r="H34" s="918">
        <f>+'Exit Summary Calculations'!AP57+'Exit Summary Calculations'!AP58</f>
        <v/>
      </c>
      <c r="I34" s="918" t="n"/>
      <c r="J34" s="912" t="n"/>
      <c r="K34" s="912" t="n"/>
      <c r="L34" s="359" t="n"/>
      <c r="M34" s="1284">
        <f>'Unit Mix'!F8</f>
        <v/>
      </c>
      <c r="N34" s="930" t="e">
        <v>#REF!</v>
      </c>
      <c r="O34" s="930" t="e">
        <v>#REF!</v>
      </c>
      <c r="P34" s="930" t="e">
        <v>#REF!</v>
      </c>
      <c r="Q34" s="930" t="e">
        <v>#REF!</v>
      </c>
      <c r="R34" s="930" t="e">
        <v>#REF!</v>
      </c>
      <c r="S34" s="930" t="e">
        <v>#REF!</v>
      </c>
      <c r="T34" s="930" t="e">
        <v>#REF!</v>
      </c>
    </row>
    <row r="35" ht="15" customFormat="1" customHeight="1" s="232">
      <c r="C35" s="251" t="inlineStr">
        <is>
          <t>AVAILABLE FOR DISTRIBUTION</t>
        </is>
      </c>
      <c r="D35" s="251" t="n"/>
      <c r="E35" s="251">
        <f>SUM(E32:E34)</f>
        <v/>
      </c>
      <c r="F35" s="251" t="n"/>
      <c r="G35" s="251" t="n"/>
      <c r="H35" s="251">
        <f>SUM(H32:H34)</f>
        <v/>
      </c>
      <c r="I35" s="251" t="n"/>
      <c r="J35" s="234" t="n"/>
      <c r="K35" s="912" t="n"/>
      <c r="L35" s="359" t="n"/>
      <c r="M35" s="1284">
        <f>M34+0.1</f>
        <v/>
      </c>
      <c r="N35" s="930" t="e">
        <v>#REF!</v>
      </c>
      <c r="O35" s="930" t="e">
        <v>#REF!</v>
      </c>
      <c r="P35" s="930" t="e">
        <v>#REF!</v>
      </c>
      <c r="Q35" s="930" t="e">
        <v>#REF!</v>
      </c>
      <c r="R35" s="930" t="e">
        <v>#REF!</v>
      </c>
      <c r="S35" s="930" t="e">
        <v>#REF!</v>
      </c>
      <c r="T35" s="930" t="e">
        <v>#REF!</v>
      </c>
    </row>
    <row r="36" ht="15" customFormat="1" customHeight="1" s="232">
      <c r="C36" s="399" t="n"/>
      <c r="D36" s="399" t="n"/>
      <c r="E36" s="399" t="n"/>
      <c r="F36" s="399" t="n"/>
      <c r="G36" s="399" t="n"/>
      <c r="H36" s="399" t="n"/>
      <c r="I36" s="399" t="n"/>
      <c r="J36" s="234" t="n"/>
      <c r="K36" s="912" t="n"/>
      <c r="L36" s="359" t="n"/>
      <c r="M36" s="1284">
        <f>M35+0.1</f>
        <v/>
      </c>
      <c r="N36" s="930" t="e">
        <v>#REF!</v>
      </c>
      <c r="O36" s="930" t="e">
        <v>#REF!</v>
      </c>
      <c r="P36" s="930" t="e">
        <v>#REF!</v>
      </c>
      <c r="Q36" s="930" t="e">
        <v>#REF!</v>
      </c>
      <c r="R36" s="930" t="e">
        <v>#REF!</v>
      </c>
      <c r="S36" s="930" t="e">
        <v>#REF!</v>
      </c>
      <c r="T36" s="930" t="e">
        <v>#REF!</v>
      </c>
    </row>
    <row r="37" ht="15" customFormat="1" customHeight="1" s="232">
      <c r="C37" s="399" t="inlineStr">
        <is>
          <t>FIRST IRR HURRDLE</t>
        </is>
      </c>
      <c r="D37" s="1288" t="n"/>
      <c r="E37" s="399" t="inlineStr">
        <is>
          <t>IRR</t>
        </is>
      </c>
      <c r="F37" s="399" t="n"/>
      <c r="G37" s="399" t="n"/>
      <c r="H37" s="399" t="n"/>
      <c r="I37" s="399" t="n"/>
      <c r="J37" s="234" t="n"/>
      <c r="K37" s="912" t="n"/>
      <c r="L37" s="912" t="n"/>
      <c r="M37" s="912" t="n"/>
      <c r="N37" s="912" t="n"/>
      <c r="O37" s="912" t="n"/>
      <c r="P37" s="912" t="n"/>
      <c r="Q37" s="912" t="n"/>
      <c r="R37" s="912" t="n"/>
      <c r="S37" s="912" t="n"/>
      <c r="T37" s="912" t="n"/>
    </row>
    <row r="38" ht="16" customFormat="1" customHeight="1" s="232">
      <c r="C38" s="913" t="inlineStr">
        <is>
          <t xml:space="preserve">  Investor Proceeds</t>
        </is>
      </c>
      <c r="D38" s="1288">
        <f>90%*65%</f>
        <v/>
      </c>
      <c r="E38" s="399">
        <f>-'Exit Summary Calculations'!AN60</f>
        <v/>
      </c>
      <c r="F38" s="399" t="n"/>
      <c r="G38" s="399" t="n"/>
      <c r="H38" s="399">
        <f>-'Exit Summary Calculations'!AP60</f>
        <v/>
      </c>
      <c r="I38" s="399" t="n"/>
      <c r="J38" s="234" t="n"/>
      <c r="K38" s="912" t="n"/>
      <c r="L38" s="912" t="n"/>
      <c r="O38" s="25" t="n"/>
      <c r="P38" s="25" t="n"/>
      <c r="Q38" s="25" t="n"/>
      <c r="R38" s="25" t="n"/>
      <c r="S38" s="25" t="n"/>
      <c r="T38" s="25" t="n"/>
    </row>
    <row r="39" ht="16" customFormat="1" customHeight="1" s="232">
      <c r="C39" s="913" t="inlineStr">
        <is>
          <t xml:space="preserve">  Developer Proceeds</t>
        </is>
      </c>
      <c r="D39" s="1289">
        <f>1-D38</f>
        <v/>
      </c>
      <c r="E39" s="399">
        <f>-'Exit Summary Calculations'!AN61</f>
        <v/>
      </c>
      <c r="F39" s="399" t="n"/>
      <c r="G39" s="399" t="n"/>
      <c r="H39" s="399">
        <f>-'Exit Summary Calculations'!AP61</f>
        <v/>
      </c>
      <c r="I39" s="399" t="n"/>
      <c r="J39" s="234" t="n"/>
      <c r="K39" s="912" t="n"/>
      <c r="L39" s="912" t="n"/>
      <c r="O39" s="25" t="n"/>
      <c r="P39" s="25" t="n"/>
      <c r="Q39" s="25" t="n"/>
      <c r="R39" s="25" t="n"/>
      <c r="S39" s="25" t="n"/>
      <c r="T39" s="25" t="n"/>
    </row>
    <row r="40" ht="16" customFormat="1" customHeight="1" s="232">
      <c r="C40" s="401" t="n"/>
      <c r="D40" s="401" t="n"/>
      <c r="E40" s="401" t="n"/>
      <c r="F40" s="401" t="n"/>
      <c r="G40" s="401" t="n"/>
      <c r="H40" s="401" t="n"/>
      <c r="I40" s="401" t="n"/>
      <c r="J40" s="234" t="n"/>
      <c r="K40" s="912" t="n"/>
      <c r="L40" s="912" t="n"/>
      <c r="O40" s="25" t="n"/>
      <c r="P40" s="25" t="n"/>
      <c r="Q40" s="25" t="n"/>
      <c r="R40" s="25" t="n"/>
      <c r="S40" s="25" t="n"/>
      <c r="T40" s="25" t="n"/>
    </row>
    <row r="41" ht="16" customFormat="1" customHeight="1" s="232">
      <c r="C41" s="399" t="inlineStr">
        <is>
          <t>Residual</t>
        </is>
      </c>
      <c r="D41" s="399" t="n"/>
      <c r="E41" s="399">
        <f>+E35-E38-E39</f>
        <v/>
      </c>
      <c r="F41" s="399" t="n"/>
      <c r="G41" s="399" t="n"/>
      <c r="H41" s="399">
        <f>+H35-H38-H39</f>
        <v/>
      </c>
      <c r="I41" s="399" t="n"/>
      <c r="J41" s="234" t="n"/>
      <c r="K41" s="912" t="n"/>
      <c r="L41" s="912" t="n"/>
      <c r="O41" s="25" t="n"/>
      <c r="P41" s="25" t="n"/>
      <c r="Q41" s="25" t="n"/>
      <c r="R41" s="25" t="n"/>
      <c r="S41" s="25" t="n"/>
      <c r="T41" s="25" t="n"/>
    </row>
    <row r="42" ht="16" customFormat="1" customHeight="1" s="232">
      <c r="C42" s="399" t="n"/>
      <c r="D42" s="399" t="n"/>
      <c r="E42" s="399" t="n"/>
      <c r="F42" s="399" t="n"/>
      <c r="G42" s="399" t="n"/>
      <c r="H42" s="399" t="n"/>
      <c r="I42" s="399" t="n"/>
      <c r="J42" s="234" t="n"/>
      <c r="K42" s="912" t="n"/>
      <c r="L42" s="912" t="n"/>
      <c r="M42" s="438" t="n"/>
      <c r="O42" s="25" t="n"/>
      <c r="P42" s="25" t="n"/>
      <c r="Q42" s="25" t="n"/>
      <c r="R42" s="25" t="n"/>
      <c r="S42" s="25" t="n"/>
      <c r="T42" s="25" t="n"/>
    </row>
    <row r="43" ht="16" customFormat="1" customHeight="1" s="232">
      <c r="C43" s="399" t="inlineStr">
        <is>
          <t>SECOND IRR HURRDLE</t>
        </is>
      </c>
      <c r="D43" s="1288" t="n"/>
      <c r="E43" s="399" t="inlineStr">
        <is>
          <t>IRR</t>
        </is>
      </c>
      <c r="F43" s="399" t="n"/>
      <c r="G43" s="399" t="n"/>
      <c r="H43" s="399" t="n"/>
      <c r="I43" s="399" t="n"/>
      <c r="J43" s="234" t="n"/>
      <c r="K43" s="912" t="n"/>
      <c r="L43" s="912" t="n"/>
      <c r="M43" s="1290" t="n"/>
      <c r="O43" s="25" t="n"/>
      <c r="P43" s="25" t="n"/>
      <c r="Q43" s="25" t="n"/>
      <c r="R43" s="25" t="n"/>
      <c r="S43" s="25" t="n"/>
      <c r="T43" s="25" t="n"/>
    </row>
    <row r="44" ht="16" customFormat="1" customHeight="1" s="232">
      <c r="C44" s="913" t="inlineStr">
        <is>
          <t xml:space="preserve">  Investor Proceeds</t>
        </is>
      </c>
      <c r="D44" s="1288">
        <f>90%*35%</f>
        <v/>
      </c>
      <c r="E44" s="399">
        <f>-'Exit Summary Calculations'!AN63</f>
        <v/>
      </c>
      <c r="F44" s="399" t="n"/>
      <c r="G44" s="399" t="n"/>
      <c r="H44" s="399">
        <f>-'Exit Summary Calculations'!AP63</f>
        <v/>
      </c>
      <c r="I44" s="399" t="n"/>
      <c r="J44" s="234" t="n"/>
      <c r="K44" s="912" t="n"/>
      <c r="L44" s="912" t="n"/>
      <c r="M44" s="1290" t="n"/>
      <c r="O44" s="25" t="n"/>
      <c r="P44" s="25" t="n"/>
      <c r="Q44" s="25" t="n"/>
      <c r="R44" s="25" t="n"/>
      <c r="S44" s="25" t="n"/>
      <c r="T44" s="25" t="n"/>
    </row>
    <row r="45" ht="16" customFormat="1" customHeight="1" s="232">
      <c r="C45" s="913" t="inlineStr">
        <is>
          <t xml:space="preserve">  Developer Proceeds</t>
        </is>
      </c>
      <c r="D45" s="1289">
        <f>1-D44</f>
        <v/>
      </c>
      <c r="E45" s="399">
        <f>-'Exit Summary Calculations'!AN64</f>
        <v/>
      </c>
      <c r="F45" s="399" t="n"/>
      <c r="G45" s="399" t="n"/>
      <c r="H45" s="399">
        <f>-'Exit Summary Calculations'!AP64</f>
        <v/>
      </c>
      <c r="I45" s="399" t="n"/>
      <c r="J45" s="234" t="n"/>
      <c r="K45" s="912" t="n"/>
      <c r="L45" s="912" t="n"/>
      <c r="O45" s="25" t="n"/>
      <c r="P45" s="25" t="n"/>
      <c r="Q45" s="25" t="n"/>
      <c r="R45" s="25" t="n"/>
      <c r="S45" s="25" t="n"/>
      <c r="T45" s="25" t="n"/>
    </row>
    <row r="46" ht="16" customFormat="1" customHeight="1" s="232">
      <c r="C46" s="401" t="n"/>
      <c r="D46" s="401" t="n"/>
      <c r="E46" s="401" t="n"/>
      <c r="F46" s="401" t="n"/>
      <c r="G46" s="401" t="n"/>
      <c r="H46" s="401" t="n"/>
      <c r="I46" s="401" t="n"/>
      <c r="J46" s="234" t="n"/>
      <c r="K46" s="912" t="n"/>
      <c r="L46" s="912" t="n"/>
      <c r="O46" s="25" t="n"/>
      <c r="P46" s="25" t="n"/>
      <c r="Q46" s="25" t="n"/>
      <c r="R46" s="25" t="n"/>
      <c r="S46" s="25" t="n"/>
      <c r="T46" s="25" t="n"/>
    </row>
    <row r="47" ht="16" customFormat="1" customHeight="1" s="232">
      <c r="C47" s="399" t="inlineStr">
        <is>
          <t>Residual</t>
        </is>
      </c>
      <c r="D47" s="399" t="n"/>
      <c r="E47" s="399">
        <f>+E41-E44-E45</f>
        <v/>
      </c>
      <c r="F47" s="399" t="n"/>
      <c r="G47" s="399" t="n"/>
      <c r="H47" s="399">
        <f>+H41-H44-H45</f>
        <v/>
      </c>
      <c r="I47" s="399" t="n"/>
      <c r="J47" s="234" t="n"/>
      <c r="K47" s="912" t="n"/>
      <c r="L47" s="912" t="n"/>
      <c r="O47" s="25" t="n"/>
      <c r="P47" s="25" t="n"/>
      <c r="Q47" s="25" t="n"/>
      <c r="R47" s="25" t="n"/>
      <c r="S47" s="25" t="n"/>
      <c r="T47" s="25" t="n"/>
    </row>
    <row r="48" ht="16" customFormat="1" customHeight="1" s="232">
      <c r="C48" s="399" t="n"/>
      <c r="D48" s="399" t="n"/>
      <c r="E48" s="399" t="n"/>
      <c r="F48" s="399" t="n"/>
      <c r="G48" s="399" t="n"/>
      <c r="H48" s="399" t="n"/>
      <c r="I48" s="399" t="n"/>
      <c r="J48" s="234" t="n"/>
      <c r="K48" s="912" t="n"/>
      <c r="L48" s="912" t="n"/>
      <c r="O48" s="25" t="n"/>
      <c r="P48" s="25" t="n"/>
      <c r="Q48" s="25" t="n"/>
      <c r="R48" s="25" t="n"/>
      <c r="S48" s="25" t="n"/>
      <c r="T48" s="25" t="n"/>
    </row>
    <row r="49" ht="16" customFormat="1" customHeight="1" s="232">
      <c r="C49" s="913" t="inlineStr">
        <is>
          <t xml:space="preserve">  Investor Proceeds</t>
        </is>
      </c>
      <c r="D49" s="1288" t="n"/>
      <c r="E49" s="399">
        <f>-'Exit Summary Calculations'!AN66</f>
        <v/>
      </c>
      <c r="F49" s="399" t="n"/>
      <c r="G49" s="399" t="n"/>
      <c r="H49" s="399">
        <f>-'Exit Summary Calculations'!AP66</f>
        <v/>
      </c>
      <c r="I49" s="399" t="n"/>
      <c r="J49" s="234" t="n"/>
      <c r="K49" s="912" t="n"/>
      <c r="L49" s="912" t="n"/>
      <c r="O49" s="25" t="n"/>
      <c r="P49" s="25" t="n"/>
      <c r="Q49" s="25" t="n"/>
      <c r="R49" s="25" t="n"/>
      <c r="S49" s="25" t="n"/>
      <c r="T49" s="25" t="n"/>
    </row>
    <row r="50" ht="15" customFormat="1" customHeight="1" s="232">
      <c r="C50" s="913" t="inlineStr">
        <is>
          <t xml:space="preserve">  Developer Proceeds</t>
        </is>
      </c>
      <c r="D50" s="1289">
        <f>1-D49</f>
        <v/>
      </c>
      <c r="E50" s="399">
        <f>-'Exit Summary Calculations'!AN67</f>
        <v/>
      </c>
      <c r="F50" s="399" t="n"/>
      <c r="G50" s="399" t="n"/>
      <c r="H50" s="399">
        <f>-'Exit Summary Calculations'!AP67</f>
        <v/>
      </c>
      <c r="I50" s="399" t="n"/>
      <c r="J50" s="234" t="n"/>
      <c r="K50" s="912" t="n"/>
      <c r="L50" s="1291" t="n"/>
      <c r="M50" s="1291" t="n"/>
      <c r="N50" s="1291" t="n"/>
      <c r="O50" s="25" t="n"/>
      <c r="P50" s="25" t="n"/>
      <c r="Q50" s="25" t="n"/>
      <c r="R50" s="25" t="n"/>
      <c r="S50" s="25" t="n"/>
      <c r="T50" s="25" t="n"/>
    </row>
    <row r="51" ht="15" customFormat="1" customHeight="1" s="232">
      <c r="C51" s="399" t="n"/>
      <c r="D51" s="399" t="n"/>
      <c r="E51" s="399" t="n"/>
      <c r="F51" s="399" t="n"/>
      <c r="G51" s="399" t="n"/>
      <c r="H51" s="399" t="n"/>
      <c r="I51" s="399" t="n"/>
      <c r="J51" s="234" t="n"/>
      <c r="K51" s="912" t="n"/>
      <c r="L51" s="912" t="n"/>
      <c r="M51" s="857" t="n"/>
      <c r="N51" s="857" t="n"/>
      <c r="O51" s="25" t="n"/>
      <c r="P51" s="25" t="n"/>
      <c r="Q51" s="25" t="n"/>
      <c r="R51" s="25" t="n"/>
      <c r="S51" s="25" t="n"/>
      <c r="T51" s="25" t="n"/>
    </row>
    <row r="52" ht="15" customHeight="1">
      <c r="C52" s="399" t="n"/>
      <c r="D52" s="399" t="n"/>
      <c r="E52" s="399" t="n"/>
      <c r="F52" s="399" t="n"/>
      <c r="G52" s="399" t="n"/>
      <c r="H52" s="399" t="n"/>
      <c r="I52" s="399" t="n"/>
      <c r="J52" s="234" t="n"/>
      <c r="L52" s="912" t="n"/>
      <c r="M52" s="1292" t="n"/>
      <c r="N52" s="1292" t="n"/>
    </row>
    <row r="53" ht="15" customHeight="1">
      <c r="C53" s="252" t="inlineStr">
        <is>
          <t>DEVELOPER PROMOTE</t>
        </is>
      </c>
      <c r="D53" s="252" t="n"/>
      <c r="E53" s="1293">
        <f>+E39+E45+E50</f>
        <v/>
      </c>
      <c r="F53" s="398" t="n"/>
      <c r="G53" s="252" t="n"/>
      <c r="H53" s="252">
        <f>+H39+H45+H50</f>
        <v/>
      </c>
      <c r="I53" s="252" t="n"/>
      <c r="J53" s="234" t="n"/>
      <c r="L53" s="912" t="n"/>
      <c r="M53" s="937" t="n"/>
      <c r="N53" s="937" t="n"/>
    </row>
    <row r="54" ht="15" customHeight="1">
      <c r="C54" s="252" t="inlineStr">
        <is>
          <t>INVESTOR SHARE</t>
        </is>
      </c>
      <c r="D54" s="252" t="n"/>
      <c r="E54" s="252">
        <f>+E38+E44+E49</f>
        <v/>
      </c>
      <c r="F54" s="252" t="n"/>
      <c r="G54" s="252" t="n"/>
      <c r="H54" s="252">
        <f>+H38+H44+H49</f>
        <v/>
      </c>
      <c r="I54" s="252" t="n"/>
      <c r="J54" s="234" t="n"/>
      <c r="L54" s="912" t="n"/>
      <c r="M54" s="1040" t="n"/>
      <c r="N54" s="1040" t="n"/>
    </row>
    <row r="55" ht="15" customHeight="1">
      <c r="C55" s="912" t="n"/>
      <c r="D55" s="912" t="n"/>
      <c r="E55" s="912" t="n"/>
      <c r="F55" s="912" t="n"/>
      <c r="G55" s="912" t="n"/>
      <c r="H55" s="912" t="n"/>
      <c r="I55" s="912" t="n"/>
      <c r="J55" s="912" t="n"/>
      <c r="L55" s="912" t="n"/>
      <c r="M55" s="1292" t="n"/>
      <c r="N55" s="1292" t="n"/>
    </row>
    <row r="56" ht="15" customHeight="1">
      <c r="C56" s="394" t="inlineStr">
        <is>
          <t>PROJECT IRR</t>
        </is>
      </c>
      <c r="D56" s="394" t="n"/>
      <c r="E56" s="1294">
        <f>'Exit Summary Calculations'!AO19</f>
        <v/>
      </c>
      <c r="F56" s="1294" t="n"/>
      <c r="G56" s="1294" t="n"/>
      <c r="H56" s="397">
        <f>'Exit Summary Calculations'!AO24</f>
        <v/>
      </c>
      <c r="I56" s="397" t="n"/>
      <c r="J56" s="404" t="n"/>
    </row>
    <row r="57" ht="15" customHeight="1">
      <c r="C57" s="912" t="n"/>
      <c r="D57" s="912" t="n"/>
      <c r="E57" s="912" t="n"/>
      <c r="F57" s="912" t="n"/>
      <c r="G57" s="912" t="n"/>
      <c r="H57" s="912" t="n"/>
      <c r="I57" s="912" t="n"/>
      <c r="J57" s="912" t="n"/>
    </row>
    <row r="58" ht="15" customHeight="1">
      <c r="C58" s="242" t="inlineStr">
        <is>
          <t>INVESTOR SUMMARY</t>
        </is>
      </c>
      <c r="D58" s="242" t="n"/>
      <c r="E58" s="1295" t="n"/>
      <c r="F58" s="1295" t="n"/>
      <c r="G58" s="1295" t="n"/>
      <c r="H58" s="1295" t="n"/>
      <c r="I58" s="1295" t="n"/>
      <c r="J58" s="1295" t="n"/>
    </row>
    <row r="59" ht="15" customHeight="1">
      <c r="C59" s="912" t="n"/>
      <c r="D59" s="912" t="n"/>
      <c r="E59" s="1296" t="n"/>
      <c r="F59" s="1296" t="n"/>
      <c r="G59" s="1296" t="n"/>
      <c r="H59" s="1296" t="n"/>
      <c r="I59" s="1296" t="n"/>
      <c r="J59" s="1296" t="n"/>
    </row>
    <row r="60" ht="15" customHeight="1">
      <c r="C60" s="916" t="inlineStr">
        <is>
          <t>INVESTOR EQUITY</t>
        </is>
      </c>
      <c r="D60" s="1297">
        <f>1-Summary!M10</f>
        <v/>
      </c>
      <c r="E60" s="916">
        <f>+E8*D60</f>
        <v/>
      </c>
      <c r="F60" s="1298" t="n"/>
      <c r="G60" s="1298" t="n"/>
      <c r="H60" s="916">
        <f>+E60</f>
        <v/>
      </c>
      <c r="I60" s="916" t="n"/>
      <c r="J60" s="912" t="n"/>
    </row>
    <row r="61" ht="15" customHeight="1">
      <c r="C61" s="916" t="inlineStr">
        <is>
          <t>INVESTOR PREF RETURN FROM CASH FLOW</t>
        </is>
      </c>
      <c r="D61" s="931" t="n"/>
      <c r="E61" s="942">
        <f>SUM('Exit Summary Calculations'!F37:AN37)</f>
        <v/>
      </c>
      <c r="F61" s="916" t="n"/>
      <c r="G61" s="916" t="n"/>
      <c r="H61" s="942">
        <f>+E61</f>
        <v/>
      </c>
      <c r="I61" s="942" t="n"/>
      <c r="J61" s="943" t="n"/>
    </row>
    <row r="62" ht="15" customHeight="1">
      <c r="C62" s="916" t="inlineStr">
        <is>
          <t>INVESTOR PREFERRED RETURN</t>
        </is>
      </c>
      <c r="D62" s="916" t="n"/>
      <c r="E62" s="916">
        <f>-E34*D60</f>
        <v/>
      </c>
      <c r="F62" s="1298" t="n"/>
      <c r="G62" s="1298" t="n"/>
      <c r="H62" s="916">
        <f>+E62</f>
        <v/>
      </c>
      <c r="I62" s="916" t="n"/>
      <c r="J62" s="912" t="n"/>
    </row>
    <row r="63" ht="15" customHeight="1">
      <c r="C63" s="918" t="inlineStr">
        <is>
          <t>INVESTOR SALES PROCEEDS</t>
        </is>
      </c>
      <c r="D63" s="918" t="n"/>
      <c r="E63" s="918">
        <f>+E54</f>
        <v/>
      </c>
      <c r="F63" s="918" t="n"/>
      <c r="G63" s="918" t="n"/>
      <c r="H63" s="918">
        <f>+H54</f>
        <v/>
      </c>
      <c r="I63" s="918" t="n"/>
      <c r="J63" s="912" t="n"/>
    </row>
    <row r="64" ht="15" customHeight="1">
      <c r="C64" s="912" t="inlineStr">
        <is>
          <t>TOTAL TO INVESTOR</t>
        </is>
      </c>
      <c r="D64" s="912" t="n"/>
      <c r="E64" s="912">
        <f>+SUM(E60:E63)</f>
        <v/>
      </c>
      <c r="F64" s="912" t="n"/>
      <c r="G64" s="912" t="n"/>
      <c r="H64" s="912">
        <f>+SUM(H60:H63)</f>
        <v/>
      </c>
      <c r="I64" s="912" t="n"/>
      <c r="J64" s="912" t="n"/>
    </row>
    <row r="65" ht="15" customHeight="1">
      <c r="C65" s="912" t="n"/>
      <c r="D65" s="912" t="n"/>
      <c r="E65" s="912" t="n"/>
      <c r="F65" s="912" t="n"/>
      <c r="G65" s="912" t="n"/>
      <c r="H65" s="912" t="n"/>
      <c r="I65" s="912" t="n"/>
      <c r="J65" s="912" t="n"/>
    </row>
    <row r="66" ht="15" customHeight="1">
      <c r="C66" s="394" t="inlineStr">
        <is>
          <t>INVESTOR TOTAL PROFIT</t>
        </is>
      </c>
      <c r="D66" s="394" t="n"/>
      <c r="E66" s="394">
        <f>+E64-E60</f>
        <v/>
      </c>
      <c r="F66" s="394" t="n"/>
      <c r="G66" s="394" t="n"/>
      <c r="H66" s="394">
        <f>+H64-H60</f>
        <v/>
      </c>
      <c r="I66" s="394" t="n"/>
      <c r="J66" s="234" t="n"/>
    </row>
    <row r="67" ht="15" customHeight="1">
      <c r="C67" s="912" t="inlineStr">
        <is>
          <t>INVESTOR IRR</t>
        </is>
      </c>
      <c r="D67" s="912" t="n"/>
      <c r="E67" s="1296">
        <f>+'Exit Summary Calculations'!AO41</f>
        <v/>
      </c>
      <c r="F67" s="1296" t="n"/>
      <c r="G67" s="1296" t="n"/>
      <c r="H67" s="1040">
        <f>+'Exit Summary Calculations'!AO50</f>
        <v/>
      </c>
      <c r="I67" s="947" t="n"/>
      <c r="J67" s="947" t="n"/>
    </row>
    <row r="68" ht="15" customHeight="1">
      <c r="C68" s="912" t="inlineStr">
        <is>
          <t>INVESTOR EQUITY MULTIPLE</t>
        </is>
      </c>
      <c r="D68" s="912" t="n"/>
      <c r="E68" s="945">
        <f>(E66/$E$8)+1</f>
        <v/>
      </c>
      <c r="F68" s="912" t="n"/>
      <c r="G68" s="912" t="n"/>
      <c r="H68" s="945">
        <f>(H66/$E$8)+1</f>
        <v/>
      </c>
      <c r="I68" s="945" t="n"/>
      <c r="J68" s="945" t="n"/>
    </row>
    <row r="70" ht="15" customHeight="1">
      <c r="C70" s="242" t="inlineStr">
        <is>
          <t>DEVELOPER SUMMARY</t>
        </is>
      </c>
      <c r="D70" s="242" t="n"/>
      <c r="E70" s="1295" t="n"/>
      <c r="F70" s="1295" t="n"/>
      <c r="G70" s="1295" t="n"/>
      <c r="H70" s="1295" t="n"/>
      <c r="I70" s="1295" t="n"/>
      <c r="J70" s="1295" t="n"/>
    </row>
    <row r="71" ht="15" customHeight="1">
      <c r="C71" s="912" t="n"/>
      <c r="D71" s="912" t="n"/>
      <c r="E71" s="1296" t="n"/>
      <c r="F71" s="1296" t="n"/>
      <c r="G71" s="1296" t="n"/>
      <c r="H71" s="1296" t="n"/>
      <c r="I71" s="1296" t="n"/>
      <c r="J71" s="1296" t="n"/>
    </row>
    <row r="72" ht="15" customHeight="1">
      <c r="C72" s="916" t="inlineStr">
        <is>
          <t>DEVELOPER EQUITY</t>
        </is>
      </c>
      <c r="D72" s="1297">
        <f>+Summary!M10</f>
        <v/>
      </c>
      <c r="E72" s="916">
        <f>+E8*D72</f>
        <v/>
      </c>
      <c r="F72" s="1298" t="n"/>
      <c r="G72" s="1298" t="n"/>
      <c r="H72" s="916">
        <f>+E72</f>
        <v/>
      </c>
      <c r="I72" s="916" t="n"/>
      <c r="J72" s="912" t="n"/>
    </row>
    <row r="73" ht="15" customHeight="1">
      <c r="C73" s="916" t="inlineStr">
        <is>
          <t>DEVELOPER PREF RETURN FROM CASH FLOW</t>
        </is>
      </c>
      <c r="D73" s="931" t="n"/>
      <c r="E73" s="942">
        <f>SUM('Exit Summary Calculations'!F17:AN17)-SUM('Exit Summary Calculations'!F37:AN37)</f>
        <v/>
      </c>
      <c r="F73" s="916" t="n"/>
      <c r="G73" s="916" t="n"/>
      <c r="H73" s="942">
        <f>+E73</f>
        <v/>
      </c>
      <c r="I73" s="942" t="n"/>
      <c r="J73" s="943" t="n"/>
    </row>
    <row r="74" ht="15" customHeight="1">
      <c r="C74" s="916" t="inlineStr">
        <is>
          <t>DEVELOPER PREFERRED RETURN</t>
        </is>
      </c>
      <c r="D74" s="916" t="n"/>
      <c r="E74" s="916">
        <f>-E34*D72</f>
        <v/>
      </c>
      <c r="F74" s="1298" t="n"/>
      <c r="G74" s="1298" t="n"/>
      <c r="H74" s="916">
        <f>+E74</f>
        <v/>
      </c>
      <c r="I74" s="916" t="n"/>
      <c r="J74" s="912" t="n"/>
    </row>
    <row r="75" ht="15" customHeight="1">
      <c r="C75" s="918" t="inlineStr">
        <is>
          <t>DEVELOPER SALES PROCEEDS</t>
        </is>
      </c>
      <c r="D75" s="918" t="n"/>
      <c r="E75" s="918">
        <f>+E53</f>
        <v/>
      </c>
      <c r="F75" s="918" t="n"/>
      <c r="G75" s="918" t="n"/>
      <c r="H75" s="918">
        <f>+H53</f>
        <v/>
      </c>
      <c r="I75" s="918" t="n"/>
      <c r="J75" s="912" t="n"/>
    </row>
    <row r="76" ht="15" customHeight="1">
      <c r="C76" s="912" t="inlineStr">
        <is>
          <t>TOTAL TO DEVELOPER</t>
        </is>
      </c>
      <c r="D76" s="912" t="n"/>
      <c r="E76" s="912">
        <f>+SUM(E72:E75)</f>
        <v/>
      </c>
      <c r="F76" s="912" t="n"/>
      <c r="G76" s="912" t="n"/>
      <c r="H76" s="912">
        <f>+SUM(H72:H75)</f>
        <v/>
      </c>
      <c r="I76" s="912" t="n"/>
      <c r="J76" s="912" t="n"/>
    </row>
    <row r="77" ht="15" customHeight="1">
      <c r="C77" s="912" t="n"/>
      <c r="D77" s="912" t="n"/>
      <c r="E77" s="912" t="n"/>
      <c r="F77" s="912" t="n"/>
      <c r="G77" s="912" t="n"/>
      <c r="H77" s="912" t="n"/>
      <c r="I77" s="912" t="n"/>
      <c r="J77" s="912" t="n"/>
    </row>
    <row r="78" ht="15" customHeight="1">
      <c r="C78" s="916" t="inlineStr">
        <is>
          <t>DEVELOPER DEVELOPMENT FEE</t>
        </is>
      </c>
      <c r="D78" s="931" t="n"/>
      <c r="E78" s="942">
        <f>+Development_Fees</f>
        <v/>
      </c>
      <c r="F78" s="916" t="n"/>
      <c r="G78" s="916" t="n"/>
      <c r="H78" s="942">
        <f>+E78</f>
        <v/>
      </c>
      <c r="I78" s="942" t="n"/>
      <c r="J78" s="943" t="n"/>
    </row>
    <row r="79" ht="15" customHeight="1">
      <c r="C79" s="916" t="inlineStr">
        <is>
          <t>DEVELOPER GURANTY FEE</t>
        </is>
      </c>
      <c r="D79" s="916" t="n"/>
      <c r="E79" s="916">
        <f>+Gurantee_Fees</f>
        <v/>
      </c>
      <c r="F79" s="1298" t="n"/>
      <c r="G79" s="1298" t="n"/>
      <c r="H79" s="916">
        <f>+E79</f>
        <v/>
      </c>
      <c r="I79" s="916" t="n"/>
      <c r="J79" s="912" t="n"/>
    </row>
    <row r="80" ht="15" customHeight="1">
      <c r="C80" s="918" t="inlineStr">
        <is>
          <t>DEVELOPER CONSTRUCTION MANAGEMENT FEE</t>
        </is>
      </c>
      <c r="D80" s="918" t="n"/>
      <c r="E80" s="918">
        <f>+Const_Mgmnt_Fees</f>
        <v/>
      </c>
      <c r="F80" s="918" t="n"/>
      <c r="G80" s="918" t="n"/>
      <c r="H80" s="918">
        <f>+E80</f>
        <v/>
      </c>
      <c r="I80" s="918" t="n"/>
      <c r="J80" s="912" t="n"/>
    </row>
    <row r="81" ht="15" customHeight="1">
      <c r="C81" s="912" t="inlineStr">
        <is>
          <t>DEVELOPER TOTAL FEES</t>
        </is>
      </c>
      <c r="D81" s="912" t="n"/>
      <c r="E81" s="912">
        <f>SUM(E78:E80)</f>
        <v/>
      </c>
      <c r="F81" s="912" t="n"/>
      <c r="G81" s="912" t="n"/>
      <c r="H81" s="912">
        <f>SUM(H78:H80)</f>
        <v/>
      </c>
      <c r="I81" s="912" t="n"/>
      <c r="J81" s="912" t="n"/>
    </row>
    <row r="82" ht="15" customHeight="1">
      <c r="C82" s="912" t="n"/>
      <c r="D82" s="912" t="n"/>
      <c r="E82" s="912" t="n"/>
      <c r="F82" s="912" t="n"/>
      <c r="G82" s="912" t="n"/>
      <c r="H82" s="912" t="n"/>
      <c r="I82" s="912" t="n"/>
      <c r="J82" s="912" t="n"/>
    </row>
    <row r="83" ht="15" customHeight="1">
      <c r="C83" s="912" t="inlineStr">
        <is>
          <t>TOTAL DISTRIBUTION</t>
        </is>
      </c>
      <c r="D83" s="912" t="n"/>
      <c r="E83" s="912">
        <f>+E76+E81</f>
        <v/>
      </c>
      <c r="F83" s="912" t="n"/>
      <c r="G83" s="912" t="n"/>
      <c r="H83" s="912">
        <f>+H76+H81</f>
        <v/>
      </c>
      <c r="I83" s="912" t="n"/>
      <c r="J83" s="912" t="n"/>
    </row>
    <row r="84" ht="15" customHeight="1">
      <c r="C84" s="912" t="n"/>
      <c r="D84" s="912" t="n"/>
      <c r="E84" s="912" t="n"/>
      <c r="F84" s="912" t="n"/>
      <c r="G84" s="912" t="n"/>
      <c r="H84" s="912" t="n"/>
      <c r="I84" s="912" t="n"/>
      <c r="J84" s="912" t="n"/>
    </row>
    <row r="85" ht="15" customHeight="1">
      <c r="C85" s="394" t="inlineStr">
        <is>
          <t>DEVELOPER TOTAL PROFIT</t>
        </is>
      </c>
      <c r="D85" s="394" t="n"/>
      <c r="E85" s="394">
        <f>+E76-E72+E81</f>
        <v/>
      </c>
      <c r="F85" s="394" t="n"/>
      <c r="G85" s="394" t="n"/>
      <c r="H85" s="394">
        <f>+H76-H72+H81</f>
        <v/>
      </c>
      <c r="I85" s="394" t="n"/>
      <c r="J85" s="234" t="n"/>
    </row>
    <row r="88" ht="15" customHeight="1">
      <c r="C88" s="669" t="n"/>
      <c r="D88" s="669" t="n"/>
      <c r="E88" s="1291" t="n"/>
      <c r="F88" s="1291" t="n"/>
      <c r="G88" s="1291" t="n"/>
      <c r="H88" s="1291" t="n"/>
      <c r="I88" s="1291" t="n"/>
    </row>
    <row r="89" ht="15" customHeight="1">
      <c r="C89" s="912" t="n"/>
      <c r="D89" s="912" t="n"/>
      <c r="E89" s="1296" t="n"/>
      <c r="F89" s="1296" t="n"/>
      <c r="G89" s="1296" t="n"/>
      <c r="H89" s="1296" t="n"/>
      <c r="I89" s="1296" t="n"/>
    </row>
    <row r="90" ht="15" customHeight="1">
      <c r="C90" s="912" t="n"/>
      <c r="D90" s="1299" t="n"/>
      <c r="E90" s="912" t="n"/>
      <c r="F90" s="1296" t="n"/>
      <c r="G90" s="1296" t="n"/>
      <c r="H90" s="912" t="n"/>
      <c r="I90" s="912" t="n"/>
    </row>
    <row r="91" ht="15" customHeight="1">
      <c r="C91" s="912" t="n"/>
      <c r="D91" s="933" t="n"/>
      <c r="E91" s="943" t="n"/>
      <c r="F91" s="912" t="n"/>
      <c r="G91" s="912" t="n"/>
      <c r="H91" s="943" t="n"/>
      <c r="I91" s="943" t="n"/>
    </row>
    <row r="92" ht="15" customHeight="1">
      <c r="C92" s="912" t="n"/>
      <c r="D92" s="912" t="n"/>
      <c r="E92" s="943" t="n"/>
      <c r="F92" s="1296" t="n"/>
      <c r="G92" s="1296" t="n"/>
      <c r="H92" s="943" t="n"/>
      <c r="I92" s="912" t="n"/>
    </row>
    <row r="93" ht="15" customHeight="1">
      <c r="C93" s="912" t="n"/>
      <c r="D93" s="912" t="n"/>
      <c r="E93" s="943" t="n"/>
      <c r="F93" s="912" t="n"/>
      <c r="G93" s="912" t="n"/>
      <c r="H93" s="943" t="n"/>
      <c r="I93" s="912" t="n"/>
    </row>
    <row r="94" ht="15" customHeight="1">
      <c r="C94" s="912" t="n"/>
      <c r="D94" s="912" t="n"/>
      <c r="E94" s="943" t="n"/>
      <c r="F94" s="912" t="n"/>
      <c r="G94" s="912" t="n"/>
      <c r="H94" s="943" t="n"/>
      <c r="I94" s="912" t="n"/>
    </row>
    <row r="95" ht="15" customHeight="1">
      <c r="C95" s="912" t="n"/>
      <c r="D95" s="912" t="n"/>
      <c r="E95" s="912" t="n"/>
      <c r="F95" s="912" t="n"/>
      <c r="G95" s="912" t="n"/>
      <c r="H95" s="912" t="n"/>
      <c r="I95" s="912" t="n"/>
    </row>
    <row r="96" ht="15" customHeight="1">
      <c r="C96" s="234" t="n"/>
      <c r="D96" s="234" t="n"/>
      <c r="E96" s="943" t="n"/>
      <c r="F96" s="234" t="n"/>
      <c r="G96" s="234" t="n"/>
      <c r="H96" s="943" t="n"/>
      <c r="I96" s="234" t="n"/>
    </row>
    <row r="97" ht="15" customHeight="1">
      <c r="C97" s="912" t="n"/>
      <c r="D97" s="912" t="n"/>
      <c r="E97" s="1296" t="n"/>
      <c r="F97" s="1296" t="n"/>
      <c r="G97" s="1296" t="n"/>
      <c r="H97" s="1040" t="n"/>
      <c r="I97" s="947" t="n"/>
    </row>
    <row r="98" ht="15" customHeight="1">
      <c r="C98" s="912" t="n"/>
      <c r="D98" s="912" t="n"/>
      <c r="E98" s="945" t="n"/>
      <c r="F98" s="912" t="n"/>
      <c r="G98" s="912" t="n"/>
      <c r="H98" s="945" t="n"/>
      <c r="I98" s="945" t="n"/>
    </row>
    <row r="100" ht="15" customHeight="1">
      <c r="C100" s="669" t="n"/>
      <c r="D100" s="669" t="n"/>
      <c r="E100" s="1291" t="n"/>
      <c r="F100" s="1291" t="n"/>
      <c r="G100" s="1291" t="n"/>
      <c r="H100" s="1291" t="n"/>
      <c r="I100" s="1291" t="n"/>
    </row>
    <row r="101" ht="15" customHeight="1">
      <c r="C101" s="912" t="n"/>
      <c r="D101" s="912" t="n"/>
      <c r="E101" s="1296" t="n"/>
      <c r="F101" s="1296" t="n"/>
      <c r="G101" s="1296" t="n"/>
      <c r="H101" s="1296" t="n"/>
      <c r="I101" s="1296" t="n"/>
    </row>
    <row r="102" ht="15" customHeight="1">
      <c r="C102" s="912" t="n"/>
      <c r="D102" s="1299" t="n"/>
      <c r="E102" s="912" t="n"/>
      <c r="F102" s="1296" t="n"/>
      <c r="G102" s="1296" t="n"/>
      <c r="H102" s="912" t="n"/>
      <c r="I102" s="912" t="n"/>
    </row>
    <row r="103" ht="15" customHeight="1">
      <c r="C103" s="912" t="n"/>
      <c r="D103" s="933" t="n"/>
      <c r="E103" s="943" t="n"/>
      <c r="F103" s="912" t="n"/>
      <c r="G103" s="912" t="n"/>
      <c r="H103" s="943" t="n"/>
      <c r="I103" s="943" t="n"/>
    </row>
    <row r="104" ht="15" customHeight="1">
      <c r="C104" s="912" t="n"/>
      <c r="D104" s="912" t="n"/>
      <c r="E104" s="943" t="n"/>
      <c r="F104" s="1296" t="n"/>
      <c r="G104" s="1296" t="n"/>
      <c r="H104" s="943" t="n"/>
      <c r="I104" s="912" t="n"/>
    </row>
    <row r="105" ht="15" customHeight="1">
      <c r="C105" s="912" t="n"/>
      <c r="D105" s="912" t="n"/>
      <c r="E105" s="943" t="n"/>
      <c r="F105" s="912" t="n"/>
      <c r="G105" s="912" t="n"/>
      <c r="H105" s="943" t="n"/>
      <c r="I105" s="912" t="n"/>
    </row>
    <row r="106" ht="15" customHeight="1">
      <c r="C106" s="912" t="n"/>
      <c r="D106" s="912" t="n"/>
      <c r="E106" s="943" t="n"/>
      <c r="F106" s="912" t="n"/>
      <c r="G106" s="912" t="n"/>
      <c r="H106" s="943" t="n"/>
      <c r="I106" s="912" t="n"/>
    </row>
    <row r="107" ht="15" customHeight="1">
      <c r="C107" s="912" t="n"/>
      <c r="D107" s="912" t="n"/>
      <c r="E107" s="912" t="n"/>
      <c r="F107" s="912" t="n"/>
      <c r="G107" s="912" t="n"/>
      <c r="H107" s="912" t="n"/>
      <c r="I107" s="912" t="n"/>
    </row>
    <row r="108" ht="15" customHeight="1">
      <c r="C108" s="234" t="n"/>
      <c r="D108" s="234" t="n"/>
      <c r="E108" s="943" t="n"/>
      <c r="F108" s="234" t="n"/>
      <c r="G108" s="234" t="n"/>
      <c r="H108" s="943" t="n"/>
      <c r="I108" s="234" t="n"/>
    </row>
    <row r="109" ht="15" customHeight="1">
      <c r="C109" s="912" t="n"/>
      <c r="D109" s="912" t="n"/>
      <c r="E109" s="1296" t="n"/>
      <c r="F109" s="1296" t="n"/>
      <c r="G109" s="1296" t="n"/>
      <c r="H109" s="1040" t="n"/>
      <c r="I109" s="947" t="n"/>
    </row>
    <row r="110" ht="15" customHeight="1">
      <c r="C110" s="912" t="n"/>
      <c r="D110" s="912" t="n"/>
      <c r="E110" s="945" t="n"/>
      <c r="F110" s="912" t="n"/>
      <c r="G110" s="912" t="n"/>
      <c r="H110" s="945" t="n"/>
      <c r="I110" s="945" t="n"/>
    </row>
  </sheetData>
  <mergeCells count="4">
    <mergeCell ref="L21:L25"/>
    <mergeCell ref="N19:T19"/>
    <mergeCell ref="N30:T30"/>
    <mergeCell ref="L32:L36"/>
  </mergeCells>
  <pageMargins left="0.5" right="0.5" top="1" bottom="0.75" header="0" footer="0"/>
  <pageSetup orientation="portrait" scale="67" fitToWidth="2"/>
  <headerFooter>
    <oddHeader>&amp;L&amp;G&amp;C_x000a__x000a_&amp;R&amp;11 &amp;D_x000a_&amp;T</oddHeader>
    <oddFooter>&amp;L&amp;"-,Italic"Confidential</oddFooter>
    <evenHeader/>
    <evenFooter/>
    <firstHeader/>
    <firstFooter/>
  </headerFooter>
  <colBreaks count="1" manualBreakCount="1">
    <brk id="11" min="1" max="67" man="1"/>
  </colBreaks>
</worksheet>
</file>

<file path=xl/worksheets/sheet7.xml><?xml version="1.0" encoding="utf-8"?>
<worksheet xmlns="http://schemas.openxmlformats.org/spreadsheetml/2006/main">
  <sheetPr>
    <tabColor rgb="FFFFFF66"/>
    <outlinePr summaryBelow="1" summaryRight="1"/>
    <pageSetUpPr/>
  </sheetPr>
  <dimension ref="A1:AC74"/>
  <sheetViews>
    <sheetView topLeftCell="A3" zoomScale="70" zoomScaleNormal="70" workbookViewId="0">
      <selection activeCell="E10" sqref="E10"/>
    </sheetView>
  </sheetViews>
  <sheetFormatPr baseColWidth="10" defaultColWidth="8.5" defaultRowHeight="15"/>
  <cols>
    <col width="4.5" customWidth="1" style="511" min="1" max="1"/>
    <col width="50.33203125" customWidth="1" style="511" min="2" max="2"/>
    <col width="20" customWidth="1" style="511" min="3" max="3"/>
    <col width="16.5" customWidth="1" style="511" min="4" max="4"/>
    <col width="11.6640625" bestFit="1" customWidth="1" style="511" min="5" max="5"/>
    <col width="13.6640625" bestFit="1" customWidth="1" style="511" min="6" max="6"/>
    <col width="12" bestFit="1" customWidth="1" style="511" min="7" max="7"/>
    <col width="5" customWidth="1" style="511" min="8" max="8"/>
    <col width="28.83203125" customWidth="1" style="511" min="9" max="9"/>
    <col width="12.5" customWidth="1" style="511" min="10" max="10"/>
    <col width="11.33203125" customWidth="1" style="511" min="11" max="11"/>
    <col width="9.5" customWidth="1" style="511" min="12" max="13"/>
    <col width="40" customWidth="1" style="511" min="14" max="14"/>
    <col width="20" customWidth="1" style="511" min="15" max="15"/>
    <col width="13" customWidth="1" style="511" min="16" max="16"/>
    <col width="16.33203125" customWidth="1" style="511" min="17" max="17"/>
    <col width="5" customWidth="1" style="511" min="18" max="18"/>
    <col width="45" customWidth="1" style="511" min="19" max="19"/>
    <col width="9.1640625" customWidth="1" style="511" min="20" max="20"/>
    <col width="22" customWidth="1" style="511" min="21" max="22"/>
    <col width="8.5" customWidth="1" style="511" min="23" max="23"/>
    <col width="15.83203125" customWidth="1" style="511" min="24" max="29"/>
    <col width="8.5" customWidth="1" style="511" min="30" max="16384"/>
  </cols>
  <sheetData>
    <row r="1" ht="18" customHeight="1">
      <c r="A1" s="557" t="inlineStr">
        <is>
          <t>BASE BUDGET</t>
        </is>
      </c>
      <c r="B1" s="510" t="n"/>
      <c r="C1" s="510" t="n"/>
      <c r="D1" s="510" t="n"/>
      <c r="E1" s="510" t="n"/>
      <c r="F1" s="510" t="n"/>
      <c r="G1" s="510" t="n"/>
      <c r="S1" s="558" t="inlineStr">
        <is>
          <t>EXIT ASSUMPTIONS</t>
        </is>
      </c>
      <c r="T1" s="508" t="n"/>
      <c r="U1" s="509" t="inlineStr">
        <is>
          <t>UNTRENDED</t>
        </is>
      </c>
      <c r="V1" s="509" t="inlineStr">
        <is>
          <t>TRENDED (YEAR 3)</t>
        </is>
      </c>
      <c r="X1" s="1005" t="inlineStr">
        <is>
          <t>EXIT CAP SENSITIVITY</t>
        </is>
      </c>
    </row>
    <row r="2" ht="16" customHeight="1">
      <c r="S2" s="512" t="inlineStr">
        <is>
          <t xml:space="preserve">IN PLACE NOI </t>
        </is>
      </c>
      <c r="T2" s="512" t="n"/>
      <c r="U2" s="512">
        <f>'Exit Summary'!E20</f>
        <v/>
      </c>
      <c r="V2" s="512">
        <f>'Exit Summary'!H20</f>
        <v/>
      </c>
      <c r="X2" s="719" t="inlineStr">
        <is>
          <t>RATE</t>
        </is>
      </c>
      <c r="Y2" s="1389" t="n"/>
      <c r="Z2" s="720">
        <f>Y2+0.0025</f>
        <v/>
      </c>
      <c r="AA2" s="572">
        <f>Z2+0.0025</f>
        <v/>
      </c>
      <c r="AB2" s="720">
        <f>AA2+0.0025</f>
        <v/>
      </c>
      <c r="AC2" s="720">
        <f>AB2+0.0025</f>
        <v/>
      </c>
    </row>
    <row r="3" ht="16" customHeight="1">
      <c r="B3" s="721" t="inlineStr">
        <is>
          <t>USES</t>
        </is>
      </c>
      <c r="C3" s="722" t="inlineStr">
        <is>
          <t>COST</t>
        </is>
      </c>
      <c r="D3" s="722" t="inlineStr">
        <is>
          <t>PER UNIT</t>
        </is>
      </c>
      <c r="E3" s="722" t="inlineStr">
        <is>
          <t>PSF</t>
        </is>
      </c>
      <c r="N3" s="1300" t="inlineStr">
        <is>
          <t>OPERATING INCOME</t>
        </is>
      </c>
      <c r="O3" s="1301" t="inlineStr">
        <is>
          <t>ANNUAL INCOME</t>
        </is>
      </c>
      <c r="P3" s="1301" t="inlineStr">
        <is>
          <t>MONTHLY</t>
        </is>
      </c>
      <c r="Q3" s="1301" t="inlineStr">
        <is>
          <t>ANNUAL/UNIT</t>
        </is>
      </c>
      <c r="S3" s="512" t="inlineStr">
        <is>
          <t>EXIT CAP</t>
        </is>
      </c>
      <c r="T3" s="512" t="n"/>
      <c r="U3" s="513">
        <f>'Exit Summary'!E21</f>
        <v/>
      </c>
      <c r="V3" s="513">
        <f>'Exit Summary'!H21</f>
        <v/>
      </c>
      <c r="X3" s="569" t="inlineStr">
        <is>
          <t>SALE</t>
        </is>
      </c>
      <c r="Y3" s="570" t="n"/>
      <c r="Z3" s="570" t="n"/>
      <c r="AA3" s="571" t="n"/>
      <c r="AB3" s="570" t="n"/>
      <c r="AC3" s="570" t="n"/>
    </row>
    <row r="4" ht="16" customHeight="1">
      <c r="B4" s="514">
        <f>Summary!C35</f>
        <v/>
      </c>
      <c r="C4" s="559">
        <f>Summary!E35</f>
        <v/>
      </c>
      <c r="D4" s="559">
        <f>Summary!F35</f>
        <v/>
      </c>
      <c r="E4" s="560">
        <f>Summary!G35</f>
        <v/>
      </c>
      <c r="N4" s="628" t="inlineStr">
        <is>
          <t>GROSS RENT INCOME</t>
        </is>
      </c>
      <c r="O4" s="629">
        <f>Summary!G95</f>
        <v/>
      </c>
      <c r="P4" s="629">
        <f>O4/12</f>
        <v/>
      </c>
      <c r="Q4" s="629">
        <f>O4/Total_Number_Units</f>
        <v/>
      </c>
      <c r="S4" s="512" t="inlineStr">
        <is>
          <t>GROSS SALE PRICE</t>
        </is>
      </c>
      <c r="T4" s="512" t="n"/>
      <c r="U4" s="512">
        <f>'Exit Summary'!E23</f>
        <v/>
      </c>
      <c r="V4" s="512">
        <f>'Exit Summary'!H23</f>
        <v/>
      </c>
      <c r="X4" s="569" t="inlineStr">
        <is>
          <t>PER/UNIT</t>
        </is>
      </c>
      <c r="Y4" s="570">
        <f>Y3/Total_Number_Units</f>
        <v/>
      </c>
      <c r="Z4" s="570">
        <f>Z3/Total_Number_Units</f>
        <v/>
      </c>
      <c r="AA4" s="571">
        <f>AA3/Total_Number_Units</f>
        <v/>
      </c>
      <c r="AB4" s="570">
        <f>AB3/Total_Number_Units</f>
        <v/>
      </c>
      <c r="AC4" s="570">
        <f>AC3/Total_Number_Units</f>
        <v/>
      </c>
    </row>
    <row r="5" ht="16" customHeight="1">
      <c r="B5" s="514">
        <f>Summary!C36</f>
        <v/>
      </c>
      <c r="C5" s="559">
        <f>Summary!E36</f>
        <v/>
      </c>
      <c r="D5" s="559">
        <f>Summary!F36</f>
        <v/>
      </c>
      <c r="E5" s="560">
        <f>Summary!G36</f>
        <v/>
      </c>
      <c r="N5" s="630" t="inlineStr">
        <is>
          <t>PLUS: MISC FEES</t>
        </is>
      </c>
      <c r="O5" s="629">
        <f>Summary!G100</f>
        <v/>
      </c>
      <c r="P5" s="629">
        <f>O5/12</f>
        <v/>
      </c>
      <c r="Q5" s="629">
        <f>O5/Total_Number_Units</f>
        <v/>
      </c>
      <c r="S5" s="515" t="inlineStr">
        <is>
          <t>LESS DISPOSITION FEE</t>
        </is>
      </c>
      <c r="T5" s="516" t="n"/>
      <c r="U5" s="512">
        <f>'Exit Summary'!E24</f>
        <v/>
      </c>
      <c r="V5" s="512">
        <f>'Exit Summary'!H24</f>
        <v/>
      </c>
      <c r="X5" s="511" t="inlineStr">
        <is>
          <t>PROMOTE</t>
        </is>
      </c>
      <c r="Y5" s="570">
        <f>'Exit Summary'!N34</f>
        <v/>
      </c>
      <c r="Z5" s="570">
        <f>'Exit Summary'!O34</f>
        <v/>
      </c>
      <c r="AA5" s="948">
        <f>'Exit Summary'!P34</f>
        <v/>
      </c>
      <c r="AB5" s="570">
        <f>'Exit Summary'!Q34</f>
        <v/>
      </c>
      <c r="AC5" s="570">
        <f>'Exit Summary'!R34</f>
        <v/>
      </c>
    </row>
    <row r="6" ht="16" customHeight="1" thickBot="1">
      <c r="B6" s="514">
        <f>Summary!C37</f>
        <v/>
      </c>
      <c r="C6" s="559">
        <f>Summary!E37</f>
        <v/>
      </c>
      <c r="D6" s="559">
        <f>Summary!F37</f>
        <v/>
      </c>
      <c r="E6" s="560">
        <f>Summary!G37</f>
        <v/>
      </c>
      <c r="N6" s="630" t="inlineStr">
        <is>
          <t>PLUS: MANAGED WIFI</t>
        </is>
      </c>
      <c r="O6" s="629">
        <f>Summary!G99</f>
        <v/>
      </c>
      <c r="P6" s="629">
        <f>O6/12</f>
        <v/>
      </c>
      <c r="Q6" s="629">
        <f>O6/Total_Number_Units</f>
        <v/>
      </c>
      <c r="S6" s="517" t="inlineStr">
        <is>
          <t>NET SALES PROCEEDS</t>
        </is>
      </c>
      <c r="T6" s="517" t="n"/>
      <c r="U6" s="517">
        <f>'Exit Summary'!E25</f>
        <v/>
      </c>
      <c r="V6" s="517">
        <f>'Exit Summary'!H25</f>
        <v/>
      </c>
    </row>
    <row r="7" ht="16" customHeight="1" thickBot="1" thickTop="1">
      <c r="B7" s="514">
        <f>Summary!C38</f>
        <v/>
      </c>
      <c r="C7" s="559">
        <f>Summary!E38</f>
        <v/>
      </c>
      <c r="D7" s="559">
        <f>Summary!F38</f>
        <v/>
      </c>
      <c r="E7" s="560">
        <f>Summary!G38</f>
        <v/>
      </c>
      <c r="N7" s="631" t="inlineStr">
        <is>
          <t>PLUS: UTILITY REIUMBURSEMENT</t>
        </is>
      </c>
      <c r="O7" s="632">
        <f>Summary!G97</f>
        <v/>
      </c>
      <c r="P7" s="629">
        <f>O7/12</f>
        <v/>
      </c>
      <c r="Q7" s="629">
        <f>O7/Total_Number_Units</f>
        <v/>
      </c>
    </row>
    <row r="8" ht="16" customHeight="1">
      <c r="B8" s="514">
        <f>Summary!C39</f>
        <v/>
      </c>
      <c r="C8" s="559">
        <f>Summary!E39</f>
        <v/>
      </c>
      <c r="D8" s="559">
        <f>Summary!F39</f>
        <v/>
      </c>
      <c r="E8" s="560">
        <f>Summary!G39</f>
        <v/>
      </c>
      <c r="N8" s="633" t="inlineStr">
        <is>
          <t>GROSS POTENTIAL INCOME</t>
        </is>
      </c>
      <c r="O8" s="634">
        <f>SUM(O4:O7)</f>
        <v/>
      </c>
      <c r="P8" s="634">
        <f>SUM(P4:P7)</f>
        <v/>
      </c>
      <c r="Q8" s="634">
        <f>SUM(Q4:Q7)</f>
        <v/>
      </c>
    </row>
    <row r="9" ht="16" customHeight="1">
      <c r="B9" s="514">
        <f>Summary!C40</f>
        <v/>
      </c>
      <c r="C9" s="559">
        <f>Summary!E40</f>
        <v/>
      </c>
      <c r="D9" s="559">
        <f>Summary!F40</f>
        <v/>
      </c>
      <c r="E9" s="560">
        <f>Summary!G40</f>
        <v/>
      </c>
      <c r="N9" s="630" t="inlineStr">
        <is>
          <t>LESS: VACANCY</t>
        </is>
      </c>
      <c r="O9" s="629">
        <f>Summary!G104</f>
        <v/>
      </c>
      <c r="P9" s="629">
        <f>O9/12</f>
        <v/>
      </c>
      <c r="Q9" s="629">
        <f>O9/Total_Number_Units</f>
        <v/>
      </c>
    </row>
    <row r="10" ht="16" customHeight="1" thickBot="1">
      <c r="B10" s="514">
        <f>Summary!C41</f>
        <v/>
      </c>
      <c r="C10" s="559">
        <f>Summary!E41</f>
        <v/>
      </c>
      <c r="D10" s="559">
        <f>Summary!F41</f>
        <v/>
      </c>
      <c r="E10" s="560">
        <f>Summary!G41</f>
        <v/>
      </c>
      <c r="N10" s="635" t="inlineStr">
        <is>
          <t>LESS: NON-REVENUE UNITS &amp; BAD DEBT</t>
        </is>
      </c>
      <c r="O10" s="629">
        <f>Summary!G105</f>
        <v/>
      </c>
      <c r="P10" s="629">
        <f>O10/12</f>
        <v/>
      </c>
      <c r="Q10" s="629">
        <f>O10/Total_Number_Units</f>
        <v/>
      </c>
    </row>
    <row r="11" ht="16" customHeight="1">
      <c r="B11" s="514">
        <f>Summary!C42</f>
        <v/>
      </c>
      <c r="C11" s="559">
        <f>Summary!E42</f>
        <v/>
      </c>
      <c r="D11" s="559">
        <f>Summary!F42</f>
        <v/>
      </c>
      <c r="E11" s="560">
        <f>Summary!G42</f>
        <v/>
      </c>
      <c r="N11" s="633" t="inlineStr">
        <is>
          <t>EFFECTIVE GROSS INCOME</t>
        </is>
      </c>
      <c r="O11" s="634">
        <f>SUM(O8:O10)</f>
        <v/>
      </c>
      <c r="P11" s="634">
        <f>SUM(P8:P10)</f>
        <v/>
      </c>
      <c r="Q11" s="634">
        <f>SUM(Q8:Q10)</f>
        <v/>
      </c>
    </row>
    <row r="12" ht="16" customHeight="1">
      <c r="B12" s="514">
        <f>Summary!C43</f>
        <v/>
      </c>
      <c r="C12" s="559">
        <f>Summary!E43</f>
        <v/>
      </c>
      <c r="D12" s="559">
        <f>Summary!F43</f>
        <v/>
      </c>
      <c r="E12" s="560">
        <f>Summary!G43</f>
        <v/>
      </c>
      <c r="N12" s="1300" t="inlineStr">
        <is>
          <t>OPERATING EXPENSES</t>
        </is>
      </c>
      <c r="O12" s="1302" t="n"/>
      <c r="P12" s="1302" t="n"/>
      <c r="Q12" s="1302" t="n"/>
    </row>
    <row r="13" ht="16" customHeight="1">
      <c r="B13" s="514">
        <f>Summary!C44</f>
        <v/>
      </c>
      <c r="C13" s="559">
        <f>Summary!E44</f>
        <v/>
      </c>
      <c r="D13" s="559">
        <f>Summary!F44</f>
        <v/>
      </c>
      <c r="E13" s="560">
        <f>Summary!G44</f>
        <v/>
      </c>
      <c r="N13" s="630" t="inlineStr">
        <is>
          <t>G&amp;A</t>
        </is>
      </c>
      <c r="O13" s="629">
        <f>Summary!G111</f>
        <v/>
      </c>
      <c r="P13" s="629">
        <f>O13/12</f>
        <v/>
      </c>
      <c r="Q13" s="629">
        <f>O13/Total_Number_Units</f>
        <v/>
      </c>
    </row>
    <row r="14" ht="16" customHeight="1">
      <c r="B14" s="514">
        <f>Summary!C45</f>
        <v/>
      </c>
      <c r="C14" s="559">
        <f>Summary!E45</f>
        <v/>
      </c>
      <c r="D14" s="559">
        <f>Summary!F45</f>
        <v/>
      </c>
      <c r="E14" s="560">
        <f>Summary!G45</f>
        <v/>
      </c>
      <c r="N14" s="630" t="inlineStr">
        <is>
          <t>LEASING &amp; MARKETING</t>
        </is>
      </c>
      <c r="O14" s="629">
        <f>Summary!G112</f>
        <v/>
      </c>
      <c r="P14" s="629">
        <f>O14/12</f>
        <v/>
      </c>
      <c r="Q14" s="629">
        <f>O14/Total_Number_Units</f>
        <v/>
      </c>
    </row>
    <row r="15" ht="16" customHeight="1">
      <c r="B15" s="514">
        <f>Summary!C46</f>
        <v/>
      </c>
      <c r="C15" s="559">
        <f>Summary!E46</f>
        <v/>
      </c>
      <c r="D15" s="559">
        <f>Summary!F46</f>
        <v/>
      </c>
      <c r="E15" s="560">
        <f>Summary!G46</f>
        <v/>
      </c>
      <c r="N15" s="630" t="inlineStr">
        <is>
          <t>PAYROLL &amp; RELATED</t>
        </is>
      </c>
      <c r="O15" s="629">
        <f>Summary!G113</f>
        <v/>
      </c>
      <c r="P15" s="629">
        <f>O15/12</f>
        <v/>
      </c>
      <c r="Q15" s="629">
        <f>O15/Total_Number_Units</f>
        <v/>
      </c>
    </row>
    <row r="16" ht="16" customHeight="1">
      <c r="B16" s="514">
        <f>Summary!C47</f>
        <v/>
      </c>
      <c r="C16" s="559">
        <f>Summary!E47</f>
        <v/>
      </c>
      <c r="D16" s="559">
        <f>Summary!F47</f>
        <v/>
      </c>
      <c r="E16" s="560">
        <f>Summary!G47</f>
        <v/>
      </c>
      <c r="N16" s="630" t="inlineStr">
        <is>
          <t>UTILITIES (GROSS)</t>
        </is>
      </c>
      <c r="O16" s="629">
        <f>Summary!G114</f>
        <v/>
      </c>
      <c r="P16" s="629">
        <f>O16/12</f>
        <v/>
      </c>
      <c r="Q16" s="629">
        <f>O16/Total_Number_Units</f>
        <v/>
      </c>
    </row>
    <row r="17" ht="16" customHeight="1">
      <c r="B17" s="514">
        <f>Summary!C48</f>
        <v/>
      </c>
      <c r="C17" s="559">
        <f>Summary!E48</f>
        <v/>
      </c>
      <c r="D17" s="559">
        <f>Summary!F48</f>
        <v/>
      </c>
      <c r="E17" s="560">
        <f>Summary!G48</f>
        <v/>
      </c>
      <c r="N17" s="630" t="inlineStr">
        <is>
          <t>REDECORATING/MAKE READY</t>
        </is>
      </c>
      <c r="O17" s="629">
        <f>Summary!G115</f>
        <v/>
      </c>
      <c r="P17" s="629">
        <f>O17/12</f>
        <v/>
      </c>
      <c r="Q17" s="629">
        <f>O17/Total_Number_Units</f>
        <v/>
      </c>
    </row>
    <row r="18" ht="16" customHeight="1">
      <c r="B18" s="514">
        <f>Summary!C49</f>
        <v/>
      </c>
      <c r="C18" s="559">
        <f>Summary!E49</f>
        <v/>
      </c>
      <c r="D18" s="559">
        <f>Summary!F49</f>
        <v/>
      </c>
      <c r="E18" s="560">
        <f>Summary!G49</f>
        <v/>
      </c>
      <c r="N18" s="630" t="inlineStr">
        <is>
          <t>LANDSCAPING / CONTRACT SERVICES</t>
        </is>
      </c>
      <c r="O18" s="629">
        <f>Summary!G116</f>
        <v/>
      </c>
      <c r="P18" s="629">
        <f>O18/12</f>
        <v/>
      </c>
      <c r="Q18" s="629">
        <f>O18/Total_Number_Units</f>
        <v/>
      </c>
    </row>
    <row r="19" ht="16" customHeight="1" thickBot="1">
      <c r="B19" s="514">
        <f>Summary!C50</f>
        <v/>
      </c>
      <c r="C19" s="559">
        <f>Summary!E50</f>
        <v/>
      </c>
      <c r="D19" s="559">
        <f>Summary!F50</f>
        <v/>
      </c>
      <c r="E19" s="560">
        <f>Summary!G50</f>
        <v/>
      </c>
      <c r="N19" s="631" t="inlineStr">
        <is>
          <t>REPAIRS &amp; MAINTENANCE / CAM</t>
        </is>
      </c>
      <c r="O19" s="629">
        <f>Summary!G117</f>
        <v/>
      </c>
      <c r="P19" s="629">
        <f>O19/12</f>
        <v/>
      </c>
      <c r="Q19" s="629">
        <f>O19/Total_Number_Units</f>
        <v/>
      </c>
    </row>
    <row r="20" ht="16" customHeight="1">
      <c r="B20" s="514">
        <f>Summary!C51</f>
        <v/>
      </c>
      <c r="C20" s="559">
        <f>Summary!E51</f>
        <v/>
      </c>
      <c r="D20" s="559">
        <f>Summary!F51</f>
        <v/>
      </c>
      <c r="E20" s="560">
        <f>Summary!G51</f>
        <v/>
      </c>
      <c r="N20" s="637" t="inlineStr">
        <is>
          <t>TOTAL CONTROLLABLE</t>
        </is>
      </c>
      <c r="O20" s="638">
        <f>SUM(O13:O19)</f>
        <v/>
      </c>
      <c r="P20" s="638">
        <f>SUM(P13:P19)</f>
        <v/>
      </c>
      <c r="Q20" s="638">
        <f>SUM(Q13:Q19)</f>
        <v/>
      </c>
    </row>
    <row r="21" ht="16" customHeight="1">
      <c r="B21" s="514">
        <f>Summary!C52</f>
        <v/>
      </c>
      <c r="C21" s="559">
        <f>Summary!E52</f>
        <v/>
      </c>
      <c r="D21" s="559">
        <f>Summary!F52</f>
        <v/>
      </c>
      <c r="E21" s="560">
        <f>Summary!G52</f>
        <v/>
      </c>
      <c r="N21" s="630" t="inlineStr">
        <is>
          <t>INSURANCE</t>
        </is>
      </c>
      <c r="O21" s="629">
        <f>Summary!G119</f>
        <v/>
      </c>
      <c r="P21" s="629">
        <f>O21/12</f>
        <v/>
      </c>
      <c r="Q21" s="629">
        <f>O21/Total_Number_Units</f>
        <v/>
      </c>
    </row>
    <row r="22" ht="16" customHeight="1">
      <c r="B22" s="514">
        <f>Summary!C53</f>
        <v/>
      </c>
      <c r="C22" s="559">
        <f>Summary!E53</f>
        <v/>
      </c>
      <c r="D22" s="559">
        <f>Summary!F53</f>
        <v/>
      </c>
      <c r="E22" s="560">
        <f>Summary!G53</f>
        <v/>
      </c>
      <c r="N22" s="630" t="inlineStr">
        <is>
          <t>REAL ESTATE TAXES</t>
        </is>
      </c>
      <c r="O22" s="629">
        <f>Summary!G120</f>
        <v/>
      </c>
      <c r="P22" s="629">
        <f>O22/12</f>
        <v/>
      </c>
      <c r="Q22" s="629">
        <f>O22/Total_Number_Units</f>
        <v/>
      </c>
    </row>
    <row r="23" ht="16" customHeight="1">
      <c r="B23" s="514">
        <f>Summary!C54</f>
        <v/>
      </c>
      <c r="C23" s="559">
        <f>Summary!E54</f>
        <v/>
      </c>
      <c r="D23" s="559">
        <f>Summary!F54</f>
        <v/>
      </c>
      <c r="E23" s="560">
        <f>Summary!G54</f>
        <v/>
      </c>
      <c r="N23" s="630" t="inlineStr">
        <is>
          <t>MGMT FEE</t>
        </is>
      </c>
      <c r="O23" s="629">
        <f>Summary!G121</f>
        <v/>
      </c>
      <c r="P23" s="629">
        <f>O23/12</f>
        <v/>
      </c>
      <c r="Q23" s="629">
        <f>O23/Total_Number_Units</f>
        <v/>
      </c>
    </row>
    <row r="24" ht="16" customHeight="1" thickBot="1">
      <c r="B24" s="518">
        <f>Summary!C58</f>
        <v/>
      </c>
      <c r="C24" s="561">
        <f>Summary!E58</f>
        <v/>
      </c>
      <c r="D24" s="561">
        <f>Summary!F58</f>
        <v/>
      </c>
      <c r="E24" s="562">
        <f>Summary!G58</f>
        <v/>
      </c>
      <c r="N24" s="631" t="inlineStr">
        <is>
          <t>CAPITAL RESERVES</t>
        </is>
      </c>
      <c r="O24" s="629">
        <f>Summary!G122</f>
        <v/>
      </c>
      <c r="P24" s="629">
        <f>O24/12</f>
        <v/>
      </c>
      <c r="Q24" s="629">
        <f>O24/Total_Number_Units</f>
        <v/>
      </c>
    </row>
    <row r="25" ht="16" customHeight="1" thickBot="1" thickTop="1">
      <c r="N25" s="639" t="inlineStr">
        <is>
          <t>TOTAL EXPENSES</t>
        </is>
      </c>
      <c r="O25" s="640">
        <f>SUM(O20:O24)</f>
        <v/>
      </c>
      <c r="P25" s="640">
        <f>SUM(P20:P24)</f>
        <v/>
      </c>
      <c r="Q25" s="640">
        <f>SUM(Q20:Q24)</f>
        <v/>
      </c>
    </row>
    <row r="26" ht="19" customHeight="1" thickBot="1">
      <c r="A26" s="557" t="inlineStr">
        <is>
          <t>SOURCES &amp; USES</t>
        </is>
      </c>
      <c r="B26" s="510" t="n"/>
      <c r="C26" s="510" t="n"/>
      <c r="D26" s="519" t="n"/>
      <c r="E26" s="510" t="n"/>
      <c r="F26" s="510" t="n"/>
      <c r="G26" s="510" t="n"/>
      <c r="N26" s="625" t="inlineStr">
        <is>
          <t>NET OPERATING INCOME</t>
        </is>
      </c>
      <c r="O26" s="1303">
        <f>O11-O25</f>
        <v/>
      </c>
      <c r="P26" s="1303">
        <f>P11-P25</f>
        <v/>
      </c>
      <c r="Q26" s="1303">
        <f>Q11-Q25</f>
        <v/>
      </c>
      <c r="S26" s="558" t="inlineStr">
        <is>
          <t>PROFIT AVAILABLE FOR DISTRIBUTION</t>
        </is>
      </c>
      <c r="T26" s="508" t="n"/>
      <c r="U26" s="508" t="n"/>
      <c r="V26" s="508" t="n"/>
    </row>
    <row r="27" ht="16" customHeight="1">
      <c r="B27" s="520" t="n"/>
      <c r="D27" s="521" t="n"/>
      <c r="S27" s="512" t="inlineStr">
        <is>
          <t>NET SALE PROCEEDS</t>
        </is>
      </c>
      <c r="T27" s="512" t="n"/>
      <c r="U27" s="512">
        <f>'Exit Summary'!E28</f>
        <v/>
      </c>
      <c r="V27" s="512">
        <f>'Exit Summary'!H28</f>
        <v/>
      </c>
    </row>
    <row r="28" ht="16" customHeight="1">
      <c r="B28" s="721" t="inlineStr">
        <is>
          <t>SOURCES</t>
        </is>
      </c>
      <c r="C28" s="723" t="inlineStr">
        <is>
          <t>AMOUNT</t>
        </is>
      </c>
      <c r="D28" s="724" t="inlineStr">
        <is>
          <t>%</t>
        </is>
      </c>
      <c r="F28" s="723" t="inlineStr">
        <is>
          <t>PER UNIT</t>
        </is>
      </c>
      <c r="G28" s="723" t="inlineStr">
        <is>
          <t>PSF</t>
        </is>
      </c>
      <c r="I28" s="1300" t="inlineStr">
        <is>
          <t>SOURCES</t>
        </is>
      </c>
      <c r="J28" s="1301" t="inlineStr">
        <is>
          <t>$ AMOUNT</t>
        </is>
      </c>
      <c r="K28" s="1301" t="inlineStr">
        <is>
          <t>PER UNIT</t>
        </is>
      </c>
      <c r="L28" s="1304" t="inlineStr">
        <is>
          <t>%</t>
        </is>
      </c>
      <c r="M28" s="642" t="n"/>
      <c r="N28" s="642" t="n"/>
      <c r="O28" s="642" t="n"/>
      <c r="P28" s="642" t="n"/>
      <c r="Q28" s="642" t="n"/>
      <c r="S28" s="522" t="inlineStr">
        <is>
          <t>LESS: END CONSTRUTION LOAN BALANCE:</t>
        </is>
      </c>
      <c r="T28" s="522" t="n"/>
      <c r="U28" s="512">
        <f>'Exit Summary'!E29</f>
        <v/>
      </c>
      <c r="V28" s="512">
        <f>'Exit Summary'!H29</f>
        <v/>
      </c>
    </row>
    <row r="29" ht="16" customHeight="1">
      <c r="B29" s="514" t="inlineStr">
        <is>
          <t>EQUITY</t>
        </is>
      </c>
      <c r="C29" s="523">
        <f>Summary!E68</f>
        <v/>
      </c>
      <c r="D29" s="1305">
        <f>Summary!F68</f>
        <v/>
      </c>
      <c r="F29" s="1306">
        <f>Summary!G68</f>
        <v/>
      </c>
      <c r="G29" s="526">
        <f>Summary!H68</f>
        <v/>
      </c>
      <c r="I29" s="622" t="inlineStr">
        <is>
          <t>EQUITY</t>
        </is>
      </c>
      <c r="J29" s="643">
        <f>C29</f>
        <v/>
      </c>
      <c r="K29" s="643">
        <f>F29</f>
        <v/>
      </c>
      <c r="L29" s="1307">
        <f>D29</f>
        <v/>
      </c>
      <c r="M29" s="1307" t="n"/>
      <c r="N29" s="1307" t="n"/>
      <c r="O29" s="1307" t="n"/>
      <c r="P29" s="1307" t="n"/>
      <c r="Q29" s="1307" t="n"/>
      <c r="S29" s="522" t="inlineStr">
        <is>
          <t>LESS: ENDING MEZZ LOAN BALANCE:</t>
        </is>
      </c>
      <c r="T29" s="522" t="n"/>
      <c r="U29" s="512">
        <f>'Exit Summary'!E30</f>
        <v/>
      </c>
      <c r="V29" s="512">
        <f>'Exit Summary'!H30</f>
        <v/>
      </c>
    </row>
    <row r="30" ht="16" customHeight="1">
      <c r="B30" s="514" t="inlineStr">
        <is>
          <t>MEZZANINE</t>
        </is>
      </c>
      <c r="C30" s="523">
        <f>Summary!E69</f>
        <v/>
      </c>
      <c r="D30" s="1305">
        <f>Summary!F69</f>
        <v/>
      </c>
      <c r="F30" s="1306">
        <f>Summary!G69</f>
        <v/>
      </c>
      <c r="G30" s="526">
        <f>Summary!H69</f>
        <v/>
      </c>
      <c r="I30" s="622" t="inlineStr">
        <is>
          <t>MEZZANINE</t>
        </is>
      </c>
      <c r="J30" s="643">
        <f>C30</f>
        <v/>
      </c>
      <c r="K30" s="643">
        <f>F30</f>
        <v/>
      </c>
      <c r="L30" s="1307">
        <f>D30</f>
        <v/>
      </c>
      <c r="M30" s="1307" t="n"/>
      <c r="N30" s="1307" t="n"/>
      <c r="O30" s="1307" t="n"/>
      <c r="P30" s="1307" t="n"/>
      <c r="Q30" s="1307" t="n"/>
      <c r="S30" s="522" t="inlineStr">
        <is>
          <t>LESS: MEZZ EXIT FEE:</t>
        </is>
      </c>
      <c r="T30" s="516" t="n"/>
      <c r="U30" s="512">
        <f>'Exit Summary'!E31</f>
        <v/>
      </c>
      <c r="V30" s="512">
        <f>'Exit Summary'!H31</f>
        <v/>
      </c>
    </row>
    <row r="31" ht="16" customHeight="1" thickBot="1">
      <c r="B31" s="514" t="inlineStr">
        <is>
          <t>SR. LOAN</t>
        </is>
      </c>
      <c r="C31" s="523">
        <f>Summary!E70</f>
        <v/>
      </c>
      <c r="D31" s="1305">
        <f>Summary!F70</f>
        <v/>
      </c>
      <c r="F31" s="1306">
        <f>Summary!G70</f>
        <v/>
      </c>
      <c r="G31" s="526">
        <f>Summary!H70</f>
        <v/>
      </c>
      <c r="I31" s="622" t="inlineStr">
        <is>
          <t>SR. LOAN</t>
        </is>
      </c>
      <c r="J31" s="643">
        <f>C31</f>
        <v/>
      </c>
      <c r="K31" s="643">
        <f>F31</f>
        <v/>
      </c>
      <c r="L31" s="1307">
        <f>D31</f>
        <v/>
      </c>
      <c r="M31" s="1307" t="n"/>
      <c r="N31" s="1307" t="n"/>
      <c r="O31" s="1307" t="n"/>
      <c r="P31" s="1307" t="n"/>
      <c r="Q31" s="1307" t="n"/>
      <c r="S31" s="527" t="inlineStr">
        <is>
          <t>SALES PROCEEDS AFTER DEBT</t>
        </is>
      </c>
      <c r="T31" s="1308" t="n"/>
      <c r="U31" s="529">
        <f>'Exit Summary'!E32</f>
        <v/>
      </c>
      <c r="V31" s="529">
        <f>'Exit Summary'!H32</f>
        <v/>
      </c>
    </row>
    <row r="32" ht="16" customHeight="1" thickBot="1">
      <c r="B32" s="530" t="inlineStr">
        <is>
          <t>SUBTOTAL</t>
        </is>
      </c>
      <c r="C32" s="531">
        <f>SUM(C29:C31)</f>
        <v/>
      </c>
      <c r="D32" s="1309" t="n">
        <v>1</v>
      </c>
      <c r="F32" s="1310">
        <f>SUM(F29:F31)</f>
        <v/>
      </c>
      <c r="G32" s="534">
        <f>SUM(G29:G31)</f>
        <v/>
      </c>
      <c r="I32" s="625" t="inlineStr">
        <is>
          <t>TOTAL</t>
        </is>
      </c>
      <c r="J32" s="645">
        <f>SUM(J29:J31)</f>
        <v/>
      </c>
      <c r="K32" s="645">
        <f>SUM(K29:K31)</f>
        <v/>
      </c>
      <c r="L32" s="1311">
        <f>SUM(L29:L31)</f>
        <v/>
      </c>
      <c r="M32" s="1312" t="n"/>
      <c r="N32" s="1312" t="n"/>
      <c r="O32" s="1312" t="n"/>
      <c r="P32" s="1312" t="n"/>
      <c r="Q32" s="1312" t="n"/>
      <c r="S32" s="522" t="inlineStr">
        <is>
          <t>LESS: REPAY EQUITY</t>
        </is>
      </c>
      <c r="T32" s="1313" t="n"/>
      <c r="U32" s="512">
        <f>'Exit Summary'!E33</f>
        <v/>
      </c>
      <c r="V32" s="512">
        <f>'Exit Summary'!H33</f>
        <v/>
      </c>
    </row>
    <row r="33" ht="16" customHeight="1" thickTop="1">
      <c r="B33" s="514" t="inlineStr">
        <is>
          <t>MEZZ INTEREST RESERVE (Current Pay)</t>
        </is>
      </c>
      <c r="C33" s="725" t="n">
        <v>0</v>
      </c>
      <c r="D33" s="521" t="n"/>
      <c r="F33" s="1314" t="n">
        <v>0</v>
      </c>
      <c r="G33" s="727" t="n">
        <v>0</v>
      </c>
      <c r="I33" s="648" t="n"/>
      <c r="J33" s="649" t="n"/>
      <c r="K33" s="649" t="n"/>
      <c r="L33" s="650" t="n"/>
      <c r="M33" s="650" t="n"/>
      <c r="N33" s="650" t="n"/>
      <c r="O33" s="650" t="n"/>
      <c r="P33" s="650" t="n"/>
      <c r="Q33" s="650" t="n"/>
      <c r="S33" s="522" t="inlineStr">
        <is>
          <t>LESS: REMAINING PREF</t>
        </is>
      </c>
      <c r="T33" s="536">
        <f>'Exit Summary'!D34</f>
        <v/>
      </c>
      <c r="U33" s="512">
        <f>'Exit Summary'!E34</f>
        <v/>
      </c>
      <c r="V33" s="512">
        <f>'Exit Summary'!H34</f>
        <v/>
      </c>
    </row>
    <row r="34" ht="16" customHeight="1">
      <c r="B34" s="537" t="inlineStr">
        <is>
          <t>TOTAL AFTER MEZZ INTEREST RESERVE</t>
        </is>
      </c>
      <c r="C34" s="538">
        <f>Summary!E73</f>
        <v/>
      </c>
      <c r="D34" s="539" t="n"/>
      <c r="F34" s="1306">
        <f>Summary!G73</f>
        <v/>
      </c>
      <c r="G34" s="526">
        <f>Summary!H73</f>
        <v/>
      </c>
      <c r="I34" s="1300" t="inlineStr">
        <is>
          <t>USES</t>
        </is>
      </c>
      <c r="J34" s="1301" t="inlineStr">
        <is>
          <t>COST</t>
        </is>
      </c>
      <c r="K34" s="1301" t="inlineStr">
        <is>
          <t>PER UNIT</t>
        </is>
      </c>
      <c r="L34" s="1304" t="inlineStr">
        <is>
          <t>%</t>
        </is>
      </c>
      <c r="M34" s="642" t="n"/>
      <c r="N34" s="642" t="n"/>
      <c r="O34" s="642" t="n"/>
      <c r="P34" s="642" t="n"/>
      <c r="Q34" s="642" t="n"/>
      <c r="S34" s="527" t="inlineStr">
        <is>
          <t>AVAILABLE FOR DISTRIBUTION</t>
        </is>
      </c>
      <c r="T34" s="527" t="n"/>
      <c r="U34" s="529">
        <f>'Exit Summary'!E35</f>
        <v/>
      </c>
      <c r="V34" s="529">
        <f>'Exit Summary'!H35</f>
        <v/>
      </c>
    </row>
    <row r="35" ht="16" customHeight="1">
      <c r="B35" s="537" t="n"/>
      <c r="C35" s="538" t="n"/>
      <c r="D35" s="539" t="n"/>
      <c r="F35" s="1306" t="n"/>
      <c r="G35" s="526" t="n"/>
      <c r="I35" s="622" t="inlineStr">
        <is>
          <t>LAND</t>
        </is>
      </c>
      <c r="J35" s="643">
        <f>C37</f>
        <v/>
      </c>
      <c r="K35" s="643">
        <f>J35/Total_Number_Units</f>
        <v/>
      </c>
      <c r="L35" s="1307">
        <f>J35/$J$38</f>
        <v/>
      </c>
      <c r="M35" s="1307" t="n"/>
      <c r="N35" s="1307" t="n"/>
      <c r="O35" s="1307" t="n"/>
      <c r="P35" s="1307" t="n"/>
      <c r="Q35" s="1307" t="n"/>
      <c r="S35" s="540" t="n"/>
      <c r="T35" s="540" t="n"/>
      <c r="U35" s="512" t="n"/>
      <c r="V35" s="512" t="n"/>
    </row>
    <row r="36" ht="16" customHeight="1">
      <c r="B36" s="537" t="inlineStr">
        <is>
          <t>USES</t>
        </is>
      </c>
      <c r="C36" s="541" t="inlineStr">
        <is>
          <t>COST</t>
        </is>
      </c>
      <c r="D36" s="541" t="inlineStr">
        <is>
          <t>%</t>
        </is>
      </c>
      <c r="F36" s="541" t="inlineStr">
        <is>
          <t>PER UNIT</t>
        </is>
      </c>
      <c r="G36" s="541" t="inlineStr">
        <is>
          <t>PSF</t>
        </is>
      </c>
      <c r="I36" s="622" t="inlineStr">
        <is>
          <t>HARD COSTS</t>
        </is>
      </c>
      <c r="J36" s="643">
        <f>C38</f>
        <v/>
      </c>
      <c r="K36" s="643">
        <f>J36/Total_Number_Units</f>
        <v/>
      </c>
      <c r="L36" s="1307">
        <f>J36/$J$38</f>
        <v/>
      </c>
      <c r="M36" s="1307" t="n"/>
      <c r="N36" s="1307" t="n"/>
      <c r="O36" s="1307" t="n"/>
      <c r="P36" s="1307" t="n"/>
      <c r="Q36" s="1307" t="n"/>
      <c r="S36" s="540" t="inlineStr">
        <is>
          <t>FIRST IRR HURRDLE</t>
        </is>
      </c>
      <c r="T36" s="1315">
        <f>'Exit Summary'!D37</f>
        <v/>
      </c>
      <c r="U36" s="512">
        <f>'Exit Summary'!E37</f>
        <v/>
      </c>
      <c r="V36" s="512" t="n"/>
    </row>
    <row r="37" ht="16" customHeight="1" thickBot="1">
      <c r="B37" s="543" t="inlineStr">
        <is>
          <t>LAND</t>
        </is>
      </c>
      <c r="C37" s="544">
        <f>Summary!E77</f>
        <v/>
      </c>
      <c r="D37" s="1316" t="n">
        <v>0.09479435608271887</v>
      </c>
      <c r="F37" s="546">
        <f>Summary!G77</f>
        <v/>
      </c>
      <c r="G37" s="1317">
        <f>Summary!H77</f>
        <v/>
      </c>
      <c r="I37" s="622" t="inlineStr">
        <is>
          <t>SOFT COSTS</t>
        </is>
      </c>
      <c r="J37" s="643">
        <f>C39</f>
        <v/>
      </c>
      <c r="K37" s="643">
        <f>J37/Total_Number_Units</f>
        <v/>
      </c>
      <c r="L37" s="1307">
        <f>J37/$J$38</f>
        <v/>
      </c>
      <c r="M37" s="1307" t="n"/>
      <c r="N37" s="1307" t="n"/>
      <c r="O37" s="1307" t="n"/>
      <c r="P37" s="1307" t="n"/>
      <c r="Q37" s="1307" t="n"/>
      <c r="S37" s="512" t="inlineStr">
        <is>
          <t xml:space="preserve">  INVESTOR PROCEEDS</t>
        </is>
      </c>
      <c r="T37" s="1315">
        <f>'Exit Summary'!D38</f>
        <v/>
      </c>
      <c r="U37" s="512">
        <f>'Exit Summary'!E38</f>
        <v/>
      </c>
      <c r="V37" s="512">
        <f>'Exit Summary'!H38</f>
        <v/>
      </c>
    </row>
    <row r="38" ht="16" customHeight="1" thickBot="1">
      <c r="B38" s="514" t="inlineStr">
        <is>
          <t>HARD COSTS (INCL CONTINGENCY)</t>
        </is>
      </c>
      <c r="C38" s="548">
        <f>Summary!E78</f>
        <v/>
      </c>
      <c r="D38" s="1305" t="n">
        <v>0.7385428282404627</v>
      </c>
      <c r="F38" s="549">
        <f>Summary!G78</f>
        <v/>
      </c>
      <c r="G38" s="1318">
        <f>Summary!H78</f>
        <v/>
      </c>
      <c r="I38" s="625" t="inlineStr">
        <is>
          <t>TOTAL</t>
        </is>
      </c>
      <c r="J38" s="645">
        <f>SUM(J35:J37)</f>
        <v/>
      </c>
      <c r="K38" s="645">
        <f>SUM(K35:K37)</f>
        <v/>
      </c>
      <c r="L38" s="651">
        <f>SUM(L35:L37)</f>
        <v/>
      </c>
      <c r="M38" s="652" t="n"/>
      <c r="N38" s="652" t="n"/>
      <c r="O38" s="652" t="n"/>
      <c r="P38" s="652" t="n"/>
      <c r="Q38" s="652" t="n"/>
      <c r="S38" s="512" t="inlineStr">
        <is>
          <t xml:space="preserve">  DEVELOPER PROCEEDS</t>
        </is>
      </c>
      <c r="T38" s="1319">
        <f>1-T37</f>
        <v/>
      </c>
      <c r="U38" s="512">
        <f>'Exit Summary'!E39</f>
        <v/>
      </c>
      <c r="V38" s="512">
        <f>'Exit Summary'!H39</f>
        <v/>
      </c>
    </row>
    <row r="39" ht="16" customHeight="1">
      <c r="B39" s="514" t="inlineStr">
        <is>
          <t>SOFT COSTS</t>
        </is>
      </c>
      <c r="C39" s="548">
        <f>Summary!E79</f>
        <v/>
      </c>
      <c r="D39" s="1305" t="n">
        <v>0.1666628156768185</v>
      </c>
      <c r="F39" s="549">
        <f>Summary!G79</f>
        <v/>
      </c>
      <c r="G39" s="1318">
        <f>Summary!H79</f>
        <v/>
      </c>
      <c r="S39" s="540" t="n"/>
      <c r="T39" s="540" t="n"/>
      <c r="U39" s="512" t="n"/>
      <c r="V39" s="512" t="n"/>
    </row>
    <row r="40" ht="16" customHeight="1" thickBot="1">
      <c r="B40" s="530" t="inlineStr">
        <is>
          <t>SUBTOTAL</t>
        </is>
      </c>
      <c r="C40" s="552">
        <f>SUM(C37:C39)</f>
        <v/>
      </c>
      <c r="D40" s="1309" t="n">
        <v>1</v>
      </c>
      <c r="F40" s="553">
        <f>SUM(F37:F39)</f>
        <v/>
      </c>
      <c r="G40" s="1320">
        <f>SUM(G37:G39)</f>
        <v/>
      </c>
      <c r="S40" s="527" t="inlineStr">
        <is>
          <t>RESIDUAL</t>
        </is>
      </c>
      <c r="T40" s="527" t="n"/>
      <c r="U40" s="529">
        <f>'Exit Summary'!E41</f>
        <v/>
      </c>
      <c r="V40" s="529">
        <f>'Exit Summary'!H41</f>
        <v/>
      </c>
    </row>
    <row r="41" ht="16" customHeight="1" thickTop="1">
      <c r="B41" s="514" t="inlineStr">
        <is>
          <t>MEZZ INTEREST RESERVE (Current Pay)</t>
        </is>
      </c>
      <c r="C41" s="728" t="n">
        <v>0</v>
      </c>
      <c r="D41" s="521" t="n"/>
      <c r="F41" s="729" t="n">
        <v>0</v>
      </c>
      <c r="G41" s="730" t="n">
        <v>0</v>
      </c>
      <c r="S41" s="540" t="n"/>
      <c r="T41" s="540" t="n"/>
      <c r="U41" s="512" t="n"/>
      <c r="V41" s="512" t="n"/>
    </row>
    <row r="42" ht="16" customHeight="1">
      <c r="S42" s="540" t="inlineStr">
        <is>
          <t>DEVELOPER PROMOTE</t>
        </is>
      </c>
      <c r="T42" s="540" t="n"/>
      <c r="U42" s="512">
        <f>'Exit Summary'!E53</f>
        <v/>
      </c>
      <c r="V42" s="512">
        <f>'Exit Summary'!H53</f>
        <v/>
      </c>
    </row>
    <row r="43" ht="16" customHeight="1">
      <c r="B43" s="1300" t="inlineStr">
        <is>
          <t>DEVELOPMENT BUDGET</t>
        </is>
      </c>
      <c r="C43" s="1301" t="inlineStr">
        <is>
          <t>TOTAL $</t>
        </is>
      </c>
      <c r="D43" s="1301" t="inlineStr">
        <is>
          <t>$ / UNIT</t>
        </is>
      </c>
      <c r="E43" s="1301" t="inlineStr">
        <is>
          <t>$ / PSF</t>
        </is>
      </c>
      <c r="S43" s="540" t="inlineStr">
        <is>
          <t>INVESTOR SHARE</t>
        </is>
      </c>
      <c r="T43" s="540" t="n"/>
      <c r="U43" s="512">
        <f>'Exit Summary'!E54</f>
        <v/>
      </c>
      <c r="V43" s="512">
        <f>'Exit Summary'!H54</f>
        <v/>
      </c>
    </row>
    <row r="44" ht="16" customHeight="1">
      <c r="B44" s="622">
        <f>B4</f>
        <v/>
      </c>
      <c r="C44" s="623">
        <f>C4</f>
        <v/>
      </c>
      <c r="D44" s="623">
        <f>D4</f>
        <v/>
      </c>
      <c r="E44" s="624">
        <f>E4</f>
        <v/>
      </c>
      <c r="S44" s="512" t="n"/>
      <c r="T44" s="512" t="n"/>
      <c r="U44" s="512" t="n"/>
      <c r="V44" s="512" t="n"/>
    </row>
    <row r="45" ht="16" customHeight="1">
      <c r="B45" s="622">
        <f>B5</f>
        <v/>
      </c>
      <c r="C45" s="623">
        <f>C5</f>
        <v/>
      </c>
      <c r="D45" s="623">
        <f>D5</f>
        <v/>
      </c>
      <c r="E45" s="624">
        <f>E5</f>
        <v/>
      </c>
      <c r="S45" s="555" t="inlineStr">
        <is>
          <t>PROJECT IRR</t>
        </is>
      </c>
      <c r="T45" s="555" t="n"/>
      <c r="U45" s="1321">
        <f>'Exit Summary'!E56</f>
        <v/>
      </c>
      <c r="V45" s="1321">
        <f>'Exit Summary'!H56</f>
        <v/>
      </c>
    </row>
    <row r="46">
      <c r="B46" s="622">
        <f>B6</f>
        <v/>
      </c>
      <c r="C46" s="623">
        <f>C6</f>
        <v/>
      </c>
      <c r="D46" s="623">
        <f>D6</f>
        <v/>
      </c>
      <c r="E46" s="624">
        <f>E6</f>
        <v/>
      </c>
    </row>
    <row r="47">
      <c r="B47" s="622">
        <f>B7</f>
        <v/>
      </c>
      <c r="C47" s="623">
        <f>C7</f>
        <v/>
      </c>
      <c r="D47" s="623">
        <f>D7</f>
        <v/>
      </c>
      <c r="E47" s="624">
        <f>E7</f>
        <v/>
      </c>
      <c r="S47" s="565" t="inlineStr">
        <is>
          <t>TP RETURN SUMMARY</t>
        </is>
      </c>
      <c r="T47" s="508" t="n"/>
      <c r="U47" s="509" t="inlineStr">
        <is>
          <t>UNTRENDED</t>
        </is>
      </c>
      <c r="V47" s="509" t="inlineStr">
        <is>
          <t>TRENDED (YEAR 3)</t>
        </is>
      </c>
    </row>
    <row r="48">
      <c r="B48" s="622">
        <f>B8</f>
        <v/>
      </c>
      <c r="C48" s="623">
        <f>C8</f>
        <v/>
      </c>
      <c r="D48" s="623">
        <f>D8</f>
        <v/>
      </c>
      <c r="E48" s="624">
        <f>E8</f>
        <v/>
      </c>
      <c r="S48" s="564" t="n"/>
    </row>
    <row r="49">
      <c r="B49" s="622">
        <f>B9</f>
        <v/>
      </c>
      <c r="C49" s="623">
        <f>C9</f>
        <v/>
      </c>
      <c r="D49" s="623">
        <f>D9</f>
        <v/>
      </c>
      <c r="E49" s="624">
        <f>E9</f>
        <v/>
      </c>
      <c r="S49" s="564">
        <f>'Exit Summary'!C72</f>
        <v/>
      </c>
      <c r="T49" s="566">
        <f>'Exit Summary'!D72</f>
        <v/>
      </c>
      <c r="U49" s="564">
        <f>'Exit Summary'!E72</f>
        <v/>
      </c>
      <c r="V49" s="564">
        <f>'Exit Summary'!H72</f>
        <v/>
      </c>
    </row>
    <row r="50">
      <c r="B50" s="622">
        <f>B10</f>
        <v/>
      </c>
      <c r="C50" s="623">
        <f>C10</f>
        <v/>
      </c>
      <c r="D50" s="623">
        <f>D10</f>
        <v/>
      </c>
      <c r="E50" s="624">
        <f>E10</f>
        <v/>
      </c>
      <c r="S50" s="564">
        <f>'Exit Summary'!C73</f>
        <v/>
      </c>
      <c r="U50" s="564">
        <f>'Exit Summary'!E73</f>
        <v/>
      </c>
      <c r="V50" s="564">
        <f>'Exit Summary'!H73</f>
        <v/>
      </c>
    </row>
    <row r="51">
      <c r="B51" s="622">
        <f>B11</f>
        <v/>
      </c>
      <c r="C51" s="623">
        <f>C11</f>
        <v/>
      </c>
      <c r="D51" s="623">
        <f>D11</f>
        <v/>
      </c>
      <c r="E51" s="624">
        <f>E11</f>
        <v/>
      </c>
      <c r="S51" s="564">
        <f>'Exit Summary'!C74</f>
        <v/>
      </c>
      <c r="T51" s="564" t="n"/>
      <c r="U51" s="564">
        <f>'Exit Summary'!E74</f>
        <v/>
      </c>
      <c r="V51" s="564">
        <f>'Exit Summary'!H74</f>
        <v/>
      </c>
    </row>
    <row r="52">
      <c r="B52" s="622">
        <f>B12</f>
        <v/>
      </c>
      <c r="C52" s="623">
        <f>C12</f>
        <v/>
      </c>
      <c r="D52" s="623">
        <f>D12</f>
        <v/>
      </c>
      <c r="E52" s="624">
        <f>E12</f>
        <v/>
      </c>
      <c r="S52" s="1322" t="inlineStr">
        <is>
          <t>TP PROMOTE *</t>
        </is>
      </c>
      <c r="T52" s="1322" t="n"/>
      <c r="U52" s="1322">
        <f>'Exit Summary'!E75*0.9</f>
        <v/>
      </c>
      <c r="V52" s="1322">
        <f>'Exit Summary'!H75*0.9</f>
        <v/>
      </c>
    </row>
    <row r="53">
      <c r="B53" s="622">
        <f>B13</f>
        <v/>
      </c>
      <c r="C53" s="623">
        <f>C13</f>
        <v/>
      </c>
      <c r="D53" s="623">
        <f>D13</f>
        <v/>
      </c>
      <c r="E53" s="624">
        <f>E13</f>
        <v/>
      </c>
      <c r="S53" s="564">
        <f>'Exit Summary'!C76</f>
        <v/>
      </c>
      <c r="T53" s="564" t="n"/>
      <c r="U53" s="564">
        <f>SUM(U49:U52)</f>
        <v/>
      </c>
      <c r="V53" s="564">
        <f>SUM(V49:V52)</f>
        <v/>
      </c>
    </row>
    <row r="54">
      <c r="B54" s="622">
        <f>B14</f>
        <v/>
      </c>
      <c r="C54" s="623">
        <f>C14</f>
        <v/>
      </c>
      <c r="D54" s="623">
        <f>D14</f>
        <v/>
      </c>
      <c r="E54" s="624">
        <f>E14</f>
        <v/>
      </c>
      <c r="S54" s="564" t="n"/>
      <c r="T54" s="564" t="n"/>
      <c r="U54" s="564" t="n"/>
      <c r="V54" s="564" t="n"/>
    </row>
    <row r="55">
      <c r="B55" s="622">
        <f>B15</f>
        <v/>
      </c>
      <c r="C55" s="623">
        <f>C15</f>
        <v/>
      </c>
      <c r="D55" s="623">
        <f>D15</f>
        <v/>
      </c>
      <c r="E55" s="624">
        <f>E15</f>
        <v/>
      </c>
      <c r="S55" s="564">
        <f>'Exit Summary'!C78</f>
        <v/>
      </c>
      <c r="T55" s="564" t="n"/>
      <c r="U55" s="564">
        <f>'Exit Summary'!E78</f>
        <v/>
      </c>
      <c r="V55" s="564">
        <f>'Exit Summary'!H78</f>
        <v/>
      </c>
    </row>
    <row r="56">
      <c r="B56" s="622">
        <f>B16</f>
        <v/>
      </c>
      <c r="C56" s="623">
        <f>C16</f>
        <v/>
      </c>
      <c r="D56" s="623">
        <f>D16</f>
        <v/>
      </c>
      <c r="E56" s="624">
        <f>E16</f>
        <v/>
      </c>
      <c r="S56" s="564">
        <f>'Exit Summary'!C79</f>
        <v/>
      </c>
      <c r="T56" s="564" t="n"/>
      <c r="U56" s="564" t="n">
        <v>0</v>
      </c>
      <c r="V56" s="564">
        <f>'Exit Summary'!H79</f>
        <v/>
      </c>
    </row>
    <row r="57">
      <c r="B57" s="622">
        <f>B17</f>
        <v/>
      </c>
      <c r="C57" s="623">
        <f>C17</f>
        <v/>
      </c>
      <c r="D57" s="623">
        <f>D17</f>
        <v/>
      </c>
      <c r="E57" s="624">
        <f>E17</f>
        <v/>
      </c>
      <c r="S57" s="732">
        <f>'Exit Summary'!C80</f>
        <v/>
      </c>
      <c r="T57" s="732" t="n"/>
      <c r="U57" s="732">
        <f>'Exit Summary'!E80</f>
        <v/>
      </c>
      <c r="V57" s="732">
        <f>'Exit Summary'!H80</f>
        <v/>
      </c>
    </row>
    <row r="58">
      <c r="B58" s="622">
        <f>B18</f>
        <v/>
      </c>
      <c r="C58" s="623">
        <f>C18</f>
        <v/>
      </c>
      <c r="D58" s="623">
        <f>D18</f>
        <v/>
      </c>
      <c r="E58" s="624">
        <f>E18</f>
        <v/>
      </c>
      <c r="S58" s="564">
        <f>'Exit Summary'!C81</f>
        <v/>
      </c>
      <c r="T58" s="564" t="n"/>
      <c r="U58" s="564">
        <f>'Exit Summary'!E81</f>
        <v/>
      </c>
      <c r="V58" s="564">
        <f>'Exit Summary'!H81</f>
        <v/>
      </c>
    </row>
    <row r="59">
      <c r="B59" s="622">
        <f>B20</f>
        <v/>
      </c>
      <c r="C59" s="623">
        <f>C20</f>
        <v/>
      </c>
      <c r="D59" s="623">
        <f>D20</f>
        <v/>
      </c>
      <c r="E59" s="624">
        <f>E20</f>
        <v/>
      </c>
      <c r="S59" s="564" t="n"/>
      <c r="T59" s="564" t="n"/>
      <c r="U59" s="564" t="n"/>
      <c r="V59" s="564" t="n"/>
    </row>
    <row r="60">
      <c r="B60" s="622">
        <f>B21</f>
        <v/>
      </c>
      <c r="C60" s="623">
        <f>C21</f>
        <v/>
      </c>
      <c r="D60" s="623">
        <f>D21</f>
        <v/>
      </c>
      <c r="E60" s="624">
        <f>E21</f>
        <v/>
      </c>
      <c r="S60" s="564">
        <f>'Exit Summary'!C83</f>
        <v/>
      </c>
      <c r="T60" s="564" t="n"/>
      <c r="U60" s="564">
        <f>U53+U58</f>
        <v/>
      </c>
      <c r="V60" s="564">
        <f>V53+V58</f>
        <v/>
      </c>
    </row>
    <row r="61">
      <c r="B61" s="622">
        <f>B22</f>
        <v/>
      </c>
      <c r="C61" s="623">
        <f>C22</f>
        <v/>
      </c>
      <c r="D61" s="623">
        <f>D22</f>
        <v/>
      </c>
      <c r="E61" s="624">
        <f>E22</f>
        <v/>
      </c>
      <c r="S61" s="564" t="n"/>
      <c r="T61" s="564" t="n"/>
      <c r="U61" s="564" t="n"/>
      <c r="V61" s="564" t="n"/>
    </row>
    <row r="62" ht="16" customHeight="1" thickBot="1">
      <c r="B62" s="622">
        <f>B23</f>
        <v/>
      </c>
      <c r="C62" s="623">
        <f>C23</f>
        <v/>
      </c>
      <c r="D62" s="623">
        <f>D23</f>
        <v/>
      </c>
      <c r="E62" s="624">
        <f>E23</f>
        <v/>
      </c>
      <c r="S62" s="564">
        <f>'Exit Summary'!C85</f>
        <v/>
      </c>
      <c r="T62" s="564" t="n"/>
      <c r="U62" s="564">
        <f>U60-U49</f>
        <v/>
      </c>
      <c r="V62" s="564">
        <f>V60-V49</f>
        <v/>
      </c>
    </row>
    <row r="63" ht="16" customHeight="1" thickBot="1">
      <c r="B63" s="625" t="inlineStr">
        <is>
          <t>TOTAL DEVELOPMENT COSTS</t>
        </is>
      </c>
      <c r="C63" s="1303">
        <f>SUM(C44:C62)</f>
        <v/>
      </c>
      <c r="D63" s="1303">
        <f>SUM(D44:D62)</f>
        <v/>
      </c>
      <c r="E63" s="1323">
        <f>SUM(E44:E62)</f>
        <v/>
      </c>
    </row>
    <row r="64">
      <c r="S64" s="565" t="inlineStr">
        <is>
          <t>INVESTOR SUMMARY</t>
        </is>
      </c>
      <c r="T64" s="508" t="n"/>
      <c r="U64" s="509" t="inlineStr">
        <is>
          <t>UNTRENDED</t>
        </is>
      </c>
      <c r="V64" s="509" t="inlineStr">
        <is>
          <t>TRENDED (YEAR 3)</t>
        </is>
      </c>
    </row>
    <row r="66">
      <c r="S66" s="564" t="inlineStr">
        <is>
          <t>INVESTOR EQUITY</t>
        </is>
      </c>
      <c r="T66" s="566">
        <f>'Exit Summary'!D60</f>
        <v/>
      </c>
      <c r="U66" s="564">
        <f>'Exit Summary'!E60</f>
        <v/>
      </c>
      <c r="V66" s="564">
        <f>'Exit Summary'!H60</f>
        <v/>
      </c>
    </row>
    <row r="67">
      <c r="S67" s="564">
        <f>'Exit Summary'!C61</f>
        <v/>
      </c>
      <c r="U67" s="564">
        <f>'Exit Summary'!E61</f>
        <v/>
      </c>
      <c r="V67" s="564">
        <f>'Exit Summary'!H61</f>
        <v/>
      </c>
    </row>
    <row r="68">
      <c r="S68" s="564">
        <f>'Exit Summary'!C62</f>
        <v/>
      </c>
      <c r="U68" s="564">
        <f>'Exit Summary'!E62</f>
        <v/>
      </c>
      <c r="V68" s="564">
        <f>'Exit Summary'!H62</f>
        <v/>
      </c>
    </row>
    <row r="69">
      <c r="S69" s="732">
        <f>'Exit Summary'!C63</f>
        <v/>
      </c>
      <c r="T69" s="733" t="n"/>
      <c r="U69" s="732">
        <f>'Exit Summary'!E63</f>
        <v/>
      </c>
      <c r="V69" s="732">
        <f>'Exit Summary'!H63</f>
        <v/>
      </c>
    </row>
    <row r="70">
      <c r="S70" s="564">
        <f>'Exit Summary'!C64</f>
        <v/>
      </c>
      <c r="U70" s="564">
        <f>SUM(U66:U69)</f>
        <v/>
      </c>
      <c r="V70" s="564">
        <f>SUM(V66:V69)</f>
        <v/>
      </c>
    </row>
    <row r="71">
      <c r="S71" s="564" t="n"/>
      <c r="U71" s="564" t="n"/>
      <c r="V71" s="564" t="n"/>
    </row>
    <row r="72">
      <c r="S72" s="564">
        <f>'Exit Summary'!C66</f>
        <v/>
      </c>
      <c r="U72" s="564">
        <f>'Exit Summary'!E66</f>
        <v/>
      </c>
      <c r="V72" s="564">
        <f>'Exit Summary'!H66</f>
        <v/>
      </c>
    </row>
    <row r="73">
      <c r="S73" s="564">
        <f>'Exit Summary'!C67</f>
        <v/>
      </c>
      <c r="U73" s="566">
        <f>'Exit Summary'!E67</f>
        <v/>
      </c>
      <c r="V73" s="566">
        <f>'Exit Summary'!H67</f>
        <v/>
      </c>
    </row>
    <row r="74">
      <c r="S74" s="564">
        <f>'Exit Summary'!C68</f>
        <v/>
      </c>
      <c r="U74" s="567">
        <f>'Exit Summary'!E68</f>
        <v/>
      </c>
      <c r="V74" s="567">
        <f>'Exit Summary'!H68</f>
        <v/>
      </c>
    </row>
  </sheetData>
  <mergeCells count="1">
    <mergeCell ref="X1:AC1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N36" sqref="N36"/>
    </sheetView>
  </sheetViews>
  <sheetFormatPr baseColWidth="10" defaultColWidth="9" defaultRowHeight="15"/>
  <cols>
    <col width="5.5" customWidth="1" style="575" min="1" max="1"/>
    <col width="9" customWidth="1" style="575" min="2" max="2"/>
    <col width="11.5" customWidth="1" style="575" min="3" max="3"/>
    <col width="12" customWidth="1" style="575" min="4" max="4"/>
    <col width="11.5" customWidth="1" style="575" min="5" max="5"/>
    <col width="12.5" customWidth="1" style="575" min="6" max="6"/>
    <col hidden="1" width="15" customWidth="1" style="575" min="7" max="7"/>
    <col width="10" customWidth="1" style="575" min="8" max="8"/>
    <col width="14.5" customWidth="1" style="575" min="9" max="9"/>
    <col width="14" customWidth="1" style="575" min="10" max="11"/>
    <col width="14.83203125" customWidth="1" style="575" min="12" max="12"/>
    <col width="12.5" customWidth="1" style="575" min="13" max="13"/>
    <col width="12" customWidth="1" style="575" min="14" max="15"/>
    <col width="15" customWidth="1" style="575" min="16" max="16"/>
    <col width="17.33203125" customWidth="1" style="575" min="17" max="17"/>
    <col width="12" customWidth="1" style="575" min="18" max="19"/>
    <col width="13.5" customWidth="1" style="575" min="20" max="20"/>
    <col width="12.5" customWidth="1" style="575" min="21" max="21"/>
    <col width="12" customWidth="1" style="575" min="22" max="26"/>
    <col width="11" customWidth="1" style="575" min="27" max="27"/>
    <col width="11.5" customWidth="1" style="575" min="28" max="28"/>
    <col width="12" customWidth="1" style="575" min="29" max="30"/>
    <col width="11.5" customWidth="1" style="575" min="31" max="31"/>
    <col width="9" customWidth="1" style="575" min="32" max="33"/>
    <col width="11" customWidth="1" style="575" min="34" max="34"/>
    <col width="14" customWidth="1" style="575" min="35" max="35"/>
    <col width="11.5" customWidth="1" style="575" min="36" max="36"/>
    <col width="9" customWidth="1" style="575" min="37" max="16384"/>
  </cols>
  <sheetData>
    <row r="1">
      <c r="A1" s="949" t="n"/>
      <c r="B1" s="949" t="n"/>
      <c r="C1" s="949" t="n"/>
      <c r="D1" s="949" t="n"/>
      <c r="E1" s="949" t="n"/>
      <c r="F1" s="950" t="n"/>
      <c r="G1" s="949" t="n"/>
      <c r="H1" s="949" t="n"/>
      <c r="I1" s="949" t="n"/>
      <c r="J1" s="949" t="n"/>
      <c r="K1" s="949" t="n"/>
      <c r="L1" s="949" t="n"/>
      <c r="M1" s="949" t="n"/>
      <c r="N1" s="949" t="n"/>
      <c r="O1" s="949" t="n"/>
      <c r="P1" s="949" t="n"/>
      <c r="Q1" s="949" t="n"/>
    </row>
    <row r="2">
      <c r="A2" s="949" t="n"/>
      <c r="B2" s="949" t="n"/>
      <c r="C2" s="949" t="n"/>
      <c r="D2" s="951" t="inlineStr">
        <is>
          <t>Valuation</t>
        </is>
      </c>
      <c r="E2" s="951" t="inlineStr">
        <is>
          <t>Assessed</t>
        </is>
      </c>
      <c r="F2" s="951" t="inlineStr">
        <is>
          <t>Millage Rate</t>
        </is>
      </c>
      <c r="G2" s="951" t="inlineStr">
        <is>
          <t>Mkt Rate RETs</t>
        </is>
      </c>
      <c r="H2" s="951" t="inlineStr">
        <is>
          <t>Abatement</t>
        </is>
      </c>
      <c r="I2" s="951" t="inlineStr">
        <is>
          <t>Taxes Paid</t>
        </is>
      </c>
      <c r="J2" s="951" t="inlineStr">
        <is>
          <t>Taxes Saved</t>
        </is>
      </c>
      <c r="K2" s="951" t="n"/>
      <c r="L2" s="949" t="n"/>
      <c r="M2" s="949" t="n"/>
      <c r="N2" s="949" t="n"/>
      <c r="O2" s="949" t="n"/>
      <c r="P2" s="949" t="n"/>
      <c r="Q2" s="949" t="n"/>
    </row>
    <row r="3">
      <c r="A3" s="735" t="n"/>
      <c r="B3" s="949" t="n">
        <v>2023</v>
      </c>
      <c r="C3" s="949" t="n"/>
      <c r="D3" s="1324">
        <f>'Soft Cost Detail'!D7</f>
        <v/>
      </c>
      <c r="E3" s="1325">
        <f>+D3*0.4</f>
        <v/>
      </c>
      <c r="F3" s="1326">
        <f>P11/P12</f>
        <v/>
      </c>
      <c r="G3" s="1038">
        <f>F3*E3</f>
        <v/>
      </c>
      <c r="H3" s="950" t="n">
        <v>0</v>
      </c>
      <c r="I3" s="1325">
        <f>G3 * (1 - H3)</f>
        <v/>
      </c>
      <c r="J3" s="1325">
        <f>G3-I3</f>
        <v/>
      </c>
      <c r="K3" s="464" t="inlineStr">
        <is>
          <t>Taxes during construction frozen; based on initial purchase price of raw land</t>
        </is>
      </c>
      <c r="L3" s="1327" t="n"/>
      <c r="M3" s="949" t="n"/>
      <c r="N3" s="949" t="n"/>
      <c r="O3" s="949" t="n"/>
      <c r="P3" s="949" t="n"/>
      <c r="Q3" s="949" t="n"/>
    </row>
    <row r="4">
      <c r="A4" s="748" t="n"/>
      <c r="B4" s="949" t="n">
        <v>2024</v>
      </c>
      <c r="C4" s="949" t="n"/>
      <c r="D4" s="1324">
        <f>D3</f>
        <v/>
      </c>
      <c r="E4" s="1325">
        <f>+D4*0.4</f>
        <v/>
      </c>
      <c r="F4" s="1328">
        <f>F3*(1+$E$23)</f>
        <v/>
      </c>
      <c r="G4" s="1038">
        <f>F4*E4</f>
        <v/>
      </c>
      <c r="H4" s="950" t="n">
        <v>0</v>
      </c>
      <c r="I4" s="1325">
        <f>G4</f>
        <v/>
      </c>
      <c r="J4" s="1325">
        <f>G4-I4</f>
        <v/>
      </c>
      <c r="K4" s="464" t="inlineStr">
        <is>
          <t>100% Tax Abatement begins January  of year following FULL project CO</t>
        </is>
      </c>
      <c r="L4" s="955" t="n"/>
      <c r="M4" s="465" t="n"/>
      <c r="N4" s="465" t="n"/>
      <c r="O4" s="949" t="n"/>
      <c r="P4" s="949" t="n"/>
      <c r="Q4" s="949" t="n"/>
    </row>
    <row r="5">
      <c r="A5" s="1042" t="n"/>
      <c r="B5" s="949" t="n">
        <v>2025</v>
      </c>
      <c r="C5" s="949" t="inlineStr">
        <is>
          <t>Year 1</t>
        </is>
      </c>
      <c r="D5" s="1325">
        <f>P9</f>
        <v/>
      </c>
      <c r="E5" s="1325">
        <f>+D5*0.4</f>
        <v/>
      </c>
      <c r="F5" s="1328">
        <f>F4*(1+$E$23)</f>
        <v/>
      </c>
      <c r="G5" s="1038">
        <f>F5*E5</f>
        <v/>
      </c>
      <c r="H5" s="577" t="n"/>
      <c r="I5" s="1325">
        <f>G5 * (1 - H5)</f>
        <v/>
      </c>
      <c r="J5" s="1325">
        <f>G5-I5</f>
        <v/>
      </c>
      <c r="K5" s="1325" t="n"/>
      <c r="L5" s="949" t="n"/>
      <c r="M5" s="1329" t="n"/>
      <c r="N5" s="1329" t="n"/>
      <c r="O5" s="949" t="n"/>
      <c r="P5" s="949" t="n"/>
      <c r="Q5" s="949" t="n"/>
    </row>
    <row r="6" ht="16" customHeight="1" thickBot="1">
      <c r="A6" s="1330" t="n"/>
      <c r="B6" s="949" t="n">
        <v>2026</v>
      </c>
      <c r="C6" s="949" t="inlineStr">
        <is>
          <t>Year 2</t>
        </is>
      </c>
      <c r="D6" s="1325">
        <f>D5*(1+$E$22)</f>
        <v/>
      </c>
      <c r="E6" s="1325">
        <f>+D6*0.4</f>
        <v/>
      </c>
      <c r="F6" s="1328">
        <f>F5*(1+$E$23)</f>
        <v/>
      </c>
      <c r="G6" s="1038">
        <f>F6*E6</f>
        <v/>
      </c>
      <c r="H6" s="577" t="n"/>
      <c r="I6" s="1325">
        <f>G6 * (1 - H6)</f>
        <v/>
      </c>
      <c r="J6" s="1325">
        <f>G6-I6</f>
        <v/>
      </c>
      <c r="K6" s="1325" t="n"/>
      <c r="L6" s="949" t="n"/>
      <c r="M6" s="1331" t="n"/>
      <c r="N6" s="1331" t="n"/>
      <c r="O6" s="949" t="n"/>
      <c r="P6" s="949" t="n"/>
      <c r="Q6" s="949" t="n"/>
    </row>
    <row r="7" ht="16" customHeight="1" thickBot="1">
      <c r="A7" s="1330" t="n"/>
      <c r="B7" s="949" t="n">
        <v>2027</v>
      </c>
      <c r="C7" s="949" t="inlineStr">
        <is>
          <t>Year 3</t>
        </is>
      </c>
      <c r="D7" s="1325">
        <f>D6*(1+$E$22)</f>
        <v/>
      </c>
      <c r="E7" s="1325">
        <f>+D7*0.4</f>
        <v/>
      </c>
      <c r="F7" s="1328">
        <f>F6*(1+$E$23)</f>
        <v/>
      </c>
      <c r="G7" s="1038">
        <f>F7*E7</f>
        <v/>
      </c>
      <c r="H7" s="577" t="n"/>
      <c r="I7" s="1325">
        <f>G7 * (1 - H7)</f>
        <v/>
      </c>
      <c r="J7" s="1325">
        <f>G7-I7</f>
        <v/>
      </c>
      <c r="K7" s="1325" t="n"/>
      <c r="L7" s="1332" t="inlineStr">
        <is>
          <t>RET ESTIMATE FROM SANTI 3/17/22</t>
        </is>
      </c>
      <c r="M7" s="1333" t="n"/>
      <c r="N7" s="1333" t="n"/>
      <c r="O7" s="1050" t="n"/>
      <c r="P7" s="1334" t="inlineStr">
        <is>
          <t>based on actuals, the below are made up</t>
        </is>
      </c>
      <c r="Q7" s="1335" t="n"/>
    </row>
    <row r="8" ht="16" customHeight="1" thickBot="1">
      <c r="A8" s="949" t="n"/>
      <c r="B8" s="949" t="n">
        <v>2028</v>
      </c>
      <c r="C8" s="949" t="inlineStr">
        <is>
          <t>Year 4</t>
        </is>
      </c>
      <c r="D8" s="1325">
        <f>D7*(1+$E$22)</f>
        <v/>
      </c>
      <c r="E8" s="1325">
        <f>+D8*0.4</f>
        <v/>
      </c>
      <c r="F8" s="1328">
        <f>F7*(1+$E$23)</f>
        <v/>
      </c>
      <c r="G8" s="1038">
        <f>F8*E8</f>
        <v/>
      </c>
      <c r="H8" s="577" t="n"/>
      <c r="I8" s="1325">
        <f>G8 * (1 - H8)</f>
        <v/>
      </c>
      <c r="J8" s="1325">
        <f>G8-I8</f>
        <v/>
      </c>
      <c r="K8" s="1325" t="n"/>
      <c r="L8" s="958" t="n"/>
      <c r="M8" s="959" t="inlineStr">
        <is>
          <t>COUNTY RET</t>
        </is>
      </c>
      <c r="N8" s="959" t="inlineStr">
        <is>
          <t>CITY RET</t>
        </is>
      </c>
      <c r="O8" s="960" t="inlineStr">
        <is>
          <t>TOTALS</t>
        </is>
      </c>
      <c r="P8" s="1336" t="inlineStr">
        <is>
          <t>assumptions to fit into abatement chart</t>
        </is>
      </c>
      <c r="Q8" s="1337" t="n"/>
    </row>
    <row r="9">
      <c r="A9" s="949" t="n"/>
      <c r="B9" s="949" t="n">
        <v>2029</v>
      </c>
      <c r="C9" s="949" t="inlineStr">
        <is>
          <t>Year 5</t>
        </is>
      </c>
      <c r="D9" s="1325">
        <f>D8*(1+$E$22)</f>
        <v/>
      </c>
      <c r="E9" s="1325">
        <f>+D9*0.4</f>
        <v/>
      </c>
      <c r="F9" s="1328">
        <f>F8*(1+$E$23)</f>
        <v/>
      </c>
      <c r="G9" s="1038">
        <f>F9*E9</f>
        <v/>
      </c>
      <c r="H9" s="577" t="n"/>
      <c r="I9" s="1325">
        <f>G9 * (1 - H9)</f>
        <v/>
      </c>
      <c r="J9" s="1325">
        <f>G9-I9</f>
        <v/>
      </c>
      <c r="K9" s="1325" t="n"/>
      <c r="L9" s="467" t="inlineStr">
        <is>
          <t>Hall Co Valuation</t>
        </is>
      </c>
      <c r="M9" s="1338">
        <f>Summary!Q131*Total_Number_Units</f>
        <v/>
      </c>
      <c r="N9" s="1339">
        <f>M9</f>
        <v/>
      </c>
      <c r="O9" s="1340" t="n"/>
      <c r="P9" s="1341">
        <f>N9</f>
        <v/>
      </c>
      <c r="Q9" s="949" t="n"/>
    </row>
    <row r="10">
      <c r="A10" s="949" t="n"/>
      <c r="B10" s="949" t="n">
        <v>2030</v>
      </c>
      <c r="C10" s="949" t="inlineStr">
        <is>
          <t>Year 6</t>
        </is>
      </c>
      <c r="D10" s="1325">
        <f>D9*(1+$E$22)</f>
        <v/>
      </c>
      <c r="E10" s="1325">
        <f>+D10*0.4</f>
        <v/>
      </c>
      <c r="F10" s="1328">
        <f>F9*(1+$E$23)</f>
        <v/>
      </c>
      <c r="G10" s="1038">
        <f>F10*E10</f>
        <v/>
      </c>
      <c r="H10" s="577" t="n"/>
      <c r="I10" s="1325">
        <f>G10 * (1 - H10)</f>
        <v/>
      </c>
      <c r="J10" s="1325">
        <f>G10-I10</f>
        <v/>
      </c>
      <c r="K10" s="1325" t="n"/>
      <c r="L10" s="467" t="inlineStr">
        <is>
          <t>Assessment Rate</t>
        </is>
      </c>
      <c r="M10" s="1390" t="n"/>
      <c r="N10" s="1390" t="n"/>
      <c r="O10" s="965" t="n"/>
      <c r="P10" s="469">
        <f>M10</f>
        <v/>
      </c>
      <c r="Q10" s="949" t="n"/>
    </row>
    <row r="11">
      <c r="A11" s="949" t="n"/>
      <c r="B11" s="949" t="n">
        <v>2031</v>
      </c>
      <c r="C11" s="949" t="inlineStr">
        <is>
          <t>Year 7</t>
        </is>
      </c>
      <c r="D11" s="1325">
        <f>D10*(1+$E$22)</f>
        <v/>
      </c>
      <c r="E11" s="1325">
        <f>+D11*0.4</f>
        <v/>
      </c>
      <c r="F11" s="1328">
        <f>F10*(1+$E$23)</f>
        <v/>
      </c>
      <c r="G11" s="1038">
        <f>F11*E11</f>
        <v/>
      </c>
      <c r="H11" s="577" t="n"/>
      <c r="I11" s="1325">
        <f>G11 * (1 - H11)</f>
        <v/>
      </c>
      <c r="J11" s="1325">
        <f>G11-I11</f>
        <v/>
      </c>
      <c r="K11" s="1325" t="n"/>
      <c r="L11" s="467" t="inlineStr">
        <is>
          <t>Millage Rate</t>
        </is>
      </c>
      <c r="M11" s="1391" t="n"/>
      <c r="N11" s="1392" t="n"/>
      <c r="O11" s="965" t="n"/>
      <c r="P11" s="470">
        <f>Summary!Q133</f>
        <v/>
      </c>
      <c r="Q11" s="949" t="n"/>
    </row>
    <row r="12">
      <c r="A12" s="949" t="n"/>
      <c r="B12" s="949" t="n">
        <v>2032</v>
      </c>
      <c r="C12" s="949" t="inlineStr">
        <is>
          <t>Year 8</t>
        </is>
      </c>
      <c r="D12" s="1325">
        <f>D11*(1+$E$22)</f>
        <v/>
      </c>
      <c r="E12" s="1325">
        <f>+D12*0.4</f>
        <v/>
      </c>
      <c r="F12" s="1328">
        <f>F11*(1+$E$23)</f>
        <v/>
      </c>
      <c r="G12" s="1038">
        <f>F12*E12</f>
        <v/>
      </c>
      <c r="H12" s="577" t="n"/>
      <c r="I12" s="1325">
        <f>G12 * (1 - H12)</f>
        <v/>
      </c>
      <c r="J12" s="1325">
        <f>G12-I12</f>
        <v/>
      </c>
      <c r="K12" s="1325" t="n"/>
      <c r="L12" s="471" t="inlineStr">
        <is>
          <t>Rate</t>
        </is>
      </c>
      <c r="M12" s="1342" t="n">
        <v>1000</v>
      </c>
      <c r="N12" s="1342" t="n">
        <v>1000</v>
      </c>
      <c r="O12" s="968" t="n"/>
      <c r="P12" s="579" t="n">
        <v>1000</v>
      </c>
      <c r="Q12" s="949" t="n"/>
    </row>
    <row r="13">
      <c r="A13" s="949" t="n"/>
      <c r="B13" s="949" t="n">
        <v>2033</v>
      </c>
      <c r="C13" s="949" t="inlineStr">
        <is>
          <t>Year 9</t>
        </is>
      </c>
      <c r="D13" s="1325">
        <f>D12*(1+$E$22)</f>
        <v/>
      </c>
      <c r="E13" s="1325">
        <f>+D13*0.4</f>
        <v/>
      </c>
      <c r="F13" s="1328">
        <f>F12*(1+$E$23)</f>
        <v/>
      </c>
      <c r="G13" s="1038">
        <f>F13*E13</f>
        <v/>
      </c>
      <c r="H13" s="577" t="n"/>
      <c r="I13" s="1325">
        <f>G13 * (1 - H13)</f>
        <v/>
      </c>
      <c r="J13" s="1325">
        <f>G13-I13</f>
        <v/>
      </c>
      <c r="K13" s="1325" t="n"/>
      <c r="L13" s="467" t="inlineStr">
        <is>
          <t>RET - TOTAL</t>
        </is>
      </c>
      <c r="M13" s="1343">
        <f>M9*M10*M11/M12</f>
        <v/>
      </c>
      <c r="N13" s="1343">
        <f>N9*N10*N11/N12</f>
        <v/>
      </c>
      <c r="O13" s="1344">
        <f>M13+N13</f>
        <v/>
      </c>
      <c r="P13" s="1345">
        <f>O13</f>
        <v/>
      </c>
      <c r="Q13" s="949" t="n"/>
    </row>
    <row r="14" ht="16" customHeight="1" thickBot="1">
      <c r="A14" s="949" t="n"/>
      <c r="B14" s="949" t="n">
        <v>2034</v>
      </c>
      <c r="C14" s="949" t="inlineStr">
        <is>
          <t>Year 10</t>
        </is>
      </c>
      <c r="D14" s="1325">
        <f>D13*(1+$E$22)</f>
        <v/>
      </c>
      <c r="E14" s="1325">
        <f>+D14*0.4</f>
        <v/>
      </c>
      <c r="F14" s="1328">
        <f>F13*(1+$E$23)</f>
        <v/>
      </c>
      <c r="G14" s="1038">
        <f>F14*E14</f>
        <v/>
      </c>
      <c r="H14" s="577" t="n"/>
      <c r="I14" s="1325">
        <f>G14 * (1 - H14)</f>
        <v/>
      </c>
      <c r="J14" s="1325">
        <f>G14-I14</f>
        <v/>
      </c>
      <c r="K14" s="1325" t="n"/>
      <c r="L14" s="475" t="inlineStr">
        <is>
          <t>RET - PER UNIT</t>
        </is>
      </c>
      <c r="M14" s="1346">
        <f>M13/Total_Number_Units</f>
        <v/>
      </c>
      <c r="N14" s="1346">
        <f>N13/Total_Number_Units</f>
        <v/>
      </c>
      <c r="O14" s="1347">
        <f>M14+N14</f>
        <v/>
      </c>
      <c r="P14" s="1348">
        <f>O14</f>
        <v/>
      </c>
      <c r="Q14" s="949" t="n"/>
    </row>
    <row r="15">
      <c r="A15" s="949" t="n"/>
      <c r="B15" s="949" t="n">
        <v>2035</v>
      </c>
      <c r="C15" s="949" t="inlineStr">
        <is>
          <t>Year 11</t>
        </is>
      </c>
      <c r="D15" s="1325">
        <f>D14*(1+$E$22)</f>
        <v/>
      </c>
      <c r="E15" s="1325">
        <f>+D15*0.4</f>
        <v/>
      </c>
      <c r="F15" s="1328">
        <f>F14*(1+$E$23)</f>
        <v/>
      </c>
      <c r="G15" s="1038">
        <f>F15*E15</f>
        <v/>
      </c>
      <c r="H15" s="577" t="n"/>
      <c r="I15" s="1325">
        <f>G15 * (1 - H15)</f>
        <v/>
      </c>
      <c r="J15" s="1325">
        <f>G15-I15</f>
        <v/>
      </c>
      <c r="K15" s="1325" t="n"/>
      <c r="L15" s="949" t="n"/>
      <c r="M15" s="949" t="n"/>
      <c r="N15" s="949" t="n"/>
      <c r="O15" s="949" t="n"/>
      <c r="P15" s="949" t="n"/>
      <c r="Q15" s="949" t="n"/>
    </row>
    <row r="16">
      <c r="A16" s="949" t="n"/>
      <c r="B16" s="949" t="n">
        <v>2036</v>
      </c>
      <c r="C16" s="949" t="inlineStr">
        <is>
          <t>Year 12</t>
        </is>
      </c>
      <c r="D16" s="1325">
        <f>D15*(1+$E$22)</f>
        <v/>
      </c>
      <c r="E16" s="1325">
        <f>+D16*0.4</f>
        <v/>
      </c>
      <c r="F16" s="1328">
        <f>F15*(1+$E$23)</f>
        <v/>
      </c>
      <c r="G16" s="1038">
        <f>F16*E16</f>
        <v/>
      </c>
      <c r="H16" s="577" t="n"/>
      <c r="I16" s="1325">
        <f>G16 * (1 - H16)</f>
        <v/>
      </c>
      <c r="J16" s="1325">
        <f>G16-I16</f>
        <v/>
      </c>
      <c r="K16" s="1325" t="n"/>
      <c r="L16" s="949" t="n"/>
      <c r="M16" s="949" t="n"/>
      <c r="N16" s="949" t="n"/>
      <c r="O16" s="949" t="n"/>
      <c r="P16" s="949" t="n"/>
      <c r="Q16" s="949" t="n"/>
    </row>
    <row r="17">
      <c r="B17" s="949" t="n">
        <v>2037</v>
      </c>
      <c r="C17" s="949" t="inlineStr">
        <is>
          <t>Year 13</t>
        </is>
      </c>
      <c r="D17" s="1325">
        <f>D16*(1+$E$22)</f>
        <v/>
      </c>
      <c r="E17" s="1325">
        <f>+D17*0.4</f>
        <v/>
      </c>
      <c r="F17" s="1328">
        <f>F16*(1+$E$23)</f>
        <v/>
      </c>
      <c r="G17" s="1038">
        <f>F17*E17</f>
        <v/>
      </c>
      <c r="H17" s="577" t="n"/>
      <c r="I17" s="1325">
        <f>G17 * (1 - H17)</f>
        <v/>
      </c>
      <c r="J17" s="1325">
        <f>G17-I17</f>
        <v/>
      </c>
      <c r="K17" s="1325" t="n"/>
      <c r="L17" s="949" t="n"/>
      <c r="M17" s="949" t="n"/>
      <c r="N17" s="949" t="n"/>
      <c r="O17" s="949" t="n"/>
      <c r="P17" s="949" t="n"/>
      <c r="Q17" s="949" t="n"/>
    </row>
    <row r="18">
      <c r="B18" s="949" t="n">
        <v>2038</v>
      </c>
      <c r="C18" s="949" t="inlineStr">
        <is>
          <t>Year 14</t>
        </is>
      </c>
      <c r="D18" s="1325">
        <f>D17*(1+$E$22)</f>
        <v/>
      </c>
      <c r="E18" s="1325">
        <f>+D18*0.4</f>
        <v/>
      </c>
      <c r="F18" s="1328">
        <f>F17*(1+$E$23)</f>
        <v/>
      </c>
      <c r="G18" s="1038">
        <f>F18*E18</f>
        <v/>
      </c>
      <c r="H18" s="577" t="n"/>
      <c r="I18" s="1325">
        <f>G18 * (1 - H18)</f>
        <v/>
      </c>
      <c r="J18" s="1325">
        <f>G18-I18</f>
        <v/>
      </c>
      <c r="K18" s="1325" t="n"/>
      <c r="L18" s="949" t="n"/>
      <c r="M18" s="949" t="n"/>
      <c r="N18" s="949" t="n"/>
      <c r="O18" s="949" t="n"/>
      <c r="P18" s="949" t="n"/>
      <c r="Q18" s="949" t="n"/>
    </row>
    <row r="19" ht="18" customHeight="1">
      <c r="B19" s="949" t="n">
        <v>2039</v>
      </c>
      <c r="C19" s="949" t="inlineStr">
        <is>
          <t>Year 15</t>
        </is>
      </c>
      <c r="D19" s="1349">
        <f>D18*(1+$E$22)</f>
        <v/>
      </c>
      <c r="E19" s="1349">
        <f>+D19*0.4</f>
        <v/>
      </c>
      <c r="F19" s="1350">
        <f>F18*(1+$E$23)</f>
        <v/>
      </c>
      <c r="G19" s="1351">
        <f>F19*E19</f>
        <v/>
      </c>
      <c r="H19" s="577" t="n"/>
      <c r="I19" s="1349">
        <f>G19 * (1 - H19)</f>
        <v/>
      </c>
      <c r="J19" s="1349">
        <f>G19-I19</f>
        <v/>
      </c>
      <c r="K19" s="1349" t="n"/>
      <c r="L19" s="949" t="n"/>
      <c r="M19" s="949" t="n"/>
      <c r="N19" s="949" t="n"/>
      <c r="O19" s="949" t="n"/>
      <c r="P19" s="949" t="n"/>
      <c r="Q19" s="949" t="n"/>
    </row>
    <row r="20">
      <c r="B20" s="949" t="n"/>
      <c r="C20" s="949" t="n"/>
      <c r="D20" s="1325" t="n"/>
      <c r="E20" s="1325" t="n"/>
      <c r="F20" s="1328" t="n"/>
      <c r="G20" s="1352">
        <f>SUM(G3:G19)</f>
        <v/>
      </c>
      <c r="H20" s="1325" t="n"/>
      <c r="I20" s="1352">
        <f>SUM(I3:I19)</f>
        <v/>
      </c>
      <c r="J20" s="1352">
        <f>SUM(J3:J19)</f>
        <v/>
      </c>
      <c r="K20" s="1352" t="n"/>
      <c r="L20" s="949" t="n"/>
      <c r="M20" s="949" t="n"/>
      <c r="N20" s="949" t="n"/>
      <c r="O20" s="949" t="n"/>
      <c r="P20" s="949" t="n"/>
      <c r="Q20" s="949" t="n"/>
    </row>
    <row r="21" ht="16" customHeight="1" thickBot="1">
      <c r="B21" s="949" t="n"/>
      <c r="C21" s="949" t="n"/>
      <c r="D21" s="1325" t="n"/>
      <c r="E21" s="1325" t="n"/>
      <c r="F21" s="950" t="n"/>
      <c r="G21" s="1325" t="n"/>
      <c r="H21" s="1325" t="n"/>
      <c r="I21" s="1038" t="n"/>
      <c r="J21" s="1038" t="n"/>
      <c r="K21" s="1038" t="n"/>
      <c r="L21" s="949" t="n"/>
      <c r="M21" s="949" t="n"/>
      <c r="N21" s="949" t="n"/>
      <c r="O21" s="949" t="n"/>
      <c r="P21" s="949" t="n"/>
      <c r="Q21" s="949" t="n"/>
    </row>
    <row r="22" ht="16" customHeight="1" thickBot="1">
      <c r="B22" s="949" t="n"/>
      <c r="C22" s="970" t="inlineStr">
        <is>
          <t>PROPERTY VALUE INCREASE / YR</t>
        </is>
      </c>
      <c r="D22" s="971" t="n"/>
      <c r="E22" s="1353" t="n"/>
      <c r="F22" s="949" t="n"/>
      <c r="G22" s="949" t="n"/>
      <c r="H22" s="1354" t="inlineStr">
        <is>
          <t>ABATEMENT VALUATION</t>
        </is>
      </c>
      <c r="I22" s="1333" t="n"/>
      <c r="J22" s="1050" t="n"/>
      <c r="K22" s="1038" t="n"/>
      <c r="L22" s="949" t="n"/>
      <c r="M22" s="949" t="n"/>
      <c r="N22" s="949" t="n"/>
      <c r="O22" s="949" t="n"/>
      <c r="P22" s="949" t="n"/>
      <c r="Q22" s="949" t="n"/>
    </row>
    <row r="23" ht="16" customHeight="1" thickBot="1">
      <c r="B23" s="949" t="n"/>
      <c r="C23" s="970" t="inlineStr">
        <is>
          <t>ANNUAL INCREASE IN VALUE</t>
        </is>
      </c>
      <c r="D23" s="971" t="n"/>
      <c r="E23" s="1353" t="n"/>
      <c r="F23" s="949" t="n"/>
      <c r="G23" s="1325" t="n"/>
      <c r="H23" s="1355" t="inlineStr">
        <is>
          <t>DISCOUNT RATE</t>
        </is>
      </c>
      <c r="I23" s="973" t="n"/>
      <c r="J23" s="483" t="n"/>
      <c r="K23" s="1038" t="n"/>
      <c r="L23" s="949" t="n"/>
      <c r="M23" s="949" t="n"/>
      <c r="N23" s="1325" t="n"/>
      <c r="O23" s="1325" t="n"/>
      <c r="P23" s="1325" t="n"/>
      <c r="Q23" s="950" t="n"/>
    </row>
    <row r="24" ht="16" customHeight="1" thickBot="1">
      <c r="B24" s="949" t="n"/>
      <c r="C24" s="949" t="n"/>
      <c r="D24" s="1325" t="n"/>
      <c r="E24" s="974" t="n"/>
      <c r="F24" s="949" t="n"/>
      <c r="G24" s="1038" t="n"/>
      <c r="H24" s="975" t="inlineStr">
        <is>
          <t>PROJECT NOMINAL TAX SAVINGS</t>
        </is>
      </c>
      <c r="I24" s="976" t="n"/>
      <c r="J24" s="1356">
        <f>SUM(J3:J19)</f>
        <v/>
      </c>
      <c r="K24" s="1038" t="n"/>
      <c r="L24" s="1038" t="n"/>
      <c r="M24" s="1325" t="n"/>
      <c r="N24" s="1325" t="n"/>
      <c r="O24" s="1325" t="n"/>
      <c r="P24" s="1325" t="n"/>
      <c r="Q24" s="950" t="n"/>
    </row>
    <row r="25" ht="16" customHeight="1" thickBot="1">
      <c r="B25" s="949" t="n"/>
      <c r="C25" s="949" t="n"/>
      <c r="D25" s="1325" t="n"/>
      <c r="E25" s="1357" t="n"/>
      <c r="F25" s="949" t="n"/>
      <c r="G25" s="949" t="n"/>
      <c r="H25" s="975" t="inlineStr">
        <is>
          <t>PROJECT NPV OF TAX SAVINGS</t>
        </is>
      </c>
      <c r="I25" s="976" t="n"/>
      <c r="J25" s="1356">
        <f>NPV($J$23,$J$3:$J$19)</f>
        <v/>
      </c>
      <c r="K25" s="1038" t="n"/>
      <c r="L25" s="1038" t="n"/>
      <c r="M25" s="1325" t="n"/>
      <c r="N25" s="949" t="n"/>
      <c r="O25" s="949" t="n"/>
      <c r="P25" s="949" t="n"/>
      <c r="Q25" s="950" t="n"/>
    </row>
    <row r="26" ht="16" customHeight="1" thickBot="1">
      <c r="B26" s="949" t="n"/>
      <c r="C26" s="949" t="n"/>
      <c r="D26" s="949" t="n"/>
      <c r="E26" s="1358" t="n"/>
      <c r="F26" s="949" t="n"/>
      <c r="G26" s="949" t="n"/>
      <c r="H26" s="975" t="inlineStr">
        <is>
          <t>BUYER'S NOMINAL TAX SAVINGS</t>
        </is>
      </c>
      <c r="I26" s="976" t="n"/>
      <c r="J26" s="1356">
        <f>SUM(J5:J19)</f>
        <v/>
      </c>
      <c r="K26" s="1038" t="n"/>
      <c r="L26" s="1359" t="n"/>
      <c r="M26" s="1325" t="n"/>
      <c r="N26" s="949" t="n"/>
      <c r="O26" s="949" t="n"/>
      <c r="P26" s="949" t="n"/>
      <c r="Q26" s="950" t="n"/>
    </row>
    <row r="27" ht="16" customHeight="1" thickBot="1">
      <c r="B27" s="949" t="n"/>
      <c r="C27" s="949" t="n"/>
      <c r="D27" s="949" t="n"/>
      <c r="E27" s="1325" t="n"/>
      <c r="F27" s="949" t="n"/>
      <c r="G27" s="949" t="n"/>
      <c r="H27" s="975" t="inlineStr">
        <is>
          <t>BUYER'S NPV OF TAX SAVINGS</t>
        </is>
      </c>
      <c r="I27" s="976" t="n"/>
      <c r="J27" s="1356">
        <f>NPV($J$23,$J$5:$J$19)</f>
        <v/>
      </c>
      <c r="K27" s="1038" t="n"/>
      <c r="L27" s="949" t="n"/>
      <c r="M27" s="1325" t="n"/>
      <c r="N27" s="949" t="n"/>
      <c r="O27" s="949" t="n"/>
      <c r="P27" s="949" t="n"/>
      <c r="Q27" s="950" t="n"/>
    </row>
    <row r="28">
      <c r="B28" s="949" t="n"/>
      <c r="C28" s="949" t="n"/>
      <c r="D28" s="949" t="n"/>
      <c r="E28" s="1360" t="n"/>
      <c r="F28" s="949" t="n"/>
      <c r="G28" s="949" t="n"/>
      <c r="H28" s="949" t="n"/>
      <c r="I28" s="949" t="n"/>
      <c r="J28" s="949" t="n"/>
      <c r="K28" s="949" t="n"/>
      <c r="L28" s="949" t="n"/>
      <c r="M28" s="1325" t="n"/>
      <c r="N28" s="949" t="n"/>
      <c r="O28" s="949" t="n"/>
      <c r="P28" s="949" t="n"/>
      <c r="Q28" s="950" t="n"/>
    </row>
    <row r="29">
      <c r="B29" s="949" t="n"/>
      <c r="C29" s="949" t="n"/>
      <c r="D29" s="949" t="n"/>
      <c r="E29" s="949" t="n"/>
      <c r="F29" s="1325" t="n"/>
      <c r="G29" s="949" t="n"/>
      <c r="H29" s="949" t="n"/>
      <c r="I29" s="949" t="n"/>
      <c r="J29" s="949" t="n"/>
      <c r="K29" s="949" t="n"/>
      <c r="L29" s="949" t="n"/>
      <c r="M29" s="949" t="n"/>
      <c r="N29" s="949" t="n"/>
      <c r="O29" s="949" t="n"/>
      <c r="P29" s="949" t="n"/>
      <c r="Q29" s="949" t="n"/>
    </row>
    <row r="32">
      <c r="B32" s="949" t="n"/>
      <c r="C32" s="949" t="n"/>
      <c r="D32" s="949" t="n"/>
      <c r="E32" s="949" t="n"/>
      <c r="F32" s="949" t="n"/>
      <c r="G32" s="949" t="n"/>
      <c r="H32" s="949" t="n"/>
      <c r="I32" s="949" t="n"/>
      <c r="J32" s="949" t="n"/>
      <c r="K32" s="949" t="n"/>
      <c r="L32" s="949" t="n"/>
      <c r="M32" s="949" t="n"/>
      <c r="N32" s="949" t="n"/>
      <c r="O32" s="949" t="n"/>
      <c r="P32" s="949" t="n"/>
      <c r="Q32" s="1361" t="n"/>
    </row>
    <row r="34" ht="18" customHeight="1"/>
  </sheetData>
  <mergeCells count="4">
    <mergeCell ref="L7:O7"/>
    <mergeCell ref="H22:J22"/>
    <mergeCell ref="P8:Q8"/>
    <mergeCell ref="P7:Q7"/>
  </mergeCells>
  <pageMargins left="0.75" right="0.75" top="1" bottom="1" header="0.5" footer="0.5"/>
  <pageSetup orientation="portrait" horizontalDpi="4294967292" verticalDpi="429496729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V99"/>
  <sheetViews>
    <sheetView topLeftCell="A14" workbookViewId="0">
      <selection activeCell="A3" sqref="A3"/>
    </sheetView>
  </sheetViews>
  <sheetFormatPr baseColWidth="10" defaultColWidth="8" defaultRowHeight="13"/>
  <cols>
    <col width="18.6640625" customWidth="1" style="446" min="1" max="1"/>
    <col width="12.1640625" customWidth="1" style="446" min="2" max="172"/>
    <col width="8" customWidth="1" style="446" min="173" max="256"/>
    <col width="18.6640625" customWidth="1" style="446" min="257" max="257"/>
    <col width="12.1640625" customWidth="1" style="446" min="258" max="428"/>
    <col width="8" customWidth="1" style="446" min="429" max="512"/>
    <col width="18.6640625" customWidth="1" style="446" min="513" max="513"/>
    <col width="12.1640625" customWidth="1" style="446" min="514" max="684"/>
    <col width="8" customWidth="1" style="446" min="685" max="768"/>
    <col width="18.6640625" customWidth="1" style="446" min="769" max="769"/>
    <col width="12.1640625" customWidth="1" style="446" min="770" max="940"/>
    <col width="8" customWidth="1" style="446" min="941" max="1024"/>
    <col width="18.6640625" customWidth="1" style="446" min="1025" max="1025"/>
    <col width="12.1640625" customWidth="1" style="446" min="1026" max="1196"/>
    <col width="8" customWidth="1" style="446" min="1197" max="1280"/>
    <col width="18.6640625" customWidth="1" style="446" min="1281" max="1281"/>
    <col width="12.1640625" customWidth="1" style="446" min="1282" max="1452"/>
    <col width="8" customWidth="1" style="446" min="1453" max="1536"/>
    <col width="18.6640625" customWidth="1" style="446" min="1537" max="1537"/>
    <col width="12.1640625" customWidth="1" style="446" min="1538" max="1708"/>
    <col width="8" customWidth="1" style="446" min="1709" max="1792"/>
    <col width="18.6640625" customWidth="1" style="446" min="1793" max="1793"/>
    <col width="12.1640625" customWidth="1" style="446" min="1794" max="1964"/>
    <col width="8" customWidth="1" style="446" min="1965" max="2048"/>
    <col width="18.6640625" customWidth="1" style="446" min="2049" max="2049"/>
    <col width="12.1640625" customWidth="1" style="446" min="2050" max="2220"/>
    <col width="8" customWidth="1" style="446" min="2221" max="2304"/>
    <col width="18.6640625" customWidth="1" style="446" min="2305" max="2305"/>
    <col width="12.1640625" customWidth="1" style="446" min="2306" max="2476"/>
    <col width="8" customWidth="1" style="446" min="2477" max="2560"/>
    <col width="18.6640625" customWidth="1" style="446" min="2561" max="2561"/>
    <col width="12.1640625" customWidth="1" style="446" min="2562" max="2732"/>
    <col width="8" customWidth="1" style="446" min="2733" max="2816"/>
    <col width="18.6640625" customWidth="1" style="446" min="2817" max="2817"/>
    <col width="12.1640625" customWidth="1" style="446" min="2818" max="2988"/>
    <col width="8" customWidth="1" style="446" min="2989" max="3072"/>
    <col width="18.6640625" customWidth="1" style="446" min="3073" max="3073"/>
    <col width="12.1640625" customWidth="1" style="446" min="3074" max="3244"/>
    <col width="8" customWidth="1" style="446" min="3245" max="3328"/>
    <col width="18.6640625" customWidth="1" style="446" min="3329" max="3329"/>
    <col width="12.1640625" customWidth="1" style="446" min="3330" max="3500"/>
    <col width="8" customWidth="1" style="446" min="3501" max="3584"/>
    <col width="18.6640625" customWidth="1" style="446" min="3585" max="3585"/>
    <col width="12.1640625" customWidth="1" style="446" min="3586" max="3756"/>
    <col width="8" customWidth="1" style="446" min="3757" max="3840"/>
    <col width="18.6640625" customWidth="1" style="446" min="3841" max="3841"/>
    <col width="12.1640625" customWidth="1" style="446" min="3842" max="4012"/>
    <col width="8" customWidth="1" style="446" min="4013" max="4096"/>
    <col width="18.6640625" customWidth="1" style="446" min="4097" max="4097"/>
    <col width="12.1640625" customWidth="1" style="446" min="4098" max="4268"/>
    <col width="8" customWidth="1" style="446" min="4269" max="4352"/>
    <col width="18.6640625" customWidth="1" style="446" min="4353" max="4353"/>
    <col width="12.1640625" customWidth="1" style="446" min="4354" max="4524"/>
    <col width="8" customWidth="1" style="446" min="4525" max="4608"/>
    <col width="18.6640625" customWidth="1" style="446" min="4609" max="4609"/>
    <col width="12.1640625" customWidth="1" style="446" min="4610" max="4780"/>
    <col width="8" customWidth="1" style="446" min="4781" max="4864"/>
    <col width="18.6640625" customWidth="1" style="446" min="4865" max="4865"/>
    <col width="12.1640625" customWidth="1" style="446" min="4866" max="5036"/>
    <col width="8" customWidth="1" style="446" min="5037" max="5120"/>
    <col width="18.6640625" customWidth="1" style="446" min="5121" max="5121"/>
    <col width="12.1640625" customWidth="1" style="446" min="5122" max="5292"/>
    <col width="8" customWidth="1" style="446" min="5293" max="5376"/>
    <col width="18.6640625" customWidth="1" style="446" min="5377" max="5377"/>
    <col width="12.1640625" customWidth="1" style="446" min="5378" max="5548"/>
    <col width="8" customWidth="1" style="446" min="5549" max="5632"/>
    <col width="18.6640625" customWidth="1" style="446" min="5633" max="5633"/>
    <col width="12.1640625" customWidth="1" style="446" min="5634" max="5804"/>
    <col width="8" customWidth="1" style="446" min="5805" max="5888"/>
    <col width="18.6640625" customWidth="1" style="446" min="5889" max="5889"/>
    <col width="12.1640625" customWidth="1" style="446" min="5890" max="6060"/>
    <col width="8" customWidth="1" style="446" min="6061" max="6144"/>
    <col width="18.6640625" customWidth="1" style="446" min="6145" max="6145"/>
    <col width="12.1640625" customWidth="1" style="446" min="6146" max="6316"/>
    <col width="8" customWidth="1" style="446" min="6317" max="6400"/>
    <col width="18.6640625" customWidth="1" style="446" min="6401" max="6401"/>
    <col width="12.1640625" customWidth="1" style="446" min="6402" max="6572"/>
    <col width="8" customWidth="1" style="446" min="6573" max="6656"/>
    <col width="18.6640625" customWidth="1" style="446" min="6657" max="6657"/>
    <col width="12.1640625" customWidth="1" style="446" min="6658" max="6828"/>
    <col width="8" customWidth="1" style="446" min="6829" max="6912"/>
    <col width="18.6640625" customWidth="1" style="446" min="6913" max="6913"/>
    <col width="12.1640625" customWidth="1" style="446" min="6914" max="7084"/>
    <col width="8" customWidth="1" style="446" min="7085" max="7168"/>
    <col width="18.6640625" customWidth="1" style="446" min="7169" max="7169"/>
    <col width="12.1640625" customWidth="1" style="446" min="7170" max="7340"/>
    <col width="8" customWidth="1" style="446" min="7341" max="7424"/>
    <col width="18.6640625" customWidth="1" style="446" min="7425" max="7425"/>
    <col width="12.1640625" customWidth="1" style="446" min="7426" max="7596"/>
    <col width="8" customWidth="1" style="446" min="7597" max="7680"/>
    <col width="18.6640625" customWidth="1" style="446" min="7681" max="7681"/>
    <col width="12.1640625" customWidth="1" style="446" min="7682" max="7852"/>
    <col width="8" customWidth="1" style="446" min="7853" max="7936"/>
    <col width="18.6640625" customWidth="1" style="446" min="7937" max="7937"/>
    <col width="12.1640625" customWidth="1" style="446" min="7938" max="8108"/>
    <col width="8" customWidth="1" style="446" min="8109" max="8192"/>
    <col width="18.6640625" customWidth="1" style="446" min="8193" max="8193"/>
    <col width="12.1640625" customWidth="1" style="446" min="8194" max="8364"/>
    <col width="8" customWidth="1" style="446" min="8365" max="8448"/>
    <col width="18.6640625" customWidth="1" style="446" min="8449" max="8449"/>
    <col width="12.1640625" customWidth="1" style="446" min="8450" max="8620"/>
    <col width="8" customWidth="1" style="446" min="8621" max="8704"/>
    <col width="18.6640625" customWidth="1" style="446" min="8705" max="8705"/>
    <col width="12.1640625" customWidth="1" style="446" min="8706" max="8876"/>
    <col width="8" customWidth="1" style="446" min="8877" max="8960"/>
    <col width="18.6640625" customWidth="1" style="446" min="8961" max="8961"/>
    <col width="12.1640625" customWidth="1" style="446" min="8962" max="9132"/>
    <col width="8" customWidth="1" style="446" min="9133" max="9216"/>
    <col width="18.6640625" customWidth="1" style="446" min="9217" max="9217"/>
    <col width="12.1640625" customWidth="1" style="446" min="9218" max="9388"/>
    <col width="8" customWidth="1" style="446" min="9389" max="9472"/>
    <col width="18.6640625" customWidth="1" style="446" min="9473" max="9473"/>
    <col width="12.1640625" customWidth="1" style="446" min="9474" max="9644"/>
    <col width="8" customWidth="1" style="446" min="9645" max="9728"/>
    <col width="18.6640625" customWidth="1" style="446" min="9729" max="9729"/>
    <col width="12.1640625" customWidth="1" style="446" min="9730" max="9900"/>
    <col width="8" customWidth="1" style="446" min="9901" max="9984"/>
    <col width="18.6640625" customWidth="1" style="446" min="9985" max="9985"/>
    <col width="12.1640625" customWidth="1" style="446" min="9986" max="10156"/>
    <col width="8" customWidth="1" style="446" min="10157" max="10240"/>
    <col width="18.6640625" customWidth="1" style="446" min="10241" max="10241"/>
    <col width="12.1640625" customWidth="1" style="446" min="10242" max="10412"/>
    <col width="8" customWidth="1" style="446" min="10413" max="10496"/>
    <col width="18.6640625" customWidth="1" style="446" min="10497" max="10497"/>
    <col width="12.1640625" customWidth="1" style="446" min="10498" max="10668"/>
    <col width="8" customWidth="1" style="446" min="10669" max="10752"/>
    <col width="18.6640625" customWidth="1" style="446" min="10753" max="10753"/>
    <col width="12.1640625" customWidth="1" style="446" min="10754" max="10924"/>
    <col width="8" customWidth="1" style="446" min="10925" max="11008"/>
    <col width="18.6640625" customWidth="1" style="446" min="11009" max="11009"/>
    <col width="12.1640625" customWidth="1" style="446" min="11010" max="11180"/>
    <col width="8" customWidth="1" style="446" min="11181" max="11264"/>
    <col width="18.6640625" customWidth="1" style="446" min="11265" max="11265"/>
    <col width="12.1640625" customWidth="1" style="446" min="11266" max="11436"/>
    <col width="8" customWidth="1" style="446" min="11437" max="11520"/>
    <col width="18.6640625" customWidth="1" style="446" min="11521" max="11521"/>
    <col width="12.1640625" customWidth="1" style="446" min="11522" max="11692"/>
    <col width="8" customWidth="1" style="446" min="11693" max="11776"/>
    <col width="18.6640625" customWidth="1" style="446" min="11777" max="11777"/>
    <col width="12.1640625" customWidth="1" style="446" min="11778" max="11948"/>
    <col width="8" customWidth="1" style="446" min="11949" max="12032"/>
    <col width="18.6640625" customWidth="1" style="446" min="12033" max="12033"/>
    <col width="12.1640625" customWidth="1" style="446" min="12034" max="12204"/>
    <col width="8" customWidth="1" style="446" min="12205" max="12288"/>
    <col width="18.6640625" customWidth="1" style="446" min="12289" max="12289"/>
    <col width="12.1640625" customWidth="1" style="446" min="12290" max="12460"/>
    <col width="8" customWidth="1" style="446" min="12461" max="12544"/>
    <col width="18.6640625" customWidth="1" style="446" min="12545" max="12545"/>
    <col width="12.1640625" customWidth="1" style="446" min="12546" max="12716"/>
    <col width="8" customWidth="1" style="446" min="12717" max="12800"/>
    <col width="18.6640625" customWidth="1" style="446" min="12801" max="12801"/>
    <col width="12.1640625" customWidth="1" style="446" min="12802" max="12972"/>
    <col width="8" customWidth="1" style="446" min="12973" max="13056"/>
    <col width="18.6640625" customWidth="1" style="446" min="13057" max="13057"/>
    <col width="12.1640625" customWidth="1" style="446" min="13058" max="13228"/>
    <col width="8" customWidth="1" style="446" min="13229" max="13312"/>
    <col width="18.6640625" customWidth="1" style="446" min="13313" max="13313"/>
    <col width="12.1640625" customWidth="1" style="446" min="13314" max="13484"/>
    <col width="8" customWidth="1" style="446" min="13485" max="13568"/>
    <col width="18.6640625" customWidth="1" style="446" min="13569" max="13569"/>
    <col width="12.1640625" customWidth="1" style="446" min="13570" max="13740"/>
    <col width="8" customWidth="1" style="446" min="13741" max="13824"/>
    <col width="18.6640625" customWidth="1" style="446" min="13825" max="13825"/>
    <col width="12.1640625" customWidth="1" style="446" min="13826" max="13996"/>
    <col width="8" customWidth="1" style="446" min="13997" max="14080"/>
    <col width="18.6640625" customWidth="1" style="446" min="14081" max="14081"/>
    <col width="12.1640625" customWidth="1" style="446" min="14082" max="14252"/>
    <col width="8" customWidth="1" style="446" min="14253" max="14336"/>
    <col width="18.6640625" customWidth="1" style="446" min="14337" max="14337"/>
    <col width="12.1640625" customWidth="1" style="446" min="14338" max="14508"/>
    <col width="8" customWidth="1" style="446" min="14509" max="14592"/>
    <col width="18.6640625" customWidth="1" style="446" min="14593" max="14593"/>
    <col width="12.1640625" customWidth="1" style="446" min="14594" max="14764"/>
    <col width="8" customWidth="1" style="446" min="14765" max="14848"/>
    <col width="18.6640625" customWidth="1" style="446" min="14849" max="14849"/>
    <col width="12.1640625" customWidth="1" style="446" min="14850" max="15020"/>
    <col width="8" customWidth="1" style="446" min="15021" max="15104"/>
    <col width="18.6640625" customWidth="1" style="446" min="15105" max="15105"/>
    <col width="12.1640625" customWidth="1" style="446" min="15106" max="15276"/>
    <col width="8" customWidth="1" style="446" min="15277" max="15360"/>
    <col width="18.6640625" customWidth="1" style="446" min="15361" max="15361"/>
    <col width="12.1640625" customWidth="1" style="446" min="15362" max="15532"/>
    <col width="8" customWidth="1" style="446" min="15533" max="15616"/>
    <col width="18.6640625" customWidth="1" style="446" min="15617" max="15617"/>
    <col width="12.1640625" customWidth="1" style="446" min="15618" max="15788"/>
    <col width="8" customWidth="1" style="446" min="15789" max="15872"/>
    <col width="18.6640625" customWidth="1" style="446" min="15873" max="15873"/>
    <col width="12.1640625" customWidth="1" style="446" min="15874" max="16044"/>
    <col width="8" customWidth="1" style="446" min="16045" max="16128"/>
    <col width="18.6640625" customWidth="1" style="446" min="16129" max="16129"/>
    <col width="12.1640625" customWidth="1" style="446" min="16130" max="16300"/>
    <col width="8" customWidth="1" style="446" min="16301" max="16384"/>
  </cols>
  <sheetData>
    <row r="1">
      <c r="A1" s="587" t="inlineStr">
        <is>
          <t>Chatham Financial</t>
        </is>
      </c>
      <c r="B1" s="588" t="n"/>
      <c r="C1" s="588" t="n"/>
      <c r="D1" s="588" t="n"/>
      <c r="E1" s="588" t="n"/>
      <c r="F1" s="588" t="n"/>
      <c r="G1" s="588" t="n"/>
      <c r="H1" s="588" t="n"/>
      <c r="I1" s="588" t="n"/>
      <c r="J1" s="588" t="n"/>
      <c r="K1" s="588" t="n"/>
      <c r="L1" s="588" t="n"/>
      <c r="M1" s="588" t="n"/>
      <c r="N1" s="588" t="n"/>
      <c r="O1" s="588" t="n"/>
      <c r="P1" s="588" t="n"/>
      <c r="Q1" s="588" t="n"/>
      <c r="R1" s="588" t="n"/>
      <c r="S1" s="588" t="n"/>
      <c r="T1" s="588" t="n"/>
      <c r="U1" s="588" t="n"/>
      <c r="V1" s="588" t="n"/>
      <c r="W1" s="588" t="n"/>
      <c r="X1" s="588" t="n"/>
      <c r="Y1" s="588" t="n"/>
      <c r="Z1" s="588" t="n"/>
      <c r="AA1" s="588" t="n"/>
      <c r="AB1" s="588" t="n"/>
      <c r="AC1" s="588" t="n"/>
      <c r="AD1" s="588" t="n"/>
      <c r="AE1" s="588" t="n"/>
      <c r="AF1" s="588" t="n"/>
      <c r="AG1" s="588" t="n"/>
      <c r="AH1" s="588" t="n"/>
      <c r="AI1" s="588" t="n"/>
      <c r="AJ1" s="588" t="n"/>
      <c r="AK1" s="588" t="n"/>
      <c r="AL1" s="588" t="n"/>
      <c r="AM1" s="588" t="n"/>
      <c r="AN1" s="588" t="n"/>
      <c r="AO1" s="588" t="n"/>
      <c r="AP1" s="588" t="n"/>
      <c r="AQ1" s="588" t="n"/>
      <c r="AR1" s="588" t="n"/>
      <c r="AS1" s="588" t="n"/>
      <c r="AT1" s="588" t="n"/>
      <c r="AU1" s="588" t="n"/>
      <c r="AV1" s="588" t="n"/>
      <c r="AW1" s="588" t="n"/>
      <c r="AX1" s="588" t="n"/>
      <c r="AY1" s="588" t="n"/>
      <c r="AZ1" s="588" t="n"/>
      <c r="BA1" s="588" t="n"/>
      <c r="BB1" s="588" t="n"/>
      <c r="BC1" s="588" t="n"/>
      <c r="BD1" s="588" t="n"/>
      <c r="BE1" s="588" t="n"/>
      <c r="BF1" s="588" t="n"/>
      <c r="BG1" s="588" t="n"/>
      <c r="BH1" s="588" t="n"/>
      <c r="BI1" s="588" t="n"/>
      <c r="BJ1" s="588" t="n"/>
      <c r="BK1" s="588" t="n"/>
      <c r="BL1" s="588" t="n"/>
      <c r="BM1" s="588" t="n"/>
      <c r="BN1" s="588" t="n"/>
      <c r="BO1" s="588" t="n"/>
      <c r="BP1" s="588" t="n"/>
      <c r="BQ1" s="588" t="n"/>
      <c r="BR1" s="588" t="n"/>
      <c r="BS1" s="588" t="n"/>
      <c r="BT1" s="588" t="n"/>
      <c r="BU1" s="588" t="n"/>
      <c r="BV1" s="588" t="n"/>
      <c r="BW1" s="588" t="n"/>
      <c r="BX1" s="588" t="n"/>
      <c r="BY1" s="588" t="n"/>
      <c r="BZ1" s="588" t="n"/>
      <c r="CA1" s="588" t="n"/>
      <c r="CB1" s="588" t="n"/>
      <c r="CC1" s="588" t="n"/>
      <c r="CD1" s="588" t="n"/>
      <c r="CE1" s="588" t="n"/>
      <c r="CF1" s="588" t="n"/>
      <c r="CG1" s="588" t="n"/>
      <c r="CH1" s="588" t="n"/>
      <c r="CI1" s="588" t="n"/>
      <c r="CJ1" s="588" t="n"/>
      <c r="CK1" s="588" t="n"/>
      <c r="CL1" s="588" t="n"/>
      <c r="CM1" s="588" t="n"/>
      <c r="CN1" s="588" t="n"/>
      <c r="CO1" s="588" t="n"/>
      <c r="CP1" s="588" t="n"/>
      <c r="CQ1" s="588" t="n"/>
      <c r="CR1" s="588" t="n"/>
      <c r="CS1" s="588" t="n"/>
      <c r="CT1" s="588" t="n"/>
      <c r="CU1" s="588" t="n"/>
      <c r="CV1" s="588" t="n"/>
      <c r="CW1" s="588" t="n"/>
      <c r="CX1" s="588" t="n"/>
      <c r="CY1" s="588" t="n"/>
      <c r="CZ1" s="588" t="n"/>
      <c r="DA1" s="588" t="n"/>
      <c r="DB1" s="588" t="n"/>
      <c r="DC1" s="588" t="n"/>
      <c r="DD1" s="588" t="n"/>
      <c r="DE1" s="588" t="n"/>
      <c r="DF1" s="588" t="n"/>
      <c r="DG1" s="588" t="n"/>
      <c r="DH1" s="588" t="n"/>
      <c r="DI1" s="588" t="n"/>
      <c r="DJ1" s="588" t="n"/>
      <c r="DK1" s="588" t="n"/>
      <c r="DL1" s="588" t="n"/>
      <c r="DM1" s="588" t="n"/>
      <c r="DN1" s="588" t="n"/>
      <c r="DO1" s="588" t="n"/>
      <c r="DP1" s="588" t="n"/>
      <c r="DQ1" s="588" t="n"/>
      <c r="DR1" s="588" t="n"/>
      <c r="DS1" s="588" t="n"/>
      <c r="DT1" s="588" t="n"/>
      <c r="DU1" s="588" t="n"/>
      <c r="DV1" s="588" t="n"/>
      <c r="DW1" s="588" t="n"/>
      <c r="DX1" s="588" t="n"/>
      <c r="DY1" s="588" t="n"/>
      <c r="DZ1" s="588" t="n"/>
      <c r="EA1" s="588" t="n"/>
      <c r="EB1" s="588" t="n"/>
      <c r="EC1" s="588" t="n"/>
      <c r="ED1" s="588" t="n"/>
      <c r="EE1" s="588" t="n"/>
      <c r="EF1" s="588" t="n"/>
      <c r="EG1" s="588" t="n"/>
      <c r="EH1" s="588" t="n"/>
      <c r="EI1" s="588" t="n"/>
      <c r="EJ1" s="588" t="n"/>
      <c r="EK1" s="588" t="n"/>
      <c r="EL1" s="588" t="n"/>
      <c r="EM1" s="588" t="n"/>
      <c r="EN1" s="588" t="n"/>
      <c r="EO1" s="588" t="n"/>
      <c r="EP1" s="588" t="n"/>
      <c r="EQ1" s="588" t="n"/>
      <c r="ER1" s="588" t="n"/>
      <c r="ES1" s="588" t="n"/>
      <c r="ET1" s="588" t="n"/>
      <c r="EU1" s="588" t="n"/>
      <c r="EV1" s="588" t="n"/>
      <c r="EW1" s="588" t="n"/>
      <c r="EX1" s="588" t="n"/>
      <c r="EY1" s="588" t="n"/>
      <c r="EZ1" s="588" t="n"/>
      <c r="FA1" s="588" t="n"/>
      <c r="FB1" s="588" t="n"/>
      <c r="FC1" s="588" t="n"/>
      <c r="FD1" s="588" t="n"/>
      <c r="FE1" s="588" t="n"/>
      <c r="FF1" s="588" t="n"/>
      <c r="FG1" s="588" t="n"/>
      <c r="FH1" s="588" t="n"/>
      <c r="FI1" s="588" t="n"/>
      <c r="FJ1" s="588" t="n"/>
      <c r="FK1" s="588" t="n"/>
      <c r="FL1" s="588" t="n"/>
      <c r="FM1" s="588" t="n"/>
      <c r="FN1" s="588" t="n"/>
      <c r="FO1" s="588" t="n"/>
      <c r="FP1" s="488" t="n"/>
      <c r="FQ1" s="488" t="n"/>
      <c r="FR1" s="488" t="n"/>
      <c r="FS1" s="488" t="n"/>
      <c r="FT1" s="488" t="n"/>
      <c r="FU1" s="488" t="n"/>
      <c r="FV1" s="488" t="n"/>
      <c r="FW1" s="488" t="n"/>
      <c r="FX1" s="488" t="n"/>
      <c r="FY1" s="488" t="n"/>
      <c r="FZ1" s="488" t="n"/>
      <c r="GA1" s="488" t="n"/>
      <c r="GB1" s="488" t="n"/>
      <c r="GC1" s="488" t="n"/>
      <c r="GD1" s="488" t="n"/>
      <c r="GE1" s="488" t="n"/>
      <c r="GF1" s="488" t="n"/>
      <c r="GG1" s="488" t="n"/>
      <c r="GH1" s="488" t="n"/>
      <c r="GI1" s="488" t="n"/>
      <c r="GJ1" s="488" t="n"/>
      <c r="GK1" s="488" t="n"/>
      <c r="GL1" s="488" t="n"/>
      <c r="GM1" s="488" t="n"/>
      <c r="GN1" s="488" t="n"/>
      <c r="GO1" s="488" t="n"/>
      <c r="GP1" s="488" t="n"/>
      <c r="GQ1" s="488" t="n"/>
      <c r="GR1" s="488" t="n"/>
      <c r="GS1" s="488" t="n"/>
      <c r="GT1" s="488" t="n"/>
      <c r="GU1" s="488" t="n"/>
      <c r="GV1" s="488" t="n"/>
      <c r="GW1" s="488" t="n"/>
      <c r="GX1" s="488" t="n"/>
      <c r="GY1" s="488" t="n"/>
      <c r="GZ1" s="488" t="n"/>
      <c r="HA1" s="488" t="n"/>
      <c r="HB1" s="488" t="n"/>
      <c r="HC1" s="488" t="n"/>
      <c r="HD1" s="488" t="n"/>
      <c r="HE1" s="488" t="n"/>
      <c r="HF1" s="488" t="n"/>
      <c r="HG1" s="488" t="n"/>
      <c r="HH1" s="488" t="n"/>
      <c r="HI1" s="488" t="n"/>
      <c r="HJ1" s="488" t="n"/>
      <c r="HK1" s="488" t="n"/>
      <c r="HL1" s="488" t="n"/>
      <c r="HM1" s="488" t="n"/>
      <c r="HN1" s="488" t="n"/>
      <c r="HO1" s="488" t="n"/>
      <c r="HP1" s="488" t="n"/>
      <c r="HQ1" s="488" t="n"/>
      <c r="HR1" s="488" t="n"/>
      <c r="HS1" s="488" t="n"/>
      <c r="HT1" s="488" t="n"/>
      <c r="HU1" s="488" t="n"/>
      <c r="HV1" s="488" t="n"/>
      <c r="HW1" s="488" t="n"/>
      <c r="HX1" s="488" t="n"/>
      <c r="HY1" s="488" t="n"/>
      <c r="HZ1" s="488" t="n"/>
      <c r="IA1" s="488" t="n"/>
      <c r="IB1" s="488" t="n"/>
      <c r="IC1" s="488" t="n"/>
      <c r="ID1" s="488" t="n"/>
      <c r="IE1" s="488" t="n"/>
      <c r="IF1" s="488" t="n"/>
      <c r="IG1" s="488" t="n"/>
      <c r="IH1" s="488" t="n"/>
      <c r="II1" s="488" t="n"/>
      <c r="IJ1" s="488" t="n"/>
      <c r="IK1" s="488" t="n"/>
      <c r="IL1" s="488" t="n"/>
      <c r="IM1" s="488" t="n"/>
      <c r="IN1" s="488" t="n"/>
      <c r="IO1" s="488" t="n"/>
      <c r="IP1" s="488" t="n"/>
      <c r="IQ1" s="488" t="n"/>
      <c r="IR1" s="488" t="n"/>
      <c r="IS1" s="488" t="n"/>
      <c r="IT1" s="488" t="n"/>
      <c r="IU1" s="488" t="n"/>
      <c r="IV1" s="488" t="n"/>
    </row>
    <row r="2">
      <c r="A2" s="589" t="inlineStr">
        <is>
          <t>Weekly Forward Curves</t>
        </is>
      </c>
      <c r="B2" s="588" t="n"/>
      <c r="C2" s="588" t="n"/>
      <c r="D2" s="588" t="n"/>
      <c r="E2" s="588" t="n"/>
      <c r="F2" s="588" t="n"/>
      <c r="G2" s="588" t="n"/>
      <c r="H2" s="588" t="n"/>
      <c r="I2" s="588" t="n"/>
      <c r="J2" s="588" t="n"/>
      <c r="K2" s="588" t="n"/>
      <c r="L2" s="588" t="n"/>
      <c r="M2" s="588" t="n"/>
      <c r="N2" s="588" t="n"/>
      <c r="O2" s="588" t="n"/>
      <c r="P2" s="588" t="n"/>
      <c r="Q2" s="588" t="n"/>
      <c r="R2" s="588" t="n"/>
      <c r="S2" s="588" t="n"/>
      <c r="T2" s="588" t="n"/>
      <c r="U2" s="588" t="n"/>
      <c r="V2" s="588" t="n"/>
      <c r="W2" s="588" t="n"/>
      <c r="X2" s="588" t="n"/>
      <c r="Y2" s="588" t="n"/>
      <c r="Z2" s="588" t="n"/>
      <c r="AA2" s="588" t="n"/>
      <c r="AB2" s="588" t="n"/>
      <c r="AC2" s="588" t="n"/>
      <c r="AD2" s="588" t="n"/>
      <c r="AE2" s="588" t="n"/>
      <c r="AF2" s="588" t="n"/>
      <c r="AG2" s="588" t="n"/>
      <c r="AH2" s="588" t="n"/>
      <c r="AI2" s="588" t="n"/>
      <c r="AJ2" s="588" t="n"/>
      <c r="AK2" s="588" t="n"/>
      <c r="AL2" s="588" t="n"/>
      <c r="AM2" s="588" t="n"/>
      <c r="AN2" s="588" t="n"/>
      <c r="AO2" s="588" t="n"/>
      <c r="AP2" s="588" t="n"/>
      <c r="AQ2" s="588" t="n"/>
      <c r="AR2" s="588" t="n"/>
      <c r="AS2" s="588" t="n"/>
      <c r="AT2" s="588" t="n"/>
      <c r="AU2" s="588" t="n"/>
      <c r="AV2" s="588" t="n"/>
      <c r="AW2" s="588" t="n"/>
      <c r="AX2" s="588" t="n"/>
      <c r="AY2" s="588" t="n"/>
      <c r="AZ2" s="588" t="n"/>
      <c r="BA2" s="588" t="n"/>
      <c r="BB2" s="588" t="n"/>
      <c r="BC2" s="588" t="n"/>
      <c r="BD2" s="588" t="n"/>
      <c r="BE2" s="588" t="n"/>
      <c r="BF2" s="588" t="n"/>
      <c r="BG2" s="588" t="n"/>
      <c r="BH2" s="588" t="n"/>
      <c r="BI2" s="588" t="n"/>
      <c r="BJ2" s="588" t="n"/>
      <c r="BK2" s="588" t="n"/>
      <c r="BL2" s="588" t="n"/>
      <c r="BM2" s="588" t="n"/>
      <c r="BN2" s="588" t="n"/>
      <c r="BO2" s="588" t="n"/>
      <c r="BP2" s="588" t="n"/>
      <c r="BQ2" s="588" t="n"/>
      <c r="BR2" s="588" t="n"/>
      <c r="BS2" s="588" t="n"/>
      <c r="BT2" s="588" t="n"/>
      <c r="BU2" s="588" t="n"/>
      <c r="BV2" s="588" t="n"/>
      <c r="BW2" s="588" t="n"/>
      <c r="BX2" s="588" t="n"/>
      <c r="BY2" s="588" t="n"/>
      <c r="BZ2" s="588" t="n"/>
      <c r="CA2" s="588" t="n"/>
      <c r="CB2" s="588" t="n"/>
      <c r="CC2" s="588" t="n"/>
      <c r="CD2" s="588" t="n"/>
      <c r="CE2" s="588" t="n"/>
      <c r="CF2" s="588" t="n"/>
      <c r="CG2" s="588" t="n"/>
      <c r="CH2" s="588" t="n"/>
      <c r="CI2" s="588" t="n"/>
      <c r="CJ2" s="588" t="n"/>
      <c r="CK2" s="588" t="n"/>
      <c r="CL2" s="588" t="n"/>
      <c r="CM2" s="588" t="n"/>
      <c r="CN2" s="588" t="n"/>
      <c r="CO2" s="588" t="n"/>
      <c r="CP2" s="588" t="n"/>
      <c r="CQ2" s="588" t="n"/>
      <c r="CR2" s="588" t="n"/>
      <c r="CS2" s="588" t="n"/>
      <c r="CT2" s="588" t="n"/>
      <c r="CU2" s="588" t="n"/>
      <c r="CV2" s="588" t="n"/>
      <c r="CW2" s="588" t="n"/>
      <c r="CX2" s="588" t="n"/>
      <c r="CY2" s="588" t="n"/>
      <c r="CZ2" s="588" t="n"/>
      <c r="DA2" s="588" t="n"/>
      <c r="DB2" s="588" t="n"/>
      <c r="DC2" s="588" t="n"/>
      <c r="DD2" s="588" t="n"/>
      <c r="DE2" s="588" t="n"/>
      <c r="DF2" s="588" t="n"/>
      <c r="DG2" s="588" t="n"/>
      <c r="DH2" s="588" t="n"/>
      <c r="DI2" s="588" t="n"/>
      <c r="DJ2" s="588" t="n"/>
      <c r="DK2" s="588" t="n"/>
      <c r="DL2" s="588" t="n"/>
      <c r="DM2" s="588" t="n"/>
      <c r="DN2" s="588" t="n"/>
      <c r="DO2" s="588" t="n"/>
      <c r="DP2" s="588" t="n"/>
      <c r="DQ2" s="588" t="n"/>
      <c r="DR2" s="588" t="n"/>
      <c r="DS2" s="588" t="n"/>
      <c r="DT2" s="588" t="n"/>
      <c r="DU2" s="588" t="n"/>
      <c r="DV2" s="588" t="n"/>
      <c r="DW2" s="588" t="n"/>
      <c r="DX2" s="588" t="n"/>
      <c r="DY2" s="588" t="n"/>
      <c r="DZ2" s="588" t="n"/>
      <c r="EA2" s="588" t="n"/>
      <c r="EB2" s="588" t="n"/>
      <c r="EC2" s="588" t="n"/>
      <c r="ED2" s="588" t="n"/>
      <c r="EE2" s="588" t="n"/>
      <c r="EF2" s="588" t="n"/>
      <c r="EG2" s="588" t="n"/>
      <c r="EH2" s="588" t="n"/>
      <c r="EI2" s="588" t="n"/>
      <c r="EJ2" s="588" t="n"/>
      <c r="EK2" s="588" t="n"/>
      <c r="EL2" s="588" t="n"/>
      <c r="EM2" s="588" t="n"/>
      <c r="EN2" s="588" t="n"/>
      <c r="EO2" s="588" t="n"/>
      <c r="EP2" s="588" t="n"/>
      <c r="EQ2" s="588" t="n"/>
      <c r="ER2" s="588" t="n"/>
      <c r="ES2" s="588" t="n"/>
      <c r="ET2" s="588" t="n"/>
      <c r="EU2" s="588" t="n"/>
      <c r="EV2" s="588" t="n"/>
      <c r="EW2" s="588" t="n"/>
      <c r="EX2" s="588" t="n"/>
      <c r="EY2" s="588" t="n"/>
      <c r="EZ2" s="588" t="n"/>
      <c r="FA2" s="588" t="n"/>
      <c r="FB2" s="588" t="n"/>
      <c r="FC2" s="588" t="n"/>
      <c r="FD2" s="588" t="n"/>
      <c r="FE2" s="588" t="n"/>
      <c r="FF2" s="588" t="n"/>
      <c r="FG2" s="588" t="n"/>
      <c r="FH2" s="588" t="n"/>
      <c r="FI2" s="588" t="n"/>
      <c r="FJ2" s="588" t="n"/>
      <c r="FK2" s="588" t="n"/>
      <c r="FL2" s="588" t="n"/>
      <c r="FM2" s="588" t="n"/>
      <c r="FN2" s="588" t="n"/>
      <c r="FO2" s="588" t="n"/>
      <c r="FP2" s="488" t="n"/>
      <c r="FQ2" s="488" t="n"/>
      <c r="FR2" s="488" t="n"/>
      <c r="FS2" s="488" t="n"/>
      <c r="FT2" s="488" t="n"/>
      <c r="FU2" s="488" t="n"/>
      <c r="FV2" s="488" t="n"/>
      <c r="FW2" s="488" t="n"/>
      <c r="FX2" s="488" t="n"/>
      <c r="FY2" s="488" t="n"/>
      <c r="FZ2" s="488" t="n"/>
      <c r="GA2" s="488" t="n"/>
      <c r="GB2" s="488" t="n"/>
      <c r="GC2" s="488" t="n"/>
      <c r="GD2" s="488" t="n"/>
      <c r="GE2" s="488" t="n"/>
      <c r="GF2" s="488" t="n"/>
      <c r="GG2" s="488" t="n"/>
      <c r="GH2" s="488" t="n"/>
      <c r="GI2" s="488" t="n"/>
      <c r="GJ2" s="488" t="n"/>
      <c r="GK2" s="488" t="n"/>
      <c r="GL2" s="488" t="n"/>
      <c r="GM2" s="488" t="n"/>
      <c r="GN2" s="488" t="n"/>
      <c r="GO2" s="488" t="n"/>
      <c r="GP2" s="488" t="n"/>
      <c r="GQ2" s="488" t="n"/>
      <c r="GR2" s="488" t="n"/>
      <c r="GS2" s="488" t="n"/>
      <c r="GT2" s="488" t="n"/>
      <c r="GU2" s="488" t="n"/>
      <c r="GV2" s="488" t="n"/>
      <c r="GW2" s="488" t="n"/>
      <c r="GX2" s="488" t="n"/>
      <c r="GY2" s="488" t="n"/>
      <c r="GZ2" s="488" t="n"/>
      <c r="HA2" s="488" t="n"/>
      <c r="HB2" s="488" t="n"/>
      <c r="HC2" s="488" t="n"/>
      <c r="HD2" s="488" t="n"/>
      <c r="HE2" s="488" t="n"/>
      <c r="HF2" s="488" t="n"/>
      <c r="HG2" s="488" t="n"/>
      <c r="HH2" s="488" t="n"/>
      <c r="HI2" s="488" t="n"/>
      <c r="HJ2" s="488" t="n"/>
      <c r="HK2" s="488" t="n"/>
      <c r="HL2" s="488" t="n"/>
      <c r="HM2" s="488" t="n"/>
      <c r="HN2" s="488" t="n"/>
      <c r="HO2" s="488" t="n"/>
      <c r="HP2" s="488" t="n"/>
      <c r="HQ2" s="488" t="n"/>
      <c r="HR2" s="488" t="n"/>
      <c r="HS2" s="488" t="n"/>
      <c r="HT2" s="488" t="n"/>
      <c r="HU2" s="488" t="n"/>
      <c r="HV2" s="488" t="n"/>
      <c r="HW2" s="488" t="n"/>
      <c r="HX2" s="488" t="n"/>
      <c r="HY2" s="488" t="n"/>
      <c r="HZ2" s="488" t="n"/>
      <c r="IA2" s="488" t="n"/>
      <c r="IB2" s="488" t="n"/>
      <c r="IC2" s="488" t="n"/>
      <c r="ID2" s="488" t="n"/>
      <c r="IE2" s="488" t="n"/>
      <c r="IF2" s="488" t="n"/>
      <c r="IG2" s="488" t="n"/>
      <c r="IH2" s="488" t="n"/>
      <c r="II2" s="488" t="n"/>
      <c r="IJ2" s="488" t="n"/>
      <c r="IK2" s="488" t="n"/>
      <c r="IL2" s="488" t="n"/>
      <c r="IM2" s="488" t="n"/>
      <c r="IN2" s="488" t="n"/>
      <c r="IO2" s="488" t="n"/>
      <c r="IP2" s="488" t="n"/>
      <c r="IQ2" s="488" t="n"/>
      <c r="IR2" s="488" t="n"/>
      <c r="IS2" s="488" t="n"/>
      <c r="IT2" s="488" t="n"/>
      <c r="IU2" s="488" t="n"/>
      <c r="IV2" s="488" t="n"/>
    </row>
    <row r="3">
      <c r="A3" s="590" t="n">
        <v>46031</v>
      </c>
      <c r="B3" s="588" t="n"/>
      <c r="C3" s="588" t="n"/>
      <c r="D3" s="588" t="n"/>
      <c r="E3" s="588" t="n"/>
      <c r="F3" s="588" t="n"/>
      <c r="G3" s="588" t="n"/>
      <c r="H3" s="588" t="n"/>
      <c r="I3" s="588" t="n"/>
      <c r="J3" s="588" t="n"/>
      <c r="K3" s="588" t="n"/>
      <c r="L3" s="588" t="n"/>
      <c r="M3" s="588" t="n"/>
      <c r="N3" s="588" t="n"/>
      <c r="O3" s="588" t="n"/>
      <c r="P3" s="588" t="n"/>
      <c r="Q3" s="588" t="n"/>
      <c r="R3" s="588" t="n"/>
      <c r="S3" s="588" t="n"/>
      <c r="T3" s="588" t="n"/>
      <c r="U3" s="588" t="n"/>
      <c r="V3" s="588" t="n"/>
      <c r="W3" s="588" t="n"/>
      <c r="X3" s="588" t="n"/>
      <c r="Y3" s="588" t="n"/>
      <c r="Z3" s="588" t="n"/>
      <c r="AA3" s="588" t="n"/>
      <c r="AB3" s="588" t="n"/>
      <c r="AC3" s="588" t="n"/>
      <c r="AD3" s="588" t="n"/>
      <c r="AE3" s="588" t="n"/>
      <c r="AF3" s="588" t="n"/>
      <c r="AG3" s="588" t="n"/>
      <c r="AH3" s="588" t="n"/>
      <c r="AI3" s="588" t="n"/>
      <c r="AJ3" s="588" t="n"/>
      <c r="AK3" s="588" t="n"/>
      <c r="AL3" s="588" t="n"/>
      <c r="AM3" s="588" t="n"/>
      <c r="AN3" s="588" t="n"/>
      <c r="AO3" s="588" t="n"/>
      <c r="AP3" s="588" t="n"/>
      <c r="AQ3" s="588" t="n"/>
      <c r="AR3" s="588" t="n"/>
      <c r="AS3" s="588" t="n"/>
      <c r="AT3" s="588" t="n"/>
      <c r="AU3" s="588" t="n"/>
      <c r="AV3" s="588" t="n"/>
      <c r="AW3" s="588" t="n"/>
      <c r="AX3" s="588" t="n"/>
      <c r="AY3" s="588" t="n"/>
      <c r="AZ3" s="588" t="n"/>
      <c r="BA3" s="588" t="n"/>
      <c r="BB3" s="588" t="n"/>
      <c r="BC3" s="588" t="n"/>
      <c r="BD3" s="588" t="n"/>
      <c r="BE3" s="588" t="n"/>
      <c r="BF3" s="588" t="n"/>
      <c r="BG3" s="588" t="n"/>
      <c r="BH3" s="588" t="n"/>
      <c r="BI3" s="588" t="n"/>
      <c r="BJ3" s="588" t="n"/>
      <c r="BK3" s="588" t="n"/>
      <c r="BL3" s="588" t="n"/>
      <c r="BM3" s="588" t="n"/>
      <c r="BN3" s="588" t="n"/>
      <c r="BO3" s="588" t="n"/>
      <c r="BP3" s="588" t="n"/>
      <c r="BQ3" s="588" t="n"/>
      <c r="BR3" s="588" t="n"/>
      <c r="BS3" s="588" t="n"/>
      <c r="BT3" s="588" t="n"/>
      <c r="BU3" s="588" t="n"/>
      <c r="BV3" s="588" t="n"/>
      <c r="BW3" s="588" t="n"/>
      <c r="BX3" s="588" t="n"/>
      <c r="BY3" s="588" t="n"/>
      <c r="BZ3" s="588" t="n"/>
      <c r="CA3" s="588" t="n"/>
      <c r="CB3" s="588" t="n"/>
      <c r="CC3" s="588" t="n"/>
      <c r="CD3" s="588" t="n"/>
      <c r="CE3" s="588" t="n"/>
      <c r="CF3" s="588" t="n"/>
      <c r="CG3" s="588" t="n"/>
      <c r="CH3" s="588" t="n"/>
      <c r="CI3" s="588" t="n"/>
      <c r="CJ3" s="588" t="n"/>
      <c r="CK3" s="588" t="n"/>
      <c r="CL3" s="588" t="n"/>
      <c r="CM3" s="588" t="n"/>
      <c r="CN3" s="588" t="n"/>
      <c r="CO3" s="588" t="n"/>
      <c r="CP3" s="588" t="n"/>
      <c r="CQ3" s="588" t="n"/>
      <c r="CR3" s="588" t="n"/>
      <c r="CS3" s="588" t="n"/>
      <c r="CT3" s="588" t="n"/>
      <c r="CU3" s="588" t="n"/>
      <c r="CV3" s="588" t="n"/>
      <c r="CW3" s="588" t="n"/>
      <c r="CX3" s="588" t="n"/>
      <c r="CY3" s="588" t="n"/>
      <c r="CZ3" s="588" t="n"/>
      <c r="DA3" s="588" t="n"/>
      <c r="DB3" s="588" t="n"/>
      <c r="DC3" s="588" t="n"/>
      <c r="DD3" s="588" t="n"/>
      <c r="DE3" s="588" t="n"/>
      <c r="DF3" s="588" t="n"/>
      <c r="DG3" s="588" t="n"/>
      <c r="DH3" s="588" t="n"/>
      <c r="DI3" s="588" t="n"/>
      <c r="DJ3" s="588" t="n"/>
      <c r="DK3" s="588" t="n"/>
      <c r="DL3" s="588" t="n"/>
      <c r="DM3" s="588" t="n"/>
      <c r="DN3" s="588" t="n"/>
      <c r="DO3" s="588" t="n"/>
      <c r="DP3" s="588" t="n"/>
      <c r="DQ3" s="588" t="n"/>
      <c r="DR3" s="588" t="n"/>
      <c r="DS3" s="588" t="n"/>
      <c r="DT3" s="588" t="n"/>
      <c r="DU3" s="588" t="n"/>
      <c r="DV3" s="588" t="n"/>
      <c r="DW3" s="588" t="n"/>
      <c r="DX3" s="588" t="n"/>
      <c r="DY3" s="588" t="n"/>
      <c r="DZ3" s="588" t="n"/>
      <c r="EA3" s="588" t="n"/>
      <c r="EB3" s="588" t="n"/>
      <c r="EC3" s="588" t="n"/>
      <c r="ED3" s="588" t="n"/>
      <c r="EE3" s="588" t="n"/>
      <c r="EF3" s="588" t="n"/>
      <c r="EG3" s="588" t="n"/>
      <c r="EH3" s="588" t="n"/>
      <c r="EI3" s="588" t="n"/>
      <c r="EJ3" s="588" t="n"/>
      <c r="EK3" s="588" t="n"/>
      <c r="EL3" s="588" t="n"/>
      <c r="EM3" s="588" t="n"/>
      <c r="EN3" s="588" t="n"/>
      <c r="EO3" s="588" t="n"/>
      <c r="EP3" s="588" t="n"/>
      <c r="EQ3" s="588" t="n"/>
      <c r="ER3" s="588" t="n"/>
      <c r="ES3" s="588" t="n"/>
      <c r="ET3" s="588" t="n"/>
      <c r="EU3" s="588" t="n"/>
      <c r="EV3" s="588" t="n"/>
      <c r="EW3" s="588" t="n"/>
      <c r="EX3" s="588" t="n"/>
      <c r="EY3" s="588" t="n"/>
      <c r="EZ3" s="588" t="n"/>
      <c r="FA3" s="588" t="n"/>
      <c r="FB3" s="588" t="n"/>
      <c r="FC3" s="588" t="n"/>
      <c r="FD3" s="588" t="n"/>
      <c r="FE3" s="588" t="n"/>
      <c r="FF3" s="588" t="n"/>
      <c r="FG3" s="588" t="n"/>
      <c r="FH3" s="588" t="n"/>
      <c r="FI3" s="588" t="n"/>
      <c r="FJ3" s="588" t="n"/>
      <c r="FK3" s="588" t="n"/>
      <c r="FL3" s="588" t="n"/>
      <c r="FM3" s="588" t="n"/>
      <c r="FN3" s="588" t="n"/>
      <c r="FO3" s="588" t="n"/>
      <c r="FP3" s="488" t="n"/>
      <c r="FQ3" s="488" t="n"/>
      <c r="FR3" s="488" t="n"/>
      <c r="FS3" s="488" t="n"/>
      <c r="FT3" s="488" t="n"/>
      <c r="FU3" s="488" t="n"/>
      <c r="FV3" s="488" t="n"/>
      <c r="FW3" s="488" t="n"/>
      <c r="FX3" s="488" t="n"/>
      <c r="FY3" s="488" t="n"/>
      <c r="FZ3" s="488" t="n"/>
      <c r="GA3" s="488" t="n"/>
      <c r="GB3" s="488" t="n"/>
      <c r="GC3" s="488" t="n"/>
      <c r="GD3" s="488" t="n"/>
      <c r="GE3" s="488" t="n"/>
      <c r="GF3" s="488" t="n"/>
      <c r="GG3" s="488" t="n"/>
      <c r="GH3" s="488" t="n"/>
      <c r="GI3" s="488" t="n"/>
      <c r="GJ3" s="488" t="n"/>
      <c r="GK3" s="488" t="n"/>
      <c r="GL3" s="488" t="n"/>
      <c r="GM3" s="488" t="n"/>
      <c r="GN3" s="488" t="n"/>
      <c r="GO3" s="488" t="n"/>
      <c r="GP3" s="488" t="n"/>
      <c r="GQ3" s="488" t="n"/>
      <c r="GR3" s="488" t="n"/>
      <c r="GS3" s="488" t="n"/>
      <c r="GT3" s="488" t="n"/>
      <c r="GU3" s="488" t="n"/>
      <c r="GV3" s="488" t="n"/>
      <c r="GW3" s="488" t="n"/>
      <c r="GX3" s="488" t="n"/>
      <c r="GY3" s="488" t="n"/>
      <c r="GZ3" s="488" t="n"/>
      <c r="HA3" s="488" t="n"/>
      <c r="HB3" s="488" t="n"/>
      <c r="HC3" s="488" t="n"/>
      <c r="HD3" s="488" t="n"/>
      <c r="HE3" s="488" t="n"/>
      <c r="HF3" s="488" t="n"/>
      <c r="HG3" s="488" t="n"/>
      <c r="HH3" s="488" t="n"/>
      <c r="HI3" s="488" t="n"/>
      <c r="HJ3" s="488" t="n"/>
      <c r="HK3" s="488" t="n"/>
      <c r="HL3" s="488" t="n"/>
      <c r="HM3" s="488" t="n"/>
      <c r="HN3" s="488" t="n"/>
      <c r="HO3" s="488" t="n"/>
      <c r="HP3" s="488" t="n"/>
      <c r="HQ3" s="488" t="n"/>
      <c r="HR3" s="488" t="n"/>
      <c r="HS3" s="488" t="n"/>
      <c r="HT3" s="488" t="n"/>
      <c r="HU3" s="488" t="n"/>
      <c r="HV3" s="488" t="n"/>
      <c r="HW3" s="488" t="n"/>
      <c r="HX3" s="488" t="n"/>
      <c r="HY3" s="488" t="n"/>
      <c r="HZ3" s="488" t="n"/>
      <c r="IA3" s="488" t="n"/>
      <c r="IB3" s="488" t="n"/>
      <c r="IC3" s="488" t="n"/>
      <c r="ID3" s="488" t="n"/>
      <c r="IE3" s="488" t="n"/>
      <c r="IF3" s="488" t="n"/>
      <c r="IG3" s="488" t="n"/>
      <c r="IH3" s="488" t="n"/>
      <c r="II3" s="488" t="n"/>
      <c r="IJ3" s="488" t="n"/>
      <c r="IK3" s="488" t="n"/>
      <c r="IL3" s="488" t="n"/>
      <c r="IM3" s="488" t="n"/>
      <c r="IN3" s="488" t="n"/>
      <c r="IO3" s="488" t="n"/>
      <c r="IP3" s="488" t="n"/>
      <c r="IQ3" s="488" t="n"/>
      <c r="IR3" s="488" t="n"/>
      <c r="IS3" s="488" t="n"/>
      <c r="IT3" s="488" t="n"/>
      <c r="IU3" s="488" t="n"/>
      <c r="IV3" s="488" t="n"/>
    </row>
    <row r="4">
      <c r="A4" s="588" t="n"/>
      <c r="B4" s="588" t="n"/>
      <c r="C4" s="588" t="n"/>
      <c r="D4" s="588" t="n"/>
      <c r="E4" s="588" t="n"/>
      <c r="F4" s="588" t="n"/>
      <c r="G4" s="588" t="n"/>
      <c r="H4" s="588" t="n"/>
      <c r="I4" s="588" t="n"/>
      <c r="J4" s="588" t="n"/>
      <c r="K4" s="588" t="n"/>
      <c r="L4" s="588" t="n"/>
      <c r="M4" s="588" t="n"/>
      <c r="N4" s="588" t="n"/>
      <c r="O4" s="588" t="n"/>
      <c r="P4" s="588" t="n"/>
      <c r="Q4" s="588" t="n"/>
      <c r="R4" s="588" t="n"/>
      <c r="S4" s="588" t="n"/>
      <c r="T4" s="588" t="n"/>
      <c r="U4" s="588" t="n"/>
      <c r="V4" s="588" t="n"/>
      <c r="W4" s="588" t="n"/>
      <c r="X4" s="588" t="n"/>
      <c r="Y4" s="588" t="n"/>
      <c r="Z4" s="588" t="n"/>
      <c r="AA4" s="588" t="n"/>
      <c r="AB4" s="588" t="n"/>
      <c r="AC4" s="588" t="n"/>
      <c r="AD4" s="588" t="n"/>
      <c r="AE4" s="588" t="n"/>
      <c r="AF4" s="588" t="n"/>
      <c r="AG4" s="588" t="n"/>
      <c r="AH4" s="588" t="n"/>
      <c r="AI4" s="588" t="n"/>
      <c r="AJ4" s="588" t="n"/>
      <c r="AK4" s="588" t="n"/>
      <c r="AL4" s="588" t="n"/>
      <c r="AM4" s="588" t="n"/>
      <c r="AN4" s="588" t="n"/>
      <c r="AO4" s="588" t="n"/>
      <c r="AP4" s="588" t="n"/>
      <c r="AQ4" s="588" t="n"/>
      <c r="AR4" s="588" t="n"/>
      <c r="AS4" s="588" t="n"/>
      <c r="AT4" s="588" t="n"/>
      <c r="AU4" s="588" t="n"/>
      <c r="AV4" s="588" t="n"/>
      <c r="AW4" s="588" t="n"/>
      <c r="AX4" s="588" t="n"/>
      <c r="AY4" s="588" t="n"/>
      <c r="AZ4" s="588" t="n"/>
      <c r="BA4" s="588" t="n"/>
      <c r="BB4" s="588" t="n"/>
      <c r="BC4" s="588" t="n"/>
      <c r="BD4" s="588" t="n"/>
      <c r="BE4" s="588" t="n"/>
      <c r="BF4" s="588" t="n"/>
      <c r="BG4" s="588" t="n"/>
      <c r="BH4" s="588" t="n"/>
      <c r="BI4" s="588" t="n"/>
      <c r="BJ4" s="588" t="n"/>
      <c r="BK4" s="588" t="n"/>
      <c r="BL4" s="588" t="n"/>
      <c r="BM4" s="588" t="n"/>
      <c r="BN4" s="588" t="n"/>
      <c r="BO4" s="588" t="n"/>
      <c r="BP4" s="588" t="n"/>
      <c r="BQ4" s="588" t="n"/>
      <c r="BR4" s="588" t="n"/>
      <c r="BS4" s="588" t="n"/>
      <c r="BT4" s="588" t="n"/>
      <c r="BU4" s="588" t="n"/>
      <c r="BV4" s="588" t="n"/>
      <c r="BW4" s="588" t="n"/>
      <c r="BX4" s="588" t="n"/>
      <c r="BY4" s="588" t="n"/>
      <c r="BZ4" s="588" t="n"/>
      <c r="CA4" s="588" t="n"/>
      <c r="CB4" s="588" t="n"/>
      <c r="CC4" s="588" t="n"/>
      <c r="CD4" s="588" t="n"/>
      <c r="CE4" s="588" t="n"/>
      <c r="CF4" s="588" t="n"/>
      <c r="CG4" s="588" t="n"/>
      <c r="CH4" s="588" t="n"/>
      <c r="CI4" s="588" t="n"/>
      <c r="CJ4" s="588" t="n"/>
      <c r="CK4" s="588" t="n"/>
      <c r="CL4" s="588" t="n"/>
      <c r="CM4" s="588" t="n"/>
      <c r="CN4" s="588" t="n"/>
      <c r="CO4" s="588" t="n"/>
      <c r="CP4" s="588" t="n"/>
      <c r="CQ4" s="588" t="n"/>
      <c r="CR4" s="588" t="n"/>
      <c r="CS4" s="588" t="n"/>
      <c r="CT4" s="588" t="n"/>
      <c r="CU4" s="588" t="n"/>
      <c r="CV4" s="588" t="n"/>
      <c r="CW4" s="588" t="n"/>
      <c r="CX4" s="588" t="n"/>
      <c r="CY4" s="588" t="n"/>
      <c r="CZ4" s="588" t="n"/>
      <c r="DA4" s="588" t="n"/>
      <c r="DB4" s="588" t="n"/>
      <c r="DC4" s="588" t="n"/>
      <c r="DD4" s="588" t="n"/>
      <c r="DE4" s="588" t="n"/>
      <c r="DF4" s="588" t="n"/>
      <c r="DG4" s="588" t="n"/>
      <c r="DH4" s="588" t="n"/>
      <c r="DI4" s="588" t="n"/>
      <c r="DJ4" s="588" t="n"/>
      <c r="DK4" s="588" t="n"/>
      <c r="DL4" s="588" t="n"/>
      <c r="DM4" s="588" t="n"/>
      <c r="DN4" s="588" t="n"/>
      <c r="DO4" s="588" t="n"/>
      <c r="DP4" s="588" t="n"/>
      <c r="DQ4" s="588" t="n"/>
      <c r="DR4" s="588" t="n"/>
      <c r="DS4" s="588" t="n"/>
      <c r="DT4" s="588" t="n"/>
      <c r="DU4" s="588" t="n"/>
      <c r="DV4" s="588" t="n"/>
      <c r="DW4" s="588" t="n"/>
      <c r="DX4" s="588" t="n"/>
      <c r="DY4" s="588" t="n"/>
      <c r="DZ4" s="588" t="n"/>
      <c r="EA4" s="588" t="n"/>
      <c r="EB4" s="588" t="n"/>
      <c r="EC4" s="588" t="n"/>
      <c r="ED4" s="588" t="n"/>
      <c r="EE4" s="588" t="n"/>
      <c r="EF4" s="588" t="n"/>
      <c r="EG4" s="588" t="n"/>
      <c r="EH4" s="588" t="n"/>
      <c r="EI4" s="588" t="n"/>
      <c r="EJ4" s="588" t="n"/>
      <c r="EK4" s="588" t="n"/>
      <c r="EL4" s="588" t="n"/>
      <c r="EM4" s="588" t="n"/>
      <c r="EN4" s="588" t="n"/>
      <c r="EO4" s="588" t="n"/>
      <c r="EP4" s="588" t="n"/>
      <c r="EQ4" s="588" t="n"/>
      <c r="ER4" s="588" t="n"/>
      <c r="ES4" s="588" t="n"/>
      <c r="ET4" s="588" t="n"/>
      <c r="EU4" s="588" t="n"/>
      <c r="EV4" s="588" t="n"/>
      <c r="EW4" s="588" t="n"/>
      <c r="EX4" s="588" t="n"/>
      <c r="EY4" s="588" t="n"/>
      <c r="EZ4" s="588" t="n"/>
      <c r="FA4" s="588" t="n"/>
      <c r="FB4" s="588" t="n"/>
      <c r="FC4" s="588" t="n"/>
      <c r="FD4" s="588" t="n"/>
      <c r="FE4" s="588" t="n"/>
      <c r="FF4" s="588" t="n"/>
      <c r="FG4" s="588" t="n"/>
      <c r="FH4" s="588" t="n"/>
      <c r="FI4" s="588" t="n"/>
      <c r="FJ4" s="588" t="n"/>
      <c r="FK4" s="588" t="n"/>
      <c r="FL4" s="588" t="n"/>
      <c r="FM4" s="588" t="n"/>
      <c r="FN4" s="588" t="n"/>
      <c r="FO4" s="588" t="n"/>
    </row>
    <row r="5" customFormat="1" s="449">
      <c r="A5" s="591" t="n"/>
      <c r="B5" s="592" t="n"/>
      <c r="C5" s="592" t="n"/>
      <c r="D5" s="592" t="n"/>
      <c r="E5" s="592" t="n"/>
      <c r="F5" s="592" t="n"/>
      <c r="G5" s="592" t="n"/>
      <c r="H5" s="592" t="n"/>
      <c r="I5" s="592" t="n"/>
      <c r="J5" s="592" t="n"/>
      <c r="K5" s="592" t="n"/>
      <c r="L5" s="592" t="n"/>
      <c r="M5" s="592" t="n"/>
      <c r="N5" s="592" t="n"/>
      <c r="O5" s="592" t="n"/>
      <c r="P5" s="592" t="n"/>
      <c r="Q5" s="592" t="n"/>
      <c r="R5" s="592" t="n"/>
      <c r="S5" s="592" t="n"/>
      <c r="T5" s="592" t="n"/>
      <c r="U5" s="592" t="n"/>
      <c r="V5" s="592" t="n"/>
      <c r="W5" s="592" t="n"/>
      <c r="X5" s="592" t="n"/>
      <c r="Y5" s="592" t="n"/>
      <c r="Z5" s="592" t="n"/>
      <c r="AA5" s="592" t="n"/>
      <c r="AB5" s="592" t="n"/>
      <c r="AC5" s="592" t="n"/>
      <c r="AD5" s="592" t="n"/>
      <c r="AE5" s="592" t="n"/>
      <c r="AF5" s="592" t="n"/>
      <c r="AG5" s="592" t="n"/>
      <c r="AH5" s="592" t="n"/>
      <c r="AI5" s="592" t="n"/>
      <c r="AJ5" s="592" t="n"/>
      <c r="AK5" s="592" t="n"/>
      <c r="AL5" s="592" t="n"/>
      <c r="AM5" s="592" t="n"/>
      <c r="AN5" s="592" t="n"/>
      <c r="AO5" s="592" t="n"/>
      <c r="AP5" s="592" t="n"/>
      <c r="AQ5" s="592" t="n"/>
      <c r="AR5" s="592" t="n"/>
      <c r="AS5" s="592" t="n"/>
      <c r="AT5" s="592" t="n"/>
      <c r="AU5" s="592" t="n"/>
      <c r="AV5" s="592" t="n"/>
      <c r="AW5" s="592" t="n"/>
      <c r="AX5" s="592" t="n"/>
      <c r="AY5" s="592" t="n"/>
      <c r="AZ5" s="592" t="n"/>
      <c r="BA5" s="592" t="n"/>
      <c r="BB5" s="592" t="n"/>
      <c r="BC5" s="592" t="n"/>
      <c r="BD5" s="592" t="n"/>
      <c r="BE5" s="592" t="n"/>
      <c r="BF5" s="592" t="n"/>
      <c r="BG5" s="592" t="n"/>
      <c r="BH5" s="592" t="n"/>
      <c r="BI5" s="592" t="n"/>
      <c r="BJ5" s="592" t="n"/>
      <c r="BK5" s="592" t="n"/>
      <c r="BL5" s="592" t="n"/>
      <c r="BM5" s="592" t="n"/>
      <c r="BN5" s="592" t="n"/>
      <c r="BO5" s="592" t="n"/>
      <c r="BP5" s="592" t="n"/>
      <c r="BQ5" s="592" t="n"/>
      <c r="BR5" s="592" t="n"/>
      <c r="BS5" s="592" t="n"/>
      <c r="BT5" s="592" t="n"/>
      <c r="BU5" s="592" t="n"/>
      <c r="BV5" s="592" t="n"/>
      <c r="BW5" s="592" t="n"/>
      <c r="BX5" s="592" t="n"/>
      <c r="BY5" s="592" t="n"/>
      <c r="BZ5" s="592" t="n"/>
      <c r="CA5" s="592" t="n"/>
      <c r="CB5" s="592" t="n"/>
      <c r="CC5" s="592" t="n"/>
      <c r="CD5" s="592" t="n"/>
      <c r="CE5" s="592" t="n"/>
      <c r="CF5" s="592" t="n"/>
      <c r="CG5" s="592" t="n"/>
      <c r="CH5" s="592" t="n"/>
      <c r="CI5" s="592" t="n"/>
      <c r="CJ5" s="592" t="n"/>
      <c r="CK5" s="592" t="n"/>
      <c r="CL5" s="592" t="n"/>
      <c r="CM5" s="592" t="n"/>
      <c r="CN5" s="592" t="n"/>
      <c r="CO5" s="592" t="n"/>
      <c r="CP5" s="592" t="n"/>
      <c r="CQ5" s="592" t="n"/>
      <c r="CR5" s="592" t="n"/>
      <c r="CS5" s="592" t="n"/>
      <c r="CT5" s="592" t="n"/>
      <c r="CU5" s="592" t="n"/>
      <c r="CV5" s="592" t="n"/>
      <c r="CW5" s="592" t="n"/>
      <c r="CX5" s="592" t="n"/>
      <c r="CY5" s="592" t="n"/>
      <c r="CZ5" s="592" t="n"/>
      <c r="DA5" s="592" t="n"/>
      <c r="DB5" s="592" t="n"/>
      <c r="DC5" s="592" t="n"/>
      <c r="DD5" s="592" t="n"/>
      <c r="DE5" s="592" t="n"/>
      <c r="DF5" s="592" t="n"/>
      <c r="DG5" s="592" t="n"/>
      <c r="DH5" s="592" t="n"/>
      <c r="DI5" s="592" t="n"/>
      <c r="DJ5" s="592" t="n"/>
      <c r="DK5" s="592" t="n"/>
      <c r="DL5" s="592" t="n"/>
      <c r="DM5" s="592" t="n"/>
      <c r="DN5" s="592" t="n"/>
      <c r="DO5" s="592" t="n"/>
      <c r="DP5" s="592" t="n"/>
      <c r="DQ5" s="592" t="n"/>
      <c r="DR5" s="592" t="n"/>
      <c r="DS5" s="592" t="n"/>
      <c r="DT5" s="592" t="n"/>
      <c r="DU5" s="592" t="n"/>
      <c r="DV5" s="592" t="n"/>
      <c r="DW5" s="592" t="n"/>
      <c r="DX5" s="592" t="n"/>
      <c r="DY5" s="592" t="n"/>
      <c r="DZ5" s="592" t="n"/>
      <c r="EA5" s="592" t="n"/>
      <c r="EB5" s="592" t="n"/>
      <c r="EC5" s="592" t="n"/>
      <c r="ED5" s="592" t="n"/>
      <c r="EE5" s="592" t="n"/>
      <c r="EF5" s="592" t="n"/>
      <c r="EG5" s="592" t="n"/>
      <c r="EH5" s="592" t="n"/>
      <c r="EI5" s="592" t="n"/>
      <c r="EJ5" s="592" t="n"/>
      <c r="EK5" s="592" t="n"/>
      <c r="EL5" s="592" t="n"/>
      <c r="EM5" s="592" t="n"/>
      <c r="EN5" s="592" t="n"/>
      <c r="EO5" s="592" t="n"/>
      <c r="EP5" s="592" t="n"/>
      <c r="EQ5" s="592" t="n"/>
      <c r="ER5" s="592" t="n"/>
      <c r="ES5" s="592" t="n"/>
      <c r="ET5" s="592" t="n"/>
      <c r="EU5" s="592" t="n"/>
      <c r="EV5" s="592" t="n"/>
      <c r="EW5" s="592" t="n"/>
      <c r="EX5" s="592" t="n"/>
      <c r="EY5" s="592" t="n"/>
      <c r="EZ5" s="592" t="n"/>
      <c r="FA5" s="592" t="n"/>
      <c r="FB5" s="592" t="n"/>
      <c r="FC5" s="592" t="n"/>
      <c r="FD5" s="592" t="n"/>
      <c r="FE5" s="592" t="n"/>
      <c r="FF5" s="592" t="n"/>
      <c r="FG5" s="592" t="n"/>
      <c r="FH5" s="592" t="n"/>
      <c r="FI5" s="592" t="n"/>
      <c r="FJ5" s="592" t="n"/>
      <c r="FK5" s="592" t="n"/>
      <c r="FL5" s="592" t="n"/>
      <c r="FM5" s="592" t="n"/>
      <c r="FN5" s="592" t="n"/>
      <c r="FO5" s="592" t="n"/>
      <c r="FP5" s="488" t="n"/>
      <c r="FQ5" s="488" t="n"/>
      <c r="FR5" s="488" t="n"/>
      <c r="FS5" s="488" t="n"/>
      <c r="FT5" s="488" t="n"/>
      <c r="FU5" s="488" t="n"/>
      <c r="FV5" s="488" t="n"/>
      <c r="FW5" s="488" t="n"/>
      <c r="FX5" s="488" t="n"/>
      <c r="FY5" s="488" t="n"/>
      <c r="FZ5" s="488" t="n"/>
      <c r="GA5" s="488" t="n"/>
      <c r="GB5" s="488" t="n"/>
      <c r="GC5" s="488" t="n"/>
      <c r="GD5" s="488" t="n"/>
      <c r="GE5" s="488" t="n"/>
      <c r="GF5" s="488" t="n"/>
      <c r="GG5" s="488" t="n"/>
      <c r="GH5" s="488" t="n"/>
      <c r="GI5" s="488" t="n"/>
      <c r="GJ5" s="488" t="n"/>
      <c r="GK5" s="488" t="n"/>
      <c r="GL5" s="488" t="n"/>
      <c r="GM5" s="488" t="n"/>
      <c r="GN5" s="488" t="n"/>
      <c r="GO5" s="488" t="n"/>
      <c r="GP5" s="488" t="n"/>
      <c r="GQ5" s="488" t="n"/>
      <c r="GR5" s="488" t="n"/>
      <c r="GS5" s="488" t="n"/>
      <c r="GT5" s="488" t="n"/>
      <c r="GU5" s="488" t="n"/>
      <c r="GV5" s="488" t="n"/>
      <c r="GW5" s="488" t="n"/>
      <c r="GX5" s="488" t="n"/>
      <c r="GY5" s="488" t="n"/>
      <c r="GZ5" s="488" t="n"/>
      <c r="HA5" s="488" t="n"/>
      <c r="HB5" s="488" t="n"/>
      <c r="HC5" s="488" t="n"/>
      <c r="HD5" s="488" t="n"/>
      <c r="HE5" s="488" t="n"/>
      <c r="HF5" s="488" t="n"/>
      <c r="HG5" s="488" t="n"/>
      <c r="HH5" s="488" t="n"/>
      <c r="HI5" s="488" t="n"/>
      <c r="HJ5" s="488" t="n"/>
      <c r="HK5" s="488" t="n"/>
      <c r="HL5" s="488" t="n"/>
      <c r="HM5" s="488" t="n"/>
      <c r="HN5" s="488" t="n"/>
      <c r="HO5" s="488" t="n"/>
      <c r="HP5" s="488" t="n"/>
      <c r="HQ5" s="488" t="n"/>
      <c r="HR5" s="488" t="n"/>
      <c r="HS5" s="488" t="n"/>
      <c r="HT5" s="488" t="n"/>
      <c r="HU5" s="488" t="n"/>
      <c r="HV5" s="488" t="n"/>
      <c r="HW5" s="488" t="n"/>
      <c r="HX5" s="488" t="n"/>
      <c r="HY5" s="488" t="n"/>
      <c r="HZ5" s="488" t="n"/>
      <c r="IA5" s="488" t="n"/>
      <c r="IB5" s="488" t="n"/>
      <c r="IC5" s="488" t="n"/>
      <c r="ID5" s="488" t="n"/>
      <c r="IE5" s="488" t="n"/>
      <c r="IF5" s="488" t="n"/>
      <c r="IG5" s="488" t="n"/>
      <c r="IH5" s="488" t="n"/>
      <c r="II5" s="488" t="n"/>
      <c r="IJ5" s="488" t="n"/>
      <c r="IK5" s="488" t="n"/>
      <c r="IL5" s="488" t="n"/>
      <c r="IM5" s="488" t="n"/>
      <c r="IN5" s="488" t="n"/>
      <c r="IO5" s="488" t="n"/>
      <c r="IP5" s="488" t="n"/>
      <c r="IQ5" s="488" t="n"/>
      <c r="IR5" s="488" t="n"/>
      <c r="IS5" s="488" t="n"/>
      <c r="IT5" s="488" t="n"/>
      <c r="IU5" s="488" t="n"/>
      <c r="IV5" s="488" t="n"/>
    </row>
    <row r="6" customFormat="1" s="1362">
      <c r="A6" s="1363" t="inlineStr">
        <is>
          <t>Date</t>
        </is>
      </c>
      <c r="B6" s="1364" t="n">
        <v>46035</v>
      </c>
      <c r="C6" s="1364" t="n">
        <v>46066</v>
      </c>
      <c r="D6" s="1364" t="n">
        <v>46094</v>
      </c>
      <c r="E6" s="1364" t="n">
        <v>46125</v>
      </c>
      <c r="F6" s="1364" t="n">
        <v>46155</v>
      </c>
      <c r="G6" s="1364" t="n">
        <v>46188</v>
      </c>
      <c r="H6" s="1364" t="n">
        <v>46216</v>
      </c>
      <c r="I6" s="1364" t="n">
        <v>46247</v>
      </c>
      <c r="J6" s="1364" t="n">
        <v>46279</v>
      </c>
      <c r="K6" s="1364" t="n">
        <v>46308</v>
      </c>
      <c r="L6" s="1364" t="n">
        <v>46339</v>
      </c>
      <c r="M6" s="1364" t="n">
        <v>46370</v>
      </c>
      <c r="N6" s="1364" t="n">
        <v>46400</v>
      </c>
      <c r="O6" s="1364" t="n">
        <v>46434</v>
      </c>
      <c r="P6" s="1364" t="n">
        <v>46461</v>
      </c>
      <c r="Q6" s="1364" t="n">
        <v>46490</v>
      </c>
      <c r="R6" s="1364" t="n">
        <v>46520</v>
      </c>
      <c r="S6" s="1364" t="n">
        <v>46552</v>
      </c>
      <c r="T6" s="1364" t="n">
        <v>46581</v>
      </c>
      <c r="U6" s="1364" t="n">
        <v>46612</v>
      </c>
      <c r="V6" s="1364" t="n">
        <v>46643</v>
      </c>
      <c r="W6" s="1364" t="n">
        <v>46673</v>
      </c>
      <c r="X6" s="1364" t="n">
        <v>46706</v>
      </c>
      <c r="Y6" s="1364" t="n">
        <v>46734</v>
      </c>
      <c r="Z6" s="1364" t="n">
        <v>46765</v>
      </c>
      <c r="AA6" s="1364" t="n">
        <v>46797</v>
      </c>
      <c r="AB6" s="1364" t="n">
        <v>46825</v>
      </c>
      <c r="AC6" s="1364" t="n">
        <v>46856</v>
      </c>
      <c r="AD6" s="1364" t="n">
        <v>46888</v>
      </c>
      <c r="AE6" s="1364" t="n">
        <v>46917</v>
      </c>
      <c r="AF6" s="1364" t="n">
        <v>46947</v>
      </c>
      <c r="AG6" s="1364" t="n">
        <v>46979</v>
      </c>
      <c r="AH6" s="1364" t="n">
        <v>47009</v>
      </c>
      <c r="AI6" s="1364" t="n">
        <v>47039</v>
      </c>
      <c r="AJ6" s="1364" t="n">
        <v>47070</v>
      </c>
      <c r="AK6" s="1364" t="n">
        <v>47100</v>
      </c>
      <c r="AL6" s="1364" t="n">
        <v>47134</v>
      </c>
      <c r="AM6" s="1364" t="n">
        <v>47162</v>
      </c>
      <c r="AN6" s="1364" t="n">
        <v>47190</v>
      </c>
      <c r="AO6" s="1364" t="n">
        <v>47221</v>
      </c>
      <c r="AP6" s="1364" t="n">
        <v>47252</v>
      </c>
      <c r="AQ6" s="1364" t="n">
        <v>47282</v>
      </c>
      <c r="AR6" s="1364" t="n">
        <v>47312</v>
      </c>
      <c r="AS6" s="1364" t="n">
        <v>47343</v>
      </c>
      <c r="AT6" s="1364" t="n">
        <v>47374</v>
      </c>
      <c r="AU6" s="1364" t="n">
        <v>47406</v>
      </c>
      <c r="AV6" s="1364" t="n">
        <v>47435</v>
      </c>
      <c r="AW6" s="1364" t="n">
        <v>47465</v>
      </c>
      <c r="AX6" s="1364" t="n">
        <v>47497</v>
      </c>
      <c r="AY6" s="1364" t="n">
        <v>47527</v>
      </c>
      <c r="AZ6" s="1364" t="n">
        <v>47555</v>
      </c>
      <c r="BA6" s="1364" t="n">
        <v>47588</v>
      </c>
      <c r="BB6" s="1364" t="n">
        <v>47616</v>
      </c>
      <c r="BC6" s="1364" t="n">
        <v>47647</v>
      </c>
      <c r="BD6" s="1364" t="n">
        <v>47679</v>
      </c>
      <c r="BE6" s="1364" t="n">
        <v>47708</v>
      </c>
      <c r="BF6" s="1364" t="n">
        <v>47739</v>
      </c>
      <c r="BG6" s="1364" t="n">
        <v>47771</v>
      </c>
      <c r="BH6" s="1364" t="n">
        <v>47800</v>
      </c>
      <c r="BI6" s="1364" t="n">
        <v>47830</v>
      </c>
      <c r="BJ6" s="1364" t="n">
        <v>47861</v>
      </c>
      <c r="BK6" s="1364" t="n">
        <v>47892</v>
      </c>
      <c r="BL6" s="1364" t="n">
        <v>47920</v>
      </c>
      <c r="BM6" s="1364" t="n">
        <v>47952</v>
      </c>
      <c r="BN6" s="1364" t="n">
        <v>47981</v>
      </c>
      <c r="BO6" s="1364" t="n">
        <v>48012</v>
      </c>
      <c r="BP6" s="1364" t="n">
        <v>48043</v>
      </c>
      <c r="BQ6" s="1364" t="n">
        <v>48073</v>
      </c>
      <c r="BR6" s="1364" t="n">
        <v>48106</v>
      </c>
      <c r="BS6" s="1364" t="n">
        <v>48135</v>
      </c>
      <c r="BT6" s="1364" t="n">
        <v>48165</v>
      </c>
      <c r="BU6" s="1364" t="n">
        <v>48197</v>
      </c>
      <c r="BV6" s="1364" t="n">
        <v>48226</v>
      </c>
      <c r="BW6" s="1364" t="n">
        <v>48257</v>
      </c>
      <c r="BX6" s="1364" t="n">
        <v>48288</v>
      </c>
      <c r="BY6" s="1364" t="n">
        <v>48317</v>
      </c>
      <c r="BZ6" s="1364" t="n">
        <v>48347</v>
      </c>
      <c r="CA6" s="1364" t="n">
        <v>48379</v>
      </c>
      <c r="CB6" s="1364" t="n">
        <v>48408</v>
      </c>
      <c r="CC6" s="1364" t="n">
        <v>48439</v>
      </c>
      <c r="CD6" s="1364" t="n">
        <v>48470</v>
      </c>
      <c r="CE6" s="1364" t="n">
        <v>48500</v>
      </c>
      <c r="CF6" s="1364" t="n">
        <v>48533</v>
      </c>
      <c r="CG6" s="1364" t="n">
        <v>48561</v>
      </c>
      <c r="CH6" s="1364" t="n">
        <v>48592</v>
      </c>
      <c r="CI6" s="1364" t="n">
        <v>48624</v>
      </c>
      <c r="CJ6" s="1364" t="n">
        <v>48652</v>
      </c>
      <c r="CK6" s="1364" t="n">
        <v>48682</v>
      </c>
      <c r="CL6" s="1364" t="n">
        <v>48712</v>
      </c>
      <c r="CM6" s="1364" t="n">
        <v>48743</v>
      </c>
      <c r="CN6" s="1364" t="n">
        <v>48773</v>
      </c>
      <c r="CO6" s="1364" t="n">
        <v>48806</v>
      </c>
      <c r="CP6" s="1364" t="n">
        <v>48835</v>
      </c>
      <c r="CQ6" s="1364" t="n">
        <v>48865</v>
      </c>
      <c r="CR6" s="1364" t="n">
        <v>48897</v>
      </c>
      <c r="CS6" s="1364" t="n">
        <v>48926</v>
      </c>
      <c r="CT6" s="1364" t="n">
        <v>48957</v>
      </c>
      <c r="CU6" s="1364" t="n">
        <v>48988</v>
      </c>
      <c r="CV6" s="1364" t="n">
        <v>49016</v>
      </c>
      <c r="CW6" s="1364" t="n">
        <v>49047</v>
      </c>
      <c r="CX6" s="1364" t="n">
        <v>49079</v>
      </c>
      <c r="CY6" s="1364" t="n">
        <v>49108</v>
      </c>
      <c r="CZ6" s="1364" t="n">
        <v>49138</v>
      </c>
      <c r="DA6" s="1364" t="n">
        <v>49170</v>
      </c>
      <c r="DB6" s="1364" t="n">
        <v>49200</v>
      </c>
      <c r="DC6" s="1364" t="n">
        <v>49230</v>
      </c>
      <c r="DD6" s="1364" t="n">
        <v>49261</v>
      </c>
      <c r="DE6" s="1364" t="n">
        <v>49291</v>
      </c>
      <c r="DF6" s="1364" t="n">
        <v>49325</v>
      </c>
      <c r="DG6" s="1364" t="n">
        <v>49353</v>
      </c>
      <c r="DH6" s="1364" t="n">
        <v>49381</v>
      </c>
      <c r="DI6" s="1364" t="n">
        <v>49412</v>
      </c>
      <c r="DJ6" s="1364" t="n">
        <v>49443</v>
      </c>
      <c r="DK6" s="1364" t="n">
        <v>49473</v>
      </c>
      <c r="DL6" s="1364" t="n">
        <v>49503</v>
      </c>
      <c r="DM6" s="1364" t="n">
        <v>49534</v>
      </c>
      <c r="DN6" s="1364" t="n">
        <v>49565</v>
      </c>
      <c r="DO6" s="1364" t="n">
        <v>49597</v>
      </c>
      <c r="DP6" s="1364" t="n">
        <v>49626</v>
      </c>
      <c r="DQ6" s="1364" t="n">
        <v>49656</v>
      </c>
      <c r="DR6" s="1364" t="n">
        <v>49688</v>
      </c>
      <c r="DS6" s="1364">
        <f>EOMONTH(DR6,1)</f>
        <v/>
      </c>
      <c r="DT6" s="1364">
        <f>EOMONTH(DS6,1)</f>
        <v/>
      </c>
      <c r="DU6" s="1364">
        <f>EOMONTH(DT6,1)</f>
        <v/>
      </c>
      <c r="DV6" s="1364">
        <f>EOMONTH(DU6,1)</f>
        <v/>
      </c>
      <c r="DW6" s="1364">
        <f>EOMONTH(DV6,1)</f>
        <v/>
      </c>
      <c r="DX6" s="1364">
        <f>EOMONTH(DW6,1)</f>
        <v/>
      </c>
      <c r="DY6" s="1364">
        <f>EOMONTH(DX6,1)</f>
        <v/>
      </c>
      <c r="DZ6" s="1364">
        <f>EOMONTH(DY6,1)</f>
        <v/>
      </c>
      <c r="EA6" s="1364">
        <f>EOMONTH(DZ6,1)</f>
        <v/>
      </c>
      <c r="EB6" s="1364">
        <f>EOMONTH(EA6,1)</f>
        <v/>
      </c>
      <c r="EC6" s="1364">
        <f>EOMONTH(EB6,1)</f>
        <v/>
      </c>
      <c r="ED6" s="1364">
        <f>EOMONTH(EC6,1)</f>
        <v/>
      </c>
      <c r="EE6" s="1364">
        <f>EOMONTH(ED6,1)</f>
        <v/>
      </c>
      <c r="EF6" s="1364">
        <f>EOMONTH(EE6,1)</f>
        <v/>
      </c>
      <c r="EG6" s="1364">
        <f>EOMONTH(EF6,1)</f>
        <v/>
      </c>
      <c r="EH6" s="1364">
        <f>EOMONTH(EG6,1)</f>
        <v/>
      </c>
      <c r="EI6" s="1364">
        <f>EOMONTH(EH6,1)</f>
        <v/>
      </c>
      <c r="EJ6" s="1364">
        <f>EOMONTH(EI6,1)</f>
        <v/>
      </c>
      <c r="EK6" s="1364">
        <f>EOMONTH(EJ6,1)</f>
        <v/>
      </c>
      <c r="EL6" s="1364">
        <f>EOMONTH(EK6,1)</f>
        <v/>
      </c>
      <c r="EM6" s="1364">
        <f>EOMONTH(EL6,1)</f>
        <v/>
      </c>
      <c r="EN6" s="1364">
        <f>EOMONTH(EM6,1)</f>
        <v/>
      </c>
      <c r="EO6" s="1364">
        <f>EOMONTH(EN6,1)</f>
        <v/>
      </c>
      <c r="EP6" s="1364">
        <f>EOMONTH(EO6,1)</f>
        <v/>
      </c>
      <c r="EQ6" s="1364">
        <f>EOMONTH(EP6,1)</f>
        <v/>
      </c>
      <c r="ER6" s="1364">
        <f>EOMONTH(EQ6,1)</f>
        <v/>
      </c>
      <c r="ES6" s="1364">
        <f>EOMONTH(ER6,1)</f>
        <v/>
      </c>
      <c r="ET6" s="1364">
        <f>EOMONTH(ES6,1)</f>
        <v/>
      </c>
      <c r="EU6" s="1364">
        <f>EOMONTH(ET6,1)</f>
        <v/>
      </c>
      <c r="EV6" s="1364">
        <f>EOMONTH(EU6,1)</f>
        <v/>
      </c>
      <c r="EW6" s="1364">
        <f>EOMONTH(EV6,1)</f>
        <v/>
      </c>
      <c r="EX6" s="1364">
        <f>EOMONTH(EW6,1)</f>
        <v/>
      </c>
      <c r="EY6" s="1364">
        <f>EOMONTH(EX6,1)</f>
        <v/>
      </c>
      <c r="EZ6" s="1364">
        <f>EOMONTH(EY6,1)</f>
        <v/>
      </c>
      <c r="FA6" s="1364">
        <f>EOMONTH(EZ6,1)</f>
        <v/>
      </c>
      <c r="FB6" s="1364">
        <f>EOMONTH(FA6,1)</f>
        <v/>
      </c>
      <c r="FC6" s="1364">
        <f>EOMONTH(FB6,1)</f>
        <v/>
      </c>
      <c r="FD6" s="1364">
        <f>EOMONTH(FC6,1)</f>
        <v/>
      </c>
      <c r="FE6" s="1364">
        <f>EOMONTH(FD6,1)</f>
        <v/>
      </c>
      <c r="FF6" s="1364">
        <f>EOMONTH(FE6,1)</f>
        <v/>
      </c>
      <c r="FG6" s="1364">
        <f>EOMONTH(FF6,1)</f>
        <v/>
      </c>
      <c r="FH6" s="1364">
        <f>EOMONTH(FG6,1)</f>
        <v/>
      </c>
      <c r="FI6" s="1364">
        <f>EOMONTH(FH6,1)</f>
        <v/>
      </c>
      <c r="FJ6" s="1364">
        <f>EOMONTH(FI6,1)</f>
        <v/>
      </c>
      <c r="FK6" s="1364">
        <f>EOMONTH(FJ6,1)</f>
        <v/>
      </c>
      <c r="FL6" s="1364">
        <f>EOMONTH(FK6,1)</f>
        <v/>
      </c>
      <c r="FM6" s="1364">
        <f>EOMONTH(FL6,1)</f>
        <v/>
      </c>
      <c r="FN6" s="1364">
        <f>EOMONTH(FM6,1)</f>
        <v/>
      </c>
      <c r="FO6" s="1364">
        <f>EOMONTH(FN6,1)</f>
        <v/>
      </c>
      <c r="FP6" s="488" t="n"/>
      <c r="FQ6" s="488" t="n"/>
      <c r="FR6" s="488" t="n"/>
      <c r="FS6" s="488" t="n"/>
      <c r="FT6" s="488" t="n"/>
      <c r="FU6" s="488" t="n"/>
      <c r="FV6" s="488" t="n"/>
      <c r="FW6" s="488" t="n"/>
      <c r="FX6" s="488" t="n"/>
      <c r="FY6" s="488" t="n"/>
      <c r="FZ6" s="488" t="n"/>
      <c r="GA6" s="488" t="n"/>
      <c r="GB6" s="488" t="n"/>
      <c r="GC6" s="488" t="n"/>
      <c r="GD6" s="488" t="n"/>
      <c r="GE6" s="488" t="n"/>
      <c r="GF6" s="488" t="n"/>
      <c r="GG6" s="488" t="n"/>
      <c r="GH6" s="488" t="n"/>
      <c r="GI6" s="488" t="n"/>
      <c r="GJ6" s="488" t="n"/>
      <c r="GK6" s="488" t="n"/>
      <c r="GL6" s="488" t="n"/>
      <c r="GM6" s="488" t="n"/>
      <c r="GN6" s="488" t="n"/>
      <c r="GO6" s="488" t="n"/>
      <c r="GP6" s="488" t="n"/>
      <c r="GQ6" s="488" t="n"/>
      <c r="GR6" s="488" t="n"/>
      <c r="GS6" s="488" t="n"/>
      <c r="GT6" s="488" t="n"/>
      <c r="GU6" s="488" t="n"/>
      <c r="GV6" s="488" t="n"/>
      <c r="GW6" s="488" t="n"/>
      <c r="GX6" s="488" t="n"/>
      <c r="GY6" s="488" t="n"/>
      <c r="GZ6" s="488" t="n"/>
      <c r="HA6" s="488" t="n"/>
      <c r="HB6" s="488" t="n"/>
      <c r="HC6" s="488" t="n"/>
      <c r="HD6" s="488" t="n"/>
      <c r="HE6" s="488" t="n"/>
      <c r="HF6" s="488" t="n"/>
      <c r="HG6" s="488" t="n"/>
      <c r="HH6" s="488" t="n"/>
      <c r="HI6" s="488" t="n"/>
      <c r="HJ6" s="488" t="n"/>
      <c r="HK6" s="488" t="n"/>
      <c r="HL6" s="488" t="n"/>
      <c r="HM6" s="488" t="n"/>
      <c r="HN6" s="488" t="n"/>
      <c r="HO6" s="488" t="n"/>
      <c r="HP6" s="488" t="n"/>
      <c r="HQ6" s="488" t="n"/>
      <c r="HR6" s="488" t="n"/>
      <c r="HS6" s="488" t="n"/>
      <c r="HT6" s="488" t="n"/>
      <c r="HU6" s="488" t="n"/>
      <c r="HV6" s="488" t="n"/>
      <c r="HW6" s="488" t="n"/>
      <c r="HX6" s="488" t="n"/>
      <c r="HY6" s="488" t="n"/>
      <c r="HZ6" s="488" t="n"/>
      <c r="IA6" s="488" t="n"/>
      <c r="IB6" s="488" t="n"/>
      <c r="IC6" s="488" t="n"/>
      <c r="ID6" s="488" t="n"/>
      <c r="IE6" s="488" t="n"/>
      <c r="IF6" s="488" t="n"/>
      <c r="IG6" s="488" t="n"/>
      <c r="IH6" s="488" t="n"/>
      <c r="II6" s="488" t="n"/>
      <c r="IJ6" s="488" t="n"/>
      <c r="IK6" s="488" t="n"/>
      <c r="IL6" s="488" t="n"/>
      <c r="IM6" s="488" t="n"/>
      <c r="IN6" s="488" t="n"/>
      <c r="IO6" s="488" t="n"/>
      <c r="IP6" s="488" t="n"/>
      <c r="IQ6" s="488" t="n"/>
      <c r="IR6" s="488" t="n"/>
      <c r="IS6" s="488" t="n"/>
      <c r="IT6" s="488" t="n"/>
      <c r="IU6" s="488" t="n"/>
      <c r="IV6" s="488" t="n"/>
    </row>
    <row r="7" ht="6.75" customHeight="1">
      <c r="A7" s="595" t="n"/>
      <c r="B7" s="596" t="n"/>
      <c r="C7" s="596" t="n"/>
      <c r="D7" s="596" t="n"/>
      <c r="E7" s="596" t="n"/>
      <c r="F7" s="596" t="n"/>
      <c r="G7" s="596" t="n"/>
      <c r="H7" s="596" t="n"/>
      <c r="I7" s="597" t="n"/>
      <c r="J7" s="1365" t="n"/>
      <c r="K7" s="596" t="n"/>
      <c r="L7" s="596" t="n"/>
      <c r="M7" s="596" t="n"/>
      <c r="N7" s="596" t="n"/>
      <c r="O7" s="596" t="n"/>
      <c r="P7" s="596" t="n"/>
      <c r="Q7" s="596" t="n"/>
      <c r="R7" s="596" t="n"/>
      <c r="S7" s="596" t="n"/>
      <c r="T7" s="596" t="n"/>
      <c r="U7" s="596" t="n"/>
      <c r="V7" s="596" t="n"/>
      <c r="W7" s="596" t="n"/>
      <c r="X7" s="596" t="n"/>
      <c r="Y7" s="596" t="n"/>
      <c r="Z7" s="596" t="n"/>
      <c r="AA7" s="596" t="n"/>
      <c r="AB7" s="596" t="n"/>
      <c r="AC7" s="596" t="n"/>
      <c r="AD7" s="596" t="n"/>
      <c r="AE7" s="596" t="n"/>
      <c r="AF7" s="596" t="n"/>
      <c r="AG7" s="596" t="n"/>
      <c r="AH7" s="596" t="n"/>
      <c r="AI7" s="596" t="n"/>
      <c r="AJ7" s="596" t="n"/>
      <c r="AK7" s="596" t="n"/>
      <c r="AL7" s="596" t="n"/>
      <c r="AM7" s="596" t="n"/>
      <c r="AN7" s="596" t="n"/>
      <c r="AO7" s="596" t="n"/>
      <c r="AP7" s="596" t="n"/>
      <c r="AQ7" s="596" t="n"/>
      <c r="AR7" s="596" t="n"/>
      <c r="AS7" s="596" t="n"/>
      <c r="AT7" s="596" t="n"/>
      <c r="AU7" s="596" t="n"/>
      <c r="AV7" s="596" t="n"/>
      <c r="AW7" s="596" t="n"/>
      <c r="AX7" s="596" t="n"/>
      <c r="AY7" s="596" t="n"/>
      <c r="AZ7" s="596" t="n"/>
      <c r="BA7" s="596" t="n"/>
      <c r="BB7" s="596" t="n"/>
      <c r="BC7" s="596" t="n"/>
      <c r="BD7" s="596" t="n"/>
      <c r="BE7" s="596" t="n"/>
      <c r="BF7" s="596" t="n"/>
      <c r="BG7" s="596" t="n"/>
      <c r="BH7" s="596" t="n"/>
      <c r="BI7" s="596" t="n"/>
      <c r="BJ7" s="596" t="n"/>
      <c r="BK7" s="596" t="n"/>
      <c r="BL7" s="596" t="n"/>
      <c r="BM7" s="596" t="n"/>
      <c r="BN7" s="596" t="n"/>
      <c r="BO7" s="596" t="n"/>
      <c r="BP7" s="596" t="n"/>
      <c r="BQ7" s="596" t="n"/>
      <c r="BR7" s="596" t="n"/>
      <c r="BS7" s="596" t="n"/>
      <c r="BT7" s="596" t="n"/>
      <c r="BU7" s="596" t="n"/>
      <c r="BV7" s="596" t="n"/>
      <c r="BW7" s="596" t="n"/>
      <c r="BX7" s="596" t="n"/>
      <c r="BY7" s="596" t="n"/>
      <c r="BZ7" s="596" t="n"/>
      <c r="CA7" s="596" t="n"/>
      <c r="CB7" s="596" t="n"/>
      <c r="CC7" s="596" t="n"/>
      <c r="CD7" s="596" t="n"/>
      <c r="CE7" s="596" t="n"/>
      <c r="CF7" s="596" t="n"/>
      <c r="CG7" s="596" t="n"/>
      <c r="CH7" s="596" t="n"/>
      <c r="CI7" s="596" t="n"/>
      <c r="CJ7" s="596" t="n"/>
      <c r="CK7" s="596" t="n"/>
      <c r="CL7" s="596" t="n"/>
      <c r="CM7" s="596" t="n"/>
      <c r="CN7" s="596" t="n"/>
      <c r="CO7" s="596" t="n"/>
      <c r="CP7" s="596" t="n"/>
      <c r="CQ7" s="596" t="n"/>
      <c r="CR7" s="596" t="n"/>
      <c r="CS7" s="596" t="n"/>
      <c r="CT7" s="596" t="n"/>
      <c r="CU7" s="596" t="n"/>
      <c r="CV7" s="596" t="n"/>
      <c r="CW7" s="596" t="n"/>
      <c r="CX7" s="596" t="n"/>
      <c r="CY7" s="596" t="n"/>
      <c r="CZ7" s="596" t="n"/>
      <c r="DA7" s="596" t="n"/>
      <c r="DB7" s="596" t="n"/>
      <c r="DC7" s="596" t="n"/>
      <c r="DD7" s="596" t="n"/>
      <c r="DE7" s="596" t="n"/>
      <c r="DF7" s="596" t="n"/>
      <c r="DG7" s="596" t="n"/>
      <c r="DH7" s="596" t="n"/>
      <c r="DI7" s="596" t="n"/>
      <c r="DJ7" s="596" t="n"/>
      <c r="DK7" s="596" t="n"/>
      <c r="DL7" s="596" t="n"/>
      <c r="DM7" s="596" t="n"/>
      <c r="DN7" s="596" t="n"/>
      <c r="DO7" s="596" t="n"/>
      <c r="DP7" s="596" t="n"/>
      <c r="DQ7" s="596" t="n"/>
      <c r="DR7" s="596" t="n"/>
      <c r="DS7" s="596" t="n"/>
      <c r="DT7" s="596" t="n"/>
      <c r="DU7" s="596" t="n"/>
      <c r="DV7" s="596" t="n"/>
      <c r="DW7" s="596" t="n"/>
      <c r="DX7" s="596" t="n"/>
      <c r="DY7" s="596" t="n"/>
      <c r="DZ7" s="596" t="n"/>
      <c r="EA7" s="596" t="n"/>
      <c r="EB7" s="596" t="n"/>
      <c r="EC7" s="596" t="n"/>
      <c r="ED7" s="596" t="n"/>
      <c r="EE7" s="596" t="n"/>
      <c r="EF7" s="596" t="n"/>
      <c r="EG7" s="596" t="n"/>
      <c r="EH7" s="596" t="n"/>
      <c r="EI7" s="596" t="n"/>
      <c r="EJ7" s="596" t="n"/>
      <c r="EK7" s="596" t="n"/>
      <c r="EL7" s="596" t="n"/>
      <c r="EM7" s="596" t="n"/>
      <c r="EN7" s="596" t="n"/>
      <c r="EO7" s="596" t="n"/>
      <c r="EP7" s="596" t="n"/>
      <c r="EQ7" s="596" t="n"/>
      <c r="ER7" s="596" t="n"/>
      <c r="ES7" s="596" t="n"/>
      <c r="ET7" s="596" t="n"/>
      <c r="EU7" s="596" t="n"/>
      <c r="EV7" s="596" t="n"/>
      <c r="EW7" s="596" t="n"/>
      <c r="EX7" s="596" t="n"/>
      <c r="EY7" s="596" t="n"/>
      <c r="EZ7" s="596" t="n"/>
      <c r="FA7" s="596" t="n"/>
      <c r="FB7" s="596" t="n"/>
      <c r="FC7" s="596" t="n"/>
      <c r="FD7" s="596" t="n"/>
      <c r="FE7" s="596" t="n"/>
      <c r="FF7" s="596" t="n"/>
      <c r="FG7" s="596" t="n"/>
      <c r="FH7" s="596" t="n"/>
      <c r="FI7" s="596" t="n"/>
      <c r="FJ7" s="596" t="n"/>
      <c r="FK7" s="596" t="n"/>
      <c r="FL7" s="596" t="n"/>
      <c r="FM7" s="596" t="n"/>
      <c r="FN7" s="596" t="n"/>
      <c r="FO7" s="596" t="n"/>
      <c r="FP7" s="488" t="n"/>
      <c r="FQ7" s="488" t="n"/>
      <c r="FR7" s="488" t="n"/>
      <c r="FS7" s="488" t="n"/>
      <c r="FT7" s="488" t="n"/>
      <c r="FU7" s="488" t="n"/>
      <c r="FV7" s="488" t="n"/>
      <c r="FW7" s="488" t="n"/>
      <c r="FX7" s="488" t="n"/>
      <c r="FY7" s="488" t="n"/>
      <c r="FZ7" s="488" t="n"/>
      <c r="GA7" s="488" t="n"/>
      <c r="GB7" s="488" t="n"/>
      <c r="GC7" s="488" t="n"/>
      <c r="GD7" s="488" t="n"/>
      <c r="GE7" s="488" t="n"/>
      <c r="GF7" s="488" t="n"/>
      <c r="GG7" s="488" t="n"/>
      <c r="GH7" s="488" t="n"/>
      <c r="GI7" s="488" t="n"/>
      <c r="GJ7" s="488" t="n"/>
      <c r="GK7" s="488" t="n"/>
      <c r="GL7" s="488" t="n"/>
      <c r="GM7" s="488" t="n"/>
      <c r="GN7" s="488" t="n"/>
      <c r="GO7" s="488" t="n"/>
      <c r="GP7" s="488" t="n"/>
      <c r="GQ7" s="488" t="n"/>
      <c r="GR7" s="488" t="n"/>
      <c r="GS7" s="488" t="n"/>
      <c r="GT7" s="488" t="n"/>
      <c r="GU7" s="488" t="n"/>
      <c r="GV7" s="488" t="n"/>
      <c r="GW7" s="488" t="n"/>
      <c r="GX7" s="488" t="n"/>
      <c r="GY7" s="488" t="n"/>
      <c r="GZ7" s="488" t="n"/>
      <c r="HA7" s="488" t="n"/>
      <c r="HB7" s="488" t="n"/>
      <c r="HC7" s="488" t="n"/>
      <c r="HD7" s="488" t="n"/>
      <c r="HE7" s="488" t="n"/>
      <c r="HF7" s="488" t="n"/>
      <c r="HG7" s="488" t="n"/>
      <c r="HH7" s="488" t="n"/>
      <c r="HI7" s="488" t="n"/>
      <c r="HJ7" s="488" t="n"/>
      <c r="HK7" s="488" t="n"/>
      <c r="HL7" s="488" t="n"/>
      <c r="HM7" s="488" t="n"/>
      <c r="HN7" s="488" t="n"/>
      <c r="HO7" s="488" t="n"/>
      <c r="HP7" s="488" t="n"/>
      <c r="HQ7" s="488" t="n"/>
      <c r="HR7" s="488" t="n"/>
      <c r="HS7" s="488" t="n"/>
      <c r="HT7" s="488" t="n"/>
      <c r="HU7" s="488" t="n"/>
      <c r="HV7" s="488" t="n"/>
      <c r="HW7" s="488" t="n"/>
      <c r="HX7" s="488" t="n"/>
      <c r="HY7" s="488" t="n"/>
      <c r="HZ7" s="488" t="n"/>
      <c r="IA7" s="488" t="n"/>
      <c r="IB7" s="488" t="n"/>
      <c r="IC7" s="488" t="n"/>
      <c r="ID7" s="488" t="n"/>
      <c r="IE7" s="488" t="n"/>
      <c r="IF7" s="488" t="n"/>
      <c r="IG7" s="488" t="n"/>
      <c r="IH7" s="488" t="n"/>
      <c r="II7" s="488" t="n"/>
      <c r="IJ7" s="488" t="n"/>
      <c r="IK7" s="488" t="n"/>
      <c r="IL7" s="488" t="n"/>
      <c r="IM7" s="488" t="n"/>
      <c r="IN7" s="488" t="n"/>
      <c r="IO7" s="488" t="n"/>
      <c r="IP7" s="488" t="n"/>
      <c r="IQ7" s="488" t="n"/>
      <c r="IR7" s="488" t="n"/>
      <c r="IS7" s="488" t="n"/>
      <c r="IT7" s="488" t="n"/>
      <c r="IU7" s="488" t="n"/>
      <c r="IV7" s="488" t="n"/>
    </row>
    <row r="8" customFormat="1" s="448">
      <c r="A8" s="599" t="inlineStr">
        <is>
          <t>1 Month USD SOFR Forward Curve</t>
        </is>
      </c>
      <c r="B8" s="600" t="n">
        <v>0.0367532</v>
      </c>
      <c r="C8" s="600" t="n">
        <v>0.0366817</v>
      </c>
      <c r="D8" s="600" t="n">
        <v>0.0362892</v>
      </c>
      <c r="E8" s="600" t="n">
        <v>0.0358654</v>
      </c>
      <c r="F8" s="600" t="n">
        <v>0.0354297</v>
      </c>
      <c r="G8" s="600" t="n">
        <v>0.0343825</v>
      </c>
      <c r="H8" s="600" t="n">
        <v>0.033776</v>
      </c>
      <c r="I8" s="600" t="n">
        <v>0.0337776</v>
      </c>
      <c r="J8" s="600" t="n">
        <v>0.0323953</v>
      </c>
      <c r="K8" s="600" t="n">
        <v>0.0322982</v>
      </c>
      <c r="L8" s="600" t="n">
        <v>0.0322982</v>
      </c>
      <c r="M8" s="600" t="n">
        <v>0.0316857</v>
      </c>
      <c r="N8" s="600" t="n">
        <v>0.0316477</v>
      </c>
      <c r="O8" s="600" t="n">
        <v>0.0316393</v>
      </c>
      <c r="P8" s="600" t="n">
        <v>0.0316798</v>
      </c>
      <c r="Q8" s="600" t="n">
        <v>0.0316809</v>
      </c>
      <c r="R8" s="600" t="n">
        <v>0.0316837</v>
      </c>
      <c r="S8" s="600" t="n">
        <v>0.031838</v>
      </c>
      <c r="T8" s="600" t="n">
        <v>0.0319526</v>
      </c>
      <c r="U8" s="600" t="n">
        <v>0.032075</v>
      </c>
      <c r="V8" s="600" t="n">
        <v>0.0322057</v>
      </c>
      <c r="W8" s="600" t="n">
        <v>0.032359</v>
      </c>
      <c r="X8" s="600" t="n">
        <v>0.0325159</v>
      </c>
      <c r="Y8" s="600" t="n">
        <v>0.0326741</v>
      </c>
      <c r="Z8" s="600" t="n">
        <v>0.0328578</v>
      </c>
      <c r="AA8" s="600" t="n">
        <v>0.0330275</v>
      </c>
      <c r="AB8" s="600" t="n">
        <v>0.0331919</v>
      </c>
      <c r="AC8" s="600" t="n">
        <v>0.0333638</v>
      </c>
      <c r="AD8" s="600" t="n">
        <v>0.0335275</v>
      </c>
      <c r="AE8" s="600" t="n">
        <v>0.0336712</v>
      </c>
      <c r="AF8" s="600" t="n">
        <v>0.0338276</v>
      </c>
      <c r="AG8" s="600" t="n">
        <v>0.0339767</v>
      </c>
      <c r="AH8" s="600" t="n">
        <v>0.0341117</v>
      </c>
      <c r="AI8" s="600" t="n">
        <v>0.0342498</v>
      </c>
      <c r="AJ8" s="600" t="n">
        <v>0.0343799</v>
      </c>
      <c r="AK8" s="600" t="n">
        <v>0.0345197</v>
      </c>
      <c r="AL8" s="600" t="n">
        <v>0.0346453</v>
      </c>
      <c r="AM8" s="600" t="n">
        <v>0.0347455</v>
      </c>
      <c r="AN8" s="600" t="n">
        <v>0.034867</v>
      </c>
      <c r="AO8" s="600" t="n">
        <v>0.0349886</v>
      </c>
      <c r="AP8" s="600" t="n">
        <v>0.0351094</v>
      </c>
      <c r="AQ8" s="600" t="n">
        <v>0.0352219</v>
      </c>
      <c r="AR8" s="600" t="n">
        <v>0.035341</v>
      </c>
      <c r="AS8" s="600" t="n">
        <v>0.0354595</v>
      </c>
      <c r="AT8" s="600" t="n">
        <v>0.0355809</v>
      </c>
      <c r="AU8" s="600" t="n">
        <v>0.0356979</v>
      </c>
      <c r="AV8" s="600" t="n">
        <v>0.0358029</v>
      </c>
      <c r="AW8" s="600" t="n">
        <v>0.0359219</v>
      </c>
      <c r="AX8" s="600" t="n">
        <v>0.0360373</v>
      </c>
      <c r="AY8" s="600" t="n">
        <v>0.0361404</v>
      </c>
      <c r="AZ8" s="600" t="n">
        <v>0.0362691</v>
      </c>
      <c r="BA8" s="600" t="n">
        <v>0.0363907</v>
      </c>
      <c r="BB8" s="600" t="n">
        <v>0.0365107</v>
      </c>
      <c r="BC8" s="600" t="n">
        <v>0.0366468</v>
      </c>
      <c r="BD8" s="600" t="n">
        <v>0.0367828</v>
      </c>
      <c r="BE8" s="600" t="n">
        <v>0.036913</v>
      </c>
      <c r="BF8" s="600" t="n">
        <v>0.03706</v>
      </c>
      <c r="BG8" s="600" t="n">
        <v>0.0372068</v>
      </c>
      <c r="BH8" s="600" t="n">
        <v>0.0373426</v>
      </c>
      <c r="BI8" s="600" t="n">
        <v>0.0374954</v>
      </c>
      <c r="BJ8" s="600" t="n">
        <v>0.0376512</v>
      </c>
      <c r="BK8" s="600" t="n">
        <v>0.0377923</v>
      </c>
      <c r="BL8" s="600" t="n">
        <v>0.0379476</v>
      </c>
      <c r="BM8" s="600" t="n">
        <v>0.0380936</v>
      </c>
      <c r="BN8" s="600" t="n">
        <v>0.0382361</v>
      </c>
      <c r="BO8" s="600" t="n">
        <v>0.0383814</v>
      </c>
      <c r="BP8" s="600" t="n">
        <v>0.0385244</v>
      </c>
      <c r="BQ8" s="600" t="n">
        <v>0.0386691</v>
      </c>
      <c r="BR8" s="600" t="n">
        <v>0.0388034</v>
      </c>
      <c r="BS8" s="600" t="n">
        <v>0.0389348</v>
      </c>
      <c r="BT8" s="600" t="n">
        <v>0.0390683</v>
      </c>
      <c r="BU8" s="600" t="n">
        <v>0.0391996</v>
      </c>
      <c r="BV8" s="600" t="n">
        <v>0.0393202</v>
      </c>
      <c r="BW8" s="600" t="n">
        <v>0.0394469</v>
      </c>
      <c r="BX8" s="600" t="n">
        <v>0.0395712</v>
      </c>
      <c r="BY8" s="600" t="n">
        <v>0.0396812</v>
      </c>
      <c r="BZ8" s="600" t="n">
        <v>0.0398053</v>
      </c>
      <c r="CA8" s="600" t="n">
        <v>0.0399183</v>
      </c>
      <c r="CB8" s="600" t="n">
        <v>0.04003</v>
      </c>
      <c r="CC8" s="600" t="n">
        <v>0.0401428</v>
      </c>
      <c r="CD8" s="600" t="n">
        <v>0.0402492</v>
      </c>
      <c r="CE8" s="600" t="n">
        <v>0.0403657</v>
      </c>
      <c r="CF8" s="600" t="n">
        <v>0.0404663</v>
      </c>
      <c r="CG8" s="600" t="n">
        <v>0.0405636</v>
      </c>
      <c r="CH8" s="600" t="n">
        <v>0.040669</v>
      </c>
      <c r="CI8" s="600" t="n">
        <v>0.0407576</v>
      </c>
      <c r="CJ8" s="600" t="n">
        <v>0.0408606</v>
      </c>
      <c r="CK8" s="600" t="n">
        <v>0.0409543</v>
      </c>
      <c r="CL8" s="600" t="n">
        <v>0.0410558</v>
      </c>
      <c r="CM8" s="600" t="n">
        <v>0.0411525</v>
      </c>
      <c r="CN8" s="600" t="n">
        <v>0.0412619</v>
      </c>
      <c r="CO8" s="600" t="n">
        <v>0.041361</v>
      </c>
      <c r="CP8" s="600" t="n">
        <v>0.041451</v>
      </c>
      <c r="CQ8" s="600" t="n">
        <v>0.0415562</v>
      </c>
      <c r="CR8" s="600" t="n">
        <v>0.0416518</v>
      </c>
      <c r="CS8" s="600" t="n">
        <v>0.0417496</v>
      </c>
      <c r="CT8" s="600" t="n">
        <v>0.0418498</v>
      </c>
      <c r="CU8" s="600" t="n">
        <v>0.0419378</v>
      </c>
      <c r="CV8" s="600" t="n">
        <v>0.0420404</v>
      </c>
      <c r="CW8" s="600" t="n">
        <v>0.0421444</v>
      </c>
      <c r="CX8" s="600" t="n">
        <v>0.0422435</v>
      </c>
      <c r="CY8" s="600" t="n">
        <v>0.0423328</v>
      </c>
      <c r="CZ8" s="600" t="n">
        <v>0.0424376</v>
      </c>
      <c r="DA8" s="600" t="n">
        <v>0.0425364</v>
      </c>
      <c r="DB8" s="600" t="n">
        <v>0.0426286</v>
      </c>
      <c r="DC8" s="600" t="n">
        <v>0.0427291</v>
      </c>
      <c r="DD8" s="600" t="n">
        <v>0.0428244</v>
      </c>
      <c r="DE8" s="600" t="n">
        <v>0.0429372</v>
      </c>
      <c r="DF8" s="600" t="n">
        <v>0.0430337</v>
      </c>
      <c r="DG8" s="600" t="n">
        <v>0.0431108</v>
      </c>
      <c r="DH8" s="600" t="n">
        <v>0.0432129</v>
      </c>
      <c r="DI8" s="600" t="n">
        <v>0.043312</v>
      </c>
      <c r="DJ8" s="600" t="n">
        <v>0.043411</v>
      </c>
      <c r="DK8" s="600" t="n">
        <v>0.0435026</v>
      </c>
      <c r="DL8" s="600" t="n">
        <v>0.0436025</v>
      </c>
      <c r="DM8" s="600" t="n">
        <v>0.0437013</v>
      </c>
      <c r="DN8" s="600" t="n">
        <v>0.0438043</v>
      </c>
      <c r="DO8" s="600" t="n">
        <v>0.0439018</v>
      </c>
      <c r="DP8" s="600" t="n">
        <v>0.0439898</v>
      </c>
      <c r="DQ8" s="600" t="n">
        <v>0.0440937</v>
      </c>
      <c r="DR8" s="600" t="n">
        <v>0.0441907</v>
      </c>
      <c r="DS8" s="600" t="n">
        <v>0.0311111483386123</v>
      </c>
      <c r="DT8" s="600" t="n">
        <v>0.03116330192764683</v>
      </c>
      <c r="DU8" s="600" t="n">
        <v>0.03121114956119886</v>
      </c>
      <c r="DV8" s="600" t="n">
        <v>0.03126420117590657</v>
      </c>
      <c r="DW8" s="600" t="n">
        <v>0.03130596512542017</v>
      </c>
      <c r="DX8" s="600" t="n">
        <v>0.03135107698894035</v>
      </c>
      <c r="DY8" s="600" t="n">
        <v>0.03139554857470396</v>
      </c>
      <c r="DZ8" s="600" t="n">
        <v>0.0314261587816581</v>
      </c>
      <c r="EA8" s="600" t="n">
        <v>0.03146501075446691</v>
      </c>
      <c r="EB8" s="600" t="n">
        <v>0.03149889181594201</v>
      </c>
      <c r="EC8" s="600" t="n">
        <v>0.03152940139981936</v>
      </c>
      <c r="ED8" s="600" t="n">
        <v>0.03155436413379054</v>
      </c>
      <c r="EE8" s="600" t="n">
        <v>0.03158140156525491</v>
      </c>
      <c r="EF8" s="600" t="n">
        <v>0.03160124410258684</v>
      </c>
      <c r="EG8" s="600" t="n">
        <v>0.03161856716894018</v>
      </c>
      <c r="EH8" s="600" t="n">
        <v>0.03163399083080107</v>
      </c>
      <c r="EI8" s="600" t="n">
        <v>0.03164257538047632</v>
      </c>
      <c r="EJ8" s="600" t="n">
        <v>0.0316518054838364</v>
      </c>
      <c r="EK8" s="600" t="n">
        <v>0.03165468490645416</v>
      </c>
      <c r="EL8" s="600" t="n">
        <v>0.03165016776529202</v>
      </c>
      <c r="EM8" s="600" t="n">
        <v>0.03165030374540988</v>
      </c>
      <c r="EN8" s="600" t="n">
        <v>0.03164013610115912</v>
      </c>
      <c r="EO8" s="600" t="n">
        <v>0.03162991855777132</v>
      </c>
      <c r="EP8" s="600" t="n">
        <v>0.03161130538412404</v>
      </c>
      <c r="EQ8" s="600" t="n">
        <v>0.03159485421716605</v>
      </c>
      <c r="ER8" s="600" t="n">
        <v>0.03157695857632073</v>
      </c>
      <c r="ES8" s="600" t="n">
        <v>0.03155440370651696</v>
      </c>
      <c r="ET8" s="600" t="n">
        <v>0.03153550346594659</v>
      </c>
      <c r="EU8" s="600" t="n">
        <v>0.03151281139891626</v>
      </c>
      <c r="EV8" s="600" t="n">
        <v>0.03148789703583244</v>
      </c>
      <c r="EW8" s="600" t="n">
        <v>0.0314662689427611</v>
      </c>
      <c r="EX8" s="600" t="n">
        <v>0.03143572506044435</v>
      </c>
      <c r="EY8" s="600" t="n">
        <v>0.03141205139692497</v>
      </c>
      <c r="EZ8" s="600" t="n">
        <v>0.03138530908644555</v>
      </c>
      <c r="FA8" s="600" t="n">
        <v>0.0313582437276654</v>
      </c>
      <c r="FB8" s="600" t="n">
        <v>0.03132408016046284</v>
      </c>
      <c r="FC8" s="600" t="n">
        <v>0.03129427022055947</v>
      </c>
      <c r="FD8" s="600" t="n">
        <v>0.03126117598873741</v>
      </c>
      <c r="FE8" s="600" t="n">
        <v>0.03122233557599063</v>
      </c>
      <c r="FF8" s="600" t="n">
        <v>0.03118936103358317</v>
      </c>
      <c r="FG8" s="600" t="n">
        <v>0.03114717940211431</v>
      </c>
      <c r="FH8" s="600" t="n">
        <v>0.03110581488616616</v>
      </c>
      <c r="FI8" s="600" t="n">
        <v>0.03106887358304258</v>
      </c>
      <c r="FJ8" s="600" t="n">
        <v>0.03102066026650637</v>
      </c>
      <c r="FK8" s="600" t="n">
        <v>0.03097882253446075</v>
      </c>
      <c r="FL8" s="600" t="n">
        <v>0.03093357042382738</v>
      </c>
      <c r="FM8" s="600" t="n">
        <v>0.03088113333449788</v>
      </c>
      <c r="FN8" s="600" t="n">
        <v>0.03083222432493571</v>
      </c>
      <c r="FO8" s="600" t="n">
        <v>0.03078241936059187</v>
      </c>
      <c r="FP8" s="488" t="n"/>
      <c r="FQ8" s="488" t="n"/>
      <c r="FR8" s="488" t="n"/>
      <c r="FS8" s="488" t="n"/>
      <c r="FT8" s="488" t="n"/>
      <c r="FU8" s="488" t="n"/>
      <c r="FV8" s="488" t="n"/>
      <c r="FW8" s="488" t="n"/>
      <c r="FX8" s="488" t="n"/>
      <c r="FY8" s="488" t="n"/>
      <c r="FZ8" s="488" t="n"/>
      <c r="GA8" s="488" t="n"/>
      <c r="GB8" s="488" t="n"/>
      <c r="GC8" s="488" t="n"/>
      <c r="GD8" s="488" t="n"/>
      <c r="GE8" s="488" t="n"/>
      <c r="GF8" s="488" t="n"/>
      <c r="GG8" s="488" t="n"/>
      <c r="GH8" s="488" t="n"/>
      <c r="GI8" s="488" t="n"/>
      <c r="GJ8" s="488" t="n"/>
      <c r="GK8" s="488" t="n"/>
      <c r="GL8" s="488" t="n"/>
      <c r="GM8" s="488" t="n"/>
      <c r="GN8" s="488" t="n"/>
      <c r="GO8" s="488" t="n"/>
      <c r="GP8" s="488" t="n"/>
      <c r="GQ8" s="488" t="n"/>
      <c r="GR8" s="488" t="n"/>
      <c r="GS8" s="488" t="n"/>
      <c r="GT8" s="488" t="n"/>
      <c r="GU8" s="488" t="n"/>
      <c r="GV8" s="488" t="n"/>
      <c r="GW8" s="488" t="n"/>
      <c r="GX8" s="488" t="n"/>
      <c r="GY8" s="488" t="n"/>
      <c r="GZ8" s="488" t="n"/>
      <c r="HA8" s="488" t="n"/>
      <c r="HB8" s="488" t="n"/>
      <c r="HC8" s="488" t="n"/>
      <c r="HD8" s="488" t="n"/>
      <c r="HE8" s="488" t="n"/>
      <c r="HF8" s="488" t="n"/>
      <c r="HG8" s="488" t="n"/>
      <c r="HH8" s="488" t="n"/>
      <c r="HI8" s="488" t="n"/>
      <c r="HJ8" s="488" t="n"/>
      <c r="HK8" s="488" t="n"/>
      <c r="HL8" s="488" t="n"/>
      <c r="HM8" s="488" t="n"/>
      <c r="HN8" s="488" t="n"/>
      <c r="HO8" s="488" t="n"/>
      <c r="HP8" s="488" t="n"/>
      <c r="HQ8" s="488" t="n"/>
      <c r="HR8" s="488" t="n"/>
      <c r="HS8" s="488" t="n"/>
      <c r="HT8" s="488" t="n"/>
      <c r="HU8" s="488" t="n"/>
      <c r="HV8" s="488" t="n"/>
      <c r="HW8" s="488" t="n"/>
      <c r="HX8" s="488" t="n"/>
      <c r="HY8" s="488" t="n"/>
      <c r="HZ8" s="488" t="n"/>
      <c r="IA8" s="488" t="n"/>
      <c r="IB8" s="488" t="n"/>
      <c r="IC8" s="488" t="n"/>
      <c r="ID8" s="488" t="n"/>
      <c r="IE8" s="488" t="n"/>
      <c r="IF8" s="488" t="n"/>
      <c r="IG8" s="488" t="n"/>
      <c r="IH8" s="488" t="n"/>
      <c r="II8" s="488" t="n"/>
      <c r="IJ8" s="488" t="n"/>
      <c r="IK8" s="488" t="n"/>
      <c r="IL8" s="488" t="n"/>
      <c r="IM8" s="488" t="n"/>
      <c r="IN8" s="488" t="n"/>
      <c r="IO8" s="488" t="n"/>
      <c r="IP8" s="488" t="n"/>
      <c r="IQ8" s="488" t="n"/>
      <c r="IR8" s="488" t="n"/>
      <c r="IS8" s="488" t="n"/>
      <c r="IT8" s="488" t="n"/>
      <c r="IU8" s="488" t="n"/>
      <c r="IV8" s="488" t="n"/>
    </row>
    <row r="9" ht="6.75" customFormat="1" customHeight="1" s="447">
      <c r="A9" s="601" t="n"/>
      <c r="B9" s="602" t="n"/>
      <c r="C9" s="602" t="n"/>
      <c r="D9" s="602" t="n"/>
      <c r="E9" s="602" t="n"/>
      <c r="F9" s="602" t="n"/>
      <c r="G9" s="602" t="n"/>
      <c r="H9" s="602" t="n"/>
      <c r="I9" s="602" t="n"/>
      <c r="J9" s="602" t="n"/>
      <c r="K9" s="602" t="n"/>
      <c r="L9" s="602" t="n"/>
      <c r="M9" s="602" t="n"/>
      <c r="N9" s="602" t="n"/>
      <c r="O9" s="602" t="n"/>
      <c r="P9" s="602" t="n"/>
      <c r="Q9" s="602" t="n"/>
      <c r="R9" s="602" t="n"/>
      <c r="S9" s="602" t="n"/>
      <c r="T9" s="602" t="n"/>
      <c r="U9" s="602" t="n"/>
      <c r="V9" s="602" t="n"/>
      <c r="W9" s="602" t="n"/>
      <c r="X9" s="602" t="n"/>
      <c r="Y9" s="602" t="n"/>
      <c r="Z9" s="602" t="n"/>
      <c r="AA9" s="602" t="n"/>
      <c r="AB9" s="602" t="n"/>
      <c r="AC9" s="602" t="n"/>
      <c r="AD9" s="602" t="n"/>
      <c r="AE9" s="602" t="n"/>
      <c r="AF9" s="602" t="n"/>
      <c r="AG9" s="602" t="n"/>
      <c r="AH9" s="602" t="n"/>
      <c r="AI9" s="602" t="n"/>
      <c r="AJ9" s="602" t="n"/>
      <c r="AK9" s="602" t="n"/>
      <c r="AL9" s="602" t="n"/>
      <c r="AM9" s="602" t="n"/>
      <c r="AN9" s="602" t="n"/>
      <c r="AO9" s="602" t="n"/>
      <c r="AP9" s="602" t="n"/>
      <c r="AQ9" s="602" t="n"/>
      <c r="AR9" s="602" t="n"/>
      <c r="AS9" s="602" t="n"/>
      <c r="AT9" s="602" t="n"/>
      <c r="AU9" s="602" t="n"/>
      <c r="AV9" s="602" t="n"/>
      <c r="AW9" s="602" t="n"/>
      <c r="AX9" s="602" t="n"/>
      <c r="AY9" s="602" t="n"/>
      <c r="AZ9" s="602" t="n"/>
      <c r="BA9" s="602" t="n"/>
      <c r="BB9" s="602" t="n"/>
      <c r="BC9" s="602" t="n"/>
      <c r="BD9" s="602" t="n"/>
      <c r="BE9" s="602" t="n"/>
      <c r="BF9" s="602" t="n"/>
      <c r="BG9" s="602" t="n"/>
      <c r="BH9" s="602" t="n"/>
      <c r="BI9" s="602" t="n"/>
      <c r="BJ9" s="602" t="n"/>
      <c r="BK9" s="602" t="n"/>
      <c r="BL9" s="602" t="n"/>
      <c r="BM9" s="602" t="n"/>
      <c r="BN9" s="602" t="n"/>
      <c r="BO9" s="602" t="n"/>
      <c r="BP9" s="602" t="n"/>
      <c r="BQ9" s="602" t="n"/>
      <c r="BR9" s="602" t="n"/>
      <c r="BS9" s="602" t="n"/>
      <c r="BT9" s="602" t="n"/>
      <c r="BU9" s="602" t="n"/>
      <c r="BV9" s="602" t="n"/>
      <c r="BW9" s="602" t="n"/>
      <c r="BX9" s="602" t="n"/>
      <c r="BY9" s="602" t="n"/>
      <c r="BZ9" s="602" t="n"/>
      <c r="CA9" s="602" t="n"/>
      <c r="CB9" s="602" t="n"/>
      <c r="CC9" s="602" t="n"/>
      <c r="CD9" s="602" t="n"/>
      <c r="CE9" s="602" t="n"/>
      <c r="CF9" s="602" t="n"/>
      <c r="CG9" s="602" t="n"/>
      <c r="CH9" s="602" t="n"/>
      <c r="CI9" s="602" t="n"/>
      <c r="CJ9" s="602" t="n"/>
      <c r="CK9" s="602" t="n"/>
      <c r="CL9" s="602" t="n"/>
      <c r="CM9" s="602" t="n"/>
      <c r="CN9" s="602" t="n"/>
      <c r="CO9" s="602" t="n"/>
      <c r="CP9" s="602" t="n"/>
      <c r="CQ9" s="602" t="n"/>
      <c r="CR9" s="602" t="n"/>
      <c r="CS9" s="602" t="n"/>
      <c r="CT9" s="602" t="n"/>
      <c r="CU9" s="602" t="n"/>
      <c r="CV9" s="602" t="n"/>
      <c r="CW9" s="602" t="n"/>
      <c r="CX9" s="602" t="n"/>
      <c r="CY9" s="602" t="n"/>
      <c r="CZ9" s="602" t="n"/>
      <c r="DA9" s="602" t="n"/>
      <c r="DB9" s="602" t="n"/>
      <c r="DC9" s="602" t="n"/>
      <c r="DD9" s="602" t="n"/>
      <c r="DE9" s="602" t="n"/>
      <c r="DF9" s="602" t="n"/>
      <c r="DG9" s="602" t="n"/>
      <c r="DH9" s="602" t="n"/>
      <c r="DI9" s="602" t="n"/>
      <c r="DJ9" s="602" t="n"/>
      <c r="DK9" s="602" t="n"/>
      <c r="DL9" s="602" t="n"/>
      <c r="DM9" s="602" t="n"/>
      <c r="DN9" s="602" t="n"/>
      <c r="DO9" s="602" t="n"/>
      <c r="DP9" s="602" t="n"/>
      <c r="DQ9" s="602" t="n"/>
      <c r="DR9" s="602" t="n"/>
      <c r="DS9" s="602" t="n"/>
      <c r="DT9" s="602" t="n"/>
      <c r="DU9" s="602" t="n"/>
      <c r="DV9" s="602" t="n"/>
      <c r="DW9" s="602" t="n"/>
      <c r="DX9" s="602" t="n"/>
      <c r="DY9" s="602" t="n"/>
      <c r="DZ9" s="602" t="n"/>
      <c r="EA9" s="602" t="n"/>
      <c r="EB9" s="602" t="n"/>
      <c r="EC9" s="602" t="n"/>
      <c r="ED9" s="602" t="n"/>
      <c r="EE9" s="602" t="n"/>
      <c r="EF9" s="602" t="n"/>
      <c r="EG9" s="602" t="n"/>
      <c r="EH9" s="602" t="n"/>
      <c r="EI9" s="602" t="n"/>
      <c r="EJ9" s="602" t="n"/>
      <c r="EK9" s="602" t="n"/>
      <c r="EL9" s="602" t="n"/>
      <c r="EM9" s="602" t="n"/>
      <c r="EN9" s="602" t="n"/>
      <c r="EO9" s="602" t="n"/>
      <c r="EP9" s="602" t="n"/>
      <c r="EQ9" s="602" t="n"/>
      <c r="ER9" s="602" t="n"/>
      <c r="ES9" s="602" t="n"/>
      <c r="ET9" s="602" t="n"/>
      <c r="EU9" s="602" t="n"/>
      <c r="EV9" s="602" t="n"/>
      <c r="EW9" s="602" t="n"/>
      <c r="EX9" s="602" t="n"/>
      <c r="EY9" s="602" t="n"/>
      <c r="EZ9" s="602" t="n"/>
      <c r="FA9" s="602" t="n"/>
      <c r="FB9" s="602" t="n"/>
      <c r="FC9" s="602" t="n"/>
      <c r="FD9" s="602" t="n"/>
      <c r="FE9" s="602" t="n"/>
      <c r="FF9" s="602" t="n"/>
      <c r="FG9" s="602" t="n"/>
      <c r="FH9" s="602" t="n"/>
      <c r="FI9" s="602" t="n"/>
      <c r="FJ9" s="602" t="n"/>
      <c r="FK9" s="602" t="n"/>
      <c r="FL9" s="602" t="n"/>
      <c r="FM9" s="602" t="n"/>
      <c r="FN9" s="602" t="n"/>
      <c r="FO9" s="602" t="n"/>
      <c r="FP9" s="488" t="n"/>
      <c r="FQ9" s="488" t="n"/>
      <c r="FR9" s="488" t="n"/>
      <c r="FS9" s="488" t="n"/>
      <c r="FT9" s="488" t="n"/>
      <c r="FU9" s="488" t="n"/>
      <c r="FV9" s="488" t="n"/>
      <c r="FW9" s="488" t="n"/>
      <c r="FX9" s="488" t="n"/>
      <c r="FY9" s="488" t="n"/>
      <c r="FZ9" s="488" t="n"/>
      <c r="GA9" s="488" t="n"/>
      <c r="GB9" s="488" t="n"/>
      <c r="GC9" s="488" t="n"/>
      <c r="GD9" s="488" t="n"/>
      <c r="GE9" s="488" t="n"/>
      <c r="GF9" s="488" t="n"/>
      <c r="GG9" s="488" t="n"/>
      <c r="GH9" s="488" t="n"/>
      <c r="GI9" s="488" t="n"/>
      <c r="GJ9" s="488" t="n"/>
      <c r="GK9" s="488" t="n"/>
      <c r="GL9" s="488" t="n"/>
      <c r="GM9" s="488" t="n"/>
      <c r="GN9" s="488" t="n"/>
      <c r="GO9" s="488" t="n"/>
      <c r="GP9" s="488" t="n"/>
      <c r="GQ9" s="488" t="n"/>
      <c r="GR9" s="488" t="n"/>
      <c r="GS9" s="488" t="n"/>
      <c r="GT9" s="488" t="n"/>
      <c r="GU9" s="488" t="n"/>
      <c r="GV9" s="488" t="n"/>
      <c r="GW9" s="488" t="n"/>
      <c r="GX9" s="488" t="n"/>
      <c r="GY9" s="488" t="n"/>
      <c r="GZ9" s="488" t="n"/>
      <c r="HA9" s="488" t="n"/>
      <c r="HB9" s="488" t="n"/>
      <c r="HC9" s="488" t="n"/>
      <c r="HD9" s="488" t="n"/>
      <c r="HE9" s="488" t="n"/>
      <c r="HF9" s="488" t="n"/>
      <c r="HG9" s="488" t="n"/>
      <c r="HH9" s="488" t="n"/>
      <c r="HI9" s="488" t="n"/>
      <c r="HJ9" s="488" t="n"/>
      <c r="HK9" s="488" t="n"/>
      <c r="HL9" s="488" t="n"/>
      <c r="HM9" s="488" t="n"/>
      <c r="HN9" s="488" t="n"/>
      <c r="HO9" s="488" t="n"/>
      <c r="HP9" s="488" t="n"/>
      <c r="HQ9" s="488" t="n"/>
      <c r="HR9" s="488" t="n"/>
      <c r="HS9" s="488" t="n"/>
      <c r="HT9" s="488" t="n"/>
      <c r="HU9" s="488" t="n"/>
      <c r="HV9" s="488" t="n"/>
      <c r="HW9" s="488" t="n"/>
      <c r="HX9" s="488" t="n"/>
      <c r="HY9" s="488" t="n"/>
      <c r="HZ9" s="488" t="n"/>
      <c r="IA9" s="488" t="n"/>
      <c r="IB9" s="488" t="n"/>
      <c r="IC9" s="488" t="n"/>
      <c r="ID9" s="488" t="n"/>
      <c r="IE9" s="488" t="n"/>
      <c r="IF9" s="488" t="n"/>
      <c r="IG9" s="488" t="n"/>
      <c r="IH9" s="488" t="n"/>
      <c r="II9" s="488" t="n"/>
      <c r="IJ9" s="488" t="n"/>
      <c r="IK9" s="488" t="n"/>
      <c r="IL9" s="488" t="n"/>
      <c r="IM9" s="488" t="n"/>
      <c r="IN9" s="488" t="n"/>
      <c r="IO9" s="488" t="n"/>
      <c r="IP9" s="488" t="n"/>
      <c r="IQ9" s="488" t="n"/>
      <c r="IR9" s="488" t="n"/>
      <c r="IS9" s="488" t="n"/>
      <c r="IT9" s="488" t="n"/>
      <c r="IU9" s="488" t="n"/>
      <c r="IV9" s="488" t="n"/>
    </row>
    <row r="10" customFormat="1" s="448">
      <c r="A10" s="599" t="n"/>
      <c r="B10" s="600" t="n"/>
      <c r="C10" s="600" t="n"/>
      <c r="D10" s="600" t="n"/>
      <c r="E10" s="600" t="n"/>
      <c r="F10" s="600" t="n"/>
      <c r="G10" s="600" t="n"/>
      <c r="H10" s="600" t="n"/>
      <c r="I10" s="600" t="n"/>
      <c r="J10" s="600" t="n"/>
      <c r="K10" s="600" t="n"/>
      <c r="L10" s="600" t="n"/>
      <c r="M10" s="600" t="n"/>
      <c r="N10" s="600" t="n"/>
      <c r="O10" s="600" t="n"/>
      <c r="P10" s="600" t="n"/>
      <c r="Q10" s="600" t="n"/>
      <c r="R10" s="600" t="n"/>
      <c r="S10" s="600" t="n"/>
      <c r="T10" s="600" t="n"/>
      <c r="U10" s="600" t="n"/>
      <c r="V10" s="600" t="n"/>
      <c r="W10" s="600" t="n"/>
      <c r="X10" s="600" t="n"/>
      <c r="Y10" s="600" t="n"/>
      <c r="Z10" s="600" t="n"/>
      <c r="AA10" s="600" t="n"/>
      <c r="AB10" s="600" t="n"/>
      <c r="AC10" s="600" t="n"/>
      <c r="AD10" s="600" t="n"/>
      <c r="AE10" s="600" t="n"/>
      <c r="AF10" s="600" t="n"/>
      <c r="AG10" s="600" t="n"/>
      <c r="AH10" s="600" t="n"/>
      <c r="AI10" s="600" t="n"/>
      <c r="AJ10" s="600" t="n"/>
      <c r="AK10" s="600" t="n"/>
      <c r="AL10" s="600" t="n"/>
      <c r="AM10" s="600" t="n"/>
      <c r="AN10" s="600" t="n"/>
      <c r="AO10" s="600" t="n"/>
      <c r="AP10" s="600" t="n"/>
      <c r="AQ10" s="600" t="n"/>
      <c r="AR10" s="600" t="n"/>
      <c r="AS10" s="600" t="n"/>
      <c r="AT10" s="600" t="n"/>
      <c r="AU10" s="600" t="n"/>
      <c r="AV10" s="600" t="n"/>
      <c r="AW10" s="600" t="n"/>
      <c r="AX10" s="600" t="n"/>
      <c r="AY10" s="600" t="n"/>
      <c r="AZ10" s="600" t="n"/>
      <c r="BA10" s="600" t="n"/>
      <c r="BB10" s="600" t="n"/>
      <c r="BC10" s="600" t="n"/>
      <c r="BD10" s="600" t="n"/>
      <c r="BE10" s="600" t="n"/>
      <c r="BF10" s="600" t="n"/>
      <c r="BG10" s="600" t="n"/>
      <c r="BH10" s="600" t="n"/>
      <c r="BI10" s="600" t="n"/>
      <c r="BJ10" s="600" t="n"/>
      <c r="BK10" s="600" t="n"/>
      <c r="BL10" s="600" t="n"/>
      <c r="BM10" s="600" t="n"/>
      <c r="BN10" s="600" t="n"/>
      <c r="BO10" s="600" t="n"/>
      <c r="BP10" s="600" t="n"/>
      <c r="BQ10" s="600" t="n"/>
      <c r="BR10" s="600" t="n"/>
      <c r="BS10" s="600" t="n"/>
      <c r="BT10" s="600" t="n"/>
      <c r="BU10" s="600" t="n"/>
      <c r="BV10" s="600" t="n"/>
      <c r="BW10" s="600" t="n"/>
      <c r="BX10" s="600" t="n"/>
      <c r="BY10" s="600" t="n"/>
      <c r="BZ10" s="600" t="n"/>
      <c r="CA10" s="600" t="n"/>
      <c r="CB10" s="600" t="n"/>
      <c r="CC10" s="600" t="n"/>
      <c r="CD10" s="600" t="n"/>
      <c r="CE10" s="600" t="n"/>
      <c r="CF10" s="600" t="n"/>
      <c r="CG10" s="600" t="n"/>
      <c r="CH10" s="600" t="n"/>
      <c r="CI10" s="600" t="n"/>
      <c r="CJ10" s="600" t="n"/>
      <c r="CK10" s="600" t="n"/>
      <c r="CL10" s="600" t="n"/>
      <c r="CM10" s="600" t="n"/>
      <c r="CN10" s="600" t="n"/>
      <c r="CO10" s="600" t="n"/>
      <c r="CP10" s="600" t="n"/>
      <c r="CQ10" s="600" t="n"/>
      <c r="CR10" s="600" t="n"/>
      <c r="CS10" s="600" t="n"/>
      <c r="CT10" s="600" t="n"/>
      <c r="CU10" s="600" t="n"/>
      <c r="CV10" s="600" t="n"/>
      <c r="CW10" s="600" t="n"/>
      <c r="CX10" s="600" t="n"/>
      <c r="CY10" s="600" t="n"/>
      <c r="CZ10" s="600" t="n"/>
      <c r="DA10" s="600" t="n"/>
      <c r="DB10" s="600" t="n"/>
      <c r="DC10" s="600" t="n"/>
      <c r="DD10" s="600" t="n"/>
      <c r="DE10" s="600" t="n"/>
      <c r="DF10" s="600" t="n"/>
      <c r="DG10" s="600" t="n"/>
      <c r="DH10" s="600" t="n"/>
      <c r="DI10" s="600" t="n"/>
      <c r="DJ10" s="600" t="n"/>
      <c r="DK10" s="600" t="n"/>
      <c r="DL10" s="600" t="n"/>
      <c r="DM10" s="600" t="n"/>
      <c r="DN10" s="600" t="n"/>
      <c r="DO10" s="600" t="n"/>
      <c r="DP10" s="600" t="n"/>
      <c r="DQ10" s="600" t="n"/>
      <c r="DR10" s="600" t="n"/>
      <c r="DS10" s="600" t="n"/>
      <c r="DT10" s="600" t="n"/>
      <c r="DU10" s="600" t="n"/>
      <c r="DV10" s="600" t="n"/>
      <c r="DW10" s="600" t="n"/>
      <c r="DX10" s="600" t="n"/>
      <c r="DY10" s="600" t="n"/>
      <c r="DZ10" s="600" t="n"/>
      <c r="EA10" s="600" t="n"/>
      <c r="EB10" s="600" t="n"/>
      <c r="EC10" s="600" t="n"/>
      <c r="ED10" s="600" t="n"/>
      <c r="EE10" s="600" t="n"/>
      <c r="EF10" s="600" t="n"/>
      <c r="EG10" s="600" t="n"/>
      <c r="EH10" s="600" t="n"/>
      <c r="EI10" s="600" t="n"/>
      <c r="EJ10" s="600" t="n"/>
      <c r="EK10" s="600" t="n"/>
      <c r="EL10" s="600" t="n"/>
      <c r="EM10" s="600" t="n"/>
      <c r="EN10" s="600" t="n"/>
      <c r="EO10" s="600" t="n"/>
      <c r="EP10" s="600" t="n"/>
      <c r="EQ10" s="600" t="n"/>
      <c r="ER10" s="600" t="n"/>
      <c r="ES10" s="600" t="n"/>
      <c r="ET10" s="600" t="n"/>
      <c r="EU10" s="600" t="n"/>
      <c r="EV10" s="600" t="n"/>
      <c r="EW10" s="600" t="n"/>
      <c r="EX10" s="600" t="n"/>
      <c r="EY10" s="600" t="n"/>
      <c r="EZ10" s="600" t="n"/>
      <c r="FA10" s="600" t="n"/>
      <c r="FB10" s="600" t="n"/>
      <c r="FC10" s="600" t="n"/>
      <c r="FD10" s="600" t="n"/>
      <c r="FE10" s="600" t="n"/>
      <c r="FF10" s="600" t="n"/>
      <c r="FG10" s="600" t="n"/>
      <c r="FH10" s="600" t="n"/>
      <c r="FI10" s="600" t="n"/>
      <c r="FJ10" s="600" t="n"/>
      <c r="FK10" s="600" t="n"/>
      <c r="FL10" s="600" t="n"/>
      <c r="FM10" s="600" t="n"/>
      <c r="FN10" s="600" t="n"/>
      <c r="FO10" s="600" t="n"/>
      <c r="FP10" s="488" t="n"/>
      <c r="FQ10" s="488" t="n"/>
      <c r="FR10" s="488" t="n"/>
      <c r="FS10" s="488" t="n"/>
      <c r="FT10" s="488" t="n"/>
      <c r="FU10" s="488" t="n"/>
      <c r="FV10" s="488" t="n"/>
      <c r="FW10" s="488" t="n"/>
      <c r="FX10" s="488" t="n"/>
      <c r="FY10" s="488" t="n"/>
      <c r="FZ10" s="488" t="n"/>
      <c r="GA10" s="488" t="n"/>
      <c r="GB10" s="488" t="n"/>
      <c r="GC10" s="488" t="n"/>
      <c r="GD10" s="488" t="n"/>
      <c r="GE10" s="488" t="n"/>
      <c r="GF10" s="488" t="n"/>
      <c r="GG10" s="488" t="n"/>
      <c r="GH10" s="488" t="n"/>
      <c r="GI10" s="488" t="n"/>
      <c r="GJ10" s="488" t="n"/>
      <c r="GK10" s="488" t="n"/>
      <c r="GL10" s="488" t="n"/>
      <c r="GM10" s="488" t="n"/>
      <c r="GN10" s="488" t="n"/>
      <c r="GO10" s="488" t="n"/>
      <c r="GP10" s="488" t="n"/>
      <c r="GQ10" s="488" t="n"/>
      <c r="GR10" s="488" t="n"/>
      <c r="GS10" s="488" t="n"/>
      <c r="GT10" s="488" t="n"/>
      <c r="GU10" s="488" t="n"/>
      <c r="GV10" s="488" t="n"/>
      <c r="GW10" s="488" t="n"/>
      <c r="GX10" s="488" t="n"/>
      <c r="GY10" s="488" t="n"/>
      <c r="GZ10" s="488" t="n"/>
      <c r="HA10" s="488" t="n"/>
      <c r="HB10" s="488" t="n"/>
      <c r="HC10" s="488" t="n"/>
      <c r="HD10" s="488" t="n"/>
      <c r="HE10" s="488" t="n"/>
      <c r="HF10" s="488" t="n"/>
      <c r="HG10" s="488" t="n"/>
      <c r="HH10" s="488" t="n"/>
      <c r="HI10" s="488" t="n"/>
      <c r="HJ10" s="488" t="n"/>
      <c r="HK10" s="488" t="n"/>
      <c r="HL10" s="488" t="n"/>
      <c r="HM10" s="488" t="n"/>
      <c r="HN10" s="488" t="n"/>
      <c r="HO10" s="488" t="n"/>
      <c r="HP10" s="488" t="n"/>
      <c r="HQ10" s="488" t="n"/>
      <c r="HR10" s="488" t="n"/>
      <c r="HS10" s="488" t="n"/>
      <c r="HT10" s="488" t="n"/>
      <c r="HU10" s="488" t="n"/>
      <c r="HV10" s="488" t="n"/>
      <c r="HW10" s="488" t="n"/>
      <c r="HX10" s="488" t="n"/>
      <c r="HY10" s="488" t="n"/>
      <c r="HZ10" s="488" t="n"/>
      <c r="IA10" s="488" t="n"/>
      <c r="IB10" s="488" t="n"/>
      <c r="IC10" s="488" t="n"/>
      <c r="ID10" s="488" t="n"/>
      <c r="IE10" s="488" t="n"/>
      <c r="IF10" s="488" t="n"/>
      <c r="IG10" s="488" t="n"/>
      <c r="IH10" s="488" t="n"/>
      <c r="II10" s="488" t="n"/>
      <c r="IJ10" s="488" t="n"/>
      <c r="IK10" s="488" t="n"/>
      <c r="IL10" s="488" t="n"/>
      <c r="IM10" s="488" t="n"/>
      <c r="IN10" s="488" t="n"/>
      <c r="IO10" s="488" t="n"/>
      <c r="IP10" s="488" t="n"/>
      <c r="IQ10" s="488" t="n"/>
      <c r="IR10" s="488" t="n"/>
      <c r="IS10" s="488" t="n"/>
      <c r="IT10" s="488" t="n"/>
      <c r="IU10" s="488" t="n"/>
      <c r="IV10" s="488" t="n"/>
    </row>
    <row r="11" ht="6.75" customFormat="1" customHeight="1" s="447">
      <c r="A11" s="601" t="n"/>
      <c r="B11" s="602" t="n"/>
      <c r="C11" s="602" t="n"/>
      <c r="D11" s="602" t="n"/>
      <c r="E11" s="602" t="n"/>
      <c r="F11" s="602" t="n"/>
      <c r="G11" s="602" t="n"/>
      <c r="H11" s="602" t="n"/>
      <c r="I11" s="602" t="n"/>
      <c r="J11" s="602" t="n"/>
      <c r="K11" s="602" t="n"/>
      <c r="L11" s="602" t="n"/>
      <c r="M11" s="602" t="n"/>
      <c r="N11" s="602" t="n"/>
      <c r="O11" s="602" t="n"/>
      <c r="P11" s="602" t="n"/>
      <c r="Q11" s="602" t="n"/>
      <c r="R11" s="602" t="n"/>
      <c r="S11" s="602" t="n"/>
      <c r="T11" s="602" t="n"/>
      <c r="U11" s="602" t="n"/>
      <c r="V11" s="602" t="n"/>
      <c r="W11" s="602" t="n"/>
      <c r="X11" s="602" t="n"/>
      <c r="Y11" s="602" t="n"/>
      <c r="Z11" s="602" t="n"/>
      <c r="AA11" s="602" t="n"/>
      <c r="AB11" s="602" t="n"/>
      <c r="AC11" s="602" t="n"/>
      <c r="AD11" s="602" t="n"/>
      <c r="AE11" s="602" t="n"/>
      <c r="AF11" s="602" t="n"/>
      <c r="AG11" s="602" t="n"/>
      <c r="AH11" s="602" t="n"/>
      <c r="AI11" s="602" t="n"/>
      <c r="AJ11" s="602" t="n"/>
      <c r="AK11" s="602" t="n"/>
      <c r="AL11" s="602" t="n"/>
      <c r="AM11" s="602" t="n"/>
      <c r="AN11" s="602" t="n"/>
      <c r="AO11" s="602" t="n"/>
      <c r="AP11" s="602" t="n"/>
      <c r="AQ11" s="602" t="n"/>
      <c r="AR11" s="602" t="n"/>
      <c r="AS11" s="602" t="n"/>
      <c r="AT11" s="602" t="n"/>
      <c r="AU11" s="602" t="n"/>
      <c r="AV11" s="602" t="n"/>
      <c r="AW11" s="602" t="n"/>
      <c r="AX11" s="602" t="n"/>
      <c r="AY11" s="602" t="n"/>
      <c r="AZ11" s="602" t="n"/>
      <c r="BA11" s="602" t="n"/>
      <c r="BB11" s="602" t="n"/>
      <c r="BC11" s="602" t="n"/>
      <c r="BD11" s="602" t="n"/>
      <c r="BE11" s="602" t="n"/>
      <c r="BF11" s="602" t="n"/>
      <c r="BG11" s="602" t="n"/>
      <c r="BH11" s="602" t="n"/>
      <c r="BI11" s="602" t="n"/>
      <c r="BJ11" s="602" t="n"/>
      <c r="BK11" s="602" t="n"/>
      <c r="BL11" s="602" t="n"/>
      <c r="BM11" s="602" t="n"/>
      <c r="BN11" s="602" t="n"/>
      <c r="BO11" s="602" t="n"/>
      <c r="BP11" s="602" t="n"/>
      <c r="BQ11" s="602" t="n"/>
      <c r="BR11" s="602" t="n"/>
      <c r="BS11" s="602" t="n"/>
      <c r="BT11" s="602" t="n"/>
      <c r="BU11" s="602" t="n"/>
      <c r="BV11" s="602" t="n"/>
      <c r="BW11" s="602" t="n"/>
      <c r="BX11" s="602" t="n"/>
      <c r="BY11" s="602" t="n"/>
      <c r="BZ11" s="602" t="n"/>
      <c r="CA11" s="602" t="n"/>
      <c r="CB11" s="602" t="n"/>
      <c r="CC11" s="602" t="n"/>
      <c r="CD11" s="602" t="n"/>
      <c r="CE11" s="602" t="n"/>
      <c r="CF11" s="602" t="n"/>
      <c r="CG11" s="602" t="n"/>
      <c r="CH11" s="602" t="n"/>
      <c r="CI11" s="602" t="n"/>
      <c r="CJ11" s="602" t="n"/>
      <c r="CK11" s="602" t="n"/>
      <c r="CL11" s="602" t="n"/>
      <c r="CM11" s="602" t="n"/>
      <c r="CN11" s="602" t="n"/>
      <c r="CO11" s="602" t="n"/>
      <c r="CP11" s="602" t="n"/>
      <c r="CQ11" s="602" t="n"/>
      <c r="CR11" s="602" t="n"/>
      <c r="CS11" s="602" t="n"/>
      <c r="CT11" s="602" t="n"/>
      <c r="CU11" s="602" t="n"/>
      <c r="CV11" s="602" t="n"/>
      <c r="CW11" s="602" t="n"/>
      <c r="CX11" s="602" t="n"/>
      <c r="CY11" s="602" t="n"/>
      <c r="CZ11" s="602" t="n"/>
      <c r="DA11" s="602" t="n"/>
      <c r="DB11" s="602" t="n"/>
      <c r="DC11" s="602" t="n"/>
      <c r="DD11" s="602" t="n"/>
      <c r="DE11" s="602" t="n"/>
      <c r="DF11" s="602" t="n"/>
      <c r="DG11" s="602" t="n"/>
      <c r="DH11" s="602" t="n"/>
      <c r="DI11" s="602" t="n"/>
      <c r="DJ11" s="602" t="n"/>
      <c r="DK11" s="602" t="n"/>
      <c r="DL11" s="602" t="n"/>
      <c r="DM11" s="602" t="n"/>
      <c r="DN11" s="602" t="n"/>
      <c r="DO11" s="602" t="n"/>
      <c r="DP11" s="602" t="n"/>
      <c r="DQ11" s="602" t="n"/>
      <c r="DR11" s="602" t="n"/>
      <c r="DS11" s="602" t="n"/>
      <c r="DT11" s="602" t="n"/>
      <c r="DU11" s="602" t="n"/>
      <c r="DV11" s="602" t="n"/>
      <c r="DW11" s="602" t="n"/>
      <c r="DX11" s="602" t="n"/>
      <c r="DY11" s="602" t="n"/>
      <c r="DZ11" s="602" t="n"/>
      <c r="EA11" s="602" t="n"/>
      <c r="EB11" s="602" t="n"/>
      <c r="EC11" s="602" t="n"/>
      <c r="ED11" s="602" t="n"/>
      <c r="EE11" s="602" t="n"/>
      <c r="EF11" s="602" t="n"/>
      <c r="EG11" s="602" t="n"/>
      <c r="EH11" s="602" t="n"/>
      <c r="EI11" s="602" t="n"/>
      <c r="EJ11" s="602" t="n"/>
      <c r="EK11" s="602" t="n"/>
      <c r="EL11" s="602" t="n"/>
      <c r="EM11" s="602" t="n"/>
      <c r="EN11" s="602" t="n"/>
      <c r="EO11" s="602" t="n"/>
      <c r="EP11" s="602" t="n"/>
      <c r="EQ11" s="602" t="n"/>
      <c r="ER11" s="602" t="n"/>
      <c r="ES11" s="602" t="n"/>
      <c r="ET11" s="602" t="n"/>
      <c r="EU11" s="602" t="n"/>
      <c r="EV11" s="602" t="n"/>
      <c r="EW11" s="602" t="n"/>
      <c r="EX11" s="602" t="n"/>
      <c r="EY11" s="602" t="n"/>
      <c r="EZ11" s="602" t="n"/>
      <c r="FA11" s="602" t="n"/>
      <c r="FB11" s="602" t="n"/>
      <c r="FC11" s="602" t="n"/>
      <c r="FD11" s="602" t="n"/>
      <c r="FE11" s="602" t="n"/>
      <c r="FF11" s="602" t="n"/>
      <c r="FG11" s="602" t="n"/>
      <c r="FH11" s="602" t="n"/>
      <c r="FI11" s="602" t="n"/>
      <c r="FJ11" s="602" t="n"/>
      <c r="FK11" s="602" t="n"/>
      <c r="FL11" s="602" t="n"/>
      <c r="FM11" s="602" t="n"/>
      <c r="FN11" s="602" t="n"/>
      <c r="FO11" s="602" t="n"/>
      <c r="FP11" s="488" t="n"/>
      <c r="FQ11" s="488" t="n"/>
      <c r="FR11" s="488" t="n"/>
      <c r="FS11" s="488" t="n"/>
      <c r="FT11" s="488" t="n"/>
      <c r="FU11" s="488" t="n"/>
      <c r="FV11" s="488" t="n"/>
      <c r="FW11" s="488" t="n"/>
      <c r="FX11" s="488" t="n"/>
      <c r="FY11" s="488" t="n"/>
      <c r="FZ11" s="488" t="n"/>
      <c r="GA11" s="488" t="n"/>
      <c r="GB11" s="488" t="n"/>
      <c r="GC11" s="488" t="n"/>
      <c r="GD11" s="488" t="n"/>
      <c r="GE11" s="488" t="n"/>
      <c r="GF11" s="488" t="n"/>
      <c r="GG11" s="488" t="n"/>
      <c r="GH11" s="488" t="n"/>
      <c r="GI11" s="488" t="n"/>
      <c r="GJ11" s="488" t="n"/>
      <c r="GK11" s="488" t="n"/>
      <c r="GL11" s="488" t="n"/>
      <c r="GM11" s="488" t="n"/>
      <c r="GN11" s="488" t="n"/>
      <c r="GO11" s="488" t="n"/>
      <c r="GP11" s="488" t="n"/>
      <c r="GQ11" s="488" t="n"/>
      <c r="GR11" s="488" t="n"/>
      <c r="GS11" s="488" t="n"/>
      <c r="GT11" s="488" t="n"/>
      <c r="GU11" s="488" t="n"/>
      <c r="GV11" s="488" t="n"/>
      <c r="GW11" s="488" t="n"/>
      <c r="GX11" s="488" t="n"/>
      <c r="GY11" s="488" t="n"/>
      <c r="GZ11" s="488" t="n"/>
      <c r="HA11" s="488" t="n"/>
      <c r="HB11" s="488" t="n"/>
      <c r="HC11" s="488" t="n"/>
      <c r="HD11" s="488" t="n"/>
      <c r="HE11" s="488" t="n"/>
      <c r="HF11" s="488" t="n"/>
      <c r="HG11" s="488" t="n"/>
      <c r="HH11" s="488" t="n"/>
      <c r="HI11" s="488" t="n"/>
      <c r="HJ11" s="488" t="n"/>
      <c r="HK11" s="488" t="n"/>
      <c r="HL11" s="488" t="n"/>
      <c r="HM11" s="488" t="n"/>
      <c r="HN11" s="488" t="n"/>
      <c r="HO11" s="488" t="n"/>
      <c r="HP11" s="488" t="n"/>
      <c r="HQ11" s="488" t="n"/>
      <c r="HR11" s="488" t="n"/>
      <c r="HS11" s="488" t="n"/>
      <c r="HT11" s="488" t="n"/>
      <c r="HU11" s="488" t="n"/>
      <c r="HV11" s="488" t="n"/>
      <c r="HW11" s="488" t="n"/>
      <c r="HX11" s="488" t="n"/>
      <c r="HY11" s="488" t="n"/>
      <c r="HZ11" s="488" t="n"/>
      <c r="IA11" s="488" t="n"/>
      <c r="IB11" s="488" t="n"/>
      <c r="IC11" s="488" t="n"/>
      <c r="ID11" s="488" t="n"/>
      <c r="IE11" s="488" t="n"/>
      <c r="IF11" s="488" t="n"/>
      <c r="IG11" s="488" t="n"/>
      <c r="IH11" s="488" t="n"/>
      <c r="II11" s="488" t="n"/>
      <c r="IJ11" s="488" t="n"/>
      <c r="IK11" s="488" t="n"/>
      <c r="IL11" s="488" t="n"/>
      <c r="IM11" s="488" t="n"/>
      <c r="IN11" s="488" t="n"/>
      <c r="IO11" s="488" t="n"/>
      <c r="IP11" s="488" t="n"/>
      <c r="IQ11" s="488" t="n"/>
      <c r="IR11" s="488" t="n"/>
      <c r="IS11" s="488" t="n"/>
      <c r="IT11" s="488" t="n"/>
      <c r="IU11" s="488" t="n"/>
      <c r="IV11" s="488" t="n"/>
    </row>
    <row r="12" customFormat="1" s="448">
      <c r="A12" s="599" t="n"/>
      <c r="B12" s="600" t="n"/>
      <c r="C12" s="600" t="n"/>
      <c r="D12" s="600" t="n"/>
      <c r="E12" s="600" t="n"/>
      <c r="F12" s="600" t="n"/>
      <c r="G12" s="600" t="n"/>
      <c r="H12" s="600" t="n"/>
      <c r="I12" s="600" t="n"/>
      <c r="J12" s="600" t="n"/>
      <c r="K12" s="600" t="n"/>
      <c r="L12" s="600" t="n"/>
      <c r="M12" s="600" t="n"/>
      <c r="N12" s="600" t="n"/>
      <c r="O12" s="600" t="n"/>
      <c r="P12" s="600" t="n"/>
      <c r="Q12" s="600" t="n"/>
      <c r="R12" s="600" t="n"/>
      <c r="S12" s="600" t="n"/>
      <c r="T12" s="600" t="n"/>
      <c r="U12" s="600" t="n"/>
      <c r="V12" s="600" t="n"/>
      <c r="W12" s="600" t="n"/>
      <c r="X12" s="600" t="n"/>
      <c r="Y12" s="600" t="n"/>
      <c r="Z12" s="600" t="n"/>
      <c r="AA12" s="600" t="n"/>
      <c r="AB12" s="600" t="n"/>
      <c r="AC12" s="600" t="n"/>
      <c r="AD12" s="600" t="n"/>
      <c r="AE12" s="600" t="n"/>
      <c r="AF12" s="600" t="n"/>
      <c r="AG12" s="600" t="n"/>
      <c r="AH12" s="600" t="n"/>
      <c r="AI12" s="600" t="n"/>
      <c r="AJ12" s="600" t="n"/>
      <c r="AK12" s="600" t="n"/>
      <c r="AL12" s="600" t="n"/>
      <c r="AM12" s="600" t="n"/>
      <c r="AN12" s="600" t="n"/>
      <c r="AO12" s="600" t="n"/>
      <c r="AP12" s="600" t="n"/>
      <c r="AQ12" s="600" t="n"/>
      <c r="AR12" s="600" t="n"/>
      <c r="AS12" s="600" t="n"/>
      <c r="AT12" s="600" t="n"/>
      <c r="AU12" s="600" t="n"/>
      <c r="AV12" s="600" t="n"/>
      <c r="AW12" s="600" t="n"/>
      <c r="AX12" s="600" t="n"/>
      <c r="AY12" s="600" t="n"/>
      <c r="AZ12" s="600" t="n"/>
      <c r="BA12" s="600" t="n"/>
      <c r="BB12" s="600" t="n"/>
      <c r="BC12" s="600" t="n"/>
      <c r="BD12" s="600" t="n"/>
      <c r="BE12" s="600" t="n"/>
      <c r="BF12" s="600" t="n"/>
      <c r="BG12" s="600" t="n"/>
      <c r="BH12" s="600" t="n"/>
      <c r="BI12" s="600" t="n"/>
      <c r="BJ12" s="600" t="n"/>
      <c r="BK12" s="600" t="n"/>
      <c r="BL12" s="600" t="n"/>
      <c r="BM12" s="600" t="n"/>
      <c r="BN12" s="600" t="n"/>
      <c r="BO12" s="600" t="n"/>
      <c r="BP12" s="600" t="n"/>
      <c r="BQ12" s="600" t="n"/>
      <c r="BR12" s="600" t="n"/>
      <c r="BS12" s="600" t="n"/>
      <c r="BT12" s="600" t="n"/>
      <c r="BU12" s="600" t="n"/>
      <c r="BV12" s="600" t="n"/>
      <c r="BW12" s="600" t="n"/>
      <c r="BX12" s="600" t="n"/>
      <c r="BY12" s="600" t="n"/>
      <c r="BZ12" s="600" t="n"/>
      <c r="CA12" s="600" t="n"/>
      <c r="CB12" s="600" t="n"/>
      <c r="CC12" s="600" t="n"/>
      <c r="CD12" s="600" t="n"/>
      <c r="CE12" s="600" t="n"/>
      <c r="CF12" s="600" t="n"/>
      <c r="CG12" s="600" t="n"/>
      <c r="CH12" s="600" t="n"/>
      <c r="CI12" s="600" t="n"/>
      <c r="CJ12" s="600" t="n"/>
      <c r="CK12" s="600" t="n"/>
      <c r="CL12" s="600" t="n"/>
      <c r="CM12" s="600" t="n"/>
      <c r="CN12" s="600" t="n"/>
      <c r="CO12" s="600" t="n"/>
      <c r="CP12" s="600" t="n"/>
      <c r="CQ12" s="600" t="n"/>
      <c r="CR12" s="600" t="n"/>
      <c r="CS12" s="600" t="n"/>
      <c r="CT12" s="600" t="n"/>
      <c r="CU12" s="600" t="n"/>
      <c r="CV12" s="600" t="n"/>
      <c r="CW12" s="600" t="n"/>
      <c r="CX12" s="600" t="n"/>
      <c r="CY12" s="600" t="n"/>
      <c r="CZ12" s="600" t="n"/>
      <c r="DA12" s="600" t="n"/>
      <c r="DB12" s="600" t="n"/>
      <c r="DC12" s="600" t="n"/>
      <c r="DD12" s="600" t="n"/>
      <c r="DE12" s="600" t="n"/>
      <c r="DF12" s="600" t="n"/>
      <c r="DG12" s="600" t="n"/>
      <c r="DH12" s="600" t="n"/>
      <c r="DI12" s="600" t="n"/>
      <c r="DJ12" s="600" t="n"/>
      <c r="DK12" s="600" t="n"/>
      <c r="DL12" s="600" t="n"/>
      <c r="DM12" s="600" t="n"/>
      <c r="DN12" s="600" t="n"/>
      <c r="DO12" s="600" t="n"/>
      <c r="DP12" s="600" t="n"/>
      <c r="DQ12" s="600" t="n"/>
      <c r="DR12" s="600" t="n"/>
      <c r="DS12" s="600" t="n"/>
      <c r="DT12" s="600" t="n"/>
      <c r="DU12" s="600" t="n"/>
      <c r="DV12" s="600" t="n"/>
      <c r="DW12" s="600" t="n"/>
      <c r="DX12" s="600" t="n"/>
      <c r="DY12" s="600" t="n"/>
      <c r="DZ12" s="600" t="n"/>
      <c r="EA12" s="600" t="n"/>
      <c r="EB12" s="600" t="n"/>
      <c r="EC12" s="600" t="n"/>
      <c r="ED12" s="600" t="n"/>
      <c r="EE12" s="600" t="n"/>
      <c r="EF12" s="600" t="n"/>
      <c r="EG12" s="600" t="n"/>
      <c r="EH12" s="600" t="n"/>
      <c r="EI12" s="600" t="n"/>
      <c r="EJ12" s="600" t="n"/>
      <c r="EK12" s="600" t="n"/>
      <c r="EL12" s="600" t="n"/>
      <c r="EM12" s="600" t="n"/>
      <c r="EN12" s="600" t="n"/>
      <c r="EO12" s="600" t="n"/>
      <c r="EP12" s="600" t="n"/>
      <c r="EQ12" s="600" t="n"/>
      <c r="ER12" s="600" t="n"/>
      <c r="ES12" s="600" t="n"/>
      <c r="ET12" s="600" t="n"/>
      <c r="EU12" s="600" t="n"/>
      <c r="EV12" s="600" t="n"/>
      <c r="EW12" s="600" t="n"/>
      <c r="EX12" s="600" t="n"/>
      <c r="EY12" s="600" t="n"/>
      <c r="EZ12" s="600" t="n"/>
      <c r="FA12" s="600" t="n"/>
      <c r="FB12" s="600" t="n"/>
      <c r="FC12" s="600" t="n"/>
      <c r="FD12" s="600" t="n"/>
      <c r="FE12" s="600" t="n"/>
      <c r="FF12" s="600" t="n"/>
      <c r="FG12" s="600" t="n"/>
      <c r="FH12" s="600" t="n"/>
      <c r="FI12" s="600" t="n"/>
      <c r="FJ12" s="600" t="n"/>
      <c r="FK12" s="600" t="n"/>
      <c r="FL12" s="600" t="n"/>
      <c r="FM12" s="600" t="n"/>
      <c r="FN12" s="600" t="n"/>
      <c r="FO12" s="600" t="n"/>
      <c r="FP12" s="488" t="n"/>
      <c r="FQ12" s="488" t="n"/>
      <c r="FR12" s="488" t="n"/>
      <c r="FS12" s="488" t="n"/>
      <c r="FT12" s="488" t="n"/>
      <c r="FU12" s="488" t="n"/>
      <c r="FV12" s="488" t="n"/>
      <c r="FW12" s="488" t="n"/>
      <c r="FX12" s="488" t="n"/>
      <c r="FY12" s="488" t="n"/>
      <c r="FZ12" s="488" t="n"/>
      <c r="GA12" s="488" t="n"/>
      <c r="GB12" s="488" t="n"/>
      <c r="GC12" s="488" t="n"/>
      <c r="GD12" s="488" t="n"/>
      <c r="GE12" s="488" t="n"/>
      <c r="GF12" s="488" t="n"/>
      <c r="GG12" s="488" t="n"/>
      <c r="GH12" s="488" t="n"/>
      <c r="GI12" s="488" t="n"/>
      <c r="GJ12" s="488" t="n"/>
      <c r="GK12" s="488" t="n"/>
      <c r="GL12" s="488" t="n"/>
      <c r="GM12" s="488" t="n"/>
      <c r="GN12" s="488" t="n"/>
      <c r="GO12" s="488" t="n"/>
      <c r="GP12" s="488" t="n"/>
      <c r="GQ12" s="488" t="n"/>
      <c r="GR12" s="488" t="n"/>
      <c r="GS12" s="488" t="n"/>
      <c r="GT12" s="488" t="n"/>
      <c r="GU12" s="488" t="n"/>
      <c r="GV12" s="488" t="n"/>
      <c r="GW12" s="488" t="n"/>
      <c r="GX12" s="488" t="n"/>
      <c r="GY12" s="488" t="n"/>
      <c r="GZ12" s="488" t="n"/>
      <c r="HA12" s="488" t="n"/>
      <c r="HB12" s="488" t="n"/>
      <c r="HC12" s="488" t="n"/>
      <c r="HD12" s="488" t="n"/>
      <c r="HE12" s="488" t="n"/>
      <c r="HF12" s="488" t="n"/>
      <c r="HG12" s="488" t="n"/>
      <c r="HH12" s="488" t="n"/>
      <c r="HI12" s="488" t="n"/>
      <c r="HJ12" s="488" t="n"/>
      <c r="HK12" s="488" t="n"/>
      <c r="HL12" s="488" t="n"/>
      <c r="HM12" s="488" t="n"/>
      <c r="HN12" s="488" t="n"/>
      <c r="HO12" s="488" t="n"/>
      <c r="HP12" s="488" t="n"/>
      <c r="HQ12" s="488" t="n"/>
      <c r="HR12" s="488" t="n"/>
      <c r="HS12" s="488" t="n"/>
      <c r="HT12" s="488" t="n"/>
      <c r="HU12" s="488" t="n"/>
      <c r="HV12" s="488" t="n"/>
      <c r="HW12" s="488" t="n"/>
      <c r="HX12" s="488" t="n"/>
      <c r="HY12" s="488" t="n"/>
      <c r="HZ12" s="488" t="n"/>
      <c r="IA12" s="488" t="n"/>
      <c r="IB12" s="488" t="n"/>
      <c r="IC12" s="488" t="n"/>
      <c r="ID12" s="488" t="n"/>
      <c r="IE12" s="488" t="n"/>
      <c r="IF12" s="488" t="n"/>
      <c r="IG12" s="488" t="n"/>
      <c r="IH12" s="488" t="n"/>
      <c r="II12" s="488" t="n"/>
      <c r="IJ12" s="488" t="n"/>
      <c r="IK12" s="488" t="n"/>
      <c r="IL12" s="488" t="n"/>
      <c r="IM12" s="488" t="n"/>
      <c r="IN12" s="488" t="n"/>
      <c r="IO12" s="488" t="n"/>
      <c r="IP12" s="488" t="n"/>
      <c r="IQ12" s="488" t="n"/>
      <c r="IR12" s="488" t="n"/>
      <c r="IS12" s="488" t="n"/>
      <c r="IT12" s="488" t="n"/>
      <c r="IU12" s="488" t="n"/>
      <c r="IV12" s="488" t="n"/>
    </row>
    <row r="13" ht="6.75" customFormat="1" customHeight="1" s="447">
      <c r="A13" s="603" t="n"/>
      <c r="B13" s="602" t="n"/>
      <c r="C13" s="602" t="n"/>
      <c r="D13" s="602" t="n"/>
      <c r="E13" s="602" t="n"/>
      <c r="F13" s="602" t="n"/>
      <c r="G13" s="602" t="n"/>
      <c r="H13" s="602" t="n"/>
      <c r="I13" s="602" t="n"/>
      <c r="J13" s="602" t="n"/>
      <c r="K13" s="602" t="n"/>
      <c r="L13" s="602" t="n"/>
      <c r="M13" s="602" t="n"/>
      <c r="N13" s="602" t="n"/>
      <c r="O13" s="602" t="n"/>
      <c r="P13" s="602" t="n"/>
      <c r="Q13" s="602" t="n"/>
      <c r="R13" s="602" t="n"/>
      <c r="S13" s="602" t="n"/>
      <c r="T13" s="602" t="n"/>
      <c r="U13" s="602" t="n"/>
      <c r="V13" s="602" t="n"/>
      <c r="W13" s="602" t="n"/>
      <c r="X13" s="602" t="n"/>
      <c r="Y13" s="602" t="n"/>
      <c r="Z13" s="602" t="n"/>
      <c r="AA13" s="602" t="n"/>
      <c r="AB13" s="602" t="n"/>
      <c r="AC13" s="602" t="n"/>
      <c r="AD13" s="602" t="n"/>
      <c r="AE13" s="602" t="n"/>
      <c r="AF13" s="602" t="n"/>
      <c r="AG13" s="602" t="n"/>
      <c r="AH13" s="602" t="n"/>
      <c r="AI13" s="602" t="n"/>
      <c r="AJ13" s="602" t="n"/>
      <c r="AK13" s="602" t="n"/>
      <c r="AL13" s="602" t="n"/>
      <c r="AM13" s="602" t="n"/>
      <c r="AN13" s="602" t="n"/>
      <c r="AO13" s="602" t="n"/>
      <c r="AP13" s="602" t="n"/>
      <c r="AQ13" s="602" t="n"/>
      <c r="AR13" s="602" t="n"/>
      <c r="AS13" s="602" t="n"/>
      <c r="AT13" s="602" t="n"/>
      <c r="AU13" s="602" t="n"/>
      <c r="AV13" s="602" t="n"/>
      <c r="AW13" s="602" t="n"/>
      <c r="AX13" s="602" t="n"/>
      <c r="AY13" s="602" t="n"/>
      <c r="AZ13" s="602" t="n"/>
      <c r="BA13" s="602" t="n"/>
      <c r="BB13" s="602" t="n"/>
      <c r="BC13" s="602" t="n"/>
      <c r="BD13" s="602" t="n"/>
      <c r="BE13" s="602" t="n"/>
      <c r="BF13" s="602" t="n"/>
      <c r="BG13" s="602" t="n"/>
      <c r="BH13" s="602" t="n"/>
      <c r="BI13" s="602" t="n"/>
      <c r="BJ13" s="602" t="n"/>
      <c r="BK13" s="602" t="n"/>
      <c r="BL13" s="602" t="n"/>
      <c r="BM13" s="602" t="n"/>
      <c r="BN13" s="602" t="n"/>
      <c r="BO13" s="602" t="n"/>
      <c r="BP13" s="602" t="n"/>
      <c r="BQ13" s="602" t="n"/>
      <c r="BR13" s="602" t="n"/>
      <c r="BS13" s="602" t="n"/>
      <c r="BT13" s="602" t="n"/>
      <c r="BU13" s="602" t="n"/>
      <c r="BV13" s="602" t="n"/>
      <c r="BW13" s="602" t="n"/>
      <c r="BX13" s="602" t="n"/>
      <c r="BY13" s="602" t="n"/>
      <c r="BZ13" s="602" t="n"/>
      <c r="CA13" s="602" t="n"/>
      <c r="CB13" s="602" t="n"/>
      <c r="CC13" s="602" t="n"/>
      <c r="CD13" s="602" t="n"/>
      <c r="CE13" s="602" t="n"/>
      <c r="CF13" s="602" t="n"/>
      <c r="CG13" s="602" t="n"/>
      <c r="CH13" s="602" t="n"/>
      <c r="CI13" s="602" t="n"/>
      <c r="CJ13" s="602" t="n"/>
      <c r="CK13" s="602" t="n"/>
      <c r="CL13" s="602" t="n"/>
      <c r="CM13" s="602" t="n"/>
      <c r="CN13" s="602" t="n"/>
      <c r="CO13" s="602" t="n"/>
      <c r="CP13" s="602" t="n"/>
      <c r="CQ13" s="602" t="n"/>
      <c r="CR13" s="602" t="n"/>
      <c r="CS13" s="602" t="n"/>
      <c r="CT13" s="602" t="n"/>
      <c r="CU13" s="602" t="n"/>
      <c r="CV13" s="602" t="n"/>
      <c r="CW13" s="602" t="n"/>
      <c r="CX13" s="602" t="n"/>
      <c r="CY13" s="602" t="n"/>
      <c r="CZ13" s="602" t="n"/>
      <c r="DA13" s="602" t="n"/>
      <c r="DB13" s="602" t="n"/>
      <c r="DC13" s="602" t="n"/>
      <c r="DD13" s="602" t="n"/>
      <c r="DE13" s="602" t="n"/>
      <c r="DF13" s="602" t="n"/>
      <c r="DG13" s="602" t="n"/>
      <c r="DH13" s="602" t="n"/>
      <c r="DI13" s="602" t="n"/>
      <c r="DJ13" s="602" t="n"/>
      <c r="DK13" s="602" t="n"/>
      <c r="DL13" s="602" t="n"/>
      <c r="DM13" s="602" t="n"/>
      <c r="DN13" s="602" t="n"/>
      <c r="DO13" s="602" t="n"/>
      <c r="DP13" s="602" t="n"/>
      <c r="DQ13" s="602" t="n"/>
      <c r="DR13" s="602" t="n"/>
      <c r="DS13" s="602" t="n"/>
      <c r="DT13" s="602" t="n"/>
      <c r="DU13" s="602" t="n"/>
      <c r="DV13" s="602" t="n"/>
      <c r="DW13" s="602" t="n"/>
      <c r="DX13" s="602" t="n"/>
      <c r="DY13" s="602" t="n"/>
      <c r="DZ13" s="602" t="n"/>
      <c r="EA13" s="602" t="n"/>
      <c r="EB13" s="602" t="n"/>
      <c r="EC13" s="602" t="n"/>
      <c r="ED13" s="602" t="n"/>
      <c r="EE13" s="602" t="n"/>
      <c r="EF13" s="602" t="n"/>
      <c r="EG13" s="602" t="n"/>
      <c r="EH13" s="602" t="n"/>
      <c r="EI13" s="602" t="n"/>
      <c r="EJ13" s="602" t="n"/>
      <c r="EK13" s="602" t="n"/>
      <c r="EL13" s="602" t="n"/>
      <c r="EM13" s="602" t="n"/>
      <c r="EN13" s="602" t="n"/>
      <c r="EO13" s="602" t="n"/>
      <c r="EP13" s="602" t="n"/>
      <c r="EQ13" s="602" t="n"/>
      <c r="ER13" s="602" t="n"/>
      <c r="ES13" s="602" t="n"/>
      <c r="ET13" s="602" t="n"/>
      <c r="EU13" s="602" t="n"/>
      <c r="EV13" s="602" t="n"/>
      <c r="EW13" s="602" t="n"/>
      <c r="EX13" s="602" t="n"/>
      <c r="EY13" s="602" t="n"/>
      <c r="EZ13" s="602" t="n"/>
      <c r="FA13" s="602" t="n"/>
      <c r="FB13" s="602" t="n"/>
      <c r="FC13" s="602" t="n"/>
      <c r="FD13" s="602" t="n"/>
      <c r="FE13" s="602" t="n"/>
      <c r="FF13" s="602" t="n"/>
      <c r="FG13" s="602" t="n"/>
      <c r="FH13" s="602" t="n"/>
      <c r="FI13" s="602" t="n"/>
      <c r="FJ13" s="602" t="n"/>
      <c r="FK13" s="602" t="n"/>
      <c r="FL13" s="602" t="n"/>
      <c r="FM13" s="602" t="n"/>
      <c r="FN13" s="602" t="n"/>
      <c r="FO13" s="602" t="n"/>
      <c r="FP13" s="488" t="n"/>
      <c r="FQ13" s="488" t="n"/>
      <c r="FR13" s="488" t="n"/>
      <c r="FS13" s="488" t="n"/>
      <c r="FT13" s="488" t="n"/>
      <c r="FU13" s="488" t="n"/>
      <c r="FV13" s="488" t="n"/>
      <c r="FW13" s="488" t="n"/>
      <c r="FX13" s="488" t="n"/>
      <c r="FY13" s="488" t="n"/>
      <c r="FZ13" s="488" t="n"/>
      <c r="GA13" s="488" t="n"/>
      <c r="GB13" s="488" t="n"/>
      <c r="GC13" s="488" t="n"/>
      <c r="GD13" s="488" t="n"/>
      <c r="GE13" s="488" t="n"/>
      <c r="GF13" s="488" t="n"/>
      <c r="GG13" s="488" t="n"/>
      <c r="GH13" s="488" t="n"/>
      <c r="GI13" s="488" t="n"/>
      <c r="GJ13" s="488" t="n"/>
      <c r="GK13" s="488" t="n"/>
      <c r="GL13" s="488" t="n"/>
      <c r="GM13" s="488" t="n"/>
      <c r="GN13" s="488" t="n"/>
      <c r="GO13" s="488" t="n"/>
      <c r="GP13" s="488" t="n"/>
      <c r="GQ13" s="488" t="n"/>
      <c r="GR13" s="488" t="n"/>
      <c r="GS13" s="488" t="n"/>
      <c r="GT13" s="488" t="n"/>
      <c r="GU13" s="488" t="n"/>
      <c r="GV13" s="488" t="n"/>
      <c r="GW13" s="488" t="n"/>
      <c r="GX13" s="488" t="n"/>
      <c r="GY13" s="488" t="n"/>
      <c r="GZ13" s="488" t="n"/>
      <c r="HA13" s="488" t="n"/>
      <c r="HB13" s="488" t="n"/>
      <c r="HC13" s="488" t="n"/>
      <c r="HD13" s="488" t="n"/>
      <c r="HE13" s="488" t="n"/>
      <c r="HF13" s="488" t="n"/>
      <c r="HG13" s="488" t="n"/>
      <c r="HH13" s="488" t="n"/>
      <c r="HI13" s="488" t="n"/>
      <c r="HJ13" s="488" t="n"/>
      <c r="HK13" s="488" t="n"/>
      <c r="HL13" s="488" t="n"/>
      <c r="HM13" s="488" t="n"/>
      <c r="HN13" s="488" t="n"/>
      <c r="HO13" s="488" t="n"/>
      <c r="HP13" s="488" t="n"/>
      <c r="HQ13" s="488" t="n"/>
      <c r="HR13" s="488" t="n"/>
      <c r="HS13" s="488" t="n"/>
      <c r="HT13" s="488" t="n"/>
      <c r="HU13" s="488" t="n"/>
      <c r="HV13" s="488" t="n"/>
      <c r="HW13" s="488" t="n"/>
      <c r="HX13" s="488" t="n"/>
      <c r="HY13" s="488" t="n"/>
      <c r="HZ13" s="488" t="n"/>
      <c r="IA13" s="488" t="n"/>
      <c r="IB13" s="488" t="n"/>
      <c r="IC13" s="488" t="n"/>
      <c r="ID13" s="488" t="n"/>
      <c r="IE13" s="488" t="n"/>
      <c r="IF13" s="488" t="n"/>
      <c r="IG13" s="488" t="n"/>
      <c r="IH13" s="488" t="n"/>
      <c r="II13" s="488" t="n"/>
      <c r="IJ13" s="488" t="n"/>
      <c r="IK13" s="488" t="n"/>
      <c r="IL13" s="488" t="n"/>
      <c r="IM13" s="488" t="n"/>
      <c r="IN13" s="488" t="n"/>
      <c r="IO13" s="488" t="n"/>
      <c r="IP13" s="488" t="n"/>
      <c r="IQ13" s="488" t="n"/>
      <c r="IR13" s="488" t="n"/>
      <c r="IS13" s="488" t="n"/>
      <c r="IT13" s="488" t="n"/>
      <c r="IU13" s="488" t="n"/>
      <c r="IV13" s="488" t="n"/>
    </row>
    <row r="14" customFormat="1" s="448">
      <c r="A14" s="599" t="n"/>
      <c r="B14" s="600" t="n"/>
      <c r="C14" s="600" t="n"/>
      <c r="D14" s="600" t="n"/>
      <c r="E14" s="600" t="n"/>
      <c r="F14" s="600" t="n"/>
      <c r="G14" s="600" t="n"/>
      <c r="H14" s="600" t="n"/>
      <c r="I14" s="600" t="n"/>
      <c r="J14" s="600" t="n"/>
      <c r="K14" s="600" t="n"/>
      <c r="L14" s="600" t="n"/>
      <c r="M14" s="600" t="n"/>
      <c r="N14" s="600" t="n"/>
      <c r="O14" s="600" t="n"/>
      <c r="P14" s="600" t="n"/>
      <c r="Q14" s="600" t="n"/>
      <c r="R14" s="600" t="n"/>
      <c r="S14" s="600" t="n"/>
      <c r="T14" s="600" t="n"/>
      <c r="U14" s="600" t="n"/>
      <c r="V14" s="600" t="n"/>
      <c r="W14" s="600" t="n"/>
      <c r="X14" s="600" t="n"/>
      <c r="Y14" s="600" t="n"/>
      <c r="Z14" s="600" t="n"/>
      <c r="AA14" s="600" t="n"/>
      <c r="AB14" s="600" t="n"/>
      <c r="AC14" s="600" t="n"/>
      <c r="AD14" s="600" t="n"/>
      <c r="AE14" s="600" t="n"/>
      <c r="AF14" s="600" t="n"/>
      <c r="AG14" s="600" t="n"/>
      <c r="AH14" s="600" t="n"/>
      <c r="AI14" s="600" t="n"/>
      <c r="AJ14" s="600" t="n"/>
      <c r="AK14" s="600" t="n"/>
      <c r="AL14" s="600" t="n"/>
      <c r="AM14" s="600" t="n"/>
      <c r="AN14" s="600" t="n"/>
      <c r="AO14" s="600" t="n"/>
      <c r="AP14" s="600" t="n"/>
      <c r="AQ14" s="600" t="n"/>
      <c r="AR14" s="600" t="n"/>
      <c r="AS14" s="600" t="n"/>
      <c r="AT14" s="600" t="n"/>
      <c r="AU14" s="600" t="n"/>
      <c r="AV14" s="600" t="n"/>
      <c r="AW14" s="600" t="n"/>
      <c r="AX14" s="600" t="n"/>
      <c r="AY14" s="600" t="n"/>
      <c r="AZ14" s="600" t="n"/>
      <c r="BA14" s="600" t="n"/>
      <c r="BB14" s="600" t="n"/>
      <c r="BC14" s="600" t="n"/>
      <c r="BD14" s="600" t="n"/>
      <c r="BE14" s="600" t="n"/>
      <c r="BF14" s="600" t="n"/>
      <c r="BG14" s="600" t="n"/>
      <c r="BH14" s="600" t="n"/>
      <c r="BI14" s="600" t="n"/>
      <c r="BJ14" s="600" t="n"/>
      <c r="BK14" s="600" t="n"/>
      <c r="BL14" s="600" t="n"/>
      <c r="BM14" s="600" t="n"/>
      <c r="BN14" s="600" t="n"/>
      <c r="BO14" s="600" t="n"/>
      <c r="BP14" s="600" t="n"/>
      <c r="BQ14" s="600" t="n"/>
      <c r="BR14" s="600" t="n"/>
      <c r="BS14" s="600" t="n"/>
      <c r="BT14" s="600" t="n"/>
      <c r="BU14" s="600" t="n"/>
      <c r="BV14" s="600" t="n"/>
      <c r="BW14" s="600" t="n"/>
      <c r="BX14" s="600" t="n"/>
      <c r="BY14" s="600" t="n"/>
      <c r="BZ14" s="600" t="n"/>
      <c r="CA14" s="600" t="n"/>
      <c r="CB14" s="600" t="n"/>
      <c r="CC14" s="600" t="n"/>
      <c r="CD14" s="600" t="n"/>
      <c r="CE14" s="600" t="n"/>
      <c r="CF14" s="600" t="n"/>
      <c r="CG14" s="600" t="n"/>
      <c r="CH14" s="600" t="n"/>
      <c r="CI14" s="600" t="n"/>
      <c r="CJ14" s="600" t="n"/>
      <c r="CK14" s="600" t="n"/>
      <c r="CL14" s="600" t="n"/>
      <c r="CM14" s="600" t="n"/>
      <c r="CN14" s="600" t="n"/>
      <c r="CO14" s="600" t="n"/>
      <c r="CP14" s="600" t="n"/>
      <c r="CQ14" s="600" t="n"/>
      <c r="CR14" s="600" t="n"/>
      <c r="CS14" s="600" t="n"/>
      <c r="CT14" s="600" t="n"/>
      <c r="CU14" s="600" t="n"/>
      <c r="CV14" s="600" t="n"/>
      <c r="CW14" s="600" t="n"/>
      <c r="CX14" s="600" t="n"/>
      <c r="CY14" s="600" t="n"/>
      <c r="CZ14" s="600" t="n"/>
      <c r="DA14" s="600" t="n"/>
      <c r="DB14" s="600" t="n"/>
      <c r="DC14" s="600" t="n"/>
      <c r="DD14" s="600" t="n"/>
      <c r="DE14" s="600" t="n"/>
      <c r="DF14" s="600" t="n"/>
      <c r="DG14" s="600" t="n"/>
      <c r="DH14" s="600" t="n"/>
      <c r="DI14" s="600" t="n"/>
      <c r="DJ14" s="600" t="n"/>
      <c r="DK14" s="600" t="n"/>
      <c r="DL14" s="600" t="n"/>
      <c r="DM14" s="600" t="n"/>
      <c r="DN14" s="600" t="n"/>
      <c r="DO14" s="600" t="n"/>
      <c r="DP14" s="600" t="n"/>
      <c r="DQ14" s="600" t="n"/>
      <c r="DR14" s="600" t="n"/>
      <c r="DS14" s="600" t="n"/>
      <c r="DT14" s="600" t="n"/>
      <c r="DU14" s="600" t="n"/>
      <c r="DV14" s="600" t="n"/>
      <c r="DW14" s="600" t="n"/>
      <c r="DX14" s="600" t="n"/>
      <c r="DY14" s="600" t="n"/>
      <c r="DZ14" s="600" t="n"/>
      <c r="EA14" s="600" t="n"/>
      <c r="EB14" s="600" t="n"/>
      <c r="EC14" s="600" t="n"/>
      <c r="ED14" s="600" t="n"/>
      <c r="EE14" s="600" t="n"/>
      <c r="EF14" s="600" t="n"/>
      <c r="EG14" s="600" t="n"/>
      <c r="EH14" s="600" t="n"/>
      <c r="EI14" s="600" t="n"/>
      <c r="EJ14" s="600" t="n"/>
      <c r="EK14" s="600" t="n"/>
      <c r="EL14" s="600" t="n"/>
      <c r="EM14" s="600" t="n"/>
      <c r="EN14" s="600" t="n"/>
      <c r="EO14" s="600" t="n"/>
      <c r="EP14" s="600" t="n"/>
      <c r="EQ14" s="600" t="n"/>
      <c r="ER14" s="600" t="n"/>
      <c r="ES14" s="600" t="n"/>
      <c r="ET14" s="600" t="n"/>
      <c r="EU14" s="600" t="n"/>
      <c r="EV14" s="600" t="n"/>
      <c r="EW14" s="600" t="n"/>
      <c r="EX14" s="600" t="n"/>
      <c r="EY14" s="600" t="n"/>
      <c r="EZ14" s="600" t="n"/>
      <c r="FA14" s="600" t="n"/>
      <c r="FB14" s="600" t="n"/>
      <c r="FC14" s="600" t="n"/>
      <c r="FD14" s="600" t="n"/>
      <c r="FE14" s="600" t="n"/>
      <c r="FF14" s="600" t="n"/>
      <c r="FG14" s="600" t="n"/>
      <c r="FH14" s="600" t="n"/>
      <c r="FI14" s="600" t="n"/>
      <c r="FJ14" s="600" t="n"/>
      <c r="FK14" s="600" t="n"/>
      <c r="FL14" s="600" t="n"/>
      <c r="FM14" s="600" t="n"/>
      <c r="FN14" s="600" t="n"/>
      <c r="FO14" s="600" t="n"/>
      <c r="FP14" s="488" t="n"/>
      <c r="FQ14" s="488" t="n"/>
      <c r="FR14" s="488" t="n"/>
      <c r="FS14" s="488" t="n"/>
      <c r="FT14" s="488" t="n"/>
      <c r="FU14" s="488" t="n"/>
      <c r="FV14" s="488" t="n"/>
      <c r="FW14" s="488" t="n"/>
      <c r="FX14" s="488" t="n"/>
      <c r="FY14" s="488" t="n"/>
      <c r="FZ14" s="488" t="n"/>
      <c r="GA14" s="488" t="n"/>
      <c r="GB14" s="488" t="n"/>
      <c r="GC14" s="488" t="n"/>
      <c r="GD14" s="488" t="n"/>
      <c r="GE14" s="488" t="n"/>
      <c r="GF14" s="488" t="n"/>
      <c r="GG14" s="488" t="n"/>
      <c r="GH14" s="488" t="n"/>
      <c r="GI14" s="488" t="n"/>
      <c r="GJ14" s="488" t="n"/>
      <c r="GK14" s="488" t="n"/>
      <c r="GL14" s="488" t="n"/>
      <c r="GM14" s="488" t="n"/>
      <c r="GN14" s="488" t="n"/>
      <c r="GO14" s="488" t="n"/>
      <c r="GP14" s="488" t="n"/>
      <c r="GQ14" s="488" t="n"/>
      <c r="GR14" s="488" t="n"/>
      <c r="GS14" s="488" t="n"/>
      <c r="GT14" s="488" t="n"/>
      <c r="GU14" s="488" t="n"/>
      <c r="GV14" s="488" t="n"/>
      <c r="GW14" s="488" t="n"/>
      <c r="GX14" s="488" t="n"/>
      <c r="GY14" s="488" t="n"/>
      <c r="GZ14" s="488" t="n"/>
      <c r="HA14" s="488" t="n"/>
      <c r="HB14" s="488" t="n"/>
      <c r="HC14" s="488" t="n"/>
      <c r="HD14" s="488" t="n"/>
      <c r="HE14" s="488" t="n"/>
      <c r="HF14" s="488" t="n"/>
      <c r="HG14" s="488" t="n"/>
      <c r="HH14" s="488" t="n"/>
      <c r="HI14" s="488" t="n"/>
      <c r="HJ14" s="488" t="n"/>
      <c r="HK14" s="488" t="n"/>
      <c r="HL14" s="488" t="n"/>
      <c r="HM14" s="488" t="n"/>
      <c r="HN14" s="488" t="n"/>
      <c r="HO14" s="488" t="n"/>
      <c r="HP14" s="488" t="n"/>
      <c r="HQ14" s="488" t="n"/>
      <c r="HR14" s="488" t="n"/>
      <c r="HS14" s="488" t="n"/>
      <c r="HT14" s="488" t="n"/>
      <c r="HU14" s="488" t="n"/>
      <c r="HV14" s="488" t="n"/>
      <c r="HW14" s="488" t="n"/>
      <c r="HX14" s="488" t="n"/>
      <c r="HY14" s="488" t="n"/>
      <c r="HZ14" s="488" t="n"/>
      <c r="IA14" s="488" t="n"/>
      <c r="IB14" s="488" t="n"/>
      <c r="IC14" s="488" t="n"/>
      <c r="ID14" s="488" t="n"/>
      <c r="IE14" s="488" t="n"/>
      <c r="IF14" s="488" t="n"/>
      <c r="IG14" s="488" t="n"/>
      <c r="IH14" s="488" t="n"/>
      <c r="II14" s="488" t="n"/>
      <c r="IJ14" s="488" t="n"/>
      <c r="IK14" s="488" t="n"/>
      <c r="IL14" s="488" t="n"/>
      <c r="IM14" s="488" t="n"/>
      <c r="IN14" s="488" t="n"/>
      <c r="IO14" s="488" t="n"/>
      <c r="IP14" s="488" t="n"/>
      <c r="IQ14" s="488" t="n"/>
      <c r="IR14" s="488" t="n"/>
      <c r="IS14" s="488" t="n"/>
      <c r="IT14" s="488" t="n"/>
      <c r="IU14" s="488" t="n"/>
      <c r="IV14" s="488" t="n"/>
    </row>
    <row r="15" ht="6.75" customFormat="1" customHeight="1" s="447">
      <c r="A15" s="601" t="n"/>
      <c r="B15" s="602" t="n"/>
      <c r="C15" s="602" t="n"/>
      <c r="D15" s="602" t="n"/>
      <c r="E15" s="602" t="n"/>
      <c r="F15" s="602" t="n"/>
      <c r="G15" s="602" t="n"/>
      <c r="H15" s="602" t="n"/>
      <c r="I15" s="602" t="n"/>
      <c r="J15" s="602" t="n"/>
      <c r="K15" s="602" t="n"/>
      <c r="L15" s="602" t="n"/>
      <c r="M15" s="602" t="n"/>
      <c r="N15" s="602" t="n"/>
      <c r="O15" s="602" t="n"/>
      <c r="P15" s="602" t="n"/>
      <c r="Q15" s="602" t="n"/>
      <c r="R15" s="602" t="n"/>
      <c r="S15" s="602" t="n"/>
      <c r="T15" s="602" t="n"/>
      <c r="U15" s="602" t="n"/>
      <c r="V15" s="602" t="n"/>
      <c r="W15" s="602" t="n"/>
      <c r="X15" s="602" t="n"/>
      <c r="Y15" s="602" t="n"/>
      <c r="Z15" s="602" t="n"/>
      <c r="AA15" s="602" t="n"/>
      <c r="AB15" s="602" t="n"/>
      <c r="AC15" s="602" t="n"/>
      <c r="AD15" s="602" t="n"/>
      <c r="AE15" s="602" t="n"/>
      <c r="AF15" s="602" t="n"/>
      <c r="AG15" s="602" t="n"/>
      <c r="AH15" s="602" t="n"/>
      <c r="AI15" s="602" t="n"/>
      <c r="AJ15" s="602" t="n"/>
      <c r="AK15" s="602" t="n"/>
      <c r="AL15" s="602" t="n"/>
      <c r="AM15" s="602" t="n"/>
      <c r="AN15" s="602" t="n"/>
      <c r="AO15" s="602" t="n"/>
      <c r="AP15" s="602" t="n"/>
      <c r="AQ15" s="602" t="n"/>
      <c r="AR15" s="602" t="n"/>
      <c r="AS15" s="602" t="n"/>
      <c r="AT15" s="602" t="n"/>
      <c r="AU15" s="602" t="n"/>
      <c r="AV15" s="602" t="n"/>
      <c r="AW15" s="602" t="n"/>
      <c r="AX15" s="602" t="n"/>
      <c r="AY15" s="602" t="n"/>
      <c r="AZ15" s="602" t="n"/>
      <c r="BA15" s="602" t="n"/>
      <c r="BB15" s="602" t="n"/>
      <c r="BC15" s="602" t="n"/>
      <c r="BD15" s="602" t="n"/>
      <c r="BE15" s="602" t="n"/>
      <c r="BF15" s="602" t="n"/>
      <c r="BG15" s="602" t="n"/>
      <c r="BH15" s="602" t="n"/>
      <c r="BI15" s="602" t="n"/>
      <c r="BJ15" s="602" t="n"/>
      <c r="BK15" s="602" t="n"/>
      <c r="BL15" s="602" t="n"/>
      <c r="BM15" s="602" t="n"/>
      <c r="BN15" s="602" t="n"/>
      <c r="BO15" s="602" t="n"/>
      <c r="BP15" s="602" t="n"/>
      <c r="BQ15" s="602" t="n"/>
      <c r="BR15" s="602" t="n"/>
      <c r="BS15" s="602" t="n"/>
      <c r="BT15" s="602" t="n"/>
      <c r="BU15" s="602" t="n"/>
      <c r="BV15" s="602" t="n"/>
      <c r="BW15" s="602" t="n"/>
      <c r="BX15" s="602" t="n"/>
      <c r="BY15" s="602" t="n"/>
      <c r="BZ15" s="602" t="n"/>
      <c r="CA15" s="602" t="n"/>
      <c r="CB15" s="602" t="n"/>
      <c r="CC15" s="602" t="n"/>
      <c r="CD15" s="602" t="n"/>
      <c r="CE15" s="602" t="n"/>
      <c r="CF15" s="602" t="n"/>
      <c r="CG15" s="602" t="n"/>
      <c r="CH15" s="602" t="n"/>
      <c r="CI15" s="602" t="n"/>
      <c r="CJ15" s="602" t="n"/>
      <c r="CK15" s="602" t="n"/>
      <c r="CL15" s="602" t="n"/>
      <c r="CM15" s="602" t="n"/>
      <c r="CN15" s="602" t="n"/>
      <c r="CO15" s="602" t="n"/>
      <c r="CP15" s="602" t="n"/>
      <c r="CQ15" s="602" t="n"/>
      <c r="CR15" s="602" t="n"/>
      <c r="CS15" s="602" t="n"/>
      <c r="CT15" s="602" t="n"/>
      <c r="CU15" s="602" t="n"/>
      <c r="CV15" s="602" t="n"/>
      <c r="CW15" s="602" t="n"/>
      <c r="CX15" s="602" t="n"/>
      <c r="CY15" s="602" t="n"/>
      <c r="CZ15" s="602" t="n"/>
      <c r="DA15" s="602" t="n"/>
      <c r="DB15" s="602" t="n"/>
      <c r="DC15" s="602" t="n"/>
      <c r="DD15" s="602" t="n"/>
      <c r="DE15" s="602" t="n"/>
      <c r="DF15" s="602" t="n"/>
      <c r="DG15" s="602" t="n"/>
      <c r="DH15" s="602" t="n"/>
      <c r="DI15" s="602" t="n"/>
      <c r="DJ15" s="602" t="n"/>
      <c r="DK15" s="602" t="n"/>
      <c r="DL15" s="602" t="n"/>
      <c r="DM15" s="602" t="n"/>
      <c r="DN15" s="602" t="n"/>
      <c r="DO15" s="602" t="n"/>
      <c r="DP15" s="602" t="n"/>
      <c r="DQ15" s="602" t="n"/>
      <c r="DR15" s="602" t="n"/>
      <c r="DS15" s="602" t="n"/>
      <c r="DT15" s="602" t="n"/>
      <c r="DU15" s="602" t="n"/>
      <c r="DV15" s="602" t="n"/>
      <c r="DW15" s="602" t="n"/>
      <c r="DX15" s="602" t="n"/>
      <c r="DY15" s="602" t="n"/>
      <c r="DZ15" s="602" t="n"/>
      <c r="EA15" s="602" t="n"/>
      <c r="EB15" s="602" t="n"/>
      <c r="EC15" s="602" t="n"/>
      <c r="ED15" s="602" t="n"/>
      <c r="EE15" s="602" t="n"/>
      <c r="EF15" s="602" t="n"/>
      <c r="EG15" s="602" t="n"/>
      <c r="EH15" s="602" t="n"/>
      <c r="EI15" s="602" t="n"/>
      <c r="EJ15" s="602" t="n"/>
      <c r="EK15" s="602" t="n"/>
      <c r="EL15" s="602" t="n"/>
      <c r="EM15" s="602" t="n"/>
      <c r="EN15" s="602" t="n"/>
      <c r="EO15" s="602" t="n"/>
      <c r="EP15" s="602" t="n"/>
      <c r="EQ15" s="602" t="n"/>
      <c r="ER15" s="602" t="n"/>
      <c r="ES15" s="602" t="n"/>
      <c r="ET15" s="602" t="n"/>
      <c r="EU15" s="602" t="n"/>
      <c r="EV15" s="602" t="n"/>
      <c r="EW15" s="602" t="n"/>
      <c r="EX15" s="602" t="n"/>
      <c r="EY15" s="602" t="n"/>
      <c r="EZ15" s="602" t="n"/>
      <c r="FA15" s="602" t="n"/>
      <c r="FB15" s="602" t="n"/>
      <c r="FC15" s="602" t="n"/>
      <c r="FD15" s="602" t="n"/>
      <c r="FE15" s="602" t="n"/>
      <c r="FF15" s="602" t="n"/>
      <c r="FG15" s="602" t="n"/>
      <c r="FH15" s="602" t="n"/>
      <c r="FI15" s="602" t="n"/>
      <c r="FJ15" s="602" t="n"/>
      <c r="FK15" s="602" t="n"/>
      <c r="FL15" s="602" t="n"/>
      <c r="FM15" s="602" t="n"/>
      <c r="FN15" s="602" t="n"/>
      <c r="FO15" s="602" t="n"/>
      <c r="FP15" s="488" t="n"/>
      <c r="FQ15" s="488" t="n"/>
      <c r="FR15" s="488" t="n"/>
      <c r="FS15" s="488" t="n"/>
      <c r="FT15" s="488" t="n"/>
      <c r="FU15" s="488" t="n"/>
      <c r="FV15" s="488" t="n"/>
      <c r="FW15" s="488" t="n"/>
      <c r="FX15" s="488" t="n"/>
      <c r="FY15" s="488" t="n"/>
      <c r="FZ15" s="488" t="n"/>
      <c r="GA15" s="488" t="n"/>
      <c r="GB15" s="488" t="n"/>
      <c r="GC15" s="488" t="n"/>
      <c r="GD15" s="488" t="n"/>
      <c r="GE15" s="488" t="n"/>
      <c r="GF15" s="488" t="n"/>
      <c r="GG15" s="488" t="n"/>
      <c r="GH15" s="488" t="n"/>
      <c r="GI15" s="488" t="n"/>
      <c r="GJ15" s="488" t="n"/>
      <c r="GK15" s="488" t="n"/>
      <c r="GL15" s="488" t="n"/>
      <c r="GM15" s="488" t="n"/>
      <c r="GN15" s="488" t="n"/>
      <c r="GO15" s="488" t="n"/>
      <c r="GP15" s="488" t="n"/>
      <c r="GQ15" s="488" t="n"/>
      <c r="GR15" s="488" t="n"/>
      <c r="GS15" s="488" t="n"/>
      <c r="GT15" s="488" t="n"/>
      <c r="GU15" s="488" t="n"/>
      <c r="GV15" s="488" t="n"/>
      <c r="GW15" s="488" t="n"/>
      <c r="GX15" s="488" t="n"/>
      <c r="GY15" s="488" t="n"/>
      <c r="GZ15" s="488" t="n"/>
      <c r="HA15" s="488" t="n"/>
      <c r="HB15" s="488" t="n"/>
      <c r="HC15" s="488" t="n"/>
      <c r="HD15" s="488" t="n"/>
      <c r="HE15" s="488" t="n"/>
      <c r="HF15" s="488" t="n"/>
      <c r="HG15" s="488" t="n"/>
      <c r="HH15" s="488" t="n"/>
      <c r="HI15" s="488" t="n"/>
      <c r="HJ15" s="488" t="n"/>
      <c r="HK15" s="488" t="n"/>
      <c r="HL15" s="488" t="n"/>
      <c r="HM15" s="488" t="n"/>
      <c r="HN15" s="488" t="n"/>
      <c r="HO15" s="488" t="n"/>
      <c r="HP15" s="488" t="n"/>
      <c r="HQ15" s="488" t="n"/>
      <c r="HR15" s="488" t="n"/>
      <c r="HS15" s="488" t="n"/>
      <c r="HT15" s="488" t="n"/>
      <c r="HU15" s="488" t="n"/>
      <c r="HV15" s="488" t="n"/>
      <c r="HW15" s="488" t="n"/>
      <c r="HX15" s="488" t="n"/>
      <c r="HY15" s="488" t="n"/>
      <c r="HZ15" s="488" t="n"/>
      <c r="IA15" s="488" t="n"/>
      <c r="IB15" s="488" t="n"/>
      <c r="IC15" s="488" t="n"/>
      <c r="ID15" s="488" t="n"/>
      <c r="IE15" s="488" t="n"/>
      <c r="IF15" s="488" t="n"/>
      <c r="IG15" s="488" t="n"/>
      <c r="IH15" s="488" t="n"/>
      <c r="II15" s="488" t="n"/>
      <c r="IJ15" s="488" t="n"/>
      <c r="IK15" s="488" t="n"/>
      <c r="IL15" s="488" t="n"/>
      <c r="IM15" s="488" t="n"/>
      <c r="IN15" s="488" t="n"/>
      <c r="IO15" s="488" t="n"/>
      <c r="IP15" s="488" t="n"/>
      <c r="IQ15" s="488" t="n"/>
      <c r="IR15" s="488" t="n"/>
      <c r="IS15" s="488" t="n"/>
      <c r="IT15" s="488" t="n"/>
      <c r="IU15" s="488" t="n"/>
      <c r="IV15" s="488" t="n"/>
    </row>
    <row r="16" customFormat="1" s="448">
      <c r="A16" s="599" t="n"/>
      <c r="B16" s="600" t="n"/>
      <c r="C16" s="600" t="n"/>
      <c r="D16" s="600" t="n"/>
      <c r="E16" s="600" t="n"/>
      <c r="F16" s="600" t="n"/>
      <c r="G16" s="600" t="n"/>
      <c r="H16" s="600" t="n"/>
      <c r="I16" s="600" t="n"/>
      <c r="J16" s="600" t="n"/>
      <c r="K16" s="600" t="n"/>
      <c r="L16" s="600" t="n"/>
      <c r="M16" s="600" t="n"/>
      <c r="N16" s="600" t="n"/>
      <c r="O16" s="600" t="n"/>
      <c r="P16" s="600" t="n"/>
      <c r="Q16" s="600" t="n"/>
      <c r="R16" s="600" t="n"/>
      <c r="S16" s="600" t="n"/>
      <c r="T16" s="600" t="n"/>
      <c r="U16" s="600" t="n"/>
      <c r="V16" s="600" t="n"/>
      <c r="W16" s="600" t="n"/>
      <c r="X16" s="600" t="n"/>
      <c r="Y16" s="600" t="n"/>
      <c r="Z16" s="600" t="n"/>
      <c r="AA16" s="600" t="n"/>
      <c r="AB16" s="600" t="n"/>
      <c r="AC16" s="600" t="n"/>
      <c r="AD16" s="600" t="n"/>
      <c r="AE16" s="600" t="n"/>
      <c r="AF16" s="600" t="n"/>
      <c r="AG16" s="600" t="n"/>
      <c r="AH16" s="600" t="n"/>
      <c r="AI16" s="600" t="n"/>
      <c r="AJ16" s="600" t="n"/>
      <c r="AK16" s="600" t="n"/>
      <c r="AL16" s="600" t="n"/>
      <c r="AM16" s="600" t="n"/>
      <c r="AN16" s="600" t="n"/>
      <c r="AO16" s="600" t="n"/>
      <c r="AP16" s="600" t="n"/>
      <c r="AQ16" s="600" t="n"/>
      <c r="AR16" s="600" t="n"/>
      <c r="AS16" s="600" t="n"/>
      <c r="AT16" s="600" t="n"/>
      <c r="AU16" s="600" t="n"/>
      <c r="AV16" s="600" t="n"/>
      <c r="AW16" s="600" t="n"/>
      <c r="AX16" s="600" t="n"/>
      <c r="AY16" s="600" t="n"/>
      <c r="AZ16" s="600" t="n"/>
      <c r="BA16" s="600" t="n"/>
      <c r="BB16" s="600" t="n"/>
      <c r="BC16" s="600" t="n"/>
      <c r="BD16" s="600" t="n"/>
      <c r="BE16" s="600" t="n"/>
      <c r="BF16" s="600" t="n"/>
      <c r="BG16" s="600" t="n"/>
      <c r="BH16" s="600" t="n"/>
      <c r="BI16" s="600" t="n"/>
      <c r="BJ16" s="600" t="n"/>
      <c r="BK16" s="600" t="n"/>
      <c r="BL16" s="600" t="n"/>
      <c r="BM16" s="600" t="n"/>
      <c r="BN16" s="600" t="n"/>
      <c r="BO16" s="600" t="n"/>
      <c r="BP16" s="600" t="n"/>
      <c r="BQ16" s="600" t="n"/>
      <c r="BR16" s="600" t="n"/>
      <c r="BS16" s="600" t="n"/>
      <c r="BT16" s="600" t="n"/>
      <c r="BU16" s="600" t="n"/>
      <c r="BV16" s="600" t="n"/>
      <c r="BW16" s="600" t="n"/>
      <c r="BX16" s="600" t="n"/>
      <c r="BY16" s="600" t="n"/>
      <c r="BZ16" s="600" t="n"/>
      <c r="CA16" s="600" t="n"/>
      <c r="CB16" s="600" t="n"/>
      <c r="CC16" s="600" t="n"/>
      <c r="CD16" s="600" t="n"/>
      <c r="CE16" s="600" t="n"/>
      <c r="CF16" s="600" t="n"/>
      <c r="CG16" s="600" t="n"/>
      <c r="CH16" s="600" t="n"/>
      <c r="CI16" s="600" t="n"/>
      <c r="CJ16" s="600" t="n"/>
      <c r="CK16" s="600" t="n"/>
      <c r="CL16" s="600" t="n"/>
      <c r="CM16" s="600" t="n"/>
      <c r="CN16" s="600" t="n"/>
      <c r="CO16" s="600" t="n"/>
      <c r="CP16" s="600" t="n"/>
      <c r="CQ16" s="600" t="n"/>
      <c r="CR16" s="600" t="n"/>
      <c r="CS16" s="600" t="n"/>
      <c r="CT16" s="600" t="n"/>
      <c r="CU16" s="600" t="n"/>
      <c r="CV16" s="600" t="n"/>
      <c r="CW16" s="600" t="n"/>
      <c r="CX16" s="600" t="n"/>
      <c r="CY16" s="600" t="n"/>
      <c r="CZ16" s="600" t="n"/>
      <c r="DA16" s="600" t="n"/>
      <c r="DB16" s="600" t="n"/>
      <c r="DC16" s="600" t="n"/>
      <c r="DD16" s="600" t="n"/>
      <c r="DE16" s="600" t="n"/>
      <c r="DF16" s="600" t="n"/>
      <c r="DG16" s="600" t="n"/>
      <c r="DH16" s="600" t="n"/>
      <c r="DI16" s="600" t="n"/>
      <c r="DJ16" s="600" t="n"/>
      <c r="DK16" s="600" t="n"/>
      <c r="DL16" s="600" t="n"/>
      <c r="DM16" s="600" t="n"/>
      <c r="DN16" s="600" t="n"/>
      <c r="DO16" s="600" t="n"/>
      <c r="DP16" s="600" t="n"/>
      <c r="DQ16" s="600" t="n"/>
      <c r="DR16" s="600" t="n"/>
      <c r="DS16" s="600" t="n"/>
      <c r="DT16" s="600" t="n"/>
      <c r="DU16" s="600" t="n"/>
      <c r="DV16" s="600" t="n"/>
      <c r="DW16" s="600" t="n"/>
      <c r="DX16" s="600" t="n"/>
      <c r="DY16" s="600" t="n"/>
      <c r="DZ16" s="600" t="n"/>
      <c r="EA16" s="600" t="n"/>
      <c r="EB16" s="600" t="n"/>
      <c r="EC16" s="600" t="n"/>
      <c r="ED16" s="600" t="n"/>
      <c r="EE16" s="600" t="n"/>
      <c r="EF16" s="600" t="n"/>
      <c r="EG16" s="600" t="n"/>
      <c r="EH16" s="600" t="n"/>
      <c r="EI16" s="600" t="n"/>
      <c r="EJ16" s="600" t="n"/>
      <c r="EK16" s="600" t="n"/>
      <c r="EL16" s="600" t="n"/>
      <c r="EM16" s="600" t="n"/>
      <c r="EN16" s="600" t="n"/>
      <c r="EO16" s="600" t="n"/>
      <c r="EP16" s="600" t="n"/>
      <c r="EQ16" s="600" t="n"/>
      <c r="ER16" s="600" t="n"/>
      <c r="ES16" s="600" t="n"/>
      <c r="ET16" s="600" t="n"/>
      <c r="EU16" s="600" t="n"/>
      <c r="EV16" s="600" t="n"/>
      <c r="EW16" s="600" t="n"/>
      <c r="EX16" s="600" t="n"/>
      <c r="EY16" s="600" t="n"/>
      <c r="EZ16" s="600" t="n"/>
      <c r="FA16" s="600" t="n"/>
      <c r="FB16" s="600" t="n"/>
      <c r="FC16" s="600" t="n"/>
      <c r="FD16" s="600" t="n"/>
      <c r="FE16" s="600" t="n"/>
      <c r="FF16" s="600" t="n"/>
      <c r="FG16" s="600" t="n"/>
      <c r="FH16" s="600" t="n"/>
      <c r="FI16" s="600" t="n"/>
      <c r="FJ16" s="600" t="n"/>
      <c r="FK16" s="600" t="n"/>
      <c r="FL16" s="600" t="n"/>
      <c r="FM16" s="600" t="n"/>
      <c r="FN16" s="600" t="n"/>
      <c r="FO16" s="600" t="n"/>
      <c r="FP16" s="488" t="n"/>
      <c r="FQ16" s="488" t="n"/>
      <c r="FR16" s="488" t="n"/>
      <c r="FS16" s="488" t="n"/>
      <c r="FT16" s="488" t="n"/>
      <c r="FU16" s="488" t="n"/>
      <c r="FV16" s="488" t="n"/>
      <c r="FW16" s="488" t="n"/>
      <c r="FX16" s="488" t="n"/>
      <c r="FY16" s="488" t="n"/>
      <c r="FZ16" s="488" t="n"/>
      <c r="GA16" s="488" t="n"/>
      <c r="GB16" s="488" t="n"/>
      <c r="GC16" s="488" t="n"/>
      <c r="GD16" s="488" t="n"/>
      <c r="GE16" s="488" t="n"/>
      <c r="GF16" s="488" t="n"/>
      <c r="GG16" s="488" t="n"/>
      <c r="GH16" s="488" t="n"/>
      <c r="GI16" s="488" t="n"/>
      <c r="GJ16" s="488" t="n"/>
      <c r="GK16" s="488" t="n"/>
      <c r="GL16" s="488" t="n"/>
      <c r="GM16" s="488" t="n"/>
      <c r="GN16" s="488" t="n"/>
      <c r="GO16" s="488" t="n"/>
      <c r="GP16" s="488" t="n"/>
      <c r="GQ16" s="488" t="n"/>
      <c r="GR16" s="488" t="n"/>
      <c r="GS16" s="488" t="n"/>
      <c r="GT16" s="488" t="n"/>
      <c r="GU16" s="488" t="n"/>
      <c r="GV16" s="488" t="n"/>
      <c r="GW16" s="488" t="n"/>
      <c r="GX16" s="488" t="n"/>
      <c r="GY16" s="488" t="n"/>
      <c r="GZ16" s="488" t="n"/>
      <c r="HA16" s="488" t="n"/>
      <c r="HB16" s="488" t="n"/>
      <c r="HC16" s="488" t="n"/>
      <c r="HD16" s="488" t="n"/>
      <c r="HE16" s="488" t="n"/>
      <c r="HF16" s="488" t="n"/>
      <c r="HG16" s="488" t="n"/>
      <c r="HH16" s="488" t="n"/>
      <c r="HI16" s="488" t="n"/>
      <c r="HJ16" s="488" t="n"/>
      <c r="HK16" s="488" t="n"/>
      <c r="HL16" s="488" t="n"/>
      <c r="HM16" s="488" t="n"/>
      <c r="HN16" s="488" t="n"/>
      <c r="HO16" s="488" t="n"/>
      <c r="HP16" s="488" t="n"/>
      <c r="HQ16" s="488" t="n"/>
      <c r="HR16" s="488" t="n"/>
      <c r="HS16" s="488" t="n"/>
      <c r="HT16" s="488" t="n"/>
      <c r="HU16" s="488" t="n"/>
      <c r="HV16" s="488" t="n"/>
      <c r="HW16" s="488" t="n"/>
      <c r="HX16" s="488" t="n"/>
      <c r="HY16" s="488" t="n"/>
      <c r="HZ16" s="488" t="n"/>
      <c r="IA16" s="488" t="n"/>
      <c r="IB16" s="488" t="n"/>
      <c r="IC16" s="488" t="n"/>
      <c r="ID16" s="488" t="n"/>
      <c r="IE16" s="488" t="n"/>
      <c r="IF16" s="488" t="n"/>
      <c r="IG16" s="488" t="n"/>
      <c r="IH16" s="488" t="n"/>
      <c r="II16" s="488" t="n"/>
      <c r="IJ16" s="488" t="n"/>
      <c r="IK16" s="488" t="n"/>
      <c r="IL16" s="488" t="n"/>
      <c r="IM16" s="488" t="n"/>
      <c r="IN16" s="488" t="n"/>
      <c r="IO16" s="488" t="n"/>
      <c r="IP16" s="488" t="n"/>
      <c r="IQ16" s="488" t="n"/>
      <c r="IR16" s="488" t="n"/>
      <c r="IS16" s="488" t="n"/>
      <c r="IT16" s="488" t="n"/>
      <c r="IU16" s="488" t="n"/>
      <c r="IV16" s="488" t="n"/>
    </row>
    <row r="17" ht="6.75" customFormat="1" customHeight="1" s="447">
      <c r="A17" s="601" t="n"/>
      <c r="B17" s="602" t="n"/>
      <c r="C17" s="602" t="n"/>
      <c r="D17" s="602" t="n"/>
      <c r="E17" s="602" t="n"/>
      <c r="F17" s="602" t="n"/>
      <c r="G17" s="602" t="n"/>
      <c r="H17" s="602" t="n"/>
      <c r="I17" s="602" t="n"/>
      <c r="J17" s="602" t="n"/>
      <c r="K17" s="602" t="n"/>
      <c r="L17" s="602" t="n"/>
      <c r="M17" s="602" t="n"/>
      <c r="N17" s="602" t="n"/>
      <c r="O17" s="602" t="n"/>
      <c r="P17" s="602" t="n"/>
      <c r="Q17" s="602" t="n"/>
      <c r="R17" s="602" t="n"/>
      <c r="S17" s="602" t="n"/>
      <c r="T17" s="602" t="n"/>
      <c r="U17" s="602" t="n"/>
      <c r="V17" s="602" t="n"/>
      <c r="W17" s="602" t="n"/>
      <c r="X17" s="602" t="n"/>
      <c r="Y17" s="602" t="n"/>
      <c r="Z17" s="602" t="n"/>
      <c r="AA17" s="602" t="n"/>
      <c r="AB17" s="602" t="n"/>
      <c r="AC17" s="602" t="n"/>
      <c r="AD17" s="602" t="n"/>
      <c r="AE17" s="602" t="n"/>
      <c r="AF17" s="602" t="n"/>
      <c r="AG17" s="602" t="n"/>
      <c r="AH17" s="602" t="n"/>
      <c r="AI17" s="602" t="n"/>
      <c r="AJ17" s="602" t="n"/>
      <c r="AK17" s="602" t="n"/>
      <c r="AL17" s="602" t="n"/>
      <c r="AM17" s="602" t="n"/>
      <c r="AN17" s="602" t="n"/>
      <c r="AO17" s="602" t="n"/>
      <c r="AP17" s="602" t="n"/>
      <c r="AQ17" s="602" t="n"/>
      <c r="AR17" s="602" t="n"/>
      <c r="AS17" s="602" t="n"/>
      <c r="AT17" s="602" t="n"/>
      <c r="AU17" s="602" t="n"/>
      <c r="AV17" s="602" t="n"/>
      <c r="AW17" s="602" t="n"/>
      <c r="AX17" s="602" t="n"/>
      <c r="AY17" s="602" t="n"/>
      <c r="AZ17" s="602" t="n"/>
      <c r="BA17" s="602" t="n"/>
      <c r="BB17" s="602" t="n"/>
      <c r="BC17" s="602" t="n"/>
      <c r="BD17" s="602" t="n"/>
      <c r="BE17" s="602" t="n"/>
      <c r="BF17" s="602" t="n"/>
      <c r="BG17" s="602" t="n"/>
      <c r="BH17" s="602" t="n"/>
      <c r="BI17" s="602" t="n"/>
      <c r="BJ17" s="602" t="n"/>
      <c r="BK17" s="602" t="n"/>
      <c r="BL17" s="602" t="n"/>
      <c r="BM17" s="602" t="n"/>
      <c r="BN17" s="602" t="n"/>
      <c r="BO17" s="602" t="n"/>
      <c r="BP17" s="602" t="n"/>
      <c r="BQ17" s="602" t="n"/>
      <c r="BR17" s="602" t="n"/>
      <c r="BS17" s="602" t="n"/>
      <c r="BT17" s="602" t="n"/>
      <c r="BU17" s="602" t="n"/>
      <c r="BV17" s="602" t="n"/>
      <c r="BW17" s="602" t="n"/>
      <c r="BX17" s="602" t="n"/>
      <c r="BY17" s="602" t="n"/>
      <c r="BZ17" s="602" t="n"/>
      <c r="CA17" s="602" t="n"/>
      <c r="CB17" s="602" t="n"/>
      <c r="CC17" s="602" t="n"/>
      <c r="CD17" s="602" t="n"/>
      <c r="CE17" s="602" t="n"/>
      <c r="CF17" s="602" t="n"/>
      <c r="CG17" s="602" t="n"/>
      <c r="CH17" s="602" t="n"/>
      <c r="CI17" s="602" t="n"/>
      <c r="CJ17" s="602" t="n"/>
      <c r="CK17" s="602" t="n"/>
      <c r="CL17" s="602" t="n"/>
      <c r="CM17" s="602" t="n"/>
      <c r="CN17" s="602" t="n"/>
      <c r="CO17" s="602" t="n"/>
      <c r="CP17" s="602" t="n"/>
      <c r="CQ17" s="602" t="n"/>
      <c r="CR17" s="602" t="n"/>
      <c r="CS17" s="602" t="n"/>
      <c r="CT17" s="602" t="n"/>
      <c r="CU17" s="602" t="n"/>
      <c r="CV17" s="602" t="n"/>
      <c r="CW17" s="602" t="n"/>
      <c r="CX17" s="602" t="n"/>
      <c r="CY17" s="602" t="n"/>
      <c r="CZ17" s="602" t="n"/>
      <c r="DA17" s="602" t="n"/>
      <c r="DB17" s="602" t="n"/>
      <c r="DC17" s="602" t="n"/>
      <c r="DD17" s="602" t="n"/>
      <c r="DE17" s="602" t="n"/>
      <c r="DF17" s="602" t="n"/>
      <c r="DG17" s="602" t="n"/>
      <c r="DH17" s="602" t="n"/>
      <c r="DI17" s="602" t="n"/>
      <c r="DJ17" s="602" t="n"/>
      <c r="DK17" s="602" t="n"/>
      <c r="DL17" s="602" t="n"/>
      <c r="DM17" s="602" t="n"/>
      <c r="DN17" s="602" t="n"/>
      <c r="DO17" s="602" t="n"/>
      <c r="DP17" s="602" t="n"/>
      <c r="DQ17" s="602" t="n"/>
      <c r="DR17" s="602" t="n"/>
      <c r="DS17" s="602" t="n"/>
      <c r="DT17" s="602" t="n"/>
      <c r="DU17" s="602" t="n"/>
      <c r="DV17" s="602" t="n"/>
      <c r="DW17" s="602" t="n"/>
      <c r="DX17" s="602" t="n"/>
      <c r="DY17" s="602" t="n"/>
      <c r="DZ17" s="602" t="n"/>
      <c r="EA17" s="602" t="n"/>
      <c r="EB17" s="602" t="n"/>
      <c r="EC17" s="602" t="n"/>
      <c r="ED17" s="602" t="n"/>
      <c r="EE17" s="602" t="n"/>
      <c r="EF17" s="602" t="n"/>
      <c r="EG17" s="602" t="n"/>
      <c r="EH17" s="602" t="n"/>
      <c r="EI17" s="602" t="n"/>
      <c r="EJ17" s="602" t="n"/>
      <c r="EK17" s="602" t="n"/>
      <c r="EL17" s="602" t="n"/>
      <c r="EM17" s="602" t="n"/>
      <c r="EN17" s="602" t="n"/>
      <c r="EO17" s="602" t="n"/>
      <c r="EP17" s="602" t="n"/>
      <c r="EQ17" s="602" t="n"/>
      <c r="ER17" s="602" t="n"/>
      <c r="ES17" s="602" t="n"/>
      <c r="ET17" s="602" t="n"/>
      <c r="EU17" s="602" t="n"/>
      <c r="EV17" s="602" t="n"/>
      <c r="EW17" s="602" t="n"/>
      <c r="EX17" s="602" t="n"/>
      <c r="EY17" s="602" t="n"/>
      <c r="EZ17" s="602" t="n"/>
      <c r="FA17" s="602" t="n"/>
      <c r="FB17" s="602" t="n"/>
      <c r="FC17" s="602" t="n"/>
      <c r="FD17" s="602" t="n"/>
      <c r="FE17" s="602" t="n"/>
      <c r="FF17" s="602" t="n"/>
      <c r="FG17" s="602" t="n"/>
      <c r="FH17" s="602" t="n"/>
      <c r="FI17" s="602" t="n"/>
      <c r="FJ17" s="602" t="n"/>
      <c r="FK17" s="602" t="n"/>
      <c r="FL17" s="602" t="n"/>
      <c r="FM17" s="602" t="n"/>
      <c r="FN17" s="602" t="n"/>
      <c r="FO17" s="602" t="n"/>
      <c r="FP17" s="488" t="n"/>
      <c r="FQ17" s="488" t="n"/>
      <c r="FR17" s="488" t="n"/>
      <c r="FS17" s="488" t="n"/>
      <c r="FT17" s="488" t="n"/>
      <c r="FU17" s="488" t="n"/>
      <c r="FV17" s="488" t="n"/>
      <c r="FW17" s="488" t="n"/>
      <c r="FX17" s="488" t="n"/>
      <c r="FY17" s="488" t="n"/>
      <c r="FZ17" s="488" t="n"/>
      <c r="GA17" s="488" t="n"/>
      <c r="GB17" s="488" t="n"/>
      <c r="GC17" s="488" t="n"/>
      <c r="GD17" s="488" t="n"/>
      <c r="GE17" s="488" t="n"/>
      <c r="GF17" s="488" t="n"/>
      <c r="GG17" s="488" t="n"/>
      <c r="GH17" s="488" t="n"/>
      <c r="GI17" s="488" t="n"/>
      <c r="GJ17" s="488" t="n"/>
      <c r="GK17" s="488" t="n"/>
      <c r="GL17" s="488" t="n"/>
      <c r="GM17" s="488" t="n"/>
      <c r="GN17" s="488" t="n"/>
      <c r="GO17" s="488" t="n"/>
      <c r="GP17" s="488" t="n"/>
      <c r="GQ17" s="488" t="n"/>
      <c r="GR17" s="488" t="n"/>
      <c r="GS17" s="488" t="n"/>
      <c r="GT17" s="488" t="n"/>
      <c r="GU17" s="488" t="n"/>
      <c r="GV17" s="488" t="n"/>
      <c r="GW17" s="488" t="n"/>
      <c r="GX17" s="488" t="n"/>
      <c r="GY17" s="488" t="n"/>
      <c r="GZ17" s="488" t="n"/>
      <c r="HA17" s="488" t="n"/>
      <c r="HB17" s="488" t="n"/>
      <c r="HC17" s="488" t="n"/>
      <c r="HD17" s="488" t="n"/>
      <c r="HE17" s="488" t="n"/>
      <c r="HF17" s="488" t="n"/>
      <c r="HG17" s="488" t="n"/>
      <c r="HH17" s="488" t="n"/>
      <c r="HI17" s="488" t="n"/>
      <c r="HJ17" s="488" t="n"/>
      <c r="HK17" s="488" t="n"/>
      <c r="HL17" s="488" t="n"/>
      <c r="HM17" s="488" t="n"/>
      <c r="HN17" s="488" t="n"/>
      <c r="HO17" s="488" t="n"/>
      <c r="HP17" s="488" t="n"/>
      <c r="HQ17" s="488" t="n"/>
      <c r="HR17" s="488" t="n"/>
      <c r="HS17" s="488" t="n"/>
      <c r="HT17" s="488" t="n"/>
      <c r="HU17" s="488" t="n"/>
      <c r="HV17" s="488" t="n"/>
      <c r="HW17" s="488" t="n"/>
      <c r="HX17" s="488" t="n"/>
      <c r="HY17" s="488" t="n"/>
      <c r="HZ17" s="488" t="n"/>
      <c r="IA17" s="488" t="n"/>
      <c r="IB17" s="488" t="n"/>
      <c r="IC17" s="488" t="n"/>
      <c r="ID17" s="488" t="n"/>
      <c r="IE17" s="488" t="n"/>
      <c r="IF17" s="488" t="n"/>
      <c r="IG17" s="488" t="n"/>
      <c r="IH17" s="488" t="n"/>
      <c r="II17" s="488" t="n"/>
      <c r="IJ17" s="488" t="n"/>
      <c r="IK17" s="488" t="n"/>
      <c r="IL17" s="488" t="n"/>
      <c r="IM17" s="488" t="n"/>
      <c r="IN17" s="488" t="n"/>
      <c r="IO17" s="488" t="n"/>
      <c r="IP17" s="488" t="n"/>
      <c r="IQ17" s="488" t="n"/>
      <c r="IR17" s="488" t="n"/>
      <c r="IS17" s="488" t="n"/>
      <c r="IT17" s="488" t="n"/>
      <c r="IU17" s="488" t="n"/>
      <c r="IV17" s="488" t="n"/>
    </row>
    <row r="18" customFormat="1" s="448">
      <c r="A18" s="599" t="n"/>
      <c r="B18" s="600" t="n"/>
      <c r="C18" s="600" t="n"/>
      <c r="D18" s="600" t="n"/>
      <c r="E18" s="600" t="n"/>
      <c r="F18" s="600" t="n"/>
      <c r="G18" s="600" t="n"/>
      <c r="H18" s="600" t="n"/>
      <c r="I18" s="600" t="n"/>
      <c r="J18" s="600" t="n"/>
      <c r="K18" s="600" t="n"/>
      <c r="L18" s="600" t="n"/>
      <c r="M18" s="600" t="n"/>
      <c r="N18" s="600" t="n"/>
      <c r="O18" s="600" t="n"/>
      <c r="P18" s="600" t="n"/>
      <c r="Q18" s="600" t="n"/>
      <c r="R18" s="600" t="n"/>
      <c r="S18" s="600" t="n"/>
      <c r="T18" s="600" t="n"/>
      <c r="U18" s="600" t="n"/>
      <c r="V18" s="600" t="n"/>
      <c r="W18" s="600" t="n"/>
      <c r="X18" s="600" t="n"/>
      <c r="Y18" s="600" t="n"/>
      <c r="Z18" s="600" t="n"/>
      <c r="AA18" s="600" t="n"/>
      <c r="AB18" s="600" t="n"/>
      <c r="AC18" s="600" t="n"/>
      <c r="AD18" s="600" t="n"/>
      <c r="AE18" s="600" t="n"/>
      <c r="AF18" s="600" t="n"/>
      <c r="AG18" s="600" t="n"/>
      <c r="AH18" s="600" t="n"/>
      <c r="AI18" s="600" t="n"/>
      <c r="AJ18" s="600" t="n"/>
      <c r="AK18" s="600" t="n"/>
      <c r="AL18" s="600" t="n"/>
      <c r="AM18" s="600" t="n"/>
      <c r="AN18" s="600" t="n"/>
      <c r="AO18" s="600" t="n"/>
      <c r="AP18" s="600" t="n"/>
      <c r="AQ18" s="600" t="n"/>
      <c r="AR18" s="600" t="n"/>
      <c r="AS18" s="600" t="n"/>
      <c r="AT18" s="600" t="n"/>
      <c r="AU18" s="600" t="n"/>
      <c r="AV18" s="600" t="n"/>
      <c r="AW18" s="600" t="n"/>
      <c r="AX18" s="600" t="n"/>
      <c r="AY18" s="600" t="n"/>
      <c r="AZ18" s="600" t="n"/>
      <c r="BA18" s="600" t="n"/>
      <c r="BB18" s="600" t="n"/>
      <c r="BC18" s="600" t="n"/>
      <c r="BD18" s="600" t="n"/>
      <c r="BE18" s="600" t="n"/>
      <c r="BF18" s="600" t="n"/>
      <c r="BG18" s="600" t="n"/>
      <c r="BH18" s="600" t="n"/>
      <c r="BI18" s="600" t="n"/>
      <c r="BJ18" s="600" t="n"/>
      <c r="BK18" s="600" t="n"/>
      <c r="BL18" s="600" t="n"/>
      <c r="BM18" s="600" t="n"/>
      <c r="BN18" s="600" t="n"/>
      <c r="BO18" s="600" t="n"/>
      <c r="BP18" s="600" t="n"/>
      <c r="BQ18" s="600" t="n"/>
      <c r="BR18" s="600" t="n"/>
      <c r="BS18" s="600" t="n"/>
      <c r="BT18" s="600" t="n"/>
      <c r="BU18" s="600" t="n"/>
      <c r="BV18" s="600" t="n"/>
      <c r="BW18" s="600" t="n"/>
      <c r="BX18" s="600" t="n"/>
      <c r="BY18" s="600" t="n"/>
      <c r="BZ18" s="600" t="n"/>
      <c r="CA18" s="600" t="n"/>
      <c r="CB18" s="600" t="n"/>
      <c r="CC18" s="600" t="n"/>
      <c r="CD18" s="600" t="n"/>
      <c r="CE18" s="600" t="n"/>
      <c r="CF18" s="600" t="n"/>
      <c r="CG18" s="600" t="n"/>
      <c r="CH18" s="600" t="n"/>
      <c r="CI18" s="600" t="n"/>
      <c r="CJ18" s="600" t="n"/>
      <c r="CK18" s="600" t="n"/>
      <c r="CL18" s="600" t="n"/>
      <c r="CM18" s="600" t="n"/>
      <c r="CN18" s="600" t="n"/>
      <c r="CO18" s="600" t="n"/>
      <c r="CP18" s="600" t="n"/>
      <c r="CQ18" s="600" t="n"/>
      <c r="CR18" s="600" t="n"/>
      <c r="CS18" s="600" t="n"/>
      <c r="CT18" s="600" t="n"/>
      <c r="CU18" s="600" t="n"/>
      <c r="CV18" s="600" t="n"/>
      <c r="CW18" s="600" t="n"/>
      <c r="CX18" s="600" t="n"/>
      <c r="CY18" s="600" t="n"/>
      <c r="CZ18" s="600" t="n"/>
      <c r="DA18" s="600" t="n"/>
      <c r="DB18" s="600" t="n"/>
      <c r="DC18" s="600" t="n"/>
      <c r="DD18" s="600" t="n"/>
      <c r="DE18" s="600" t="n"/>
      <c r="DF18" s="600" t="n"/>
      <c r="DG18" s="600" t="n"/>
      <c r="DH18" s="600" t="n"/>
      <c r="DI18" s="600" t="n"/>
      <c r="DJ18" s="600" t="n"/>
      <c r="DK18" s="600" t="n"/>
      <c r="DL18" s="600" t="n"/>
      <c r="DM18" s="600" t="n"/>
      <c r="DN18" s="600" t="n"/>
      <c r="DO18" s="600" t="n"/>
      <c r="DP18" s="600" t="n"/>
      <c r="DQ18" s="600" t="n"/>
      <c r="DR18" s="600" t="n"/>
      <c r="DS18" s="600" t="n"/>
      <c r="DT18" s="600" t="n"/>
      <c r="DU18" s="600" t="n"/>
      <c r="DV18" s="600" t="n"/>
      <c r="DW18" s="600" t="n"/>
      <c r="DX18" s="600" t="n"/>
      <c r="DY18" s="600" t="n"/>
      <c r="DZ18" s="600" t="n"/>
      <c r="EA18" s="600" t="n"/>
      <c r="EB18" s="600" t="n"/>
      <c r="EC18" s="600" t="n"/>
      <c r="ED18" s="600" t="n"/>
      <c r="EE18" s="600" t="n"/>
      <c r="EF18" s="600" t="n"/>
      <c r="EG18" s="600" t="n"/>
      <c r="EH18" s="600" t="n"/>
      <c r="EI18" s="600" t="n"/>
      <c r="EJ18" s="600" t="n"/>
      <c r="EK18" s="600" t="n"/>
      <c r="EL18" s="600" t="n"/>
      <c r="EM18" s="600" t="n"/>
      <c r="EN18" s="600" t="n"/>
      <c r="EO18" s="600" t="n"/>
      <c r="EP18" s="600" t="n"/>
      <c r="EQ18" s="600" t="n"/>
      <c r="ER18" s="600" t="n"/>
      <c r="ES18" s="600" t="n"/>
      <c r="ET18" s="600" t="n"/>
      <c r="EU18" s="600" t="n"/>
      <c r="EV18" s="600" t="n"/>
      <c r="EW18" s="600" t="n"/>
      <c r="EX18" s="600" t="n"/>
      <c r="EY18" s="600" t="n"/>
      <c r="EZ18" s="600" t="n"/>
      <c r="FA18" s="600" t="n"/>
      <c r="FB18" s="600" t="n"/>
      <c r="FC18" s="600" t="n"/>
      <c r="FD18" s="600" t="n"/>
      <c r="FE18" s="600" t="n"/>
      <c r="FF18" s="600" t="n"/>
      <c r="FG18" s="600" t="n"/>
      <c r="FH18" s="600" t="n"/>
      <c r="FI18" s="600" t="n"/>
      <c r="FJ18" s="600" t="n"/>
      <c r="FK18" s="600" t="n"/>
      <c r="FL18" s="600" t="n"/>
      <c r="FM18" s="600" t="n"/>
      <c r="FN18" s="600" t="n"/>
      <c r="FO18" s="600" t="n"/>
      <c r="FP18" s="488" t="n"/>
      <c r="FQ18" s="488" t="n"/>
      <c r="FR18" s="488" t="n"/>
      <c r="FS18" s="488" t="n"/>
      <c r="FT18" s="488" t="n"/>
      <c r="FU18" s="488" t="n"/>
      <c r="FV18" s="488" t="n"/>
      <c r="FW18" s="488" t="n"/>
      <c r="FX18" s="488" t="n"/>
      <c r="FY18" s="488" t="n"/>
      <c r="FZ18" s="488" t="n"/>
      <c r="GA18" s="488" t="n"/>
      <c r="GB18" s="488" t="n"/>
      <c r="GC18" s="488" t="n"/>
      <c r="GD18" s="488" t="n"/>
      <c r="GE18" s="488" t="n"/>
      <c r="GF18" s="488" t="n"/>
      <c r="GG18" s="488" t="n"/>
      <c r="GH18" s="488" t="n"/>
      <c r="GI18" s="488" t="n"/>
      <c r="GJ18" s="488" t="n"/>
      <c r="GK18" s="488" t="n"/>
      <c r="GL18" s="488" t="n"/>
      <c r="GM18" s="488" t="n"/>
      <c r="GN18" s="488" t="n"/>
      <c r="GO18" s="488" t="n"/>
      <c r="GP18" s="488" t="n"/>
      <c r="GQ18" s="488" t="n"/>
      <c r="GR18" s="488" t="n"/>
      <c r="GS18" s="488" t="n"/>
      <c r="GT18" s="488" t="n"/>
      <c r="GU18" s="488" t="n"/>
      <c r="GV18" s="488" t="n"/>
      <c r="GW18" s="488" t="n"/>
      <c r="GX18" s="488" t="n"/>
      <c r="GY18" s="488" t="n"/>
      <c r="GZ18" s="488" t="n"/>
      <c r="HA18" s="488" t="n"/>
      <c r="HB18" s="488" t="n"/>
      <c r="HC18" s="488" t="n"/>
      <c r="HD18" s="488" t="n"/>
      <c r="HE18" s="488" t="n"/>
      <c r="HF18" s="488" t="n"/>
      <c r="HG18" s="488" t="n"/>
      <c r="HH18" s="488" t="n"/>
      <c r="HI18" s="488" t="n"/>
      <c r="HJ18" s="488" t="n"/>
      <c r="HK18" s="488" t="n"/>
      <c r="HL18" s="488" t="n"/>
      <c r="HM18" s="488" t="n"/>
      <c r="HN18" s="488" t="n"/>
      <c r="HO18" s="488" t="n"/>
      <c r="HP18" s="488" t="n"/>
      <c r="HQ18" s="488" t="n"/>
      <c r="HR18" s="488" t="n"/>
      <c r="HS18" s="488" t="n"/>
      <c r="HT18" s="488" t="n"/>
      <c r="HU18" s="488" t="n"/>
      <c r="HV18" s="488" t="n"/>
      <c r="HW18" s="488" t="n"/>
      <c r="HX18" s="488" t="n"/>
      <c r="HY18" s="488" t="n"/>
      <c r="HZ18" s="488" t="n"/>
      <c r="IA18" s="488" t="n"/>
      <c r="IB18" s="488" t="n"/>
      <c r="IC18" s="488" t="n"/>
      <c r="ID18" s="488" t="n"/>
      <c r="IE18" s="488" t="n"/>
      <c r="IF18" s="488" t="n"/>
      <c r="IG18" s="488" t="n"/>
      <c r="IH18" s="488" t="n"/>
      <c r="II18" s="488" t="n"/>
      <c r="IJ18" s="488" t="n"/>
      <c r="IK18" s="488" t="n"/>
      <c r="IL18" s="488" t="n"/>
      <c r="IM18" s="488" t="n"/>
      <c r="IN18" s="488" t="n"/>
      <c r="IO18" s="488" t="n"/>
      <c r="IP18" s="488" t="n"/>
      <c r="IQ18" s="488" t="n"/>
      <c r="IR18" s="488" t="n"/>
      <c r="IS18" s="488" t="n"/>
      <c r="IT18" s="488" t="n"/>
      <c r="IU18" s="488" t="n"/>
      <c r="IV18" s="488" t="n"/>
    </row>
    <row r="19" ht="6.75" customFormat="1" customHeight="1" s="447">
      <c r="A19" s="601" t="n"/>
      <c r="B19" s="602" t="n"/>
      <c r="C19" s="602" t="n"/>
      <c r="D19" s="602" t="n"/>
      <c r="E19" s="602" t="n"/>
      <c r="F19" s="602" t="n"/>
      <c r="G19" s="602" t="n"/>
      <c r="H19" s="602" t="n"/>
      <c r="I19" s="602" t="n"/>
      <c r="J19" s="602" t="n"/>
      <c r="K19" s="602" t="n"/>
      <c r="L19" s="602" t="n"/>
      <c r="M19" s="602" t="n"/>
      <c r="N19" s="602" t="n"/>
      <c r="O19" s="602" t="n"/>
      <c r="P19" s="602" t="n"/>
      <c r="Q19" s="602" t="n"/>
      <c r="R19" s="602" t="n"/>
      <c r="S19" s="602" t="n"/>
      <c r="T19" s="602" t="n"/>
      <c r="U19" s="602" t="n"/>
      <c r="V19" s="602" t="n"/>
      <c r="W19" s="602" t="n"/>
      <c r="X19" s="602" t="n"/>
      <c r="Y19" s="602" t="n"/>
      <c r="Z19" s="602" t="n"/>
      <c r="AA19" s="602" t="n"/>
      <c r="AB19" s="602" t="n"/>
      <c r="AC19" s="602" t="n"/>
      <c r="AD19" s="602" t="n"/>
      <c r="AE19" s="602" t="n"/>
      <c r="AF19" s="602" t="n"/>
      <c r="AG19" s="602" t="n"/>
      <c r="AH19" s="602" t="n"/>
      <c r="AI19" s="602" t="n"/>
      <c r="AJ19" s="602" t="n"/>
      <c r="AK19" s="602" t="n"/>
      <c r="AL19" s="602" t="n"/>
      <c r="AM19" s="602" t="n"/>
      <c r="AN19" s="602" t="n"/>
      <c r="AO19" s="602" t="n"/>
      <c r="AP19" s="602" t="n"/>
      <c r="AQ19" s="602" t="n"/>
      <c r="AR19" s="602" t="n"/>
      <c r="AS19" s="602" t="n"/>
      <c r="AT19" s="602" t="n"/>
      <c r="AU19" s="602" t="n"/>
      <c r="AV19" s="602" t="n"/>
      <c r="AW19" s="602" t="n"/>
      <c r="AX19" s="602" t="n"/>
      <c r="AY19" s="602" t="n"/>
      <c r="AZ19" s="602" t="n"/>
      <c r="BA19" s="602" t="n"/>
      <c r="BB19" s="602" t="n"/>
      <c r="BC19" s="602" t="n"/>
      <c r="BD19" s="602" t="n"/>
      <c r="BE19" s="602" t="n"/>
      <c r="BF19" s="602" t="n"/>
      <c r="BG19" s="602" t="n"/>
      <c r="BH19" s="602" t="n"/>
      <c r="BI19" s="602" t="n"/>
      <c r="BJ19" s="602" t="n"/>
      <c r="BK19" s="602" t="n"/>
      <c r="BL19" s="602" t="n"/>
      <c r="BM19" s="602" t="n"/>
      <c r="BN19" s="602" t="n"/>
      <c r="BO19" s="602" t="n"/>
      <c r="BP19" s="602" t="n"/>
      <c r="BQ19" s="602" t="n"/>
      <c r="BR19" s="602" t="n"/>
      <c r="BS19" s="602" t="n"/>
      <c r="BT19" s="602" t="n"/>
      <c r="BU19" s="602" t="n"/>
      <c r="BV19" s="602" t="n"/>
      <c r="BW19" s="602" t="n"/>
      <c r="BX19" s="602" t="n"/>
      <c r="BY19" s="602" t="n"/>
      <c r="BZ19" s="602" t="n"/>
      <c r="CA19" s="602" t="n"/>
      <c r="CB19" s="602" t="n"/>
      <c r="CC19" s="602" t="n"/>
      <c r="CD19" s="602" t="n"/>
      <c r="CE19" s="602" t="n"/>
      <c r="CF19" s="602" t="n"/>
      <c r="CG19" s="602" t="n"/>
      <c r="CH19" s="602" t="n"/>
      <c r="CI19" s="602" t="n"/>
      <c r="CJ19" s="602" t="n"/>
      <c r="CK19" s="602" t="n"/>
      <c r="CL19" s="602" t="n"/>
      <c r="CM19" s="602" t="n"/>
      <c r="CN19" s="602" t="n"/>
      <c r="CO19" s="602" t="n"/>
      <c r="CP19" s="602" t="n"/>
      <c r="CQ19" s="602" t="n"/>
      <c r="CR19" s="602" t="n"/>
      <c r="CS19" s="602" t="n"/>
      <c r="CT19" s="602" t="n"/>
      <c r="CU19" s="602" t="n"/>
      <c r="CV19" s="602" t="n"/>
      <c r="CW19" s="602" t="n"/>
      <c r="CX19" s="602" t="n"/>
      <c r="CY19" s="602" t="n"/>
      <c r="CZ19" s="602" t="n"/>
      <c r="DA19" s="602" t="n"/>
      <c r="DB19" s="602" t="n"/>
      <c r="DC19" s="602" t="n"/>
      <c r="DD19" s="602" t="n"/>
      <c r="DE19" s="602" t="n"/>
      <c r="DF19" s="602" t="n"/>
      <c r="DG19" s="602" t="n"/>
      <c r="DH19" s="602" t="n"/>
      <c r="DI19" s="602" t="n"/>
      <c r="DJ19" s="602" t="n"/>
      <c r="DK19" s="602" t="n"/>
      <c r="DL19" s="602" t="n"/>
      <c r="DM19" s="602" t="n"/>
      <c r="DN19" s="602" t="n"/>
      <c r="DO19" s="602" t="n"/>
      <c r="DP19" s="602" t="n"/>
      <c r="DQ19" s="602" t="n"/>
      <c r="DR19" s="602" t="n"/>
      <c r="DS19" s="602" t="n"/>
      <c r="DT19" s="602" t="n"/>
      <c r="DU19" s="602" t="n"/>
      <c r="DV19" s="602" t="n"/>
      <c r="DW19" s="602" t="n"/>
      <c r="DX19" s="602" t="n"/>
      <c r="DY19" s="602" t="n"/>
      <c r="DZ19" s="602" t="n"/>
      <c r="EA19" s="602" t="n"/>
      <c r="EB19" s="602" t="n"/>
      <c r="EC19" s="602" t="n"/>
      <c r="ED19" s="602" t="n"/>
      <c r="EE19" s="602" t="n"/>
      <c r="EF19" s="602" t="n"/>
      <c r="EG19" s="602" t="n"/>
      <c r="EH19" s="602" t="n"/>
      <c r="EI19" s="602" t="n"/>
      <c r="EJ19" s="602" t="n"/>
      <c r="EK19" s="602" t="n"/>
      <c r="EL19" s="602" t="n"/>
      <c r="EM19" s="602" t="n"/>
      <c r="EN19" s="602" t="n"/>
      <c r="EO19" s="602" t="n"/>
      <c r="EP19" s="602" t="n"/>
      <c r="EQ19" s="602" t="n"/>
      <c r="ER19" s="602" t="n"/>
      <c r="ES19" s="602" t="n"/>
      <c r="ET19" s="602" t="n"/>
      <c r="EU19" s="602" t="n"/>
      <c r="EV19" s="602" t="n"/>
      <c r="EW19" s="602" t="n"/>
      <c r="EX19" s="602" t="n"/>
      <c r="EY19" s="602" t="n"/>
      <c r="EZ19" s="602" t="n"/>
      <c r="FA19" s="602" t="n"/>
      <c r="FB19" s="602" t="n"/>
      <c r="FC19" s="602" t="n"/>
      <c r="FD19" s="602" t="n"/>
      <c r="FE19" s="602" t="n"/>
      <c r="FF19" s="602" t="n"/>
      <c r="FG19" s="602" t="n"/>
      <c r="FH19" s="602" t="n"/>
      <c r="FI19" s="602" t="n"/>
      <c r="FJ19" s="602" t="n"/>
      <c r="FK19" s="602" t="n"/>
      <c r="FL19" s="602" t="n"/>
      <c r="FM19" s="602" t="n"/>
      <c r="FN19" s="602" t="n"/>
      <c r="FO19" s="602" t="n"/>
      <c r="FP19" s="488" t="n"/>
      <c r="FQ19" s="488" t="n"/>
      <c r="FR19" s="488" t="n"/>
      <c r="FS19" s="488" t="n"/>
      <c r="FT19" s="488" t="n"/>
      <c r="FU19" s="488" t="n"/>
      <c r="FV19" s="488" t="n"/>
      <c r="FW19" s="488" t="n"/>
      <c r="FX19" s="488" t="n"/>
      <c r="FY19" s="488" t="n"/>
      <c r="FZ19" s="488" t="n"/>
      <c r="GA19" s="488" t="n"/>
      <c r="GB19" s="488" t="n"/>
      <c r="GC19" s="488" t="n"/>
      <c r="GD19" s="488" t="n"/>
      <c r="GE19" s="488" t="n"/>
      <c r="GF19" s="488" t="n"/>
      <c r="GG19" s="488" t="n"/>
      <c r="GH19" s="488" t="n"/>
      <c r="GI19" s="488" t="n"/>
      <c r="GJ19" s="488" t="n"/>
      <c r="GK19" s="488" t="n"/>
      <c r="GL19" s="488" t="n"/>
      <c r="GM19" s="488" t="n"/>
      <c r="GN19" s="488" t="n"/>
      <c r="GO19" s="488" t="n"/>
      <c r="GP19" s="488" t="n"/>
      <c r="GQ19" s="488" t="n"/>
      <c r="GR19" s="488" t="n"/>
      <c r="GS19" s="488" t="n"/>
      <c r="GT19" s="488" t="n"/>
      <c r="GU19" s="488" t="n"/>
      <c r="GV19" s="488" t="n"/>
      <c r="GW19" s="488" t="n"/>
      <c r="GX19" s="488" t="n"/>
      <c r="GY19" s="488" t="n"/>
      <c r="GZ19" s="488" t="n"/>
      <c r="HA19" s="488" t="n"/>
      <c r="HB19" s="488" t="n"/>
      <c r="HC19" s="488" t="n"/>
      <c r="HD19" s="488" t="n"/>
      <c r="HE19" s="488" t="n"/>
      <c r="HF19" s="488" t="n"/>
      <c r="HG19" s="488" t="n"/>
      <c r="HH19" s="488" t="n"/>
      <c r="HI19" s="488" t="n"/>
      <c r="HJ19" s="488" t="n"/>
      <c r="HK19" s="488" t="n"/>
      <c r="HL19" s="488" t="n"/>
      <c r="HM19" s="488" t="n"/>
      <c r="HN19" s="488" t="n"/>
      <c r="HO19" s="488" t="n"/>
      <c r="HP19" s="488" t="n"/>
      <c r="HQ19" s="488" t="n"/>
      <c r="HR19" s="488" t="n"/>
      <c r="HS19" s="488" t="n"/>
      <c r="HT19" s="488" t="n"/>
      <c r="HU19" s="488" t="n"/>
      <c r="HV19" s="488" t="n"/>
      <c r="HW19" s="488" t="n"/>
      <c r="HX19" s="488" t="n"/>
      <c r="HY19" s="488" t="n"/>
      <c r="HZ19" s="488" t="n"/>
      <c r="IA19" s="488" t="n"/>
      <c r="IB19" s="488" t="n"/>
      <c r="IC19" s="488" t="n"/>
      <c r="ID19" s="488" t="n"/>
      <c r="IE19" s="488" t="n"/>
      <c r="IF19" s="488" t="n"/>
      <c r="IG19" s="488" t="n"/>
      <c r="IH19" s="488" t="n"/>
      <c r="II19" s="488" t="n"/>
      <c r="IJ19" s="488" t="n"/>
      <c r="IK19" s="488" t="n"/>
      <c r="IL19" s="488" t="n"/>
      <c r="IM19" s="488" t="n"/>
      <c r="IN19" s="488" t="n"/>
      <c r="IO19" s="488" t="n"/>
      <c r="IP19" s="488" t="n"/>
      <c r="IQ19" s="488" t="n"/>
      <c r="IR19" s="488" t="n"/>
      <c r="IS19" s="488" t="n"/>
      <c r="IT19" s="488" t="n"/>
      <c r="IU19" s="488" t="n"/>
      <c r="IV19" s="488" t="n"/>
    </row>
    <row r="20" customFormat="1" s="448">
      <c r="A20" s="599" t="n"/>
      <c r="B20" s="600" t="n"/>
      <c r="C20" s="600" t="n"/>
      <c r="D20" s="600" t="n"/>
      <c r="E20" s="600" t="n"/>
      <c r="F20" s="600" t="n"/>
      <c r="G20" s="600" t="n"/>
      <c r="H20" s="600" t="n"/>
      <c r="I20" s="600" t="n"/>
      <c r="J20" s="600" t="n"/>
      <c r="K20" s="600" t="n"/>
      <c r="L20" s="600" t="n"/>
      <c r="M20" s="600" t="n"/>
      <c r="N20" s="600" t="n"/>
      <c r="O20" s="600" t="n"/>
      <c r="P20" s="600" t="n"/>
      <c r="Q20" s="600" t="n"/>
      <c r="R20" s="600" t="n"/>
      <c r="S20" s="600" t="n"/>
      <c r="T20" s="600" t="n"/>
      <c r="U20" s="600" t="n"/>
      <c r="V20" s="600" t="n"/>
      <c r="W20" s="600" t="n"/>
      <c r="X20" s="600" t="n"/>
      <c r="Y20" s="600" t="n"/>
      <c r="Z20" s="600" t="n"/>
      <c r="AA20" s="600" t="n"/>
      <c r="AB20" s="600" t="n"/>
      <c r="AC20" s="600" t="n"/>
      <c r="AD20" s="600" t="n"/>
      <c r="AE20" s="600" t="n"/>
      <c r="AF20" s="600" t="n"/>
      <c r="AG20" s="600" t="n"/>
      <c r="AH20" s="600" t="n"/>
      <c r="AI20" s="600" t="n"/>
      <c r="AJ20" s="600" t="n"/>
      <c r="AK20" s="600" t="n"/>
      <c r="AL20" s="600" t="n"/>
      <c r="AM20" s="600" t="n"/>
      <c r="AN20" s="600" t="n"/>
      <c r="AO20" s="600" t="n"/>
      <c r="AP20" s="600" t="n"/>
      <c r="AQ20" s="600" t="n"/>
      <c r="AR20" s="600" t="n"/>
      <c r="AS20" s="600" t="n"/>
      <c r="AT20" s="600" t="n"/>
      <c r="AU20" s="600" t="n"/>
      <c r="AV20" s="600" t="n"/>
      <c r="AW20" s="600" t="n"/>
      <c r="AX20" s="600" t="n"/>
      <c r="AY20" s="600" t="n"/>
      <c r="AZ20" s="600" t="n"/>
      <c r="BA20" s="600" t="n"/>
      <c r="BB20" s="600" t="n"/>
      <c r="BC20" s="600" t="n"/>
      <c r="BD20" s="600" t="n"/>
      <c r="BE20" s="600" t="n"/>
      <c r="BF20" s="600" t="n"/>
      <c r="BG20" s="600" t="n"/>
      <c r="BH20" s="600" t="n"/>
      <c r="BI20" s="600" t="n"/>
      <c r="BJ20" s="600" t="n"/>
      <c r="BK20" s="600" t="n"/>
      <c r="BL20" s="600" t="n"/>
      <c r="BM20" s="600" t="n"/>
      <c r="BN20" s="600" t="n"/>
      <c r="BO20" s="600" t="n"/>
      <c r="BP20" s="600" t="n"/>
      <c r="BQ20" s="600" t="n"/>
      <c r="BR20" s="600" t="n"/>
      <c r="BS20" s="600" t="n"/>
      <c r="BT20" s="600" t="n"/>
      <c r="BU20" s="600" t="n"/>
      <c r="BV20" s="600" t="n"/>
      <c r="BW20" s="600" t="n"/>
      <c r="BX20" s="600" t="n"/>
      <c r="BY20" s="600" t="n"/>
      <c r="BZ20" s="600" t="n"/>
      <c r="CA20" s="600" t="n"/>
      <c r="CB20" s="600" t="n"/>
      <c r="CC20" s="600" t="n"/>
      <c r="CD20" s="600" t="n"/>
      <c r="CE20" s="600" t="n"/>
      <c r="CF20" s="600" t="n"/>
      <c r="CG20" s="600" t="n"/>
      <c r="CH20" s="600" t="n"/>
      <c r="CI20" s="600" t="n"/>
      <c r="CJ20" s="600" t="n"/>
      <c r="CK20" s="600" t="n"/>
      <c r="CL20" s="600" t="n"/>
      <c r="CM20" s="600" t="n"/>
      <c r="CN20" s="600" t="n"/>
      <c r="CO20" s="600" t="n"/>
      <c r="CP20" s="600" t="n"/>
      <c r="CQ20" s="600" t="n"/>
      <c r="CR20" s="600" t="n"/>
      <c r="CS20" s="600" t="n"/>
      <c r="CT20" s="600" t="n"/>
      <c r="CU20" s="600" t="n"/>
      <c r="CV20" s="600" t="n"/>
      <c r="CW20" s="600" t="n"/>
      <c r="CX20" s="600" t="n"/>
      <c r="CY20" s="600" t="n"/>
      <c r="CZ20" s="600" t="n"/>
      <c r="DA20" s="600" t="n"/>
      <c r="DB20" s="600" t="n"/>
      <c r="DC20" s="600" t="n"/>
      <c r="DD20" s="600" t="n"/>
      <c r="DE20" s="600" t="n"/>
      <c r="DF20" s="600" t="n"/>
      <c r="DG20" s="600" t="n"/>
      <c r="DH20" s="600" t="n"/>
      <c r="DI20" s="600" t="n"/>
      <c r="DJ20" s="600" t="n"/>
      <c r="DK20" s="600" t="n"/>
      <c r="DL20" s="600" t="n"/>
      <c r="DM20" s="600" t="n"/>
      <c r="DN20" s="600" t="n"/>
      <c r="DO20" s="600" t="n"/>
      <c r="DP20" s="600" t="n"/>
      <c r="DQ20" s="600" t="n"/>
      <c r="DR20" s="600" t="n"/>
      <c r="DS20" s="600" t="n"/>
      <c r="DT20" s="600" t="n"/>
      <c r="DU20" s="600" t="n"/>
      <c r="DV20" s="600" t="n"/>
      <c r="DW20" s="600" t="n"/>
      <c r="DX20" s="600" t="n"/>
      <c r="DY20" s="600" t="n"/>
      <c r="DZ20" s="600" t="n"/>
      <c r="EA20" s="600" t="n"/>
      <c r="EB20" s="600" t="n"/>
      <c r="EC20" s="600" t="n"/>
      <c r="ED20" s="600" t="n"/>
      <c r="EE20" s="600" t="n"/>
      <c r="EF20" s="600" t="n"/>
      <c r="EG20" s="600" t="n"/>
      <c r="EH20" s="600" t="n"/>
      <c r="EI20" s="600" t="n"/>
      <c r="EJ20" s="600" t="n"/>
      <c r="EK20" s="600" t="n"/>
      <c r="EL20" s="600" t="n"/>
      <c r="EM20" s="600" t="n"/>
      <c r="EN20" s="600" t="n"/>
      <c r="EO20" s="600" t="n"/>
      <c r="EP20" s="600" t="n"/>
      <c r="EQ20" s="600" t="n"/>
      <c r="ER20" s="600" t="n"/>
      <c r="ES20" s="600" t="n"/>
      <c r="ET20" s="600" t="n"/>
      <c r="EU20" s="600" t="n"/>
      <c r="EV20" s="600" t="n"/>
      <c r="EW20" s="600" t="n"/>
      <c r="EX20" s="600" t="n"/>
      <c r="EY20" s="600" t="n"/>
      <c r="EZ20" s="600" t="n"/>
      <c r="FA20" s="600" t="n"/>
      <c r="FB20" s="600" t="n"/>
      <c r="FC20" s="600" t="n"/>
      <c r="FD20" s="600" t="n"/>
      <c r="FE20" s="600" t="n"/>
      <c r="FF20" s="600" t="n"/>
      <c r="FG20" s="600" t="n"/>
      <c r="FH20" s="600" t="n"/>
      <c r="FI20" s="600" t="n"/>
      <c r="FJ20" s="600" t="n"/>
      <c r="FK20" s="600" t="n"/>
      <c r="FL20" s="600" t="n"/>
      <c r="FM20" s="600" t="n"/>
      <c r="FN20" s="600" t="n"/>
      <c r="FO20" s="600" t="n"/>
      <c r="FP20" s="488" t="n"/>
      <c r="FQ20" s="488" t="n"/>
      <c r="FR20" s="488" t="n"/>
      <c r="FS20" s="488" t="n"/>
      <c r="FT20" s="488" t="n"/>
      <c r="FU20" s="488" t="n"/>
      <c r="FV20" s="488" t="n"/>
      <c r="FW20" s="488" t="n"/>
      <c r="FX20" s="488" t="n"/>
      <c r="FY20" s="488" t="n"/>
      <c r="FZ20" s="488" t="n"/>
      <c r="GA20" s="488" t="n"/>
      <c r="GB20" s="488" t="n"/>
      <c r="GC20" s="488" t="n"/>
      <c r="GD20" s="488" t="n"/>
      <c r="GE20" s="488" t="n"/>
      <c r="GF20" s="488" t="n"/>
      <c r="GG20" s="488" t="n"/>
      <c r="GH20" s="488" t="n"/>
      <c r="GI20" s="488" t="n"/>
      <c r="GJ20" s="488" t="n"/>
      <c r="GK20" s="488" t="n"/>
      <c r="GL20" s="488" t="n"/>
      <c r="GM20" s="488" t="n"/>
      <c r="GN20" s="488" t="n"/>
      <c r="GO20" s="488" t="n"/>
      <c r="GP20" s="488" t="n"/>
      <c r="GQ20" s="488" t="n"/>
      <c r="GR20" s="488" t="n"/>
      <c r="GS20" s="488" t="n"/>
      <c r="GT20" s="488" t="n"/>
      <c r="GU20" s="488" t="n"/>
      <c r="GV20" s="488" t="n"/>
      <c r="GW20" s="488" t="n"/>
      <c r="GX20" s="488" t="n"/>
      <c r="GY20" s="488" t="n"/>
      <c r="GZ20" s="488" t="n"/>
      <c r="HA20" s="488" t="n"/>
      <c r="HB20" s="488" t="n"/>
      <c r="HC20" s="488" t="n"/>
      <c r="HD20" s="488" t="n"/>
      <c r="HE20" s="488" t="n"/>
      <c r="HF20" s="488" t="n"/>
      <c r="HG20" s="488" t="n"/>
      <c r="HH20" s="488" t="n"/>
      <c r="HI20" s="488" t="n"/>
      <c r="HJ20" s="488" t="n"/>
      <c r="HK20" s="488" t="n"/>
      <c r="HL20" s="488" t="n"/>
      <c r="HM20" s="488" t="n"/>
      <c r="HN20" s="488" t="n"/>
      <c r="HO20" s="488" t="n"/>
      <c r="HP20" s="488" t="n"/>
      <c r="HQ20" s="488" t="n"/>
      <c r="HR20" s="488" t="n"/>
      <c r="HS20" s="488" t="n"/>
      <c r="HT20" s="488" t="n"/>
      <c r="HU20" s="488" t="n"/>
      <c r="HV20" s="488" t="n"/>
      <c r="HW20" s="488" t="n"/>
      <c r="HX20" s="488" t="n"/>
      <c r="HY20" s="488" t="n"/>
      <c r="HZ20" s="488" t="n"/>
      <c r="IA20" s="488" t="n"/>
      <c r="IB20" s="488" t="n"/>
      <c r="IC20" s="488" t="n"/>
      <c r="ID20" s="488" t="n"/>
      <c r="IE20" s="488" t="n"/>
      <c r="IF20" s="488" t="n"/>
      <c r="IG20" s="488" t="n"/>
      <c r="IH20" s="488" t="n"/>
      <c r="II20" s="488" t="n"/>
      <c r="IJ20" s="488" t="n"/>
      <c r="IK20" s="488" t="n"/>
      <c r="IL20" s="488" t="n"/>
      <c r="IM20" s="488" t="n"/>
      <c r="IN20" s="488" t="n"/>
      <c r="IO20" s="488" t="n"/>
      <c r="IP20" s="488" t="n"/>
      <c r="IQ20" s="488" t="n"/>
      <c r="IR20" s="488" t="n"/>
      <c r="IS20" s="488" t="n"/>
      <c r="IT20" s="488" t="n"/>
      <c r="IU20" s="488" t="n"/>
      <c r="IV20" s="488" t="n"/>
    </row>
    <row r="21" ht="6.75" customFormat="1" customHeight="1" s="447">
      <c r="A21" s="601" t="n"/>
      <c r="B21" s="602" t="n"/>
      <c r="C21" s="602" t="n"/>
      <c r="D21" s="602" t="n"/>
      <c r="E21" s="602" t="n"/>
      <c r="F21" s="602" t="n"/>
      <c r="G21" s="602" t="n"/>
      <c r="H21" s="602" t="n"/>
      <c r="I21" s="602" t="n"/>
      <c r="J21" s="602" t="n"/>
      <c r="K21" s="602" t="n"/>
      <c r="L21" s="602" t="n"/>
      <c r="M21" s="602" t="n"/>
      <c r="N21" s="602" t="n"/>
      <c r="O21" s="602" t="n"/>
      <c r="P21" s="602" t="n"/>
      <c r="Q21" s="602" t="n"/>
      <c r="R21" s="602" t="n"/>
      <c r="S21" s="602" t="n"/>
      <c r="T21" s="602" t="n"/>
      <c r="U21" s="602" t="n"/>
      <c r="V21" s="602" t="n"/>
      <c r="W21" s="602" t="n"/>
      <c r="X21" s="602" t="n"/>
      <c r="Y21" s="602" t="n"/>
      <c r="Z21" s="602" t="n"/>
      <c r="AA21" s="602" t="n"/>
      <c r="AB21" s="602" t="n"/>
      <c r="AC21" s="602" t="n"/>
      <c r="AD21" s="602" t="n"/>
      <c r="AE21" s="602" t="n"/>
      <c r="AF21" s="602" t="n"/>
      <c r="AG21" s="602" t="n"/>
      <c r="AH21" s="602" t="n"/>
      <c r="AI21" s="602" t="n"/>
      <c r="AJ21" s="602" t="n"/>
      <c r="AK21" s="602" t="n"/>
      <c r="AL21" s="602" t="n"/>
      <c r="AM21" s="602" t="n"/>
      <c r="AN21" s="602" t="n"/>
      <c r="AO21" s="602" t="n"/>
      <c r="AP21" s="602" t="n"/>
      <c r="AQ21" s="602" t="n"/>
      <c r="AR21" s="602" t="n"/>
      <c r="AS21" s="602" t="n"/>
      <c r="AT21" s="602" t="n"/>
      <c r="AU21" s="602" t="n"/>
      <c r="AV21" s="602" t="n"/>
      <c r="AW21" s="602" t="n"/>
      <c r="AX21" s="602" t="n"/>
      <c r="AY21" s="602" t="n"/>
      <c r="AZ21" s="602" t="n"/>
      <c r="BA21" s="602" t="n"/>
      <c r="BB21" s="602" t="n"/>
      <c r="BC21" s="602" t="n"/>
      <c r="BD21" s="602" t="n"/>
      <c r="BE21" s="602" t="n"/>
      <c r="BF21" s="602" t="n"/>
      <c r="BG21" s="602" t="n"/>
      <c r="BH21" s="602" t="n"/>
      <c r="BI21" s="602" t="n"/>
      <c r="BJ21" s="602" t="n"/>
      <c r="BK21" s="602" t="n"/>
      <c r="BL21" s="602" t="n"/>
      <c r="BM21" s="602" t="n"/>
      <c r="BN21" s="602" t="n"/>
      <c r="BO21" s="602" t="n"/>
      <c r="BP21" s="602" t="n"/>
      <c r="BQ21" s="602" t="n"/>
      <c r="BR21" s="602" t="n"/>
      <c r="BS21" s="602" t="n"/>
      <c r="BT21" s="602" t="n"/>
      <c r="BU21" s="602" t="n"/>
      <c r="BV21" s="602" t="n"/>
      <c r="BW21" s="602" t="n"/>
      <c r="BX21" s="602" t="n"/>
      <c r="BY21" s="602" t="n"/>
      <c r="BZ21" s="602" t="n"/>
      <c r="CA21" s="602" t="n"/>
      <c r="CB21" s="602" t="n"/>
      <c r="CC21" s="602" t="n"/>
      <c r="CD21" s="602" t="n"/>
      <c r="CE21" s="602" t="n"/>
      <c r="CF21" s="602" t="n"/>
      <c r="CG21" s="602" t="n"/>
      <c r="CH21" s="602" t="n"/>
      <c r="CI21" s="602" t="n"/>
      <c r="CJ21" s="602" t="n"/>
      <c r="CK21" s="602" t="n"/>
      <c r="CL21" s="602" t="n"/>
      <c r="CM21" s="602" t="n"/>
      <c r="CN21" s="602" t="n"/>
      <c r="CO21" s="602" t="n"/>
      <c r="CP21" s="602" t="n"/>
      <c r="CQ21" s="602" t="n"/>
      <c r="CR21" s="602" t="n"/>
      <c r="CS21" s="602" t="n"/>
      <c r="CT21" s="602" t="n"/>
      <c r="CU21" s="602" t="n"/>
      <c r="CV21" s="602" t="n"/>
      <c r="CW21" s="602" t="n"/>
      <c r="CX21" s="602" t="n"/>
      <c r="CY21" s="602" t="n"/>
      <c r="CZ21" s="602" t="n"/>
      <c r="DA21" s="602" t="n"/>
      <c r="DB21" s="602" t="n"/>
      <c r="DC21" s="602" t="n"/>
      <c r="DD21" s="602" t="n"/>
      <c r="DE21" s="602" t="n"/>
      <c r="DF21" s="602" t="n"/>
      <c r="DG21" s="602" t="n"/>
      <c r="DH21" s="602" t="n"/>
      <c r="DI21" s="602" t="n"/>
      <c r="DJ21" s="602" t="n"/>
      <c r="DK21" s="602" t="n"/>
      <c r="DL21" s="602" t="n"/>
      <c r="DM21" s="602" t="n"/>
      <c r="DN21" s="602" t="n"/>
      <c r="DO21" s="602" t="n"/>
      <c r="DP21" s="602" t="n"/>
      <c r="DQ21" s="602" t="n"/>
      <c r="DR21" s="602" t="n"/>
      <c r="DS21" s="602" t="n"/>
      <c r="DT21" s="602" t="n"/>
      <c r="DU21" s="602" t="n"/>
      <c r="DV21" s="602" t="n"/>
      <c r="DW21" s="602" t="n"/>
      <c r="DX21" s="602" t="n"/>
      <c r="DY21" s="602" t="n"/>
      <c r="DZ21" s="602" t="n"/>
      <c r="EA21" s="602" t="n"/>
      <c r="EB21" s="602" t="n"/>
      <c r="EC21" s="602" t="n"/>
      <c r="ED21" s="602" t="n"/>
      <c r="EE21" s="602" t="n"/>
      <c r="EF21" s="602" t="n"/>
      <c r="EG21" s="602" t="n"/>
      <c r="EH21" s="602" t="n"/>
      <c r="EI21" s="602" t="n"/>
      <c r="EJ21" s="602" t="n"/>
      <c r="EK21" s="602" t="n"/>
      <c r="EL21" s="602" t="n"/>
      <c r="EM21" s="602" t="n"/>
      <c r="EN21" s="602" t="n"/>
      <c r="EO21" s="602" t="n"/>
      <c r="EP21" s="602" t="n"/>
      <c r="EQ21" s="602" t="n"/>
      <c r="ER21" s="602" t="n"/>
      <c r="ES21" s="602" t="n"/>
      <c r="ET21" s="602" t="n"/>
      <c r="EU21" s="602" t="n"/>
      <c r="EV21" s="602" t="n"/>
      <c r="EW21" s="602" t="n"/>
      <c r="EX21" s="602" t="n"/>
      <c r="EY21" s="602" t="n"/>
      <c r="EZ21" s="602" t="n"/>
      <c r="FA21" s="602" t="n"/>
      <c r="FB21" s="602" t="n"/>
      <c r="FC21" s="602" t="n"/>
      <c r="FD21" s="602" t="n"/>
      <c r="FE21" s="602" t="n"/>
      <c r="FF21" s="602" t="n"/>
      <c r="FG21" s="602" t="n"/>
      <c r="FH21" s="602" t="n"/>
      <c r="FI21" s="602" t="n"/>
      <c r="FJ21" s="602" t="n"/>
      <c r="FK21" s="602" t="n"/>
      <c r="FL21" s="602" t="n"/>
      <c r="FM21" s="602" t="n"/>
      <c r="FN21" s="602" t="n"/>
      <c r="FO21" s="602" t="n"/>
      <c r="FP21" s="488" t="n"/>
      <c r="FQ21" s="488" t="n"/>
      <c r="FR21" s="488" t="n"/>
      <c r="FS21" s="488" t="n"/>
      <c r="FT21" s="488" t="n"/>
      <c r="FU21" s="488" t="n"/>
      <c r="FV21" s="488" t="n"/>
      <c r="FW21" s="488" t="n"/>
      <c r="FX21" s="488" t="n"/>
      <c r="FY21" s="488" t="n"/>
      <c r="FZ21" s="488" t="n"/>
      <c r="GA21" s="488" t="n"/>
      <c r="GB21" s="488" t="n"/>
      <c r="GC21" s="488" t="n"/>
      <c r="GD21" s="488" t="n"/>
      <c r="GE21" s="488" t="n"/>
      <c r="GF21" s="488" t="n"/>
      <c r="GG21" s="488" t="n"/>
      <c r="GH21" s="488" t="n"/>
      <c r="GI21" s="488" t="n"/>
      <c r="GJ21" s="488" t="n"/>
      <c r="GK21" s="488" t="n"/>
      <c r="GL21" s="488" t="n"/>
      <c r="GM21" s="488" t="n"/>
      <c r="GN21" s="488" t="n"/>
      <c r="GO21" s="488" t="n"/>
      <c r="GP21" s="488" t="n"/>
      <c r="GQ21" s="488" t="n"/>
      <c r="GR21" s="488" t="n"/>
      <c r="GS21" s="488" t="n"/>
      <c r="GT21" s="488" t="n"/>
      <c r="GU21" s="488" t="n"/>
      <c r="GV21" s="488" t="n"/>
      <c r="GW21" s="488" t="n"/>
      <c r="GX21" s="488" t="n"/>
      <c r="GY21" s="488" t="n"/>
      <c r="GZ21" s="488" t="n"/>
      <c r="HA21" s="488" t="n"/>
      <c r="HB21" s="488" t="n"/>
      <c r="HC21" s="488" t="n"/>
      <c r="HD21" s="488" t="n"/>
      <c r="HE21" s="488" t="n"/>
      <c r="HF21" s="488" t="n"/>
      <c r="HG21" s="488" t="n"/>
      <c r="HH21" s="488" t="n"/>
      <c r="HI21" s="488" t="n"/>
      <c r="HJ21" s="488" t="n"/>
      <c r="HK21" s="488" t="n"/>
      <c r="HL21" s="488" t="n"/>
      <c r="HM21" s="488" t="n"/>
      <c r="HN21" s="488" t="n"/>
      <c r="HO21" s="488" t="n"/>
      <c r="HP21" s="488" t="n"/>
      <c r="HQ21" s="488" t="n"/>
      <c r="HR21" s="488" t="n"/>
      <c r="HS21" s="488" t="n"/>
      <c r="HT21" s="488" t="n"/>
      <c r="HU21" s="488" t="n"/>
      <c r="HV21" s="488" t="n"/>
      <c r="HW21" s="488" t="n"/>
      <c r="HX21" s="488" t="n"/>
      <c r="HY21" s="488" t="n"/>
      <c r="HZ21" s="488" t="n"/>
      <c r="IA21" s="488" t="n"/>
      <c r="IB21" s="488" t="n"/>
      <c r="IC21" s="488" t="n"/>
      <c r="ID21" s="488" t="n"/>
      <c r="IE21" s="488" t="n"/>
      <c r="IF21" s="488" t="n"/>
      <c r="IG21" s="488" t="n"/>
      <c r="IH21" s="488" t="n"/>
      <c r="II21" s="488" t="n"/>
      <c r="IJ21" s="488" t="n"/>
      <c r="IK21" s="488" t="n"/>
      <c r="IL21" s="488" t="n"/>
      <c r="IM21" s="488" t="n"/>
      <c r="IN21" s="488" t="n"/>
      <c r="IO21" s="488" t="n"/>
      <c r="IP21" s="488" t="n"/>
      <c r="IQ21" s="488" t="n"/>
      <c r="IR21" s="488" t="n"/>
      <c r="IS21" s="488" t="n"/>
      <c r="IT21" s="488" t="n"/>
      <c r="IU21" s="488" t="n"/>
      <c r="IV21" s="488" t="n"/>
    </row>
    <row r="22" customFormat="1" s="448">
      <c r="A22" s="599" t="n"/>
      <c r="B22" s="600" t="n"/>
      <c r="C22" s="600" t="n"/>
      <c r="D22" s="600" t="n"/>
      <c r="E22" s="600" t="n"/>
      <c r="F22" s="600" t="n"/>
      <c r="G22" s="600" t="n"/>
      <c r="H22" s="600" t="n"/>
      <c r="I22" s="600" t="n"/>
      <c r="J22" s="600" t="n"/>
      <c r="K22" s="600" t="n"/>
      <c r="L22" s="600" t="n"/>
      <c r="M22" s="600" t="n"/>
      <c r="N22" s="600" t="n"/>
      <c r="O22" s="600" t="n"/>
      <c r="P22" s="600" t="n"/>
      <c r="Q22" s="600" t="n"/>
      <c r="R22" s="600" t="n"/>
      <c r="S22" s="600" t="n"/>
      <c r="T22" s="600" t="n"/>
      <c r="U22" s="600" t="n"/>
      <c r="V22" s="600" t="n"/>
      <c r="W22" s="600" t="n"/>
      <c r="X22" s="600" t="n"/>
      <c r="Y22" s="600" t="n"/>
      <c r="Z22" s="600" t="n"/>
      <c r="AA22" s="600" t="n"/>
      <c r="AB22" s="600" t="n"/>
      <c r="AC22" s="600" t="n"/>
      <c r="AD22" s="600" t="n"/>
      <c r="AE22" s="600" t="n"/>
      <c r="AF22" s="600" t="n"/>
      <c r="AG22" s="600" t="n"/>
      <c r="AH22" s="600" t="n"/>
      <c r="AI22" s="600" t="n"/>
      <c r="AJ22" s="600" t="n"/>
      <c r="AK22" s="600" t="n"/>
      <c r="AL22" s="600" t="n"/>
      <c r="AM22" s="600" t="n"/>
      <c r="AN22" s="600" t="n"/>
      <c r="AO22" s="600" t="n"/>
      <c r="AP22" s="600" t="n"/>
      <c r="AQ22" s="600" t="n"/>
      <c r="AR22" s="600" t="n"/>
      <c r="AS22" s="600" t="n"/>
      <c r="AT22" s="600" t="n"/>
      <c r="AU22" s="600" t="n"/>
      <c r="AV22" s="600" t="n"/>
      <c r="AW22" s="600" t="n"/>
      <c r="AX22" s="600" t="n"/>
      <c r="AY22" s="600" t="n"/>
      <c r="AZ22" s="600" t="n"/>
      <c r="BA22" s="600" t="n"/>
      <c r="BB22" s="600" t="n"/>
      <c r="BC22" s="600" t="n"/>
      <c r="BD22" s="600" t="n"/>
      <c r="BE22" s="600" t="n"/>
      <c r="BF22" s="600" t="n"/>
      <c r="BG22" s="600" t="n"/>
      <c r="BH22" s="600" t="n"/>
      <c r="BI22" s="600" t="n"/>
      <c r="BJ22" s="600" t="n"/>
      <c r="BK22" s="600" t="n"/>
      <c r="BL22" s="600" t="n"/>
      <c r="BM22" s="600" t="n"/>
      <c r="BN22" s="600" t="n"/>
      <c r="BO22" s="600" t="n"/>
      <c r="BP22" s="600" t="n"/>
      <c r="BQ22" s="600" t="n"/>
      <c r="BR22" s="600" t="n"/>
      <c r="BS22" s="600" t="n"/>
      <c r="BT22" s="600" t="n"/>
      <c r="BU22" s="600" t="n"/>
      <c r="BV22" s="600" t="n"/>
      <c r="BW22" s="600" t="n"/>
      <c r="BX22" s="600" t="n"/>
      <c r="BY22" s="600" t="n"/>
      <c r="BZ22" s="600" t="n"/>
      <c r="CA22" s="600" t="n"/>
      <c r="CB22" s="600" t="n"/>
      <c r="CC22" s="600" t="n"/>
      <c r="CD22" s="600" t="n"/>
      <c r="CE22" s="600" t="n"/>
      <c r="CF22" s="600" t="n"/>
      <c r="CG22" s="600" t="n"/>
      <c r="CH22" s="600" t="n"/>
      <c r="CI22" s="600" t="n"/>
      <c r="CJ22" s="600" t="n"/>
      <c r="CK22" s="600" t="n"/>
      <c r="CL22" s="600" t="n"/>
      <c r="CM22" s="600" t="n"/>
      <c r="CN22" s="600" t="n"/>
      <c r="CO22" s="600" t="n"/>
      <c r="CP22" s="600" t="n"/>
      <c r="CQ22" s="600" t="n"/>
      <c r="CR22" s="600" t="n"/>
      <c r="CS22" s="600" t="n"/>
      <c r="CT22" s="600" t="n"/>
      <c r="CU22" s="600" t="n"/>
      <c r="CV22" s="600" t="n"/>
      <c r="CW22" s="600" t="n"/>
      <c r="CX22" s="600" t="n"/>
      <c r="CY22" s="600" t="n"/>
      <c r="CZ22" s="600" t="n"/>
      <c r="DA22" s="600" t="n"/>
      <c r="DB22" s="600" t="n"/>
      <c r="DC22" s="600" t="n"/>
      <c r="DD22" s="600" t="n"/>
      <c r="DE22" s="600" t="n"/>
      <c r="DF22" s="600" t="n"/>
      <c r="DG22" s="600" t="n"/>
      <c r="DH22" s="600" t="n"/>
      <c r="DI22" s="600" t="n"/>
      <c r="DJ22" s="600" t="n"/>
      <c r="DK22" s="600" t="n"/>
      <c r="DL22" s="600" t="n"/>
      <c r="DM22" s="600" t="n"/>
      <c r="DN22" s="600" t="n"/>
      <c r="DO22" s="600" t="n"/>
      <c r="DP22" s="600" t="n"/>
      <c r="DQ22" s="600" t="n"/>
      <c r="DR22" s="600" t="n"/>
      <c r="DS22" s="600" t="n"/>
      <c r="DT22" s="600" t="n"/>
      <c r="DU22" s="600" t="n"/>
      <c r="DV22" s="600" t="n"/>
      <c r="DW22" s="600" t="n"/>
      <c r="DX22" s="600" t="n"/>
      <c r="DY22" s="600" t="n"/>
      <c r="DZ22" s="600" t="n"/>
      <c r="EA22" s="600" t="n"/>
      <c r="EB22" s="600" t="n"/>
      <c r="EC22" s="600" t="n"/>
      <c r="ED22" s="600" t="n"/>
      <c r="EE22" s="600" t="n"/>
      <c r="EF22" s="600" t="n"/>
      <c r="EG22" s="600" t="n"/>
      <c r="EH22" s="600" t="n"/>
      <c r="EI22" s="600" t="n"/>
      <c r="EJ22" s="600" t="n"/>
      <c r="EK22" s="600" t="n"/>
      <c r="EL22" s="600" t="n"/>
      <c r="EM22" s="600" t="n"/>
      <c r="EN22" s="600" t="n"/>
      <c r="EO22" s="600" t="n"/>
      <c r="EP22" s="600" t="n"/>
      <c r="EQ22" s="600" t="n"/>
      <c r="ER22" s="600" t="n"/>
      <c r="ES22" s="600" t="n"/>
      <c r="ET22" s="600" t="n"/>
      <c r="EU22" s="600" t="n"/>
      <c r="EV22" s="600" t="n"/>
      <c r="EW22" s="600" t="n"/>
      <c r="EX22" s="600" t="n"/>
      <c r="EY22" s="600" t="n"/>
      <c r="EZ22" s="600" t="n"/>
      <c r="FA22" s="600" t="n"/>
      <c r="FB22" s="600" t="n"/>
      <c r="FC22" s="600" t="n"/>
      <c r="FD22" s="600" t="n"/>
      <c r="FE22" s="600" t="n"/>
      <c r="FF22" s="600" t="n"/>
      <c r="FG22" s="600" t="n"/>
      <c r="FH22" s="600" t="n"/>
      <c r="FI22" s="600" t="n"/>
      <c r="FJ22" s="600" t="n"/>
      <c r="FK22" s="600" t="n"/>
      <c r="FL22" s="600" t="n"/>
      <c r="FM22" s="600" t="n"/>
      <c r="FN22" s="600" t="n"/>
      <c r="FO22" s="600" t="n"/>
      <c r="FP22" s="488" t="n"/>
      <c r="FQ22" s="488" t="n"/>
      <c r="FR22" s="488" t="n"/>
      <c r="FS22" s="488" t="n"/>
      <c r="FT22" s="488" t="n"/>
      <c r="FU22" s="488" t="n"/>
      <c r="FV22" s="488" t="n"/>
      <c r="FW22" s="488" t="n"/>
      <c r="FX22" s="488" t="n"/>
      <c r="FY22" s="488" t="n"/>
      <c r="FZ22" s="488" t="n"/>
      <c r="GA22" s="488" t="n"/>
      <c r="GB22" s="488" t="n"/>
      <c r="GC22" s="488" t="n"/>
      <c r="GD22" s="488" t="n"/>
      <c r="GE22" s="488" t="n"/>
      <c r="GF22" s="488" t="n"/>
      <c r="GG22" s="488" t="n"/>
      <c r="GH22" s="488" t="n"/>
      <c r="GI22" s="488" t="n"/>
      <c r="GJ22" s="488" t="n"/>
      <c r="GK22" s="488" t="n"/>
      <c r="GL22" s="488" t="n"/>
      <c r="GM22" s="488" t="n"/>
      <c r="GN22" s="488" t="n"/>
      <c r="GO22" s="488" t="n"/>
      <c r="GP22" s="488" t="n"/>
      <c r="GQ22" s="488" t="n"/>
      <c r="GR22" s="488" t="n"/>
      <c r="GS22" s="488" t="n"/>
      <c r="GT22" s="488" t="n"/>
      <c r="GU22" s="488" t="n"/>
      <c r="GV22" s="488" t="n"/>
      <c r="GW22" s="488" t="n"/>
      <c r="GX22" s="488" t="n"/>
      <c r="GY22" s="488" t="n"/>
      <c r="GZ22" s="488" t="n"/>
      <c r="HA22" s="488" t="n"/>
      <c r="HB22" s="488" t="n"/>
      <c r="HC22" s="488" t="n"/>
      <c r="HD22" s="488" t="n"/>
      <c r="HE22" s="488" t="n"/>
      <c r="HF22" s="488" t="n"/>
      <c r="HG22" s="488" t="n"/>
      <c r="HH22" s="488" t="n"/>
      <c r="HI22" s="488" t="n"/>
      <c r="HJ22" s="488" t="n"/>
      <c r="HK22" s="488" t="n"/>
      <c r="HL22" s="488" t="n"/>
      <c r="HM22" s="488" t="n"/>
      <c r="HN22" s="488" t="n"/>
      <c r="HO22" s="488" t="n"/>
      <c r="HP22" s="488" t="n"/>
      <c r="HQ22" s="488" t="n"/>
      <c r="HR22" s="488" t="n"/>
      <c r="HS22" s="488" t="n"/>
      <c r="HT22" s="488" t="n"/>
      <c r="HU22" s="488" t="n"/>
      <c r="HV22" s="488" t="n"/>
      <c r="HW22" s="488" t="n"/>
      <c r="HX22" s="488" t="n"/>
      <c r="HY22" s="488" t="n"/>
      <c r="HZ22" s="488" t="n"/>
      <c r="IA22" s="488" t="n"/>
      <c r="IB22" s="488" t="n"/>
      <c r="IC22" s="488" t="n"/>
      <c r="ID22" s="488" t="n"/>
      <c r="IE22" s="488" t="n"/>
      <c r="IF22" s="488" t="n"/>
      <c r="IG22" s="488" t="n"/>
      <c r="IH22" s="488" t="n"/>
      <c r="II22" s="488" t="n"/>
      <c r="IJ22" s="488" t="n"/>
      <c r="IK22" s="488" t="n"/>
      <c r="IL22" s="488" t="n"/>
      <c r="IM22" s="488" t="n"/>
      <c r="IN22" s="488" t="n"/>
      <c r="IO22" s="488" t="n"/>
      <c r="IP22" s="488" t="n"/>
      <c r="IQ22" s="488" t="n"/>
      <c r="IR22" s="488" t="n"/>
      <c r="IS22" s="488" t="n"/>
      <c r="IT22" s="488" t="n"/>
      <c r="IU22" s="488" t="n"/>
      <c r="IV22" s="488" t="n"/>
    </row>
    <row r="23" ht="7" customFormat="1" customHeight="1" s="448">
      <c r="A23" s="601" t="n"/>
      <c r="B23" s="602" t="n"/>
      <c r="C23" s="602" t="n"/>
      <c r="D23" s="602" t="n"/>
      <c r="E23" s="602" t="n"/>
      <c r="F23" s="602" t="n"/>
      <c r="G23" s="602" t="n"/>
      <c r="H23" s="602" t="n"/>
      <c r="I23" s="602" t="n"/>
      <c r="J23" s="602" t="n"/>
      <c r="K23" s="602" t="n"/>
      <c r="L23" s="602" t="n"/>
      <c r="M23" s="602" t="n"/>
      <c r="N23" s="602" t="n"/>
      <c r="O23" s="602" t="n"/>
      <c r="P23" s="602" t="n"/>
      <c r="Q23" s="602" t="n"/>
      <c r="R23" s="602" t="n"/>
      <c r="S23" s="602" t="n"/>
      <c r="T23" s="602" t="n"/>
      <c r="U23" s="602" t="n"/>
      <c r="V23" s="602" t="n"/>
      <c r="W23" s="602" t="n"/>
      <c r="X23" s="602" t="n"/>
      <c r="Y23" s="602" t="n"/>
      <c r="Z23" s="602" t="n"/>
      <c r="AA23" s="602" t="n"/>
      <c r="AB23" s="602" t="n"/>
      <c r="AC23" s="602" t="n"/>
      <c r="AD23" s="602" t="n"/>
      <c r="AE23" s="602" t="n"/>
      <c r="AF23" s="602" t="n"/>
      <c r="AG23" s="602" t="n"/>
      <c r="AH23" s="602" t="n"/>
      <c r="AI23" s="602" t="n"/>
      <c r="AJ23" s="602" t="n"/>
      <c r="AK23" s="602" t="n"/>
      <c r="AL23" s="602" t="n"/>
      <c r="AM23" s="602" t="n"/>
      <c r="AN23" s="602" t="n"/>
      <c r="AO23" s="602" t="n"/>
      <c r="AP23" s="602" t="n"/>
      <c r="AQ23" s="602" t="n"/>
      <c r="AR23" s="602" t="n"/>
      <c r="AS23" s="602" t="n"/>
      <c r="AT23" s="602" t="n"/>
      <c r="AU23" s="602" t="n"/>
      <c r="AV23" s="602" t="n"/>
      <c r="AW23" s="602" t="n"/>
      <c r="AX23" s="602" t="n"/>
      <c r="AY23" s="602" t="n"/>
      <c r="AZ23" s="602" t="n"/>
      <c r="BA23" s="602" t="n"/>
      <c r="BB23" s="602" t="n"/>
      <c r="BC23" s="602" t="n"/>
      <c r="BD23" s="602" t="n"/>
      <c r="BE23" s="602" t="n"/>
      <c r="BF23" s="602" t="n"/>
      <c r="BG23" s="602" t="n"/>
      <c r="BH23" s="602" t="n"/>
      <c r="BI23" s="602" t="n"/>
      <c r="BJ23" s="602" t="n"/>
      <c r="BK23" s="602" t="n"/>
      <c r="BL23" s="602" t="n"/>
      <c r="BM23" s="602" t="n"/>
      <c r="BN23" s="602" t="n"/>
      <c r="BO23" s="602" t="n"/>
      <c r="BP23" s="602" t="n"/>
      <c r="BQ23" s="602" t="n"/>
      <c r="BR23" s="602" t="n"/>
      <c r="BS23" s="602" t="n"/>
      <c r="BT23" s="602" t="n"/>
      <c r="BU23" s="602" t="n"/>
      <c r="BV23" s="602" t="n"/>
      <c r="BW23" s="602" t="n"/>
      <c r="BX23" s="602" t="n"/>
      <c r="BY23" s="602" t="n"/>
      <c r="BZ23" s="602" t="n"/>
      <c r="CA23" s="602" t="n"/>
      <c r="CB23" s="602" t="n"/>
      <c r="CC23" s="602" t="n"/>
      <c r="CD23" s="602" t="n"/>
      <c r="CE23" s="602" t="n"/>
      <c r="CF23" s="602" t="n"/>
      <c r="CG23" s="602" t="n"/>
      <c r="CH23" s="602" t="n"/>
      <c r="CI23" s="602" t="n"/>
      <c r="CJ23" s="602" t="n"/>
      <c r="CK23" s="602" t="n"/>
      <c r="CL23" s="602" t="n"/>
      <c r="CM23" s="602" t="n"/>
      <c r="CN23" s="602" t="n"/>
      <c r="CO23" s="602" t="n"/>
      <c r="CP23" s="602" t="n"/>
      <c r="CQ23" s="602" t="n"/>
      <c r="CR23" s="602" t="n"/>
      <c r="CS23" s="602" t="n"/>
      <c r="CT23" s="602" t="n"/>
      <c r="CU23" s="602" t="n"/>
      <c r="CV23" s="602" t="n"/>
      <c r="CW23" s="602" t="n"/>
      <c r="CX23" s="602" t="n"/>
      <c r="CY23" s="602" t="n"/>
      <c r="CZ23" s="602" t="n"/>
      <c r="DA23" s="602" t="n"/>
      <c r="DB23" s="602" t="n"/>
      <c r="DC23" s="602" t="n"/>
      <c r="DD23" s="602" t="n"/>
      <c r="DE23" s="602" t="n"/>
      <c r="DF23" s="602" t="n"/>
      <c r="DG23" s="602" t="n"/>
      <c r="DH23" s="602" t="n"/>
      <c r="DI23" s="602" t="n"/>
      <c r="DJ23" s="602" t="n"/>
      <c r="DK23" s="602" t="n"/>
      <c r="DL23" s="602" t="n"/>
      <c r="DM23" s="602" t="n"/>
      <c r="DN23" s="602" t="n"/>
      <c r="DO23" s="602" t="n"/>
      <c r="DP23" s="602" t="n"/>
      <c r="DQ23" s="602" t="n"/>
      <c r="DR23" s="602" t="n"/>
      <c r="DS23" s="602" t="n"/>
      <c r="DT23" s="602" t="n"/>
      <c r="DU23" s="602" t="n"/>
      <c r="DV23" s="602" t="n"/>
      <c r="DW23" s="602" t="n"/>
      <c r="DX23" s="602" t="n"/>
      <c r="DY23" s="602" t="n"/>
      <c r="DZ23" s="602" t="n"/>
      <c r="EA23" s="602" t="n"/>
      <c r="EB23" s="602" t="n"/>
      <c r="EC23" s="602" t="n"/>
      <c r="ED23" s="602" t="n"/>
      <c r="EE23" s="602" t="n"/>
      <c r="EF23" s="602" t="n"/>
      <c r="EG23" s="602" t="n"/>
      <c r="EH23" s="602" t="n"/>
      <c r="EI23" s="602" t="n"/>
      <c r="EJ23" s="602" t="n"/>
      <c r="EK23" s="602" t="n"/>
      <c r="EL23" s="602" t="n"/>
      <c r="EM23" s="602" t="n"/>
      <c r="EN23" s="602" t="n"/>
      <c r="EO23" s="602" t="n"/>
      <c r="EP23" s="602" t="n"/>
      <c r="EQ23" s="602" t="n"/>
      <c r="ER23" s="602" t="n"/>
      <c r="ES23" s="602" t="n"/>
      <c r="ET23" s="602" t="n"/>
      <c r="EU23" s="602" t="n"/>
      <c r="EV23" s="602" t="n"/>
      <c r="EW23" s="602" t="n"/>
      <c r="EX23" s="602" t="n"/>
      <c r="EY23" s="602" t="n"/>
      <c r="EZ23" s="602" t="n"/>
      <c r="FA23" s="602" t="n"/>
      <c r="FB23" s="602" t="n"/>
      <c r="FC23" s="602" t="n"/>
      <c r="FD23" s="602" t="n"/>
      <c r="FE23" s="602" t="n"/>
      <c r="FF23" s="602" t="n"/>
      <c r="FG23" s="602" t="n"/>
      <c r="FH23" s="602" t="n"/>
      <c r="FI23" s="602" t="n"/>
      <c r="FJ23" s="602" t="n"/>
      <c r="FK23" s="602" t="n"/>
      <c r="FL23" s="602" t="n"/>
      <c r="FM23" s="602" t="n"/>
      <c r="FN23" s="602" t="n"/>
      <c r="FO23" s="602" t="n"/>
      <c r="FP23" s="488" t="n"/>
      <c r="FQ23" s="488" t="n"/>
      <c r="FR23" s="488" t="n"/>
      <c r="FS23" s="488" t="n"/>
      <c r="FT23" s="488" t="n"/>
      <c r="FU23" s="488" t="n"/>
      <c r="FV23" s="488" t="n"/>
      <c r="FW23" s="488" t="n"/>
      <c r="FX23" s="488" t="n"/>
      <c r="FY23" s="488" t="n"/>
      <c r="FZ23" s="488" t="n"/>
      <c r="GA23" s="488" t="n"/>
      <c r="GB23" s="488" t="n"/>
      <c r="GC23" s="488" t="n"/>
      <c r="GD23" s="488" t="n"/>
      <c r="GE23" s="488" t="n"/>
      <c r="GF23" s="488" t="n"/>
      <c r="GG23" s="488" t="n"/>
      <c r="GH23" s="488" t="n"/>
      <c r="GI23" s="488" t="n"/>
      <c r="GJ23" s="488" t="n"/>
      <c r="GK23" s="488" t="n"/>
      <c r="GL23" s="488" t="n"/>
      <c r="GM23" s="488" t="n"/>
      <c r="GN23" s="488" t="n"/>
      <c r="GO23" s="488" t="n"/>
      <c r="GP23" s="488" t="n"/>
      <c r="GQ23" s="488" t="n"/>
      <c r="GR23" s="488" t="n"/>
      <c r="GS23" s="488" t="n"/>
      <c r="GT23" s="488" t="n"/>
      <c r="GU23" s="488" t="n"/>
      <c r="GV23" s="488" t="n"/>
      <c r="GW23" s="488" t="n"/>
      <c r="GX23" s="488" t="n"/>
      <c r="GY23" s="488" t="n"/>
      <c r="GZ23" s="488" t="n"/>
      <c r="HA23" s="488" t="n"/>
      <c r="HB23" s="488" t="n"/>
      <c r="HC23" s="488" t="n"/>
      <c r="HD23" s="488" t="n"/>
      <c r="HE23" s="488" t="n"/>
      <c r="HF23" s="488" t="n"/>
      <c r="HG23" s="488" t="n"/>
      <c r="HH23" s="488" t="n"/>
      <c r="HI23" s="488" t="n"/>
      <c r="HJ23" s="488" t="n"/>
      <c r="HK23" s="488" t="n"/>
      <c r="HL23" s="488" t="n"/>
      <c r="HM23" s="488" t="n"/>
      <c r="HN23" s="488" t="n"/>
      <c r="HO23" s="488" t="n"/>
      <c r="HP23" s="488" t="n"/>
      <c r="HQ23" s="488" t="n"/>
      <c r="HR23" s="488" t="n"/>
      <c r="HS23" s="488" t="n"/>
      <c r="HT23" s="488" t="n"/>
      <c r="HU23" s="488" t="n"/>
      <c r="HV23" s="488" t="n"/>
      <c r="HW23" s="488" t="n"/>
      <c r="HX23" s="488" t="n"/>
      <c r="HY23" s="488" t="n"/>
      <c r="HZ23" s="488" t="n"/>
      <c r="IA23" s="488" t="n"/>
      <c r="IB23" s="488" t="n"/>
      <c r="IC23" s="488" t="n"/>
      <c r="ID23" s="488" t="n"/>
      <c r="IE23" s="488" t="n"/>
      <c r="IF23" s="488" t="n"/>
      <c r="IG23" s="488" t="n"/>
      <c r="IH23" s="488" t="n"/>
      <c r="II23" s="488" t="n"/>
      <c r="IJ23" s="488" t="n"/>
      <c r="IK23" s="488" t="n"/>
      <c r="IL23" s="488" t="n"/>
      <c r="IM23" s="488" t="n"/>
      <c r="IN23" s="488" t="n"/>
      <c r="IO23" s="488" t="n"/>
      <c r="IP23" s="488" t="n"/>
      <c r="IQ23" s="488" t="n"/>
      <c r="IR23" s="488" t="n"/>
      <c r="IS23" s="488" t="n"/>
      <c r="IT23" s="488" t="n"/>
      <c r="IU23" s="488" t="n"/>
      <c r="IV23" s="488" t="n"/>
    </row>
    <row r="24" customFormat="1" s="448">
      <c r="A24" s="599" t="n"/>
      <c r="B24" s="600" t="n"/>
      <c r="C24" s="600" t="n"/>
      <c r="D24" s="600" t="n"/>
      <c r="E24" s="600" t="n"/>
      <c r="F24" s="600" t="n"/>
      <c r="G24" s="600" t="n"/>
      <c r="H24" s="600" t="n"/>
      <c r="I24" s="600" t="n"/>
      <c r="J24" s="600" t="n"/>
      <c r="K24" s="600" t="n"/>
      <c r="L24" s="600" t="n"/>
      <c r="M24" s="600" t="n"/>
      <c r="N24" s="600" t="n"/>
      <c r="O24" s="600" t="n"/>
      <c r="P24" s="600" t="n"/>
      <c r="Q24" s="600" t="n"/>
      <c r="R24" s="600" t="n"/>
      <c r="S24" s="600" t="n"/>
      <c r="T24" s="600" t="n"/>
      <c r="U24" s="600" t="n"/>
      <c r="V24" s="600" t="n"/>
      <c r="W24" s="600" t="n"/>
      <c r="X24" s="600" t="n"/>
      <c r="Y24" s="600" t="n"/>
      <c r="Z24" s="600" t="n"/>
      <c r="AA24" s="600" t="n"/>
      <c r="AB24" s="600" t="n"/>
      <c r="AC24" s="600" t="n"/>
      <c r="AD24" s="600" t="n"/>
      <c r="AE24" s="600" t="n"/>
      <c r="AF24" s="600" t="n"/>
      <c r="AG24" s="600" t="n"/>
      <c r="AH24" s="600" t="n"/>
      <c r="AI24" s="600" t="n"/>
      <c r="AJ24" s="600" t="n"/>
      <c r="AK24" s="600" t="n"/>
      <c r="AL24" s="600" t="n"/>
      <c r="AM24" s="600" t="n"/>
      <c r="AN24" s="600" t="n"/>
      <c r="AO24" s="600" t="n"/>
      <c r="AP24" s="600" t="n"/>
      <c r="AQ24" s="600" t="n"/>
      <c r="AR24" s="600" t="n"/>
      <c r="AS24" s="600" t="n"/>
      <c r="AT24" s="600" t="n"/>
      <c r="AU24" s="600" t="n"/>
      <c r="AV24" s="600" t="n"/>
      <c r="AW24" s="600" t="n"/>
      <c r="AX24" s="600" t="n"/>
      <c r="AY24" s="600" t="n"/>
      <c r="AZ24" s="600" t="n"/>
      <c r="BA24" s="600" t="n"/>
      <c r="BB24" s="600" t="n"/>
      <c r="BC24" s="600" t="n"/>
      <c r="BD24" s="600" t="n"/>
      <c r="BE24" s="600" t="n"/>
      <c r="BF24" s="600" t="n"/>
      <c r="BG24" s="600" t="n"/>
      <c r="BH24" s="600" t="n"/>
      <c r="BI24" s="600" t="n"/>
      <c r="BJ24" s="600" t="n"/>
      <c r="BK24" s="600" t="n"/>
      <c r="BL24" s="600" t="n"/>
      <c r="BM24" s="600" t="n"/>
      <c r="BN24" s="600" t="n"/>
      <c r="BO24" s="600" t="n"/>
      <c r="BP24" s="600" t="n"/>
      <c r="BQ24" s="600" t="n"/>
      <c r="BR24" s="600" t="n"/>
      <c r="BS24" s="600" t="n"/>
      <c r="BT24" s="600" t="n"/>
      <c r="BU24" s="600" t="n"/>
      <c r="BV24" s="600" t="n"/>
      <c r="BW24" s="600" t="n"/>
      <c r="BX24" s="600" t="n"/>
      <c r="BY24" s="600" t="n"/>
      <c r="BZ24" s="600" t="n"/>
      <c r="CA24" s="600" t="n"/>
      <c r="CB24" s="600" t="n"/>
      <c r="CC24" s="600" t="n"/>
      <c r="CD24" s="600" t="n"/>
      <c r="CE24" s="600" t="n"/>
      <c r="CF24" s="600" t="n"/>
      <c r="CG24" s="600" t="n"/>
      <c r="CH24" s="600" t="n"/>
      <c r="CI24" s="600" t="n"/>
      <c r="CJ24" s="600" t="n"/>
      <c r="CK24" s="600" t="n"/>
      <c r="CL24" s="600" t="n"/>
      <c r="CM24" s="600" t="n"/>
      <c r="CN24" s="600" t="n"/>
      <c r="CO24" s="600" t="n"/>
      <c r="CP24" s="600" t="n"/>
      <c r="CQ24" s="600" t="n"/>
      <c r="CR24" s="600" t="n"/>
      <c r="CS24" s="600" t="n"/>
      <c r="CT24" s="600" t="n"/>
      <c r="CU24" s="600" t="n"/>
      <c r="CV24" s="600" t="n"/>
      <c r="CW24" s="600" t="n"/>
      <c r="CX24" s="600" t="n"/>
      <c r="CY24" s="600" t="n"/>
      <c r="CZ24" s="600" t="n"/>
      <c r="DA24" s="600" t="n"/>
      <c r="DB24" s="600" t="n"/>
      <c r="DC24" s="600" t="n"/>
      <c r="DD24" s="600" t="n"/>
      <c r="DE24" s="600" t="n"/>
      <c r="DF24" s="600" t="n"/>
      <c r="DG24" s="600" t="n"/>
      <c r="DH24" s="600" t="n"/>
      <c r="DI24" s="600" t="n"/>
      <c r="DJ24" s="600" t="n"/>
      <c r="DK24" s="600" t="n"/>
      <c r="DL24" s="600" t="n"/>
      <c r="DM24" s="600" t="n"/>
      <c r="DN24" s="600" t="n"/>
      <c r="DO24" s="600" t="n"/>
      <c r="DP24" s="600" t="n"/>
      <c r="DQ24" s="600" t="n"/>
      <c r="DR24" s="600" t="n"/>
      <c r="DS24" s="600" t="n"/>
      <c r="DT24" s="600" t="n"/>
      <c r="DU24" s="600" t="n"/>
      <c r="DV24" s="600" t="n"/>
      <c r="DW24" s="600" t="n"/>
      <c r="DX24" s="600" t="n"/>
      <c r="DY24" s="600" t="n"/>
      <c r="DZ24" s="600" t="n"/>
      <c r="EA24" s="600" t="n"/>
      <c r="EB24" s="600" t="n"/>
      <c r="EC24" s="600" t="n"/>
      <c r="ED24" s="600" t="n"/>
      <c r="EE24" s="600" t="n"/>
      <c r="EF24" s="600" t="n"/>
      <c r="EG24" s="600" t="n"/>
      <c r="EH24" s="600" t="n"/>
      <c r="EI24" s="600" t="n"/>
      <c r="EJ24" s="600" t="n"/>
      <c r="EK24" s="600" t="n"/>
      <c r="EL24" s="600" t="n"/>
      <c r="EM24" s="600" t="n"/>
      <c r="EN24" s="600" t="n"/>
      <c r="EO24" s="600" t="n"/>
      <c r="EP24" s="600" t="n"/>
      <c r="EQ24" s="600" t="n"/>
      <c r="ER24" s="600" t="n"/>
      <c r="ES24" s="600" t="n"/>
      <c r="ET24" s="600" t="n"/>
      <c r="EU24" s="600" t="n"/>
      <c r="EV24" s="600" t="n"/>
      <c r="EW24" s="600" t="n"/>
      <c r="EX24" s="600" t="n"/>
      <c r="EY24" s="600" t="n"/>
      <c r="EZ24" s="600" t="n"/>
      <c r="FA24" s="600" t="n"/>
      <c r="FB24" s="600" t="n"/>
      <c r="FC24" s="600" t="n"/>
      <c r="FD24" s="600" t="n"/>
      <c r="FE24" s="600" t="n"/>
      <c r="FF24" s="600" t="n"/>
      <c r="FG24" s="600" t="n"/>
      <c r="FH24" s="600" t="n"/>
      <c r="FI24" s="600" t="n"/>
      <c r="FJ24" s="600" t="n"/>
      <c r="FK24" s="600" t="n"/>
      <c r="FL24" s="600" t="n"/>
      <c r="FM24" s="600" t="n"/>
      <c r="FN24" s="600" t="n"/>
      <c r="FO24" s="600" t="n"/>
      <c r="FP24" s="488" t="n"/>
      <c r="FQ24" s="488" t="n"/>
      <c r="FR24" s="488" t="n"/>
      <c r="FS24" s="488" t="n"/>
      <c r="FT24" s="488" t="n"/>
      <c r="FU24" s="488" t="n"/>
      <c r="FV24" s="488" t="n"/>
      <c r="FW24" s="488" t="n"/>
      <c r="FX24" s="488" t="n"/>
      <c r="FY24" s="488" t="n"/>
      <c r="FZ24" s="488" t="n"/>
      <c r="GA24" s="488" t="n"/>
      <c r="GB24" s="488" t="n"/>
      <c r="GC24" s="488" t="n"/>
      <c r="GD24" s="488" t="n"/>
      <c r="GE24" s="488" t="n"/>
      <c r="GF24" s="488" t="n"/>
      <c r="GG24" s="488" t="n"/>
      <c r="GH24" s="488" t="n"/>
      <c r="GI24" s="488" t="n"/>
      <c r="GJ24" s="488" t="n"/>
      <c r="GK24" s="488" t="n"/>
      <c r="GL24" s="488" t="n"/>
      <c r="GM24" s="488" t="n"/>
      <c r="GN24" s="488" t="n"/>
      <c r="GO24" s="488" t="n"/>
      <c r="GP24" s="488" t="n"/>
      <c r="GQ24" s="488" t="n"/>
      <c r="GR24" s="488" t="n"/>
      <c r="GS24" s="488" t="n"/>
      <c r="GT24" s="488" t="n"/>
      <c r="GU24" s="488" t="n"/>
      <c r="GV24" s="488" t="n"/>
      <c r="GW24" s="488" t="n"/>
      <c r="GX24" s="488" t="n"/>
      <c r="GY24" s="488" t="n"/>
      <c r="GZ24" s="488" t="n"/>
      <c r="HA24" s="488" t="n"/>
      <c r="HB24" s="488" t="n"/>
      <c r="HC24" s="488" t="n"/>
      <c r="HD24" s="488" t="n"/>
      <c r="HE24" s="488" t="n"/>
      <c r="HF24" s="488" t="n"/>
      <c r="HG24" s="488" t="n"/>
      <c r="HH24" s="488" t="n"/>
      <c r="HI24" s="488" t="n"/>
      <c r="HJ24" s="488" t="n"/>
      <c r="HK24" s="488" t="n"/>
      <c r="HL24" s="488" t="n"/>
      <c r="HM24" s="488" t="n"/>
      <c r="HN24" s="488" t="n"/>
      <c r="HO24" s="488" t="n"/>
      <c r="HP24" s="488" t="n"/>
      <c r="HQ24" s="488" t="n"/>
      <c r="HR24" s="488" t="n"/>
      <c r="HS24" s="488" t="n"/>
      <c r="HT24" s="488" t="n"/>
      <c r="HU24" s="488" t="n"/>
      <c r="HV24" s="488" t="n"/>
      <c r="HW24" s="488" t="n"/>
      <c r="HX24" s="488" t="n"/>
      <c r="HY24" s="488" t="n"/>
      <c r="HZ24" s="488" t="n"/>
      <c r="IA24" s="488" t="n"/>
      <c r="IB24" s="488" t="n"/>
      <c r="IC24" s="488" t="n"/>
      <c r="ID24" s="488" t="n"/>
      <c r="IE24" s="488" t="n"/>
      <c r="IF24" s="488" t="n"/>
      <c r="IG24" s="488" t="n"/>
      <c r="IH24" s="488" t="n"/>
      <c r="II24" s="488" t="n"/>
      <c r="IJ24" s="488" t="n"/>
      <c r="IK24" s="488" t="n"/>
      <c r="IL24" s="488" t="n"/>
      <c r="IM24" s="488" t="n"/>
      <c r="IN24" s="488" t="n"/>
      <c r="IO24" s="488" t="n"/>
      <c r="IP24" s="488" t="n"/>
      <c r="IQ24" s="488" t="n"/>
      <c r="IR24" s="488" t="n"/>
      <c r="IS24" s="488" t="n"/>
      <c r="IT24" s="488" t="n"/>
      <c r="IU24" s="488" t="n"/>
      <c r="IV24" s="488" t="n"/>
    </row>
    <row r="25" ht="7" customFormat="1" customHeight="1" s="448">
      <c r="A25" s="601" t="n"/>
      <c r="B25" s="602" t="n"/>
      <c r="C25" s="602" t="n"/>
      <c r="D25" s="602" t="n"/>
      <c r="E25" s="602" t="n"/>
      <c r="F25" s="602" t="n"/>
      <c r="G25" s="602" t="n"/>
      <c r="H25" s="602" t="n"/>
      <c r="I25" s="602" t="n"/>
      <c r="J25" s="602" t="n"/>
      <c r="K25" s="602" t="n"/>
      <c r="L25" s="602" t="n"/>
      <c r="M25" s="602" t="n"/>
      <c r="N25" s="602" t="n"/>
      <c r="O25" s="602" t="n"/>
      <c r="P25" s="602" t="n"/>
      <c r="Q25" s="602" t="n"/>
      <c r="R25" s="602" t="n"/>
      <c r="S25" s="602" t="n"/>
      <c r="T25" s="602" t="n"/>
      <c r="U25" s="602" t="n"/>
      <c r="V25" s="602" t="n"/>
      <c r="W25" s="602" t="n"/>
      <c r="X25" s="602" t="n"/>
      <c r="Y25" s="602" t="n"/>
      <c r="Z25" s="602" t="n"/>
      <c r="AA25" s="602" t="n"/>
      <c r="AB25" s="602" t="n"/>
      <c r="AC25" s="602" t="n"/>
      <c r="AD25" s="602" t="n"/>
      <c r="AE25" s="602" t="n"/>
      <c r="AF25" s="602" t="n"/>
      <c r="AG25" s="602" t="n"/>
      <c r="AH25" s="602" t="n"/>
      <c r="AI25" s="602" t="n"/>
      <c r="AJ25" s="602" t="n"/>
      <c r="AK25" s="602" t="n"/>
      <c r="AL25" s="602" t="n"/>
      <c r="AM25" s="602" t="n"/>
      <c r="AN25" s="602" t="n"/>
      <c r="AO25" s="602" t="n"/>
      <c r="AP25" s="602" t="n"/>
      <c r="AQ25" s="602" t="n"/>
      <c r="AR25" s="602" t="n"/>
      <c r="AS25" s="602" t="n"/>
      <c r="AT25" s="602" t="n"/>
      <c r="AU25" s="602" t="n"/>
      <c r="AV25" s="602" t="n"/>
      <c r="AW25" s="602" t="n"/>
      <c r="AX25" s="602" t="n"/>
      <c r="AY25" s="602" t="n"/>
      <c r="AZ25" s="602" t="n"/>
      <c r="BA25" s="602" t="n"/>
      <c r="BB25" s="602" t="n"/>
      <c r="BC25" s="602" t="n"/>
      <c r="BD25" s="602" t="n"/>
      <c r="BE25" s="602" t="n"/>
      <c r="BF25" s="602" t="n"/>
      <c r="BG25" s="602" t="n"/>
      <c r="BH25" s="602" t="n"/>
      <c r="BI25" s="602" t="n"/>
      <c r="BJ25" s="602" t="n"/>
      <c r="BK25" s="602" t="n"/>
      <c r="BL25" s="602" t="n"/>
      <c r="BM25" s="602" t="n"/>
      <c r="BN25" s="602" t="n"/>
      <c r="BO25" s="602" t="n"/>
      <c r="BP25" s="602" t="n"/>
      <c r="BQ25" s="602" t="n"/>
      <c r="BR25" s="602" t="n"/>
      <c r="BS25" s="602" t="n"/>
      <c r="BT25" s="602" t="n"/>
      <c r="BU25" s="602" t="n"/>
      <c r="BV25" s="602" t="n"/>
      <c r="BW25" s="602" t="n"/>
      <c r="BX25" s="602" t="n"/>
      <c r="BY25" s="602" t="n"/>
      <c r="BZ25" s="602" t="n"/>
      <c r="CA25" s="602" t="n"/>
      <c r="CB25" s="602" t="n"/>
      <c r="CC25" s="602" t="n"/>
      <c r="CD25" s="602" t="n"/>
      <c r="CE25" s="602" t="n"/>
      <c r="CF25" s="602" t="n"/>
      <c r="CG25" s="602" t="n"/>
      <c r="CH25" s="602" t="n"/>
      <c r="CI25" s="602" t="n"/>
      <c r="CJ25" s="602" t="n"/>
      <c r="CK25" s="602" t="n"/>
      <c r="CL25" s="602" t="n"/>
      <c r="CM25" s="602" t="n"/>
      <c r="CN25" s="602" t="n"/>
      <c r="CO25" s="602" t="n"/>
      <c r="CP25" s="602" t="n"/>
      <c r="CQ25" s="602" t="n"/>
      <c r="CR25" s="602" t="n"/>
      <c r="CS25" s="602" t="n"/>
      <c r="CT25" s="602" t="n"/>
      <c r="CU25" s="602" t="n"/>
      <c r="CV25" s="602" t="n"/>
      <c r="CW25" s="602" t="n"/>
      <c r="CX25" s="602" t="n"/>
      <c r="CY25" s="602" t="n"/>
      <c r="CZ25" s="602" t="n"/>
      <c r="DA25" s="602" t="n"/>
      <c r="DB25" s="602" t="n"/>
      <c r="DC25" s="602" t="n"/>
      <c r="DD25" s="602" t="n"/>
      <c r="DE25" s="602" t="n"/>
      <c r="DF25" s="602" t="n"/>
      <c r="DG25" s="602" t="n"/>
      <c r="DH25" s="602" t="n"/>
      <c r="DI25" s="602" t="n"/>
      <c r="DJ25" s="602" t="n"/>
      <c r="DK25" s="602" t="n"/>
      <c r="DL25" s="602" t="n"/>
      <c r="DM25" s="602" t="n"/>
      <c r="DN25" s="602" t="n"/>
      <c r="DO25" s="602" t="n"/>
      <c r="DP25" s="602" t="n"/>
      <c r="DQ25" s="602" t="n"/>
      <c r="DR25" s="602" t="n"/>
      <c r="DS25" s="602" t="n"/>
      <c r="DT25" s="602" t="n"/>
      <c r="DU25" s="602" t="n"/>
      <c r="DV25" s="602" t="n"/>
      <c r="DW25" s="602" t="n"/>
      <c r="DX25" s="602" t="n"/>
      <c r="DY25" s="602" t="n"/>
      <c r="DZ25" s="602" t="n"/>
      <c r="EA25" s="602" t="n"/>
      <c r="EB25" s="602" t="n"/>
      <c r="EC25" s="602" t="n"/>
      <c r="ED25" s="602" t="n"/>
      <c r="EE25" s="602" t="n"/>
      <c r="EF25" s="602" t="n"/>
      <c r="EG25" s="602" t="n"/>
      <c r="EH25" s="602" t="n"/>
      <c r="EI25" s="602" t="n"/>
      <c r="EJ25" s="602" t="n"/>
      <c r="EK25" s="602" t="n"/>
      <c r="EL25" s="602" t="n"/>
      <c r="EM25" s="602" t="n"/>
      <c r="EN25" s="602" t="n"/>
      <c r="EO25" s="602" t="n"/>
      <c r="EP25" s="602" t="n"/>
      <c r="EQ25" s="602" t="n"/>
      <c r="ER25" s="602" t="n"/>
      <c r="ES25" s="602" t="n"/>
      <c r="ET25" s="602" t="n"/>
      <c r="EU25" s="602" t="n"/>
      <c r="EV25" s="602" t="n"/>
      <c r="EW25" s="602" t="n"/>
      <c r="EX25" s="602" t="n"/>
      <c r="EY25" s="602" t="n"/>
      <c r="EZ25" s="602" t="n"/>
      <c r="FA25" s="602" t="n"/>
      <c r="FB25" s="602" t="n"/>
      <c r="FC25" s="602" t="n"/>
      <c r="FD25" s="602" t="n"/>
      <c r="FE25" s="602" t="n"/>
      <c r="FF25" s="602" t="n"/>
      <c r="FG25" s="602" t="n"/>
      <c r="FH25" s="602" t="n"/>
      <c r="FI25" s="602" t="n"/>
      <c r="FJ25" s="602" t="n"/>
      <c r="FK25" s="602" t="n"/>
      <c r="FL25" s="602" t="n"/>
      <c r="FM25" s="602" t="n"/>
      <c r="FN25" s="602" t="n"/>
      <c r="FO25" s="602" t="n"/>
      <c r="FP25" s="488" t="n"/>
      <c r="FQ25" s="488" t="n"/>
      <c r="FR25" s="488" t="n"/>
      <c r="FS25" s="488" t="n"/>
      <c r="FT25" s="488" t="n"/>
      <c r="FU25" s="488" t="n"/>
      <c r="FV25" s="488" t="n"/>
      <c r="FW25" s="488" t="n"/>
      <c r="FX25" s="488" t="n"/>
      <c r="FY25" s="488" t="n"/>
      <c r="FZ25" s="488" t="n"/>
      <c r="GA25" s="488" t="n"/>
      <c r="GB25" s="488" t="n"/>
      <c r="GC25" s="488" t="n"/>
      <c r="GD25" s="488" t="n"/>
      <c r="GE25" s="488" t="n"/>
      <c r="GF25" s="488" t="n"/>
      <c r="GG25" s="488" t="n"/>
      <c r="GH25" s="488" t="n"/>
      <c r="GI25" s="488" t="n"/>
      <c r="GJ25" s="488" t="n"/>
      <c r="GK25" s="488" t="n"/>
      <c r="GL25" s="488" t="n"/>
      <c r="GM25" s="488" t="n"/>
      <c r="GN25" s="488" t="n"/>
      <c r="GO25" s="488" t="n"/>
      <c r="GP25" s="488" t="n"/>
      <c r="GQ25" s="488" t="n"/>
      <c r="GR25" s="488" t="n"/>
      <c r="GS25" s="488" t="n"/>
      <c r="GT25" s="488" t="n"/>
      <c r="GU25" s="488" t="n"/>
      <c r="GV25" s="488" t="n"/>
      <c r="GW25" s="488" t="n"/>
      <c r="GX25" s="488" t="n"/>
      <c r="GY25" s="488" t="n"/>
      <c r="GZ25" s="488" t="n"/>
      <c r="HA25" s="488" t="n"/>
      <c r="HB25" s="488" t="n"/>
      <c r="HC25" s="488" t="n"/>
      <c r="HD25" s="488" t="n"/>
      <c r="HE25" s="488" t="n"/>
      <c r="HF25" s="488" t="n"/>
      <c r="HG25" s="488" t="n"/>
      <c r="HH25" s="488" t="n"/>
      <c r="HI25" s="488" t="n"/>
      <c r="HJ25" s="488" t="n"/>
      <c r="HK25" s="488" t="n"/>
      <c r="HL25" s="488" t="n"/>
      <c r="HM25" s="488" t="n"/>
      <c r="HN25" s="488" t="n"/>
      <c r="HO25" s="488" t="n"/>
      <c r="HP25" s="488" t="n"/>
      <c r="HQ25" s="488" t="n"/>
      <c r="HR25" s="488" t="n"/>
      <c r="HS25" s="488" t="n"/>
      <c r="HT25" s="488" t="n"/>
      <c r="HU25" s="488" t="n"/>
      <c r="HV25" s="488" t="n"/>
      <c r="HW25" s="488" t="n"/>
      <c r="HX25" s="488" t="n"/>
      <c r="HY25" s="488" t="n"/>
      <c r="HZ25" s="488" t="n"/>
      <c r="IA25" s="488" t="n"/>
      <c r="IB25" s="488" t="n"/>
      <c r="IC25" s="488" t="n"/>
      <c r="ID25" s="488" t="n"/>
      <c r="IE25" s="488" t="n"/>
      <c r="IF25" s="488" t="n"/>
      <c r="IG25" s="488" t="n"/>
      <c r="IH25" s="488" t="n"/>
      <c r="II25" s="488" t="n"/>
      <c r="IJ25" s="488" t="n"/>
      <c r="IK25" s="488" t="n"/>
      <c r="IL25" s="488" t="n"/>
      <c r="IM25" s="488" t="n"/>
      <c r="IN25" s="488" t="n"/>
      <c r="IO25" s="488" t="n"/>
      <c r="IP25" s="488" t="n"/>
      <c r="IQ25" s="488" t="n"/>
      <c r="IR25" s="488" t="n"/>
      <c r="IS25" s="488" t="n"/>
      <c r="IT25" s="488" t="n"/>
      <c r="IU25" s="488" t="n"/>
      <c r="IV25" s="488" t="n"/>
    </row>
    <row r="26" customFormat="1" s="448">
      <c r="A26" s="599" t="n"/>
      <c r="B26" s="600" t="n"/>
      <c r="C26" s="600" t="n"/>
      <c r="D26" s="600" t="n"/>
      <c r="E26" s="600" t="n"/>
      <c r="F26" s="600" t="n"/>
      <c r="G26" s="600" t="n"/>
      <c r="H26" s="600" t="n"/>
      <c r="I26" s="600" t="n"/>
      <c r="J26" s="600" t="n"/>
      <c r="K26" s="600" t="n"/>
      <c r="L26" s="600" t="n"/>
      <c r="M26" s="600" t="n"/>
      <c r="N26" s="600" t="n"/>
      <c r="O26" s="600" t="n"/>
      <c r="P26" s="600" t="n"/>
      <c r="Q26" s="600" t="n"/>
      <c r="R26" s="600" t="n"/>
      <c r="S26" s="600" t="n"/>
      <c r="T26" s="600" t="n"/>
      <c r="U26" s="600" t="n"/>
      <c r="V26" s="600" t="n"/>
      <c r="W26" s="600" t="n"/>
      <c r="X26" s="600" t="n"/>
      <c r="Y26" s="600" t="n"/>
      <c r="Z26" s="600" t="n"/>
      <c r="AA26" s="600" t="n"/>
      <c r="AB26" s="600" t="n"/>
      <c r="AC26" s="600" t="n"/>
      <c r="AD26" s="600" t="n"/>
      <c r="AE26" s="600" t="n"/>
      <c r="AF26" s="600" t="n"/>
      <c r="AG26" s="600" t="n"/>
      <c r="AH26" s="600" t="n"/>
      <c r="AI26" s="600" t="n"/>
      <c r="AJ26" s="600" t="n"/>
      <c r="AK26" s="600" t="n"/>
      <c r="AL26" s="600" t="n"/>
      <c r="AM26" s="600" t="n"/>
      <c r="AN26" s="600" t="n"/>
      <c r="AO26" s="600" t="n"/>
      <c r="AP26" s="600" t="n"/>
      <c r="AQ26" s="600" t="n"/>
      <c r="AR26" s="600" t="n"/>
      <c r="AS26" s="600" t="n"/>
      <c r="AT26" s="600" t="n"/>
      <c r="AU26" s="600" t="n"/>
      <c r="AV26" s="600" t="n"/>
      <c r="AW26" s="600" t="n"/>
      <c r="AX26" s="600" t="n"/>
      <c r="AY26" s="600" t="n"/>
      <c r="AZ26" s="600" t="n"/>
      <c r="BA26" s="600" t="n"/>
      <c r="BB26" s="600" t="n"/>
      <c r="BC26" s="600" t="n"/>
      <c r="BD26" s="600" t="n"/>
      <c r="BE26" s="600" t="n"/>
      <c r="BF26" s="600" t="n"/>
      <c r="BG26" s="600" t="n"/>
      <c r="BH26" s="600" t="n"/>
      <c r="BI26" s="600" t="n"/>
      <c r="BJ26" s="600" t="n"/>
      <c r="BK26" s="600" t="n"/>
      <c r="BL26" s="600" t="n"/>
      <c r="BM26" s="600" t="n"/>
      <c r="BN26" s="600" t="n"/>
      <c r="BO26" s="600" t="n"/>
      <c r="BP26" s="600" t="n"/>
      <c r="BQ26" s="600" t="n"/>
      <c r="BR26" s="600" t="n"/>
      <c r="BS26" s="600" t="n"/>
      <c r="BT26" s="600" t="n"/>
      <c r="BU26" s="600" t="n"/>
      <c r="BV26" s="600" t="n"/>
      <c r="BW26" s="600" t="n"/>
      <c r="BX26" s="600" t="n"/>
      <c r="BY26" s="600" t="n"/>
      <c r="BZ26" s="600" t="n"/>
      <c r="CA26" s="600" t="n"/>
      <c r="CB26" s="600" t="n"/>
      <c r="CC26" s="600" t="n"/>
      <c r="CD26" s="600" t="n"/>
      <c r="CE26" s="600" t="n"/>
      <c r="CF26" s="600" t="n"/>
      <c r="CG26" s="600" t="n"/>
      <c r="CH26" s="600" t="n"/>
      <c r="CI26" s="600" t="n"/>
      <c r="CJ26" s="600" t="n"/>
      <c r="CK26" s="600" t="n"/>
      <c r="CL26" s="600" t="n"/>
      <c r="CM26" s="600" t="n"/>
      <c r="CN26" s="600" t="n"/>
      <c r="CO26" s="600" t="n"/>
      <c r="CP26" s="600" t="n"/>
      <c r="CQ26" s="600" t="n"/>
      <c r="CR26" s="600" t="n"/>
      <c r="CS26" s="600" t="n"/>
      <c r="CT26" s="600" t="n"/>
      <c r="CU26" s="600" t="n"/>
      <c r="CV26" s="600" t="n"/>
      <c r="CW26" s="600" t="n"/>
      <c r="CX26" s="600" t="n"/>
      <c r="CY26" s="600" t="n"/>
      <c r="CZ26" s="600" t="n"/>
      <c r="DA26" s="600" t="n"/>
      <c r="DB26" s="600" t="n"/>
      <c r="DC26" s="600" t="n"/>
      <c r="DD26" s="600" t="n"/>
      <c r="DE26" s="600" t="n"/>
      <c r="DF26" s="600" t="n"/>
      <c r="DG26" s="600" t="n"/>
      <c r="DH26" s="600" t="n"/>
      <c r="DI26" s="600" t="n"/>
      <c r="DJ26" s="600" t="n"/>
      <c r="DK26" s="600" t="n"/>
      <c r="DL26" s="600" t="n"/>
      <c r="DM26" s="600" t="n"/>
      <c r="DN26" s="600" t="n"/>
      <c r="DO26" s="600" t="n"/>
      <c r="DP26" s="600" t="n"/>
      <c r="DQ26" s="600" t="n"/>
      <c r="DR26" s="600" t="n"/>
      <c r="DS26" s="600" t="n"/>
      <c r="DT26" s="600" t="n"/>
      <c r="DU26" s="600" t="n"/>
      <c r="DV26" s="600" t="n"/>
      <c r="DW26" s="600" t="n"/>
      <c r="DX26" s="600" t="n"/>
      <c r="DY26" s="600" t="n"/>
      <c r="DZ26" s="600" t="n"/>
      <c r="EA26" s="600" t="n"/>
      <c r="EB26" s="600" t="n"/>
      <c r="EC26" s="600" t="n"/>
      <c r="ED26" s="600" t="n"/>
      <c r="EE26" s="600" t="n"/>
      <c r="EF26" s="600" t="n"/>
      <c r="EG26" s="600" t="n"/>
      <c r="EH26" s="600" t="n"/>
      <c r="EI26" s="600" t="n"/>
      <c r="EJ26" s="600" t="n"/>
      <c r="EK26" s="600" t="n"/>
      <c r="EL26" s="600" t="n"/>
      <c r="EM26" s="600" t="n"/>
      <c r="EN26" s="600" t="n"/>
      <c r="EO26" s="600" t="n"/>
      <c r="EP26" s="600" t="n"/>
      <c r="EQ26" s="600" t="n"/>
      <c r="ER26" s="600" t="n"/>
      <c r="ES26" s="600" t="n"/>
      <c r="ET26" s="600" t="n"/>
      <c r="EU26" s="600" t="n"/>
      <c r="EV26" s="600" t="n"/>
      <c r="EW26" s="600" t="n"/>
      <c r="EX26" s="600" t="n"/>
      <c r="EY26" s="600" t="n"/>
      <c r="EZ26" s="600" t="n"/>
      <c r="FA26" s="600" t="n"/>
      <c r="FB26" s="600" t="n"/>
      <c r="FC26" s="600" t="n"/>
      <c r="FD26" s="600" t="n"/>
      <c r="FE26" s="600" t="n"/>
      <c r="FF26" s="600" t="n"/>
      <c r="FG26" s="600" t="n"/>
      <c r="FH26" s="600" t="n"/>
      <c r="FI26" s="600" t="n"/>
      <c r="FJ26" s="600" t="n"/>
      <c r="FK26" s="600" t="n"/>
      <c r="FL26" s="600" t="n"/>
      <c r="FM26" s="600" t="n"/>
      <c r="FN26" s="600" t="n"/>
      <c r="FO26" s="600" t="n"/>
      <c r="FP26" s="488" t="n"/>
      <c r="FQ26" s="488" t="n"/>
      <c r="FR26" s="488" t="n"/>
      <c r="FS26" s="488" t="n"/>
      <c r="FT26" s="488" t="n"/>
      <c r="FU26" s="488" t="n"/>
      <c r="FV26" s="488" t="n"/>
      <c r="FW26" s="488" t="n"/>
      <c r="FX26" s="488" t="n"/>
      <c r="FY26" s="488" t="n"/>
      <c r="FZ26" s="488" t="n"/>
      <c r="GA26" s="488" t="n"/>
      <c r="GB26" s="488" t="n"/>
      <c r="GC26" s="488" t="n"/>
      <c r="GD26" s="488" t="n"/>
      <c r="GE26" s="488" t="n"/>
      <c r="GF26" s="488" t="n"/>
      <c r="GG26" s="488" t="n"/>
      <c r="GH26" s="488" t="n"/>
      <c r="GI26" s="488" t="n"/>
      <c r="GJ26" s="488" t="n"/>
      <c r="GK26" s="488" t="n"/>
      <c r="GL26" s="488" t="n"/>
      <c r="GM26" s="488" t="n"/>
      <c r="GN26" s="488" t="n"/>
      <c r="GO26" s="488" t="n"/>
      <c r="GP26" s="488" t="n"/>
      <c r="GQ26" s="488" t="n"/>
      <c r="GR26" s="488" t="n"/>
      <c r="GS26" s="488" t="n"/>
      <c r="GT26" s="488" t="n"/>
      <c r="GU26" s="488" t="n"/>
      <c r="GV26" s="488" t="n"/>
      <c r="GW26" s="488" t="n"/>
      <c r="GX26" s="488" t="n"/>
      <c r="GY26" s="488" t="n"/>
      <c r="GZ26" s="488" t="n"/>
      <c r="HA26" s="488" t="n"/>
      <c r="HB26" s="488" t="n"/>
      <c r="HC26" s="488" t="n"/>
      <c r="HD26" s="488" t="n"/>
      <c r="HE26" s="488" t="n"/>
      <c r="HF26" s="488" t="n"/>
      <c r="HG26" s="488" t="n"/>
      <c r="HH26" s="488" t="n"/>
      <c r="HI26" s="488" t="n"/>
      <c r="HJ26" s="488" t="n"/>
      <c r="HK26" s="488" t="n"/>
      <c r="HL26" s="488" t="n"/>
      <c r="HM26" s="488" t="n"/>
      <c r="HN26" s="488" t="n"/>
      <c r="HO26" s="488" t="n"/>
      <c r="HP26" s="488" t="n"/>
      <c r="HQ26" s="488" t="n"/>
      <c r="HR26" s="488" t="n"/>
      <c r="HS26" s="488" t="n"/>
      <c r="HT26" s="488" t="n"/>
      <c r="HU26" s="488" t="n"/>
      <c r="HV26" s="488" t="n"/>
      <c r="HW26" s="488" t="n"/>
      <c r="HX26" s="488" t="n"/>
      <c r="HY26" s="488" t="n"/>
      <c r="HZ26" s="488" t="n"/>
      <c r="IA26" s="488" t="n"/>
      <c r="IB26" s="488" t="n"/>
      <c r="IC26" s="488" t="n"/>
      <c r="ID26" s="488" t="n"/>
      <c r="IE26" s="488" t="n"/>
      <c r="IF26" s="488" t="n"/>
      <c r="IG26" s="488" t="n"/>
      <c r="IH26" s="488" t="n"/>
      <c r="II26" s="488" t="n"/>
      <c r="IJ26" s="488" t="n"/>
      <c r="IK26" s="488" t="n"/>
      <c r="IL26" s="488" t="n"/>
      <c r="IM26" s="488" t="n"/>
      <c r="IN26" s="488" t="n"/>
      <c r="IO26" s="488" t="n"/>
      <c r="IP26" s="488" t="n"/>
      <c r="IQ26" s="488" t="n"/>
      <c r="IR26" s="488" t="n"/>
      <c r="IS26" s="488" t="n"/>
      <c r="IT26" s="488" t="n"/>
      <c r="IU26" s="488" t="n"/>
      <c r="IV26" s="488" t="n"/>
    </row>
    <row r="27" ht="7" customFormat="1" customHeight="1" s="448">
      <c r="A27" s="601" t="n"/>
      <c r="B27" s="602" t="n"/>
      <c r="C27" s="602" t="n"/>
      <c r="D27" s="602" t="n"/>
      <c r="E27" s="602" t="n"/>
      <c r="F27" s="602" t="n"/>
      <c r="G27" s="602" t="n"/>
      <c r="H27" s="602" t="n"/>
      <c r="I27" s="602" t="n"/>
      <c r="J27" s="602" t="n"/>
      <c r="K27" s="602" t="n"/>
      <c r="L27" s="602" t="n"/>
      <c r="M27" s="602" t="n"/>
      <c r="N27" s="602" t="n"/>
      <c r="O27" s="602" t="n"/>
      <c r="P27" s="602" t="n"/>
      <c r="Q27" s="602" t="n"/>
      <c r="R27" s="602" t="n"/>
      <c r="S27" s="602" t="n"/>
      <c r="T27" s="602" t="n"/>
      <c r="U27" s="602" t="n"/>
      <c r="V27" s="602" t="n"/>
      <c r="W27" s="602" t="n"/>
      <c r="X27" s="602" t="n"/>
      <c r="Y27" s="602" t="n"/>
      <c r="Z27" s="602" t="n"/>
      <c r="AA27" s="602" t="n"/>
      <c r="AB27" s="602" t="n"/>
      <c r="AC27" s="602" t="n"/>
      <c r="AD27" s="602" t="n"/>
      <c r="AE27" s="602" t="n"/>
      <c r="AF27" s="602" t="n"/>
      <c r="AG27" s="602" t="n"/>
      <c r="AH27" s="602" t="n"/>
      <c r="AI27" s="602" t="n"/>
      <c r="AJ27" s="602" t="n"/>
      <c r="AK27" s="602" t="n"/>
      <c r="AL27" s="602" t="n"/>
      <c r="AM27" s="602" t="n"/>
      <c r="AN27" s="602" t="n"/>
      <c r="AO27" s="602" t="n"/>
      <c r="AP27" s="602" t="n"/>
      <c r="AQ27" s="602" t="n"/>
      <c r="AR27" s="602" t="n"/>
      <c r="AS27" s="602" t="n"/>
      <c r="AT27" s="602" t="n"/>
      <c r="AU27" s="602" t="n"/>
      <c r="AV27" s="602" t="n"/>
      <c r="AW27" s="602" t="n"/>
      <c r="AX27" s="602" t="n"/>
      <c r="AY27" s="602" t="n"/>
      <c r="AZ27" s="602" t="n"/>
      <c r="BA27" s="602" t="n"/>
      <c r="BB27" s="602" t="n"/>
      <c r="BC27" s="602" t="n"/>
      <c r="BD27" s="602" t="n"/>
      <c r="BE27" s="602" t="n"/>
      <c r="BF27" s="602" t="n"/>
      <c r="BG27" s="602" t="n"/>
      <c r="BH27" s="602" t="n"/>
      <c r="BI27" s="602" t="n"/>
      <c r="BJ27" s="602" t="n"/>
      <c r="BK27" s="602" t="n"/>
      <c r="BL27" s="602" t="n"/>
      <c r="BM27" s="602" t="n"/>
      <c r="BN27" s="602" t="n"/>
      <c r="BO27" s="602" t="n"/>
      <c r="BP27" s="602" t="n"/>
      <c r="BQ27" s="602" t="n"/>
      <c r="BR27" s="602" t="n"/>
      <c r="BS27" s="602" t="n"/>
      <c r="BT27" s="602" t="n"/>
      <c r="BU27" s="602" t="n"/>
      <c r="BV27" s="602" t="n"/>
      <c r="BW27" s="602" t="n"/>
      <c r="BX27" s="602" t="n"/>
      <c r="BY27" s="602" t="n"/>
      <c r="BZ27" s="602" t="n"/>
      <c r="CA27" s="602" t="n"/>
      <c r="CB27" s="602" t="n"/>
      <c r="CC27" s="602" t="n"/>
      <c r="CD27" s="602" t="n"/>
      <c r="CE27" s="602" t="n"/>
      <c r="CF27" s="602" t="n"/>
      <c r="CG27" s="602" t="n"/>
      <c r="CH27" s="602" t="n"/>
      <c r="CI27" s="602" t="n"/>
      <c r="CJ27" s="602" t="n"/>
      <c r="CK27" s="602" t="n"/>
      <c r="CL27" s="602" t="n"/>
      <c r="CM27" s="602" t="n"/>
      <c r="CN27" s="602" t="n"/>
      <c r="CO27" s="602" t="n"/>
      <c r="CP27" s="602" t="n"/>
      <c r="CQ27" s="602" t="n"/>
      <c r="CR27" s="602" t="n"/>
      <c r="CS27" s="602" t="n"/>
      <c r="CT27" s="602" t="n"/>
      <c r="CU27" s="602" t="n"/>
      <c r="CV27" s="602" t="n"/>
      <c r="CW27" s="602" t="n"/>
      <c r="CX27" s="602" t="n"/>
      <c r="CY27" s="602" t="n"/>
      <c r="CZ27" s="602" t="n"/>
      <c r="DA27" s="602" t="n"/>
      <c r="DB27" s="602" t="n"/>
      <c r="DC27" s="602" t="n"/>
      <c r="DD27" s="602" t="n"/>
      <c r="DE27" s="602" t="n"/>
      <c r="DF27" s="602" t="n"/>
      <c r="DG27" s="602" t="n"/>
      <c r="DH27" s="602" t="n"/>
      <c r="DI27" s="602" t="n"/>
      <c r="DJ27" s="602" t="n"/>
      <c r="DK27" s="602" t="n"/>
      <c r="DL27" s="602" t="n"/>
      <c r="DM27" s="602" t="n"/>
      <c r="DN27" s="602" t="n"/>
      <c r="DO27" s="602" t="n"/>
      <c r="DP27" s="602" t="n"/>
      <c r="DQ27" s="602" t="n"/>
      <c r="DR27" s="602" t="n"/>
      <c r="DS27" s="602" t="n"/>
      <c r="DT27" s="602" t="n"/>
      <c r="DU27" s="602" t="n"/>
      <c r="DV27" s="602" t="n"/>
      <c r="DW27" s="602" t="n"/>
      <c r="DX27" s="602" t="n"/>
      <c r="DY27" s="602" t="n"/>
      <c r="DZ27" s="602" t="n"/>
      <c r="EA27" s="602" t="n"/>
      <c r="EB27" s="602" t="n"/>
      <c r="EC27" s="602" t="n"/>
      <c r="ED27" s="602" t="n"/>
      <c r="EE27" s="602" t="n"/>
      <c r="EF27" s="602" t="n"/>
      <c r="EG27" s="602" t="n"/>
      <c r="EH27" s="602" t="n"/>
      <c r="EI27" s="602" t="n"/>
      <c r="EJ27" s="602" t="n"/>
      <c r="EK27" s="602" t="n"/>
      <c r="EL27" s="602" t="n"/>
      <c r="EM27" s="602" t="n"/>
      <c r="EN27" s="602" t="n"/>
      <c r="EO27" s="602" t="n"/>
      <c r="EP27" s="602" t="n"/>
      <c r="EQ27" s="602" t="n"/>
      <c r="ER27" s="602" t="n"/>
      <c r="ES27" s="602" t="n"/>
      <c r="ET27" s="602" t="n"/>
      <c r="EU27" s="602" t="n"/>
      <c r="EV27" s="602" t="n"/>
      <c r="EW27" s="602" t="n"/>
      <c r="EX27" s="602" t="n"/>
      <c r="EY27" s="602" t="n"/>
      <c r="EZ27" s="602" t="n"/>
      <c r="FA27" s="602" t="n"/>
      <c r="FB27" s="602" t="n"/>
      <c r="FC27" s="602" t="n"/>
      <c r="FD27" s="602" t="n"/>
      <c r="FE27" s="602" t="n"/>
      <c r="FF27" s="602" t="n"/>
      <c r="FG27" s="602" t="n"/>
      <c r="FH27" s="602" t="n"/>
      <c r="FI27" s="602" t="n"/>
      <c r="FJ27" s="602" t="n"/>
      <c r="FK27" s="602" t="n"/>
      <c r="FL27" s="602" t="n"/>
      <c r="FM27" s="602" t="n"/>
      <c r="FN27" s="602" t="n"/>
      <c r="FO27" s="602" t="n"/>
      <c r="FP27" s="488" t="n"/>
      <c r="FQ27" s="488" t="n"/>
      <c r="FR27" s="488" t="n"/>
      <c r="FS27" s="488" t="n"/>
      <c r="FT27" s="488" t="n"/>
      <c r="FU27" s="488" t="n"/>
      <c r="FV27" s="488" t="n"/>
      <c r="FW27" s="488" t="n"/>
      <c r="FX27" s="488" t="n"/>
      <c r="FY27" s="488" t="n"/>
      <c r="FZ27" s="488" t="n"/>
      <c r="GA27" s="488" t="n"/>
      <c r="GB27" s="488" t="n"/>
      <c r="GC27" s="488" t="n"/>
      <c r="GD27" s="488" t="n"/>
      <c r="GE27" s="488" t="n"/>
      <c r="GF27" s="488" t="n"/>
      <c r="GG27" s="488" t="n"/>
      <c r="GH27" s="488" t="n"/>
      <c r="GI27" s="488" t="n"/>
      <c r="GJ27" s="488" t="n"/>
      <c r="GK27" s="488" t="n"/>
      <c r="GL27" s="488" t="n"/>
      <c r="GM27" s="488" t="n"/>
      <c r="GN27" s="488" t="n"/>
      <c r="GO27" s="488" t="n"/>
      <c r="GP27" s="488" t="n"/>
      <c r="GQ27" s="488" t="n"/>
      <c r="GR27" s="488" t="n"/>
      <c r="GS27" s="488" t="n"/>
      <c r="GT27" s="488" t="n"/>
      <c r="GU27" s="488" t="n"/>
      <c r="GV27" s="488" t="n"/>
      <c r="GW27" s="488" t="n"/>
      <c r="GX27" s="488" t="n"/>
      <c r="GY27" s="488" t="n"/>
      <c r="GZ27" s="488" t="n"/>
      <c r="HA27" s="488" t="n"/>
      <c r="HB27" s="488" t="n"/>
      <c r="HC27" s="488" t="n"/>
      <c r="HD27" s="488" t="n"/>
      <c r="HE27" s="488" t="n"/>
      <c r="HF27" s="488" t="n"/>
      <c r="HG27" s="488" t="n"/>
      <c r="HH27" s="488" t="n"/>
      <c r="HI27" s="488" t="n"/>
      <c r="HJ27" s="488" t="n"/>
      <c r="HK27" s="488" t="n"/>
      <c r="HL27" s="488" t="n"/>
      <c r="HM27" s="488" t="n"/>
      <c r="HN27" s="488" t="n"/>
      <c r="HO27" s="488" t="n"/>
      <c r="HP27" s="488" t="n"/>
      <c r="HQ27" s="488" t="n"/>
      <c r="HR27" s="488" t="n"/>
      <c r="HS27" s="488" t="n"/>
      <c r="HT27" s="488" t="n"/>
      <c r="HU27" s="488" t="n"/>
      <c r="HV27" s="488" t="n"/>
      <c r="HW27" s="488" t="n"/>
      <c r="HX27" s="488" t="n"/>
      <c r="HY27" s="488" t="n"/>
      <c r="HZ27" s="488" t="n"/>
      <c r="IA27" s="488" t="n"/>
      <c r="IB27" s="488" t="n"/>
      <c r="IC27" s="488" t="n"/>
      <c r="ID27" s="488" t="n"/>
      <c r="IE27" s="488" t="n"/>
      <c r="IF27" s="488" t="n"/>
      <c r="IG27" s="488" t="n"/>
      <c r="IH27" s="488" t="n"/>
      <c r="II27" s="488" t="n"/>
      <c r="IJ27" s="488" t="n"/>
      <c r="IK27" s="488" t="n"/>
      <c r="IL27" s="488" t="n"/>
      <c r="IM27" s="488" t="n"/>
      <c r="IN27" s="488" t="n"/>
      <c r="IO27" s="488" t="n"/>
      <c r="IP27" s="488" t="n"/>
      <c r="IQ27" s="488" t="n"/>
      <c r="IR27" s="488" t="n"/>
      <c r="IS27" s="488" t="n"/>
      <c r="IT27" s="488" t="n"/>
      <c r="IU27" s="488" t="n"/>
      <c r="IV27" s="488" t="n"/>
    </row>
    <row r="28" customFormat="1" s="448">
      <c r="A28" s="599" t="n"/>
      <c r="B28" s="600" t="n"/>
      <c r="C28" s="600" t="n"/>
      <c r="D28" s="600" t="n"/>
      <c r="E28" s="600" t="n"/>
      <c r="F28" s="600" t="n"/>
      <c r="G28" s="600" t="n"/>
      <c r="H28" s="600" t="n"/>
      <c r="I28" s="600" t="n"/>
      <c r="J28" s="600" t="n"/>
      <c r="K28" s="600" t="n"/>
      <c r="L28" s="600" t="n"/>
      <c r="M28" s="600" t="n"/>
      <c r="N28" s="600" t="n"/>
      <c r="O28" s="600" t="n"/>
      <c r="P28" s="600" t="n"/>
      <c r="Q28" s="600" t="n"/>
      <c r="R28" s="600" t="n"/>
      <c r="S28" s="600" t="n"/>
      <c r="T28" s="600" t="n"/>
      <c r="U28" s="600" t="n"/>
      <c r="V28" s="600" t="n"/>
      <c r="W28" s="600" t="n"/>
      <c r="X28" s="600" t="n"/>
      <c r="Y28" s="600" t="n"/>
      <c r="Z28" s="600" t="n"/>
      <c r="AA28" s="600" t="n"/>
      <c r="AB28" s="600" t="n"/>
      <c r="AC28" s="600" t="n"/>
      <c r="AD28" s="600" t="n"/>
      <c r="AE28" s="600" t="n"/>
      <c r="AF28" s="600" t="n"/>
      <c r="AG28" s="600" t="n"/>
      <c r="AH28" s="600" t="n"/>
      <c r="AI28" s="600" t="n"/>
      <c r="AJ28" s="600" t="n"/>
      <c r="AK28" s="600" t="n"/>
      <c r="AL28" s="600" t="n"/>
      <c r="AM28" s="600" t="n"/>
      <c r="AN28" s="600" t="n"/>
      <c r="AO28" s="600" t="n"/>
      <c r="AP28" s="600" t="n"/>
      <c r="AQ28" s="600" t="n"/>
      <c r="AR28" s="600" t="n"/>
      <c r="AS28" s="600" t="n"/>
      <c r="AT28" s="600" t="n"/>
      <c r="AU28" s="600" t="n"/>
      <c r="AV28" s="600" t="n"/>
      <c r="AW28" s="600" t="n"/>
      <c r="AX28" s="600" t="n"/>
      <c r="AY28" s="600" t="n"/>
      <c r="AZ28" s="600" t="n"/>
      <c r="BA28" s="600" t="n"/>
      <c r="BB28" s="600" t="n"/>
      <c r="BC28" s="600" t="n"/>
      <c r="BD28" s="600" t="n"/>
      <c r="BE28" s="600" t="n"/>
      <c r="BF28" s="600" t="n"/>
      <c r="BG28" s="600" t="n"/>
      <c r="BH28" s="600" t="n"/>
      <c r="BI28" s="600" t="n"/>
      <c r="BJ28" s="600" t="n"/>
      <c r="BK28" s="600" t="n"/>
      <c r="BL28" s="600" t="n"/>
      <c r="BM28" s="600" t="n"/>
      <c r="BN28" s="600" t="n"/>
      <c r="BO28" s="600" t="n"/>
      <c r="BP28" s="600" t="n"/>
      <c r="BQ28" s="600" t="n"/>
      <c r="BR28" s="600" t="n"/>
      <c r="BS28" s="600" t="n"/>
      <c r="BT28" s="600" t="n"/>
      <c r="BU28" s="600" t="n"/>
      <c r="BV28" s="600" t="n"/>
      <c r="BW28" s="600" t="n"/>
      <c r="BX28" s="600" t="n"/>
      <c r="BY28" s="600" t="n"/>
      <c r="BZ28" s="600" t="n"/>
      <c r="CA28" s="600" t="n"/>
      <c r="CB28" s="600" t="n"/>
      <c r="CC28" s="600" t="n"/>
      <c r="CD28" s="600" t="n"/>
      <c r="CE28" s="600" t="n"/>
      <c r="CF28" s="600" t="n"/>
      <c r="CG28" s="600" t="n"/>
      <c r="CH28" s="600" t="n"/>
      <c r="CI28" s="600" t="n"/>
      <c r="CJ28" s="600" t="n"/>
      <c r="CK28" s="600" t="n"/>
      <c r="CL28" s="600" t="n"/>
      <c r="CM28" s="600" t="n"/>
      <c r="CN28" s="600" t="n"/>
      <c r="CO28" s="600" t="n"/>
      <c r="CP28" s="600" t="n"/>
      <c r="CQ28" s="600" t="n"/>
      <c r="CR28" s="600" t="n"/>
      <c r="CS28" s="600" t="n"/>
      <c r="CT28" s="600" t="n"/>
      <c r="CU28" s="600" t="n"/>
      <c r="CV28" s="600" t="n"/>
      <c r="CW28" s="600" t="n"/>
      <c r="CX28" s="600" t="n"/>
      <c r="CY28" s="600" t="n"/>
      <c r="CZ28" s="600" t="n"/>
      <c r="DA28" s="600" t="n"/>
      <c r="DB28" s="600" t="n"/>
      <c r="DC28" s="600" t="n"/>
      <c r="DD28" s="600" t="n"/>
      <c r="DE28" s="600" t="n"/>
      <c r="DF28" s="600" t="n"/>
      <c r="DG28" s="600" t="n"/>
      <c r="DH28" s="600" t="n"/>
      <c r="DI28" s="600" t="n"/>
      <c r="DJ28" s="600" t="n"/>
      <c r="DK28" s="600" t="n"/>
      <c r="DL28" s="600" t="n"/>
      <c r="DM28" s="600" t="n"/>
      <c r="DN28" s="600" t="n"/>
      <c r="DO28" s="600" t="n"/>
      <c r="DP28" s="600" t="n"/>
      <c r="DQ28" s="600" t="n"/>
      <c r="DR28" s="600" t="n"/>
      <c r="DS28" s="600" t="n"/>
      <c r="DT28" s="600" t="n"/>
      <c r="DU28" s="600" t="n"/>
      <c r="DV28" s="600" t="n"/>
      <c r="DW28" s="600" t="n"/>
      <c r="DX28" s="600" t="n"/>
      <c r="DY28" s="600" t="n"/>
      <c r="DZ28" s="600" t="n"/>
      <c r="EA28" s="600" t="n"/>
      <c r="EB28" s="600" t="n"/>
      <c r="EC28" s="600" t="n"/>
      <c r="ED28" s="600" t="n"/>
      <c r="EE28" s="600" t="n"/>
      <c r="EF28" s="600" t="n"/>
      <c r="EG28" s="600" t="n"/>
      <c r="EH28" s="600" t="n"/>
      <c r="EI28" s="600" t="n"/>
      <c r="EJ28" s="600" t="n"/>
      <c r="EK28" s="600" t="n"/>
      <c r="EL28" s="600" t="n"/>
      <c r="EM28" s="600" t="n"/>
      <c r="EN28" s="600" t="n"/>
      <c r="EO28" s="600" t="n"/>
      <c r="EP28" s="600" t="n"/>
      <c r="EQ28" s="600" t="n"/>
      <c r="ER28" s="600" t="n"/>
      <c r="ES28" s="600" t="n"/>
      <c r="ET28" s="600" t="n"/>
      <c r="EU28" s="600" t="n"/>
      <c r="EV28" s="600" t="n"/>
      <c r="EW28" s="600" t="n"/>
      <c r="EX28" s="600" t="n"/>
      <c r="EY28" s="600" t="n"/>
      <c r="EZ28" s="600" t="n"/>
      <c r="FA28" s="600" t="n"/>
      <c r="FB28" s="600" t="n"/>
      <c r="FC28" s="600" t="n"/>
      <c r="FD28" s="600" t="n"/>
      <c r="FE28" s="600" t="n"/>
      <c r="FF28" s="600" t="n"/>
      <c r="FG28" s="600" t="n"/>
      <c r="FH28" s="600" t="n"/>
      <c r="FI28" s="600" t="n"/>
      <c r="FJ28" s="600" t="n"/>
      <c r="FK28" s="600" t="n"/>
      <c r="FL28" s="600" t="n"/>
      <c r="FM28" s="600" t="n"/>
      <c r="FN28" s="600" t="n"/>
      <c r="FO28" s="600" t="n"/>
      <c r="FP28" s="488" t="n"/>
      <c r="FQ28" s="488" t="n"/>
      <c r="FR28" s="488" t="n"/>
      <c r="FS28" s="488" t="n"/>
      <c r="FT28" s="488" t="n"/>
      <c r="FU28" s="488" t="n"/>
      <c r="FV28" s="488" t="n"/>
      <c r="FW28" s="488" t="n"/>
      <c r="FX28" s="488" t="n"/>
      <c r="FY28" s="488" t="n"/>
      <c r="FZ28" s="488" t="n"/>
      <c r="GA28" s="488" t="n"/>
      <c r="GB28" s="488" t="n"/>
      <c r="GC28" s="488" t="n"/>
      <c r="GD28" s="488" t="n"/>
      <c r="GE28" s="488" t="n"/>
      <c r="GF28" s="488" t="n"/>
      <c r="GG28" s="488" t="n"/>
      <c r="GH28" s="488" t="n"/>
      <c r="GI28" s="488" t="n"/>
      <c r="GJ28" s="488" t="n"/>
      <c r="GK28" s="488" t="n"/>
      <c r="GL28" s="488" t="n"/>
      <c r="GM28" s="488" t="n"/>
      <c r="GN28" s="488" t="n"/>
      <c r="GO28" s="488" t="n"/>
      <c r="GP28" s="488" t="n"/>
      <c r="GQ28" s="488" t="n"/>
      <c r="GR28" s="488" t="n"/>
      <c r="GS28" s="488" t="n"/>
      <c r="GT28" s="488" t="n"/>
      <c r="GU28" s="488" t="n"/>
      <c r="GV28" s="488" t="n"/>
      <c r="GW28" s="488" t="n"/>
      <c r="GX28" s="488" t="n"/>
      <c r="GY28" s="488" t="n"/>
      <c r="GZ28" s="488" t="n"/>
      <c r="HA28" s="488" t="n"/>
      <c r="HB28" s="488" t="n"/>
      <c r="HC28" s="488" t="n"/>
      <c r="HD28" s="488" t="n"/>
      <c r="HE28" s="488" t="n"/>
      <c r="HF28" s="488" t="n"/>
      <c r="HG28" s="488" t="n"/>
      <c r="HH28" s="488" t="n"/>
      <c r="HI28" s="488" t="n"/>
      <c r="HJ28" s="488" t="n"/>
      <c r="HK28" s="488" t="n"/>
      <c r="HL28" s="488" t="n"/>
      <c r="HM28" s="488" t="n"/>
      <c r="HN28" s="488" t="n"/>
      <c r="HO28" s="488" t="n"/>
      <c r="HP28" s="488" t="n"/>
      <c r="HQ28" s="488" t="n"/>
      <c r="HR28" s="488" t="n"/>
      <c r="HS28" s="488" t="n"/>
      <c r="HT28" s="488" t="n"/>
      <c r="HU28" s="488" t="n"/>
      <c r="HV28" s="488" t="n"/>
      <c r="HW28" s="488" t="n"/>
      <c r="HX28" s="488" t="n"/>
      <c r="HY28" s="488" t="n"/>
      <c r="HZ28" s="488" t="n"/>
      <c r="IA28" s="488" t="n"/>
      <c r="IB28" s="488" t="n"/>
      <c r="IC28" s="488" t="n"/>
      <c r="ID28" s="488" t="n"/>
      <c r="IE28" s="488" t="n"/>
      <c r="IF28" s="488" t="n"/>
      <c r="IG28" s="488" t="n"/>
      <c r="IH28" s="488" t="n"/>
      <c r="II28" s="488" t="n"/>
      <c r="IJ28" s="488" t="n"/>
      <c r="IK28" s="488" t="n"/>
      <c r="IL28" s="488" t="n"/>
      <c r="IM28" s="488" t="n"/>
      <c r="IN28" s="488" t="n"/>
      <c r="IO28" s="488" t="n"/>
      <c r="IP28" s="488" t="n"/>
      <c r="IQ28" s="488" t="n"/>
      <c r="IR28" s="488" t="n"/>
      <c r="IS28" s="488" t="n"/>
      <c r="IT28" s="488" t="n"/>
      <c r="IU28" s="488" t="n"/>
      <c r="IV28" s="488" t="n"/>
    </row>
    <row r="29" ht="7" customFormat="1" customHeight="1" s="448">
      <c r="A29" s="601" t="n"/>
      <c r="B29" s="602" t="n"/>
      <c r="C29" s="602" t="n"/>
      <c r="D29" s="602" t="n"/>
      <c r="E29" s="602" t="n"/>
      <c r="F29" s="602" t="n"/>
      <c r="G29" s="602" t="n"/>
      <c r="H29" s="602" t="n"/>
      <c r="I29" s="602" t="n"/>
      <c r="J29" s="602" t="n"/>
      <c r="K29" s="602" t="n"/>
      <c r="L29" s="602" t="n"/>
      <c r="M29" s="602" t="n"/>
      <c r="N29" s="602" t="n"/>
      <c r="O29" s="602" t="n"/>
      <c r="P29" s="602" t="n"/>
      <c r="Q29" s="602" t="n"/>
      <c r="R29" s="602" t="n"/>
      <c r="S29" s="602" t="n"/>
      <c r="T29" s="602" t="n"/>
      <c r="U29" s="602" t="n"/>
      <c r="V29" s="602" t="n"/>
      <c r="W29" s="602" t="n"/>
      <c r="X29" s="602" t="n"/>
      <c r="Y29" s="602" t="n"/>
      <c r="Z29" s="602" t="n"/>
      <c r="AA29" s="602" t="n"/>
      <c r="AB29" s="602" t="n"/>
      <c r="AC29" s="602" t="n"/>
      <c r="AD29" s="602" t="n"/>
      <c r="AE29" s="602" t="n"/>
      <c r="AF29" s="602" t="n"/>
      <c r="AG29" s="602" t="n"/>
      <c r="AH29" s="602" t="n"/>
      <c r="AI29" s="602" t="n"/>
      <c r="AJ29" s="602" t="n"/>
      <c r="AK29" s="602" t="n"/>
      <c r="AL29" s="602" t="n"/>
      <c r="AM29" s="602" t="n"/>
      <c r="AN29" s="602" t="n"/>
      <c r="AO29" s="602" t="n"/>
      <c r="AP29" s="602" t="n"/>
      <c r="AQ29" s="602" t="n"/>
      <c r="AR29" s="602" t="n"/>
      <c r="AS29" s="602" t="n"/>
      <c r="AT29" s="602" t="n"/>
      <c r="AU29" s="602" t="n"/>
      <c r="AV29" s="602" t="n"/>
      <c r="AW29" s="602" t="n"/>
      <c r="AX29" s="602" t="n"/>
      <c r="AY29" s="602" t="n"/>
      <c r="AZ29" s="602" t="n"/>
      <c r="BA29" s="602" t="n"/>
      <c r="BB29" s="602" t="n"/>
      <c r="BC29" s="602" t="n"/>
      <c r="BD29" s="602" t="n"/>
      <c r="BE29" s="602" t="n"/>
      <c r="BF29" s="602" t="n"/>
      <c r="BG29" s="602" t="n"/>
      <c r="BH29" s="602" t="n"/>
      <c r="BI29" s="602" t="n"/>
      <c r="BJ29" s="602" t="n"/>
      <c r="BK29" s="602" t="n"/>
      <c r="BL29" s="602" t="n"/>
      <c r="BM29" s="602" t="n"/>
      <c r="BN29" s="602" t="n"/>
      <c r="BO29" s="602" t="n"/>
      <c r="BP29" s="602" t="n"/>
      <c r="BQ29" s="602" t="n"/>
      <c r="BR29" s="602" t="n"/>
      <c r="BS29" s="602" t="n"/>
      <c r="BT29" s="602" t="n"/>
      <c r="BU29" s="602" t="n"/>
      <c r="BV29" s="602" t="n"/>
      <c r="BW29" s="602" t="n"/>
      <c r="BX29" s="602" t="n"/>
      <c r="BY29" s="602" t="n"/>
      <c r="BZ29" s="602" t="n"/>
      <c r="CA29" s="602" t="n"/>
      <c r="CB29" s="602" t="n"/>
      <c r="CC29" s="602" t="n"/>
      <c r="CD29" s="602" t="n"/>
      <c r="CE29" s="602" t="n"/>
      <c r="CF29" s="602" t="n"/>
      <c r="CG29" s="602" t="n"/>
      <c r="CH29" s="602" t="n"/>
      <c r="CI29" s="602" t="n"/>
      <c r="CJ29" s="602" t="n"/>
      <c r="CK29" s="602" t="n"/>
      <c r="CL29" s="602" t="n"/>
      <c r="CM29" s="602" t="n"/>
      <c r="CN29" s="602" t="n"/>
      <c r="CO29" s="602" t="n"/>
      <c r="CP29" s="602" t="n"/>
      <c r="CQ29" s="602" t="n"/>
      <c r="CR29" s="602" t="n"/>
      <c r="CS29" s="602" t="n"/>
      <c r="CT29" s="602" t="n"/>
      <c r="CU29" s="602" t="n"/>
      <c r="CV29" s="602" t="n"/>
      <c r="CW29" s="602" t="n"/>
      <c r="CX29" s="602" t="n"/>
      <c r="CY29" s="602" t="n"/>
      <c r="CZ29" s="602" t="n"/>
      <c r="DA29" s="602" t="n"/>
      <c r="DB29" s="602" t="n"/>
      <c r="DC29" s="602" t="n"/>
      <c r="DD29" s="602" t="n"/>
      <c r="DE29" s="602" t="n"/>
      <c r="DF29" s="602" t="n"/>
      <c r="DG29" s="602" t="n"/>
      <c r="DH29" s="602" t="n"/>
      <c r="DI29" s="602" t="n"/>
      <c r="DJ29" s="602" t="n"/>
      <c r="DK29" s="602" t="n"/>
      <c r="DL29" s="602" t="n"/>
      <c r="DM29" s="602" t="n"/>
      <c r="DN29" s="602" t="n"/>
      <c r="DO29" s="602" t="n"/>
      <c r="DP29" s="602" t="n"/>
      <c r="DQ29" s="602" t="n"/>
      <c r="DR29" s="602" t="n"/>
      <c r="DS29" s="602" t="n"/>
      <c r="DT29" s="602" t="n"/>
      <c r="DU29" s="602" t="n"/>
      <c r="DV29" s="602" t="n"/>
      <c r="DW29" s="602" t="n"/>
      <c r="DX29" s="602" t="n"/>
      <c r="DY29" s="602" t="n"/>
      <c r="DZ29" s="602" t="n"/>
      <c r="EA29" s="602" t="n"/>
      <c r="EB29" s="602" t="n"/>
      <c r="EC29" s="602" t="n"/>
      <c r="ED29" s="602" t="n"/>
      <c r="EE29" s="602" t="n"/>
      <c r="EF29" s="602" t="n"/>
      <c r="EG29" s="602" t="n"/>
      <c r="EH29" s="602" t="n"/>
      <c r="EI29" s="602" t="n"/>
      <c r="EJ29" s="602" t="n"/>
      <c r="EK29" s="602" t="n"/>
      <c r="EL29" s="602" t="n"/>
      <c r="EM29" s="602" t="n"/>
      <c r="EN29" s="602" t="n"/>
      <c r="EO29" s="602" t="n"/>
      <c r="EP29" s="602" t="n"/>
      <c r="EQ29" s="602" t="n"/>
      <c r="ER29" s="602" t="n"/>
      <c r="ES29" s="602" t="n"/>
      <c r="ET29" s="602" t="n"/>
      <c r="EU29" s="602" t="n"/>
      <c r="EV29" s="602" t="n"/>
      <c r="EW29" s="602" t="n"/>
      <c r="EX29" s="602" t="n"/>
      <c r="EY29" s="602" t="n"/>
      <c r="EZ29" s="602" t="n"/>
      <c r="FA29" s="602" t="n"/>
      <c r="FB29" s="602" t="n"/>
      <c r="FC29" s="602" t="n"/>
      <c r="FD29" s="602" t="n"/>
      <c r="FE29" s="602" t="n"/>
      <c r="FF29" s="602" t="n"/>
      <c r="FG29" s="602" t="n"/>
      <c r="FH29" s="602" t="n"/>
      <c r="FI29" s="602" t="n"/>
      <c r="FJ29" s="602" t="n"/>
      <c r="FK29" s="602" t="n"/>
      <c r="FL29" s="602" t="n"/>
      <c r="FM29" s="602" t="n"/>
      <c r="FN29" s="602" t="n"/>
      <c r="FO29" s="602" t="n"/>
      <c r="FP29" s="488" t="n"/>
      <c r="FQ29" s="488" t="n"/>
      <c r="FR29" s="488" t="n"/>
      <c r="FS29" s="488" t="n"/>
      <c r="FT29" s="488" t="n"/>
      <c r="FU29" s="488" t="n"/>
      <c r="FV29" s="488" t="n"/>
      <c r="FW29" s="488" t="n"/>
      <c r="FX29" s="488" t="n"/>
      <c r="FY29" s="488" t="n"/>
      <c r="FZ29" s="488" t="n"/>
      <c r="GA29" s="488" t="n"/>
      <c r="GB29" s="488" t="n"/>
      <c r="GC29" s="488" t="n"/>
      <c r="GD29" s="488" t="n"/>
      <c r="GE29" s="488" t="n"/>
      <c r="GF29" s="488" t="n"/>
      <c r="GG29" s="488" t="n"/>
      <c r="GH29" s="488" t="n"/>
      <c r="GI29" s="488" t="n"/>
      <c r="GJ29" s="488" t="n"/>
      <c r="GK29" s="488" t="n"/>
      <c r="GL29" s="488" t="n"/>
      <c r="GM29" s="488" t="n"/>
      <c r="GN29" s="488" t="n"/>
      <c r="GO29" s="488" t="n"/>
      <c r="GP29" s="488" t="n"/>
      <c r="GQ29" s="488" t="n"/>
      <c r="GR29" s="488" t="n"/>
      <c r="GS29" s="488" t="n"/>
      <c r="GT29" s="488" t="n"/>
      <c r="GU29" s="488" t="n"/>
      <c r="GV29" s="488" t="n"/>
      <c r="GW29" s="488" t="n"/>
      <c r="GX29" s="488" t="n"/>
      <c r="GY29" s="488" t="n"/>
      <c r="GZ29" s="488" t="n"/>
      <c r="HA29" s="488" t="n"/>
      <c r="HB29" s="488" t="n"/>
      <c r="HC29" s="488" t="n"/>
      <c r="HD29" s="488" t="n"/>
      <c r="HE29" s="488" t="n"/>
      <c r="HF29" s="488" t="n"/>
      <c r="HG29" s="488" t="n"/>
      <c r="HH29" s="488" t="n"/>
      <c r="HI29" s="488" t="n"/>
      <c r="HJ29" s="488" t="n"/>
      <c r="HK29" s="488" t="n"/>
      <c r="HL29" s="488" t="n"/>
      <c r="HM29" s="488" t="n"/>
      <c r="HN29" s="488" t="n"/>
      <c r="HO29" s="488" t="n"/>
      <c r="HP29" s="488" t="n"/>
      <c r="HQ29" s="488" t="n"/>
      <c r="HR29" s="488" t="n"/>
      <c r="HS29" s="488" t="n"/>
      <c r="HT29" s="488" t="n"/>
      <c r="HU29" s="488" t="n"/>
      <c r="HV29" s="488" t="n"/>
      <c r="HW29" s="488" t="n"/>
      <c r="HX29" s="488" t="n"/>
      <c r="HY29" s="488" t="n"/>
      <c r="HZ29" s="488" t="n"/>
      <c r="IA29" s="488" t="n"/>
      <c r="IB29" s="488" t="n"/>
      <c r="IC29" s="488" t="n"/>
      <c r="ID29" s="488" t="n"/>
      <c r="IE29" s="488" t="n"/>
      <c r="IF29" s="488" t="n"/>
      <c r="IG29" s="488" t="n"/>
      <c r="IH29" s="488" t="n"/>
      <c r="II29" s="488" t="n"/>
      <c r="IJ29" s="488" t="n"/>
      <c r="IK29" s="488" t="n"/>
      <c r="IL29" s="488" t="n"/>
      <c r="IM29" s="488" t="n"/>
      <c r="IN29" s="488" t="n"/>
      <c r="IO29" s="488" t="n"/>
      <c r="IP29" s="488" t="n"/>
      <c r="IQ29" s="488" t="n"/>
      <c r="IR29" s="488" t="n"/>
      <c r="IS29" s="488" t="n"/>
      <c r="IT29" s="488" t="n"/>
      <c r="IU29" s="488" t="n"/>
      <c r="IV29" s="488" t="n"/>
    </row>
    <row r="30" customFormat="1" s="448">
      <c r="A30" s="599" t="n"/>
      <c r="B30" s="600" t="n"/>
      <c r="C30" s="600" t="n"/>
      <c r="D30" s="600" t="n"/>
      <c r="E30" s="600" t="n"/>
      <c r="F30" s="600" t="n"/>
      <c r="G30" s="600" t="n"/>
      <c r="H30" s="600" t="n"/>
      <c r="I30" s="600" t="n"/>
      <c r="J30" s="600" t="n"/>
      <c r="K30" s="600" t="n"/>
      <c r="L30" s="600" t="n"/>
      <c r="M30" s="600" t="n"/>
      <c r="N30" s="600" t="n"/>
      <c r="O30" s="600" t="n"/>
      <c r="P30" s="600" t="n"/>
      <c r="Q30" s="600" t="n"/>
      <c r="R30" s="600" t="n"/>
      <c r="S30" s="600" t="n"/>
      <c r="T30" s="600" t="n"/>
      <c r="U30" s="600" t="n"/>
      <c r="V30" s="600" t="n"/>
      <c r="W30" s="600" t="n"/>
      <c r="X30" s="600" t="n"/>
      <c r="Y30" s="600" t="n"/>
      <c r="Z30" s="600" t="n"/>
      <c r="AA30" s="600" t="n"/>
      <c r="AB30" s="600" t="n"/>
      <c r="AC30" s="600" t="n"/>
      <c r="AD30" s="600" t="n"/>
      <c r="AE30" s="600" t="n"/>
      <c r="AF30" s="600" t="n"/>
      <c r="AG30" s="600" t="n"/>
      <c r="AH30" s="600" t="n"/>
      <c r="AI30" s="600" t="n"/>
      <c r="AJ30" s="600" t="n"/>
      <c r="AK30" s="600" t="n"/>
      <c r="AL30" s="600" t="n"/>
      <c r="AM30" s="600" t="n"/>
      <c r="AN30" s="600" t="n"/>
      <c r="AO30" s="600" t="n"/>
      <c r="AP30" s="600" t="n"/>
      <c r="AQ30" s="600" t="n"/>
      <c r="AR30" s="600" t="n"/>
      <c r="AS30" s="600" t="n"/>
      <c r="AT30" s="600" t="n"/>
      <c r="AU30" s="600" t="n"/>
      <c r="AV30" s="600" t="n"/>
      <c r="AW30" s="600" t="n"/>
      <c r="AX30" s="600" t="n"/>
      <c r="AY30" s="600" t="n"/>
      <c r="AZ30" s="600" t="n"/>
      <c r="BA30" s="600" t="n"/>
      <c r="BB30" s="600" t="n"/>
      <c r="BC30" s="600" t="n"/>
      <c r="BD30" s="600" t="n"/>
      <c r="BE30" s="600" t="n"/>
      <c r="BF30" s="600" t="n"/>
      <c r="BG30" s="600" t="n"/>
      <c r="BH30" s="600" t="n"/>
      <c r="BI30" s="600" t="n"/>
      <c r="BJ30" s="600" t="n"/>
      <c r="BK30" s="600" t="n"/>
      <c r="BL30" s="600" t="n"/>
      <c r="BM30" s="600" t="n"/>
      <c r="BN30" s="600" t="n"/>
      <c r="BO30" s="600" t="n"/>
      <c r="BP30" s="600" t="n"/>
      <c r="BQ30" s="600" t="n"/>
      <c r="BR30" s="600" t="n"/>
      <c r="BS30" s="600" t="n"/>
      <c r="BT30" s="600" t="n"/>
      <c r="BU30" s="600" t="n"/>
      <c r="BV30" s="600" t="n"/>
      <c r="BW30" s="600" t="n"/>
      <c r="BX30" s="600" t="n"/>
      <c r="BY30" s="600" t="n"/>
      <c r="BZ30" s="600" t="n"/>
      <c r="CA30" s="600" t="n"/>
      <c r="CB30" s="600" t="n"/>
      <c r="CC30" s="600" t="n"/>
      <c r="CD30" s="600" t="n"/>
      <c r="CE30" s="600" t="n"/>
      <c r="CF30" s="600" t="n"/>
      <c r="CG30" s="600" t="n"/>
      <c r="CH30" s="600" t="n"/>
      <c r="CI30" s="600" t="n"/>
      <c r="CJ30" s="600" t="n"/>
      <c r="CK30" s="600" t="n"/>
      <c r="CL30" s="600" t="n"/>
      <c r="CM30" s="600" t="n"/>
      <c r="CN30" s="600" t="n"/>
      <c r="CO30" s="600" t="n"/>
      <c r="CP30" s="600" t="n"/>
      <c r="CQ30" s="600" t="n"/>
      <c r="CR30" s="600" t="n"/>
      <c r="CS30" s="600" t="n"/>
      <c r="CT30" s="600" t="n"/>
      <c r="CU30" s="600" t="n"/>
      <c r="CV30" s="600" t="n"/>
      <c r="CW30" s="600" t="n"/>
      <c r="CX30" s="600" t="n"/>
      <c r="CY30" s="600" t="n"/>
      <c r="CZ30" s="600" t="n"/>
      <c r="DA30" s="600" t="n"/>
      <c r="DB30" s="600" t="n"/>
      <c r="DC30" s="600" t="n"/>
      <c r="DD30" s="600" t="n"/>
      <c r="DE30" s="600" t="n"/>
      <c r="DF30" s="600" t="n"/>
      <c r="DG30" s="600" t="n"/>
      <c r="DH30" s="600" t="n"/>
      <c r="DI30" s="600" t="n"/>
      <c r="DJ30" s="600" t="n"/>
      <c r="DK30" s="600" t="n"/>
      <c r="DL30" s="600" t="n"/>
      <c r="DM30" s="600" t="n"/>
      <c r="DN30" s="600" t="n"/>
      <c r="DO30" s="600" t="n"/>
      <c r="DP30" s="600" t="n"/>
      <c r="DQ30" s="600" t="n"/>
      <c r="DR30" s="600" t="n"/>
      <c r="DS30" s="600" t="n"/>
      <c r="DT30" s="600" t="n"/>
      <c r="DU30" s="600" t="n"/>
      <c r="DV30" s="600" t="n"/>
      <c r="DW30" s="600" t="n"/>
      <c r="DX30" s="600" t="n"/>
      <c r="DY30" s="600" t="n"/>
      <c r="DZ30" s="600" t="n"/>
      <c r="EA30" s="600" t="n"/>
      <c r="EB30" s="600" t="n"/>
      <c r="EC30" s="600" t="n"/>
      <c r="ED30" s="600" t="n"/>
      <c r="EE30" s="600" t="n"/>
      <c r="EF30" s="600" t="n"/>
      <c r="EG30" s="600" t="n"/>
      <c r="EH30" s="600" t="n"/>
      <c r="EI30" s="600" t="n"/>
      <c r="EJ30" s="600" t="n"/>
      <c r="EK30" s="600" t="n"/>
      <c r="EL30" s="600" t="n"/>
      <c r="EM30" s="600" t="n"/>
      <c r="EN30" s="600" t="n"/>
      <c r="EO30" s="600" t="n"/>
      <c r="EP30" s="600" t="n"/>
      <c r="EQ30" s="600" t="n"/>
      <c r="ER30" s="600" t="n"/>
      <c r="ES30" s="600" t="n"/>
      <c r="ET30" s="600" t="n"/>
      <c r="EU30" s="600" t="n"/>
      <c r="EV30" s="600" t="n"/>
      <c r="EW30" s="600" t="n"/>
      <c r="EX30" s="600" t="n"/>
      <c r="EY30" s="600" t="n"/>
      <c r="EZ30" s="600" t="n"/>
      <c r="FA30" s="600" t="n"/>
      <c r="FB30" s="600" t="n"/>
      <c r="FC30" s="600" t="n"/>
      <c r="FD30" s="600" t="n"/>
      <c r="FE30" s="600" t="n"/>
      <c r="FF30" s="600" t="n"/>
      <c r="FG30" s="600" t="n"/>
      <c r="FH30" s="600" t="n"/>
      <c r="FI30" s="600" t="n"/>
      <c r="FJ30" s="600" t="n"/>
      <c r="FK30" s="600" t="n"/>
      <c r="FL30" s="600" t="n"/>
      <c r="FM30" s="600" t="n"/>
      <c r="FN30" s="600" t="n"/>
      <c r="FO30" s="600" t="n"/>
      <c r="FP30" s="488" t="n"/>
      <c r="FQ30" s="488" t="n"/>
      <c r="FR30" s="488" t="n"/>
      <c r="FS30" s="488" t="n"/>
      <c r="FT30" s="488" t="n"/>
      <c r="FU30" s="488" t="n"/>
      <c r="FV30" s="488" t="n"/>
      <c r="FW30" s="488" t="n"/>
      <c r="FX30" s="488" t="n"/>
      <c r="FY30" s="488" t="n"/>
      <c r="FZ30" s="488" t="n"/>
      <c r="GA30" s="488" t="n"/>
      <c r="GB30" s="488" t="n"/>
      <c r="GC30" s="488" t="n"/>
      <c r="GD30" s="488" t="n"/>
      <c r="GE30" s="488" t="n"/>
      <c r="GF30" s="488" t="n"/>
      <c r="GG30" s="488" t="n"/>
      <c r="GH30" s="488" t="n"/>
      <c r="GI30" s="488" t="n"/>
      <c r="GJ30" s="488" t="n"/>
      <c r="GK30" s="488" t="n"/>
      <c r="GL30" s="488" t="n"/>
      <c r="GM30" s="488" t="n"/>
      <c r="GN30" s="488" t="n"/>
      <c r="GO30" s="488" t="n"/>
      <c r="GP30" s="488" t="n"/>
      <c r="GQ30" s="488" t="n"/>
      <c r="GR30" s="488" t="n"/>
      <c r="GS30" s="488" t="n"/>
      <c r="GT30" s="488" t="n"/>
      <c r="GU30" s="488" t="n"/>
      <c r="GV30" s="488" t="n"/>
      <c r="GW30" s="488" t="n"/>
      <c r="GX30" s="488" t="n"/>
      <c r="GY30" s="488" t="n"/>
      <c r="GZ30" s="488" t="n"/>
      <c r="HA30" s="488" t="n"/>
      <c r="HB30" s="488" t="n"/>
      <c r="HC30" s="488" t="n"/>
      <c r="HD30" s="488" t="n"/>
      <c r="HE30" s="488" t="n"/>
      <c r="HF30" s="488" t="n"/>
      <c r="HG30" s="488" t="n"/>
      <c r="HH30" s="488" t="n"/>
      <c r="HI30" s="488" t="n"/>
      <c r="HJ30" s="488" t="n"/>
      <c r="HK30" s="488" t="n"/>
      <c r="HL30" s="488" t="n"/>
      <c r="HM30" s="488" t="n"/>
      <c r="HN30" s="488" t="n"/>
      <c r="HO30" s="488" t="n"/>
      <c r="HP30" s="488" t="n"/>
      <c r="HQ30" s="488" t="n"/>
      <c r="HR30" s="488" t="n"/>
      <c r="HS30" s="488" t="n"/>
      <c r="HT30" s="488" t="n"/>
      <c r="HU30" s="488" t="n"/>
      <c r="HV30" s="488" t="n"/>
      <c r="HW30" s="488" t="n"/>
      <c r="HX30" s="488" t="n"/>
      <c r="HY30" s="488" t="n"/>
      <c r="HZ30" s="488" t="n"/>
      <c r="IA30" s="488" t="n"/>
      <c r="IB30" s="488" t="n"/>
      <c r="IC30" s="488" t="n"/>
      <c r="ID30" s="488" t="n"/>
      <c r="IE30" s="488" t="n"/>
      <c r="IF30" s="488" t="n"/>
      <c r="IG30" s="488" t="n"/>
      <c r="IH30" s="488" t="n"/>
      <c r="II30" s="488" t="n"/>
      <c r="IJ30" s="488" t="n"/>
      <c r="IK30" s="488" t="n"/>
      <c r="IL30" s="488" t="n"/>
      <c r="IM30" s="488" t="n"/>
      <c r="IN30" s="488" t="n"/>
      <c r="IO30" s="488" t="n"/>
      <c r="IP30" s="488" t="n"/>
      <c r="IQ30" s="488" t="n"/>
      <c r="IR30" s="488" t="n"/>
      <c r="IS30" s="488" t="n"/>
      <c r="IT30" s="488" t="n"/>
      <c r="IU30" s="488" t="n"/>
      <c r="IV30" s="488" t="n"/>
    </row>
    <row r="32" ht="14" customHeight="1" thickBot="1">
      <c r="A32" s="488" t="n"/>
      <c r="B32" s="489" t="n"/>
      <c r="C32" s="489" t="n"/>
      <c r="D32" s="489" t="n"/>
      <c r="E32" s="489" t="n"/>
      <c r="F32" s="489" t="n"/>
      <c r="G32" s="489" t="n"/>
      <c r="H32" s="489" t="n"/>
      <c r="I32" s="489" t="n"/>
      <c r="J32" s="489" t="n"/>
      <c r="K32" s="489" t="n"/>
      <c r="L32" s="489" t="n"/>
      <c r="M32" s="489" t="n"/>
      <c r="N32" s="489" t="n"/>
      <c r="O32" s="489" t="n"/>
      <c r="P32" s="489" t="n"/>
      <c r="Q32" s="489" t="n"/>
      <c r="R32" s="489" t="n"/>
      <c r="S32" s="488" t="n"/>
      <c r="T32" s="488" t="n"/>
      <c r="U32" s="488" t="n"/>
      <c r="V32" s="488" t="n"/>
      <c r="W32" s="488" t="n"/>
      <c r="X32" s="488" t="n"/>
      <c r="Y32" s="488" t="n"/>
      <c r="Z32" s="488" t="n"/>
      <c r="AA32" s="488" t="n"/>
      <c r="AB32" s="488" t="n"/>
      <c r="AC32" s="488" t="n"/>
      <c r="AD32" s="488" t="n"/>
      <c r="AE32" s="488" t="n"/>
      <c r="AF32" s="488" t="n"/>
      <c r="AG32" s="488" t="n"/>
      <c r="AH32" s="488" t="n"/>
      <c r="AI32" s="488" t="n"/>
      <c r="AJ32" s="488" t="n"/>
      <c r="AK32" s="488" t="n"/>
      <c r="AL32" s="488" t="n"/>
      <c r="AM32" s="488" t="n"/>
      <c r="AN32" s="488" t="n"/>
      <c r="AO32" s="488" t="n"/>
      <c r="AP32" s="488" t="n"/>
      <c r="AQ32" s="488" t="n"/>
      <c r="AR32" s="488" t="n"/>
      <c r="AS32" s="488" t="n"/>
      <c r="AT32" s="488" t="n"/>
      <c r="AU32" s="488" t="n"/>
      <c r="AV32" s="488" t="n"/>
      <c r="AW32" s="488" t="n"/>
      <c r="AX32" s="488" t="n"/>
      <c r="AY32" s="488" t="n"/>
      <c r="AZ32" s="488" t="n"/>
      <c r="BA32" s="488" t="n"/>
      <c r="BB32" s="488" t="n"/>
      <c r="BC32" s="488" t="n"/>
      <c r="BD32" s="488" t="n"/>
      <c r="BE32" s="488" t="n"/>
      <c r="BF32" s="488" t="n"/>
      <c r="BG32" s="488" t="n"/>
      <c r="BH32" s="488" t="n"/>
      <c r="BI32" s="488" t="n"/>
      <c r="BJ32" s="488" t="n"/>
      <c r="BK32" s="488" t="n"/>
      <c r="BL32" s="488" t="n"/>
      <c r="BM32" s="488" t="n"/>
      <c r="BN32" s="488" t="n"/>
      <c r="BO32" s="488" t="n"/>
      <c r="BP32" s="488" t="n"/>
      <c r="BQ32" s="488" t="n"/>
      <c r="BR32" s="488" t="n"/>
      <c r="BS32" s="488" t="n"/>
      <c r="BT32" s="488" t="n"/>
      <c r="BU32" s="488" t="n"/>
      <c r="BV32" s="488" t="n"/>
      <c r="BW32" s="488" t="n"/>
      <c r="BX32" s="488" t="n"/>
      <c r="BY32" s="488" t="n"/>
      <c r="BZ32" s="488" t="n"/>
      <c r="CA32" s="488" t="n"/>
      <c r="CB32" s="488" t="n"/>
      <c r="CC32" s="488" t="n"/>
      <c r="CD32" s="488" t="n"/>
      <c r="CE32" s="488" t="n"/>
      <c r="CF32" s="488" t="n"/>
      <c r="CG32" s="488" t="n"/>
      <c r="CH32" s="488" t="n"/>
      <c r="CI32" s="488" t="n"/>
      <c r="CJ32" s="488" t="n"/>
      <c r="CK32" s="488" t="n"/>
      <c r="CL32" s="488" t="n"/>
      <c r="CM32" s="488" t="n"/>
      <c r="CN32" s="488" t="n"/>
      <c r="CO32" s="488" t="n"/>
      <c r="CP32" s="488" t="n"/>
      <c r="CQ32" s="488" t="n"/>
      <c r="CR32" s="488" t="n"/>
      <c r="CS32" s="488" t="n"/>
      <c r="CT32" s="488" t="n"/>
      <c r="CU32" s="488" t="n"/>
      <c r="CV32" s="488" t="n"/>
      <c r="CW32" s="488" t="n"/>
      <c r="CX32" s="488" t="n"/>
      <c r="CY32" s="488" t="n"/>
      <c r="CZ32" s="488" t="n"/>
      <c r="DA32" s="488" t="n"/>
      <c r="DB32" s="488" t="n"/>
      <c r="DC32" s="488" t="n"/>
      <c r="DD32" s="488" t="n"/>
      <c r="DE32" s="488" t="n"/>
      <c r="DF32" s="488" t="n"/>
      <c r="DG32" s="488" t="n"/>
      <c r="DH32" s="488" t="n"/>
      <c r="DI32" s="488" t="n"/>
      <c r="DJ32" s="488" t="n"/>
      <c r="DK32" s="488" t="n"/>
      <c r="DL32" s="488" t="n"/>
      <c r="DM32" s="488" t="n"/>
      <c r="DN32" s="488" t="n"/>
      <c r="DO32" s="488" t="n"/>
      <c r="DP32" s="488" t="n"/>
      <c r="DQ32" s="488" t="n"/>
      <c r="DR32" s="488" t="n"/>
      <c r="DS32" s="488" t="n"/>
      <c r="DT32" s="488" t="n"/>
      <c r="DU32" s="488" t="n"/>
      <c r="DV32" s="488" t="n"/>
      <c r="DW32" s="488" t="n"/>
      <c r="DX32" s="488" t="n"/>
      <c r="DY32" s="488" t="n"/>
      <c r="DZ32" s="488" t="n"/>
      <c r="EA32" s="488" t="n"/>
      <c r="EB32" s="488" t="n"/>
      <c r="EC32" s="488" t="n"/>
      <c r="ED32" s="488" t="n"/>
      <c r="EE32" s="488" t="n"/>
      <c r="EF32" s="488" t="n"/>
      <c r="EG32" s="488" t="n"/>
      <c r="EH32" s="488" t="n"/>
      <c r="EI32" s="488" t="n"/>
      <c r="EJ32" s="488" t="n"/>
      <c r="EK32" s="488" t="n"/>
      <c r="EL32" s="488" t="n"/>
      <c r="EM32" s="488" t="n"/>
      <c r="EN32" s="488" t="n"/>
      <c r="EO32" s="488" t="n"/>
      <c r="EP32" s="488" t="n"/>
      <c r="EQ32" s="488" t="n"/>
      <c r="ER32" s="488" t="n"/>
      <c r="ES32" s="488" t="n"/>
      <c r="ET32" s="488" t="n"/>
      <c r="EU32" s="488" t="n"/>
      <c r="EV32" s="488" t="n"/>
      <c r="EW32" s="488" t="n"/>
      <c r="EX32" s="488" t="n"/>
      <c r="EY32" s="488" t="n"/>
      <c r="EZ32" s="488" t="n"/>
      <c r="FA32" s="488" t="n"/>
      <c r="FB32" s="488" t="n"/>
      <c r="FC32" s="488" t="n"/>
      <c r="FD32" s="488" t="n"/>
      <c r="FE32" s="488" t="n"/>
      <c r="FF32" s="488" t="n"/>
      <c r="FG32" s="488" t="n"/>
      <c r="FH32" s="488" t="n"/>
      <c r="FI32" s="488" t="n"/>
      <c r="FJ32" s="488" t="n"/>
      <c r="FK32" s="488" t="n"/>
      <c r="FL32" s="488" t="n"/>
      <c r="FM32" s="488" t="n"/>
      <c r="FN32" s="488" t="n"/>
      <c r="FO32" s="488" t="n"/>
      <c r="FP32" s="488" t="n"/>
      <c r="FQ32" s="488" t="n"/>
      <c r="FR32" s="488" t="n"/>
      <c r="FS32" s="488" t="n"/>
      <c r="FT32" s="488" t="n"/>
      <c r="FU32" s="488" t="n"/>
      <c r="FV32" s="488" t="n"/>
      <c r="FW32" s="488" t="n"/>
      <c r="FX32" s="488" t="n"/>
      <c r="FY32" s="488" t="n"/>
      <c r="FZ32" s="488" t="n"/>
      <c r="GA32" s="488" t="n"/>
      <c r="GB32" s="488" t="n"/>
      <c r="GC32" s="488" t="n"/>
      <c r="GD32" s="488" t="n"/>
      <c r="GE32" s="488" t="n"/>
      <c r="GF32" s="488" t="n"/>
      <c r="GG32" s="488" t="n"/>
      <c r="GH32" s="488" t="n"/>
      <c r="GI32" s="488" t="n"/>
      <c r="GJ32" s="488" t="n"/>
      <c r="GK32" s="488" t="n"/>
      <c r="GL32" s="488" t="n"/>
      <c r="GM32" s="488" t="n"/>
      <c r="GN32" s="488" t="n"/>
      <c r="GO32" s="488" t="n"/>
      <c r="GP32" s="488" t="n"/>
      <c r="GQ32" s="488" t="n"/>
      <c r="GR32" s="488" t="n"/>
      <c r="GS32" s="488" t="n"/>
      <c r="GT32" s="488" t="n"/>
      <c r="GU32" s="488" t="n"/>
      <c r="GV32" s="488" t="n"/>
      <c r="GW32" s="488" t="n"/>
      <c r="GX32" s="488" t="n"/>
      <c r="GY32" s="488" t="n"/>
      <c r="GZ32" s="488" t="n"/>
      <c r="HA32" s="488" t="n"/>
      <c r="HB32" s="488" t="n"/>
      <c r="HC32" s="488" t="n"/>
      <c r="HD32" s="488" t="n"/>
      <c r="HE32" s="488" t="n"/>
      <c r="HF32" s="488" t="n"/>
      <c r="HG32" s="488" t="n"/>
      <c r="HH32" s="488" t="n"/>
      <c r="HI32" s="488" t="n"/>
      <c r="HJ32" s="488" t="n"/>
      <c r="HK32" s="488" t="n"/>
      <c r="HL32" s="488" t="n"/>
      <c r="HM32" s="488" t="n"/>
      <c r="HN32" s="488" t="n"/>
      <c r="HO32" s="488" t="n"/>
      <c r="HP32" s="488" t="n"/>
      <c r="HQ32" s="488" t="n"/>
      <c r="HR32" s="488" t="n"/>
      <c r="HS32" s="488" t="n"/>
      <c r="HT32" s="488" t="n"/>
      <c r="HU32" s="488" t="n"/>
      <c r="HV32" s="488" t="n"/>
      <c r="HW32" s="488" t="n"/>
      <c r="HX32" s="488" t="n"/>
      <c r="HY32" s="488" t="n"/>
      <c r="HZ32" s="488" t="n"/>
      <c r="IA32" s="488" t="n"/>
      <c r="IB32" s="488" t="n"/>
      <c r="IC32" s="488" t="n"/>
      <c r="ID32" s="488" t="n"/>
      <c r="IE32" s="488" t="n"/>
      <c r="IF32" s="488" t="n"/>
      <c r="IG32" s="488" t="n"/>
      <c r="IH32" s="488" t="n"/>
      <c r="II32" s="488" t="n"/>
      <c r="IJ32" s="488" t="n"/>
      <c r="IK32" s="488" t="n"/>
      <c r="IL32" s="488" t="n"/>
      <c r="IM32" s="488" t="n"/>
      <c r="IN32" s="488" t="n"/>
      <c r="IO32" s="488" t="n"/>
      <c r="IP32" s="488" t="n"/>
      <c r="IQ32" s="488" t="n"/>
      <c r="IR32" s="488" t="n"/>
      <c r="IS32" s="488" t="n"/>
      <c r="IT32" s="488" t="n"/>
      <c r="IU32" s="488" t="n"/>
      <c r="IV32" s="488" t="n"/>
    </row>
    <row r="33">
      <c r="A33" s="488" t="n"/>
      <c r="B33" s="491" t="inlineStr">
        <is>
          <t>Projected LIBOR Curve</t>
        </is>
      </c>
      <c r="C33" s="490" t="n"/>
      <c r="D33" s="490" t="n"/>
      <c r="E33" s="490" t="n"/>
      <c r="F33" s="490" t="n"/>
      <c r="G33" s="490" t="n"/>
      <c r="H33" s="490" t="n"/>
      <c r="I33" s="490" t="n"/>
      <c r="J33" s="490" t="n"/>
      <c r="K33" s="490" t="n"/>
      <c r="L33" s="490" t="n"/>
      <c r="M33" s="490" t="n"/>
      <c r="N33" s="490" t="n"/>
      <c r="O33" s="490" t="n"/>
      <c r="P33" s="490" t="n"/>
      <c r="Q33" s="490" t="n"/>
      <c r="R33" s="490" t="n"/>
      <c r="S33" s="488" t="n"/>
      <c r="T33" s="488" t="n"/>
      <c r="U33" s="488" t="n"/>
      <c r="V33" s="488" t="n"/>
      <c r="W33" s="488" t="n"/>
      <c r="X33" s="488" t="n"/>
      <c r="Y33" s="488" t="n"/>
      <c r="Z33" s="488" t="n"/>
      <c r="AA33" s="488" t="n"/>
      <c r="AB33" s="488" t="n"/>
      <c r="AC33" s="488" t="n"/>
      <c r="AD33" s="488" t="n"/>
      <c r="AE33" s="488" t="n"/>
      <c r="AF33" s="488" t="n"/>
      <c r="AG33" s="488" t="n"/>
      <c r="AH33" s="488" t="n"/>
      <c r="AI33" s="488" t="n"/>
      <c r="AJ33" s="488" t="n"/>
      <c r="AK33" s="488" t="n"/>
      <c r="AL33" s="488" t="n"/>
      <c r="AM33" s="488" t="n"/>
      <c r="AN33" s="488" t="n"/>
      <c r="AO33" s="488" t="n"/>
      <c r="AP33" s="488" t="n"/>
      <c r="AQ33" s="488" t="n"/>
      <c r="AR33" s="488" t="n"/>
      <c r="AS33" s="488" t="n"/>
      <c r="AT33" s="488" t="n"/>
      <c r="AU33" s="488" t="n"/>
      <c r="AV33" s="488" t="n"/>
      <c r="AW33" s="488" t="n"/>
      <c r="AX33" s="488" t="n"/>
      <c r="AY33" s="488" t="n"/>
      <c r="AZ33" s="488" t="n"/>
      <c r="BA33" s="488" t="n"/>
      <c r="BB33" s="488" t="n"/>
      <c r="BC33" s="488" t="n"/>
      <c r="BD33" s="488" t="n"/>
      <c r="BE33" s="488" t="n"/>
      <c r="BF33" s="488" t="n"/>
      <c r="BG33" s="488" t="n"/>
      <c r="BH33" s="488" t="n"/>
      <c r="BI33" s="488" t="n"/>
      <c r="BJ33" s="488" t="n"/>
      <c r="BK33" s="488" t="n"/>
      <c r="BL33" s="488" t="n"/>
      <c r="BM33" s="488" t="n"/>
      <c r="BN33" s="488" t="n"/>
      <c r="BO33" s="488" t="n"/>
      <c r="BP33" s="488" t="n"/>
      <c r="BQ33" s="488" t="n"/>
      <c r="BR33" s="488" t="n"/>
      <c r="BS33" s="488" t="n"/>
      <c r="BT33" s="488" t="n"/>
      <c r="BU33" s="488" t="n"/>
      <c r="BV33" s="488" t="n"/>
      <c r="BW33" s="488" t="n"/>
      <c r="BX33" s="488" t="n"/>
      <c r="BY33" s="488" t="n"/>
      <c r="BZ33" s="488" t="n"/>
      <c r="CA33" s="488" t="n"/>
      <c r="CB33" s="488" t="n"/>
      <c r="CC33" s="488" t="n"/>
      <c r="CD33" s="488" t="n"/>
      <c r="CE33" s="488" t="n"/>
      <c r="CF33" s="488" t="n"/>
      <c r="CG33" s="488" t="n"/>
      <c r="CH33" s="488" t="n"/>
      <c r="CI33" s="488" t="n"/>
      <c r="CJ33" s="488" t="n"/>
      <c r="CK33" s="488" t="n"/>
      <c r="CL33" s="488" t="n"/>
      <c r="CM33" s="488" t="n"/>
      <c r="CN33" s="488" t="n"/>
      <c r="CO33" s="488" t="n"/>
      <c r="CP33" s="488" t="n"/>
      <c r="CQ33" s="488" t="n"/>
      <c r="CR33" s="488" t="n"/>
      <c r="CS33" s="488" t="n"/>
      <c r="CT33" s="488" t="n"/>
      <c r="CU33" s="488" t="n"/>
      <c r="CV33" s="488" t="n"/>
      <c r="CW33" s="488" t="n"/>
      <c r="CX33" s="488" t="n"/>
      <c r="CY33" s="488" t="n"/>
      <c r="CZ33" s="488" t="n"/>
      <c r="DA33" s="488" t="n"/>
      <c r="DB33" s="488" t="n"/>
      <c r="DC33" s="488" t="n"/>
      <c r="DD33" s="488" t="n"/>
      <c r="DE33" s="488" t="n"/>
      <c r="DF33" s="488" t="n"/>
      <c r="DG33" s="488" t="n"/>
      <c r="DH33" s="488" t="n"/>
      <c r="DI33" s="488" t="n"/>
      <c r="DJ33" s="488" t="n"/>
      <c r="DK33" s="488" t="n"/>
      <c r="DL33" s="488" t="n"/>
      <c r="DM33" s="488" t="n"/>
      <c r="DN33" s="488" t="n"/>
      <c r="DO33" s="488" t="n"/>
      <c r="DP33" s="488" t="n"/>
      <c r="DQ33" s="488" t="n"/>
      <c r="DR33" s="488" t="n"/>
      <c r="DS33" s="488" t="n"/>
      <c r="DT33" s="488" t="n"/>
      <c r="DU33" s="488" t="n"/>
      <c r="DV33" s="488" t="n"/>
      <c r="DW33" s="488" t="n"/>
      <c r="DX33" s="488" t="n"/>
      <c r="DY33" s="488" t="n"/>
      <c r="DZ33" s="488" t="n"/>
      <c r="EA33" s="488" t="n"/>
      <c r="EB33" s="488" t="n"/>
      <c r="EC33" s="488" t="n"/>
      <c r="ED33" s="488" t="n"/>
      <c r="EE33" s="488" t="n"/>
      <c r="EF33" s="488" t="n"/>
      <c r="EG33" s="488" t="n"/>
      <c r="EH33" s="488" t="n"/>
      <c r="EI33" s="488" t="n"/>
      <c r="EJ33" s="488" t="n"/>
      <c r="EK33" s="488" t="n"/>
      <c r="EL33" s="488" t="n"/>
      <c r="EM33" s="488" t="n"/>
      <c r="EN33" s="488" t="n"/>
      <c r="EO33" s="488" t="n"/>
      <c r="EP33" s="488" t="n"/>
      <c r="EQ33" s="488" t="n"/>
      <c r="ER33" s="488" t="n"/>
      <c r="ES33" s="488" t="n"/>
      <c r="ET33" s="488" t="n"/>
      <c r="EU33" s="488" t="n"/>
      <c r="EV33" s="488" t="n"/>
      <c r="EW33" s="488" t="n"/>
      <c r="EX33" s="488" t="n"/>
      <c r="EY33" s="488" t="n"/>
      <c r="EZ33" s="488" t="n"/>
      <c r="FA33" s="488" t="n"/>
      <c r="FB33" s="488" t="n"/>
      <c r="FC33" s="488" t="n"/>
      <c r="FD33" s="488" t="n"/>
      <c r="FE33" s="488" t="n"/>
      <c r="FF33" s="488" t="n"/>
      <c r="FG33" s="488" t="n"/>
      <c r="FH33" s="488" t="n"/>
      <c r="FI33" s="488" t="n"/>
      <c r="FJ33" s="488" t="n"/>
      <c r="FK33" s="488" t="n"/>
      <c r="FL33" s="488" t="n"/>
      <c r="FM33" s="488" t="n"/>
      <c r="FN33" s="488" t="n"/>
      <c r="FO33" s="488" t="n"/>
      <c r="FP33" s="488" t="n"/>
      <c r="FQ33" s="488" t="n"/>
      <c r="FR33" s="488" t="n"/>
      <c r="FS33" s="488" t="n"/>
      <c r="FT33" s="488" t="n"/>
      <c r="FU33" s="488" t="n"/>
      <c r="FV33" s="488" t="n"/>
      <c r="FW33" s="488" t="n"/>
      <c r="FX33" s="488" t="n"/>
      <c r="FY33" s="488" t="n"/>
      <c r="FZ33" s="488" t="n"/>
      <c r="GA33" s="488" t="n"/>
      <c r="GB33" s="488" t="n"/>
      <c r="GC33" s="488" t="n"/>
      <c r="GD33" s="488" t="n"/>
      <c r="GE33" s="488" t="n"/>
      <c r="GF33" s="488" t="n"/>
      <c r="GG33" s="488" t="n"/>
      <c r="GH33" s="488" t="n"/>
      <c r="GI33" s="488" t="n"/>
      <c r="GJ33" s="488" t="n"/>
      <c r="GK33" s="488" t="n"/>
      <c r="GL33" s="488" t="n"/>
      <c r="GM33" s="488" t="n"/>
      <c r="GN33" s="488" t="n"/>
      <c r="GO33" s="488" t="n"/>
      <c r="GP33" s="488" t="n"/>
      <c r="GQ33" s="488" t="n"/>
      <c r="GR33" s="488" t="n"/>
      <c r="GS33" s="488" t="n"/>
      <c r="GT33" s="488" t="n"/>
      <c r="GU33" s="488" t="n"/>
      <c r="GV33" s="488" t="n"/>
      <c r="GW33" s="488" t="n"/>
      <c r="GX33" s="488" t="n"/>
      <c r="GY33" s="488" t="n"/>
      <c r="GZ33" s="488" t="n"/>
      <c r="HA33" s="488" t="n"/>
      <c r="HB33" s="488" t="n"/>
      <c r="HC33" s="488" t="n"/>
      <c r="HD33" s="488" t="n"/>
      <c r="HE33" s="488" t="n"/>
      <c r="HF33" s="488" t="n"/>
      <c r="HG33" s="488" t="n"/>
      <c r="HH33" s="488" t="n"/>
      <c r="HI33" s="488" t="n"/>
      <c r="HJ33" s="488" t="n"/>
      <c r="HK33" s="488" t="n"/>
      <c r="HL33" s="488" t="n"/>
      <c r="HM33" s="488" t="n"/>
      <c r="HN33" s="488" t="n"/>
      <c r="HO33" s="488" t="n"/>
      <c r="HP33" s="488" t="n"/>
      <c r="HQ33" s="488" t="n"/>
      <c r="HR33" s="488" t="n"/>
      <c r="HS33" s="488" t="n"/>
      <c r="HT33" s="488" t="n"/>
      <c r="HU33" s="488" t="n"/>
      <c r="HV33" s="488" t="n"/>
      <c r="HW33" s="488" t="n"/>
      <c r="HX33" s="488" t="n"/>
      <c r="HY33" s="488" t="n"/>
      <c r="HZ33" s="488" t="n"/>
      <c r="IA33" s="488" t="n"/>
      <c r="IB33" s="488" t="n"/>
      <c r="IC33" s="488" t="n"/>
      <c r="ID33" s="488" t="n"/>
      <c r="IE33" s="488" t="n"/>
      <c r="IF33" s="488" t="n"/>
      <c r="IG33" s="488" t="n"/>
      <c r="IH33" s="488" t="n"/>
      <c r="II33" s="488" t="n"/>
      <c r="IJ33" s="488" t="n"/>
      <c r="IK33" s="488" t="n"/>
      <c r="IL33" s="488" t="n"/>
      <c r="IM33" s="488" t="n"/>
      <c r="IN33" s="488" t="n"/>
      <c r="IO33" s="488" t="n"/>
      <c r="IP33" s="488" t="n"/>
      <c r="IQ33" s="488" t="n"/>
      <c r="IR33" s="488" t="n"/>
      <c r="IS33" s="488" t="n"/>
      <c r="IT33" s="488" t="n"/>
      <c r="IU33" s="488" t="n"/>
      <c r="IV33" s="488" t="n"/>
    </row>
    <row r="34">
      <c r="A34" s="488" t="n"/>
      <c r="B34" s="490" t="n"/>
      <c r="C34" s="490" t="n"/>
      <c r="D34" s="490" t="n"/>
      <c r="E34" s="490" t="n"/>
      <c r="F34" s="490" t="n"/>
      <c r="G34" s="490" t="n"/>
      <c r="H34" s="490" t="n"/>
      <c r="I34" s="490" t="n"/>
      <c r="J34" s="490" t="n"/>
      <c r="K34" s="490" t="n"/>
      <c r="L34" s="490" t="n"/>
      <c r="M34" s="490" t="n"/>
      <c r="N34" s="490" t="n"/>
      <c r="O34" s="490" t="n"/>
      <c r="P34" s="490" t="n"/>
      <c r="Q34" s="490" t="n"/>
      <c r="R34" s="490" t="n"/>
      <c r="S34" s="488" t="n"/>
      <c r="T34" s="488" t="n"/>
      <c r="U34" s="488" t="n"/>
      <c r="V34" s="488" t="n"/>
      <c r="W34" s="488" t="n"/>
      <c r="X34" s="488" t="n"/>
      <c r="Y34" s="488" t="n"/>
      <c r="Z34" s="488" t="n"/>
      <c r="AA34" s="488" t="n"/>
      <c r="AB34" s="488" t="n"/>
      <c r="AC34" s="488" t="n"/>
      <c r="AD34" s="488" t="n"/>
      <c r="AE34" s="488" t="n"/>
      <c r="AF34" s="488" t="n"/>
      <c r="AG34" s="488" t="n"/>
      <c r="AH34" s="488" t="n"/>
      <c r="AI34" s="488" t="n"/>
      <c r="AJ34" s="488" t="n"/>
      <c r="AK34" s="488" t="n"/>
      <c r="AL34" s="488" t="n"/>
      <c r="AM34" s="488" t="n"/>
      <c r="AN34" s="488" t="n"/>
      <c r="AO34" s="488" t="n"/>
      <c r="AP34" s="488" t="n"/>
      <c r="AQ34" s="488" t="n"/>
      <c r="AR34" s="488" t="n"/>
      <c r="AS34" s="488" t="n"/>
      <c r="AT34" s="488" t="n"/>
      <c r="AU34" s="488" t="n"/>
      <c r="AV34" s="488" t="n"/>
      <c r="AW34" s="488" t="n"/>
      <c r="AX34" s="488" t="n"/>
      <c r="AY34" s="488" t="n"/>
      <c r="AZ34" s="488" t="n"/>
      <c r="BA34" s="488" t="n"/>
      <c r="BB34" s="488" t="n"/>
      <c r="BC34" s="488" t="n"/>
      <c r="BD34" s="488" t="n"/>
      <c r="BE34" s="488" t="n"/>
      <c r="BF34" s="488" t="n"/>
      <c r="BG34" s="488" t="n"/>
      <c r="BH34" s="488" t="n"/>
      <c r="BI34" s="488" t="n"/>
      <c r="BJ34" s="488" t="n"/>
      <c r="BK34" s="488" t="n"/>
      <c r="BL34" s="488" t="n"/>
      <c r="BM34" s="488" t="n"/>
      <c r="BN34" s="488" t="n"/>
      <c r="BO34" s="488" t="n"/>
      <c r="BP34" s="488" t="n"/>
      <c r="BQ34" s="488" t="n"/>
      <c r="BR34" s="488" t="n"/>
      <c r="BS34" s="488" t="n"/>
      <c r="BT34" s="488" t="n"/>
      <c r="BU34" s="488" t="n"/>
      <c r="BV34" s="488" t="n"/>
      <c r="BW34" s="488" t="n"/>
      <c r="BX34" s="488" t="n"/>
      <c r="BY34" s="488" t="n"/>
      <c r="BZ34" s="488" t="n"/>
      <c r="CA34" s="488" t="n"/>
      <c r="CB34" s="488" t="n"/>
      <c r="CC34" s="488" t="n"/>
      <c r="CD34" s="488" t="n"/>
      <c r="CE34" s="488" t="n"/>
      <c r="CF34" s="488" t="n"/>
      <c r="CG34" s="488" t="n"/>
      <c r="CH34" s="488" t="n"/>
      <c r="CI34" s="488" t="n"/>
      <c r="CJ34" s="488" t="n"/>
      <c r="CK34" s="488" t="n"/>
      <c r="CL34" s="488" t="n"/>
      <c r="CM34" s="488" t="n"/>
      <c r="CN34" s="488" t="n"/>
      <c r="CO34" s="488" t="n"/>
      <c r="CP34" s="488" t="n"/>
      <c r="CQ34" s="488" t="n"/>
      <c r="CR34" s="488" t="n"/>
      <c r="CS34" s="488" t="n"/>
      <c r="CT34" s="488" t="n"/>
      <c r="CU34" s="488" t="n"/>
      <c r="CV34" s="488" t="n"/>
      <c r="CW34" s="488" t="n"/>
      <c r="CX34" s="488" t="n"/>
      <c r="CY34" s="488" t="n"/>
      <c r="CZ34" s="488" t="n"/>
      <c r="DA34" s="488" t="n"/>
      <c r="DB34" s="488" t="n"/>
      <c r="DC34" s="488" t="n"/>
      <c r="DD34" s="488" t="n"/>
      <c r="DE34" s="488" t="n"/>
      <c r="DF34" s="488" t="n"/>
      <c r="DG34" s="488" t="n"/>
      <c r="DH34" s="488" t="n"/>
      <c r="DI34" s="488" t="n"/>
      <c r="DJ34" s="488" t="n"/>
      <c r="DK34" s="488" t="n"/>
      <c r="DL34" s="488" t="n"/>
      <c r="DM34" s="488" t="n"/>
      <c r="DN34" s="488" t="n"/>
      <c r="DO34" s="488" t="n"/>
      <c r="DP34" s="488" t="n"/>
      <c r="DQ34" s="488" t="n"/>
      <c r="DR34" s="488" t="n"/>
      <c r="DS34" s="488" t="n"/>
      <c r="DT34" s="488" t="n"/>
      <c r="DU34" s="488" t="n"/>
      <c r="DV34" s="488" t="n"/>
      <c r="DW34" s="488" t="n"/>
      <c r="DX34" s="488" t="n"/>
      <c r="DY34" s="488" t="n"/>
      <c r="DZ34" s="488" t="n"/>
      <c r="EA34" s="488" t="n"/>
      <c r="EB34" s="488" t="n"/>
      <c r="EC34" s="488" t="n"/>
      <c r="ED34" s="488" t="n"/>
      <c r="EE34" s="488" t="n"/>
      <c r="EF34" s="488" t="n"/>
      <c r="EG34" s="488" t="n"/>
      <c r="EH34" s="488" t="n"/>
      <c r="EI34" s="488" t="n"/>
      <c r="EJ34" s="488" t="n"/>
      <c r="EK34" s="488" t="n"/>
      <c r="EL34" s="488" t="n"/>
      <c r="EM34" s="488" t="n"/>
      <c r="EN34" s="488" t="n"/>
      <c r="EO34" s="488" t="n"/>
      <c r="EP34" s="488" t="n"/>
      <c r="EQ34" s="488" t="n"/>
      <c r="ER34" s="488" t="n"/>
      <c r="ES34" s="488" t="n"/>
      <c r="ET34" s="488" t="n"/>
      <c r="EU34" s="488" t="n"/>
      <c r="EV34" s="488" t="n"/>
      <c r="EW34" s="488" t="n"/>
      <c r="EX34" s="488" t="n"/>
      <c r="EY34" s="488" t="n"/>
      <c r="EZ34" s="488" t="n"/>
      <c r="FA34" s="488" t="n"/>
      <c r="FB34" s="488" t="n"/>
      <c r="FC34" s="488" t="n"/>
      <c r="FD34" s="488" t="n"/>
      <c r="FE34" s="488" t="n"/>
      <c r="FF34" s="488" t="n"/>
      <c r="FG34" s="488" t="n"/>
      <c r="FH34" s="488" t="n"/>
      <c r="FI34" s="488" t="n"/>
      <c r="FJ34" s="488" t="n"/>
      <c r="FK34" s="488" t="n"/>
      <c r="FL34" s="488" t="n"/>
      <c r="FM34" s="488" t="n"/>
      <c r="FN34" s="488" t="n"/>
      <c r="FO34" s="488" t="n"/>
      <c r="FP34" s="488" t="n"/>
      <c r="FQ34" s="488" t="n"/>
      <c r="FR34" s="488" t="n"/>
      <c r="FS34" s="488" t="n"/>
      <c r="FT34" s="488" t="n"/>
      <c r="FU34" s="488" t="n"/>
      <c r="FV34" s="488" t="n"/>
      <c r="FW34" s="488" t="n"/>
      <c r="FX34" s="488" t="n"/>
      <c r="FY34" s="488" t="n"/>
      <c r="FZ34" s="488" t="n"/>
      <c r="GA34" s="488" t="n"/>
      <c r="GB34" s="488" t="n"/>
      <c r="GC34" s="488" t="n"/>
      <c r="GD34" s="488" t="n"/>
      <c r="GE34" s="488" t="n"/>
      <c r="GF34" s="488" t="n"/>
      <c r="GG34" s="488" t="n"/>
      <c r="GH34" s="488" t="n"/>
      <c r="GI34" s="488" t="n"/>
      <c r="GJ34" s="488" t="n"/>
      <c r="GK34" s="488" t="n"/>
      <c r="GL34" s="488" t="n"/>
      <c r="GM34" s="488" t="n"/>
      <c r="GN34" s="488" t="n"/>
      <c r="GO34" s="488" t="n"/>
      <c r="GP34" s="488" t="n"/>
      <c r="GQ34" s="488" t="n"/>
      <c r="GR34" s="488" t="n"/>
      <c r="GS34" s="488" t="n"/>
      <c r="GT34" s="488" t="n"/>
      <c r="GU34" s="488" t="n"/>
      <c r="GV34" s="488" t="n"/>
      <c r="GW34" s="488" t="n"/>
      <c r="GX34" s="488" t="n"/>
      <c r="GY34" s="488" t="n"/>
      <c r="GZ34" s="488" t="n"/>
      <c r="HA34" s="488" t="n"/>
      <c r="HB34" s="488" t="n"/>
      <c r="HC34" s="488" t="n"/>
      <c r="HD34" s="488" t="n"/>
      <c r="HE34" s="488" t="n"/>
      <c r="HF34" s="488" t="n"/>
      <c r="HG34" s="488" t="n"/>
      <c r="HH34" s="488" t="n"/>
      <c r="HI34" s="488" t="n"/>
      <c r="HJ34" s="488" t="n"/>
      <c r="HK34" s="488" t="n"/>
      <c r="HL34" s="488" t="n"/>
      <c r="HM34" s="488" t="n"/>
      <c r="HN34" s="488" t="n"/>
      <c r="HO34" s="488" t="n"/>
      <c r="HP34" s="488" t="n"/>
      <c r="HQ34" s="488" t="n"/>
      <c r="HR34" s="488" t="n"/>
      <c r="HS34" s="488" t="n"/>
      <c r="HT34" s="488" t="n"/>
      <c r="HU34" s="488" t="n"/>
      <c r="HV34" s="488" t="n"/>
      <c r="HW34" s="488" t="n"/>
      <c r="HX34" s="488" t="n"/>
      <c r="HY34" s="488" t="n"/>
      <c r="HZ34" s="488" t="n"/>
      <c r="IA34" s="488" t="n"/>
      <c r="IB34" s="488" t="n"/>
      <c r="IC34" s="488" t="n"/>
      <c r="ID34" s="488" t="n"/>
      <c r="IE34" s="488" t="n"/>
      <c r="IF34" s="488" t="n"/>
      <c r="IG34" s="488" t="n"/>
      <c r="IH34" s="488" t="n"/>
      <c r="II34" s="488" t="n"/>
      <c r="IJ34" s="488" t="n"/>
      <c r="IK34" s="488" t="n"/>
      <c r="IL34" s="488" t="n"/>
      <c r="IM34" s="488" t="n"/>
      <c r="IN34" s="488" t="n"/>
      <c r="IO34" s="488" t="n"/>
      <c r="IP34" s="488" t="n"/>
      <c r="IQ34" s="488" t="n"/>
      <c r="IR34" s="488" t="n"/>
      <c r="IS34" s="488" t="n"/>
      <c r="IT34" s="488" t="n"/>
      <c r="IU34" s="488" t="n"/>
      <c r="IV34" s="488" t="n"/>
    </row>
    <row r="35">
      <c r="A35" s="488" t="n"/>
      <c r="B35" s="734" t="n"/>
      <c r="C35" s="734" t="n"/>
      <c r="D35" s="734" t="n"/>
      <c r="E35" s="734" t="n"/>
      <c r="F35" s="734" t="n"/>
      <c r="G35" s="734" t="n"/>
      <c r="H35" s="734" t="n"/>
      <c r="I35" s="734" t="n"/>
      <c r="J35" s="734" t="n"/>
      <c r="K35" s="734" t="n"/>
      <c r="L35" s="734" t="n"/>
      <c r="M35" s="734" t="n"/>
      <c r="N35" s="734" t="n"/>
      <c r="O35" s="734" t="n"/>
      <c r="P35" s="734" t="n"/>
      <c r="Q35" s="734" t="n"/>
      <c r="R35" s="734" t="n"/>
      <c r="S35" s="488" t="n"/>
      <c r="T35" s="488" t="n"/>
      <c r="U35" s="488" t="n"/>
      <c r="V35" s="488" t="n"/>
      <c r="W35" s="488" t="n"/>
      <c r="X35" s="488" t="n"/>
      <c r="Y35" s="488" t="n"/>
      <c r="Z35" s="488" t="n"/>
      <c r="AA35" s="488" t="n"/>
      <c r="AB35" s="488" t="n"/>
      <c r="AC35" s="488" t="n"/>
      <c r="AD35" s="488" t="n"/>
      <c r="AE35" s="488" t="n"/>
      <c r="AF35" s="488" t="n"/>
      <c r="AG35" s="488" t="n"/>
      <c r="AH35" s="488" t="n"/>
      <c r="AI35" s="488" t="n"/>
      <c r="AJ35" s="488" t="n"/>
      <c r="AK35" s="488" t="n"/>
      <c r="AL35" s="488" t="n"/>
      <c r="AM35" s="488" t="n"/>
      <c r="AN35" s="488" t="n"/>
      <c r="AO35" s="488" t="n"/>
      <c r="AP35" s="488" t="n"/>
      <c r="AQ35" s="488" t="n"/>
      <c r="AR35" s="488" t="n"/>
      <c r="AS35" s="488" t="n"/>
      <c r="AT35" s="488" t="n"/>
      <c r="AU35" s="488" t="n"/>
      <c r="AV35" s="488" t="n"/>
      <c r="AW35" s="488" t="n"/>
      <c r="AX35" s="488" t="n"/>
      <c r="AY35" s="488" t="n"/>
      <c r="AZ35" s="488" t="n"/>
      <c r="BA35" s="488" t="n"/>
      <c r="BB35" s="488" t="n"/>
      <c r="BC35" s="488" t="n"/>
      <c r="BD35" s="488" t="n"/>
      <c r="BE35" s="488" t="n"/>
      <c r="BF35" s="488" t="n"/>
      <c r="BG35" s="488" t="n"/>
      <c r="BH35" s="488" t="n"/>
      <c r="BI35" s="488" t="n"/>
      <c r="BJ35" s="488" t="n"/>
      <c r="BK35" s="488" t="n"/>
      <c r="BL35" s="488" t="n"/>
      <c r="BM35" s="488" t="n"/>
      <c r="BN35" s="488" t="n"/>
      <c r="BO35" s="488" t="n"/>
      <c r="BP35" s="488" t="n"/>
      <c r="BQ35" s="488" t="n"/>
      <c r="BR35" s="488" t="n"/>
      <c r="BS35" s="488" t="n"/>
      <c r="BT35" s="488" t="n"/>
      <c r="BU35" s="488" t="n"/>
      <c r="BV35" s="488" t="n"/>
      <c r="BW35" s="488" t="n"/>
      <c r="BX35" s="488" t="n"/>
      <c r="BY35" s="488" t="n"/>
      <c r="BZ35" s="488" t="n"/>
      <c r="CA35" s="488" t="n"/>
      <c r="CB35" s="488" t="n"/>
      <c r="CC35" s="488" t="n"/>
      <c r="CD35" s="488" t="n"/>
      <c r="CE35" s="488" t="n"/>
      <c r="CF35" s="488" t="n"/>
      <c r="CG35" s="488" t="n"/>
      <c r="CH35" s="488" t="n"/>
      <c r="CI35" s="488" t="n"/>
      <c r="CJ35" s="488" t="n"/>
      <c r="CK35" s="488" t="n"/>
      <c r="CL35" s="488" t="n"/>
      <c r="CM35" s="488" t="n"/>
      <c r="CN35" s="488" t="n"/>
      <c r="CO35" s="488" t="n"/>
      <c r="CP35" s="488" t="n"/>
      <c r="CQ35" s="488" t="n"/>
      <c r="CR35" s="488" t="n"/>
      <c r="CS35" s="488" t="n"/>
      <c r="CT35" s="488" t="n"/>
      <c r="CU35" s="488" t="n"/>
      <c r="CV35" s="488" t="n"/>
      <c r="CW35" s="488" t="n"/>
      <c r="CX35" s="488" t="n"/>
      <c r="CY35" s="488" t="n"/>
      <c r="CZ35" s="488" t="n"/>
      <c r="DA35" s="488" t="n"/>
      <c r="DB35" s="488" t="n"/>
      <c r="DC35" s="488" t="n"/>
      <c r="DD35" s="488" t="n"/>
      <c r="DE35" s="488" t="n"/>
      <c r="DF35" s="488" t="n"/>
      <c r="DG35" s="488" t="n"/>
      <c r="DH35" s="488" t="n"/>
      <c r="DI35" s="488" t="n"/>
      <c r="DJ35" s="488" t="n"/>
      <c r="DK35" s="488" t="n"/>
      <c r="DL35" s="488" t="n"/>
      <c r="DM35" s="488" t="n"/>
      <c r="DN35" s="488" t="n"/>
      <c r="DO35" s="488" t="n"/>
      <c r="DP35" s="488" t="n"/>
      <c r="DQ35" s="488" t="n"/>
      <c r="DR35" s="488" t="n"/>
      <c r="DS35" s="488" t="n"/>
      <c r="DT35" s="488" t="n"/>
      <c r="DU35" s="488" t="n"/>
      <c r="DV35" s="488" t="n"/>
      <c r="DW35" s="488" t="n"/>
      <c r="DX35" s="488" t="n"/>
      <c r="DY35" s="488" t="n"/>
      <c r="DZ35" s="488" t="n"/>
      <c r="EA35" s="488" t="n"/>
      <c r="EB35" s="488" t="n"/>
      <c r="EC35" s="488" t="n"/>
      <c r="ED35" s="488" t="n"/>
      <c r="EE35" s="488" t="n"/>
      <c r="EF35" s="488" t="n"/>
      <c r="EG35" s="488" t="n"/>
      <c r="EH35" s="488" t="n"/>
      <c r="EI35" s="488" t="n"/>
      <c r="EJ35" s="488" t="n"/>
      <c r="EK35" s="488" t="n"/>
      <c r="EL35" s="488" t="n"/>
      <c r="EM35" s="488" t="n"/>
      <c r="EN35" s="488" t="n"/>
      <c r="EO35" s="488" t="n"/>
      <c r="EP35" s="488" t="n"/>
      <c r="EQ35" s="488" t="n"/>
      <c r="ER35" s="488" t="n"/>
      <c r="ES35" s="488" t="n"/>
      <c r="ET35" s="488" t="n"/>
      <c r="EU35" s="488" t="n"/>
      <c r="EV35" s="488" t="n"/>
      <c r="EW35" s="488" t="n"/>
      <c r="EX35" s="488" t="n"/>
      <c r="EY35" s="488" t="n"/>
      <c r="EZ35" s="488" t="n"/>
      <c r="FA35" s="488" t="n"/>
      <c r="FB35" s="488" t="n"/>
      <c r="FC35" s="488" t="n"/>
      <c r="FD35" s="488" t="n"/>
      <c r="FE35" s="488" t="n"/>
      <c r="FF35" s="488" t="n"/>
      <c r="FG35" s="488" t="n"/>
      <c r="FH35" s="488" t="n"/>
      <c r="FI35" s="488" t="n"/>
      <c r="FJ35" s="488" t="n"/>
      <c r="FK35" s="488" t="n"/>
      <c r="FL35" s="488" t="n"/>
      <c r="FM35" s="488" t="n"/>
      <c r="FN35" s="488" t="n"/>
      <c r="FO35" s="488" t="n"/>
      <c r="FP35" s="488" t="n"/>
      <c r="FQ35" s="488" t="n"/>
      <c r="FR35" s="488" t="n"/>
      <c r="FS35" s="488" t="n"/>
      <c r="FT35" s="488" t="n"/>
      <c r="FU35" s="488" t="n"/>
      <c r="FV35" s="488" t="n"/>
      <c r="FW35" s="488" t="n"/>
      <c r="FX35" s="488" t="n"/>
      <c r="FY35" s="488" t="n"/>
      <c r="FZ35" s="488" t="n"/>
      <c r="GA35" s="488" t="n"/>
      <c r="GB35" s="488" t="n"/>
      <c r="GC35" s="488" t="n"/>
      <c r="GD35" s="488" t="n"/>
      <c r="GE35" s="488" t="n"/>
      <c r="GF35" s="488" t="n"/>
      <c r="GG35" s="488" t="n"/>
      <c r="GH35" s="488" t="n"/>
      <c r="GI35" s="488" t="n"/>
      <c r="GJ35" s="488" t="n"/>
      <c r="GK35" s="488" t="n"/>
      <c r="GL35" s="488" t="n"/>
      <c r="GM35" s="488" t="n"/>
      <c r="GN35" s="488" t="n"/>
      <c r="GO35" s="488" t="n"/>
      <c r="GP35" s="488" t="n"/>
      <c r="GQ35" s="488" t="n"/>
      <c r="GR35" s="488" t="n"/>
      <c r="GS35" s="488" t="n"/>
      <c r="GT35" s="488" t="n"/>
      <c r="GU35" s="488" t="n"/>
      <c r="GV35" s="488" t="n"/>
      <c r="GW35" s="488" t="n"/>
      <c r="GX35" s="488" t="n"/>
      <c r="GY35" s="488" t="n"/>
      <c r="GZ35" s="488" t="n"/>
      <c r="HA35" s="488" t="n"/>
      <c r="HB35" s="488" t="n"/>
      <c r="HC35" s="488" t="n"/>
      <c r="HD35" s="488" t="n"/>
      <c r="HE35" s="488" t="n"/>
      <c r="HF35" s="488" t="n"/>
      <c r="HG35" s="488" t="n"/>
      <c r="HH35" s="488" t="n"/>
      <c r="HI35" s="488" t="n"/>
      <c r="HJ35" s="488" t="n"/>
      <c r="HK35" s="488" t="n"/>
      <c r="HL35" s="488" t="n"/>
      <c r="HM35" s="488" t="n"/>
      <c r="HN35" s="488" t="n"/>
      <c r="HO35" s="488" t="n"/>
      <c r="HP35" s="488" t="n"/>
      <c r="HQ35" s="488" t="n"/>
      <c r="HR35" s="488" t="n"/>
      <c r="HS35" s="488" t="n"/>
      <c r="HT35" s="488" t="n"/>
      <c r="HU35" s="488" t="n"/>
      <c r="HV35" s="488" t="n"/>
      <c r="HW35" s="488" t="n"/>
      <c r="HX35" s="488" t="n"/>
      <c r="HY35" s="488" t="n"/>
      <c r="HZ35" s="488" t="n"/>
      <c r="IA35" s="488" t="n"/>
      <c r="IB35" s="488" t="n"/>
      <c r="IC35" s="488" t="n"/>
      <c r="ID35" s="488" t="n"/>
      <c r="IE35" s="488" t="n"/>
      <c r="IF35" s="488" t="n"/>
      <c r="IG35" s="488" t="n"/>
      <c r="IH35" s="488" t="n"/>
      <c r="II35" s="488" t="n"/>
      <c r="IJ35" s="488" t="n"/>
      <c r="IK35" s="488" t="n"/>
      <c r="IL35" s="488" t="n"/>
      <c r="IM35" s="488" t="n"/>
      <c r="IN35" s="488" t="n"/>
      <c r="IO35" s="488" t="n"/>
      <c r="IP35" s="488" t="n"/>
      <c r="IQ35" s="488" t="n"/>
      <c r="IR35" s="488" t="n"/>
      <c r="IS35" s="488" t="n"/>
      <c r="IT35" s="488" t="n"/>
      <c r="IU35" s="488" t="n"/>
      <c r="IV35" s="488" t="n"/>
    </row>
    <row r="38">
      <c r="T38" s="1366" t="n"/>
    </row>
    <row r="39" ht="13.5" customHeight="1">
      <c r="A39" s="488" t="n"/>
      <c r="B39" s="488" t="n"/>
      <c r="C39" s="488" t="n"/>
      <c r="D39" s="488" t="n"/>
      <c r="E39" s="488" t="n"/>
      <c r="F39" s="488" t="n"/>
      <c r="G39" s="488" t="n"/>
      <c r="H39" s="488" t="n"/>
      <c r="I39" s="488" t="n"/>
      <c r="J39" s="488" t="n"/>
      <c r="K39" s="488" t="n"/>
      <c r="L39" s="488" t="n"/>
      <c r="M39" s="488" t="n"/>
      <c r="N39" s="488" t="n"/>
      <c r="O39" s="488" t="n"/>
      <c r="P39" s="488" t="n"/>
      <c r="Q39" s="488" t="n"/>
      <c r="R39" s="488" t="n"/>
      <c r="S39" s="488" t="n"/>
      <c r="T39" s="488" t="n"/>
      <c r="U39" s="488" t="n"/>
      <c r="V39" s="488" t="n"/>
      <c r="W39" s="488" t="n"/>
      <c r="X39" s="488" t="n"/>
      <c r="Y39" s="488" t="n"/>
      <c r="Z39" s="488" t="n"/>
      <c r="AA39" s="488" t="n"/>
      <c r="AB39" s="488" t="n"/>
      <c r="AC39" s="488" t="n"/>
      <c r="AD39" s="488" t="n"/>
      <c r="AE39" s="488" t="n"/>
      <c r="AF39" s="488" t="n"/>
      <c r="AG39" s="488" t="n"/>
      <c r="AH39" s="488" t="n"/>
      <c r="AI39" s="488" t="n"/>
      <c r="AJ39" s="488" t="n"/>
      <c r="AK39" s="488" t="n"/>
      <c r="AL39" s="488" t="n"/>
      <c r="AM39" s="488" t="n"/>
      <c r="AN39" s="488" t="n"/>
      <c r="AO39" s="488" t="n"/>
      <c r="AP39" s="488" t="n"/>
      <c r="AQ39" s="488" t="n"/>
      <c r="AR39" s="488" t="n"/>
      <c r="AS39" s="488" t="n"/>
      <c r="AT39" s="488" t="n"/>
      <c r="AU39" s="488" t="n"/>
      <c r="AV39" s="488" t="n"/>
      <c r="AW39" s="488" t="n"/>
      <c r="AX39" s="488" t="n"/>
      <c r="AY39" s="488" t="n"/>
      <c r="AZ39" s="488" t="n"/>
      <c r="BA39" s="488" t="n"/>
      <c r="BB39" s="488" t="n"/>
      <c r="BC39" s="488" t="n"/>
      <c r="BD39" s="488" t="n"/>
      <c r="BE39" s="488" t="n"/>
      <c r="BF39" s="488" t="n"/>
      <c r="BG39" s="488" t="n"/>
      <c r="BH39" s="488" t="n"/>
      <c r="BI39" s="488" t="n"/>
      <c r="BJ39" s="488" t="n"/>
      <c r="BK39" s="488" t="n"/>
      <c r="BL39" s="488" t="n"/>
      <c r="BM39" s="488" t="n"/>
      <c r="BN39" s="488" t="n"/>
      <c r="BO39" s="488" t="n"/>
      <c r="BP39" s="488" t="n"/>
      <c r="BQ39" s="488" t="n"/>
      <c r="BR39" s="488" t="n"/>
      <c r="BS39" s="488" t="n"/>
      <c r="BT39" s="488" t="n"/>
      <c r="BU39" s="488" t="n"/>
      <c r="BV39" s="488" t="n"/>
      <c r="BW39" s="488" t="n"/>
      <c r="BX39" s="488" t="n"/>
      <c r="BY39" s="488" t="n"/>
      <c r="BZ39" s="488" t="n"/>
      <c r="CA39" s="488" t="n"/>
      <c r="CB39" s="488" t="n"/>
      <c r="CC39" s="488" t="n"/>
      <c r="CD39" s="488" t="n"/>
      <c r="CE39" s="488" t="n"/>
      <c r="CF39" s="488" t="n"/>
      <c r="CG39" s="488" t="n"/>
      <c r="CH39" s="488" t="n"/>
      <c r="CI39" s="488" t="n"/>
      <c r="CJ39" s="488" t="n"/>
      <c r="CK39" s="488" t="n"/>
      <c r="CL39" s="488" t="n"/>
      <c r="CM39" s="488" t="n"/>
      <c r="CN39" s="488" t="n"/>
      <c r="CO39" s="488" t="n"/>
      <c r="CP39" s="488" t="n"/>
      <c r="CQ39" s="488" t="n"/>
      <c r="CR39" s="488" t="n"/>
      <c r="CS39" s="488" t="n"/>
      <c r="CT39" s="488" t="n"/>
      <c r="CU39" s="488" t="n"/>
      <c r="CV39" s="488" t="n"/>
      <c r="CW39" s="488" t="n"/>
      <c r="CX39" s="488" t="n"/>
      <c r="CY39" s="488" t="n"/>
      <c r="CZ39" s="488" t="n"/>
      <c r="DA39" s="488" t="n"/>
      <c r="DB39" s="488" t="n"/>
      <c r="DC39" s="488" t="n"/>
      <c r="DD39" s="488" t="n"/>
      <c r="DE39" s="488" t="n"/>
      <c r="DF39" s="488" t="n"/>
      <c r="DG39" s="488" t="n"/>
      <c r="DH39" s="488" t="n"/>
      <c r="DI39" s="488" t="n"/>
      <c r="DJ39" s="488" t="n"/>
      <c r="DK39" s="488" t="n"/>
      <c r="DL39" s="488" t="n"/>
      <c r="DM39" s="488" t="n"/>
      <c r="DN39" s="488" t="n"/>
      <c r="DO39" s="488" t="n"/>
      <c r="DP39" s="488" t="n"/>
      <c r="DQ39" s="488" t="n"/>
      <c r="DR39" s="488" t="n"/>
      <c r="DS39" s="488" t="n"/>
      <c r="DT39" s="488" t="n"/>
      <c r="DU39" s="488" t="n"/>
      <c r="DV39" s="488" t="n"/>
      <c r="DW39" s="488" t="n"/>
      <c r="DX39" s="488" t="n"/>
      <c r="DY39" s="488" t="n"/>
      <c r="DZ39" s="488" t="n"/>
      <c r="EA39" s="488" t="n"/>
      <c r="EB39" s="488" t="n"/>
      <c r="EC39" s="488" t="n"/>
      <c r="ED39" s="488" t="n"/>
      <c r="EE39" s="488" t="n"/>
      <c r="EF39" s="488" t="n"/>
      <c r="EG39" s="488" t="n"/>
      <c r="EH39" s="488" t="n"/>
      <c r="EI39" s="488" t="n"/>
      <c r="EJ39" s="488" t="n"/>
      <c r="EK39" s="488" t="n"/>
      <c r="EL39" s="488" t="n"/>
      <c r="EM39" s="488" t="n"/>
      <c r="EN39" s="488" t="n"/>
      <c r="EO39" s="488" t="n"/>
      <c r="EP39" s="488" t="n"/>
      <c r="EQ39" s="488" t="n"/>
      <c r="ER39" s="488" t="n"/>
      <c r="ES39" s="488" t="n"/>
      <c r="ET39" s="488" t="n"/>
      <c r="EU39" s="488" t="n"/>
      <c r="EV39" s="488" t="n"/>
      <c r="EW39" s="488" t="n"/>
      <c r="EX39" s="488" t="n"/>
      <c r="EY39" s="488" t="n"/>
      <c r="EZ39" s="488" t="n"/>
      <c r="FA39" s="488" t="n"/>
      <c r="FB39" s="488" t="n"/>
      <c r="FC39" s="488" t="n"/>
      <c r="FD39" s="488" t="n"/>
      <c r="FE39" s="488" t="n"/>
      <c r="FF39" s="488" t="n"/>
      <c r="FG39" s="488" t="n"/>
      <c r="FH39" s="488" t="n"/>
      <c r="FI39" s="488" t="n"/>
      <c r="FJ39" s="488" t="n"/>
      <c r="FK39" s="488" t="n"/>
      <c r="FL39" s="488" t="n"/>
      <c r="FM39" s="488" t="n"/>
      <c r="FN39" s="488" t="n"/>
      <c r="FO39" s="488" t="n"/>
      <c r="FP39" s="488" t="n"/>
      <c r="FQ39" s="488" t="n"/>
      <c r="FR39" s="488" t="n"/>
      <c r="FS39" s="488" t="n"/>
      <c r="FT39" s="488" t="n"/>
      <c r="FU39" s="488" t="n"/>
      <c r="FV39" s="488" t="n"/>
      <c r="FW39" s="488" t="n"/>
      <c r="FX39" s="488" t="n"/>
      <c r="FY39" s="488" t="n"/>
      <c r="FZ39" s="488" t="n"/>
      <c r="GA39" s="488" t="n"/>
      <c r="GB39" s="488" t="n"/>
      <c r="GC39" s="488" t="n"/>
      <c r="GD39" s="488" t="n"/>
      <c r="GE39" s="488" t="n"/>
      <c r="GF39" s="488" t="n"/>
      <c r="GG39" s="488" t="n"/>
      <c r="GH39" s="488" t="n"/>
      <c r="GI39" s="488" t="n"/>
      <c r="GJ39" s="488" t="n"/>
      <c r="GK39" s="488" t="n"/>
      <c r="GL39" s="488" t="n"/>
      <c r="GM39" s="488" t="n"/>
      <c r="GN39" s="488" t="n"/>
      <c r="GO39" s="488" t="n"/>
      <c r="GP39" s="488" t="n"/>
      <c r="GQ39" s="488" t="n"/>
      <c r="GR39" s="488" t="n"/>
      <c r="GS39" s="488" t="n"/>
      <c r="GT39" s="488" t="n"/>
      <c r="GU39" s="488" t="n"/>
      <c r="GV39" s="488" t="n"/>
      <c r="GW39" s="488" t="n"/>
      <c r="GX39" s="488" t="n"/>
      <c r="GY39" s="488" t="n"/>
      <c r="GZ39" s="488" t="n"/>
      <c r="HA39" s="488" t="n"/>
      <c r="HB39" s="488" t="n"/>
      <c r="HC39" s="488" t="n"/>
      <c r="HD39" s="488" t="n"/>
      <c r="HE39" s="488" t="n"/>
      <c r="HF39" s="488" t="n"/>
      <c r="HG39" s="488" t="n"/>
      <c r="HH39" s="488" t="n"/>
      <c r="HI39" s="488" t="n"/>
      <c r="HJ39" s="488" t="n"/>
      <c r="HK39" s="488" t="n"/>
      <c r="HL39" s="488" t="n"/>
      <c r="HM39" s="488" t="n"/>
      <c r="HN39" s="488" t="n"/>
      <c r="HO39" s="488" t="n"/>
      <c r="HP39" s="488" t="n"/>
      <c r="HQ39" s="488" t="n"/>
      <c r="HR39" s="488" t="n"/>
      <c r="HS39" s="488" t="n"/>
      <c r="HT39" s="488" t="n"/>
      <c r="HU39" s="488" t="n"/>
      <c r="HV39" s="488" t="n"/>
      <c r="HW39" s="488" t="n"/>
      <c r="HX39" s="488" t="n"/>
      <c r="HY39" s="488" t="n"/>
      <c r="HZ39" s="488" t="n"/>
      <c r="IA39" s="488" t="n"/>
      <c r="IB39" s="488" t="n"/>
      <c r="IC39" s="488" t="n"/>
      <c r="ID39" s="488" t="n"/>
      <c r="IE39" s="488" t="n"/>
      <c r="IF39" s="488" t="n"/>
      <c r="IG39" s="488" t="n"/>
      <c r="IH39" s="488" t="n"/>
      <c r="II39" s="488" t="n"/>
      <c r="IJ39" s="488" t="n"/>
      <c r="IK39" s="488" t="n"/>
      <c r="IL39" s="488" t="n"/>
      <c r="IM39" s="488" t="n"/>
      <c r="IN39" s="488" t="n"/>
      <c r="IO39" s="488" t="n"/>
      <c r="IP39" s="488" t="n"/>
      <c r="IQ39" s="488" t="n"/>
      <c r="IR39" s="488" t="n"/>
      <c r="IS39" s="488" t="n"/>
      <c r="IT39" s="488" t="n"/>
      <c r="IU39" s="488" t="n"/>
      <c r="IV39" s="488" t="n"/>
    </row>
    <row r="44">
      <c r="AB44" s="447" t="n"/>
    </row>
    <row r="60" ht="14" customHeight="1" thickBot="1">
      <c r="B60" s="489" t="n"/>
      <c r="C60" s="489" t="n"/>
      <c r="D60" s="489" t="n"/>
      <c r="E60" s="489" t="n"/>
      <c r="F60" s="489" t="n"/>
      <c r="G60" s="489" t="n"/>
      <c r="H60" s="489" t="n"/>
      <c r="I60" s="489" t="n"/>
      <c r="J60" s="489" t="n"/>
      <c r="K60" s="489" t="n"/>
      <c r="L60" s="489" t="n"/>
      <c r="M60" s="489" t="n"/>
      <c r="N60" s="489" t="n"/>
      <c r="O60" s="489" t="n"/>
      <c r="P60" s="489" t="n"/>
      <c r="Q60" s="489" t="n"/>
      <c r="R60" s="489" t="n"/>
    </row>
    <row r="62" ht="14" customHeight="1" thickBot="1">
      <c r="B62" s="489" t="n"/>
      <c r="C62" s="489" t="n"/>
      <c r="D62" s="489" t="n"/>
      <c r="E62" s="489" t="n"/>
      <c r="F62" s="489" t="n"/>
      <c r="G62" s="489" t="n"/>
      <c r="H62" s="489" t="n"/>
      <c r="I62" s="489" t="n"/>
      <c r="J62" s="489" t="n"/>
      <c r="K62" s="489" t="n"/>
      <c r="L62" s="489" t="n"/>
      <c r="M62" s="489" t="n"/>
      <c r="N62" s="489" t="n"/>
      <c r="O62" s="489" t="n"/>
      <c r="P62" s="489" t="n"/>
      <c r="Q62" s="489" t="n"/>
      <c r="R62" s="489" t="n"/>
    </row>
    <row r="63">
      <c r="B63" s="491" t="inlineStr">
        <is>
          <t>Projected Treasury Curve</t>
        </is>
      </c>
      <c r="C63" s="490" t="n"/>
      <c r="D63" s="490" t="n"/>
      <c r="E63" s="490" t="n"/>
      <c r="F63" s="490" t="n"/>
      <c r="G63" s="490" t="n"/>
      <c r="H63" s="490" t="n"/>
      <c r="I63" s="490" t="n"/>
      <c r="J63" s="490" t="n"/>
      <c r="K63" s="490" t="n"/>
      <c r="L63" s="490" t="n"/>
      <c r="M63" s="490" t="n"/>
      <c r="N63" s="490" t="n"/>
      <c r="O63" s="490" t="n"/>
      <c r="P63" s="490" t="n"/>
      <c r="Q63" s="490" t="n"/>
      <c r="R63" s="490" t="n"/>
    </row>
    <row r="64">
      <c r="B64" s="490" t="n"/>
      <c r="C64" s="490" t="n"/>
      <c r="D64" s="490" t="n"/>
      <c r="E64" s="490" t="n"/>
      <c r="F64" s="490" t="n"/>
      <c r="G64" s="490" t="n"/>
      <c r="H64" s="490" t="n"/>
      <c r="I64" s="490" t="n"/>
      <c r="J64" s="490" t="n"/>
      <c r="K64" s="490" t="n"/>
      <c r="L64" s="490" t="n"/>
      <c r="M64" s="490" t="n"/>
      <c r="N64" s="490" t="n"/>
      <c r="O64" s="490" t="n"/>
      <c r="P64" s="490" t="n"/>
      <c r="Q64" s="490" t="n"/>
      <c r="R64" s="490" t="n"/>
    </row>
    <row r="65">
      <c r="B65" s="734" t="n"/>
      <c r="C65" s="734" t="n"/>
      <c r="D65" s="734" t="n"/>
      <c r="E65" s="734" t="n"/>
      <c r="F65" s="734" t="n"/>
      <c r="G65" s="734" t="n"/>
      <c r="H65" s="734" t="n"/>
      <c r="I65" s="734" t="n"/>
      <c r="J65" s="734" t="n"/>
      <c r="K65" s="734" t="n"/>
      <c r="L65" s="734" t="n"/>
      <c r="M65" s="734" t="n"/>
      <c r="N65" s="734" t="n"/>
      <c r="O65" s="734" t="n"/>
      <c r="P65" s="734" t="n"/>
      <c r="Q65" s="734" t="n"/>
      <c r="R65" s="734" t="n"/>
    </row>
    <row r="90" ht="14" customHeight="1" thickBot="1">
      <c r="A90" s="488" t="n"/>
      <c r="B90" s="489" t="n"/>
      <c r="C90" s="489" t="n"/>
      <c r="D90" s="489" t="n"/>
      <c r="E90" s="489" t="n"/>
      <c r="F90" s="489" t="n"/>
      <c r="G90" s="489" t="n"/>
      <c r="H90" s="489" t="n"/>
      <c r="I90" s="489" t="n"/>
      <c r="J90" s="489" t="n"/>
      <c r="K90" s="489" t="n"/>
      <c r="L90" s="489" t="n"/>
      <c r="M90" s="489" t="n"/>
      <c r="N90" s="489" t="n"/>
      <c r="O90" s="489" t="n"/>
      <c r="P90" s="489" t="n"/>
      <c r="Q90" s="489" t="n"/>
      <c r="R90" s="489" t="n"/>
    </row>
    <row r="98">
      <c r="A98" s="492" t="inlineStr">
        <is>
          <t>Notes</t>
        </is>
      </c>
      <c r="B98" s="488" t="n"/>
      <c r="C98" s="488" t="n"/>
      <c r="D98" s="488" t="n"/>
      <c r="E98" s="488" t="n"/>
      <c r="F98" s="488" t="n"/>
      <c r="G98" s="488" t="n"/>
      <c r="H98" s="488" t="n"/>
      <c r="I98" s="488" t="n"/>
      <c r="J98" s="488" t="n"/>
      <c r="K98" s="488" t="n"/>
      <c r="L98" s="488" t="n"/>
      <c r="M98" s="488" t="n"/>
      <c r="N98" s="488" t="n"/>
      <c r="O98" s="488" t="n"/>
      <c r="P98" s="488" t="n"/>
      <c r="Q98" s="488" t="n"/>
      <c r="R98" s="488" t="n"/>
    </row>
    <row r="99">
      <c r="A99" s="493" t="inlineStr">
        <is>
          <t>(1) LIBOR and UST data courtesy of Bloomberg</t>
        </is>
      </c>
      <c r="B99" s="488" t="n"/>
      <c r="C99" s="488" t="n"/>
      <c r="D99" s="488" t="n"/>
      <c r="E99" s="488" t="n"/>
      <c r="F99" s="488" t="n"/>
      <c r="G99" s="488" t="n"/>
      <c r="H99" s="488" t="n"/>
      <c r="I99" s="488" t="n"/>
      <c r="J99" s="488" t="n"/>
      <c r="K99" s="488" t="n"/>
      <c r="L99" s="488" t="n"/>
      <c r="M99" s="488" t="n"/>
      <c r="N99" s="488" t="n"/>
      <c r="O99" s="488" t="n"/>
      <c r="P99" s="488" t="n"/>
      <c r="Q99" s="488" t="n"/>
      <c r="R99" s="488" t="n"/>
    </row>
  </sheetData>
  <pageMargins left="0.19" right="0.28" top="0.32" bottom="0.41" header="0.17" footer="0.2"/>
  <pageSetup orientation="landscape" scale="58" fitToWidth="10"/>
  <colBreaks count="1" manualBreakCount="1">
    <brk id="18" min="0" max="81" man="1"/>
  </colBreaks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92"/>
  <sheetViews>
    <sheetView workbookViewId="0">
      <selection activeCell="P23" sqref="P23"/>
    </sheetView>
  </sheetViews>
  <sheetFormatPr baseColWidth="10" defaultColWidth="8.83203125" defaultRowHeight="16"/>
  <cols>
    <col width="10.33203125" bestFit="1" customWidth="1" min="1" max="1"/>
    <col width="7" bestFit="1" customWidth="1" min="2" max="2"/>
    <col width="8.1640625" customWidth="1" min="3" max="3"/>
    <col width="7.5" customWidth="1" min="4" max="25"/>
  </cols>
  <sheetData>
    <row r="1">
      <c r="A1" s="658" t="n">
        <v>46001</v>
      </c>
    </row>
    <row r="2">
      <c r="C2" s="360" t="inlineStr">
        <is>
          <t>Lengths</t>
        </is>
      </c>
      <c r="D2" s="361" t="inlineStr">
        <is>
          <t>Products</t>
        </is>
      </c>
      <c r="E2" s="364" t="n"/>
      <c r="F2" s="362" t="n"/>
    </row>
    <row r="3">
      <c r="C3" s="420" t="n"/>
      <c r="D3" s="365" t="inlineStr">
        <is>
          <t>Garden</t>
        </is>
      </c>
      <c r="E3" s="366" t="n"/>
      <c r="F3" s="357" t="n"/>
    </row>
    <row r="4">
      <c r="C4" s="420" t="n"/>
      <c r="D4" s="358" t="inlineStr">
        <is>
          <t>High Den Surface Park</t>
        </is>
      </c>
      <c r="F4" s="359" t="n"/>
    </row>
    <row r="5">
      <c r="C5" s="420" t="n"/>
      <c r="D5" s="358" t="inlineStr">
        <is>
          <t>High Density Wrap</t>
        </is>
      </c>
      <c r="F5" s="359" t="n"/>
    </row>
    <row r="6">
      <c r="C6" s="420" t="n"/>
      <c r="D6" s="358" t="inlineStr">
        <is>
          <t>Highrise</t>
        </is>
      </c>
      <c r="F6" s="359" t="n"/>
    </row>
    <row r="7">
      <c r="C7" s="420" t="n"/>
      <c r="D7" s="358" t="n"/>
      <c r="F7" s="359" t="n"/>
    </row>
    <row r="8">
      <c r="C8" s="420" t="n"/>
      <c r="D8" s="358" t="n"/>
      <c r="F8" s="359" t="n"/>
    </row>
    <row r="9">
      <c r="C9" s="420" t="n"/>
      <c r="D9" s="358" t="n"/>
      <c r="F9" s="359" t="n"/>
    </row>
    <row r="10">
      <c r="C10" s="420" t="n"/>
      <c r="D10" s="358" t="n"/>
      <c r="F10" s="359" t="n"/>
    </row>
    <row r="11">
      <c r="C11" s="420" t="n"/>
      <c r="D11" s="358" t="n"/>
      <c r="F11" s="359" t="n"/>
    </row>
    <row r="12">
      <c r="C12" s="982" t="n"/>
      <c r="D12" s="983" t="n"/>
      <c r="E12" s="657" t="n"/>
      <c r="F12" s="984" t="n"/>
    </row>
    <row r="14">
      <c r="C14" s="367" t="n"/>
      <c r="D14" s="421" t="n"/>
      <c r="E14" s="363">
        <f>+D14+1</f>
        <v/>
      </c>
      <c r="F14" s="363">
        <f>+E14+1</f>
        <v/>
      </c>
      <c r="G14" s="363">
        <f>+F14+1</f>
        <v/>
      </c>
      <c r="H14" s="363">
        <f>+G14+1</f>
        <v/>
      </c>
      <c r="I14" s="363">
        <f>+H14+1</f>
        <v/>
      </c>
      <c r="J14" s="363">
        <f>+I14+1</f>
        <v/>
      </c>
      <c r="K14" s="363">
        <f>+J14+1</f>
        <v/>
      </c>
      <c r="L14" s="363">
        <f>+K14+1</f>
        <v/>
      </c>
      <c r="M14" s="363">
        <f>+L14+1</f>
        <v/>
      </c>
      <c r="N14" s="363">
        <f>+M14+1</f>
        <v/>
      </c>
      <c r="O14" s="363">
        <f>+N14+1</f>
        <v/>
      </c>
      <c r="P14" s="363">
        <f>+O14+1</f>
        <v/>
      </c>
      <c r="Q14" s="363">
        <f>+P14+1</f>
        <v/>
      </c>
      <c r="R14" s="363">
        <f>+Q14+1</f>
        <v/>
      </c>
      <c r="S14" s="363">
        <f>+R14+1</f>
        <v/>
      </c>
      <c r="T14" s="363">
        <f>+S14+1</f>
        <v/>
      </c>
      <c r="U14" s="363">
        <f>+T14+1</f>
        <v/>
      </c>
      <c r="V14" s="363">
        <f>+U14+1</f>
        <v/>
      </c>
      <c r="W14" s="363">
        <f>+V14+1</f>
        <v/>
      </c>
      <c r="X14" s="363">
        <f>+W14+1</f>
        <v/>
      </c>
      <c r="Y14" s="363">
        <f>+X14+1</f>
        <v/>
      </c>
      <c r="Z14" s="363">
        <f>+Y14+1</f>
        <v/>
      </c>
      <c r="AA14" s="363">
        <f>+Z14+1</f>
        <v/>
      </c>
      <c r="AB14" s="363">
        <f>+AA14+1</f>
        <v/>
      </c>
      <c r="AC14" s="363">
        <f>+AB14+1</f>
        <v/>
      </c>
      <c r="AD14" s="363">
        <f>+AC14+1</f>
        <v/>
      </c>
      <c r="AE14" s="363">
        <f>+AD14+1</f>
        <v/>
      </c>
      <c r="AF14" s="363">
        <f>+AE14+1</f>
        <v/>
      </c>
      <c r="AG14" s="363">
        <f>+AF14+1</f>
        <v/>
      </c>
      <c r="AH14" s="363">
        <f>+AG14+1</f>
        <v/>
      </c>
      <c r="AI14" s="363">
        <f>+AH14+1</f>
        <v/>
      </c>
      <c r="AJ14" s="363">
        <f>+AI14+1</f>
        <v/>
      </c>
    </row>
    <row r="15">
      <c r="C15" s="368">
        <f>+C25</f>
        <v/>
      </c>
      <c r="D15" s="1367" t="n"/>
      <c r="E15" s="1368">
        <f>+E26</f>
        <v/>
      </c>
      <c r="F15" s="1368">
        <f>+F26</f>
        <v/>
      </c>
      <c r="G15" s="1368">
        <f>+G26</f>
        <v/>
      </c>
      <c r="H15" s="1368">
        <f>+H26</f>
        <v/>
      </c>
      <c r="I15" s="1368">
        <f>+I26</f>
        <v/>
      </c>
      <c r="J15" s="1368">
        <f>+J26</f>
        <v/>
      </c>
      <c r="K15" s="1368">
        <f>+K26</f>
        <v/>
      </c>
      <c r="L15" s="1368">
        <f>+L26</f>
        <v/>
      </c>
      <c r="M15" s="1368">
        <f>+M26</f>
        <v/>
      </c>
      <c r="N15" s="1368">
        <f>+N26</f>
        <v/>
      </c>
      <c r="O15" s="1368">
        <f>+O26</f>
        <v/>
      </c>
      <c r="P15" s="1368">
        <f>+P26</f>
        <v/>
      </c>
      <c r="Q15" s="1368">
        <f>+Q26</f>
        <v/>
      </c>
      <c r="R15" s="1368">
        <f>+R26</f>
        <v/>
      </c>
      <c r="S15" s="1368">
        <f>+S26</f>
        <v/>
      </c>
      <c r="T15" s="1368">
        <f>+T26</f>
        <v/>
      </c>
      <c r="U15" s="1368">
        <f>+U26</f>
        <v/>
      </c>
      <c r="V15" s="1368">
        <f>+V26</f>
        <v/>
      </c>
      <c r="W15" s="1368">
        <f>+W26</f>
        <v/>
      </c>
      <c r="X15" s="1368">
        <f>+X26</f>
        <v/>
      </c>
      <c r="Y15" s="1368">
        <f>+Y26</f>
        <v/>
      </c>
      <c r="Z15" s="1368">
        <f>+Z26</f>
        <v/>
      </c>
      <c r="AA15" s="1368">
        <f>+AA26</f>
        <v/>
      </c>
      <c r="AB15" s="1368">
        <f>+AB26</f>
        <v/>
      </c>
      <c r="AC15" s="1368">
        <f>+AC26</f>
        <v/>
      </c>
      <c r="AD15" s="1368">
        <f>+AD26</f>
        <v/>
      </c>
      <c r="AE15" s="1368">
        <f>+AE26</f>
        <v/>
      </c>
      <c r="AF15" s="1368">
        <f>+AF26</f>
        <v/>
      </c>
      <c r="AG15" s="1368">
        <f>+AG26</f>
        <v/>
      </c>
      <c r="AH15" s="1368">
        <f>+AH26</f>
        <v/>
      </c>
      <c r="AI15" s="1368">
        <f>+AI26</f>
        <v/>
      </c>
      <c r="AJ15" s="1368">
        <f>+AJ26</f>
        <v/>
      </c>
    </row>
    <row r="16">
      <c r="C16" s="368">
        <f>+C39</f>
        <v/>
      </c>
      <c r="D16" s="1367" t="n"/>
      <c r="E16" s="1368">
        <f>+E40</f>
        <v/>
      </c>
      <c r="F16" s="1368">
        <f>+F40</f>
        <v/>
      </c>
      <c r="G16" s="1368">
        <f>+G40</f>
        <v/>
      </c>
      <c r="H16" s="1368">
        <f>+H40</f>
        <v/>
      </c>
      <c r="I16" s="1368">
        <f>+I40</f>
        <v/>
      </c>
      <c r="J16" s="1368">
        <f>+J40</f>
        <v/>
      </c>
      <c r="K16" s="1368">
        <f>+K40</f>
        <v/>
      </c>
      <c r="L16" s="1368">
        <f>+L40</f>
        <v/>
      </c>
      <c r="M16" s="1368">
        <f>+M40</f>
        <v/>
      </c>
      <c r="N16" s="1368">
        <f>+N40</f>
        <v/>
      </c>
      <c r="O16" s="1368">
        <f>+O40</f>
        <v/>
      </c>
      <c r="P16" s="1368">
        <f>+P40</f>
        <v/>
      </c>
      <c r="Q16" s="1368">
        <f>+Q40</f>
        <v/>
      </c>
      <c r="R16" s="1368">
        <f>+R40</f>
        <v/>
      </c>
      <c r="S16" s="1368">
        <f>+S40</f>
        <v/>
      </c>
      <c r="T16" s="1368">
        <f>+T40</f>
        <v/>
      </c>
      <c r="U16" s="1368">
        <f>+U40</f>
        <v/>
      </c>
      <c r="V16" s="1368">
        <f>+V40</f>
        <v/>
      </c>
      <c r="W16" s="1368">
        <f>+W40</f>
        <v/>
      </c>
      <c r="X16" s="1368">
        <f>+X40</f>
        <v/>
      </c>
      <c r="Y16" s="1368">
        <f>+Y40</f>
        <v/>
      </c>
      <c r="Z16" s="1368">
        <f>+Z40</f>
        <v/>
      </c>
      <c r="AA16" s="1368">
        <f>+AA40</f>
        <v/>
      </c>
      <c r="AB16" s="1368">
        <f>+AB40</f>
        <v/>
      </c>
      <c r="AC16" s="1368">
        <f>+AC40</f>
        <v/>
      </c>
      <c r="AD16" s="1368">
        <f>+AD40</f>
        <v/>
      </c>
      <c r="AE16" s="1368">
        <f>+AE40</f>
        <v/>
      </c>
      <c r="AF16" s="1368">
        <f>+AF40</f>
        <v/>
      </c>
      <c r="AG16" s="1368">
        <f>+AG40</f>
        <v/>
      </c>
      <c r="AH16" s="1368">
        <f>+AH40</f>
        <v/>
      </c>
      <c r="AI16" s="1368">
        <f>+AI40</f>
        <v/>
      </c>
      <c r="AJ16" s="1368">
        <f>+AJ40</f>
        <v/>
      </c>
    </row>
    <row r="17">
      <c r="C17" s="368">
        <f>+C55</f>
        <v/>
      </c>
      <c r="D17" s="1367" t="n"/>
      <c r="E17" s="1368">
        <f>+E56</f>
        <v/>
      </c>
      <c r="F17" s="1368">
        <f>+F56</f>
        <v/>
      </c>
      <c r="G17" s="1368">
        <f>+G56</f>
        <v/>
      </c>
      <c r="H17" s="1368">
        <f>+H56</f>
        <v/>
      </c>
      <c r="I17" s="1368">
        <f>+I56</f>
        <v/>
      </c>
      <c r="J17" s="1368">
        <f>+J56</f>
        <v/>
      </c>
      <c r="K17" s="1368">
        <f>+K56</f>
        <v/>
      </c>
      <c r="L17" s="1368">
        <f>+L56</f>
        <v/>
      </c>
      <c r="M17" s="1368">
        <f>+M56</f>
        <v/>
      </c>
      <c r="N17" s="1368">
        <f>+N56</f>
        <v/>
      </c>
      <c r="O17" s="1368">
        <f>+O56</f>
        <v/>
      </c>
      <c r="P17" s="1368">
        <f>+P56</f>
        <v/>
      </c>
      <c r="Q17" s="1368">
        <f>+Q56</f>
        <v/>
      </c>
      <c r="R17" s="1368">
        <f>+R56</f>
        <v/>
      </c>
      <c r="S17" s="1368">
        <f>+S56</f>
        <v/>
      </c>
      <c r="T17" s="1368">
        <f>+T56</f>
        <v/>
      </c>
      <c r="U17" s="1368">
        <f>+U56</f>
        <v/>
      </c>
      <c r="V17" s="1368">
        <f>+V56</f>
        <v/>
      </c>
      <c r="W17" s="1368">
        <f>+W56</f>
        <v/>
      </c>
      <c r="X17" s="1368">
        <f>+X56</f>
        <v/>
      </c>
      <c r="Y17" s="1368">
        <f>+Y56</f>
        <v/>
      </c>
      <c r="Z17" s="1368">
        <f>+Z56</f>
        <v/>
      </c>
      <c r="AA17" s="1368">
        <f>+AA56</f>
        <v/>
      </c>
      <c r="AB17" s="1368">
        <f>+AB56</f>
        <v/>
      </c>
      <c r="AC17" s="1368">
        <f>+AC56</f>
        <v/>
      </c>
      <c r="AD17" s="1368">
        <f>+AD56</f>
        <v/>
      </c>
      <c r="AE17" s="1368">
        <f>+AE56</f>
        <v/>
      </c>
      <c r="AF17" s="1368">
        <f>+AF56</f>
        <v/>
      </c>
      <c r="AG17" s="1368">
        <f>+AG56</f>
        <v/>
      </c>
      <c r="AH17" s="1368">
        <f>+AH56</f>
        <v/>
      </c>
      <c r="AI17" s="1368">
        <f>+AI56</f>
        <v/>
      </c>
      <c r="AJ17" s="1368">
        <f>+AJ56</f>
        <v/>
      </c>
    </row>
    <row r="18">
      <c r="C18" s="368">
        <f>+C73</f>
        <v/>
      </c>
      <c r="D18" s="1367" t="n"/>
      <c r="E18" s="1368">
        <f>+E74</f>
        <v/>
      </c>
      <c r="F18" s="1368">
        <f>+F74</f>
        <v/>
      </c>
      <c r="G18" s="1368">
        <f>+G74</f>
        <v/>
      </c>
      <c r="H18" s="1368">
        <f>+H74</f>
        <v/>
      </c>
      <c r="I18" s="1368">
        <f>+I74</f>
        <v/>
      </c>
      <c r="J18" s="1368">
        <f>+J74</f>
        <v/>
      </c>
      <c r="K18" s="1368">
        <f>+K74</f>
        <v/>
      </c>
      <c r="L18" s="1368">
        <f>+L74</f>
        <v/>
      </c>
      <c r="M18" s="1368">
        <f>+M74</f>
        <v/>
      </c>
      <c r="N18" s="1368">
        <f>+N74</f>
        <v/>
      </c>
      <c r="O18" s="1368">
        <f>+O74</f>
        <v/>
      </c>
      <c r="P18" s="1368">
        <f>+P74</f>
        <v/>
      </c>
      <c r="Q18" s="1368">
        <f>+Q74</f>
        <v/>
      </c>
      <c r="R18" s="1368">
        <f>+R74</f>
        <v/>
      </c>
      <c r="S18" s="1368">
        <f>+S74</f>
        <v/>
      </c>
      <c r="T18" s="1368">
        <f>+T74</f>
        <v/>
      </c>
      <c r="U18" s="1368">
        <f>+U74</f>
        <v/>
      </c>
      <c r="V18" s="1368">
        <f>+V74</f>
        <v/>
      </c>
      <c r="W18" s="1368">
        <f>+W74</f>
        <v/>
      </c>
      <c r="X18" s="1368">
        <f>+X74</f>
        <v/>
      </c>
      <c r="Y18" s="1368">
        <f>+Y74</f>
        <v/>
      </c>
      <c r="Z18" s="1368">
        <f>+Z74</f>
        <v/>
      </c>
      <c r="AA18" s="1368">
        <f>+AA74</f>
        <v/>
      </c>
      <c r="AB18" s="1368">
        <f>+AB74</f>
        <v/>
      </c>
      <c r="AC18" s="1368">
        <f>+AC74</f>
        <v/>
      </c>
      <c r="AD18" s="1368">
        <f>+AD74</f>
        <v/>
      </c>
      <c r="AE18" s="1368">
        <f>+AE74</f>
        <v/>
      </c>
      <c r="AF18" s="1368">
        <f>+AF74</f>
        <v/>
      </c>
      <c r="AG18" s="1368">
        <f>+AG74</f>
        <v/>
      </c>
      <c r="AH18" s="1368">
        <f>+AH74</f>
        <v/>
      </c>
      <c r="AI18" s="1368">
        <f>+AI74</f>
        <v/>
      </c>
      <c r="AJ18" s="1368">
        <f>+AJ74</f>
        <v/>
      </c>
    </row>
    <row r="20">
      <c r="A20" s="375" t="n"/>
      <c r="B20" s="375" t="n"/>
      <c r="C20" s="373" t="inlineStr">
        <is>
          <t>High Den Surface Park</t>
        </is>
      </c>
      <c r="D20" s="1369" t="n"/>
      <c r="E20" s="1370">
        <f>VLOOKUP($C20,$C15:$AJ18,E14+2)</f>
        <v/>
      </c>
      <c r="F20" s="1370">
        <f>VLOOKUP($C20,$C15:$AJ18,F14+2)</f>
        <v/>
      </c>
      <c r="G20" s="1370">
        <f>VLOOKUP($C20,$C15:$AJ18,G14+2)</f>
        <v/>
      </c>
      <c r="H20" s="1370">
        <f>VLOOKUP($C20,$C15:$AJ18,H14+2)</f>
        <v/>
      </c>
      <c r="I20" s="1370">
        <f>VLOOKUP($C20,$C15:$AJ18,I14+2)</f>
        <v/>
      </c>
      <c r="J20" s="1370">
        <f>VLOOKUP($C20,$C15:$AJ18,J14+2)</f>
        <v/>
      </c>
      <c r="K20" s="1370">
        <f>VLOOKUP($C20,$C15:$AJ18,K14+2)</f>
        <v/>
      </c>
      <c r="L20" s="1370">
        <f>VLOOKUP($C20,$C15:$AJ18,L14+2)</f>
        <v/>
      </c>
      <c r="M20" s="1370">
        <f>VLOOKUP($C20,$C15:$AJ18,M14+2)</f>
        <v/>
      </c>
      <c r="N20" s="1370">
        <f>VLOOKUP($C20,$C15:$AJ18,N14+2)</f>
        <v/>
      </c>
      <c r="O20" s="1370">
        <f>VLOOKUP($C20,$C15:$AJ18,O14+2)</f>
        <v/>
      </c>
      <c r="P20" s="1370">
        <f>VLOOKUP($C20,$C15:$AJ18,P14+2)</f>
        <v/>
      </c>
      <c r="Q20" s="1370">
        <f>VLOOKUP($C20,$C15:$AJ18,Q14+2)</f>
        <v/>
      </c>
      <c r="R20" s="1370">
        <f>VLOOKUP($C20,$C15:$AJ18,R14+2)</f>
        <v/>
      </c>
      <c r="S20" s="1370">
        <f>VLOOKUP($C20,$C15:$AJ18,S14+2)</f>
        <v/>
      </c>
      <c r="T20" s="1370">
        <f>VLOOKUP($C20,$C15:$AJ18,T14+2)</f>
        <v/>
      </c>
      <c r="U20" s="1370">
        <f>VLOOKUP($C20,$C15:$AJ18,U14+2)</f>
        <v/>
      </c>
      <c r="V20" s="1370">
        <f>VLOOKUP($C20,$C15:$AJ18,V14+2)</f>
        <v/>
      </c>
      <c r="W20" s="1370">
        <f>VLOOKUP($C20,$C15:$AJ18,W14+2)</f>
        <v/>
      </c>
      <c r="X20" s="1370">
        <f>VLOOKUP($C20,$C15:$AJ18,X14+2)</f>
        <v/>
      </c>
      <c r="Y20" s="1370">
        <f>VLOOKUP($C20,$C15:$AJ18,Y14+2)</f>
        <v/>
      </c>
      <c r="Z20" s="1370">
        <f>VLOOKUP($C20,$C15:$AJ18,Z14+2)</f>
        <v/>
      </c>
      <c r="AA20" s="1370">
        <f>VLOOKUP($C20,$C15:$AJ18,AA14+2)</f>
        <v/>
      </c>
      <c r="AB20" s="1370">
        <f>VLOOKUP($C20,$C15:$AJ18,AB14+2)</f>
        <v/>
      </c>
      <c r="AC20" s="1370">
        <f>VLOOKUP($C20,$C15:$AJ18,AC14+2)</f>
        <v/>
      </c>
      <c r="AD20" s="1370">
        <f>VLOOKUP($C20,$C15:$AJ18,AD14+2)</f>
        <v/>
      </c>
      <c r="AE20" s="1370">
        <f>VLOOKUP($C20,$C15:$AJ18,AE14+2)</f>
        <v/>
      </c>
      <c r="AF20" s="1370">
        <f>VLOOKUP($C20,$C15:$AJ18,AF14+2)</f>
        <v/>
      </c>
      <c r="AG20" s="1370">
        <f>VLOOKUP($C20,$C15:$AJ18,AG14+2)</f>
        <v/>
      </c>
      <c r="AH20" s="1370">
        <f>VLOOKUP($C20,$C15:$AJ18,AH14+2)</f>
        <v/>
      </c>
      <c r="AI20" s="1370">
        <f>VLOOKUP($C20,$C15:$AJ18,AI14+2)</f>
        <v/>
      </c>
      <c r="AJ20" s="1370">
        <f>VLOOKUP($C20,$C15:$AJ18,AJ14+2)</f>
        <v/>
      </c>
    </row>
    <row r="25">
      <c r="C25" s="367">
        <f>+D3</f>
        <v/>
      </c>
      <c r="D25" s="367" t="n"/>
      <c r="E25" s="421" t="n"/>
      <c r="F25" s="421" t="n"/>
      <c r="G25" s="421" t="n"/>
      <c r="H25" s="421" t="n"/>
      <c r="I25" s="421" t="n"/>
      <c r="J25" s="421" t="n"/>
      <c r="K25" s="421" t="n"/>
      <c r="L25" s="421" t="n"/>
      <c r="M25" s="421" t="n"/>
      <c r="N25" s="421" t="n"/>
      <c r="O25" s="421" t="n"/>
      <c r="P25" s="421" t="n"/>
      <c r="Q25" s="421" t="n"/>
      <c r="R25" s="421" t="n"/>
      <c r="S25" s="421" t="n"/>
      <c r="T25" s="421" t="n"/>
      <c r="U25" s="421" t="n"/>
      <c r="V25" s="421" t="n"/>
      <c r="W25" s="421" t="n"/>
      <c r="X25" s="421" t="n"/>
      <c r="Y25" s="421" t="n"/>
      <c r="Z25" s="421" t="n"/>
      <c r="AA25" s="421" t="n"/>
      <c r="AB25" s="421" t="n"/>
      <c r="AC25" s="421" t="n"/>
      <c r="AD25" s="421" t="n"/>
      <c r="AE25" s="421" t="n"/>
      <c r="AF25" s="421" t="n"/>
      <c r="AG25" s="421" t="n"/>
      <c r="AH25" s="421" t="n"/>
      <c r="AI25" s="421" t="n"/>
      <c r="AJ25" s="421" t="n"/>
    </row>
    <row r="26">
      <c r="A26" s="369">
        <f>IF(SUM(E26:AJ26)=1,"","CHECK")</f>
        <v/>
      </c>
      <c r="B26" s="1368">
        <f>SUM(E26:AJ26)</f>
        <v/>
      </c>
      <c r="C26" s="367" t="n">
        <v>22</v>
      </c>
      <c r="D26" s="367" t="n"/>
      <c r="E26" s="1371">
        <f>VLOOKUP($C26,$C27:$AJ36,E25+2,)</f>
        <v/>
      </c>
      <c r="F26" s="1371">
        <f>VLOOKUP($C26,$C27:$AJ36,F25+2,)</f>
        <v/>
      </c>
      <c r="G26" s="1371">
        <f>VLOOKUP($C26,$C27:$AJ36,G25+2,)</f>
        <v/>
      </c>
      <c r="H26" s="1371">
        <f>VLOOKUP($C26,$C27:$AJ36,H25+2,)</f>
        <v/>
      </c>
      <c r="I26" s="1371">
        <f>VLOOKUP($C26,$C27:$AJ36,I25+2,)</f>
        <v/>
      </c>
      <c r="J26" s="1371">
        <f>VLOOKUP($C26,$C27:$AJ36,J25+2,)</f>
        <v/>
      </c>
      <c r="K26" s="1371">
        <f>VLOOKUP($C26,$C27:$AJ36,K25+2,)</f>
        <v/>
      </c>
      <c r="L26" s="1371">
        <f>VLOOKUP($C26,$C27:$AJ36,L25+2,)</f>
        <v/>
      </c>
      <c r="M26" s="1371">
        <f>VLOOKUP($C26,$C27:$AJ36,M25+2,)</f>
        <v/>
      </c>
      <c r="N26" s="1371">
        <f>VLOOKUP($C26,$C27:$AJ36,N25+2,)</f>
        <v/>
      </c>
      <c r="O26" s="1371">
        <f>VLOOKUP($C26,$C27:$AJ36,O25+2,)</f>
        <v/>
      </c>
      <c r="P26" s="1371">
        <f>VLOOKUP($C26,$C27:$AJ36,P25+2,)</f>
        <v/>
      </c>
      <c r="Q26" s="1371">
        <f>VLOOKUP($C26,$C27:$AJ36,Q25+2,)</f>
        <v/>
      </c>
      <c r="R26" s="1371">
        <f>VLOOKUP($C26,$C27:$AJ36,R25+2,)</f>
        <v/>
      </c>
      <c r="S26" s="1371">
        <f>VLOOKUP($C26,$C27:$AJ36,S25+2,)</f>
        <v/>
      </c>
      <c r="T26" s="1371">
        <f>VLOOKUP($C26,$C27:$AJ36,T25+2,)</f>
        <v/>
      </c>
      <c r="U26" s="1371">
        <f>VLOOKUP($C26,$C27:$AJ36,U25+2,)</f>
        <v/>
      </c>
      <c r="V26" s="1371">
        <f>VLOOKUP($C26,$C27:$AJ36,V25+2,)</f>
        <v/>
      </c>
      <c r="W26" s="1371">
        <f>VLOOKUP($C26,$C27:$AJ36,W25+2,)</f>
        <v/>
      </c>
      <c r="X26" s="1371">
        <f>VLOOKUP($C26,$C27:$AJ36,X25+2,)</f>
        <v/>
      </c>
      <c r="Y26" s="1371">
        <f>VLOOKUP($C26,$C27:$AJ36,Y25+2,)</f>
        <v/>
      </c>
      <c r="Z26" s="1371">
        <f>VLOOKUP($C26,$C27:$AJ36,Z25+2,)</f>
        <v/>
      </c>
      <c r="AA26" s="1371">
        <f>VLOOKUP($C26,$C27:$AJ36,AA25+2,)</f>
        <v/>
      </c>
      <c r="AB26" s="1371">
        <f>VLOOKUP($C26,$C27:$AJ36,AB25+2,)</f>
        <v/>
      </c>
      <c r="AC26" s="1371">
        <f>VLOOKUP($C26,$C27:$AJ36,AC25+2,)</f>
        <v/>
      </c>
      <c r="AD26" s="1371">
        <f>VLOOKUP($C26,$C27:$AJ36,AD25+2,)</f>
        <v/>
      </c>
      <c r="AE26" s="1371">
        <f>VLOOKUP($C26,$C27:$AJ36,AE25+2,)</f>
        <v/>
      </c>
      <c r="AF26" s="1371">
        <f>VLOOKUP($C26,$C27:$AJ36,AF25+2,)</f>
        <v/>
      </c>
      <c r="AG26" s="1371">
        <f>VLOOKUP($C26,$C27:$AJ36,AG25+2,)</f>
        <v/>
      </c>
      <c r="AH26" s="1371">
        <f>VLOOKUP($C26,$C27:$AJ36,AH25+2,)</f>
        <v/>
      </c>
      <c r="AI26" s="1371">
        <f>VLOOKUP($C26,$C27:$AJ36,AI25+2,)</f>
        <v/>
      </c>
      <c r="AJ26" s="1371">
        <f>VLOOKUP($C26,$C27:$AJ36,AJ25+2,)</f>
        <v/>
      </c>
    </row>
    <row r="27">
      <c r="A27" s="369">
        <f>IF(SUM(E27:AJ27)=1,"","CHECK")</f>
        <v/>
      </c>
      <c r="B27" s="1368">
        <f>SUM(E27:AJ27)</f>
        <v/>
      </c>
      <c r="C27" s="423" t="n"/>
      <c r="E27" s="1372" t="n"/>
      <c r="F27" s="1372" t="n"/>
      <c r="G27" s="1372" t="n"/>
      <c r="H27" s="1372" t="n"/>
      <c r="I27" s="1372" t="n"/>
      <c r="J27" s="1372" t="n"/>
      <c r="K27" s="1372" t="n"/>
      <c r="L27" s="1372" t="n"/>
      <c r="M27" s="1372" t="n"/>
      <c r="N27" s="1372" t="n"/>
      <c r="O27" s="1372" t="n"/>
      <c r="P27" s="1372" t="n"/>
      <c r="Q27" s="1372" t="n"/>
      <c r="R27" s="1372" t="n"/>
      <c r="S27" s="1372" t="n"/>
      <c r="T27" s="1372" t="n"/>
      <c r="U27" s="1372" t="n"/>
      <c r="V27" s="1372" t="n"/>
      <c r="W27" s="1372" t="n"/>
      <c r="X27" s="1372" t="n"/>
      <c r="Y27" s="1372" t="n"/>
      <c r="Z27" s="1372" t="n"/>
      <c r="AA27" s="1372" t="n"/>
      <c r="AB27" s="1372" t="n"/>
      <c r="AC27" s="1372" t="n"/>
      <c r="AD27" s="1372" t="n"/>
      <c r="AE27" s="1372" t="n"/>
      <c r="AF27" s="1372" t="n"/>
      <c r="AG27" s="1372" t="n"/>
      <c r="AH27" s="1372" t="n"/>
      <c r="AI27" s="1372" t="n"/>
      <c r="AJ27" s="1372" t="n"/>
    </row>
    <row r="28">
      <c r="A28" s="369">
        <f>IF(SUM(E28:AJ28)=1,"","CHECK")</f>
        <v/>
      </c>
      <c r="B28" s="1368">
        <f>SUM(E28:AJ28)</f>
        <v/>
      </c>
      <c r="C28" s="423" t="n"/>
      <c r="E28" s="1372" t="n"/>
      <c r="F28" s="1372" t="n"/>
      <c r="G28" s="1372" t="n"/>
      <c r="H28" s="1372" t="n"/>
      <c r="I28" s="1372" t="n"/>
      <c r="J28" s="1372" t="n"/>
      <c r="K28" s="1372" t="n"/>
      <c r="L28" s="1372" t="n"/>
      <c r="M28" s="1372" t="n"/>
      <c r="N28" s="1372" t="n"/>
      <c r="O28" s="1372" t="n"/>
      <c r="P28" s="1372" t="n"/>
      <c r="Q28" s="1372" t="n"/>
      <c r="R28" s="1372" t="n"/>
      <c r="S28" s="1372" t="n"/>
      <c r="T28" s="1372" t="n"/>
      <c r="U28" s="1372" t="n"/>
      <c r="V28" s="1372" t="n"/>
      <c r="W28" s="1372" t="n"/>
      <c r="X28" s="1372" t="n"/>
      <c r="Y28" s="1372" t="n"/>
      <c r="Z28" s="1372" t="n"/>
      <c r="AA28" s="1372" t="n"/>
      <c r="AB28" s="1372" t="n"/>
      <c r="AC28" s="1372" t="n"/>
      <c r="AD28" s="1372" t="n"/>
      <c r="AE28" s="1372" t="n"/>
      <c r="AF28" s="1372" t="n"/>
      <c r="AG28" s="1372" t="n"/>
      <c r="AH28" s="1372" t="n"/>
      <c r="AI28" s="1372" t="n"/>
      <c r="AJ28" s="1372" t="n"/>
    </row>
    <row r="29">
      <c r="A29" s="369">
        <f>IF(SUM(E29:AJ29)=1,"","CHECK")</f>
        <v/>
      </c>
      <c r="B29" s="1368">
        <f>SUM(E29:AJ29)</f>
        <v/>
      </c>
      <c r="C29" s="423" t="n"/>
      <c r="E29" s="1372" t="n"/>
      <c r="F29" s="1372" t="n"/>
      <c r="G29" s="1372" t="n"/>
      <c r="H29" s="1372" t="n"/>
      <c r="I29" s="1372" t="n"/>
      <c r="J29" s="1372" t="n"/>
      <c r="K29" s="1372" t="n"/>
      <c r="L29" s="1372" t="n"/>
      <c r="M29" s="1372" t="n"/>
      <c r="N29" s="1372" t="n"/>
      <c r="O29" s="1372" t="n"/>
      <c r="P29" s="1372" t="n"/>
      <c r="Q29" s="1372" t="n"/>
      <c r="R29" s="1372" t="n"/>
      <c r="S29" s="1372" t="n"/>
      <c r="T29" s="1372" t="n"/>
      <c r="U29" s="1372" t="n"/>
      <c r="V29" s="1372" t="n"/>
      <c r="W29" s="1372" t="n"/>
      <c r="X29" s="1372" t="n"/>
      <c r="Y29" s="1372" t="n"/>
      <c r="Z29" s="1372" t="n"/>
      <c r="AA29" s="1372" t="n"/>
      <c r="AB29" s="1372" t="n"/>
      <c r="AC29" s="1372" t="n"/>
      <c r="AD29" s="1372" t="n"/>
      <c r="AE29" s="1372" t="n"/>
      <c r="AF29" s="1372" t="n"/>
      <c r="AG29" s="1372" t="n"/>
      <c r="AH29" s="1372" t="n"/>
      <c r="AI29" s="1372" t="n"/>
      <c r="AJ29" s="1372" t="n"/>
    </row>
    <row r="30">
      <c r="A30" s="369">
        <f>IF(SUM(E30:AJ30)=1,"","CHECK")</f>
        <v/>
      </c>
      <c r="B30" s="1368">
        <f>SUM(E30:AJ30)</f>
        <v/>
      </c>
      <c r="C30" s="423" t="n"/>
      <c r="E30" s="1372" t="n"/>
      <c r="F30" s="1372" t="n"/>
      <c r="G30" s="1372" t="n"/>
      <c r="H30" s="1372" t="n"/>
      <c r="I30" s="1372" t="n"/>
      <c r="J30" s="1372" t="n"/>
      <c r="K30" s="1372" t="n"/>
      <c r="L30" s="1372" t="n"/>
      <c r="M30" s="1372" t="n"/>
      <c r="N30" s="1372" t="n"/>
      <c r="O30" s="1372" t="n"/>
      <c r="P30" s="1372" t="n"/>
      <c r="Q30" s="1372" t="n"/>
      <c r="R30" s="1372" t="n"/>
      <c r="S30" s="1372" t="n"/>
      <c r="T30" s="1372" t="n"/>
      <c r="U30" s="1372" t="n"/>
      <c r="V30" s="1372" t="n"/>
      <c r="W30" s="1372" t="n"/>
      <c r="X30" s="1372" t="n"/>
      <c r="Y30" s="1372" t="n"/>
      <c r="Z30" s="1372" t="n"/>
      <c r="AA30" s="1372" t="n"/>
      <c r="AB30" s="1372" t="n"/>
      <c r="AC30" s="1372" t="n"/>
      <c r="AD30" s="1372" t="n"/>
      <c r="AE30" s="1372" t="n"/>
      <c r="AF30" s="1372" t="n"/>
      <c r="AG30" s="1372" t="n"/>
      <c r="AH30" s="1372" t="n"/>
      <c r="AI30" s="1372" t="n"/>
      <c r="AJ30" s="1372" t="n"/>
    </row>
    <row r="31">
      <c r="A31" s="369">
        <f>IF(SUM(E31:AJ31)=1,"","CHECK")</f>
        <v/>
      </c>
      <c r="B31" s="1368">
        <f>SUM(E31:AJ31)</f>
        <v/>
      </c>
      <c r="C31" s="423" t="n"/>
      <c r="E31" s="1372" t="n"/>
      <c r="F31" s="1372" t="n"/>
      <c r="G31" s="1372" t="n"/>
      <c r="H31" s="1372" t="n"/>
      <c r="I31" s="1372" t="n"/>
      <c r="J31" s="1372" t="n"/>
      <c r="K31" s="1372" t="n"/>
      <c r="L31" s="1372" t="n"/>
      <c r="M31" s="1372" t="n"/>
      <c r="N31" s="1372" t="n"/>
      <c r="O31" s="1372" t="n"/>
      <c r="P31" s="1372" t="n"/>
      <c r="Q31" s="1372" t="n"/>
      <c r="R31" s="1372" t="n"/>
      <c r="S31" s="1372" t="n"/>
      <c r="T31" s="1372" t="n"/>
      <c r="U31" s="1372" t="n"/>
      <c r="V31" s="1372" t="n"/>
      <c r="W31" s="1372" t="n"/>
      <c r="X31" s="1372" t="n"/>
      <c r="Y31" s="1372" t="n"/>
      <c r="Z31" s="1372" t="n"/>
      <c r="AA31" s="1372" t="n"/>
      <c r="AB31" s="1372" t="n"/>
      <c r="AC31" s="1372" t="n"/>
      <c r="AD31" s="1372" t="n"/>
      <c r="AE31" s="1372" t="n"/>
      <c r="AF31" s="1372" t="n"/>
      <c r="AG31" s="1372" t="n"/>
      <c r="AH31" s="1372" t="n"/>
      <c r="AI31" s="1372" t="n"/>
      <c r="AJ31" s="1372" t="n"/>
    </row>
    <row r="32">
      <c r="A32" s="369">
        <f>IF(SUM(E32:AJ32)=1,"","CHECK")</f>
        <v/>
      </c>
      <c r="B32" s="1368">
        <f>SUM(E32:AJ32)</f>
        <v/>
      </c>
      <c r="C32" s="423" t="n"/>
      <c r="E32" s="1372" t="n"/>
      <c r="F32" s="1372" t="n"/>
      <c r="G32" s="1372" t="n"/>
      <c r="H32" s="1372" t="n"/>
      <c r="I32" s="1372" t="n"/>
      <c r="J32" s="1372" t="n"/>
      <c r="K32" s="1372" t="n"/>
      <c r="L32" s="1372" t="n"/>
      <c r="M32" s="1372" t="n"/>
      <c r="N32" s="1372" t="n"/>
      <c r="O32" s="1372" t="n"/>
      <c r="P32" s="1372" t="n"/>
      <c r="Q32" s="1372" t="n"/>
      <c r="R32" s="1372" t="n"/>
      <c r="S32" s="1372" t="n"/>
      <c r="T32" s="1372" t="n"/>
      <c r="U32" s="1372" t="n"/>
      <c r="V32" s="1372" t="n"/>
      <c r="W32" s="1372" t="n"/>
      <c r="X32" s="1372" t="n"/>
      <c r="Y32" s="1372" t="n"/>
      <c r="Z32" s="1372" t="n"/>
      <c r="AA32" s="1372" t="n"/>
      <c r="AB32" s="1372" t="n"/>
      <c r="AC32" s="1372" t="n"/>
      <c r="AD32" s="1372" t="n"/>
      <c r="AE32" s="1372" t="n"/>
      <c r="AF32" s="1372" t="n"/>
      <c r="AG32" s="1372" t="n"/>
      <c r="AH32" s="1372" t="n"/>
      <c r="AI32" s="1372" t="n"/>
      <c r="AJ32" s="1372" t="n"/>
    </row>
    <row r="33">
      <c r="A33" s="369">
        <f>IF(SUM(E33:AJ33)=1,"","CHECK")</f>
        <v/>
      </c>
      <c r="B33" s="1368">
        <f>SUM(E33:AJ33)</f>
        <v/>
      </c>
      <c r="C33" s="423" t="n"/>
      <c r="E33" s="1372" t="n"/>
      <c r="F33" s="1372" t="n"/>
      <c r="G33" s="1372" t="n"/>
      <c r="H33" s="1372" t="n"/>
      <c r="I33" s="1372" t="n"/>
      <c r="J33" s="1372" t="n"/>
      <c r="K33" s="1372" t="n"/>
      <c r="L33" s="1372" t="n"/>
      <c r="M33" s="1372" t="n"/>
      <c r="N33" s="1372" t="n"/>
      <c r="O33" s="1372" t="n"/>
      <c r="P33" s="1372" t="n"/>
      <c r="Q33" s="1372" t="n"/>
      <c r="R33" s="1372" t="n"/>
      <c r="S33" s="1372" t="n"/>
      <c r="T33" s="1372" t="n"/>
      <c r="U33" s="1372" t="n"/>
      <c r="V33" s="1372" t="n"/>
      <c r="W33" s="1372" t="n"/>
      <c r="X33" s="1372" t="n"/>
      <c r="Y33" s="1372" t="n"/>
      <c r="Z33" s="1372" t="n"/>
      <c r="AA33" s="1372" t="n"/>
      <c r="AB33" s="1372" t="n"/>
      <c r="AC33" s="1372" t="n"/>
      <c r="AD33" s="1372" t="n"/>
      <c r="AE33" s="1372" t="n"/>
      <c r="AF33" s="1372" t="n"/>
      <c r="AG33" s="1372" t="n"/>
      <c r="AH33" s="1372" t="n"/>
      <c r="AI33" s="1372" t="n"/>
      <c r="AJ33" s="1372" t="n"/>
    </row>
    <row r="34">
      <c r="A34" s="369">
        <f>IF(SUM(E34:AJ34)=1,"","CHECK")</f>
        <v/>
      </c>
      <c r="B34" s="1368">
        <f>SUM(E34:AJ34)</f>
        <v/>
      </c>
      <c r="C34" s="423" t="n"/>
      <c r="E34" s="1372" t="n"/>
      <c r="F34" s="1372" t="n"/>
      <c r="G34" s="1372" t="n"/>
      <c r="H34" s="1372" t="n"/>
      <c r="I34" s="1372" t="n"/>
      <c r="J34" s="1372" t="n"/>
      <c r="K34" s="1372" t="n"/>
      <c r="L34" s="1372" t="n"/>
      <c r="M34" s="1372" t="n"/>
      <c r="N34" s="1372" t="n"/>
      <c r="O34" s="1372" t="n"/>
      <c r="P34" s="1372" t="n"/>
      <c r="Q34" s="1372" t="n"/>
      <c r="R34" s="1372" t="n"/>
      <c r="S34" s="1372" t="n"/>
      <c r="T34" s="1372" t="n"/>
      <c r="U34" s="1372" t="n"/>
      <c r="V34" s="1372" t="n"/>
      <c r="W34" s="1372" t="n"/>
      <c r="X34" s="1372" t="n"/>
      <c r="Y34" s="1372" t="n"/>
      <c r="Z34" s="1372" t="n"/>
      <c r="AA34" s="1372" t="n"/>
      <c r="AB34" s="1372" t="n"/>
      <c r="AC34" s="1372" t="n"/>
      <c r="AD34" s="1372" t="n"/>
      <c r="AE34" s="1372" t="n"/>
      <c r="AF34" s="1372" t="n"/>
      <c r="AG34" s="1372" t="n"/>
      <c r="AH34" s="1372" t="n"/>
      <c r="AI34" s="1372" t="n"/>
      <c r="AJ34" s="1372" t="n"/>
    </row>
    <row r="35">
      <c r="A35" s="369">
        <f>IF(SUM(E35:AJ35)=1,"","CHECK")</f>
        <v/>
      </c>
      <c r="B35" s="1368">
        <f>SUM(E35:AJ35)</f>
        <v/>
      </c>
      <c r="C35" s="423" t="n"/>
      <c r="E35" s="1372" t="n"/>
      <c r="F35" s="1372" t="n"/>
      <c r="G35" s="1372" t="n"/>
      <c r="H35" s="1372" t="n"/>
      <c r="I35" s="1372" t="n"/>
      <c r="J35" s="1372" t="n"/>
      <c r="K35" s="1372" t="n"/>
      <c r="L35" s="1372" t="n"/>
      <c r="M35" s="1372" t="n"/>
      <c r="N35" s="1372" t="n"/>
      <c r="O35" s="1372" t="n"/>
      <c r="P35" s="1372" t="n"/>
      <c r="Q35" s="1372" t="n"/>
      <c r="R35" s="1372" t="n"/>
      <c r="S35" s="1372" t="n"/>
      <c r="T35" s="1372" t="n"/>
      <c r="U35" s="1372" t="n"/>
      <c r="V35" s="1372" t="n"/>
      <c r="W35" s="1372" t="n"/>
      <c r="X35" s="1372" t="n"/>
      <c r="Y35" s="1372" t="n"/>
      <c r="Z35" s="1372" t="n"/>
      <c r="AA35" s="1372" t="n"/>
      <c r="AB35" s="1372" t="n"/>
      <c r="AC35" s="1372" t="n"/>
      <c r="AD35" s="1372" t="n"/>
      <c r="AE35" s="1372" t="n"/>
      <c r="AF35" s="1372" t="n"/>
      <c r="AG35" s="1372" t="n"/>
      <c r="AH35" s="1372" t="n"/>
      <c r="AI35" s="1372" t="n"/>
      <c r="AJ35" s="1372" t="n"/>
    </row>
    <row r="36">
      <c r="A36" s="369">
        <f>IF(SUM(E36:AJ36)=1,"","CHECK")</f>
        <v/>
      </c>
      <c r="B36" s="1368">
        <f>SUM(E36:AJ36)</f>
        <v/>
      </c>
      <c r="C36" s="423" t="n"/>
      <c r="E36" s="1372" t="n"/>
      <c r="F36" s="1372" t="n"/>
      <c r="G36" s="1372" t="n"/>
      <c r="H36" s="1372" t="n"/>
      <c r="I36" s="1372" t="n"/>
      <c r="J36" s="1372" t="n"/>
      <c r="K36" s="1372" t="n"/>
      <c r="L36" s="1372" t="n"/>
      <c r="M36" s="1372" t="n"/>
      <c r="N36" s="1372" t="n"/>
      <c r="O36" s="1372" t="n"/>
      <c r="P36" s="1372" t="n"/>
      <c r="Q36" s="1372" t="n"/>
      <c r="R36" s="1372" t="n"/>
      <c r="S36" s="1372" t="n"/>
      <c r="T36" s="1372" t="n"/>
      <c r="U36" s="1372" t="n"/>
      <c r="V36" s="1372" t="n"/>
      <c r="W36" s="1372" t="n"/>
      <c r="X36" s="1372" t="n"/>
      <c r="Y36" s="1372" t="n"/>
      <c r="Z36" s="1372" t="n"/>
      <c r="AA36" s="1372" t="n"/>
      <c r="AB36" s="1372" t="n"/>
      <c r="AC36" s="1372" t="n"/>
      <c r="AD36" s="1372" t="n"/>
      <c r="AE36" s="1372" t="n"/>
      <c r="AF36" s="1372" t="n"/>
      <c r="AG36" s="1372" t="n"/>
      <c r="AH36" s="1372" t="n"/>
      <c r="AI36" s="1372" t="n"/>
      <c r="AJ36" s="1372" t="n"/>
    </row>
    <row r="39">
      <c r="C39" s="367">
        <f>+D4</f>
        <v/>
      </c>
      <c r="D39" s="367" t="n"/>
      <c r="E39" s="421" t="n"/>
      <c r="F39" s="421" t="n"/>
      <c r="G39" s="421" t="n"/>
      <c r="H39" s="421" t="n"/>
      <c r="I39" s="421" t="n"/>
      <c r="J39" s="421" t="n"/>
      <c r="K39" s="421" t="n"/>
      <c r="L39" s="421" t="n"/>
      <c r="M39" s="421" t="n"/>
      <c r="N39" s="421" t="n"/>
      <c r="O39" s="421" t="n"/>
      <c r="P39" s="421" t="n"/>
      <c r="Q39" s="421" t="n"/>
      <c r="R39" s="421" t="n"/>
      <c r="S39" s="421" t="n"/>
      <c r="T39" s="421" t="n"/>
      <c r="U39" s="421" t="n"/>
      <c r="V39" s="421" t="n"/>
      <c r="W39" s="421" t="n"/>
      <c r="X39" s="421" t="n"/>
      <c r="Y39" s="421" t="n"/>
      <c r="Z39" s="421" t="n"/>
      <c r="AA39" s="421" t="n"/>
      <c r="AB39" s="421" t="n"/>
      <c r="AC39" s="421" t="n"/>
      <c r="AD39" s="421" t="n"/>
      <c r="AE39" s="421" t="n"/>
      <c r="AF39" s="421" t="n"/>
      <c r="AG39" s="421" t="n"/>
      <c r="AH39" s="421" t="n"/>
      <c r="AI39" s="421" t="n"/>
      <c r="AJ39" s="421" t="n"/>
    </row>
    <row r="40">
      <c r="A40" s="369">
        <f>IF(SUM(E40:AJ40)=1,"","CHECK")</f>
        <v/>
      </c>
      <c r="B40" s="1368">
        <f>SUM(E40:AJ40)</f>
        <v/>
      </c>
      <c r="C40" s="367" t="n">
        <v>22</v>
      </c>
      <c r="D40" s="367" t="n"/>
      <c r="E40" s="1371">
        <f>VLOOKUP($C40,$C41:$AJ50,E39+2,)</f>
        <v/>
      </c>
      <c r="F40" s="1371">
        <f>VLOOKUP($C40,$C41:$AJ50,F39+2,)</f>
        <v/>
      </c>
      <c r="G40" s="1371">
        <f>VLOOKUP($C40,$C41:$AJ50,G39+2,)</f>
        <v/>
      </c>
      <c r="H40" s="1371">
        <f>VLOOKUP($C40,$C41:$AJ50,H39+2,)</f>
        <v/>
      </c>
      <c r="I40" s="1371">
        <f>VLOOKUP($C40,$C41:$AJ50,I39+2,)</f>
        <v/>
      </c>
      <c r="J40" s="1371">
        <f>VLOOKUP($C40,$C41:$AJ50,J39+2,)</f>
        <v/>
      </c>
      <c r="K40" s="1371">
        <f>VLOOKUP($C40,$C41:$AJ50,K39+2,)</f>
        <v/>
      </c>
      <c r="L40" s="1371">
        <f>VLOOKUP($C40,$C41:$AJ50,L39+2,)</f>
        <v/>
      </c>
      <c r="M40" s="1371">
        <f>VLOOKUP($C40,$C41:$AJ50,M39+2,)</f>
        <v/>
      </c>
      <c r="N40" s="1371">
        <f>VLOOKUP($C40,$C41:$AJ50,N39+2,)</f>
        <v/>
      </c>
      <c r="O40" s="1371">
        <f>VLOOKUP($C40,$C41:$AJ50,O39+2,)</f>
        <v/>
      </c>
      <c r="P40" s="1371">
        <f>VLOOKUP($C40,$C41:$AJ50,P39+2,)</f>
        <v/>
      </c>
      <c r="Q40" s="1371">
        <f>VLOOKUP($C40,$C41:$AJ50,Q39+2,)</f>
        <v/>
      </c>
      <c r="R40" s="1371">
        <f>VLOOKUP($C40,$C41:$AJ50,R39+2,)</f>
        <v/>
      </c>
      <c r="S40" s="1371">
        <f>VLOOKUP($C40,$C41:$AJ50,S39+2,)</f>
        <v/>
      </c>
      <c r="T40" s="1371">
        <f>VLOOKUP($C40,$C41:$AJ50,T39+2,)</f>
        <v/>
      </c>
      <c r="U40" s="1371">
        <f>VLOOKUP($C40,$C41:$AJ50,U39+2,)</f>
        <v/>
      </c>
      <c r="V40" s="1371">
        <f>VLOOKUP($C40,$C41:$AJ50,V39+2,)</f>
        <v/>
      </c>
      <c r="W40" s="1371">
        <f>VLOOKUP($C40,$C41:$AJ50,W39+2,)</f>
        <v/>
      </c>
      <c r="X40" s="1371">
        <f>VLOOKUP($C40,$C41:$AJ50,X39+2,)</f>
        <v/>
      </c>
      <c r="Y40" s="1371">
        <f>VLOOKUP($C40,$C41:$AJ50,Y39+2,)</f>
        <v/>
      </c>
      <c r="Z40" s="1371">
        <f>VLOOKUP($C40,$C41:$AJ50,Z39+2,)</f>
        <v/>
      </c>
      <c r="AA40" s="1371">
        <f>VLOOKUP($C40,$C41:$AJ50,AA39+2,)</f>
        <v/>
      </c>
      <c r="AB40" s="1371">
        <f>VLOOKUP($C40,$C41:$AJ50,AB39+2,)</f>
        <v/>
      </c>
      <c r="AC40" s="1371">
        <f>VLOOKUP($C40,$C41:$AJ50,AC39+2,)</f>
        <v/>
      </c>
      <c r="AD40" s="1371">
        <f>VLOOKUP($C40,$C41:$AJ50,AD39+2,)</f>
        <v/>
      </c>
      <c r="AE40" s="1371">
        <f>VLOOKUP($C40,$C41:$AJ50,AE39+2,)</f>
        <v/>
      </c>
      <c r="AF40" s="1371">
        <f>VLOOKUP($C40,$C41:$AJ50,AF39+2,)</f>
        <v/>
      </c>
      <c r="AG40" s="1371">
        <f>VLOOKUP($C40,$C41:$AJ50,AG39+2,)</f>
        <v/>
      </c>
      <c r="AH40" s="1371">
        <f>VLOOKUP($C40,$C41:$AJ50,AH39+2,)</f>
        <v/>
      </c>
      <c r="AI40" s="1371">
        <f>VLOOKUP($C40,$C41:$AJ50,AI39+2,)</f>
        <v/>
      </c>
      <c r="AJ40" s="1371">
        <f>VLOOKUP($C40,$C41:$AJ50,AJ39+2,)</f>
        <v/>
      </c>
    </row>
    <row r="41">
      <c r="A41" s="369">
        <f>IF(SUM(E41:AJ41)=1,"","CHECK")</f>
        <v/>
      </c>
      <c r="B41" s="1368">
        <f>SUM(E41:AJ41)</f>
        <v/>
      </c>
      <c r="C41" s="423" t="n"/>
      <c r="E41" s="1372" t="n"/>
      <c r="F41" s="1372" t="n"/>
      <c r="G41" s="1372" t="n"/>
      <c r="H41" s="1372" t="n"/>
      <c r="I41" s="1372" t="n"/>
      <c r="J41" s="1372" t="n"/>
      <c r="K41" s="1372" t="n"/>
      <c r="L41" s="1372" t="n"/>
      <c r="M41" s="1372" t="n"/>
      <c r="N41" s="1372" t="n"/>
      <c r="O41" s="1372" t="n"/>
      <c r="P41" s="1372" t="n"/>
      <c r="Q41" s="1372" t="n"/>
      <c r="R41" s="1372" t="n"/>
      <c r="S41" s="1372" t="n"/>
      <c r="T41" s="1372" t="n"/>
      <c r="U41" s="1372" t="n"/>
      <c r="V41" s="1372" t="n"/>
      <c r="W41" s="1372" t="n"/>
      <c r="X41" s="1372" t="n"/>
      <c r="Y41" s="1372" t="n"/>
      <c r="Z41" s="1372" t="n"/>
      <c r="AA41" s="1372" t="n"/>
      <c r="AB41" s="1372" t="n"/>
      <c r="AC41" s="1372" t="n"/>
      <c r="AD41" s="1372" t="n"/>
      <c r="AE41" s="1372" t="n"/>
      <c r="AF41" s="1372" t="n"/>
      <c r="AG41" s="1372" t="n"/>
      <c r="AH41" s="1372" t="n"/>
      <c r="AI41" s="1372" t="n"/>
      <c r="AJ41" s="1372" t="n"/>
    </row>
    <row r="42">
      <c r="A42" s="369">
        <f>IF(SUM(E42:AJ42)=1,"","CHECK")</f>
        <v/>
      </c>
      <c r="B42" s="1368">
        <f>SUM(E42:AJ42)</f>
        <v/>
      </c>
      <c r="C42" s="423" t="n"/>
      <c r="E42" s="1372" t="n"/>
      <c r="F42" s="1372" t="n"/>
      <c r="G42" s="1372" t="n"/>
      <c r="H42" s="1372" t="n"/>
      <c r="I42" s="1372" t="n"/>
      <c r="J42" s="1372" t="n"/>
      <c r="K42" s="1372" t="n"/>
      <c r="L42" s="1372" t="n"/>
      <c r="M42" s="1372" t="n"/>
      <c r="N42" s="1372" t="n"/>
      <c r="O42" s="1372" t="n"/>
      <c r="P42" s="1372" t="n"/>
      <c r="Q42" s="1372" t="n"/>
      <c r="R42" s="1372" t="n"/>
      <c r="S42" s="1372" t="n"/>
      <c r="T42" s="1372" t="n"/>
      <c r="U42" s="1372" t="n"/>
      <c r="V42" s="1372" t="n"/>
      <c r="W42" s="1372" t="n"/>
      <c r="X42" s="1372" t="n"/>
      <c r="Y42" s="1372" t="n"/>
      <c r="Z42" s="1372" t="n"/>
      <c r="AA42" s="1372" t="n"/>
      <c r="AB42" s="1372" t="n"/>
      <c r="AC42" s="1372" t="n"/>
      <c r="AD42" s="1372" t="n"/>
      <c r="AE42" s="1372" t="n"/>
      <c r="AF42" s="1372" t="n"/>
      <c r="AG42" s="1372" t="n"/>
      <c r="AH42" s="1372" t="n"/>
      <c r="AI42" s="1372" t="n"/>
      <c r="AJ42" s="1372" t="n"/>
    </row>
    <row r="43">
      <c r="A43" s="369">
        <f>IF(SUM(E43:AJ43)=1,"","CHECK")</f>
        <v/>
      </c>
      <c r="B43" s="1368">
        <f>SUM(E43:AJ43)</f>
        <v/>
      </c>
      <c r="C43" s="423" t="n"/>
      <c r="E43" s="1372" t="n"/>
      <c r="F43" s="1372" t="n"/>
      <c r="G43" s="1372" t="n"/>
      <c r="H43" s="1372" t="n"/>
      <c r="I43" s="1372" t="n"/>
      <c r="J43" s="1372" t="n"/>
      <c r="K43" s="1372" t="n"/>
      <c r="L43" s="1372" t="n"/>
      <c r="M43" s="1372" t="n"/>
      <c r="N43" s="1372" t="n"/>
      <c r="O43" s="1372" t="n"/>
      <c r="P43" s="1372" t="n"/>
      <c r="Q43" s="1372" t="n"/>
      <c r="R43" s="1372" t="n"/>
      <c r="S43" s="1372" t="n"/>
      <c r="T43" s="1372" t="n"/>
      <c r="U43" s="1372" t="n"/>
      <c r="V43" s="1372" t="n"/>
      <c r="W43" s="1372" t="n"/>
      <c r="X43" s="1372" t="n"/>
      <c r="Y43" s="1372" t="n"/>
      <c r="Z43" s="1372" t="n"/>
      <c r="AA43" s="1372" t="n"/>
      <c r="AB43" s="1372" t="n"/>
      <c r="AC43" s="1372" t="n"/>
      <c r="AD43" s="1372" t="n"/>
      <c r="AE43" s="1372" t="n"/>
      <c r="AF43" s="1372" t="n"/>
      <c r="AG43" s="1372" t="n"/>
      <c r="AH43" s="1372" t="n"/>
      <c r="AI43" s="1372" t="n"/>
      <c r="AJ43" s="1372" t="n"/>
    </row>
    <row r="44">
      <c r="A44" s="369">
        <f>IF(SUM(E44:AJ44)=1,"","CHECK")</f>
        <v/>
      </c>
      <c r="B44" s="1368">
        <f>SUM(E44:AJ44)</f>
        <v/>
      </c>
      <c r="C44" s="423" t="n"/>
      <c r="E44" s="1372" t="n"/>
      <c r="F44" s="1372" t="n"/>
      <c r="G44" s="1372" t="n"/>
      <c r="H44" s="1372" t="n"/>
      <c r="I44" s="1372" t="n"/>
      <c r="J44" s="1372" t="n"/>
      <c r="K44" s="1372" t="n"/>
      <c r="L44" s="1372" t="n"/>
      <c r="M44" s="1372" t="n"/>
      <c r="N44" s="1372" t="n"/>
      <c r="O44" s="1372" t="n"/>
      <c r="P44" s="1372" t="n"/>
      <c r="Q44" s="1372" t="n"/>
      <c r="R44" s="1372" t="n"/>
      <c r="S44" s="1372" t="n"/>
      <c r="T44" s="1372" t="n"/>
      <c r="U44" s="1372" t="n"/>
      <c r="V44" s="1372" t="n"/>
      <c r="W44" s="1372" t="n"/>
      <c r="X44" s="1372" t="n"/>
      <c r="Y44" s="1372" t="n"/>
      <c r="Z44" s="1372" t="n"/>
      <c r="AA44" s="1372" t="n"/>
      <c r="AB44" s="1372" t="n"/>
      <c r="AC44" s="1372" t="n"/>
      <c r="AD44" s="1372" t="n"/>
      <c r="AE44" s="1372" t="n"/>
      <c r="AF44" s="1372" t="n"/>
      <c r="AG44" s="1372" t="n"/>
      <c r="AH44" s="1372" t="n"/>
      <c r="AI44" s="1372" t="n"/>
      <c r="AJ44" s="1372" t="n"/>
    </row>
    <row r="45">
      <c r="A45" s="369">
        <f>IF(SUM(E45:AJ45)=1,"","CHECK")</f>
        <v/>
      </c>
      <c r="B45" s="1368">
        <f>SUM(E45:AJ45)</f>
        <v/>
      </c>
      <c r="C45" s="423" t="n"/>
      <c r="E45" s="1372" t="n"/>
      <c r="F45" s="1372" t="n"/>
      <c r="G45" s="1372" t="n"/>
      <c r="H45" s="1372" t="n"/>
      <c r="I45" s="1372" t="n"/>
      <c r="J45" s="1372" t="n"/>
      <c r="K45" s="1372" t="n"/>
      <c r="L45" s="1372" t="n"/>
      <c r="M45" s="1372" t="n"/>
      <c r="N45" s="1372" t="n"/>
      <c r="O45" s="1372" t="n"/>
      <c r="P45" s="1372" t="n"/>
      <c r="Q45" s="1372" t="n"/>
      <c r="R45" s="1372" t="n"/>
      <c r="S45" s="1372" t="n"/>
      <c r="T45" s="1372" t="n"/>
      <c r="U45" s="1372" t="n"/>
      <c r="V45" s="1372" t="n"/>
      <c r="W45" s="1372" t="n"/>
      <c r="X45" s="1372" t="n"/>
      <c r="Y45" s="1372" t="n"/>
      <c r="Z45" s="1372" t="n"/>
      <c r="AA45" s="1372" t="n"/>
      <c r="AB45" s="1372" t="n"/>
      <c r="AC45" s="1372" t="n"/>
      <c r="AD45" s="1372" t="n"/>
      <c r="AE45" s="1372" t="n"/>
      <c r="AF45" s="1372" t="n"/>
      <c r="AG45" s="1372" t="n"/>
      <c r="AH45" s="1372" t="n"/>
      <c r="AI45" s="1372" t="n"/>
      <c r="AJ45" s="1372" t="n"/>
    </row>
    <row r="46">
      <c r="A46" s="369">
        <f>IF(SUM(E46:AJ46)=1,"","CHECK")</f>
        <v/>
      </c>
      <c r="B46" s="1368">
        <f>SUM(E46:AJ46)</f>
        <v/>
      </c>
      <c r="C46" s="423" t="n"/>
      <c r="E46" s="1372" t="n"/>
      <c r="F46" s="1372" t="n"/>
      <c r="G46" s="1372" t="n"/>
      <c r="H46" s="1372" t="n"/>
      <c r="I46" s="1372" t="n"/>
      <c r="J46" s="1372" t="n"/>
      <c r="K46" s="1372" t="n"/>
      <c r="L46" s="1372" t="n"/>
      <c r="M46" s="1372" t="n"/>
      <c r="N46" s="1372" t="n"/>
      <c r="O46" s="1372" t="n"/>
      <c r="P46" s="1372" t="n"/>
      <c r="Q46" s="1372" t="n"/>
      <c r="R46" s="1372" t="n"/>
      <c r="S46" s="1372" t="n"/>
      <c r="T46" s="1372" t="n"/>
      <c r="U46" s="1372" t="n"/>
      <c r="V46" s="1372" t="n"/>
      <c r="W46" s="1372" t="n"/>
      <c r="X46" s="1372" t="n"/>
      <c r="Y46" s="1372" t="n"/>
      <c r="Z46" s="1372" t="n"/>
      <c r="AA46" s="1372" t="n"/>
      <c r="AB46" s="1372" t="n"/>
      <c r="AC46" s="1372" t="n"/>
      <c r="AD46" s="1372" t="n"/>
      <c r="AE46" s="1372" t="n"/>
      <c r="AF46" s="1372" t="n"/>
      <c r="AG46" s="1372" t="n"/>
      <c r="AH46" s="1372" t="n"/>
      <c r="AI46" s="1372" t="n"/>
      <c r="AJ46" s="1372" t="n"/>
    </row>
    <row r="47">
      <c r="A47" s="369">
        <f>IF(SUM(E47:AJ47)=1,"","CHECK")</f>
        <v/>
      </c>
      <c r="B47" s="1368">
        <f>SUM(E47:AJ47)</f>
        <v/>
      </c>
      <c r="C47" s="423" t="n"/>
      <c r="E47" s="1372" t="n"/>
      <c r="F47" s="1372" t="n"/>
      <c r="G47" s="1372" t="n"/>
      <c r="H47" s="1372" t="n"/>
      <c r="I47" s="1372" t="n"/>
      <c r="J47" s="1372" t="n"/>
      <c r="K47" s="1372" t="n"/>
      <c r="L47" s="1372" t="n"/>
      <c r="M47" s="1372" t="n"/>
      <c r="N47" s="1372" t="n"/>
      <c r="O47" s="1372" t="n"/>
      <c r="P47" s="1372" t="n"/>
      <c r="Q47" s="1372" t="n"/>
      <c r="R47" s="1372" t="n"/>
      <c r="S47" s="1372" t="n"/>
      <c r="T47" s="1372" t="n"/>
      <c r="U47" s="1372" t="n"/>
      <c r="V47" s="1372" t="n"/>
      <c r="W47" s="1372" t="n"/>
      <c r="X47" s="1372" t="n"/>
      <c r="Y47" s="1372" t="n"/>
      <c r="Z47" s="1372" t="n"/>
      <c r="AA47" s="1372" t="n"/>
      <c r="AB47" s="1372" t="n"/>
      <c r="AC47" s="1372" t="n"/>
      <c r="AD47" s="1372" t="n"/>
      <c r="AE47" s="1372" t="n"/>
      <c r="AF47" s="1372" t="n"/>
      <c r="AG47" s="1372" t="n"/>
      <c r="AH47" s="1372" t="n"/>
      <c r="AI47" s="1372" t="n"/>
      <c r="AJ47" s="1372" t="n"/>
    </row>
    <row r="48">
      <c r="A48" s="369">
        <f>IF(SUM(E48:AJ48)=1,"","CHECK")</f>
        <v/>
      </c>
      <c r="B48" s="1368">
        <f>SUM(E48:AJ48)</f>
        <v/>
      </c>
      <c r="C48" s="423" t="n"/>
      <c r="E48" s="1372" t="n"/>
      <c r="F48" s="1372" t="n"/>
      <c r="G48" s="1372" t="n"/>
      <c r="H48" s="1372" t="n"/>
      <c r="I48" s="1372" t="n"/>
      <c r="J48" s="1372" t="n"/>
      <c r="K48" s="1372" t="n"/>
      <c r="L48" s="1372" t="n"/>
      <c r="M48" s="1372" t="n"/>
      <c r="N48" s="1372" t="n"/>
      <c r="O48" s="1372" t="n"/>
      <c r="P48" s="1372" t="n"/>
      <c r="Q48" s="1372" t="n"/>
      <c r="R48" s="1372" t="n"/>
      <c r="S48" s="1372" t="n"/>
      <c r="T48" s="1372" t="n"/>
      <c r="U48" s="1372" t="n"/>
      <c r="V48" s="1372" t="n"/>
      <c r="W48" s="1372" t="n"/>
      <c r="X48" s="1372" t="n"/>
      <c r="Y48" s="1372" t="n"/>
      <c r="Z48" s="1372" t="n"/>
      <c r="AA48" s="1372" t="n"/>
      <c r="AB48" s="1372" t="n"/>
      <c r="AC48" s="1372" t="n"/>
      <c r="AD48" s="1372" t="n"/>
      <c r="AE48" s="1372" t="n"/>
      <c r="AF48" s="1372" t="n"/>
      <c r="AG48" s="1372" t="n"/>
      <c r="AH48" s="1372" t="n"/>
      <c r="AI48" s="1372" t="n"/>
      <c r="AJ48" s="1372" t="n"/>
    </row>
    <row r="49">
      <c r="A49" s="369">
        <f>IF(SUM(E49:AJ49)=1,"","CHECK")</f>
        <v/>
      </c>
      <c r="B49" s="1368">
        <f>SUM(E49:AJ49)</f>
        <v/>
      </c>
      <c r="C49" s="423" t="n"/>
      <c r="E49" s="1372" t="n"/>
      <c r="F49" s="1372" t="n"/>
      <c r="G49" s="1372" t="n"/>
      <c r="H49" s="1372" t="n"/>
      <c r="I49" s="1372" t="n"/>
      <c r="J49" s="1372" t="n"/>
      <c r="K49" s="1372" t="n"/>
      <c r="L49" s="1372" t="n"/>
      <c r="M49" s="1372" t="n"/>
      <c r="N49" s="1372" t="n"/>
      <c r="O49" s="1372" t="n"/>
      <c r="P49" s="1372" t="n"/>
      <c r="Q49" s="1372" t="n"/>
      <c r="R49" s="1372" t="n"/>
      <c r="S49" s="1372" t="n"/>
      <c r="T49" s="1372" t="n"/>
      <c r="U49" s="1372" t="n"/>
      <c r="V49" s="1372" t="n"/>
      <c r="W49" s="1372" t="n"/>
      <c r="X49" s="1372" t="n"/>
      <c r="Y49" s="1372" t="n"/>
      <c r="Z49" s="1372" t="n"/>
      <c r="AA49" s="1372" t="n"/>
      <c r="AB49" s="1372" t="n"/>
      <c r="AC49" s="1372" t="n"/>
      <c r="AD49" s="1372" t="n"/>
      <c r="AE49" s="1372" t="n"/>
      <c r="AF49" s="1372" t="n"/>
      <c r="AG49" s="1372" t="n"/>
      <c r="AH49" s="1372" t="n"/>
      <c r="AI49" s="1372" t="n"/>
      <c r="AJ49" s="1372" t="n"/>
    </row>
    <row r="50">
      <c r="A50" s="369">
        <f>IF(SUM(E50:AJ50)=1,"","CHECK")</f>
        <v/>
      </c>
      <c r="B50" s="1368">
        <f>SUM(E50:AJ50)</f>
        <v/>
      </c>
      <c r="C50" s="423" t="n"/>
      <c r="E50" s="1372" t="n"/>
      <c r="F50" s="1372" t="n"/>
      <c r="G50" s="1372" t="n"/>
      <c r="H50" s="1372" t="n"/>
      <c r="I50" s="1372" t="n"/>
      <c r="J50" s="1372" t="n"/>
      <c r="K50" s="1372" t="n"/>
      <c r="L50" s="1372" t="n"/>
      <c r="M50" s="1372" t="n"/>
      <c r="N50" s="1372" t="n"/>
      <c r="O50" s="1372" t="n"/>
      <c r="P50" s="1372" t="n"/>
      <c r="Q50" s="1372" t="n"/>
      <c r="R50" s="1372" t="n"/>
      <c r="S50" s="1372" t="n"/>
      <c r="T50" s="1372" t="n"/>
      <c r="U50" s="1372" t="n"/>
      <c r="V50" s="1372" t="n"/>
      <c r="W50" s="1372" t="n"/>
      <c r="X50" s="1372" t="n"/>
      <c r="Y50" s="1372" t="n"/>
      <c r="Z50" s="1372" t="n"/>
      <c r="AA50" s="1372" t="n"/>
      <c r="AB50" s="1372" t="n"/>
      <c r="AC50" s="1372" t="n"/>
      <c r="AD50" s="1372" t="n"/>
      <c r="AE50" s="1372" t="n"/>
      <c r="AF50" s="1372" t="n"/>
      <c r="AG50" s="1372" t="n"/>
      <c r="AH50" s="1372" t="n"/>
      <c r="AI50" s="1372" t="n"/>
      <c r="AJ50" s="1372" t="n"/>
    </row>
    <row r="51">
      <c r="A51" s="369" t="n"/>
      <c r="B51" s="1368">
        <f>SUM(E51:AJ51)</f>
        <v/>
      </c>
      <c r="C51" s="423" t="n"/>
      <c r="E51" s="1372" t="n"/>
      <c r="F51" s="1372" t="n"/>
      <c r="G51" s="1372" t="n"/>
      <c r="H51" s="1372" t="n"/>
      <c r="I51" s="1372" t="n"/>
      <c r="J51" s="1372" t="n"/>
      <c r="K51" s="1372" t="n"/>
      <c r="L51" s="1372" t="n"/>
      <c r="M51" s="1372" t="n"/>
      <c r="N51" s="1372" t="n"/>
      <c r="O51" s="1372" t="n"/>
      <c r="P51" s="1372" t="n"/>
      <c r="Q51" s="1372" t="n"/>
      <c r="R51" s="1372" t="n"/>
      <c r="S51" s="1372" t="n"/>
      <c r="T51" s="1372" t="n"/>
      <c r="U51" s="1372" t="n"/>
      <c r="V51" s="1372" t="n"/>
      <c r="W51" s="1372" t="n"/>
      <c r="X51" s="1372" t="n"/>
      <c r="Y51" s="1372" t="n"/>
      <c r="Z51" s="1372" t="n"/>
      <c r="AA51" s="1372" t="n"/>
      <c r="AB51" s="1372" t="n"/>
      <c r="AC51" s="1372" t="n"/>
      <c r="AD51" s="1372" t="n"/>
      <c r="AE51" s="1372" t="n"/>
      <c r="AF51" s="1372" t="n"/>
      <c r="AG51" s="1372" t="n"/>
      <c r="AH51" s="1372" t="n"/>
      <c r="AI51" s="1372" t="n"/>
      <c r="AJ51" s="1372" t="n"/>
    </row>
    <row r="52">
      <c r="A52" s="369" t="n"/>
      <c r="B52" s="1368">
        <f>SUM(E52:AJ52)</f>
        <v/>
      </c>
      <c r="C52" s="423" t="n"/>
      <c r="E52" s="1372" t="n"/>
      <c r="F52" s="1372" t="n"/>
      <c r="G52" s="1372" t="n"/>
      <c r="H52" s="1372" t="n"/>
      <c r="I52" s="1372" t="n"/>
      <c r="J52" s="1372" t="n"/>
      <c r="K52" s="1372" t="n"/>
      <c r="L52" s="1372" t="n"/>
      <c r="M52" s="1372" t="n"/>
      <c r="N52" s="1372" t="n"/>
      <c r="O52" s="1372" t="n"/>
      <c r="P52" s="1372" t="n"/>
      <c r="Q52" s="1372" t="n"/>
      <c r="R52" s="1372" t="n"/>
      <c r="S52" s="1372" t="n"/>
      <c r="T52" s="1372" t="n"/>
      <c r="U52" s="1372" t="n"/>
      <c r="V52" s="1372" t="n"/>
      <c r="W52" s="1372" t="n"/>
      <c r="X52" s="1372" t="n"/>
      <c r="Y52" s="1372" t="n"/>
      <c r="Z52" s="1372" t="n"/>
      <c r="AA52" s="1372" t="n"/>
      <c r="AB52" s="1372" t="n"/>
      <c r="AC52" s="1372" t="n"/>
      <c r="AD52" s="1372" t="n"/>
      <c r="AE52" s="1372" t="n"/>
      <c r="AF52" s="1372" t="n"/>
      <c r="AG52" s="1372" t="n"/>
      <c r="AH52" s="1372" t="n"/>
      <c r="AI52" s="1372" t="n"/>
      <c r="AJ52" s="1372" t="n"/>
    </row>
    <row r="55">
      <c r="C55" s="367">
        <f>+D5</f>
        <v/>
      </c>
      <c r="D55" s="367" t="n"/>
      <c r="E55" s="421" t="n"/>
      <c r="F55" s="421" t="n"/>
      <c r="G55" s="421" t="n"/>
      <c r="H55" s="421" t="n"/>
      <c r="I55" s="421" t="n"/>
      <c r="J55" s="421" t="n"/>
      <c r="K55" s="421" t="n"/>
      <c r="L55" s="421" t="n"/>
      <c r="M55" s="421" t="n"/>
      <c r="N55" s="421" t="n"/>
      <c r="O55" s="421" t="n"/>
      <c r="P55" s="421" t="n"/>
      <c r="Q55" s="421" t="n"/>
      <c r="R55" s="421" t="n"/>
      <c r="S55" s="421" t="n"/>
      <c r="T55" s="421" t="n"/>
      <c r="U55" s="421" t="n"/>
      <c r="V55" s="421" t="n"/>
      <c r="W55" s="421" t="n"/>
      <c r="X55" s="421" t="n"/>
      <c r="Y55" s="421" t="n"/>
      <c r="Z55" s="421" t="n"/>
      <c r="AA55" s="421" t="n"/>
      <c r="AB55" s="421" t="n"/>
      <c r="AC55" s="421" t="n"/>
      <c r="AD55" s="421" t="n"/>
      <c r="AE55" s="421" t="n"/>
      <c r="AF55" s="421" t="n"/>
      <c r="AG55" s="421" t="n"/>
      <c r="AH55" s="421" t="n"/>
      <c r="AI55" s="421" t="n"/>
      <c r="AJ55" s="421" t="n"/>
    </row>
    <row r="56">
      <c r="A56" s="369">
        <f>IF(SUM(E56:AJ56)=1,"","CHECK")</f>
        <v/>
      </c>
      <c r="B56" s="1368">
        <f>SUM(E56:AJ56)</f>
        <v/>
      </c>
      <c r="C56" s="367" t="n">
        <v>22</v>
      </c>
      <c r="D56" s="367" t="n"/>
      <c r="E56" s="1371">
        <f>VLOOKUP($C56,$C57:$AJ66,E55+2,)</f>
        <v/>
      </c>
      <c r="F56" s="1371">
        <f>VLOOKUP($C56,$C57:$AJ66,F55+2,)</f>
        <v/>
      </c>
      <c r="G56" s="1371">
        <f>VLOOKUP($C56,$C57:$AJ66,G55+2,)</f>
        <v/>
      </c>
      <c r="H56" s="1371">
        <f>VLOOKUP($C56,$C57:$AJ66,H55+2,)</f>
        <v/>
      </c>
      <c r="I56" s="1371">
        <f>VLOOKUP($C56,$C57:$AJ66,I55+2,)</f>
        <v/>
      </c>
      <c r="J56" s="1371">
        <f>VLOOKUP($C56,$C57:$AJ66,J55+2,)</f>
        <v/>
      </c>
      <c r="K56" s="1371">
        <f>VLOOKUP($C56,$C57:$AJ66,K55+2,)</f>
        <v/>
      </c>
      <c r="L56" s="1371">
        <f>VLOOKUP($C56,$C57:$AJ66,L55+2,)</f>
        <v/>
      </c>
      <c r="M56" s="1371">
        <f>VLOOKUP($C56,$C57:$AJ66,M55+2,)</f>
        <v/>
      </c>
      <c r="N56" s="1371">
        <f>VLOOKUP($C56,$C57:$AJ66,N55+2,)</f>
        <v/>
      </c>
      <c r="O56" s="1371">
        <f>VLOOKUP($C56,$C57:$AJ66,O55+2,)</f>
        <v/>
      </c>
      <c r="P56" s="1371">
        <f>VLOOKUP($C56,$C57:$AJ66,P55+2,)</f>
        <v/>
      </c>
      <c r="Q56" s="1371">
        <f>VLOOKUP($C56,$C57:$AJ66,Q55+2,)</f>
        <v/>
      </c>
      <c r="R56" s="1371">
        <f>VLOOKUP($C56,$C57:$AJ66,R55+2,)</f>
        <v/>
      </c>
      <c r="S56" s="1371">
        <f>VLOOKUP($C56,$C57:$AJ66,S55+2,)</f>
        <v/>
      </c>
      <c r="T56" s="1371">
        <f>VLOOKUP($C56,$C57:$AJ66,T55+2,)</f>
        <v/>
      </c>
      <c r="U56" s="1371">
        <f>VLOOKUP($C56,$C57:$AJ66,U55+2,)</f>
        <v/>
      </c>
      <c r="V56" s="1371">
        <f>VLOOKUP($C56,$C57:$AJ66,V55+2,)</f>
        <v/>
      </c>
      <c r="W56" s="1371">
        <f>VLOOKUP($C56,$C57:$AJ66,W55+2,)</f>
        <v/>
      </c>
      <c r="X56" s="1371">
        <f>VLOOKUP($C56,$C57:$AJ66,X55+2,)</f>
        <v/>
      </c>
      <c r="Y56" s="1371">
        <f>VLOOKUP($C56,$C57:$AJ66,Y55+2,)</f>
        <v/>
      </c>
      <c r="Z56" s="1371">
        <f>VLOOKUP($C56,$C57:$AJ66,Z55+2,)</f>
        <v/>
      </c>
      <c r="AA56" s="1371">
        <f>VLOOKUP($C56,$C57:$AJ66,AA55+2,)</f>
        <v/>
      </c>
      <c r="AB56" s="1371">
        <f>VLOOKUP($C56,$C57:$AJ66,AB55+2,)</f>
        <v/>
      </c>
      <c r="AC56" s="1371">
        <f>VLOOKUP($C56,$C57:$AJ66,AC55+2,)</f>
        <v/>
      </c>
      <c r="AD56" s="1371">
        <f>VLOOKUP($C56,$C57:$AJ66,AD55+2,)</f>
        <v/>
      </c>
      <c r="AE56" s="1371">
        <f>VLOOKUP($C56,$C57:$AJ66,AE55+2,)</f>
        <v/>
      </c>
      <c r="AF56" s="1371">
        <f>VLOOKUP($C56,$C57:$AJ66,AF55+2,)</f>
        <v/>
      </c>
      <c r="AG56" s="1371">
        <f>VLOOKUP($C56,$C57:$AJ66,AG55+2,)</f>
        <v/>
      </c>
      <c r="AH56" s="1371">
        <f>VLOOKUP($C56,$C57:$AJ66,AH55+2,)</f>
        <v/>
      </c>
      <c r="AI56" s="1371">
        <f>VLOOKUP($C56,$C57:$AJ66,AI55+2,)</f>
        <v/>
      </c>
      <c r="AJ56" s="1371">
        <f>VLOOKUP($C56,$C57:$AJ66,AJ55+2,)</f>
        <v/>
      </c>
    </row>
    <row r="57">
      <c r="A57" s="369">
        <f>IF(SUM(E57:AJ57)=1,"","CHECK")</f>
        <v/>
      </c>
      <c r="B57" s="1368">
        <f>SUM(E57:AJ57)</f>
        <v/>
      </c>
      <c r="C57" t="n">
        <v>15</v>
      </c>
      <c r="E57" s="1372" t="n"/>
      <c r="F57" s="1372" t="n"/>
      <c r="G57" s="1372" t="n"/>
      <c r="H57" s="1372" t="n"/>
      <c r="I57" s="1372" t="n"/>
      <c r="J57" s="1372" t="n"/>
      <c r="K57" s="1372" t="n"/>
      <c r="L57" s="1372" t="n"/>
      <c r="M57" s="1372" t="n"/>
      <c r="N57" s="1372" t="n"/>
      <c r="O57" s="1372" t="n"/>
      <c r="P57" s="1372" t="n"/>
      <c r="Q57" s="1372" t="n"/>
      <c r="R57" s="1372" t="n"/>
      <c r="S57" s="1372" t="n"/>
      <c r="T57" s="1372" t="n"/>
      <c r="U57" s="1372" t="n"/>
      <c r="V57" s="1372" t="n"/>
      <c r="W57" s="1372" t="n"/>
      <c r="X57" s="1372" t="n"/>
      <c r="Y57" s="1372" t="n"/>
      <c r="Z57" s="1372" t="n"/>
      <c r="AA57" s="1372" t="n"/>
      <c r="AB57" s="1372" t="n"/>
      <c r="AC57" s="1372" t="n"/>
      <c r="AD57" s="1372" t="n"/>
      <c r="AE57" s="1372" t="n"/>
      <c r="AF57" s="1372" t="n"/>
      <c r="AG57" s="1372" t="n"/>
      <c r="AH57" s="1372" t="n"/>
      <c r="AI57" s="1372" t="n"/>
      <c r="AJ57" s="1372" t="n"/>
    </row>
    <row r="58">
      <c r="A58" s="369">
        <f>IF(SUM(E58:AJ58)=1,"","CHECK")</f>
        <v/>
      </c>
      <c r="B58" s="1368">
        <f>SUM(E58:AJ58)</f>
        <v/>
      </c>
      <c r="C58" t="n">
        <v>16</v>
      </c>
      <c r="E58" s="1372" t="n"/>
      <c r="F58" s="1372" t="n"/>
      <c r="G58" s="1372" t="n"/>
      <c r="H58" s="1372" t="n"/>
      <c r="I58" s="1372" t="n"/>
      <c r="J58" s="1372" t="n"/>
      <c r="K58" s="1372" t="n"/>
      <c r="L58" s="1372" t="n"/>
      <c r="M58" s="1372" t="n"/>
      <c r="N58" s="1372" t="n"/>
      <c r="O58" s="1372" t="n"/>
      <c r="P58" s="1372" t="n"/>
      <c r="Q58" s="1372" t="n"/>
      <c r="R58" s="1372" t="n"/>
      <c r="S58" s="1372" t="n"/>
      <c r="T58" s="1372" t="n"/>
      <c r="U58" s="1372" t="n"/>
      <c r="V58" s="1372" t="n"/>
      <c r="W58" s="1372" t="n"/>
      <c r="X58" s="1372" t="n"/>
      <c r="Y58" s="1372" t="n"/>
      <c r="Z58" s="1372" t="n"/>
      <c r="AA58" s="1372" t="n"/>
      <c r="AB58" s="1372" t="n"/>
      <c r="AC58" s="1372" t="n"/>
      <c r="AD58" s="1372" t="n"/>
      <c r="AE58" s="1372" t="n"/>
      <c r="AF58" s="1372" t="n"/>
      <c r="AG58" s="1372" t="n"/>
      <c r="AH58" s="1372" t="n"/>
      <c r="AI58" s="1372" t="n"/>
      <c r="AJ58" s="1372" t="n"/>
    </row>
    <row r="59">
      <c r="A59" s="369">
        <f>IF(SUM(E59:AJ59)=1,"","CHECK")</f>
        <v/>
      </c>
      <c r="B59" s="1368">
        <f>SUM(E59:AJ59)</f>
        <v/>
      </c>
      <c r="C59" t="n">
        <v>17</v>
      </c>
      <c r="E59" s="1372" t="n"/>
      <c r="F59" s="1372" t="n"/>
      <c r="G59" s="1372" t="n"/>
      <c r="H59" s="1372" t="n"/>
      <c r="I59" s="1372" t="n"/>
      <c r="J59" s="1372" t="n"/>
      <c r="K59" s="1372" t="n"/>
      <c r="L59" s="1372" t="n"/>
      <c r="M59" s="1372" t="n"/>
      <c r="N59" s="1372" t="n"/>
      <c r="O59" s="1372" t="n"/>
      <c r="P59" s="1372" t="n"/>
      <c r="Q59" s="1372" t="n"/>
      <c r="R59" s="1372" t="n"/>
      <c r="S59" s="1372" t="n"/>
      <c r="T59" s="1372" t="n"/>
      <c r="U59" s="1372" t="n"/>
      <c r="V59" s="1372" t="n"/>
      <c r="W59" s="1372" t="n"/>
      <c r="X59" s="1372" t="n"/>
      <c r="Y59" s="1372" t="n"/>
      <c r="Z59" s="1372" t="n"/>
      <c r="AA59" s="1372" t="n"/>
      <c r="AB59" s="1372" t="n"/>
      <c r="AC59" s="1372" t="n"/>
      <c r="AD59" s="1372" t="n"/>
      <c r="AE59" s="1372" t="n"/>
      <c r="AF59" s="1372" t="n"/>
      <c r="AG59" s="1372" t="n"/>
      <c r="AH59" s="1372" t="n"/>
      <c r="AI59" s="1372" t="n"/>
      <c r="AJ59" s="1372" t="n"/>
    </row>
    <row r="60">
      <c r="A60" s="369">
        <f>IF(SUM(E60:AJ60)=1,"","CHECK")</f>
        <v/>
      </c>
      <c r="B60" s="1368">
        <f>SUM(E60:AJ60)</f>
        <v/>
      </c>
      <c r="C60" t="n">
        <v>18</v>
      </c>
      <c r="E60" s="1372" t="n"/>
      <c r="F60" s="1372" t="n"/>
      <c r="G60" s="1372" t="n"/>
      <c r="H60" s="1372" t="n"/>
      <c r="I60" s="1372" t="n"/>
      <c r="J60" s="1372" t="n"/>
      <c r="K60" s="1372" t="n"/>
      <c r="L60" s="1372" t="n"/>
      <c r="M60" s="1372" t="n"/>
      <c r="N60" s="1372" t="n"/>
      <c r="O60" s="1372" t="n"/>
      <c r="P60" s="1372" t="n"/>
      <c r="Q60" s="1372" t="n"/>
      <c r="R60" s="1372" t="n"/>
      <c r="S60" s="1372" t="n"/>
      <c r="T60" s="1372" t="n"/>
      <c r="U60" s="1372" t="n"/>
      <c r="V60" s="1372" t="n"/>
      <c r="W60" s="1372" t="n"/>
      <c r="X60" s="1372" t="n"/>
      <c r="Y60" s="1372" t="n"/>
      <c r="Z60" s="1372" t="n"/>
      <c r="AA60" s="1372" t="n"/>
      <c r="AB60" s="1372" t="n"/>
      <c r="AC60" s="1372" t="n"/>
      <c r="AD60" s="1372" t="n"/>
      <c r="AE60" s="1372" t="n"/>
      <c r="AF60" s="1372" t="n"/>
      <c r="AG60" s="1372" t="n"/>
      <c r="AH60" s="1372" t="n"/>
      <c r="AI60" s="1372" t="n"/>
      <c r="AJ60" s="1372" t="n"/>
    </row>
    <row r="61">
      <c r="A61" s="369">
        <f>IF(SUM(E61:AJ61)=1,"","CHECK")</f>
        <v/>
      </c>
      <c r="B61" s="1368">
        <f>SUM(E61:AJ61)</f>
        <v/>
      </c>
      <c r="C61" t="n">
        <v>19</v>
      </c>
      <c r="E61" s="1372" t="n"/>
      <c r="F61" s="1372" t="n"/>
      <c r="G61" s="1372" t="n"/>
      <c r="H61" s="1372" t="n"/>
      <c r="I61" s="1372" t="n"/>
      <c r="J61" s="1372" t="n"/>
      <c r="K61" s="1372" t="n"/>
      <c r="L61" s="1372" t="n"/>
      <c r="M61" s="1372" t="n"/>
      <c r="N61" s="1372" t="n"/>
      <c r="O61" s="1372" t="n"/>
      <c r="P61" s="1372" t="n"/>
      <c r="Q61" s="1372" t="n"/>
      <c r="R61" s="1372" t="n"/>
      <c r="S61" s="1372" t="n"/>
      <c r="T61" s="1372" t="n"/>
      <c r="U61" s="1372" t="n"/>
      <c r="V61" s="1372" t="n"/>
      <c r="W61" s="1372" t="n"/>
      <c r="X61" s="1372" t="n"/>
      <c r="Y61" s="1372" t="n"/>
      <c r="Z61" s="1372" t="n"/>
      <c r="AA61" s="1372" t="n"/>
      <c r="AB61" s="1372" t="n"/>
      <c r="AC61" s="1372" t="n"/>
      <c r="AD61" s="1372" t="n"/>
      <c r="AE61" s="1372" t="n"/>
      <c r="AF61" s="1372" t="n"/>
      <c r="AG61" s="1372" t="n"/>
      <c r="AH61" s="1372" t="n"/>
      <c r="AI61" s="1372" t="n"/>
      <c r="AJ61" s="1372" t="n"/>
    </row>
    <row r="62">
      <c r="A62" s="369">
        <f>IF(SUM(E62:AJ62)=1,"","CHECK")</f>
        <v/>
      </c>
      <c r="B62" s="1368">
        <f>SUM(E62:AJ62)</f>
        <v/>
      </c>
      <c r="C62" t="n">
        <v>20</v>
      </c>
      <c r="E62" s="1372" t="n"/>
      <c r="F62" s="1372" t="n"/>
      <c r="G62" s="1372" t="n"/>
      <c r="H62" s="1372" t="n"/>
      <c r="I62" s="1372" t="n"/>
      <c r="J62" s="1372" t="n"/>
      <c r="K62" s="1372" t="n"/>
      <c r="L62" s="1372" t="n"/>
      <c r="M62" s="1372" t="n"/>
      <c r="N62" s="1372" t="n"/>
      <c r="O62" s="1372" t="n"/>
      <c r="P62" s="1372" t="n"/>
      <c r="Q62" s="1372" t="n"/>
      <c r="R62" s="1372" t="n"/>
      <c r="S62" s="1372" t="n"/>
      <c r="T62" s="1372" t="n"/>
      <c r="U62" s="1372" t="n"/>
      <c r="V62" s="1372" t="n"/>
      <c r="W62" s="1372" t="n"/>
      <c r="X62" s="1372" t="n"/>
      <c r="Y62" s="1372" t="n"/>
      <c r="Z62" s="1372" t="n"/>
      <c r="AA62" s="1372" t="n"/>
      <c r="AB62" s="1372" t="n"/>
      <c r="AC62" s="1372" t="n"/>
      <c r="AD62" s="1372" t="n"/>
      <c r="AE62" s="1372" t="n"/>
      <c r="AF62" s="1372" t="n"/>
      <c r="AG62" s="1372" t="n"/>
      <c r="AH62" s="1372" t="n"/>
      <c r="AI62" s="1372" t="n"/>
      <c r="AJ62" s="1372" t="n"/>
    </row>
    <row r="63">
      <c r="A63" s="369">
        <f>IF(SUM(E63:AJ63)=1,"","CHECK")</f>
        <v/>
      </c>
      <c r="B63" s="1368">
        <f>SUM(E63:AJ63)</f>
        <v/>
      </c>
      <c r="C63" t="n">
        <v>21</v>
      </c>
      <c r="E63" s="1372" t="n"/>
      <c r="F63" s="1372" t="n"/>
      <c r="G63" s="1372" t="n"/>
      <c r="H63" s="1372" t="n"/>
      <c r="I63" s="1372" t="n"/>
      <c r="J63" s="1372" t="n"/>
      <c r="K63" s="1372" t="n"/>
      <c r="L63" s="1372" t="n"/>
      <c r="M63" s="1372" t="n"/>
      <c r="N63" s="1372" t="n"/>
      <c r="O63" s="1372" t="n"/>
      <c r="P63" s="1372" t="n"/>
      <c r="Q63" s="1372" t="n"/>
      <c r="R63" s="1372" t="n"/>
      <c r="S63" s="1372" t="n"/>
      <c r="T63" s="1372" t="n"/>
      <c r="U63" s="1372" t="n"/>
      <c r="V63" s="1372" t="n"/>
      <c r="W63" s="1372" t="n"/>
      <c r="X63" s="1372" t="n"/>
      <c r="Y63" s="1372" t="n"/>
      <c r="Z63" s="1372" t="n"/>
      <c r="AA63" s="1372" t="n"/>
      <c r="AB63" s="1372" t="n"/>
      <c r="AC63" s="1372" t="n"/>
      <c r="AD63" s="1372" t="n"/>
      <c r="AE63" s="1372" t="n"/>
      <c r="AF63" s="1372" t="n"/>
      <c r="AG63" s="1372" t="n"/>
      <c r="AH63" s="1372" t="n"/>
      <c r="AI63" s="1372" t="n"/>
      <c r="AJ63" s="1372" t="n"/>
    </row>
    <row r="64">
      <c r="A64" s="369">
        <f>IF(SUM(E64:AJ64)=1,"","CHECK")</f>
        <v/>
      </c>
      <c r="B64" s="1368">
        <f>SUM(E64:AJ64)</f>
        <v/>
      </c>
      <c r="C64" t="n">
        <v>22</v>
      </c>
      <c r="E64" s="1372" t="n"/>
      <c r="F64" s="1372" t="n"/>
      <c r="G64" s="1372" t="n"/>
      <c r="H64" s="1372" t="n"/>
      <c r="I64" s="1372" t="n"/>
      <c r="J64" s="1372" t="n"/>
      <c r="K64" s="1372" t="n"/>
      <c r="L64" s="1372" t="n"/>
      <c r="M64" s="1372" t="n"/>
      <c r="N64" s="1372" t="n"/>
      <c r="O64" s="1372" t="n"/>
      <c r="P64" s="1372" t="n"/>
      <c r="Q64" s="1372" t="n"/>
      <c r="R64" s="1372" t="n"/>
      <c r="S64" s="1372" t="n"/>
      <c r="T64" s="1372" t="n"/>
      <c r="U64" s="1372" t="n"/>
      <c r="V64" s="1372" t="n"/>
      <c r="W64" s="1372" t="n"/>
      <c r="X64" s="1372" t="n"/>
      <c r="Y64" s="1372" t="n"/>
      <c r="Z64" s="1372" t="n"/>
      <c r="AA64" s="1372" t="n"/>
      <c r="AB64" s="1372" t="n"/>
      <c r="AC64" s="1372" t="n"/>
      <c r="AD64" s="1372" t="n"/>
      <c r="AE64" s="1372" t="n"/>
      <c r="AF64" s="1372" t="n"/>
      <c r="AG64" s="1372" t="n"/>
      <c r="AH64" s="1372" t="n"/>
      <c r="AI64" s="1372" t="n"/>
      <c r="AJ64" s="1372" t="n"/>
    </row>
    <row r="65">
      <c r="A65" s="369">
        <f>IF(SUM(E65:AJ65)=1,"","CHECK")</f>
        <v/>
      </c>
      <c r="B65" s="1368">
        <f>SUM(E65:AJ65)</f>
        <v/>
      </c>
      <c r="C65" s="423" t="n"/>
      <c r="E65" s="1372" t="n"/>
      <c r="F65" s="1372" t="n"/>
      <c r="G65" s="1372" t="n"/>
      <c r="H65" s="1372" t="n"/>
      <c r="I65" s="1372" t="n"/>
      <c r="J65" s="1372" t="n"/>
      <c r="K65" s="1372" t="n"/>
      <c r="L65" s="1372" t="n"/>
      <c r="M65" s="1372" t="n"/>
      <c r="N65" s="1372" t="n"/>
      <c r="O65" s="1372" t="n"/>
      <c r="P65" s="1372" t="n"/>
      <c r="Q65" s="1372" t="n"/>
      <c r="R65" s="1372" t="n"/>
      <c r="S65" s="1372" t="n"/>
      <c r="T65" s="1372" t="n"/>
      <c r="U65" s="1372" t="n"/>
      <c r="V65" s="1372" t="n"/>
      <c r="W65" s="1372" t="n"/>
      <c r="X65" s="1372" t="n"/>
      <c r="Y65" s="1372" t="n"/>
      <c r="Z65" s="1372" t="n"/>
      <c r="AA65" s="1372" t="n"/>
      <c r="AB65" s="1372" t="n"/>
      <c r="AC65" s="1372" t="n"/>
      <c r="AD65" s="1372" t="n"/>
      <c r="AE65" s="1372" t="n"/>
      <c r="AF65" s="1372" t="n"/>
      <c r="AG65" s="1372" t="n"/>
      <c r="AH65" s="1372" t="n"/>
      <c r="AI65" s="1372" t="n"/>
      <c r="AJ65" s="1372" t="n"/>
    </row>
    <row r="66">
      <c r="A66" s="369">
        <f>IF(SUM(E66:AJ66)=1,"","CHECK")</f>
        <v/>
      </c>
      <c r="B66" s="1368">
        <f>SUM(E66:AJ66)</f>
        <v/>
      </c>
      <c r="C66" s="423" t="n"/>
      <c r="E66" s="1372" t="n"/>
      <c r="F66" s="1372" t="n"/>
      <c r="G66" s="1372" t="n"/>
      <c r="H66" s="1372" t="n"/>
      <c r="I66" s="1372" t="n"/>
      <c r="J66" s="1372" t="n"/>
      <c r="K66" s="1372" t="n"/>
      <c r="L66" s="1372" t="n"/>
      <c r="M66" s="1372" t="n"/>
      <c r="N66" s="1372" t="n"/>
      <c r="O66" s="1372" t="n"/>
      <c r="P66" s="1372" t="n"/>
      <c r="Q66" s="1372" t="n"/>
      <c r="R66" s="1372" t="n"/>
      <c r="S66" s="1372" t="n"/>
      <c r="T66" s="1372" t="n"/>
      <c r="U66" s="1372" t="n"/>
      <c r="V66" s="1372" t="n"/>
      <c r="W66" s="1372" t="n"/>
      <c r="X66" s="1372" t="n"/>
      <c r="Y66" s="1372" t="n"/>
      <c r="Z66" s="1372" t="n"/>
      <c r="AA66" s="1372" t="n"/>
      <c r="AB66" s="1372" t="n"/>
      <c r="AC66" s="1372" t="n"/>
      <c r="AD66" s="1372" t="n"/>
      <c r="AE66" s="1372" t="n"/>
      <c r="AF66" s="1372" t="n"/>
      <c r="AG66" s="1372" t="n"/>
      <c r="AH66" s="1372" t="n"/>
      <c r="AI66" s="1372" t="n"/>
      <c r="AJ66" s="1372" t="n"/>
    </row>
    <row r="67">
      <c r="A67" s="369" t="n"/>
      <c r="B67" s="1368">
        <f>SUM(E67:AJ67)</f>
        <v/>
      </c>
      <c r="C67" s="423" t="n"/>
      <c r="E67" s="1372" t="n"/>
      <c r="F67" s="1372" t="n"/>
      <c r="G67" s="1372" t="n"/>
      <c r="H67" s="1372" t="n"/>
      <c r="I67" s="1372" t="n"/>
      <c r="J67" s="1372" t="n"/>
      <c r="K67" s="1372" t="n"/>
      <c r="L67" s="1372" t="n"/>
      <c r="M67" s="1372" t="n"/>
      <c r="N67" s="1372" t="n"/>
      <c r="O67" s="1372" t="n"/>
      <c r="P67" s="1372" t="n"/>
      <c r="Q67" s="1372" t="n"/>
      <c r="R67" s="1372" t="n"/>
      <c r="S67" s="1372" t="n"/>
      <c r="T67" s="1372" t="n"/>
      <c r="U67" s="1372" t="n"/>
      <c r="V67" s="1372" t="n"/>
      <c r="W67" s="1372" t="n"/>
      <c r="X67" s="1372" t="n"/>
      <c r="Y67" s="1372" t="n"/>
      <c r="Z67" s="1372" t="n"/>
      <c r="AA67" s="1372" t="n"/>
      <c r="AB67" s="1372" t="n"/>
      <c r="AC67" s="1372" t="n"/>
      <c r="AD67" s="1372" t="n"/>
      <c r="AE67" s="1372" t="n"/>
      <c r="AF67" s="1372" t="n"/>
      <c r="AG67" s="1372" t="n"/>
      <c r="AH67" s="1372" t="n"/>
      <c r="AI67" s="1372" t="n"/>
      <c r="AJ67" s="1372" t="n"/>
    </row>
    <row r="68">
      <c r="A68" s="369" t="n"/>
      <c r="B68" s="1368">
        <f>SUM(E68:AJ68)</f>
        <v/>
      </c>
      <c r="C68" s="423" t="n"/>
      <c r="E68" s="1372" t="n"/>
      <c r="F68" s="1372" t="n"/>
      <c r="G68" s="1372" t="n"/>
      <c r="H68" s="1372" t="n"/>
      <c r="I68" s="1372" t="n"/>
      <c r="J68" s="1372" t="n"/>
      <c r="K68" s="1372" t="n"/>
      <c r="L68" s="1372" t="n"/>
      <c r="M68" s="1372" t="n"/>
      <c r="N68" s="1372" t="n"/>
      <c r="O68" s="1372" t="n"/>
      <c r="P68" s="1372" t="n"/>
      <c r="Q68" s="1372" t="n"/>
      <c r="R68" s="1372" t="n"/>
      <c r="S68" s="1372" t="n"/>
      <c r="T68" s="1372" t="n"/>
      <c r="U68" s="1372" t="n"/>
      <c r="V68" s="1372" t="n"/>
      <c r="W68" s="1372" t="n"/>
      <c r="X68" s="1372" t="n"/>
      <c r="Y68" s="1372" t="n"/>
      <c r="Z68" s="1372" t="n"/>
      <c r="AA68" s="1372" t="n"/>
      <c r="AB68" s="1372" t="n"/>
      <c r="AC68" s="1372" t="n"/>
      <c r="AD68" s="1372" t="n"/>
      <c r="AE68" s="1372" t="n"/>
      <c r="AF68" s="1372" t="n"/>
      <c r="AG68" s="1372" t="n"/>
      <c r="AH68" s="1372" t="n"/>
      <c r="AI68" s="1372" t="n"/>
      <c r="AJ68" s="1372" t="n"/>
    </row>
    <row r="69">
      <c r="A69" s="369" t="n"/>
      <c r="B69" s="1368">
        <f>SUM(E69:AJ69)</f>
        <v/>
      </c>
      <c r="C69" s="423" t="n"/>
      <c r="E69" s="1372" t="n"/>
      <c r="F69" s="1372" t="n"/>
      <c r="G69" s="1372" t="n"/>
      <c r="H69" s="1372" t="n"/>
      <c r="I69" s="1372" t="n"/>
      <c r="J69" s="1372" t="n"/>
      <c r="K69" s="1372" t="n"/>
      <c r="L69" s="1372" t="n"/>
      <c r="M69" s="1372" t="n"/>
      <c r="N69" s="1372" t="n"/>
      <c r="O69" s="1372" t="n"/>
      <c r="P69" s="1372" t="n"/>
      <c r="Q69" s="1372" t="n"/>
      <c r="R69" s="1372" t="n"/>
      <c r="S69" s="1372" t="n"/>
      <c r="T69" s="1372" t="n"/>
      <c r="U69" s="1372" t="n"/>
      <c r="V69" s="1372" t="n"/>
      <c r="W69" s="1372" t="n"/>
      <c r="X69" s="1372" t="n"/>
      <c r="Y69" s="1372" t="n"/>
      <c r="Z69" s="1372" t="n"/>
      <c r="AA69" s="1372" t="n"/>
      <c r="AB69" s="1372" t="n"/>
      <c r="AC69" s="1372" t="n"/>
      <c r="AD69" s="1372" t="n"/>
      <c r="AE69" s="1372" t="n"/>
      <c r="AF69" s="1372" t="n"/>
      <c r="AG69" s="1372" t="n"/>
      <c r="AH69" s="1372" t="n"/>
      <c r="AI69" s="1372" t="n"/>
      <c r="AJ69" s="1372" t="n"/>
    </row>
    <row r="70">
      <c r="A70" s="369" t="n"/>
      <c r="B70" s="1368">
        <f>SUM(E70:AJ70)</f>
        <v/>
      </c>
      <c r="C70" s="423" t="n"/>
      <c r="E70" s="1372" t="n"/>
      <c r="F70" s="1372" t="n"/>
      <c r="G70" s="1372" t="n"/>
      <c r="H70" s="1372" t="n"/>
      <c r="I70" s="1372" t="n"/>
      <c r="J70" s="1372" t="n"/>
      <c r="K70" s="1372" t="n"/>
      <c r="L70" s="1372" t="n"/>
      <c r="M70" s="1372" t="n"/>
      <c r="N70" s="1372" t="n"/>
      <c r="O70" s="1372" t="n"/>
      <c r="P70" s="1372" t="n"/>
      <c r="Q70" s="1372" t="n"/>
      <c r="R70" s="1372" t="n"/>
      <c r="S70" s="1372" t="n"/>
      <c r="T70" s="1372" t="n"/>
      <c r="U70" s="1372" t="n"/>
      <c r="V70" s="1372" t="n"/>
      <c r="W70" s="1372" t="n"/>
      <c r="X70" s="1372" t="n"/>
      <c r="Y70" s="1372" t="n"/>
      <c r="Z70" s="1372" t="n"/>
      <c r="AA70" s="1372" t="n"/>
      <c r="AB70" s="1372" t="n"/>
      <c r="AC70" s="1372" t="n"/>
      <c r="AD70" s="1372" t="n"/>
      <c r="AE70" s="1372" t="n"/>
      <c r="AF70" s="1372" t="n"/>
      <c r="AG70" s="1372" t="n"/>
      <c r="AH70" s="1372" t="n"/>
      <c r="AI70" s="1372" t="n"/>
      <c r="AJ70" s="1372" t="n"/>
    </row>
    <row r="73">
      <c r="C73" s="367">
        <f>+D6</f>
        <v/>
      </c>
      <c r="D73" s="367" t="n"/>
      <c r="E73" s="421" t="n"/>
      <c r="F73" s="421" t="n"/>
      <c r="G73" s="421" t="n"/>
      <c r="H73" s="421" t="n"/>
      <c r="I73" s="421" t="n"/>
      <c r="J73" s="421" t="n"/>
      <c r="K73" s="421" t="n"/>
      <c r="L73" s="421" t="n"/>
      <c r="M73" s="421" t="n"/>
      <c r="N73" s="421" t="n"/>
      <c r="O73" s="421" t="n"/>
      <c r="P73" s="421" t="n"/>
      <c r="Q73" s="421" t="n"/>
      <c r="R73" s="421" t="n"/>
      <c r="S73" s="421" t="n"/>
      <c r="T73" s="421" t="n"/>
      <c r="U73" s="421" t="n"/>
      <c r="V73" s="421" t="n"/>
      <c r="W73" s="421" t="n"/>
      <c r="X73" s="421" t="n"/>
      <c r="Y73" s="421" t="n"/>
      <c r="Z73" s="421" t="n"/>
      <c r="AA73" s="421" t="n"/>
      <c r="AB73" s="421" t="n"/>
      <c r="AC73" s="421" t="n"/>
      <c r="AD73" s="421" t="n"/>
      <c r="AE73" s="421" t="n"/>
      <c r="AF73" s="421" t="n"/>
      <c r="AG73" s="421" t="n"/>
      <c r="AH73" s="421" t="n"/>
      <c r="AI73" s="421" t="n"/>
      <c r="AJ73" s="421" t="n"/>
    </row>
    <row r="74">
      <c r="A74" s="369">
        <f>IF(SUM(E74:AJ74)=1,"","CHECK")</f>
        <v/>
      </c>
      <c r="B74" s="1368">
        <f>SUM(E74:AJ74)</f>
        <v/>
      </c>
      <c r="C74" s="367" t="n">
        <v>22</v>
      </c>
      <c r="D74" s="367" t="n"/>
      <c r="E74" s="1371">
        <f>VLOOKUP($C74,$C75:$AJ84,E73+2,)</f>
        <v/>
      </c>
      <c r="F74" s="1371">
        <f>VLOOKUP($C74,$C75:$AJ84,F73+2,)</f>
        <v/>
      </c>
      <c r="G74" s="1371">
        <f>VLOOKUP($C74,$C75:$AJ84,G73+2,)</f>
        <v/>
      </c>
      <c r="H74" s="1371">
        <f>VLOOKUP($C74,$C75:$AJ84,H73+2,)</f>
        <v/>
      </c>
      <c r="I74" s="1371">
        <f>VLOOKUP($C74,$C75:$AJ84,I73+2,)</f>
        <v/>
      </c>
      <c r="J74" s="1371">
        <f>VLOOKUP($C74,$C75:$AJ84,J73+2,)</f>
        <v/>
      </c>
      <c r="K74" s="1371">
        <f>VLOOKUP($C74,$C75:$AJ84,K73+2,)</f>
        <v/>
      </c>
      <c r="L74" s="1371">
        <f>VLOOKUP($C74,$C75:$AJ84,L73+2,)</f>
        <v/>
      </c>
      <c r="M74" s="1371">
        <f>VLOOKUP($C74,$C75:$AJ84,M73+2,)</f>
        <v/>
      </c>
      <c r="N74" s="1371">
        <f>VLOOKUP($C74,$C75:$AJ84,N73+2,)</f>
        <v/>
      </c>
      <c r="O74" s="1371">
        <f>VLOOKUP($C74,$C75:$AJ84,O73+2,)</f>
        <v/>
      </c>
      <c r="P74" s="1371">
        <f>VLOOKUP($C74,$C75:$AJ84,P73+2,)</f>
        <v/>
      </c>
      <c r="Q74" s="1371">
        <f>VLOOKUP($C74,$C75:$AJ84,Q73+2,)</f>
        <v/>
      </c>
      <c r="R74" s="1371">
        <f>VLOOKUP($C74,$C75:$AJ84,R73+2,)</f>
        <v/>
      </c>
      <c r="S74" s="1371">
        <f>VLOOKUP($C74,$C75:$AJ84,S73+2,)</f>
        <v/>
      </c>
      <c r="T74" s="1371">
        <f>VLOOKUP($C74,$C75:$AJ84,T73+2,)</f>
        <v/>
      </c>
      <c r="U74" s="1371">
        <f>VLOOKUP($C74,$C75:$AJ84,U73+2,)</f>
        <v/>
      </c>
      <c r="V74" s="1371">
        <f>VLOOKUP($C74,$C75:$AJ84,V73+2,)</f>
        <v/>
      </c>
      <c r="W74" s="1371">
        <f>VLOOKUP($C74,$C75:$AJ84,W73+2,)</f>
        <v/>
      </c>
      <c r="X74" s="1371">
        <f>VLOOKUP($C74,$C75:$AJ84,X73+2,)</f>
        <v/>
      </c>
      <c r="Y74" s="1371">
        <f>VLOOKUP($C74,$C75:$AJ84,Y73+2,)</f>
        <v/>
      </c>
      <c r="Z74" s="1371">
        <f>VLOOKUP($C74,$C75:$AJ84,Z73+2,)</f>
        <v/>
      </c>
      <c r="AA74" s="1371">
        <f>VLOOKUP($C74,$C75:$AJ84,AA73+2,)</f>
        <v/>
      </c>
      <c r="AB74" s="1371">
        <f>VLOOKUP($C74,$C75:$AJ84,AB73+2,)</f>
        <v/>
      </c>
      <c r="AC74" s="1371">
        <f>VLOOKUP($C74,$C75:$AJ84,AC73+2,)</f>
        <v/>
      </c>
      <c r="AD74" s="1371">
        <f>VLOOKUP($C74,$C75:$AJ84,AD73+2,)</f>
        <v/>
      </c>
      <c r="AE74" s="1371">
        <f>VLOOKUP($C74,$C75:$AJ84,AE73+2,)</f>
        <v/>
      </c>
      <c r="AF74" s="1371">
        <f>VLOOKUP($C74,$C75:$AJ84,AF73+2,)</f>
        <v/>
      </c>
      <c r="AG74" s="1371">
        <f>VLOOKUP($C74,$C75:$AJ84,AG73+2,)</f>
        <v/>
      </c>
      <c r="AH74" s="1371">
        <f>VLOOKUP($C74,$C75:$AJ84,AH73+2,)</f>
        <v/>
      </c>
      <c r="AI74" s="1371">
        <f>VLOOKUP($C74,$C75:$AJ84,AI73+2,)</f>
        <v/>
      </c>
      <c r="AJ74" s="1371">
        <f>VLOOKUP($C74,$C75:$AJ84,AJ73+2,)</f>
        <v/>
      </c>
    </row>
    <row r="75">
      <c r="A75" s="369">
        <f>IF(SUM(E75:AJ75)=1,"","CHECK")</f>
        <v/>
      </c>
      <c r="B75" s="1368">
        <f>SUM(E75:AJ75)</f>
        <v/>
      </c>
      <c r="C75" s="423" t="n"/>
      <c r="E75" s="1372" t="n"/>
      <c r="F75" s="1372" t="n"/>
      <c r="G75" s="1372" t="n"/>
      <c r="H75" s="1372" t="n"/>
      <c r="I75" s="1372" t="n"/>
      <c r="J75" s="1372" t="n"/>
      <c r="K75" s="1372" t="n"/>
      <c r="L75" s="1372" t="n"/>
      <c r="M75" s="1372" t="n"/>
      <c r="N75" s="1372" t="n"/>
      <c r="O75" s="1372" t="n"/>
      <c r="P75" s="1372" t="n"/>
      <c r="Q75" s="1372" t="n"/>
      <c r="R75" s="1372" t="n"/>
      <c r="S75" s="1372" t="n"/>
      <c r="T75" s="1372" t="n"/>
      <c r="U75" s="1372" t="n"/>
      <c r="V75" s="1372" t="n"/>
      <c r="W75" s="1372" t="n"/>
      <c r="X75" s="1372" t="n"/>
      <c r="Y75" s="1372" t="n"/>
      <c r="Z75" s="1372" t="n"/>
      <c r="AA75" s="1372" t="n"/>
      <c r="AB75" s="1372" t="n"/>
      <c r="AC75" s="1372" t="n"/>
      <c r="AD75" s="1372" t="n"/>
      <c r="AE75" s="1372" t="n"/>
      <c r="AF75" s="1372" t="n"/>
      <c r="AG75" s="1372" t="n"/>
      <c r="AH75" s="1372" t="n"/>
      <c r="AI75" s="1372" t="n"/>
      <c r="AJ75" s="1372" t="n"/>
    </row>
    <row r="76">
      <c r="A76" s="369">
        <f>IF(SUM(E76:AJ76)=1,"","CHECK")</f>
        <v/>
      </c>
      <c r="B76" s="1368">
        <f>SUM(E76:AJ76)</f>
        <v/>
      </c>
      <c r="C76" s="423" t="n"/>
      <c r="E76" s="1372" t="n"/>
      <c r="F76" s="1372" t="n"/>
      <c r="G76" s="1372" t="n"/>
      <c r="H76" s="1372" t="n"/>
      <c r="I76" s="1372" t="n"/>
      <c r="J76" s="1372" t="n"/>
      <c r="K76" s="1372" t="n"/>
      <c r="L76" s="1372" t="n"/>
      <c r="M76" s="1372" t="n"/>
      <c r="N76" s="1372" t="n"/>
      <c r="O76" s="1372" t="n"/>
      <c r="P76" s="1372" t="n"/>
      <c r="Q76" s="1372" t="n"/>
      <c r="R76" s="1372" t="n"/>
      <c r="S76" s="1372" t="n"/>
      <c r="T76" s="1372" t="n"/>
      <c r="U76" s="1372" t="n"/>
      <c r="V76" s="1372" t="n"/>
      <c r="W76" s="1372" t="n"/>
      <c r="X76" s="1372" t="n"/>
      <c r="Y76" s="1372" t="n"/>
      <c r="Z76" s="1372" t="n"/>
      <c r="AA76" s="1372" t="n"/>
      <c r="AB76" s="1372" t="n"/>
      <c r="AC76" s="1372" t="n"/>
      <c r="AD76" s="1372" t="n"/>
      <c r="AE76" s="1372" t="n"/>
      <c r="AF76" s="1372" t="n"/>
      <c r="AG76" s="1372" t="n"/>
      <c r="AH76" s="1372" t="n"/>
      <c r="AI76" s="1372" t="n"/>
      <c r="AJ76" s="1372" t="n"/>
    </row>
    <row r="77">
      <c r="A77" s="369">
        <f>IF(SUM(E77:AJ77)=1,"","CHECK")</f>
        <v/>
      </c>
      <c r="B77" s="1368">
        <f>SUM(E77:AJ77)</f>
        <v/>
      </c>
      <c r="C77" s="423" t="n"/>
      <c r="E77" s="1372" t="n"/>
      <c r="F77" s="1372" t="n"/>
      <c r="G77" s="1372" t="n"/>
      <c r="H77" s="1372" t="n"/>
      <c r="I77" s="1372" t="n"/>
      <c r="J77" s="1372" t="n"/>
      <c r="K77" s="1372" t="n"/>
      <c r="L77" s="1372" t="n"/>
      <c r="M77" s="1372" t="n"/>
      <c r="N77" s="1372" t="n"/>
      <c r="O77" s="1372" t="n"/>
      <c r="P77" s="1372" t="n"/>
      <c r="Q77" s="1372" t="n"/>
      <c r="R77" s="1372" t="n"/>
      <c r="S77" s="1372" t="n"/>
      <c r="T77" s="1372" t="n"/>
      <c r="U77" s="1372" t="n"/>
      <c r="V77" s="1372" t="n"/>
      <c r="W77" s="1372" t="n"/>
      <c r="X77" s="1372" t="n"/>
      <c r="Y77" s="1372" t="n"/>
      <c r="Z77" s="1372" t="n"/>
      <c r="AA77" s="1372" t="n"/>
      <c r="AB77" s="1372" t="n"/>
      <c r="AC77" s="1372" t="n"/>
      <c r="AD77" s="1372" t="n"/>
      <c r="AE77" s="1372" t="n"/>
      <c r="AF77" s="1372" t="n"/>
      <c r="AG77" s="1372" t="n"/>
      <c r="AH77" s="1372" t="n"/>
      <c r="AI77" s="1372" t="n"/>
      <c r="AJ77" s="1372" t="n"/>
    </row>
    <row r="78">
      <c r="A78" s="369">
        <f>IF(SUM(E78:AJ78)=1,"","CHECK")</f>
        <v/>
      </c>
      <c r="B78" s="1368">
        <f>SUM(E78:AJ78)</f>
        <v/>
      </c>
      <c r="C78" s="423" t="n"/>
      <c r="E78" s="1372" t="n"/>
      <c r="F78" s="1372" t="n"/>
      <c r="G78" s="1372" t="n"/>
      <c r="H78" s="1372" t="n"/>
      <c r="I78" s="1372" t="n"/>
      <c r="J78" s="1372" t="n"/>
      <c r="K78" s="1372" t="n"/>
      <c r="L78" s="1372" t="n"/>
      <c r="M78" s="1372" t="n"/>
      <c r="N78" s="1372" t="n"/>
      <c r="O78" s="1372" t="n"/>
      <c r="P78" s="1372" t="n"/>
      <c r="Q78" s="1372" t="n"/>
      <c r="R78" s="1372" t="n"/>
      <c r="S78" s="1372" t="n"/>
      <c r="T78" s="1372" t="n"/>
      <c r="U78" s="1372" t="n"/>
      <c r="V78" s="1372" t="n"/>
      <c r="W78" s="1372" t="n"/>
      <c r="X78" s="1372" t="n"/>
      <c r="Y78" s="1372" t="n"/>
      <c r="Z78" s="1372" t="n"/>
      <c r="AA78" s="1372" t="n"/>
      <c r="AB78" s="1372" t="n"/>
      <c r="AC78" s="1372" t="n"/>
      <c r="AD78" s="1372" t="n"/>
      <c r="AE78" s="1372" t="n"/>
      <c r="AF78" s="1372" t="n"/>
      <c r="AG78" s="1372" t="n"/>
      <c r="AH78" s="1372" t="n"/>
      <c r="AI78" s="1372" t="n"/>
      <c r="AJ78" s="1372" t="n"/>
    </row>
    <row r="79">
      <c r="A79" s="369">
        <f>IF(SUM(E79:AJ79)=1,"","CHECK")</f>
        <v/>
      </c>
      <c r="B79" s="1368">
        <f>SUM(E79:AJ79)</f>
        <v/>
      </c>
      <c r="C79" s="423" t="n"/>
      <c r="E79" s="1372" t="n"/>
      <c r="F79" s="1372" t="n"/>
      <c r="G79" s="1372" t="n"/>
      <c r="H79" s="1372" t="n"/>
      <c r="I79" s="1372" t="n"/>
      <c r="J79" s="1372" t="n"/>
      <c r="K79" s="1372" t="n"/>
      <c r="L79" s="1372" t="n"/>
      <c r="M79" s="1372" t="n"/>
      <c r="N79" s="1372" t="n"/>
      <c r="O79" s="1372" t="n"/>
      <c r="P79" s="1372" t="n"/>
      <c r="Q79" s="1372" t="n"/>
      <c r="R79" s="1372" t="n"/>
      <c r="S79" s="1372" t="n"/>
      <c r="T79" s="1372" t="n"/>
      <c r="U79" s="1372" t="n"/>
      <c r="V79" s="1372" t="n"/>
      <c r="W79" s="1372" t="n"/>
      <c r="X79" s="1372" t="n"/>
      <c r="Y79" s="1372" t="n"/>
      <c r="Z79" s="1372" t="n"/>
      <c r="AA79" s="1372" t="n"/>
      <c r="AB79" s="1372" t="n"/>
      <c r="AC79" s="1372" t="n"/>
      <c r="AD79" s="1372" t="n"/>
      <c r="AE79" s="1372" t="n"/>
      <c r="AF79" s="1372" t="n"/>
      <c r="AG79" s="1372" t="n"/>
      <c r="AH79" s="1372" t="n"/>
      <c r="AI79" s="1372" t="n"/>
      <c r="AJ79" s="1372" t="n"/>
    </row>
    <row r="80">
      <c r="A80" s="369">
        <f>IF(SUM(E80:AJ80)=1,"","CHECK")</f>
        <v/>
      </c>
      <c r="B80" s="1368">
        <f>SUM(E80:AJ80)</f>
        <v/>
      </c>
      <c r="C80" s="423" t="n"/>
      <c r="E80" s="1372" t="n"/>
      <c r="F80" s="1372" t="n"/>
      <c r="G80" s="1372" t="n"/>
      <c r="H80" s="1372" t="n"/>
      <c r="I80" s="1372" t="n"/>
      <c r="J80" s="1372" t="n"/>
      <c r="K80" s="1372" t="n"/>
      <c r="L80" s="1372" t="n"/>
      <c r="M80" s="1372" t="n"/>
      <c r="N80" s="1372" t="n"/>
      <c r="O80" s="1372" t="n"/>
      <c r="P80" s="1372" t="n"/>
      <c r="Q80" s="1372" t="n"/>
      <c r="R80" s="1372" t="n"/>
      <c r="S80" s="1372" t="n"/>
      <c r="T80" s="1372" t="n"/>
      <c r="U80" s="1372" t="n"/>
      <c r="V80" s="1372" t="n"/>
      <c r="W80" s="1372" t="n"/>
      <c r="X80" s="1372" t="n"/>
      <c r="Y80" s="1372" t="n"/>
      <c r="Z80" s="1372" t="n"/>
      <c r="AA80" s="1372" t="n"/>
      <c r="AB80" s="1372" t="n"/>
      <c r="AC80" s="1372" t="n"/>
      <c r="AD80" s="1372" t="n"/>
      <c r="AE80" s="1372" t="n"/>
      <c r="AF80" s="1372" t="n"/>
      <c r="AG80" s="1372" t="n"/>
      <c r="AH80" s="1372" t="n"/>
      <c r="AI80" s="1372" t="n"/>
      <c r="AJ80" s="1372" t="n"/>
    </row>
    <row r="81">
      <c r="A81" s="369">
        <f>IF(SUM(E81:AJ81)=1,"","CHECK")</f>
        <v/>
      </c>
      <c r="B81" s="1368">
        <f>SUM(E81:AJ81)</f>
        <v/>
      </c>
      <c r="C81" s="423" t="n"/>
      <c r="E81" s="1372" t="n"/>
      <c r="F81" s="1372" t="n"/>
      <c r="G81" s="1372" t="n"/>
      <c r="H81" s="1372" t="n"/>
      <c r="I81" s="1372" t="n"/>
      <c r="J81" s="1372" t="n"/>
      <c r="K81" s="1372" t="n"/>
      <c r="L81" s="1372" t="n"/>
      <c r="M81" s="1372" t="n"/>
      <c r="N81" s="1372" t="n"/>
      <c r="O81" s="1372" t="n"/>
      <c r="P81" s="1372" t="n"/>
      <c r="Q81" s="1372" t="n"/>
      <c r="R81" s="1372" t="n"/>
      <c r="S81" s="1372" t="n"/>
      <c r="T81" s="1372" t="n"/>
      <c r="U81" s="1372" t="n"/>
      <c r="V81" s="1372" t="n"/>
      <c r="W81" s="1372" t="n"/>
      <c r="X81" s="1372" t="n"/>
      <c r="Y81" s="1372" t="n"/>
      <c r="Z81" s="1372" t="n"/>
      <c r="AA81" s="1372" t="n"/>
      <c r="AB81" s="1372" t="n"/>
      <c r="AC81" s="1372" t="n"/>
      <c r="AD81" s="1372" t="n"/>
      <c r="AE81" s="1372" t="n"/>
      <c r="AF81" s="1372" t="n"/>
      <c r="AG81" s="1372" t="n"/>
      <c r="AH81" s="1372" t="n"/>
      <c r="AI81" s="1372" t="n"/>
      <c r="AJ81" s="1372" t="n"/>
    </row>
    <row r="82">
      <c r="A82" s="369">
        <f>IF(SUM(E82:AJ82)=1,"","CHECK")</f>
        <v/>
      </c>
      <c r="B82" s="1368">
        <f>SUM(E82:AJ82)</f>
        <v/>
      </c>
      <c r="C82" s="423" t="n"/>
      <c r="E82" s="1372" t="n"/>
      <c r="F82" s="1372" t="n"/>
      <c r="G82" s="1372" t="n"/>
      <c r="H82" s="1372" t="n"/>
      <c r="I82" s="1372" t="n"/>
      <c r="J82" s="1372" t="n"/>
      <c r="K82" s="1372" t="n"/>
      <c r="L82" s="1372" t="n"/>
      <c r="M82" s="1372" t="n"/>
      <c r="N82" s="1372" t="n"/>
      <c r="O82" s="1372" t="n"/>
      <c r="P82" s="1372" t="n"/>
      <c r="Q82" s="1372" t="n"/>
      <c r="R82" s="1372" t="n"/>
      <c r="S82" s="1372" t="n"/>
      <c r="T82" s="1372" t="n"/>
      <c r="U82" s="1372" t="n"/>
      <c r="V82" s="1372" t="n"/>
      <c r="W82" s="1372" t="n"/>
      <c r="X82" s="1372" t="n"/>
      <c r="Y82" s="1372" t="n"/>
      <c r="Z82" s="1372" t="n"/>
      <c r="AA82" s="1372" t="n"/>
      <c r="AB82" s="1372" t="n"/>
      <c r="AC82" s="1372" t="n"/>
      <c r="AD82" s="1372" t="n"/>
      <c r="AE82" s="1372" t="n"/>
      <c r="AF82" s="1372" t="n"/>
      <c r="AG82" s="1372" t="n"/>
      <c r="AH82" s="1372" t="n"/>
      <c r="AI82" s="1372" t="n"/>
      <c r="AJ82" s="1372" t="n"/>
    </row>
    <row r="83">
      <c r="A83" s="369">
        <f>IF(SUM(E83:AJ83)=1,"","CHECK")</f>
        <v/>
      </c>
      <c r="B83" s="1368">
        <f>SUM(E83:AJ83)</f>
        <v/>
      </c>
      <c r="C83" s="423" t="n"/>
      <c r="E83" s="1372" t="n"/>
      <c r="F83" s="1372" t="n"/>
      <c r="G83" s="1372" t="n"/>
      <c r="H83" s="1372" t="n"/>
      <c r="I83" s="1372" t="n"/>
      <c r="J83" s="1372" t="n"/>
      <c r="K83" s="1372" t="n"/>
      <c r="L83" s="1372" t="n"/>
      <c r="M83" s="1372" t="n"/>
      <c r="N83" s="1372" t="n"/>
      <c r="O83" s="1372" t="n"/>
      <c r="P83" s="1372" t="n"/>
      <c r="Q83" s="1372" t="n"/>
      <c r="R83" s="1372" t="n"/>
      <c r="S83" s="1372" t="n"/>
      <c r="T83" s="1372" t="n"/>
      <c r="U83" s="1372" t="n"/>
      <c r="V83" s="1372" t="n"/>
      <c r="W83" s="1372" t="n"/>
      <c r="X83" s="1372" t="n"/>
      <c r="Y83" s="1372" t="n"/>
      <c r="Z83" s="1372" t="n"/>
      <c r="AA83" s="1372" t="n"/>
      <c r="AB83" s="1372" t="n"/>
      <c r="AC83" s="1372" t="n"/>
      <c r="AD83" s="1372" t="n"/>
      <c r="AE83" s="1372" t="n"/>
      <c r="AF83" s="1372" t="n"/>
      <c r="AG83" s="1372" t="n"/>
      <c r="AH83" s="1372" t="n"/>
      <c r="AI83" s="1372" t="n"/>
      <c r="AJ83" s="1372" t="n"/>
    </row>
    <row r="84">
      <c r="A84" s="369">
        <f>IF(SUM(E84:AJ84)=1,"","CHECK")</f>
        <v/>
      </c>
      <c r="B84" s="1368">
        <f>SUM(E84:AJ84)</f>
        <v/>
      </c>
      <c r="C84" s="423" t="n"/>
      <c r="E84" s="1372" t="n"/>
      <c r="F84" s="1372" t="n"/>
      <c r="G84" s="1372" t="n"/>
      <c r="H84" s="1372" t="n"/>
      <c r="I84" s="1372" t="n"/>
      <c r="J84" s="1372" t="n"/>
      <c r="K84" s="1372" t="n"/>
      <c r="L84" s="1372" t="n"/>
      <c r="M84" s="1372" t="n"/>
      <c r="N84" s="1372" t="n"/>
      <c r="O84" s="1372" t="n"/>
      <c r="P84" s="1372" t="n"/>
      <c r="Q84" s="1372" t="n"/>
      <c r="R84" s="1372" t="n"/>
      <c r="S84" s="1372" t="n"/>
      <c r="T84" s="1372" t="n"/>
      <c r="U84" s="1372" t="n"/>
      <c r="V84" s="1372" t="n"/>
      <c r="W84" s="1372" t="n"/>
      <c r="X84" s="1372" t="n"/>
      <c r="Y84" s="1372" t="n"/>
      <c r="Z84" s="1372" t="n"/>
      <c r="AA84" s="1372" t="n"/>
      <c r="AB84" s="1372" t="n"/>
      <c r="AC84" s="1372" t="n"/>
      <c r="AD84" s="1372" t="n"/>
      <c r="AE84" s="1372" t="n"/>
      <c r="AF84" s="1372" t="n"/>
      <c r="AG84" s="1372" t="n"/>
      <c r="AH84" s="1372" t="n"/>
      <c r="AI84" s="1372" t="n"/>
      <c r="AJ84" s="1372" t="n"/>
    </row>
    <row r="85">
      <c r="A85" s="369" t="n"/>
      <c r="B85" s="1368">
        <f>SUM(E85:AJ85)</f>
        <v/>
      </c>
      <c r="C85" s="423" t="n"/>
      <c r="E85" s="1372" t="n"/>
      <c r="F85" s="1372" t="n"/>
      <c r="G85" s="1372" t="n"/>
      <c r="H85" s="1372" t="n"/>
      <c r="I85" s="1372" t="n"/>
      <c r="J85" s="1372" t="n"/>
      <c r="K85" s="1372" t="n"/>
      <c r="L85" s="1372" t="n"/>
      <c r="M85" s="1372" t="n"/>
      <c r="N85" s="1372" t="n"/>
      <c r="O85" s="1372" t="n"/>
      <c r="P85" s="1372" t="n"/>
      <c r="Q85" s="1372" t="n"/>
      <c r="R85" s="1372" t="n"/>
      <c r="S85" s="1372" t="n"/>
      <c r="T85" s="1372" t="n"/>
      <c r="U85" s="1372" t="n"/>
      <c r="V85" s="1372" t="n"/>
      <c r="W85" s="1372" t="n"/>
      <c r="X85" s="1372" t="n"/>
      <c r="Y85" s="1372" t="n"/>
      <c r="Z85" s="1372" t="n"/>
      <c r="AA85" s="1372" t="n"/>
      <c r="AB85" s="1372" t="n"/>
      <c r="AC85" s="1372" t="n"/>
      <c r="AD85" s="1372" t="n"/>
      <c r="AE85" s="1372" t="n"/>
      <c r="AF85" s="1372" t="n"/>
      <c r="AG85" s="1372" t="n"/>
      <c r="AH85" s="1372" t="n"/>
      <c r="AI85" s="1372" t="n"/>
      <c r="AJ85" s="1372" t="n"/>
    </row>
    <row r="86">
      <c r="A86" s="369" t="n"/>
      <c r="B86" s="1368">
        <f>SUM(E86:AJ86)</f>
        <v/>
      </c>
      <c r="C86" s="423" t="n"/>
      <c r="E86" s="1372" t="n"/>
      <c r="F86" s="1372" t="n"/>
      <c r="G86" s="1372" t="n"/>
      <c r="H86" s="1372" t="n"/>
      <c r="I86" s="1372" t="n"/>
      <c r="J86" s="1372" t="n"/>
      <c r="K86" s="1372" t="n"/>
      <c r="L86" s="1372" t="n"/>
      <c r="M86" s="1372" t="n"/>
      <c r="N86" s="1372" t="n"/>
      <c r="O86" s="1372" t="n"/>
      <c r="P86" s="1372" t="n"/>
      <c r="Q86" s="1372" t="n"/>
      <c r="R86" s="1372" t="n"/>
      <c r="S86" s="1372" t="n"/>
      <c r="T86" s="1372" t="n"/>
      <c r="U86" s="1372" t="n"/>
      <c r="V86" s="1372" t="n"/>
      <c r="W86" s="1372" t="n"/>
      <c r="X86" s="1372" t="n"/>
      <c r="Y86" s="1372" t="n"/>
      <c r="Z86" s="1372" t="n"/>
      <c r="AA86" s="1372" t="n"/>
      <c r="AB86" s="1372" t="n"/>
      <c r="AC86" s="1372" t="n"/>
      <c r="AD86" s="1372" t="n"/>
      <c r="AE86" s="1372" t="n"/>
      <c r="AF86" s="1372" t="n"/>
      <c r="AG86" s="1372" t="n"/>
      <c r="AH86" s="1372" t="n"/>
      <c r="AI86" s="1372" t="n"/>
      <c r="AJ86" s="1372" t="n"/>
    </row>
    <row r="87">
      <c r="A87" s="369" t="n"/>
      <c r="B87" s="1368">
        <f>SUM(E87:AJ87)</f>
        <v/>
      </c>
      <c r="C87" s="423" t="n"/>
      <c r="E87" s="1372" t="n"/>
      <c r="F87" s="1372" t="n"/>
      <c r="G87" s="1372" t="n"/>
      <c r="H87" s="1372" t="n"/>
      <c r="I87" s="1372" t="n"/>
      <c r="J87" s="1372" t="n"/>
      <c r="K87" s="1372" t="n"/>
      <c r="L87" s="1372" t="n"/>
      <c r="M87" s="1372" t="n"/>
      <c r="N87" s="1372" t="n"/>
      <c r="O87" s="1372" t="n"/>
      <c r="P87" s="1372" t="n"/>
      <c r="Q87" s="1372" t="n"/>
      <c r="R87" s="1372" t="n"/>
      <c r="S87" s="1372" t="n"/>
      <c r="T87" s="1372" t="n"/>
      <c r="U87" s="1372" t="n"/>
      <c r="V87" s="1372" t="n"/>
      <c r="W87" s="1372" t="n"/>
      <c r="X87" s="1372" t="n"/>
      <c r="Y87" s="1372" t="n"/>
      <c r="Z87" s="1372" t="n"/>
      <c r="AA87" s="1372" t="n"/>
      <c r="AB87" s="1372" t="n"/>
      <c r="AC87" s="1372" t="n"/>
      <c r="AD87" s="1372" t="n"/>
      <c r="AE87" s="1372" t="n"/>
      <c r="AF87" s="1372" t="n"/>
      <c r="AG87" s="1372" t="n"/>
      <c r="AH87" s="1372" t="n"/>
      <c r="AI87" s="1372" t="n"/>
      <c r="AJ87" s="1372" t="n"/>
    </row>
    <row r="88">
      <c r="A88" s="369" t="n"/>
      <c r="B88" s="1368">
        <f>SUM(E88:AJ88)</f>
        <v/>
      </c>
      <c r="C88" s="423" t="n"/>
      <c r="E88" s="1372" t="n"/>
      <c r="F88" s="1372" t="n"/>
      <c r="G88" s="1372" t="n"/>
      <c r="H88" s="1372" t="n"/>
      <c r="I88" s="1372" t="n"/>
      <c r="J88" s="1372" t="n"/>
      <c r="K88" s="1372" t="n"/>
      <c r="L88" s="1372" t="n"/>
      <c r="M88" s="1372" t="n"/>
      <c r="N88" s="1372" t="n"/>
      <c r="O88" s="1372" t="n"/>
      <c r="P88" s="1372" t="n"/>
      <c r="Q88" s="1372" t="n"/>
      <c r="R88" s="1372" t="n"/>
      <c r="S88" s="1372" t="n"/>
      <c r="T88" s="1372" t="n"/>
      <c r="U88" s="1372" t="n"/>
      <c r="V88" s="1372" t="n"/>
      <c r="W88" s="1372" t="n"/>
      <c r="X88" s="1372" t="n"/>
      <c r="Y88" s="1372" t="n"/>
      <c r="Z88" s="1372" t="n"/>
      <c r="AA88" s="1372" t="n"/>
      <c r="AB88" s="1372" t="n"/>
      <c r="AC88" s="1372" t="n"/>
      <c r="AD88" s="1372" t="n"/>
      <c r="AE88" s="1372" t="n"/>
      <c r="AF88" s="1372" t="n"/>
      <c r="AG88" s="1372" t="n"/>
      <c r="AH88" s="1372" t="n"/>
      <c r="AI88" s="1372" t="n"/>
      <c r="AJ88" s="1372" t="n"/>
    </row>
    <row r="89">
      <c r="A89" s="369" t="n"/>
      <c r="B89" s="1368">
        <f>SUM(E89:AJ89)</f>
        <v/>
      </c>
      <c r="C89" s="423" t="n"/>
      <c r="E89" s="1372" t="n"/>
      <c r="F89" s="1372" t="n"/>
      <c r="G89" s="1372" t="n"/>
      <c r="H89" s="1372" t="n"/>
      <c r="I89" s="1372" t="n"/>
      <c r="J89" s="1372" t="n"/>
      <c r="K89" s="1372" t="n"/>
      <c r="L89" s="1372" t="n"/>
      <c r="M89" s="1372" t="n"/>
      <c r="N89" s="1372" t="n"/>
      <c r="O89" s="1372" t="n"/>
      <c r="P89" s="1372" t="n"/>
      <c r="Q89" s="1372" t="n"/>
      <c r="R89" s="1372" t="n"/>
      <c r="S89" s="1372" t="n"/>
      <c r="T89" s="1372" t="n"/>
      <c r="U89" s="1372" t="n"/>
      <c r="V89" s="1372" t="n"/>
      <c r="W89" s="1372" t="n"/>
      <c r="X89" s="1372" t="n"/>
      <c r="Y89" s="1372" t="n"/>
      <c r="Z89" s="1372" t="n"/>
      <c r="AA89" s="1372" t="n"/>
      <c r="AB89" s="1372" t="n"/>
      <c r="AC89" s="1372" t="n"/>
      <c r="AD89" s="1372" t="n"/>
      <c r="AE89" s="1372" t="n"/>
      <c r="AF89" s="1372" t="n"/>
      <c r="AG89" s="1372" t="n"/>
      <c r="AH89" s="1372" t="n"/>
      <c r="AI89" s="1372" t="n"/>
      <c r="AJ89" s="1372" t="n"/>
    </row>
    <row r="90">
      <c r="A90" s="369" t="n"/>
      <c r="B90" s="1368">
        <f>SUM(E90:AJ90)</f>
        <v/>
      </c>
      <c r="C90" s="423" t="n"/>
      <c r="E90" s="1372" t="n"/>
      <c r="F90" s="1372" t="n"/>
      <c r="G90" s="1372" t="n"/>
      <c r="H90" s="1372" t="n"/>
      <c r="I90" s="1372" t="n"/>
      <c r="J90" s="1372" t="n"/>
      <c r="K90" s="1372" t="n"/>
      <c r="L90" s="1372" t="n"/>
      <c r="M90" s="1372" t="n"/>
      <c r="N90" s="1372" t="n"/>
      <c r="O90" s="1372" t="n"/>
      <c r="P90" s="1372" t="n"/>
      <c r="Q90" s="1372" t="n"/>
      <c r="R90" s="1372" t="n"/>
      <c r="S90" s="1372" t="n"/>
      <c r="T90" s="1372" t="n"/>
      <c r="U90" s="1372" t="n"/>
      <c r="V90" s="1372" t="n"/>
      <c r="W90" s="1372" t="n"/>
      <c r="X90" s="1372" t="n"/>
      <c r="Y90" s="1372" t="n"/>
      <c r="Z90" s="1372" t="n"/>
      <c r="AA90" s="1372" t="n"/>
      <c r="AB90" s="1372" t="n"/>
      <c r="AC90" s="1372" t="n"/>
      <c r="AD90" s="1372" t="n"/>
      <c r="AE90" s="1372" t="n"/>
      <c r="AF90" s="1372" t="n"/>
      <c r="AG90" s="1372" t="n"/>
      <c r="AH90" s="1372" t="n"/>
      <c r="AI90" s="1372" t="n"/>
      <c r="AJ90" s="1372" t="n"/>
    </row>
    <row r="91">
      <c r="A91" s="369" t="n"/>
      <c r="B91" s="1368">
        <f>SUM(E91:AJ91)</f>
        <v/>
      </c>
      <c r="C91" s="423" t="n"/>
      <c r="E91" s="1372" t="n"/>
      <c r="F91" s="1372" t="n"/>
      <c r="G91" s="1372" t="n"/>
      <c r="H91" s="1372" t="n"/>
      <c r="I91" s="1372" t="n"/>
      <c r="J91" s="1372" t="n"/>
      <c r="K91" s="1372" t="n"/>
      <c r="L91" s="1372" t="n"/>
      <c r="M91" s="1372" t="n"/>
      <c r="N91" s="1372" t="n"/>
      <c r="O91" s="1372" t="n"/>
      <c r="P91" s="1372" t="n"/>
      <c r="Q91" s="1372" t="n"/>
      <c r="R91" s="1372" t="n"/>
      <c r="S91" s="1372" t="n"/>
      <c r="T91" s="1372" t="n"/>
      <c r="U91" s="1372" t="n"/>
      <c r="V91" s="1372" t="n"/>
      <c r="W91" s="1372" t="n"/>
      <c r="X91" s="1372" t="n"/>
      <c r="Y91" s="1372" t="n"/>
      <c r="Z91" s="1372" t="n"/>
      <c r="AA91" s="1372" t="n"/>
      <c r="AB91" s="1372" t="n"/>
      <c r="AC91" s="1372" t="n"/>
      <c r="AD91" s="1372" t="n"/>
      <c r="AE91" s="1372" t="n"/>
      <c r="AF91" s="1372" t="n"/>
      <c r="AG91" s="1372" t="n"/>
      <c r="AH91" s="1372" t="n"/>
      <c r="AI91" s="1372" t="n"/>
      <c r="AJ91" s="1372" t="n"/>
    </row>
    <row r="92">
      <c r="B92" s="1368">
        <f>SUM(E92:AJ92)</f>
        <v/>
      </c>
      <c r="C92" s="423" t="n"/>
      <c r="E92" s="1372" t="n"/>
      <c r="F92" s="1372" t="n"/>
      <c r="G92" s="1372" t="n"/>
      <c r="H92" s="1372" t="n"/>
      <c r="I92" s="1372" t="n"/>
      <c r="J92" s="1372" t="n"/>
      <c r="K92" s="1372" t="n"/>
      <c r="L92" s="1372" t="n"/>
      <c r="M92" s="1372" t="n"/>
      <c r="N92" s="1372" t="n"/>
      <c r="O92" s="1372" t="n"/>
      <c r="P92" s="1372" t="n"/>
      <c r="Q92" s="1372" t="n"/>
      <c r="R92" s="1372" t="n"/>
      <c r="S92" s="1372" t="n"/>
      <c r="T92" s="1372" t="n"/>
      <c r="U92" s="1372" t="n"/>
      <c r="V92" s="1372" t="n"/>
      <c r="W92" s="1372" t="n"/>
      <c r="X92" s="1372" t="n"/>
      <c r="Y92" s="1372" t="n"/>
      <c r="Z92" s="1372" t="n"/>
      <c r="AA92" s="1372" t="n"/>
      <c r="AB92" s="1372" t="n"/>
      <c r="AC92" s="1372" t="n"/>
      <c r="AD92" s="1372" t="n"/>
      <c r="AE92" s="1372" t="n"/>
      <c r="AF92" s="1372" t="n"/>
      <c r="AG92" s="1372" t="n"/>
      <c r="AH92" s="1372" t="n"/>
      <c r="AI92" s="1372" t="n"/>
      <c r="AJ92" s="1372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Trey Kirby</dc:creator>
  <dcterms:created xmlns:dcterms="http://purl.org/dc/terms/" xmlns:xsi="http://www.w3.org/2001/XMLSchema-instance" xsi:type="dcterms:W3CDTF">2013-06-03T16:57:45Z</dcterms:created>
  <dcterms:modified xmlns:dcterms="http://purl.org/dc/terms/" xmlns:xsi="http://www.w3.org/2001/XMLSchema-instance" xsi:type="dcterms:W3CDTF">2026-07-21T17:48:34Z</dcterms:modified>
  <cp:lastModifiedBy>Jalali, Rustin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0x01010060931DF8E5F4BF45AE69C7AC0E701CDD</vt:lpwstr>
  </property>
</Properties>
</file>