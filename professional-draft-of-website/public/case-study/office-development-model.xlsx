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uo7PKIfIrJCLbwOpygn5FK/IX6THubsdK7VtSzrgP7r1wA0QyJuq+v5yi7BpD70eKumitfPH7dSKWn/ewhJxrA==" workbookSaltValue="PSJ6e6Bf4P7kUqoHj2FADQ==" workbookSpinCount="100000"/>
  <bookViews>
    <workbookView visibility="visible" minimized="1" showHorizontalScroll="1" showVerticalScroll="1" showSheetTabs="1" xWindow="366" yWindow="366" windowWidth="15552" windowHeight="8904" tabRatio="841" firstSheet="5" activeTab="5" autoFilterDateGrouping="1"/>
  </bookViews>
  <sheets>
    <sheet xmlns:r="http://schemas.openxmlformats.org/officeDocument/2006/relationships" name="Project Assumptions" sheetId="1" state="visible" r:id="rId1"/>
    <sheet xmlns:r="http://schemas.openxmlformats.org/officeDocument/2006/relationships" name="Economic Assumptions" sheetId="2" state="visible" r:id="rId2"/>
    <sheet xmlns:r="http://schemas.openxmlformats.org/officeDocument/2006/relationships" name="Detailed Project Costs" sheetId="3" state="visible" r:id="rId3"/>
    <sheet xmlns:r="http://schemas.openxmlformats.org/officeDocument/2006/relationships" name="Project Returns" sheetId="4" state="visible" r:id="rId4"/>
    <sheet xmlns:r="http://schemas.openxmlformats.org/officeDocument/2006/relationships" name="Detailed Cashflows" sheetId="5" state="visible" r:id="rId5"/>
    <sheet xmlns:r="http://schemas.openxmlformats.org/officeDocument/2006/relationships" name="Summary Budget" sheetId="6" state="visible" r:id="rId6"/>
    <sheet xmlns:r="http://schemas.openxmlformats.org/officeDocument/2006/relationships" name="Lease 1" sheetId="7" state="visible" r:id="rId7"/>
    <sheet xmlns:r="http://schemas.openxmlformats.org/officeDocument/2006/relationships" name="Lease 2" sheetId="8" state="visible" r:id="rId8"/>
    <sheet xmlns:r="http://schemas.openxmlformats.org/officeDocument/2006/relationships" name="Lease 3" sheetId="9" state="visible" r:id="rId9"/>
    <sheet xmlns:r="http://schemas.openxmlformats.org/officeDocument/2006/relationships" name="Lease 4" sheetId="10" state="visible" r:id="rId10"/>
    <sheet xmlns:r="http://schemas.openxmlformats.org/officeDocument/2006/relationships" name="Lease 5" sheetId="11" state="visible" r:id="rId11"/>
    <sheet xmlns:r="http://schemas.openxmlformats.org/officeDocument/2006/relationships" name="Lease 6" sheetId="12" state="visible" r:id="rId12"/>
    <sheet xmlns:r="http://schemas.openxmlformats.org/officeDocument/2006/relationships" name="Lease 7" sheetId="13" state="visible" r:id="rId13"/>
    <sheet xmlns:r="http://schemas.openxmlformats.org/officeDocument/2006/relationships" name="Lease 8" sheetId="14" state="visible" r:id="rId14"/>
    <sheet xmlns:r="http://schemas.openxmlformats.org/officeDocument/2006/relationships" name="Lease 9" sheetId="15" state="visible" r:id="rId15"/>
    <sheet xmlns:r="http://schemas.openxmlformats.org/officeDocument/2006/relationships" name="Lease 10" sheetId="16" state="visible" r:id="rId16"/>
    <sheet xmlns:r="http://schemas.openxmlformats.org/officeDocument/2006/relationships" name="Lease 11" sheetId="17" state="visible" r:id="rId17"/>
  </sheets>
  <externalReferences>
    <externalReference xmlns:r="http://schemas.openxmlformats.org/officeDocument/2006/relationships" r:id="rId18"/>
  </externalReferences>
  <definedNames>
    <definedName name="Building_Sale">#REF!</definedName>
    <definedName name="Building_Sale_Proceeds">#REF!</definedName>
    <definedName name="Circ_Breaker">#REF!</definedName>
    <definedName name="Circularity">#REF!</definedName>
    <definedName name="Company_Name">#REF!</definedName>
    <definedName name="Constr_End">#REF!</definedName>
    <definedName name="Constr_Months">#REF!</definedName>
    <definedName name="Constr_Start">#REF!</definedName>
    <definedName name="Fees_Mezzanine">#REF!</definedName>
    <definedName name="Fees_TL_A">#REF!</definedName>
    <definedName name="Fees_TL_B">#REF!</definedName>
    <definedName name="FFE_Costs">#REF!</definedName>
    <definedName name="FFE_Months">#REF!</definedName>
    <definedName name="FFE_Start">#REF!</definedName>
    <definedName name="Garage_Gross_SF">#REF!</definedName>
    <definedName name="Hard_Costs">#REF!</definedName>
    <definedName name="Interest_Mezzanine">#REF!</definedName>
    <definedName name="Interest_TL_A">#REF!</definedName>
    <definedName name="Interest_TL_B">#REF!</definedName>
    <definedName name="Land_Acquisition">#REF!</definedName>
    <definedName name="Land_Deposit">#REF!</definedName>
    <definedName name="Lot_SF">#REF!</definedName>
    <definedName name="Max_Dev_Equity">#REF!</definedName>
    <definedName name="Max_Investor_Equity">#REF!</definedName>
    <definedName name="Max_Mezzanine">#REF!</definedName>
    <definedName name="Max_TL_A">#REF!</definedName>
    <definedName name="Max_TL_B">#REF!</definedName>
    <definedName name="Monthly_Parking_Expenses">#REF!</definedName>
    <definedName name="Monthly_Parking_Revenue">#REF!</definedName>
    <definedName name="Months">#REF!</definedName>
    <definedName name="Office_Cap_Rate">#REF!</definedName>
    <definedName name="Office_Gross_SF">#REF!</definedName>
    <definedName name="Office_OpEx">#REF!</definedName>
    <definedName name="Office_Property_Tax">#REF!</definedName>
    <definedName name="Office_Rent">#REF!</definedName>
    <definedName name="Office_Rentable_SF">#REF!</definedName>
    <definedName name="Office_Selling_Fees">#REF!</definedName>
    <definedName name="Office_Tenant_End">#REF!</definedName>
    <definedName name="Office_Tenant_Fill_Months">#REF!</definedName>
    <definedName name="Office_Tenant_Start">#REF!</definedName>
    <definedName name="Office_TI_Cost">#REF!</definedName>
    <definedName name="Office_TI_End">#REF!</definedName>
    <definedName name="Office_TI_Months">#REF!</definedName>
    <definedName name="Office_TI_Start">#REF!</definedName>
    <definedName name="Office_Vacancy">#REF!</definedName>
    <definedName name="PerUnit">#REF!</definedName>
    <definedName name="Res_VacancyLoss1">'[1]Residential Assumptions'!$B$79</definedName>
    <definedName name="SheetState" hidden="1">"'2:-1:-1:-1:-1:-1:-1:-1:-1:-1:-1:-1:-1:-1:0:0:0:2"</definedName>
    <definedName name="Soft_Costs">#REF!</definedName>
    <definedName name="Start_Date">#REF!</definedName>
    <definedName name="Status_Construction">#REF!</definedName>
    <definedName name="Status_Post_Construction">#REF!</definedName>
    <definedName name="Status_Pre_Construction">#REF!</definedName>
    <definedName name="Tier_1_Limit">#REF!</definedName>
    <definedName name="Tier_2_Limit">#REF!</definedName>
    <definedName name="Tier_3_Limit">#REF!</definedName>
    <definedName name="Total_Dev_Costs">#REF!</definedName>
    <definedName name="Units">#REF!</definedName>
    <definedName name="UnitsorRSF">#REF!</definedName>
  </definedNames>
  <calcPr calcId="191028" fullCalcOnLoad="1" iterate="1" calcCompleted="0"/>
</workbook>
</file>

<file path=xl/styles.xml><?xml version="1.0" encoding="utf-8"?>
<styleSheet xmlns="http://schemas.openxmlformats.org/spreadsheetml/2006/main">
  <numFmts count="25">
    <numFmt numFmtId="164" formatCode="&quot;$&quot;#,##0"/>
    <numFmt numFmtId="165" formatCode="&quot;$&quot;#,##0_);\(&quot;$&quot;#,##0\)"/>
    <numFmt numFmtId="166" formatCode="&quot;$&quot;#,##0.00"/>
    <numFmt numFmtId="167" formatCode="0&quot; months&quot;"/>
    <numFmt numFmtId="168" formatCode="&quot;$&quot;#,##0.00_);\(&quot;$&quot;#,##0.00\)"/>
    <numFmt numFmtId="169" formatCode="&quot;Other Income     &quot;@"/>
    <numFmt numFmtId="170" formatCode="[$-409]mmm\-yyyy;@"/>
    <numFmt numFmtId="171" formatCode="&quot;   &quot;@"/>
    <numFmt numFmtId="172" formatCode="@&quot; - Equity Cash Flow&quot;"/>
    <numFmt numFmtId="173" formatCode="0.0%"/>
    <numFmt numFmtId="174" formatCode="@&quot; -&quot;"/>
    <numFmt numFmtId="175" formatCode="&quot;$&quot;#,##0.00_)&quot;/RSF&quot;;\(&quot;$&quot;#,##0.00\)&quot;/RSF&quot;"/>
    <numFmt numFmtId="176" formatCode="&quot;Other Income   &quot;@"/>
    <numFmt numFmtId="177" formatCode="0.00%;\(0.00%\)"/>
    <numFmt numFmtId="178" formatCode="&quot;$&quot;#,##0.00&quot;/sf&quot;"/>
    <numFmt numFmtId="179" formatCode="&quot;$&quot;#,##0.00&quot;/RSF&quot;"/>
    <numFmt numFmtId="180" formatCode="&quot;Month &quot;0"/>
    <numFmt numFmtId="181" formatCode="#,##0.0_);\(#,##0.0\)"/>
    <numFmt numFmtId="182" formatCode="#,##0.0"/>
    <numFmt numFmtId="183" formatCode="&quot;Year&quot;\ 0"/>
    <numFmt numFmtId="184" formatCode="&quot;Contract (&quot;@&quot;)&quot;"/>
    <numFmt numFmtId="185" formatCode="&quot;   Marketing - &quot;@"/>
    <numFmt numFmtId="186" formatCode="@&quot; - IRR/Cash Flow&quot;"/>
    <numFmt numFmtId="187" formatCode="&quot;Reimbursables (&quot;@&quot;)&quot;"/>
    <numFmt numFmtId="188" formatCode="&quot;End of Month &quot;0"/>
  </numFmts>
  <fonts count="59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MS Sans Serif"/>
      <family val="2"/>
      <color indexed="8"/>
      <sz val="10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b val="1"/>
      <color indexed="12"/>
      <sz val="8"/>
    </font>
    <font>
      <name val="Arial"/>
      <family val="2"/>
      <b val="1"/>
      <color theme="0"/>
      <sz val="11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i val="1"/>
      <sz val="8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color indexed="12"/>
      <sz val="8"/>
    </font>
    <font>
      <name val="Arial"/>
      <family val="2"/>
      <b val="1"/>
      <sz val="10"/>
      <u val="single"/>
    </font>
    <font>
      <name val="Arial"/>
      <family val="2"/>
      <b val="1"/>
      <color indexed="10"/>
      <sz val="8"/>
    </font>
    <font>
      <name val="Arial"/>
      <family val="2"/>
      <sz val="10"/>
      <u val="single"/>
    </font>
    <font>
      <name val="Arial"/>
      <family val="2"/>
      <color indexed="12"/>
      <sz val="10"/>
    </font>
    <font>
      <name val="Arial"/>
      <family val="2"/>
      <b val="1"/>
      <color theme="1"/>
      <sz val="11"/>
    </font>
    <font>
      <name val="Arial"/>
      <family val="2"/>
      <i val="1"/>
      <color indexed="8"/>
      <sz val="8"/>
    </font>
    <font>
      <name val="Arial"/>
      <family val="2"/>
      <b val="1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color indexed="12"/>
      <sz val="9"/>
    </font>
    <font>
      <name val="Arial"/>
      <family val="2"/>
      <color indexed="8"/>
      <sz val="9"/>
    </font>
    <font>
      <name val="Arial"/>
      <family val="2"/>
      <color rgb="FF0000FF"/>
      <sz val="9"/>
    </font>
    <font>
      <name val="Arial"/>
      <family val="2"/>
      <b val="1"/>
      <i val="1"/>
      <sz val="9"/>
    </font>
    <font>
      <name val="Arial"/>
      <family val="2"/>
      <b val="1"/>
      <sz val="9"/>
      <u val="single"/>
    </font>
    <font>
      <name val="Arial"/>
      <family val="2"/>
      <b val="1"/>
      <color indexed="9"/>
      <sz val="14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b val="1"/>
      <color indexed="10"/>
      <sz val="12"/>
    </font>
    <font>
      <name val="Arial"/>
      <family val="2"/>
      <b val="1"/>
      <color theme="0"/>
      <sz val="12"/>
    </font>
    <font>
      <name val="Arial"/>
      <family val="2"/>
      <color theme="1"/>
      <sz val="10"/>
      <u val="single"/>
    </font>
    <font>
      <name val="Arial"/>
      <family val="2"/>
      <b val="1"/>
      <color theme="0"/>
      <sz val="10"/>
    </font>
    <font>
      <name val="Arial"/>
      <family val="2"/>
      <b val="1"/>
      <sz val="8"/>
      <u val="single"/>
    </font>
    <font>
      <name val="Arial"/>
      <family val="2"/>
      <i val="1"/>
      <color theme="1"/>
      <sz val="10"/>
    </font>
    <font>
      <name val="Arial"/>
      <family val="2"/>
      <i val="1"/>
      <color theme="1"/>
      <sz val="11"/>
    </font>
    <font>
      <name val="Arial"/>
      <family val="2"/>
      <color indexed="8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sz val="10"/>
    </font>
    <font>
      <name val="Arial"/>
      <family val="2"/>
      <i val="1"/>
      <sz val="10"/>
      <u val="single"/>
    </font>
    <font>
      <name val="Arial"/>
      <family val="2"/>
      <i val="1"/>
      <sz val="8"/>
      <u val="single"/>
    </font>
    <font>
      <name val="Arial"/>
      <family val="2"/>
      <color indexed="10"/>
      <sz val="8"/>
    </font>
    <font>
      <name val="Arial"/>
      <family val="2"/>
      <color theme="0"/>
      <sz val="10"/>
    </font>
    <font>
      <name val="Arial"/>
      <family val="2"/>
      <color rgb="FF0000FF"/>
      <sz val="10"/>
    </font>
    <font>
      <name val="Calibri"/>
      <family val="2"/>
      <i val="1"/>
      <color theme="1"/>
      <sz val="11"/>
      <scheme val="minor"/>
    </font>
    <font>
      <i val="1"/>
      <sz val="9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b val="1"/>
      <color rgb="FFFFFFFF"/>
      <sz val="10"/>
    </font>
  </fonts>
  <fills count="1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057"/>
      </patternFill>
    </fill>
    <fill>
      <patternFill patternType="solid">
        <fgColor rgb="FFB3A369"/>
      </patternFill>
    </fill>
  </fills>
  <borders count="1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2" fillId="0" borderId="0"/>
    <xf numFmtId="0" fontId="1" fillId="0" borderId="0"/>
    <xf numFmtId="43" fontId="2" fillId="0" borderId="0"/>
    <xf numFmtId="9" fontId="2" fillId="0" borderId="0"/>
    <xf numFmtId="44" fontId="1" fillId="0" borderId="0"/>
    <xf numFmtId="0" fontId="3" fillId="0" borderId="0"/>
  </cellStyleXfs>
  <cellXfs count="1235">
    <xf numFmtId="0" fontId="0" fillId="0" borderId="0" pivotButton="0" quotePrefix="0" xfId="0"/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8" fillId="0" borderId="40" applyAlignment="1" applyProtection="1" pivotButton="0" quotePrefix="0" xfId="0">
      <alignment horizontal="left"/>
      <protection locked="0" hidden="0"/>
    </xf>
    <xf numFmtId="0" fontId="1" fillId="0" borderId="41" applyProtection="1" pivotButton="0" quotePrefix="0" xfId="0">
      <protection locked="0" hidden="0"/>
    </xf>
    <xf numFmtId="0" fontId="9" fillId="0" borderId="41" applyProtection="1" pivotButton="0" quotePrefix="0" xfId="0">
      <protection locked="0" hidden="0"/>
    </xf>
    <xf numFmtId="0" fontId="10" fillId="0" borderId="42" applyProtection="1" pivotButton="0" quotePrefix="0" xfId="0">
      <protection locked="0" hidden="0"/>
    </xf>
    <xf numFmtId="0" fontId="1" fillId="0" borderId="33" pivotButton="0" quotePrefix="0" xfId="0"/>
    <xf numFmtId="0" fontId="1" fillId="0" borderId="0" pivotButton="0" quotePrefix="0" xfId="0"/>
    <xf numFmtId="0" fontId="6" fillId="0" borderId="0" applyAlignment="1" applyProtection="1" pivotButton="0" quotePrefix="0" xfId="0">
      <alignment horizontal="left"/>
      <protection locked="0" hidden="0"/>
    </xf>
    <xf numFmtId="0" fontId="11" fillId="0" borderId="0" applyProtection="1" pivotButton="0" quotePrefix="0" xfId="0">
      <protection locked="0" hidden="0"/>
    </xf>
    <xf numFmtId="0" fontId="12" fillId="0" borderId="0" applyProtection="1" pivotButton="0" quotePrefix="0" xfId="0">
      <protection locked="0" hidden="0"/>
    </xf>
    <xf numFmtId="0" fontId="10" fillId="0" borderId="0" pivotButton="0" quotePrefix="0" xfId="0"/>
    <xf numFmtId="0" fontId="8" fillId="0" borderId="43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8" fillId="0" borderId="43" applyProtection="1" pivotButton="0" quotePrefix="0" xfId="0">
      <protection locked="0" hidden="0"/>
    </xf>
    <xf numFmtId="0" fontId="1" fillId="0" borderId="11" pivotButton="0" quotePrefix="0" xfId="0"/>
    <xf numFmtId="0" fontId="1" fillId="0" borderId="38" pivotButton="0" quotePrefix="0" xfId="0"/>
    <xf numFmtId="0" fontId="10" fillId="0" borderId="38" pivotButton="0" quotePrefix="0" xfId="0"/>
    <xf numFmtId="3" fontId="14" fillId="0" borderId="44" pivotButton="0" quotePrefix="0" xfId="0"/>
    <xf numFmtId="0" fontId="15" fillId="0" borderId="0" applyProtection="1" pivotButton="0" quotePrefix="0" xfId="0">
      <protection locked="0" hidden="0"/>
    </xf>
    <xf numFmtId="0" fontId="1" fillId="0" borderId="45" pivotButton="0" quotePrefix="0" xfId="0"/>
    <xf numFmtId="0" fontId="1" fillId="0" borderId="23" pivotButton="0" quotePrefix="0" xfId="0"/>
    <xf numFmtId="0" fontId="10" fillId="0" borderId="23" pivotButton="0" quotePrefix="0" xfId="0"/>
    <xf numFmtId="14" fontId="14" fillId="0" borderId="43" applyAlignment="1" pivotButton="0" quotePrefix="0" xfId="0">
      <alignment horizontal="center"/>
    </xf>
    <xf numFmtId="14" fontId="14" fillId="0" borderId="44" applyAlignment="1" pivotButton="0" quotePrefix="0" xfId="0">
      <alignment horizontal="center"/>
    </xf>
    <xf numFmtId="0" fontId="17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14" fontId="11" fillId="0" borderId="0" applyAlignment="1" applyProtection="1" pivotButton="0" quotePrefix="0" xfId="0">
      <alignment horizontal="right"/>
      <protection locked="0" hidden="0"/>
    </xf>
    <xf numFmtId="0" fontId="1" fillId="0" borderId="34" pivotButton="0" quotePrefix="0" xfId="0"/>
    <xf numFmtId="0" fontId="10" fillId="0" borderId="26" pivotButton="0" quotePrefix="0" xfId="0"/>
    <xf numFmtId="0" fontId="8" fillId="0" borderId="47" applyAlignment="1" applyProtection="1" pivotButton="0" quotePrefix="0" xfId="0">
      <alignment horizontal="center"/>
      <protection locked="0" hidden="0"/>
    </xf>
    <xf numFmtId="0" fontId="18" fillId="0" borderId="33" pivotButton="0" quotePrefix="0" xfId="0"/>
    <xf numFmtId="0" fontId="19" fillId="0" borderId="43" applyAlignment="1" pivotButton="0" quotePrefix="0" xfId="0">
      <alignment horizontal="right"/>
    </xf>
    <xf numFmtId="0" fontId="1" fillId="0" borderId="14" applyAlignment="1" pivotButton="0" quotePrefix="0" xfId="0">
      <alignment horizontal="center"/>
    </xf>
    <xf numFmtId="0" fontId="1" fillId="0" borderId="43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43" pivotButton="0" quotePrefix="0" xfId="0"/>
    <xf numFmtId="0" fontId="1" fillId="0" borderId="26" pivotButton="0" quotePrefix="0" xfId="0"/>
    <xf numFmtId="0" fontId="1" fillId="0" borderId="5" applyAlignment="1" pivotButton="0" quotePrefix="0" xfId="0">
      <alignment horizontal="center"/>
    </xf>
    <xf numFmtId="0" fontId="1" fillId="0" borderId="47" applyAlignment="1" pivotButton="0" quotePrefix="0" xfId="0">
      <alignment horizontal="center"/>
    </xf>
    <xf numFmtId="0" fontId="1" fillId="0" borderId="38" applyAlignment="1" pivotButton="0" quotePrefix="0" xfId="0">
      <alignment horizontal="right"/>
    </xf>
    <xf numFmtId="164" fontId="1" fillId="0" borderId="44" pivotButton="0" quotePrefix="0" xfId="0"/>
    <xf numFmtId="0" fontId="14" fillId="0" borderId="43" applyAlignment="1" pivotButton="0" quotePrefix="0" xfId="2">
      <alignment horizontal="center"/>
    </xf>
    <xf numFmtId="10" fontId="1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/>
    </xf>
    <xf numFmtId="0" fontId="20" fillId="0" borderId="0" applyAlignment="1" applyProtection="1" pivotButton="0" quotePrefix="0" xfId="0">
      <alignment vertical="center"/>
      <protection locked="0" hidden="0"/>
    </xf>
    <xf numFmtId="10" fontId="8" fillId="0" borderId="14" applyAlignment="1" applyProtection="1" pivotButton="0" quotePrefix="0" xfId="0">
      <alignment horizontal="center"/>
      <protection locked="0" hidden="0"/>
    </xf>
    <xf numFmtId="10" fontId="1" fillId="0" borderId="46" applyAlignment="1" pivotButton="0" quotePrefix="0" xfId="0">
      <alignment horizontal="center"/>
    </xf>
    <xf numFmtId="0" fontId="1" fillId="0" borderId="46" applyAlignment="1" pivotButton="0" quotePrefix="0" xfId="0">
      <alignment horizontal="center"/>
    </xf>
    <xf numFmtId="0" fontId="14" fillId="0" borderId="44" applyAlignment="1" pivotButton="0" quotePrefix="0" xfId="0">
      <alignment horizontal="center"/>
    </xf>
    <xf numFmtId="0" fontId="12" fillId="0" borderId="21" applyProtection="1" pivotButton="0" quotePrefix="0" xfId="0">
      <protection locked="0" hidden="0"/>
    </xf>
    <xf numFmtId="10" fontId="11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9" fillId="0" borderId="33" pivotButton="0" quotePrefix="0" xfId="0"/>
    <xf numFmtId="0" fontId="9" fillId="5" borderId="21" applyAlignment="1" pivotButton="0" quotePrefix="0" xfId="0">
      <alignment horizontal="center"/>
    </xf>
    <xf numFmtId="0" fontId="14" fillId="0" borderId="43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164" fontId="9" fillId="5" borderId="21" applyAlignment="1" pivotButton="0" quotePrefix="0" xfId="0">
      <alignment horizontal="right"/>
    </xf>
    <xf numFmtId="164" fontId="14" fillId="0" borderId="43" pivotButton="0" quotePrefix="0" xfId="0"/>
    <xf numFmtId="164" fontId="9" fillId="5" borderId="1" applyAlignment="1" pivotButton="0" quotePrefix="0" xfId="0">
      <alignment horizontal="right"/>
    </xf>
    <xf numFmtId="164" fontId="14" fillId="0" borderId="47" pivotButton="0" quotePrefix="0" xfId="0"/>
    <xf numFmtId="164" fontId="9" fillId="5" borderId="58" applyAlignment="1" pivotButton="0" quotePrefix="0" xfId="0">
      <alignment horizontal="right"/>
    </xf>
    <xf numFmtId="164" fontId="14" fillId="0" borderId="44" pivotButton="0" quotePrefix="0" xfId="0"/>
    <xf numFmtId="0" fontId="15" fillId="0" borderId="0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0">
      <protection locked="0" hidden="0"/>
    </xf>
    <xf numFmtId="0" fontId="5" fillId="2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0" fontId="11" fillId="2" borderId="0" applyProtection="1" pivotButton="0" quotePrefix="0" xfId="0">
      <protection locked="0" hidden="0"/>
    </xf>
    <xf numFmtId="0" fontId="11" fillId="0" borderId="33" applyProtection="1" pivotButton="0" quotePrefix="0" xfId="0">
      <protection locked="0" hidden="0"/>
    </xf>
    <xf numFmtId="0" fontId="22" fillId="0" borderId="55" applyAlignment="1" applyProtection="1" pivotButton="0" quotePrefix="0" xfId="0">
      <alignment horizontal="center"/>
      <protection locked="0" hidden="0"/>
    </xf>
    <xf numFmtId="0" fontId="22" fillId="0" borderId="0" applyAlignment="1" applyProtection="1" pivotButton="0" quotePrefix="0" xfId="0">
      <alignment horizontal="center"/>
      <protection locked="0" hidden="0"/>
    </xf>
    <xf numFmtId="0" fontId="11" fillId="0" borderId="64" applyProtection="1" pivotButton="0" quotePrefix="0" xfId="0">
      <protection locked="0" hidden="0"/>
    </xf>
    <xf numFmtId="0" fontId="12" fillId="0" borderId="65" applyProtection="1" pivotButton="0" quotePrefix="0" xfId="0">
      <protection locked="0" hidden="0"/>
    </xf>
    <xf numFmtId="0" fontId="22" fillId="0" borderId="5" applyAlignment="1" applyProtection="1" pivotButton="0" quotePrefix="0" xfId="0">
      <alignment horizontal="center"/>
      <protection locked="0" hidden="0"/>
    </xf>
    <xf numFmtId="0" fontId="5" fillId="0" borderId="26" applyProtection="1" pivotButton="0" quotePrefix="0" xfId="0">
      <protection locked="0" hidden="0"/>
    </xf>
    <xf numFmtId="0" fontId="11" fillId="0" borderId="43" applyProtection="1" pivotButton="0" quotePrefix="0" xfId="0">
      <protection locked="0" hidden="0"/>
    </xf>
    <xf numFmtId="0" fontId="12" fillId="0" borderId="14" applyAlignment="1" applyProtection="1" pivotButton="0" quotePrefix="0" xfId="0">
      <alignment horizontal="right"/>
      <protection locked="0" hidden="0"/>
    </xf>
    <xf numFmtId="0" fontId="22" fillId="0" borderId="14" applyAlignment="1" applyProtection="1" pivotButton="0" quotePrefix="0" xfId="0">
      <alignment horizontal="right"/>
      <protection locked="0" hidden="0"/>
    </xf>
    <xf numFmtId="0" fontId="11" fillId="0" borderId="14" applyAlignment="1" applyProtection="1" pivotButton="0" quotePrefix="0" xfId="0">
      <alignment horizontal="center"/>
      <protection locked="0" hidden="0"/>
    </xf>
    <xf numFmtId="0" fontId="22" fillId="0" borderId="64" applyAlignment="1" applyProtection="1" pivotButton="0" quotePrefix="0" xfId="0">
      <alignment horizontal="center"/>
      <protection locked="0" hidden="0"/>
    </xf>
    <xf numFmtId="0" fontId="11" fillId="0" borderId="66" applyProtection="1" pivotButton="0" quotePrefix="0" xfId="0">
      <protection locked="0" hidden="0"/>
    </xf>
    <xf numFmtId="0" fontId="12" fillId="0" borderId="5" applyAlignment="1" applyProtection="1" pivotButton="0" quotePrefix="0" xfId="0">
      <alignment horizontal="right"/>
      <protection locked="0" hidden="0"/>
    </xf>
    <xf numFmtId="0" fontId="22" fillId="0" borderId="5" applyAlignment="1" applyProtection="1" pivotButton="0" quotePrefix="0" xfId="0">
      <alignment horizontal="right"/>
      <protection locked="0" hidden="0"/>
    </xf>
    <xf numFmtId="0" fontId="11" fillId="0" borderId="5" applyAlignment="1" applyProtection="1" pivotButton="0" quotePrefix="0" xfId="0">
      <alignment horizontal="center"/>
      <protection locked="0" hidden="0"/>
    </xf>
    <xf numFmtId="0" fontId="22" fillId="0" borderId="47" applyAlignment="1" applyProtection="1" pivotButton="0" quotePrefix="0" xfId="0">
      <alignment horizontal="center"/>
      <protection locked="0" hidden="0"/>
    </xf>
    <xf numFmtId="0" fontId="15" fillId="0" borderId="33" applyAlignment="1" applyProtection="1" pivotButton="0" quotePrefix="0" xfId="0">
      <alignment horizontal="left"/>
      <protection locked="0" hidden="0"/>
    </xf>
    <xf numFmtId="3" fontId="15" fillId="0" borderId="55" applyProtection="1" pivotButton="0" quotePrefix="0" xfId="0">
      <protection locked="0" hidden="0"/>
    </xf>
    <xf numFmtId="166" fontId="15" fillId="0" borderId="0" applyProtection="1" pivotButton="0" quotePrefix="0" xfId="0">
      <protection locked="0" hidden="0"/>
    </xf>
    <xf numFmtId="166" fontId="11" fillId="0" borderId="0" applyProtection="1" pivotButton="0" quotePrefix="0" xfId="0">
      <protection locked="0" hidden="0"/>
    </xf>
    <xf numFmtId="164" fontId="22" fillId="0" borderId="0" pivotButton="0" quotePrefix="0" xfId="0"/>
    <xf numFmtId="166" fontId="15" fillId="0" borderId="27" applyProtection="1" pivotButton="0" quotePrefix="0" xfId="0">
      <protection locked="0" hidden="0"/>
    </xf>
    <xf numFmtId="0" fontId="17" fillId="2" borderId="0" applyProtection="1" pivotButton="0" quotePrefix="0" xfId="0">
      <protection locked="0" hidden="0"/>
    </xf>
    <xf numFmtId="0" fontId="15" fillId="0" borderId="14" applyProtection="1" pivotButton="0" quotePrefix="0" xfId="0">
      <protection locked="0" hidden="0"/>
    </xf>
    <xf numFmtId="3" fontId="15" fillId="0" borderId="14" applyProtection="1" pivotButton="0" quotePrefix="0" xfId="0">
      <protection locked="0" hidden="0"/>
    </xf>
    <xf numFmtId="0" fontId="15" fillId="0" borderId="21" applyProtection="1" pivotButton="0" quotePrefix="0" xfId="0">
      <protection locked="0" hidden="0"/>
    </xf>
    <xf numFmtId="166" fontId="15" fillId="0" borderId="21" applyProtection="1" pivotButton="0" quotePrefix="0" xfId="0">
      <protection locked="0" hidden="0"/>
    </xf>
    <xf numFmtId="0" fontId="15" fillId="0" borderId="27" applyAlignment="1" applyProtection="1" pivotButton="0" quotePrefix="0" xfId="0">
      <alignment horizontal="right"/>
      <protection locked="0" hidden="0"/>
    </xf>
    <xf numFmtId="164" fontId="15" fillId="0" borderId="0" applyProtection="1" pivotButton="0" quotePrefix="0" xfId="0">
      <protection locked="0" hidden="0"/>
    </xf>
    <xf numFmtId="0" fontId="15" fillId="0" borderId="27" applyProtection="1" pivotButton="0" quotePrefix="0" xfId="0">
      <protection locked="0" hidden="0"/>
    </xf>
    <xf numFmtId="0" fontId="22" fillId="0" borderId="43" applyProtection="1" pivotButton="0" quotePrefix="0" xfId="0">
      <protection locked="0" hidden="0"/>
    </xf>
    <xf numFmtId="0" fontId="22" fillId="0" borderId="40" applyProtection="1" pivotButton="0" quotePrefix="0" xfId="0">
      <protection locked="0" hidden="0"/>
    </xf>
    <xf numFmtId="0" fontId="22" fillId="0" borderId="9" applyProtection="1" pivotButton="0" quotePrefix="0" xfId="0">
      <protection locked="0" hidden="0"/>
    </xf>
    <xf numFmtId="0" fontId="14" fillId="0" borderId="41" applyProtection="1" pivotButton="0" quotePrefix="0" xfId="0">
      <protection locked="0" hidden="0"/>
    </xf>
    <xf numFmtId="0" fontId="22" fillId="0" borderId="41" applyProtection="1" pivotButton="0" quotePrefix="0" xfId="0">
      <protection locked="0" hidden="0"/>
    </xf>
    <xf numFmtId="0" fontId="22" fillId="0" borderId="67" applyProtection="1" pivotButton="0" quotePrefix="0" xfId="0">
      <protection locked="0" hidden="0"/>
    </xf>
    <xf numFmtId="0" fontId="22" fillId="0" borderId="68" applyProtection="1" pivotButton="0" quotePrefix="0" xfId="0">
      <protection locked="0" hidden="0"/>
    </xf>
    <xf numFmtId="0" fontId="11" fillId="0" borderId="69" applyProtection="1" pivotButton="0" quotePrefix="0" xfId="0">
      <protection locked="0" hidden="0"/>
    </xf>
    <xf numFmtId="0" fontId="11" fillId="0" borderId="21" applyProtection="1" pivotButton="0" quotePrefix="0" xfId="0">
      <protection locked="0" hidden="0"/>
    </xf>
    <xf numFmtId="3" fontId="11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164" fontId="11" fillId="0" borderId="0" applyProtection="1" pivotButton="0" quotePrefix="0" xfId="0">
      <protection locked="0" hidden="0"/>
    </xf>
    <xf numFmtId="164" fontId="11" fillId="0" borderId="27" applyProtection="1" pivotButton="0" quotePrefix="0" xfId="0">
      <protection locked="0" hidden="0"/>
    </xf>
    <xf numFmtId="0" fontId="11" fillId="0" borderId="45" applyProtection="1" pivotButton="0" quotePrefix="0" xfId="0">
      <protection locked="0" hidden="0"/>
    </xf>
    <xf numFmtId="0" fontId="11" fillId="0" borderId="23" applyProtection="1" pivotButton="0" quotePrefix="0" xfId="0">
      <protection locked="0" hidden="0"/>
    </xf>
    <xf numFmtId="0" fontId="5" fillId="0" borderId="23" applyProtection="1" pivotButton="0" quotePrefix="0" xfId="0">
      <protection locked="0" hidden="0"/>
    </xf>
    <xf numFmtId="14" fontId="11" fillId="0" borderId="64" applyProtection="1" pivotButton="0" quotePrefix="0" xfId="0">
      <protection locked="0" hidden="0"/>
    </xf>
    <xf numFmtId="0" fontId="11" fillId="0" borderId="48" applyAlignment="1" applyProtection="1" pivotButton="0" quotePrefix="0" xfId="0">
      <alignment horizontal="right"/>
      <protection locked="0" hidden="0"/>
    </xf>
    <xf numFmtId="0" fontId="11" fillId="0" borderId="11" applyProtection="1" pivotButton="0" quotePrefix="0" xfId="0">
      <protection locked="0" hidden="0"/>
    </xf>
    <xf numFmtId="0" fontId="11" fillId="0" borderId="38" applyProtection="1" pivotButton="0" quotePrefix="0" xfId="0">
      <protection locked="0" hidden="0"/>
    </xf>
    <xf numFmtId="0" fontId="5" fillId="0" borderId="38" applyProtection="1" pivotButton="0" quotePrefix="0" xfId="0">
      <protection locked="0" hidden="0"/>
    </xf>
    <xf numFmtId="14" fontId="11" fillId="0" borderId="0" applyProtection="1" pivotButton="0" quotePrefix="0" xfId="0">
      <protection locked="0" hidden="0"/>
    </xf>
    <xf numFmtId="3" fontId="6" fillId="0" borderId="43" applyProtection="1" pivotButton="0" quotePrefix="0" xfId="0">
      <protection locked="0" hidden="0"/>
    </xf>
    <xf numFmtId="3" fontId="22" fillId="0" borderId="43" applyProtection="1" pivotButton="0" quotePrefix="0" xfId="0">
      <protection locked="0" hidden="0"/>
    </xf>
    <xf numFmtId="167" fontId="11" fillId="0" borderId="0" applyProtection="1" pivotButton="0" quotePrefix="0" xfId="0">
      <protection locked="0" hidden="0"/>
    </xf>
    <xf numFmtId="0" fontId="11" fillId="0" borderId="70" applyProtection="1" pivotButton="0" quotePrefix="0" xfId="0">
      <protection locked="0" hidden="0"/>
    </xf>
    <xf numFmtId="0" fontId="11" fillId="0" borderId="57" applyProtection="1" pivotButton="0" quotePrefix="0" xfId="0">
      <protection locked="0" hidden="0"/>
    </xf>
    <xf numFmtId="0" fontId="5" fillId="0" borderId="57" applyProtection="1" pivotButton="0" quotePrefix="0" xfId="0">
      <protection locked="0" hidden="0"/>
    </xf>
    <xf numFmtId="168" fontId="6" fillId="0" borderId="48" applyProtection="1" pivotButton="0" quotePrefix="0" xfId="0">
      <protection locked="0" hidden="0"/>
    </xf>
    <xf numFmtId="168" fontId="15" fillId="0" borderId="0" applyProtection="1" pivotButton="0" quotePrefix="0" xfId="0">
      <protection locked="0" hidden="0"/>
    </xf>
    <xf numFmtId="0" fontId="11" fillId="0" borderId="34" applyProtection="1" pivotButton="0" quotePrefix="0" xfId="0"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5" fillId="0" borderId="41" applyProtection="1" pivotButton="0" quotePrefix="0" xfId="0">
      <protection locked="0" hidden="0"/>
    </xf>
    <xf numFmtId="168" fontId="15" fillId="0" borderId="41" applyProtection="1" pivotButton="0" quotePrefix="0" xfId="0">
      <protection locked="0" hidden="0"/>
    </xf>
    <xf numFmtId="168" fontId="6" fillId="0" borderId="69" applyProtection="1" pivotButton="0" quotePrefix="0" xfId="0">
      <protection locked="0" hidden="0"/>
    </xf>
    <xf numFmtId="0" fontId="6" fillId="0" borderId="41" applyProtection="1" pivotButton="0" quotePrefix="0" xfId="0">
      <protection locked="0" hidden="0"/>
    </xf>
    <xf numFmtId="0" fontId="20" fillId="0" borderId="41" applyProtection="1" pivotButton="0" quotePrefix="0" xfId="0">
      <protection locked="0" hidden="0"/>
    </xf>
    <xf numFmtId="164" fontId="6" fillId="0" borderId="69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0" fontId="12" fillId="0" borderId="33" applyProtection="1" pivotButton="0" quotePrefix="0" xfId="0">
      <protection locked="0" hidden="0"/>
    </xf>
    <xf numFmtId="0" fontId="14" fillId="9" borderId="0" applyProtection="1" pivotButton="0" quotePrefix="0" xfId="0">
      <protection locked="0" hidden="0"/>
    </xf>
    <xf numFmtId="0" fontId="5" fillId="9" borderId="0" applyProtection="1" pivotButton="0" quotePrefix="0" xfId="0">
      <protection locked="0" hidden="0"/>
    </xf>
    <xf numFmtId="0" fontId="5" fillId="9" borderId="50" applyProtection="1" pivotButton="0" quotePrefix="0" xfId="0">
      <protection locked="0" hidden="0"/>
    </xf>
    <xf numFmtId="0" fontId="22" fillId="9" borderId="26" applyProtection="1" pivotButton="0" quotePrefix="0" xfId="0">
      <protection locked="0" hidden="0"/>
    </xf>
    <xf numFmtId="0" fontId="5" fillId="9" borderId="26" applyProtection="1" pivotButton="0" quotePrefix="0" xfId="0">
      <protection locked="0" hidden="0"/>
    </xf>
    <xf numFmtId="0" fontId="11" fillId="9" borderId="50" applyProtection="1" pivotButton="0" quotePrefix="0" xfId="0">
      <protection locked="0" hidden="0"/>
    </xf>
    <xf numFmtId="0" fontId="12" fillId="0" borderId="34" applyProtection="1" pivotButton="0" quotePrefix="0" xfId="0">
      <protection locked="0" hidden="0"/>
    </xf>
    <xf numFmtId="0" fontId="11" fillId="0" borderId="5" applyAlignment="1" applyProtection="1" pivotButton="0" quotePrefix="0" xfId="0">
      <alignment horizontal="right"/>
      <protection locked="0" hidden="0"/>
    </xf>
    <xf numFmtId="0" fontId="11" fillId="9" borderId="26" applyProtection="1" pivotButton="0" quotePrefix="0" xfId="0">
      <protection locked="0" hidden="0"/>
    </xf>
    <xf numFmtId="0" fontId="11" fillId="0" borderId="59" applyAlignment="1" applyProtection="1" pivotButton="0" quotePrefix="0" xfId="0">
      <alignment horizontal="right"/>
      <protection locked="0" hidden="0"/>
    </xf>
    <xf numFmtId="0" fontId="11" fillId="0" borderId="60" applyAlignment="1" applyProtection="1" pivotButton="0" quotePrefix="0" xfId="0">
      <alignment horizontal="right"/>
      <protection locked="0" hidden="0"/>
    </xf>
    <xf numFmtId="0" fontId="5" fillId="9" borderId="57" applyProtection="1" pivotButton="0" quotePrefix="0" xfId="0">
      <protection locked="0" hidden="0"/>
    </xf>
    <xf numFmtId="0" fontId="11" fillId="9" borderId="50" applyAlignment="1" applyProtection="1" pivotButton="0" quotePrefix="0" xfId="0">
      <alignment horizontal="center"/>
      <protection locked="0" hidden="0"/>
    </xf>
    <xf numFmtId="10" fontId="15" fillId="0" borderId="55" applyProtection="1" pivotButton="0" quotePrefix="0" xfId="0">
      <protection locked="0" hidden="0"/>
    </xf>
    <xf numFmtId="0" fontId="11" fillId="9" borderId="0" applyProtection="1" pivotButton="0" quotePrefix="0" xfId="0">
      <protection locked="0" hidden="0"/>
    </xf>
    <xf numFmtId="10" fontId="15" fillId="0" borderId="21" applyProtection="1" pivotButton="0" quotePrefix="0" xfId="0">
      <protection locked="0" hidden="0"/>
    </xf>
    <xf numFmtId="165" fontId="11" fillId="0" borderId="21" applyProtection="1" pivotButton="0" quotePrefix="0" xfId="0">
      <protection locked="0" hidden="0"/>
    </xf>
    <xf numFmtId="165" fontId="11" fillId="0" borderId="27" applyProtection="1" pivotButton="0" quotePrefix="0" xfId="0">
      <protection locked="0" hidden="0"/>
    </xf>
    <xf numFmtId="10" fontId="15" fillId="0" borderId="14" applyProtection="1" pivotButton="0" quotePrefix="0" xfId="0">
      <protection locked="0" hidden="0"/>
    </xf>
    <xf numFmtId="169" fontId="11" fillId="0" borderId="11" applyProtection="1" pivotButton="0" quotePrefix="0" xfId="0">
      <protection locked="0" hidden="0"/>
    </xf>
    <xf numFmtId="10" fontId="15" fillId="0" borderId="46" applyProtection="1" pivotButton="0" quotePrefix="0" xfId="0">
      <protection locked="0" hidden="0"/>
    </xf>
    <xf numFmtId="0" fontId="5" fillId="9" borderId="38" applyProtection="1" pivotButton="0" quotePrefix="0" xfId="0">
      <protection locked="0" hidden="0"/>
    </xf>
    <xf numFmtId="10" fontId="15" fillId="0" borderId="58" applyProtection="1" pivotButton="0" quotePrefix="0" xfId="0">
      <protection locked="0" hidden="0"/>
    </xf>
    <xf numFmtId="0" fontId="5" fillId="0" borderId="71" applyProtection="1" pivotButton="0" quotePrefix="0" xfId="0">
      <protection locked="0" hidden="0"/>
    </xf>
    <xf numFmtId="165" fontId="11" fillId="0" borderId="58" applyProtection="1" pivotButton="0" quotePrefix="0" xfId="0">
      <protection locked="0" hidden="0"/>
    </xf>
    <xf numFmtId="165" fontId="11" fillId="0" borderId="71" applyProtection="1" pivotButton="0" quotePrefix="0" xfId="0">
      <protection locked="0" hidden="0"/>
    </xf>
    <xf numFmtId="0" fontId="5" fillId="9" borderId="52" applyProtection="1" pivotButton="0" quotePrefix="0" xfId="0">
      <protection locked="0" hidden="0"/>
    </xf>
    <xf numFmtId="164" fontId="11" fillId="2" borderId="0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6" fontId="9" fillId="0" borderId="0" applyProtection="1" pivotButton="0" quotePrefix="0" xfId="0">
      <protection locked="0" hidden="0"/>
    </xf>
    <xf numFmtId="0" fontId="21" fillId="0" borderId="0" pivotButton="0" quotePrefix="0" xfId="0"/>
    <xf numFmtId="0" fontId="11" fillId="0" borderId="0" pivotButton="0" quotePrefix="0" xfId="0"/>
    <xf numFmtId="165" fontId="11" fillId="0" borderId="0" pivotButton="0" quotePrefix="0" xfId="0"/>
    <xf numFmtId="0" fontId="24" fillId="0" borderId="0" pivotButton="0" quotePrefix="0" xfId="0"/>
    <xf numFmtId="3" fontId="24" fillId="0" borderId="0" applyAlignment="1" pivotButton="0" quotePrefix="0" xfId="0">
      <alignment horizontal="left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4" fillId="0" borderId="14" applyAlignment="1" pivotButton="0" quotePrefix="0" xfId="0">
      <alignment horizontal="center"/>
    </xf>
    <xf numFmtId="0" fontId="30" fillId="0" borderId="13" applyAlignment="1" applyProtection="1" pivotButton="0" quotePrefix="0" xfId="5">
      <alignment horizontal="center" wrapText="1"/>
      <protection locked="0" hidden="0"/>
    </xf>
    <xf numFmtId="165" fontId="26" fillId="0" borderId="12" pivotButton="0" quotePrefix="0" xfId="0"/>
    <xf numFmtId="0" fontId="28" fillId="0" borderId="13" applyAlignment="1" applyProtection="1" pivotButton="0" quotePrefix="0" xfId="0">
      <alignment horizontal="left"/>
      <protection locked="0" hidden="0"/>
    </xf>
    <xf numFmtId="0" fontId="30" fillId="0" borderId="14" applyAlignment="1" applyProtection="1" pivotButton="0" quotePrefix="0" xfId="5">
      <alignment horizontal="center" wrapText="1"/>
      <protection locked="0" hidden="0"/>
    </xf>
    <xf numFmtId="168" fontId="28" fillId="0" borderId="12" applyProtection="1" pivotButton="0" quotePrefix="0" xfId="0">
      <protection locked="0" hidden="0"/>
    </xf>
    <xf numFmtId="0" fontId="30" fillId="0" borderId="5" applyAlignment="1" applyProtection="1" pivotButton="0" quotePrefix="0" xfId="5">
      <alignment horizontal="center" wrapText="1"/>
      <protection locked="0" hidden="0"/>
    </xf>
    <xf numFmtId="168" fontId="28" fillId="0" borderId="3" applyProtection="1" pivotButton="0" quotePrefix="0" xfId="0">
      <protection locked="0" hidden="0"/>
    </xf>
    <xf numFmtId="165" fontId="26" fillId="0" borderId="3" pivotButton="0" quotePrefix="0" xfId="0"/>
    <xf numFmtId="0" fontId="29" fillId="0" borderId="12" applyAlignment="1" pivotButton="0" quotePrefix="0" xfId="5">
      <alignment horizontal="left" wrapText="1"/>
    </xf>
    <xf numFmtId="0" fontId="28" fillId="0" borderId="5" applyAlignment="1" applyProtection="1" pivotButton="0" quotePrefix="0" xfId="0">
      <alignment horizontal="left"/>
      <protection locked="0" hidden="0"/>
    </xf>
    <xf numFmtId="0" fontId="29" fillId="0" borderId="13" applyAlignment="1" pivotButton="0" quotePrefix="0" xfId="5">
      <alignment horizontal="center" wrapText="1"/>
    </xf>
    <xf numFmtId="168" fontId="26" fillId="0" borderId="12" applyAlignment="1" pivotButton="0" quotePrefix="0" xfId="0">
      <alignment horizontal="right"/>
    </xf>
    <xf numFmtId="0" fontId="29" fillId="0" borderId="5" applyAlignment="1" pivotButton="0" quotePrefix="0" xfId="5">
      <alignment horizontal="center" wrapText="1"/>
    </xf>
    <xf numFmtId="168" fontId="26" fillId="0" borderId="3" applyAlignment="1" pivotButton="0" quotePrefix="0" xfId="0">
      <alignment horizontal="right"/>
    </xf>
    <xf numFmtId="168" fontId="29" fillId="0" borderId="12" applyAlignment="1" pivotButton="0" quotePrefix="0" xfId="0">
      <alignment horizontal="right"/>
    </xf>
    <xf numFmtId="168" fontId="29" fillId="0" borderId="3" applyAlignment="1" pivotButton="0" quotePrefix="0" xfId="0">
      <alignment horizontal="right"/>
    </xf>
    <xf numFmtId="0" fontId="24" fillId="0" borderId="1" pivotButton="0" quotePrefix="0" xfId="0"/>
    <xf numFmtId="0" fontId="24" fillId="0" borderId="2" pivotButton="0" quotePrefix="0" xfId="0"/>
    <xf numFmtId="0" fontId="24" fillId="0" borderId="3" pivotButton="0" quotePrefix="0" xfId="0"/>
    <xf numFmtId="0" fontId="24" fillId="0" borderId="2" applyAlignment="1" pivotButton="0" quotePrefix="0" xfId="0">
      <alignment horizontal="center"/>
    </xf>
    <xf numFmtId="168" fontId="24" fillId="0" borderId="54" pivotButton="0" quotePrefix="0" xfId="0"/>
    <xf numFmtId="165" fontId="24" fillId="0" borderId="3" pivotButton="0" quotePrefix="0" xfId="0"/>
    <xf numFmtId="0" fontId="26" fillId="0" borderId="5" applyAlignment="1" applyProtection="1" pivotButton="0" quotePrefix="0" xfId="0">
      <alignment horizontal="left"/>
      <protection locked="0" hidden="0"/>
    </xf>
    <xf numFmtId="0" fontId="24" fillId="0" borderId="0" applyProtection="1" pivotButton="0" quotePrefix="0" xfId="0">
      <protection locked="0" hidden="0"/>
    </xf>
    <xf numFmtId="168" fontId="24" fillId="0" borderId="0" applyProtection="1" pivotButton="0" quotePrefix="0" xfId="0">
      <protection locked="0" hidden="0"/>
    </xf>
    <xf numFmtId="0" fontId="26" fillId="0" borderId="0" applyProtection="1" pivotButton="0" quotePrefix="0" xfId="0">
      <protection locked="0" hidden="0"/>
    </xf>
    <xf numFmtId="0" fontId="24" fillId="0" borderId="45" pivotButton="0" quotePrefix="0" xfId="0"/>
    <xf numFmtId="0" fontId="26" fillId="0" borderId="23" pivotButton="0" quotePrefix="0" xfId="0"/>
    <xf numFmtId="0" fontId="31" fillId="0" borderId="57" applyAlignment="1" pivotButton="0" quotePrefix="0" xfId="0">
      <alignment horizontal="right"/>
    </xf>
    <xf numFmtId="0" fontId="24" fillId="0" borderId="48" applyAlignment="1" pivotButton="0" quotePrefix="0" xfId="0">
      <alignment horizontal="center"/>
    </xf>
    <xf numFmtId="0" fontId="31" fillId="0" borderId="23" applyAlignment="1" pivotButton="0" quotePrefix="0" xfId="0">
      <alignment horizontal="right"/>
    </xf>
    <xf numFmtId="0" fontId="24" fillId="0" borderId="64" applyAlignment="1" pivotButton="0" quotePrefix="0" xfId="0">
      <alignment horizontal="center"/>
    </xf>
    <xf numFmtId="0" fontId="32" fillId="0" borderId="35" pivotButton="0" quotePrefix="0" xfId="0"/>
    <xf numFmtId="0" fontId="26" fillId="0" borderId="7" pivotButton="0" quotePrefix="0" xfId="0"/>
    <xf numFmtId="168" fontId="25" fillId="0" borderId="7" pivotButton="0" quotePrefix="0" xfId="0"/>
    <xf numFmtId="165" fontId="24" fillId="0" borderId="56" applyAlignment="1" pivotButton="0" quotePrefix="0" xfId="0">
      <alignment horizontal="right"/>
    </xf>
    <xf numFmtId="0" fontId="32" fillId="0" borderId="33" pivotButton="0" quotePrefix="0" xfId="0"/>
    <xf numFmtId="168" fontId="25" fillId="0" borderId="0" pivotButton="0" quotePrefix="0" xfId="0"/>
    <xf numFmtId="165" fontId="24" fillId="0" borderId="43" applyAlignment="1" pivotButton="0" quotePrefix="0" xfId="0">
      <alignment horizontal="right"/>
    </xf>
    <xf numFmtId="0" fontId="26" fillId="0" borderId="43" pivotButton="0" quotePrefix="0" xfId="0"/>
    <xf numFmtId="0" fontId="26" fillId="0" borderId="33" pivotButton="0" quotePrefix="0" xfId="0"/>
    <xf numFmtId="165" fontId="26" fillId="0" borderId="43" pivotButton="0" quotePrefix="0" xfId="0"/>
    <xf numFmtId="165" fontId="26" fillId="0" borderId="47" pivotButton="0" quotePrefix="0" xfId="0"/>
    <xf numFmtId="0" fontId="24" fillId="0" borderId="35" pivotButton="0" quotePrefix="0" xfId="0"/>
    <xf numFmtId="168" fontId="25" fillId="0" borderId="16" pivotButton="0" quotePrefix="0" xfId="0"/>
    <xf numFmtId="165" fontId="24" fillId="0" borderId="56" pivotButton="0" quotePrefix="0" xfId="0"/>
    <xf numFmtId="0" fontId="24" fillId="0" borderId="33" pivotButton="0" quotePrefix="0" xfId="0"/>
    <xf numFmtId="165" fontId="24" fillId="0" borderId="43" pivotButton="0" quotePrefix="0" xfId="0"/>
    <xf numFmtId="0" fontId="27" fillId="0" borderId="7" pivotButton="0" quotePrefix="0" xfId="0"/>
    <xf numFmtId="165" fontId="24" fillId="0" borderId="72" pivotButton="0" quotePrefix="0" xfId="0"/>
    <xf numFmtId="0" fontId="27" fillId="0" borderId="0" applyProtection="1" pivotButton="0" quotePrefix="0" xfId="0">
      <protection locked="0" hidden="0"/>
    </xf>
    <xf numFmtId="0" fontId="32" fillId="0" borderId="34" pivotButton="0" quotePrefix="0" xfId="0"/>
    <xf numFmtId="165" fontId="24" fillId="0" borderId="47" pivotButton="0" quotePrefix="0" xfId="0"/>
    <xf numFmtId="0" fontId="32" fillId="0" borderId="45" pivotButton="0" quotePrefix="0" xfId="0"/>
    <xf numFmtId="0" fontId="27" fillId="0" borderId="23" pivotButton="0" quotePrefix="0" xfId="0"/>
    <xf numFmtId="168" fontId="25" fillId="0" borderId="23" pivotButton="0" quotePrefix="0" xfId="0"/>
    <xf numFmtId="165" fontId="24" fillId="0" borderId="64" pivotButton="0" quotePrefix="0" xfId="0"/>
    <xf numFmtId="0" fontId="24" fillId="0" borderId="11" pivotButton="0" quotePrefix="0" xfId="0"/>
    <xf numFmtId="0" fontId="24" fillId="0" borderId="38" pivotButton="0" quotePrefix="0" xfId="0"/>
    <xf numFmtId="168" fontId="31" fillId="0" borderId="38" pivotButton="0" quotePrefix="0" xfId="0"/>
    <xf numFmtId="165" fontId="24" fillId="0" borderId="44" pivotButton="0" quotePrefix="0" xfId="0"/>
    <xf numFmtId="0" fontId="34" fillId="0" borderId="33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8" fontId="14" fillId="0" borderId="50" applyAlignment="1" pivotButton="0" quotePrefix="0" xfId="0">
      <alignment horizontal="center"/>
    </xf>
    <xf numFmtId="0" fontId="22" fillId="0" borderId="53" applyAlignment="1" pivotButton="0" quotePrefix="0" xfId="0">
      <alignment horizontal="left"/>
    </xf>
    <xf numFmtId="0" fontId="35" fillId="0" borderId="33" pivotButton="0" quotePrefix="0" xfId="0"/>
    <xf numFmtId="0" fontId="36" fillId="0" borderId="0" pivotButton="0" quotePrefix="0" xfId="0"/>
    <xf numFmtId="0" fontId="38" fillId="0" borderId="33" applyAlignment="1" pivotButton="0" quotePrefix="0" xfId="0">
      <alignment horizontal="left"/>
    </xf>
    <xf numFmtId="0" fontId="36" fillId="0" borderId="0" applyAlignment="1" pivotButton="0" quotePrefix="0" xfId="0">
      <alignment horizontal="center"/>
    </xf>
    <xf numFmtId="168" fontId="36" fillId="0" borderId="50" applyAlignment="1" pivotButton="0" quotePrefix="0" xfId="0">
      <alignment horizontal="center"/>
    </xf>
    <xf numFmtId="0" fontId="1" fillId="5" borderId="0" pivotButton="0" quotePrefix="0" xfId="0"/>
    <xf numFmtId="0" fontId="1" fillId="5" borderId="0" applyAlignment="1" pivotButton="0" quotePrefix="0" xfId="0">
      <alignment horizontal="left"/>
    </xf>
    <xf numFmtId="0" fontId="14" fillId="3" borderId="0" pivotButton="0" quotePrefix="0" xfId="0"/>
    <xf numFmtId="0" fontId="14" fillId="0" borderId="0" pivotButton="0" quotePrefix="0" xfId="0"/>
    <xf numFmtId="0" fontId="14" fillId="4" borderId="0" pivotButton="0" quotePrefix="0" xfId="0"/>
    <xf numFmtId="0" fontId="14" fillId="3" borderId="38" pivotButton="0" quotePrefix="0" xfId="0"/>
    <xf numFmtId="0" fontId="39" fillId="10" borderId="23" pivotButton="0" quotePrefix="0" xfId="0"/>
    <xf numFmtId="0" fontId="39" fillId="8" borderId="23" pivotButton="0" quotePrefix="0" xfId="0"/>
    <xf numFmtId="0" fontId="39" fillId="10" borderId="26" pivotButton="0" quotePrefix="0" xfId="0"/>
    <xf numFmtId="0" fontId="5" fillId="8" borderId="14" pivotButton="0" quotePrefix="0" xfId="0"/>
    <xf numFmtId="0" fontId="5" fillId="0" borderId="0" applyAlignment="1" pivotButton="0" quotePrefix="0" xfId="0">
      <alignment horizontal="center"/>
    </xf>
    <xf numFmtId="0" fontId="5" fillId="8" borderId="14" applyAlignment="1" pivotButton="0" quotePrefix="0" xfId="0">
      <alignment horizontal="center"/>
    </xf>
    <xf numFmtId="170" fontId="22" fillId="0" borderId="55" applyAlignment="1" pivotButton="0" quotePrefix="0" xfId="0">
      <alignment horizontal="center"/>
    </xf>
    <xf numFmtId="0" fontId="20" fillId="0" borderId="54" applyAlignment="1" pivotButton="0" quotePrefix="0" xfId="0">
      <alignment horizontal="center"/>
    </xf>
    <xf numFmtId="0" fontId="5" fillId="8" borderId="54" pivotButton="0" quotePrefix="0" xfId="0"/>
    <xf numFmtId="0" fontId="20" fillId="0" borderId="0" applyAlignment="1" pivotButton="0" quotePrefix="0" xfId="0">
      <alignment horizontal="center"/>
    </xf>
    <xf numFmtId="0" fontId="40" fillId="0" borderId="0" pivotButton="0" quotePrefix="0" xfId="0"/>
    <xf numFmtId="0" fontId="10" fillId="8" borderId="14" pivotButton="0" quotePrefix="0" xfId="0"/>
    <xf numFmtId="0" fontId="10" fillId="0" borderId="27" pivotButton="0" quotePrefix="0" xfId="0"/>
    <xf numFmtId="37" fontId="10" fillId="0" borderId="0" pivotButton="0" quotePrefix="0" xfId="0"/>
    <xf numFmtId="37" fontId="10" fillId="8" borderId="14" pivotButton="0" quotePrefix="0" xfId="0"/>
    <xf numFmtId="37" fontId="10" fillId="0" borderId="27" pivotButton="0" quotePrefix="0" xfId="0"/>
    <xf numFmtId="37" fontId="10" fillId="8" borderId="5" pivotButton="0" quotePrefix="0" xfId="0"/>
    <xf numFmtId="0" fontId="14" fillId="7" borderId="57" pivotButton="0" quotePrefix="0" xfId="0"/>
    <xf numFmtId="0" fontId="13" fillId="7" borderId="57" pivotButton="0" quotePrefix="0" xfId="0"/>
    <xf numFmtId="37" fontId="13" fillId="7" borderId="57" pivotButton="0" quotePrefix="0" xfId="0"/>
    <xf numFmtId="37" fontId="13" fillId="7" borderId="59" pivotButton="0" quotePrefix="0" xfId="0"/>
    <xf numFmtId="37" fontId="13" fillId="8" borderId="54" pivotButton="0" quotePrefix="0" xfId="0"/>
    <xf numFmtId="37" fontId="5" fillId="0" borderId="0" pivotButton="0" quotePrefix="0" xfId="0"/>
    <xf numFmtId="37" fontId="5" fillId="8" borderId="14" pivotButton="0" quotePrefix="0" xfId="0"/>
    <xf numFmtId="0" fontId="7" fillId="10" borderId="57" pivotButton="0" quotePrefix="0" xfId="0"/>
    <xf numFmtId="0" fontId="41" fillId="10" borderId="57" pivotButton="0" quotePrefix="0" xfId="0"/>
    <xf numFmtId="0" fontId="41" fillId="8" borderId="54" pivotButton="0" quotePrefix="0" xfId="0"/>
    <xf numFmtId="0" fontId="5" fillId="10" borderId="57" pivotButton="0" quotePrefix="0" xfId="0"/>
    <xf numFmtId="0" fontId="42" fillId="0" borderId="0" pivotButton="0" quotePrefix="0" xfId="0"/>
    <xf numFmtId="37" fontId="10" fillId="0" borderId="54" pivotButton="0" quotePrefix="0" xfId="0"/>
    <xf numFmtId="37" fontId="10" fillId="8" borderId="54" pivotButton="0" quotePrefix="0" xfId="0"/>
    <xf numFmtId="37" fontId="10" fillId="0" borderId="57" pivotButton="0" quotePrefix="0" xfId="0"/>
    <xf numFmtId="37" fontId="10" fillId="0" borderId="55" pivotButton="0" quotePrefix="0" xfId="0"/>
    <xf numFmtId="37" fontId="10" fillId="0" borderId="23" pivotButton="0" quotePrefix="0" xfId="0"/>
    <xf numFmtId="37" fontId="10" fillId="0" borderId="21" pivotButton="0" quotePrefix="0" xfId="0"/>
    <xf numFmtId="37" fontId="10" fillId="0" borderId="14" pivotButton="0" quotePrefix="0" xfId="0"/>
    <xf numFmtId="0" fontId="1" fillId="0" borderId="5" pivotButton="0" quotePrefix="0" xfId="0"/>
    <xf numFmtId="37" fontId="10" fillId="0" borderId="5" pivotButton="0" quotePrefix="0" xfId="0"/>
    <xf numFmtId="37" fontId="43" fillId="0" borderId="21" pivotButton="0" quotePrefix="0" xfId="0"/>
    <xf numFmtId="37" fontId="43" fillId="0" borderId="14" pivotButton="0" quotePrefix="0" xfId="0"/>
    <xf numFmtId="37" fontId="43" fillId="8" borderId="14" pivotButton="0" quotePrefix="0" xfId="0"/>
    <xf numFmtId="37" fontId="43" fillId="0" borderId="0" pivotButton="0" quotePrefix="0" xfId="0"/>
    <xf numFmtId="0" fontId="44" fillId="0" borderId="0" pivotButton="0" quotePrefix="0" xfId="0"/>
    <xf numFmtId="0" fontId="9" fillId="0" borderId="14" pivotButton="0" quotePrefix="0" xfId="0"/>
    <xf numFmtId="0" fontId="9" fillId="0" borderId="5" pivotButton="0" quotePrefix="0" xfId="0"/>
    <xf numFmtId="37" fontId="43" fillId="0" borderId="5" pivotButton="0" quotePrefix="0" xfId="0"/>
    <xf numFmtId="37" fontId="43" fillId="8" borderId="5" pivotButton="0" quotePrefix="0" xfId="0"/>
    <xf numFmtId="171" fontId="1" fillId="0" borderId="3" pivotButton="0" quotePrefix="0" xfId="0"/>
    <xf numFmtId="0" fontId="45" fillId="0" borderId="3" applyAlignment="1" pivotButton="0" quotePrefix="0" xfId="5">
      <alignment horizontal="left"/>
    </xf>
    <xf numFmtId="0" fontId="1" fillId="0" borderId="3" pivotButton="0" quotePrefix="0" xfId="0"/>
    <xf numFmtId="0" fontId="45" fillId="0" borderId="3" applyAlignment="1" pivotButton="0" quotePrefix="0" xfId="5">
      <alignment horizontal="left" wrapText="1"/>
    </xf>
    <xf numFmtId="37" fontId="13" fillId="7" borderId="54" pivotButton="0" quotePrefix="0" xfId="0"/>
    <xf numFmtId="0" fontId="20" fillId="7" borderId="0" pivotButton="0" quotePrefix="0" xfId="0"/>
    <xf numFmtId="0" fontId="5" fillId="0" borderId="23" pivotButton="0" quotePrefix="0" xfId="0"/>
    <xf numFmtId="0" fontId="5" fillId="0" borderId="26" pivotButton="0" quotePrefix="0" xfId="0"/>
    <xf numFmtId="0" fontId="9" fillId="0" borderId="21" pivotButton="0" quotePrefix="0" xfId="0"/>
    <xf numFmtId="0" fontId="46" fillId="0" borderId="0" pivotButton="0" quotePrefix="0" xfId="0"/>
    <xf numFmtId="0" fontId="10" fillId="0" borderId="21" pivotButton="0" quotePrefix="0" xfId="0"/>
    <xf numFmtId="0" fontId="10" fillId="0" borderId="14" pivotButton="0" quotePrefix="0" xfId="0"/>
    <xf numFmtId="37" fontId="13" fillId="0" borderId="54" pivotButton="0" quotePrefix="0" xfId="0"/>
    <xf numFmtId="37" fontId="13" fillId="0" borderId="57" pivotButton="0" quotePrefix="0" xfId="0"/>
    <xf numFmtId="0" fontId="20" fillId="0" borderId="0" pivotButton="0" quotePrefix="0" xfId="0"/>
    <xf numFmtId="0" fontId="10" fillId="0" borderId="55" pivotButton="0" quotePrefix="0" xfId="0"/>
    <xf numFmtId="0" fontId="1" fillId="0" borderId="14" pivotButton="0" quotePrefix="0" xfId="0"/>
    <xf numFmtId="37" fontId="10" fillId="6" borderId="23" pivotButton="0" quotePrefix="0" xfId="0"/>
    <xf numFmtId="0" fontId="5" fillId="6" borderId="0" pivotButton="0" quotePrefix="0" xfId="0"/>
    <xf numFmtId="0" fontId="1" fillId="6" borderId="21" pivotButton="0" quotePrefix="0" xfId="0"/>
    <xf numFmtId="9" fontId="43" fillId="6" borderId="14" pivotButton="0" quotePrefix="0" xfId="0"/>
    <xf numFmtId="37" fontId="10" fillId="6" borderId="1" pivotButton="0" quotePrefix="0" xfId="0"/>
    <xf numFmtId="37" fontId="10" fillId="6" borderId="5" pivotButton="0" quotePrefix="0" xfId="0"/>
    <xf numFmtId="0" fontId="1" fillId="6" borderId="59" pivotButton="0" quotePrefix="0" xfId="0"/>
    <xf numFmtId="9" fontId="43" fillId="6" borderId="54" pivotButton="0" quotePrefix="0" xfId="0"/>
    <xf numFmtId="37" fontId="10" fillId="6" borderId="59" pivotButton="0" quotePrefix="0" xfId="0"/>
    <xf numFmtId="37" fontId="10" fillId="6" borderId="57" pivotButton="0" quotePrefix="0" xfId="0"/>
    <xf numFmtId="9" fontId="43" fillId="0" borderId="0" pivotButton="0" quotePrefix="0" xfId="0"/>
    <xf numFmtId="0" fontId="48" fillId="0" borderId="0" pivotButton="0" quotePrefix="0" xfId="0"/>
    <xf numFmtId="10" fontId="9" fillId="0" borderId="0" pivotButton="0" quotePrefix="0" xfId="0"/>
    <xf numFmtId="37" fontId="10" fillId="0" borderId="1" pivotButton="0" quotePrefix="0" xfId="0"/>
    <xf numFmtId="37" fontId="10" fillId="0" borderId="59" pivotButton="0" quotePrefix="0" xfId="0"/>
    <xf numFmtId="37" fontId="1" fillId="0" borderId="0" pivotButton="0" quotePrefix="0" xfId="0"/>
    <xf numFmtId="37" fontId="13" fillId="0" borderId="59" pivotButton="0" quotePrefix="0" xfId="0"/>
    <xf numFmtId="172" fontId="16" fillId="0" borderId="0" pivotButton="0" quotePrefix="0" xfId="0"/>
    <xf numFmtId="10" fontId="1" fillId="0" borderId="0" pivotButton="0" quotePrefix="0" xfId="0"/>
    <xf numFmtId="37" fontId="13" fillId="4" borderId="59" pivotButton="0" quotePrefix="0" xfId="0"/>
    <xf numFmtId="37" fontId="13" fillId="4" borderId="57" pivotButton="0" quotePrefix="0" xfId="0"/>
    <xf numFmtId="0" fontId="20" fillId="4" borderId="0" pivotButton="0" quotePrefix="0" xfId="0"/>
    <xf numFmtId="0" fontId="10" fillId="8" borderId="5" pivotButton="0" quotePrefix="0" xfId="0"/>
    <xf numFmtId="173" fontId="14" fillId="4" borderId="0" pivotButton="0" quotePrefix="0" xfId="0"/>
    <xf numFmtId="0" fontId="10" fillId="4" borderId="0" pivotButton="0" quotePrefix="0" xfId="0"/>
    <xf numFmtId="0" fontId="5" fillId="4" borderId="0" pivotButton="0" quotePrefix="0" xfId="0"/>
    <xf numFmtId="37" fontId="14" fillId="4" borderId="5" pivotButton="0" quotePrefix="0" xfId="0"/>
    <xf numFmtId="0" fontId="13" fillId="8" borderId="5" pivotButton="0" quotePrefix="0" xfId="0"/>
    <xf numFmtId="0" fontId="20" fillId="4" borderId="26" pivotButton="0" quotePrefix="0" xfId="0"/>
    <xf numFmtId="37" fontId="43" fillId="0" borderId="1" pivotButton="0" quotePrefix="0" xfId="0"/>
    <xf numFmtId="0" fontId="44" fillId="0" borderId="26" pivotButton="0" quotePrefix="0" xfId="0"/>
    <xf numFmtId="0" fontId="16" fillId="0" borderId="0" pivotButton="0" quotePrefix="0" xfId="0"/>
    <xf numFmtId="0" fontId="18" fillId="0" borderId="0" pivotButton="0" quotePrefix="0" xfId="0"/>
    <xf numFmtId="173" fontId="14" fillId="0" borderId="0" pivotButton="0" quotePrefix="0" xfId="0"/>
    <xf numFmtId="37" fontId="14" fillId="0" borderId="0" pivotButton="0" quotePrefix="0" xfId="0"/>
    <xf numFmtId="37" fontId="43" fillId="8" borderId="54" pivotButton="0" quotePrefix="0" xfId="0"/>
    <xf numFmtId="37" fontId="43" fillId="0" borderId="57" pivotButton="0" quotePrefix="0" xfId="0"/>
    <xf numFmtId="0" fontId="20" fillId="4" borderId="15" pivotButton="0" quotePrefix="0" xfId="0"/>
    <xf numFmtId="9" fontId="11" fillId="0" borderId="0" pivotButton="0" quotePrefix="0" xfId="0"/>
    <xf numFmtId="0" fontId="5" fillId="8" borderId="0" pivotButton="0" quotePrefix="0" xfId="0"/>
    <xf numFmtId="0" fontId="41" fillId="10" borderId="0" pivotButton="0" quotePrefix="0" xfId="0"/>
    <xf numFmtId="0" fontId="41" fillId="8" borderId="0" pivotButton="0" quotePrefix="0" xfId="0"/>
    <xf numFmtId="0" fontId="5" fillId="10" borderId="0" pivotButton="0" quotePrefix="0" xfId="0"/>
    <xf numFmtId="0" fontId="49" fillId="0" borderId="0" pivotButton="0" quotePrefix="0" xfId="0"/>
    <xf numFmtId="173" fontId="12" fillId="0" borderId="0" pivotButton="0" quotePrefix="0" xfId="0"/>
    <xf numFmtId="0" fontId="12" fillId="0" borderId="23" pivotButton="0" quotePrefix="0" xfId="0"/>
    <xf numFmtId="173" fontId="12" fillId="0" borderId="23" pivotButton="0" quotePrefix="0" xfId="0"/>
    <xf numFmtId="37" fontId="44" fillId="8" borderId="23" pivotButton="0" quotePrefix="0" xfId="0"/>
    <xf numFmtId="37" fontId="44" fillId="0" borderId="23" pivotButton="0" quotePrefix="0" xfId="0"/>
    <xf numFmtId="37" fontId="44" fillId="0" borderId="5" pivotButton="0" quotePrefix="0" xfId="0"/>
    <xf numFmtId="171" fontId="12" fillId="0" borderId="0" pivotButton="0" quotePrefix="0" xfId="0"/>
    <xf numFmtId="37" fontId="12" fillId="0" borderId="0" pivotButton="0" quotePrefix="0" xfId="0"/>
    <xf numFmtId="9" fontId="12" fillId="0" borderId="0" pivotButton="0" quotePrefix="0" xfId="0"/>
    <xf numFmtId="0" fontId="12" fillId="0" borderId="0" pivotButton="0" quotePrefix="0" xfId="0"/>
    <xf numFmtId="174" fontId="12" fillId="0" borderId="0" pivotButton="0" quotePrefix="0" xfId="0"/>
    <xf numFmtId="0" fontId="5" fillId="0" borderId="4" pivotButton="0" quotePrefix="0" xfId="0"/>
    <xf numFmtId="0" fontId="22" fillId="0" borderId="0" applyProtection="1" pivotButton="0" quotePrefix="0" xfId="0">
      <protection locked="0" hidden="0"/>
    </xf>
    <xf numFmtId="0" fontId="50" fillId="0" borderId="0" applyProtection="1" pivotButton="0" quotePrefix="0" xfId="0">
      <protection locked="0" hidden="0"/>
    </xf>
    <xf numFmtId="0" fontId="41" fillId="0" borderId="33" pivotButton="0" quotePrefix="0" xfId="0"/>
    <xf numFmtId="0" fontId="51" fillId="0" borderId="0" pivotButton="0" quotePrefix="0" xfId="0"/>
    <xf numFmtId="0" fontId="51" fillId="0" borderId="14" pivotButton="0" quotePrefix="0" xfId="0"/>
    <xf numFmtId="0" fontId="14" fillId="0" borderId="5" applyAlignment="1" pivotButton="0" quotePrefix="0" xfId="0">
      <alignment horizontal="right"/>
    </xf>
    <xf numFmtId="10" fontId="14" fillId="0" borderId="47" applyAlignment="1" pivotButton="0" quotePrefix="0" xfId="0">
      <alignment horizontal="center"/>
    </xf>
    <xf numFmtId="0" fontId="16" fillId="0" borderId="33" pivotButton="0" quotePrefix="0" xfId="0"/>
    <xf numFmtId="0" fontId="14" fillId="0" borderId="14" applyAlignment="1" pivotButton="0" quotePrefix="0" xfId="0">
      <alignment horizontal="right"/>
    </xf>
    <xf numFmtId="10" fontId="14" fillId="0" borderId="43" applyAlignment="1" pivotButton="0" quotePrefix="0" xfId="0">
      <alignment horizontal="center"/>
    </xf>
    <xf numFmtId="0" fontId="9" fillId="0" borderId="0" pivotButton="0" quotePrefix="1" xfId="0"/>
    <xf numFmtId="175" fontId="9" fillId="0" borderId="14" applyAlignment="1" pivotButton="0" quotePrefix="0" xfId="0">
      <alignment horizontal="right"/>
    </xf>
    <xf numFmtId="165" fontId="1" fillId="0" borderId="14" pivotButton="0" quotePrefix="0" xfId="0"/>
    <xf numFmtId="165" fontId="1" fillId="0" borderId="43" pivotButton="0" quotePrefix="0" xfId="0"/>
    <xf numFmtId="176" fontId="1" fillId="0" borderId="35" pivotButton="0" quotePrefix="0" xfId="0"/>
    <xf numFmtId="0" fontId="1" fillId="0" borderId="7" pivotButton="0" quotePrefix="0" xfId="0"/>
    <xf numFmtId="175" fontId="9" fillId="0" borderId="8" applyAlignment="1" pivotButton="0" quotePrefix="0" xfId="0">
      <alignment horizontal="right"/>
    </xf>
    <xf numFmtId="165" fontId="1" fillId="0" borderId="8" pivotButton="0" quotePrefix="0" xfId="0"/>
    <xf numFmtId="165" fontId="1" fillId="0" borderId="56" pivotButton="0" quotePrefix="0" xfId="0"/>
    <xf numFmtId="10" fontId="19" fillId="0" borderId="0" pivotButton="0" quotePrefix="0" xfId="0"/>
    <xf numFmtId="177" fontId="9" fillId="0" borderId="14" applyAlignment="1" pivotButton="0" quotePrefix="0" xfId="0">
      <alignment horizontal="right"/>
    </xf>
    <xf numFmtId="0" fontId="1" fillId="0" borderId="35" pivotButton="0" quotePrefix="0" xfId="0"/>
    <xf numFmtId="10" fontId="19" fillId="0" borderId="7" pivotButton="0" quotePrefix="0" xfId="0"/>
    <xf numFmtId="10" fontId="1" fillId="0" borderId="7" applyAlignment="1" pivotButton="0" quotePrefix="0" xfId="0">
      <alignment horizontal="right"/>
    </xf>
    <xf numFmtId="178" fontId="19" fillId="0" borderId="7" pivotButton="0" quotePrefix="0" xfId="0"/>
    <xf numFmtId="177" fontId="9" fillId="0" borderId="8" applyAlignment="1" pivotButton="0" quotePrefix="0" xfId="0">
      <alignment horizontal="right"/>
    </xf>
    <xf numFmtId="0" fontId="14" fillId="0" borderId="34" pivotButton="0" quotePrefix="0" xfId="0"/>
    <xf numFmtId="175" fontId="47" fillId="0" borderId="54" applyAlignment="1" pivotButton="0" quotePrefix="0" xfId="0">
      <alignment horizontal="right"/>
    </xf>
    <xf numFmtId="165" fontId="14" fillId="0" borderId="5" pivotButton="0" quotePrefix="0" xfId="0"/>
    <xf numFmtId="165" fontId="14" fillId="0" borderId="43" pivotButton="0" quotePrefix="0" xfId="0"/>
    <xf numFmtId="0" fontId="14" fillId="0" borderId="33" pivotButton="0" quotePrefix="0" xfId="0"/>
    <xf numFmtId="0" fontId="1" fillId="0" borderId="0" pivotButton="0" quotePrefix="1" xfId="0"/>
    <xf numFmtId="179" fontId="47" fillId="0" borderId="14" applyAlignment="1" pivotButton="0" quotePrefix="0" xfId="0">
      <alignment horizontal="right"/>
    </xf>
    <xf numFmtId="165" fontId="14" fillId="0" borderId="55" pivotButton="0" quotePrefix="0" xfId="0"/>
    <xf numFmtId="165" fontId="1" fillId="0" borderId="14" applyAlignment="1" pivotButton="0" quotePrefix="0" xfId="0">
      <alignment horizontal="right"/>
    </xf>
    <xf numFmtId="0" fontId="1" fillId="0" borderId="50" pivotButton="0" quotePrefix="0" xfId="0"/>
    <xf numFmtId="0" fontId="14" fillId="0" borderId="11" pivotButton="0" quotePrefix="0" xfId="0"/>
    <xf numFmtId="0" fontId="14" fillId="0" borderId="38" pivotButton="0" quotePrefix="0" xfId="0"/>
    <xf numFmtId="175" fontId="47" fillId="0" borderId="46" applyAlignment="1" pivotButton="0" quotePrefix="0" xfId="0">
      <alignment horizontal="right"/>
    </xf>
    <xf numFmtId="165" fontId="14" fillId="0" borderId="46" pivotButton="0" quotePrefix="0" xfId="0"/>
    <xf numFmtId="0" fontId="1" fillId="0" borderId="44" pivotButton="0" quotePrefix="0" xfId="0"/>
    <xf numFmtId="164" fontId="17" fillId="0" borderId="0" applyProtection="1" pivotButton="0" quotePrefix="0" xfId="0">
      <protection locked="0" hidden="0"/>
    </xf>
    <xf numFmtId="0" fontId="10" fillId="0" borderId="33" pivotButton="0" quotePrefix="0" xfId="0"/>
    <xf numFmtId="0" fontId="1" fillId="0" borderId="43" pivotButton="0" quotePrefix="0" xfId="0"/>
    <xf numFmtId="180" fontId="1" fillId="0" borderId="14" applyAlignment="1" pivotButton="0" quotePrefix="0" xfId="0">
      <alignment horizontal="center"/>
    </xf>
    <xf numFmtId="170" fontId="1" fillId="0" borderId="43" applyAlignment="1" pivotButton="0" quotePrefix="0" xfId="0">
      <alignment horizontal="center"/>
    </xf>
    <xf numFmtId="180" fontId="1" fillId="0" borderId="5" applyAlignment="1" pivotButton="0" quotePrefix="0" xfId="0">
      <alignment horizontal="center"/>
    </xf>
    <xf numFmtId="170" fontId="8" fillId="0" borderId="47" applyAlignment="1" applyProtection="1" pivotButton="0" quotePrefix="0" xfId="0">
      <alignment horizontal="center"/>
      <protection locked="0" hidden="0"/>
    </xf>
    <xf numFmtId="10" fontId="8" fillId="0" borderId="43" applyAlignment="1" applyProtection="1" pivotButton="0" quotePrefix="0" xfId="0">
      <alignment horizontal="right"/>
      <protection locked="0" hidden="0"/>
    </xf>
    <xf numFmtId="175" fontId="9" fillId="0" borderId="5" applyAlignment="1" pivotButton="0" quotePrefix="0" xfId="0">
      <alignment horizontal="right"/>
    </xf>
    <xf numFmtId="165" fontId="1" fillId="0" borderId="47" pivotButton="0" quotePrefix="0" xfId="0"/>
    <xf numFmtId="0" fontId="1" fillId="0" borderId="14" applyAlignment="1" pivotButton="0" quotePrefix="0" xfId="0">
      <alignment horizontal="right"/>
    </xf>
    <xf numFmtId="175" fontId="47" fillId="0" borderId="14" applyAlignment="1" pivotButton="0" quotePrefix="0" xfId="0">
      <alignment horizontal="right"/>
    </xf>
    <xf numFmtId="10" fontId="8" fillId="0" borderId="14" applyAlignment="1" applyProtection="1" pivotButton="0" quotePrefix="0" xfId="0">
      <alignment horizontal="right"/>
      <protection locked="0" hidden="0"/>
    </xf>
    <xf numFmtId="165" fontId="8" fillId="0" borderId="14" applyAlignment="1" applyProtection="1" pivotButton="0" quotePrefix="0" xfId="0">
      <alignment horizontal="right"/>
      <protection locked="0" hidden="0"/>
    </xf>
    <xf numFmtId="165" fontId="14" fillId="0" borderId="48" pivotButton="0" quotePrefix="0" xfId="0"/>
    <xf numFmtId="165" fontId="14" fillId="0" borderId="44" pivotButton="0" quotePrefix="0" xfId="0"/>
    <xf numFmtId="165" fontId="22" fillId="0" borderId="0" applyProtection="1" pivotButton="0" quotePrefix="0" xfId="0">
      <protection locked="0" hidden="0"/>
    </xf>
    <xf numFmtId="0" fontId="11" fillId="0" borderId="33" pivotButton="0" quotePrefix="0" xfId="0"/>
    <xf numFmtId="0" fontId="11" fillId="0" borderId="21" pivotButton="0" quotePrefix="0" xfId="0"/>
    <xf numFmtId="180" fontId="11" fillId="0" borderId="0" pivotButton="0" quotePrefix="0" xfId="0"/>
    <xf numFmtId="170" fontId="15" fillId="0" borderId="43" pivotButton="0" quotePrefix="0" xfId="0"/>
    <xf numFmtId="0" fontId="42" fillId="4" borderId="33" pivotButton="0" quotePrefix="0" xfId="0"/>
    <xf numFmtId="0" fontId="11" fillId="4" borderId="0" pivotButton="0" quotePrefix="0" xfId="0"/>
    <xf numFmtId="0" fontId="22" fillId="4" borderId="21" pivotButton="0" quotePrefix="0" xfId="0"/>
    <xf numFmtId="0" fontId="22" fillId="4" borderId="0" pivotButton="0" quotePrefix="0" xfId="0"/>
    <xf numFmtId="10" fontId="22" fillId="4" borderId="0" applyAlignment="1" pivotButton="0" quotePrefix="0" xfId="0">
      <alignment horizontal="right"/>
    </xf>
    <xf numFmtId="165" fontId="22" fillId="4" borderId="43" pivotButton="0" quotePrefix="0" xfId="0"/>
    <xf numFmtId="1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5" fontId="11" fillId="0" borderId="43" applyAlignment="1" pivotButton="0" quotePrefix="0" xfId="0">
      <alignment horizontal="right"/>
    </xf>
    <xf numFmtId="0" fontId="42" fillId="0" borderId="33" pivotButton="0" quotePrefix="0" xfId="0"/>
    <xf numFmtId="10" fontId="6" fillId="0" borderId="0" applyAlignment="1" applyProtection="1" pivotButton="0" quotePrefix="0" xfId="0">
      <alignment horizontal="right"/>
      <protection locked="0" hidden="0"/>
    </xf>
    <xf numFmtId="165" fontId="11" fillId="0" borderId="43" pivotButton="0" quotePrefix="0" xfId="0"/>
    <xf numFmtId="0" fontId="11" fillId="0" borderId="6" pivotButton="0" quotePrefix="0" xfId="0"/>
    <xf numFmtId="0" fontId="11" fillId="0" borderId="7" pivotButton="0" quotePrefix="0" xfId="0"/>
    <xf numFmtId="10" fontId="11" fillId="0" borderId="7" applyAlignment="1" pivotButton="0" quotePrefix="0" xfId="0">
      <alignment horizontal="right"/>
    </xf>
    <xf numFmtId="165" fontId="11" fillId="0" borderId="56" pivotButton="0" quotePrefix="0" xfId="0"/>
    <xf numFmtId="0" fontId="11" fillId="0" borderId="21" applyAlignment="1" pivotButton="0" quotePrefix="0" xfId="0">
      <alignment horizontal="left"/>
    </xf>
    <xf numFmtId="0" fontId="22" fillId="0" borderId="0" pivotButton="0" quotePrefix="0" xfId="0"/>
    <xf numFmtId="10" fontId="11" fillId="0" borderId="21" applyAlignment="1" pivotButton="0" quotePrefix="0" xfId="0">
      <alignment horizontal="left"/>
    </xf>
    <xf numFmtId="0" fontId="6" fillId="4" borderId="21" applyProtection="1" pivotButton="0" quotePrefix="0" xfId="0">
      <protection locked="0" hidden="0"/>
    </xf>
    <xf numFmtId="0" fontId="22" fillId="4" borderId="0" applyProtection="1" pivotButton="0" quotePrefix="0" xfId="0">
      <protection locked="0" hidden="0"/>
    </xf>
    <xf numFmtId="10" fontId="6" fillId="4" borderId="0" applyProtection="1" pivotButton="0" quotePrefix="0" xfId="0">
      <protection locked="0" hidden="0"/>
    </xf>
    <xf numFmtId="0" fontId="23" fillId="4" borderId="33" pivotButton="0" quotePrefix="0" xfId="0"/>
    <xf numFmtId="10" fontId="22" fillId="4" borderId="0" pivotButton="0" quotePrefix="0" xfId="0"/>
    <xf numFmtId="0" fontId="12" fillId="0" borderId="33" pivotButton="0" quotePrefix="0" xfId="0"/>
    <xf numFmtId="10" fontId="11" fillId="0" borderId="0" pivotButton="0" quotePrefix="0" xfId="0"/>
    <xf numFmtId="0" fontId="11" fillId="0" borderId="43" pivotButton="0" quotePrefix="0" xfId="0"/>
    <xf numFmtId="0" fontId="12" fillId="0" borderId="18" applyAlignment="1" pivotButton="0" quotePrefix="0" xfId="0">
      <alignment horizontal="right"/>
    </xf>
    <xf numFmtId="0" fontId="11" fillId="7" borderId="45" pivotButton="0" quotePrefix="0" xfId="0"/>
    <xf numFmtId="0" fontId="11" fillId="7" borderId="23" pivotButton="0" quotePrefix="0" xfId="0"/>
    <xf numFmtId="10" fontId="6" fillId="7" borderId="23" applyProtection="1" pivotButton="0" quotePrefix="0" xfId="0">
      <protection locked="0" hidden="0"/>
    </xf>
    <xf numFmtId="10" fontId="12" fillId="7" borderId="20" pivotButton="0" quotePrefix="0" xfId="0"/>
    <xf numFmtId="165" fontId="11" fillId="7" borderId="64" pivotButton="0" quotePrefix="0" xfId="0"/>
    <xf numFmtId="0" fontId="11" fillId="7" borderId="33" pivotButton="0" quotePrefix="0" xfId="0"/>
    <xf numFmtId="0" fontId="11" fillId="7" borderId="0" pivotButton="0" quotePrefix="0" xfId="0"/>
    <xf numFmtId="0" fontId="11" fillId="7" borderId="21" pivotButton="0" quotePrefix="0" xfId="0"/>
    <xf numFmtId="10" fontId="11" fillId="7" borderId="0" pivotButton="0" quotePrefix="0" xfId="0"/>
    <xf numFmtId="10" fontId="12" fillId="7" borderId="18" pivotButton="0" quotePrefix="0" xfId="0"/>
    <xf numFmtId="165" fontId="11" fillId="7" borderId="43" pivotButton="0" quotePrefix="0" xfId="0"/>
    <xf numFmtId="0" fontId="22" fillId="7" borderId="6" pivotButton="0" quotePrefix="0" xfId="0"/>
    <xf numFmtId="0" fontId="11" fillId="7" borderId="7" pivotButton="0" quotePrefix="0" xfId="0"/>
    <xf numFmtId="10" fontId="6" fillId="7" borderId="7" applyProtection="1" pivotButton="0" quotePrefix="0" xfId="0">
      <protection locked="0" hidden="0"/>
    </xf>
    <xf numFmtId="10" fontId="12" fillId="7" borderId="17" pivotButton="0" quotePrefix="0" xfId="0"/>
    <xf numFmtId="165" fontId="11" fillId="7" borderId="56" pivotButton="0" quotePrefix="0" xfId="0"/>
    <xf numFmtId="0" fontId="22" fillId="0" borderId="21" pivotButton="0" quotePrefix="0" xfId="0"/>
    <xf numFmtId="10" fontId="6" fillId="0" borderId="0" applyProtection="1" pivotButton="0" quotePrefix="0" xfId="0">
      <protection locked="0" hidden="0"/>
    </xf>
    <xf numFmtId="10" fontId="12" fillId="0" borderId="18" pivotButton="0" quotePrefix="0" xfId="0"/>
    <xf numFmtId="0" fontId="11" fillId="11" borderId="33" pivotButton="0" quotePrefix="0" xfId="0"/>
    <xf numFmtId="0" fontId="11" fillId="11" borderId="0" pivotButton="0" quotePrefix="0" xfId="0"/>
    <xf numFmtId="0" fontId="11" fillId="11" borderId="21" pivotButton="0" quotePrefix="0" xfId="0"/>
    <xf numFmtId="10" fontId="6" fillId="11" borderId="0" applyProtection="1" pivotButton="0" quotePrefix="0" xfId="0">
      <protection locked="0" hidden="0"/>
    </xf>
    <xf numFmtId="10" fontId="12" fillId="11" borderId="18" pivotButton="0" quotePrefix="0" xfId="0"/>
    <xf numFmtId="165" fontId="11" fillId="11" borderId="43" pivotButton="0" quotePrefix="0" xfId="0"/>
    <xf numFmtId="10" fontId="11" fillId="11" borderId="0" pivotButton="0" quotePrefix="0" xfId="0"/>
    <xf numFmtId="0" fontId="22" fillId="11" borderId="6" pivotButton="0" quotePrefix="0" xfId="0"/>
    <xf numFmtId="0" fontId="11" fillId="11" borderId="7" pivotButton="0" quotePrefix="0" xfId="0"/>
    <xf numFmtId="10" fontId="6" fillId="11" borderId="7" applyProtection="1" pivotButton="0" quotePrefix="0" xfId="0">
      <protection locked="0" hidden="0"/>
    </xf>
    <xf numFmtId="10" fontId="12" fillId="11" borderId="17" pivotButton="0" quotePrefix="0" xfId="0"/>
    <xf numFmtId="165" fontId="11" fillId="11" borderId="56" pivotButton="0" quotePrefix="0" xfId="0"/>
    <xf numFmtId="0" fontId="11" fillId="12" borderId="33" pivotButton="0" quotePrefix="0" xfId="0"/>
    <xf numFmtId="0" fontId="11" fillId="12" borderId="0" pivotButton="0" quotePrefix="0" xfId="0"/>
    <xf numFmtId="0" fontId="11" fillId="12" borderId="21" pivotButton="0" quotePrefix="0" xfId="0"/>
    <xf numFmtId="10" fontId="6" fillId="12" borderId="0" applyProtection="1" pivotButton="0" quotePrefix="0" xfId="0">
      <protection locked="0" hidden="0"/>
    </xf>
    <xf numFmtId="10" fontId="12" fillId="12" borderId="18" pivotButton="0" quotePrefix="0" xfId="0"/>
    <xf numFmtId="165" fontId="11" fillId="12" borderId="43" pivotButton="0" quotePrefix="0" xfId="0"/>
    <xf numFmtId="0" fontId="11" fillId="12" borderId="34" pivotButton="0" quotePrefix="0" xfId="0"/>
    <xf numFmtId="0" fontId="11" fillId="12" borderId="1" pivotButton="0" quotePrefix="0" xfId="0"/>
    <xf numFmtId="10" fontId="12" fillId="12" borderId="19" pivotButton="0" quotePrefix="0" xfId="0"/>
    <xf numFmtId="165" fontId="11" fillId="12" borderId="47" pivotButton="0" quotePrefix="0" xfId="0"/>
    <xf numFmtId="10" fontId="12" fillId="0" borderId="0" pivotButton="0" quotePrefix="0" xfId="0"/>
    <xf numFmtId="0" fontId="22" fillId="0" borderId="28" pivotButton="0" quotePrefix="0" xfId="0"/>
    <xf numFmtId="0" fontId="22" fillId="0" borderId="29" pivotButton="0" quotePrefix="0" xfId="0"/>
    <xf numFmtId="10" fontId="6" fillId="0" borderId="29" pivotButton="0" quotePrefix="0" xfId="0"/>
    <xf numFmtId="165" fontId="22" fillId="0" borderId="62" pivotButton="0" quotePrefix="0" xfId="0"/>
    <xf numFmtId="10" fontId="15" fillId="0" borderId="0" applyProtection="1" pivotButton="0" quotePrefix="0" xfId="0">
      <protection locked="0" hidden="0"/>
    </xf>
    <xf numFmtId="0" fontId="22" fillId="0" borderId="21" applyAlignment="1" pivotButton="0" quotePrefix="0" xfId="0">
      <alignment horizontal="center"/>
    </xf>
    <xf numFmtId="10" fontId="22" fillId="0" borderId="14" applyAlignment="1" pivotButton="0" quotePrefix="0" xfId="0">
      <alignment horizontal="center"/>
    </xf>
    <xf numFmtId="165" fontId="22" fillId="0" borderId="50" applyAlignment="1" pivotButton="0" quotePrefix="0" xfId="0">
      <alignment horizontal="right"/>
    </xf>
    <xf numFmtId="173" fontId="11" fillId="0" borderId="55" applyAlignment="1" pivotButton="0" quotePrefix="0" xfId="0">
      <alignment horizontal="center"/>
    </xf>
    <xf numFmtId="0" fontId="11" fillId="0" borderId="34" pivotButton="0" quotePrefix="0" xfId="0"/>
    <xf numFmtId="181" fontId="11" fillId="0" borderId="1" applyAlignment="1" pivotButton="0" quotePrefix="0" xfId="0">
      <alignment horizontal="center"/>
    </xf>
    <xf numFmtId="173" fontId="11" fillId="0" borderId="5" applyAlignment="1" pivotButton="0" quotePrefix="0" xfId="0">
      <alignment horizontal="center"/>
    </xf>
    <xf numFmtId="165" fontId="11" fillId="0" borderId="47" pivotButton="0" quotePrefix="0" xfId="0"/>
    <xf numFmtId="0" fontId="22" fillId="0" borderId="33" pivotButton="0" quotePrefix="0" xfId="0"/>
    <xf numFmtId="173" fontId="22" fillId="0" borderId="55" applyAlignment="1" pivotButton="0" quotePrefix="0" xfId="0">
      <alignment horizontal="center"/>
    </xf>
    <xf numFmtId="0" fontId="22" fillId="0" borderId="35" pivotButton="0" quotePrefix="0" xfId="0"/>
    <xf numFmtId="0" fontId="22" fillId="0" borderId="7" pivotButton="0" quotePrefix="0" xfId="0"/>
    <xf numFmtId="181" fontId="22" fillId="0" borderId="6" applyAlignment="1" pivotButton="0" quotePrefix="0" xfId="0">
      <alignment horizontal="center"/>
    </xf>
    <xf numFmtId="173" fontId="22" fillId="0" borderId="8" applyAlignment="1" pivotButton="0" quotePrefix="0" xfId="0">
      <alignment horizontal="center"/>
    </xf>
    <xf numFmtId="165" fontId="22" fillId="0" borderId="56" pivotButton="0" quotePrefix="0" xfId="0"/>
    <xf numFmtId="0" fontId="11" fillId="0" borderId="21" applyAlignment="1" pivotButton="0" quotePrefix="0" xfId="0">
      <alignment horizontal="center"/>
    </xf>
    <xf numFmtId="173" fontId="11" fillId="0" borderId="14" applyAlignment="1" pivotButton="0" quotePrefix="0" xfId="0">
      <alignment horizontal="center"/>
    </xf>
    <xf numFmtId="0" fontId="22" fillId="4" borderId="28" pivotButton="0" quotePrefix="0" xfId="0"/>
    <xf numFmtId="0" fontId="5" fillId="4" borderId="29" pivotButton="0" quotePrefix="0" xfId="0"/>
    <xf numFmtId="181" fontId="22" fillId="4" borderId="61" applyAlignment="1" pivotButton="0" quotePrefix="0" xfId="0">
      <alignment horizontal="center"/>
    </xf>
    <xf numFmtId="173" fontId="22" fillId="4" borderId="63" applyAlignment="1" pivotButton="0" quotePrefix="0" xfId="0">
      <alignment horizontal="center"/>
    </xf>
    <xf numFmtId="165" fontId="22" fillId="4" borderId="62" pivotButton="0" quotePrefix="0" xfId="0"/>
    <xf numFmtId="10" fontId="14" fillId="0" borderId="14" applyAlignment="1" pivotButton="0" quotePrefix="0" xfId="0">
      <alignment horizontal="center"/>
    </xf>
    <xf numFmtId="0" fontId="1" fillId="0" borderId="70" pivotButton="0" quotePrefix="0" xfId="0"/>
    <xf numFmtId="0" fontId="1" fillId="0" borderId="57" pivotButton="0" quotePrefix="0" xfId="0"/>
    <xf numFmtId="0" fontId="1" fillId="0" borderId="60" pivotButton="0" quotePrefix="0" xfId="0"/>
    <xf numFmtId="3" fontId="22" fillId="0" borderId="9" pivotButton="0" quotePrefix="0" xfId="0"/>
    <xf numFmtId="164" fontId="22" fillId="0" borderId="41" pivotButton="0" quotePrefix="0" xfId="0"/>
    <xf numFmtId="0" fontId="15" fillId="0" borderId="27" applyAlignment="1" applyProtection="1" pivotButton="0" quotePrefix="1" xfId="0">
      <alignment horizontal="right"/>
      <protection locked="0" hidden="0"/>
    </xf>
    <xf numFmtId="164" fontId="22" fillId="0" borderId="67" pivotButton="0" quotePrefix="0" xfId="0"/>
    <xf numFmtId="164" fontId="22" fillId="0" borderId="68" pivotButton="0" quotePrefix="0" xfId="0"/>
    <xf numFmtId="164" fontId="11" fillId="0" borderId="44" pivotButton="0" quotePrefix="0" xfId="0"/>
    <xf numFmtId="182" fontId="11" fillId="0" borderId="43" pivotButton="0" quotePrefix="0" xfId="0"/>
    <xf numFmtId="3" fontId="11" fillId="0" borderId="47" pivotButton="0" quotePrefix="0" xfId="0"/>
    <xf numFmtId="14" fontId="11" fillId="0" borderId="44" pivotButton="0" quotePrefix="0" xfId="0"/>
    <xf numFmtId="173" fontId="8" fillId="0" borderId="43" applyProtection="1" pivotButton="0" quotePrefix="0" xfId="3">
      <protection locked="0" hidden="0"/>
    </xf>
    <xf numFmtId="0" fontId="5" fillId="0" borderId="0" applyProtection="1" pivotButton="0" quotePrefix="1" xfId="0">
      <protection locked="0" hidden="0"/>
    </xf>
    <xf numFmtId="0" fontId="1" fillId="0" borderId="0" pivotButton="0" quotePrefix="0" xfId="1"/>
    <xf numFmtId="0" fontId="1" fillId="0" borderId="0" applyAlignment="1" pivotButton="0" quotePrefix="0" xfId="1">
      <alignment horizontal="center"/>
    </xf>
    <xf numFmtId="0" fontId="14" fillId="0" borderId="54" applyAlignment="1" pivotButton="0" quotePrefix="0" xfId="1">
      <alignment horizontal="center"/>
    </xf>
    <xf numFmtId="0" fontId="14" fillId="0" borderId="6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14" fillId="0" borderId="36" applyAlignment="1" pivotButton="0" quotePrefix="0" xfId="1">
      <alignment horizontal="center"/>
    </xf>
    <xf numFmtId="0" fontId="1" fillId="5" borderId="33" pivotButton="0" quotePrefix="0" xfId="0"/>
    <xf numFmtId="3" fontId="1" fillId="5" borderId="0" pivotButton="0" quotePrefix="0" xfId="0"/>
    <xf numFmtId="165" fontId="1" fillId="5" borderId="0" applyAlignment="1" pivotButton="0" quotePrefix="0" xfId="0">
      <alignment horizontal="right"/>
    </xf>
    <xf numFmtId="168" fontId="9" fillId="5" borderId="50" pivotButton="0" quotePrefix="0" xfId="0"/>
    <xf numFmtId="3" fontId="1" fillId="0" borderId="0" pivotButton="0" quotePrefix="0" xfId="0"/>
    <xf numFmtId="165" fontId="1" fillId="0" borderId="0" pivotButton="0" quotePrefix="0" xfId="0"/>
    <xf numFmtId="168" fontId="9" fillId="0" borderId="50" pivotButton="0" quotePrefix="0" xfId="0"/>
    <xf numFmtId="37" fontId="1" fillId="5" borderId="0" pivotButton="0" quotePrefix="0" xfId="0"/>
    <xf numFmtId="165" fontId="1" fillId="5" borderId="0" pivotButton="0" quotePrefix="0" xfId="0"/>
    <xf numFmtId="0" fontId="14" fillId="3" borderId="33" pivotButton="0" quotePrefix="0" xfId="0"/>
    <xf numFmtId="165" fontId="14" fillId="3" borderId="49" pivotButton="0" quotePrefix="0" xfId="0"/>
    <xf numFmtId="165" fontId="14" fillId="3" borderId="0" pivotButton="0" quotePrefix="0" xfId="0"/>
    <xf numFmtId="168" fontId="47" fillId="3" borderId="51" pivotButton="0" quotePrefix="0" xfId="0"/>
    <xf numFmtId="165" fontId="14" fillId="0" borderId="0" pivotButton="0" quotePrefix="0" xfId="0"/>
    <xf numFmtId="168" fontId="47" fillId="0" borderId="50" pivotButton="0" quotePrefix="0" xfId="0"/>
    <xf numFmtId="0" fontId="48" fillId="0" borderId="33" pivotButton="0" quotePrefix="0" xfId="0"/>
    <xf numFmtId="169" fontId="1" fillId="0" borderId="33" pivotButton="0" quotePrefix="0" xfId="0"/>
    <xf numFmtId="165" fontId="1" fillId="0" borderId="0" pivotButton="0" quotePrefix="1" xfId="0"/>
    <xf numFmtId="165" fontId="14" fillId="4" borderId="49" pivotButton="0" quotePrefix="0" xfId="0"/>
    <xf numFmtId="165" fontId="14" fillId="4" borderId="0" pivotButton="0" quotePrefix="0" xfId="0"/>
    <xf numFmtId="168" fontId="47" fillId="4" borderId="51" pivotButton="0" quotePrefix="0" xfId="0"/>
    <xf numFmtId="168" fontId="1" fillId="0" borderId="50" pivotButton="0" quotePrefix="0" xfId="0"/>
    <xf numFmtId="165" fontId="14" fillId="3" borderId="11" pivotButton="0" quotePrefix="0" xfId="0"/>
    <xf numFmtId="10" fontId="14" fillId="4" borderId="38" pivotButton="0" quotePrefix="0" xfId="0"/>
    <xf numFmtId="10" fontId="14" fillId="0" borderId="38" pivotButton="0" quotePrefix="0" xfId="0"/>
    <xf numFmtId="168" fontId="1" fillId="0" borderId="52" pivotButton="0" quotePrefix="0" xfId="0"/>
    <xf numFmtId="0" fontId="15" fillId="0" borderId="55" applyAlignment="1" applyProtection="1" pivotButton="0" quotePrefix="0" xfId="0">
      <alignment horizontal="center"/>
      <protection locked="0" hidden="0"/>
    </xf>
    <xf numFmtId="0" fontId="15" fillId="0" borderId="14" applyAlignment="1" applyProtection="1" pivotButton="0" quotePrefix="0" xfId="0">
      <alignment horizontal="center"/>
      <protection locked="0" hidden="0"/>
    </xf>
    <xf numFmtId="170" fontId="23" fillId="0" borderId="43" pivotButton="0" quotePrefix="0" xfId="0"/>
    <xf numFmtId="167" fontId="8" fillId="0" borderId="14" applyAlignment="1" applyProtection="1" pivotButton="0" quotePrefix="0" xfId="0">
      <alignment horizontal="right"/>
      <protection locked="0" hidden="0"/>
    </xf>
    <xf numFmtId="167" fontId="8" fillId="0" borderId="46" applyAlignment="1" applyProtection="1" pivotButton="0" quotePrefix="0" xfId="0">
      <alignment horizontal="right"/>
      <protection locked="0" hidden="0"/>
    </xf>
    <xf numFmtId="0" fontId="1" fillId="0" borderId="6" pivotButton="0" quotePrefix="0" xfId="0"/>
    <xf numFmtId="37" fontId="10" fillId="0" borderId="6" pivotButton="0" quotePrefix="0" xfId="0"/>
    <xf numFmtId="37" fontId="10" fillId="0" borderId="8" pivotButton="0" quotePrefix="0" xfId="0"/>
    <xf numFmtId="37" fontId="10" fillId="8" borderId="8" pivotButton="0" quotePrefix="0" xfId="0"/>
    <xf numFmtId="37" fontId="10" fillId="0" borderId="7" pivotButton="0" quotePrefix="0" xfId="0"/>
    <xf numFmtId="166" fontId="1" fillId="0" borderId="54" applyAlignment="1" pivotButton="0" quotePrefix="0" xfId="1">
      <alignment horizontal="center"/>
    </xf>
    <xf numFmtId="0" fontId="14" fillId="0" borderId="0" applyAlignment="1" pivotButton="0" quotePrefix="0" xfId="1">
      <alignment horizontal="center"/>
    </xf>
    <xf numFmtId="166" fontId="1" fillId="0" borderId="60" applyAlignment="1" pivotButton="0" quotePrefix="0" xfId="1">
      <alignment horizontal="center"/>
    </xf>
    <xf numFmtId="0" fontId="14" fillId="0" borderId="54" applyAlignment="1" pivotButton="0" quotePrefix="0" xfId="1">
      <alignment horizontal="center" wrapText="1"/>
    </xf>
    <xf numFmtId="0" fontId="1" fillId="0" borderId="0" applyAlignment="1" pivotButton="0" quotePrefix="0" xfId="1">
      <alignment horizontal="left"/>
    </xf>
    <xf numFmtId="9" fontId="14" fillId="0" borderId="0" applyAlignment="1" pivotButton="0" quotePrefix="0" xfId="1">
      <alignment horizontal="left"/>
    </xf>
    <xf numFmtId="166" fontId="1" fillId="0" borderId="59" applyAlignment="1" pivotButton="0" quotePrefix="0" xfId="1">
      <alignment horizontal="center"/>
    </xf>
    <xf numFmtId="0" fontId="14" fillId="0" borderId="0" pivotButton="0" quotePrefix="0" xfId="1"/>
    <xf numFmtId="183" fontId="22" fillId="0" borderId="21" applyAlignment="1" pivotButton="0" quotePrefix="0" xfId="1">
      <alignment horizontal="left"/>
    </xf>
    <xf numFmtId="0" fontId="1" fillId="0" borderId="0" applyAlignment="1" pivotButton="0" quotePrefix="0" xfId="1">
      <alignment wrapText="1"/>
    </xf>
    <xf numFmtId="0" fontId="47" fillId="4" borderId="54" applyAlignment="1" pivotButton="0" quotePrefix="0" xfId="1">
      <alignment horizontal="right"/>
    </xf>
    <xf numFmtId="173" fontId="1" fillId="4" borderId="0" applyAlignment="1" pivotButton="0" quotePrefix="0" xfId="3">
      <alignment horizontal="right"/>
    </xf>
    <xf numFmtId="164" fontId="14" fillId="4" borderId="76" applyAlignment="1" pivotButton="0" quotePrefix="0" xfId="1">
      <alignment horizontal="right"/>
    </xf>
    <xf numFmtId="0" fontId="47" fillId="4" borderId="0" applyAlignment="1" pivotButton="0" quotePrefix="0" xfId="1">
      <alignment horizontal="right"/>
    </xf>
    <xf numFmtId="173" fontId="52" fillId="13" borderId="0" applyAlignment="1" pivotButton="0" quotePrefix="0" xfId="3">
      <alignment horizontal="right"/>
    </xf>
    <xf numFmtId="164" fontId="14" fillId="13" borderId="76" applyAlignment="1" pivotButton="0" quotePrefix="0" xfId="4">
      <alignment horizontal="right"/>
    </xf>
    <xf numFmtId="0" fontId="47" fillId="14" borderId="54" applyAlignment="1" pivotButton="0" quotePrefix="0" xfId="1">
      <alignment horizontal="right"/>
    </xf>
    <xf numFmtId="0" fontId="47" fillId="15" borderId="54" applyAlignment="1" pivotButton="0" quotePrefix="0" xfId="1">
      <alignment horizontal="right"/>
    </xf>
    <xf numFmtId="173" fontId="52" fillId="12" borderId="14" applyAlignment="1" pivotButton="0" quotePrefix="0" xfId="3">
      <alignment horizontal="right"/>
    </xf>
    <xf numFmtId="164" fontId="14" fillId="12" borderId="77" applyAlignment="1" pivotButton="0" quotePrefix="0" xfId="4">
      <alignment horizontal="right"/>
    </xf>
    <xf numFmtId="0" fontId="1" fillId="0" borderId="0" applyAlignment="1" pivotButton="0" quotePrefix="0" xfId="1">
      <alignment horizontal="right"/>
    </xf>
    <xf numFmtId="0" fontId="1" fillId="0" borderId="14" applyAlignment="1" pivotButton="0" quotePrefix="0" xfId="1">
      <alignment horizontal="right"/>
    </xf>
    <xf numFmtId="166" fontId="1" fillId="0" borderId="5" applyAlignment="1" pivotButton="0" quotePrefix="0" xfId="4">
      <alignment horizontal="right"/>
    </xf>
    <xf numFmtId="9" fontId="14" fillId="0" borderId="0" applyAlignment="1" pivotButton="0" quotePrefix="0" xfId="1">
      <alignment horizontal="right"/>
    </xf>
    <xf numFmtId="178" fontId="1" fillId="0" borderId="5" applyAlignment="1" pivotButton="0" quotePrefix="0" xfId="4">
      <alignment horizontal="right"/>
    </xf>
    <xf numFmtId="9" fontId="47" fillId="14" borderId="0" applyAlignment="1" pivotButton="0" quotePrefix="0" xfId="1">
      <alignment horizontal="right"/>
    </xf>
    <xf numFmtId="9" fontId="47" fillId="15" borderId="78" applyAlignment="1" pivotButton="0" quotePrefix="0" xfId="1">
      <alignment horizontal="right"/>
    </xf>
    <xf numFmtId="0" fontId="14" fillId="0" borderId="60" applyAlignment="1" pivotButton="0" quotePrefix="0" xfId="1">
      <alignment wrapText="1"/>
    </xf>
    <xf numFmtId="164" fontId="1" fillId="0" borderId="60" pivotButton="0" quotePrefix="0" xfId="1"/>
    <xf numFmtId="0" fontId="14" fillId="0" borderId="54" applyAlignment="1" pivotButton="0" quotePrefix="0" xfId="1">
      <alignment horizontal="center" vertical="center" wrapText="1"/>
    </xf>
    <xf numFmtId="166" fontId="1" fillId="0" borderId="0" applyAlignment="1" pivotButton="0" quotePrefix="0" xfId="1">
      <alignment horizontal="right"/>
    </xf>
    <xf numFmtId="0" fontId="14" fillId="0" borderId="59" applyAlignment="1" pivotButton="0" quotePrefix="0" xfId="1">
      <alignment horizontal="center" vertical="center" wrapText="1"/>
    </xf>
    <xf numFmtId="3" fontId="1" fillId="0" borderId="5" applyAlignment="1" pivotButton="0" quotePrefix="0" xfId="1">
      <alignment horizontal="center"/>
    </xf>
    <xf numFmtId="166" fontId="1" fillId="0" borderId="0" applyAlignment="1" pivotButton="0" quotePrefix="0" xfId="4">
      <alignment horizontal="right"/>
    </xf>
    <xf numFmtId="166" fontId="1" fillId="0" borderId="27" applyAlignment="1" pivotButton="0" quotePrefix="0" xfId="1">
      <alignment horizontal="right"/>
    </xf>
    <xf numFmtId="0" fontId="1" fillId="0" borderId="23" pivotButton="0" quotePrefix="0" xfId="1"/>
    <xf numFmtId="166" fontId="1" fillId="0" borderId="74" applyAlignment="1" pivotButton="0" quotePrefix="0" xfId="1">
      <alignment horizontal="right"/>
    </xf>
    <xf numFmtId="166" fontId="1" fillId="0" borderId="14" pivotButton="0" quotePrefix="0" xfId="1"/>
    <xf numFmtId="166" fontId="1" fillId="0" borderId="8" pivotButton="0" quotePrefix="0" xfId="1"/>
    <xf numFmtId="166" fontId="1" fillId="0" borderId="5" pivotButton="0" quotePrefix="0" xfId="1"/>
    <xf numFmtId="166" fontId="53" fillId="0" borderId="23" applyAlignment="1" pivotButton="0" quotePrefix="0" xfId="2">
      <alignment horizontal="center"/>
    </xf>
    <xf numFmtId="166" fontId="53" fillId="0" borderId="0" applyAlignment="1" pivotButton="0" quotePrefix="0" xfId="2">
      <alignment horizontal="center"/>
    </xf>
    <xf numFmtId="166" fontId="53" fillId="0" borderId="75" applyAlignment="1" pivotButton="0" quotePrefix="0" xfId="2">
      <alignment horizontal="center"/>
    </xf>
    <xf numFmtId="0" fontId="14" fillId="0" borderId="54" applyAlignment="1" pivotButton="0" quotePrefix="0" xfId="1">
      <alignment horizontal="right" vertical="center"/>
    </xf>
    <xf numFmtId="0" fontId="9" fillId="0" borderId="27" pivotButton="0" quotePrefix="0" xfId="0"/>
    <xf numFmtId="37" fontId="10" fillId="8" borderId="55" pivotButton="0" quotePrefix="0" xfId="0"/>
    <xf numFmtId="0" fontId="10" fillId="0" borderId="60" pivotButton="0" quotePrefix="0" xfId="0"/>
    <xf numFmtId="164" fontId="1" fillId="0" borderId="14" pivotButton="0" quotePrefix="0" xfId="1"/>
    <xf numFmtId="164" fontId="1" fillId="0" borderId="8" pivotButton="0" quotePrefix="0" xfId="1"/>
    <xf numFmtId="164" fontId="1" fillId="0" borderId="5" pivotButton="0" quotePrefix="0" xfId="1"/>
    <xf numFmtId="164" fontId="1" fillId="0" borderId="23" pivotButton="0" quotePrefix="0" xfId="1"/>
    <xf numFmtId="164" fontId="1" fillId="0" borderId="0" pivotButton="0" quotePrefix="0" xfId="1"/>
    <xf numFmtId="164" fontId="1" fillId="0" borderId="27" applyAlignment="1" pivotButton="0" quotePrefix="0" xfId="1">
      <alignment horizontal="right"/>
    </xf>
    <xf numFmtId="164" fontId="1" fillId="0" borderId="74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3" fontId="14" fillId="0" borderId="43" pivotButton="0" quotePrefix="0" xfId="2"/>
    <xf numFmtId="0" fontId="26" fillId="0" borderId="5" applyAlignment="1" pivotButton="0" quotePrefix="0" xfId="0">
      <alignment horizontal="center" vertical="center" wrapText="1"/>
    </xf>
    <xf numFmtId="0" fontId="52" fillId="16" borderId="54" applyAlignment="1" pivotButton="0" quotePrefix="0" xfId="1">
      <alignment horizontal="center"/>
    </xf>
    <xf numFmtId="10" fontId="52" fillId="16" borderId="54" applyAlignment="1" pivotButton="0" quotePrefix="0" xfId="1">
      <alignment horizontal="center"/>
    </xf>
    <xf numFmtId="10" fontId="5" fillId="0" borderId="0" applyProtection="1" pivotButton="0" quotePrefix="0" xfId="0">
      <protection locked="0" hidden="0"/>
    </xf>
    <xf numFmtId="168" fontId="5" fillId="0" borderId="0" applyProtection="1" pivotButton="0" quotePrefix="0" xfId="0">
      <protection locked="0" hidden="0"/>
    </xf>
    <xf numFmtId="10" fontId="8" fillId="0" borderId="64" applyProtection="1" pivotButton="0" quotePrefix="0" xfId="0">
      <protection locked="0" hidden="0"/>
    </xf>
    <xf numFmtId="0" fontId="13" fillId="0" borderId="64" applyProtection="1" pivotButton="0" quotePrefix="0" xfId="0">
      <protection locked="0" hidden="0"/>
    </xf>
    <xf numFmtId="14" fontId="8" fillId="0" borderId="55" applyAlignment="1" applyProtection="1" pivotButton="0" quotePrefix="0" xfId="0">
      <alignment horizontal="right"/>
      <protection locked="0" hidden="0"/>
    </xf>
    <xf numFmtId="0" fontId="16" fillId="0" borderId="64" applyAlignment="1" pivotButton="0" quotePrefix="0" xfId="0">
      <alignment horizontal="center"/>
    </xf>
    <xf numFmtId="0" fontId="1" fillId="0" borderId="55" applyAlignment="1" applyProtection="1" pivotButton="0" quotePrefix="0" xfId="0">
      <alignment horizontal="right"/>
      <protection locked="0" hidden="0"/>
    </xf>
    <xf numFmtId="0" fontId="1" fillId="0" borderId="55" applyAlignment="1" applyProtection="1" pivotButton="0" quotePrefix="0" xfId="0">
      <alignment horizontal="center"/>
      <protection locked="0" hidden="0"/>
    </xf>
    <xf numFmtId="0" fontId="1" fillId="0" borderId="64" applyAlignment="1" pivotButton="0" quotePrefix="0" xfId="0">
      <alignment horizontal="center"/>
    </xf>
    <xf numFmtId="0" fontId="9" fillId="5" borderId="24" applyAlignment="1" pivotButton="0" quotePrefix="0" xfId="0">
      <alignment horizontal="center"/>
    </xf>
    <xf numFmtId="164" fontId="9" fillId="5" borderId="24" applyAlignment="1" pivotButton="0" quotePrefix="0" xfId="0">
      <alignment horizontal="right"/>
    </xf>
    <xf numFmtId="0" fontId="24" fillId="0" borderId="55" applyAlignment="1" pivotButton="0" quotePrefix="0" xfId="0">
      <alignment horizontal="center"/>
    </xf>
    <xf numFmtId="0" fontId="26" fillId="0" borderId="22" pivotButton="0" quotePrefix="0" xfId="0"/>
    <xf numFmtId="0" fontId="24" fillId="0" borderId="22" applyAlignment="1" pivotButton="0" quotePrefix="0" xfId="0">
      <alignment horizontal="center"/>
    </xf>
    <xf numFmtId="0" fontId="26" fillId="0" borderId="55" pivotButton="0" quotePrefix="0" xfId="0"/>
    <xf numFmtId="0" fontId="24" fillId="0" borderId="27" applyAlignment="1" pivotButton="0" quotePrefix="0" xfId="0">
      <alignment horizontal="center"/>
    </xf>
    <xf numFmtId="0" fontId="26" fillId="0" borderId="55" applyAlignment="1" pivotButton="0" quotePrefix="0" xfId="0">
      <alignment horizontal="center" vertical="center" wrapText="1"/>
    </xf>
    <xf numFmtId="0" fontId="29" fillId="0" borderId="22" applyAlignment="1" pivotButton="0" quotePrefix="0" xfId="5">
      <alignment horizontal="left" wrapText="1"/>
    </xf>
    <xf numFmtId="0" fontId="29" fillId="0" borderId="79" applyAlignment="1" pivotButton="0" quotePrefix="0" xfId="5">
      <alignment horizontal="left" wrapText="1"/>
    </xf>
    <xf numFmtId="168" fontId="28" fillId="0" borderId="79" applyProtection="1" pivotButton="0" quotePrefix="0" xfId="0">
      <protection locked="0" hidden="0"/>
    </xf>
    <xf numFmtId="0" fontId="29" fillId="0" borderId="80" applyAlignment="1" pivotButton="0" quotePrefix="0" xfId="5">
      <alignment horizontal="left" wrapText="1"/>
    </xf>
    <xf numFmtId="165" fontId="26" fillId="0" borderId="27" pivotButton="0" quotePrefix="0" xfId="0"/>
    <xf numFmtId="0" fontId="26" fillId="0" borderId="54" applyAlignment="1" pivotButton="0" quotePrefix="0" xfId="0">
      <alignment horizontal="center" vertical="center" wrapText="1"/>
    </xf>
    <xf numFmtId="0" fontId="29" fillId="0" borderId="60" applyAlignment="1" pivotButton="0" quotePrefix="0" xfId="5">
      <alignment horizontal="left" wrapText="1"/>
    </xf>
    <xf numFmtId="0" fontId="30" fillId="0" borderId="54" applyAlignment="1" applyProtection="1" pivotButton="0" quotePrefix="0" xfId="5">
      <alignment horizontal="center" wrapText="1"/>
      <protection locked="0" hidden="0"/>
    </xf>
    <xf numFmtId="168" fontId="28" fillId="0" borderId="60" applyProtection="1" pivotButton="0" quotePrefix="0" xfId="0">
      <protection locked="0" hidden="0"/>
    </xf>
    <xf numFmtId="165" fontId="26" fillId="0" borderId="60" pivotButton="0" quotePrefix="0" xfId="0"/>
    <xf numFmtId="0" fontId="28" fillId="0" borderId="54" applyAlignment="1" applyProtection="1" pivotButton="0" quotePrefix="0" xfId="0">
      <alignment horizontal="left"/>
      <protection locked="0" hidden="0"/>
    </xf>
    <xf numFmtId="184" fontId="29" fillId="0" borderId="27" applyAlignment="1" pivotButton="0" quotePrefix="0" xfId="5">
      <alignment horizontal="left" wrapText="1"/>
    </xf>
    <xf numFmtId="0" fontId="24" fillId="0" borderId="54" applyAlignment="1" pivotButton="0" quotePrefix="0" xfId="0">
      <alignment horizontal="center" vertical="center" wrapText="1"/>
    </xf>
    <xf numFmtId="0" fontId="29" fillId="0" borderId="54" applyAlignment="1" pivotButton="0" quotePrefix="0" xfId="5">
      <alignment horizontal="center" wrapText="1"/>
    </xf>
    <xf numFmtId="168" fontId="29" fillId="0" borderId="60" applyAlignment="1" pivotButton="0" quotePrefix="0" xfId="0">
      <alignment horizontal="right"/>
    </xf>
    <xf numFmtId="10" fontId="28" fillId="0" borderId="54" applyAlignment="1" applyProtection="1" pivotButton="0" quotePrefix="1" xfId="0">
      <alignment horizontal="left"/>
      <protection locked="0" hidden="0"/>
    </xf>
    <xf numFmtId="168" fontId="28" fillId="0" borderId="27" applyProtection="1" pivotButton="0" quotePrefix="0" xfId="0">
      <protection locked="0" hidden="0"/>
    </xf>
    <xf numFmtId="0" fontId="28" fillId="0" borderId="55" applyAlignment="1" applyProtection="1" pivotButton="0" quotePrefix="0" xfId="0">
      <alignment horizontal="left"/>
      <protection locked="0" hidden="0"/>
    </xf>
    <xf numFmtId="0" fontId="30" fillId="0" borderId="55" applyAlignment="1" applyProtection="1" pivotButton="0" quotePrefix="0" xfId="5">
      <alignment horizontal="center" wrapText="1"/>
      <protection locked="0" hidden="0"/>
    </xf>
    <xf numFmtId="168" fontId="25" fillId="0" borderId="82" pivotButton="0" quotePrefix="0" xfId="0"/>
    <xf numFmtId="168" fontId="25" fillId="0" borderId="3" pivotButton="0" quotePrefix="0" xfId="0"/>
    <xf numFmtId="0" fontId="11" fillId="7" borderId="81" pivotButton="0" quotePrefix="0" xfId="0"/>
    <xf numFmtId="181" fontId="11" fillId="0" borderId="81" applyAlignment="1" pivotButton="0" quotePrefix="0" xfId="0">
      <alignment horizontal="center"/>
    </xf>
    <xf numFmtId="165" fontId="11" fillId="0" borderId="64" pivotButton="0" quotePrefix="0" xfId="0"/>
    <xf numFmtId="181" fontId="22" fillId="0" borderId="81" applyAlignment="1" pivotButton="0" quotePrefix="0" xfId="0">
      <alignment horizontal="center"/>
    </xf>
    <xf numFmtId="165" fontId="22" fillId="0" borderId="64" pivotButton="0" quotePrefix="0" xfId="0"/>
    <xf numFmtId="37" fontId="10" fillId="0" borderId="3" pivotButton="0" quotePrefix="0" xfId="0"/>
    <xf numFmtId="0" fontId="1" fillId="0" borderId="54" applyAlignment="1" pivotButton="0" quotePrefix="0" xfId="0">
      <alignment horizontal="center" vertical="center" wrapText="1"/>
    </xf>
    <xf numFmtId="37" fontId="10" fillId="0" borderId="81" pivotButton="0" quotePrefix="0" xfId="0"/>
    <xf numFmtId="0" fontId="1" fillId="0" borderId="27" pivotButton="0" quotePrefix="0" xfId="0"/>
    <xf numFmtId="0" fontId="1" fillId="0" borderId="55" pivotButton="0" quotePrefix="0" xfId="0"/>
    <xf numFmtId="0" fontId="45" fillId="0" borderId="27" applyAlignment="1" pivotButton="0" quotePrefix="0" xfId="5">
      <alignment horizontal="left" wrapText="1"/>
    </xf>
    <xf numFmtId="0" fontId="45" fillId="0" borderId="27" applyAlignment="1" pivotButton="0" quotePrefix="0" xfId="5">
      <alignment horizontal="left"/>
    </xf>
    <xf numFmtId="185" fontId="1" fillId="0" borderId="27" applyAlignment="1" pivotButton="0" quotePrefix="0" xfId="5">
      <alignment horizontal="left" wrapText="1"/>
    </xf>
    <xf numFmtId="0" fontId="1" fillId="0" borderId="54" applyAlignment="1" pivotButton="0" quotePrefix="0" xfId="0">
      <alignment horizontal="center" vertical="center"/>
    </xf>
    <xf numFmtId="0" fontId="1" fillId="0" borderId="54" pivotButton="0" quotePrefix="0" xfId="0"/>
    <xf numFmtId="0" fontId="14" fillId="7" borderId="59" pivotButton="0" quotePrefix="0" xfId="0"/>
    <xf numFmtId="0" fontId="14" fillId="7" borderId="54" pivotButton="0" quotePrefix="0" xfId="0"/>
    <xf numFmtId="0" fontId="9" fillId="0" borderId="1" pivotButton="0" quotePrefix="0" xfId="0"/>
    <xf numFmtId="0" fontId="1" fillId="0" borderId="81" pivotButton="0" quotePrefix="0" xfId="0"/>
    <xf numFmtId="0" fontId="10" fillId="0" borderId="1" pivotButton="0" quotePrefix="0" xfId="0"/>
    <xf numFmtId="0" fontId="14" fillId="0" borderId="59" pivotButton="0" quotePrefix="0" xfId="0"/>
    <xf numFmtId="0" fontId="10" fillId="0" borderId="54" pivotButton="0" quotePrefix="0" xfId="0"/>
    <xf numFmtId="0" fontId="47" fillId="0" borderId="55" pivotButton="0" quotePrefix="0" xfId="0"/>
    <xf numFmtId="0" fontId="10" fillId="0" borderId="81" pivotButton="0" quotePrefix="0" xfId="0"/>
    <xf numFmtId="0" fontId="10" fillId="8" borderId="55" pivotButton="0" quotePrefix="0" xfId="0"/>
    <xf numFmtId="0" fontId="14" fillId="0" borderId="54" pivotButton="0" quotePrefix="0" xfId="0"/>
    <xf numFmtId="0" fontId="1" fillId="6" borderId="81" pivotButton="0" quotePrefix="0" xfId="0"/>
    <xf numFmtId="9" fontId="43" fillId="6" borderId="55" pivotButton="0" quotePrefix="0" xfId="0"/>
    <xf numFmtId="37" fontId="10" fillId="6" borderId="81" pivotButton="0" quotePrefix="0" xfId="0"/>
    <xf numFmtId="37" fontId="10" fillId="6" borderId="55" pivotButton="0" quotePrefix="0" xfId="0"/>
    <xf numFmtId="37" fontId="10" fillId="6" borderId="54" pivotButton="0" quotePrefix="0" xfId="0"/>
    <xf numFmtId="0" fontId="9" fillId="0" borderId="3" pivotButton="0" quotePrefix="0" xfId="0"/>
    <xf numFmtId="186" fontId="14" fillId="4" borderId="57" pivotButton="0" quotePrefix="0" xfId="0"/>
    <xf numFmtId="173" fontId="14" fillId="4" borderId="60" pivotButton="0" quotePrefix="0" xfId="0"/>
    <xf numFmtId="37" fontId="13" fillId="4" borderId="54" pivotButton="0" quotePrefix="0" xfId="0"/>
    <xf numFmtId="37" fontId="14" fillId="4" borderId="55" pivotButton="0" quotePrefix="0" xfId="0"/>
    <xf numFmtId="0" fontId="14" fillId="4" borderId="57" pivotButton="0" quotePrefix="0" xfId="0"/>
    <xf numFmtId="173" fontId="14" fillId="4" borderId="57" pivotButton="0" quotePrefix="0" xfId="0"/>
    <xf numFmtId="37" fontId="44" fillId="0" borderId="55" pivotButton="0" quotePrefix="0" xfId="0"/>
    <xf numFmtId="0" fontId="12" fillId="0" borderId="57" pivotButton="0" quotePrefix="0" xfId="0"/>
    <xf numFmtId="173" fontId="12" fillId="0" borderId="57" pivotButton="0" quotePrefix="0" xfId="0"/>
    <xf numFmtId="0" fontId="5" fillId="8" borderId="57" pivotButton="0" quotePrefix="0" xfId="0"/>
    <xf numFmtId="0" fontId="5" fillId="0" borderId="57" pivotButton="0" quotePrefix="0" xfId="0"/>
    <xf numFmtId="0" fontId="22" fillId="0" borderId="83" applyAlignment="1" pivotButton="0" quotePrefix="0" xfId="0">
      <alignment horizontal="center"/>
    </xf>
    <xf numFmtId="3" fontId="22" fillId="0" borderId="84" applyAlignment="1" pivotButton="0" quotePrefix="0" xfId="0">
      <alignment horizontal="left"/>
    </xf>
    <xf numFmtId="183" fontId="22" fillId="0" borderId="81" applyAlignment="1" pivotButton="0" quotePrefix="0" xfId="1">
      <alignment horizontal="left"/>
    </xf>
    <xf numFmtId="0" fontId="47" fillId="5" borderId="85" applyAlignment="1" pivotButton="0" quotePrefix="0" xfId="1">
      <alignment horizontal="left"/>
    </xf>
    <xf numFmtId="0" fontId="47" fillId="5" borderId="83" applyAlignment="1" pivotButton="0" quotePrefix="0" xfId="1">
      <alignment horizontal="left"/>
    </xf>
    <xf numFmtId="166" fontId="47" fillId="5" borderId="86" applyAlignment="1" pivotButton="0" quotePrefix="0" xfId="2">
      <alignment horizontal="center"/>
    </xf>
    <xf numFmtId="0" fontId="47" fillId="5" borderId="85" applyAlignment="1" pivotButton="0" quotePrefix="0" xfId="1">
      <alignment horizontal="center"/>
    </xf>
    <xf numFmtId="0" fontId="47" fillId="2" borderId="1" applyAlignment="1" pivotButton="0" quotePrefix="0" xfId="1">
      <alignment horizontal="center" vertical="center"/>
    </xf>
    <xf numFmtId="0" fontId="47" fillId="2" borderId="87" applyAlignment="1" pivotButton="0" quotePrefix="0" xfId="1">
      <alignment horizontal="left" vertical="center"/>
    </xf>
    <xf numFmtId="166" fontId="47" fillId="2" borderId="3" applyAlignment="1" pivotButton="0" quotePrefix="0" xfId="1">
      <alignment horizontal="center" vertical="center"/>
    </xf>
    <xf numFmtId="183" fontId="22" fillId="0" borderId="88" applyAlignment="1" pivotButton="0" quotePrefix="0" xfId="1">
      <alignment horizontal="left"/>
    </xf>
    <xf numFmtId="183" fontId="22" fillId="0" borderId="1" applyAlignment="1" pivotButton="0" quotePrefix="0" xfId="1">
      <alignment horizontal="left"/>
    </xf>
    <xf numFmtId="164" fontId="1" fillId="0" borderId="3" applyAlignment="1" pivotButton="0" quotePrefix="0" xfId="1">
      <alignment horizontal="right"/>
    </xf>
    <xf numFmtId="166" fontId="1" fillId="0" borderId="3" applyAlignment="1" pivotButton="0" quotePrefix="0" xfId="1">
      <alignment horizontal="right"/>
    </xf>
    <xf numFmtId="0" fontId="15" fillId="0" borderId="81" applyProtection="1" pivotButton="0" quotePrefix="0" xfId="0">
      <protection locked="0" hidden="0"/>
    </xf>
    <xf numFmtId="166" fontId="15" fillId="0" borderId="81" applyProtection="1" pivotButton="0" quotePrefix="0" xfId="0">
      <protection locked="0" hidden="0"/>
    </xf>
    <xf numFmtId="0" fontId="30" fillId="0" borderId="89" applyAlignment="1" applyProtection="1" pivotButton="0" quotePrefix="0" xfId="5">
      <alignment horizontal="center" wrapText="1"/>
      <protection locked="0" hidden="0"/>
    </xf>
    <xf numFmtId="168" fontId="28" fillId="0" borderId="90" applyProtection="1" pivotButton="0" quotePrefix="0" xfId="0">
      <protection locked="0" hidden="0"/>
    </xf>
    <xf numFmtId="165" fontId="26" fillId="0" borderId="90" pivotButton="0" quotePrefix="0" xfId="0"/>
    <xf numFmtId="0" fontId="28" fillId="0" borderId="89" applyAlignment="1" applyProtection="1" pivotButton="0" quotePrefix="0" xfId="0">
      <alignment horizontal="left"/>
      <protection locked="0" hidden="0"/>
    </xf>
    <xf numFmtId="0" fontId="29" fillId="0" borderId="90" applyAlignment="1" pivotButton="0" quotePrefix="0" xfId="5">
      <alignment horizontal="left" wrapText="1"/>
    </xf>
    <xf numFmtId="0" fontId="29" fillId="0" borderId="91" applyAlignment="1" pivotButton="0" quotePrefix="0" xfId="5">
      <alignment horizontal="left" wrapText="1"/>
    </xf>
    <xf numFmtId="0" fontId="28" fillId="0" borderId="92" applyAlignment="1" applyProtection="1" pivotButton="0" quotePrefix="0" xfId="0">
      <alignment horizontal="left"/>
      <protection locked="0" hidden="0"/>
    </xf>
    <xf numFmtId="0" fontId="26" fillId="0" borderId="93" applyAlignment="1" pivotButton="0" quotePrefix="0" xfId="5">
      <alignment horizontal="left" wrapText="1"/>
    </xf>
    <xf numFmtId="0" fontId="26" fillId="0" borderId="91" applyAlignment="1" pivotButton="0" quotePrefix="0" xfId="5">
      <alignment horizontal="left" wrapText="1"/>
    </xf>
    <xf numFmtId="168" fontId="28" fillId="0" borderId="91" applyProtection="1" pivotButton="0" quotePrefix="0" xfId="0">
      <protection locked="0" hidden="0"/>
    </xf>
    <xf numFmtId="0" fontId="26" fillId="0" borderId="90" applyAlignment="1" pivotButton="0" quotePrefix="0" xfId="5">
      <alignment horizontal="left" wrapText="1"/>
    </xf>
    <xf numFmtId="0" fontId="29" fillId="0" borderId="94" applyAlignment="1" pivotButton="0" quotePrefix="0" xfId="5">
      <alignment horizontal="left" wrapText="1"/>
    </xf>
    <xf numFmtId="0" fontId="30" fillId="0" borderId="92" applyAlignment="1" applyProtection="1" pivotButton="0" quotePrefix="0" xfId="5">
      <alignment horizontal="center" wrapText="1"/>
      <protection locked="0" hidden="0"/>
    </xf>
    <xf numFmtId="165" fontId="26" fillId="0" borderId="92" pivotButton="0" quotePrefix="0" xfId="0"/>
    <xf numFmtId="0" fontId="28" fillId="0" borderId="89" applyAlignment="1" applyProtection="1" pivotButton="0" quotePrefix="1" xfId="0">
      <alignment horizontal="left"/>
      <protection locked="0" hidden="0"/>
    </xf>
    <xf numFmtId="187" fontId="29" fillId="0" borderId="91" applyAlignment="1" pivotButton="0" quotePrefix="0" xfId="5">
      <alignment horizontal="left" wrapText="1"/>
    </xf>
    <xf numFmtId="10" fontId="28" fillId="0" borderId="89" applyAlignment="1" applyProtection="1" pivotButton="0" quotePrefix="1" xfId="0">
      <alignment horizontal="left"/>
      <protection locked="0" hidden="0"/>
    </xf>
    <xf numFmtId="0" fontId="28" fillId="0" borderId="95" applyAlignment="1" applyProtection="1" pivotButton="0" quotePrefix="1" xfId="0">
      <alignment horizontal="left"/>
      <protection locked="0" hidden="0"/>
    </xf>
    <xf numFmtId="0" fontId="28" fillId="0" borderId="96" applyAlignment="1" applyProtection="1" pivotButton="0" quotePrefix="1" xfId="0">
      <alignment horizontal="left"/>
      <protection locked="0" hidden="0"/>
    </xf>
    <xf numFmtId="0" fontId="29" fillId="0" borderId="92" applyAlignment="1" pivotButton="0" quotePrefix="0" xfId="5">
      <alignment horizontal="center" wrapText="1"/>
    </xf>
    <xf numFmtId="168" fontId="29" fillId="0" borderId="91" applyAlignment="1" pivotButton="0" quotePrefix="0" xfId="0">
      <alignment horizontal="right"/>
    </xf>
    <xf numFmtId="165" fontId="26" fillId="0" borderId="91" pivotButton="0" quotePrefix="0" xfId="0"/>
    <xf numFmtId="10" fontId="28" fillId="0" borderId="96" applyAlignment="1" applyProtection="1" pivotButton="0" quotePrefix="0" xfId="0">
      <alignment horizontal="left"/>
      <protection locked="0" hidden="0"/>
    </xf>
    <xf numFmtId="0" fontId="29" fillId="0" borderId="89" applyAlignment="1" pivotButton="0" quotePrefix="0" xfId="5">
      <alignment horizontal="center" wrapText="1"/>
    </xf>
    <xf numFmtId="168" fontId="26" fillId="0" borderId="90" applyAlignment="1" pivotButton="0" quotePrefix="0" xfId="0">
      <alignment horizontal="right"/>
    </xf>
    <xf numFmtId="168" fontId="29" fillId="0" borderId="90" applyAlignment="1" pivotButton="0" quotePrefix="0" xfId="0">
      <alignment horizontal="right"/>
    </xf>
    <xf numFmtId="168" fontId="28" fillId="0" borderId="90" pivotButton="0" quotePrefix="0" xfId="0"/>
    <xf numFmtId="10" fontId="28" fillId="0" borderId="89" applyAlignment="1" applyProtection="1" pivotButton="0" quotePrefix="0" xfId="0">
      <alignment horizontal="left"/>
      <protection locked="0" hidden="0"/>
    </xf>
    <xf numFmtId="168" fontId="28" fillId="0" borderId="91" pivotButton="0" quotePrefix="0" xfId="0"/>
    <xf numFmtId="10" fontId="28" fillId="0" borderId="92" applyAlignment="1" applyProtection="1" pivotButton="0" quotePrefix="0" xfId="0">
      <alignment horizontal="left"/>
      <protection locked="0" hidden="0"/>
    </xf>
    <xf numFmtId="168" fontId="28" fillId="0" borderId="93" applyProtection="1" pivotButton="0" quotePrefix="0" xfId="0">
      <protection locked="0" hidden="0"/>
    </xf>
    <xf numFmtId="165" fontId="26" fillId="0" borderId="93" pivotButton="0" quotePrefix="0" xfId="0"/>
    <xf numFmtId="168" fontId="25" fillId="0" borderId="2" pivotButton="0" quotePrefix="0" xfId="0"/>
    <xf numFmtId="0" fontId="27" fillId="0" borderId="2" pivotButton="0" quotePrefix="0" xfId="0"/>
    <xf numFmtId="0" fontId="14" fillId="0" borderId="2" pivotButton="0" quotePrefix="0" xfId="0"/>
    <xf numFmtId="0" fontId="9" fillId="0" borderId="2" pivotButton="0" quotePrefix="1" xfId="0"/>
    <xf numFmtId="0" fontId="1" fillId="0" borderId="2" pivotButton="0" quotePrefix="0" xfId="0"/>
    <xf numFmtId="0" fontId="10" fillId="0" borderId="2" pivotButton="0" quotePrefix="0" xfId="0"/>
    <xf numFmtId="0" fontId="22" fillId="0" borderId="93" applyAlignment="1" pivotButton="0" quotePrefix="0" xfId="0">
      <alignment horizontal="center"/>
    </xf>
    <xf numFmtId="0" fontId="1" fillId="0" borderId="93" pivotButton="0" quotePrefix="0" xfId="0"/>
    <xf numFmtId="0" fontId="45" fillId="0" borderId="93" applyAlignment="1" pivotButton="0" quotePrefix="0" xfId="5">
      <alignment horizontal="left" wrapText="1"/>
    </xf>
    <xf numFmtId="0" fontId="33" fillId="10" borderId="10" applyAlignment="1" pivotButton="0" quotePrefix="0" xfId="0">
      <alignment horizontal="center"/>
    </xf>
    <xf numFmtId="0" fontId="33" fillId="10" borderId="32" applyAlignment="1" pivotButton="0" quotePrefix="0" xfId="0">
      <alignment horizontal="center"/>
    </xf>
    <xf numFmtId="0" fontId="33" fillId="10" borderId="37" applyAlignment="1" pivotButton="0" quotePrefix="0" xfId="0">
      <alignment horizontal="center"/>
    </xf>
    <xf numFmtId="0" fontId="33" fillId="10" borderId="11" applyAlignment="1" pivotButton="0" quotePrefix="0" xfId="0">
      <alignment horizontal="center"/>
    </xf>
    <xf numFmtId="0" fontId="33" fillId="10" borderId="38" applyAlignment="1" pivotButton="0" quotePrefix="0" xfId="0">
      <alignment horizontal="center"/>
    </xf>
    <xf numFmtId="0" fontId="33" fillId="10" borderId="52" applyAlignment="1" pivotButton="0" quotePrefix="0" xfId="0">
      <alignment horizontal="center"/>
    </xf>
    <xf numFmtId="0" fontId="17" fillId="0" borderId="0" applyAlignment="1" applyProtection="1" pivotButton="0" quotePrefix="0" xfId="0">
      <alignment horizontal="left" wrapText="1"/>
      <protection locked="0" hidden="0"/>
    </xf>
    <xf numFmtId="0" fontId="4" fillId="10" borderId="10" applyAlignment="1" pivotButton="0" quotePrefix="0" xfId="0">
      <alignment horizontal="center"/>
    </xf>
    <xf numFmtId="0" fontId="4" fillId="10" borderId="32" applyAlignment="1" pivotButton="0" quotePrefix="0" xfId="0">
      <alignment horizontal="center"/>
    </xf>
    <xf numFmtId="0" fontId="4" fillId="10" borderId="37" applyAlignment="1" pivotButton="0" quotePrefix="0" xfId="0">
      <alignment horizontal="center"/>
    </xf>
    <xf numFmtId="0" fontId="4" fillId="10" borderId="11" applyAlignment="1" pivotButton="0" quotePrefix="0" xfId="0">
      <alignment horizontal="center"/>
    </xf>
    <xf numFmtId="0" fontId="4" fillId="10" borderId="38" applyAlignment="1" pivotButton="0" quotePrefix="0" xfId="0">
      <alignment horizontal="center"/>
    </xf>
    <xf numFmtId="0" fontId="4" fillId="10" borderId="52" applyAlignment="1" pivotButton="0" quotePrefix="0" xfId="0">
      <alignment horizontal="center"/>
    </xf>
    <xf numFmtId="0" fontId="7" fillId="10" borderId="30" applyAlignment="1" pivotButton="0" quotePrefix="0" xfId="0">
      <alignment horizontal="center"/>
    </xf>
    <xf numFmtId="0" fontId="7" fillId="10" borderId="31" applyAlignment="1" pivotButton="0" quotePrefix="0" xfId="0">
      <alignment horizontal="center"/>
    </xf>
    <xf numFmtId="0" fontId="7" fillId="10" borderId="39" applyAlignment="1" pivotButton="0" quotePrefix="0" xfId="0">
      <alignment horizontal="center"/>
    </xf>
    <xf numFmtId="0" fontId="7" fillId="10" borderId="28" applyAlignment="1" pivotButton="0" quotePrefix="0" xfId="0">
      <alignment horizontal="center"/>
    </xf>
    <xf numFmtId="0" fontId="7" fillId="10" borderId="29" applyAlignment="1" pivotButton="0" quotePrefix="0" xfId="0">
      <alignment horizontal="center"/>
    </xf>
    <xf numFmtId="0" fontId="7" fillId="10" borderId="73" applyAlignment="1" pivotButton="0" quotePrefix="0" xfId="0">
      <alignment horizontal="center"/>
    </xf>
    <xf numFmtId="0" fontId="22" fillId="0" borderId="81" applyAlignment="1" applyProtection="1" pivotButton="0" quotePrefix="0" xfId="0">
      <alignment horizontal="center"/>
      <protection locked="0" hidden="0"/>
    </xf>
    <xf numFmtId="0" fontId="22" fillId="0" borderId="22" applyAlignment="1" applyProtection="1" pivotButton="0" quotePrefix="0" xfId="0">
      <alignment horizontal="center"/>
      <protection locked="0" hidden="0"/>
    </xf>
    <xf numFmtId="0" fontId="22" fillId="0" borderId="24" applyAlignment="1" applyProtection="1" pivotButton="0" quotePrefix="0" xfId="0">
      <alignment horizontal="center"/>
      <protection locked="0" hidden="0"/>
    </xf>
    <xf numFmtId="0" fontId="22" fillId="0" borderId="25" applyAlignment="1" applyProtection="1" pivotButton="0" quotePrefix="0" xfId="0">
      <alignment horizontal="center"/>
      <protection locked="0" hidden="0"/>
    </xf>
    <xf numFmtId="0" fontId="22" fillId="0" borderId="24" applyAlignment="1" applyProtection="1" pivotButton="0" quotePrefix="1" xfId="0">
      <alignment horizontal="center"/>
      <protection locked="0" hidden="0"/>
    </xf>
    <xf numFmtId="0" fontId="22" fillId="0" borderId="26" applyAlignment="1" applyProtection="1" pivotButton="0" quotePrefix="1" xfId="0">
      <alignment horizontal="center"/>
      <protection locked="0" hidden="0"/>
    </xf>
    <xf numFmtId="0" fontId="22" fillId="0" borderId="25" applyAlignment="1" applyProtection="1" pivotButton="0" quotePrefix="1" xfId="0">
      <alignment horizontal="center"/>
      <protection locked="0" hidden="0"/>
    </xf>
    <xf numFmtId="0" fontId="7" fillId="10" borderId="30" applyAlignment="1" applyProtection="1" pivotButton="0" quotePrefix="0" xfId="0">
      <alignment horizontal="center"/>
      <protection locked="0" hidden="0"/>
    </xf>
    <xf numFmtId="0" fontId="7" fillId="10" borderId="31" applyAlignment="1" applyProtection="1" pivotButton="0" quotePrefix="0" xfId="0">
      <alignment horizontal="center"/>
      <protection locked="0" hidden="0"/>
    </xf>
    <xf numFmtId="0" fontId="7" fillId="10" borderId="39" applyAlignment="1" applyProtection="1" pivotButton="0" quotePrefix="0" xfId="0">
      <alignment horizontal="center"/>
      <protection locked="0" hidden="0"/>
    </xf>
    <xf numFmtId="167" fontId="7" fillId="10" borderId="30" applyAlignment="1" applyProtection="1" pivotButton="0" quotePrefix="0" xfId="0">
      <alignment horizontal="center"/>
      <protection locked="0" hidden="0"/>
    </xf>
    <xf numFmtId="167" fontId="7" fillId="10" borderId="31" applyAlignment="1" applyProtection="1" pivotButton="0" quotePrefix="0" xfId="0">
      <alignment horizontal="center"/>
      <protection locked="0" hidden="0"/>
    </xf>
    <xf numFmtId="167" fontId="7" fillId="10" borderId="39" applyAlignment="1" applyProtection="1" pivotButton="0" quotePrefix="0" xfId="0">
      <alignment horizontal="center"/>
      <protection locked="0" hidden="0"/>
    </xf>
    <xf numFmtId="188" fontId="11" fillId="0" borderId="81" applyAlignment="1" applyProtection="1" pivotButton="0" quotePrefix="0" xfId="0">
      <alignment horizontal="center"/>
      <protection locked="0" hidden="0"/>
    </xf>
    <xf numFmtId="188" fontId="11" fillId="0" borderId="23" applyAlignment="1" applyProtection="1" pivotButton="0" quotePrefix="0" xfId="0">
      <alignment horizontal="center"/>
      <protection locked="0" hidden="0"/>
    </xf>
    <xf numFmtId="188" fontId="11" fillId="0" borderId="58" applyAlignment="1" pivotButton="0" quotePrefix="0" xfId="0">
      <alignment horizontal="center"/>
    </xf>
    <xf numFmtId="188" fontId="11" fillId="0" borderId="38" applyAlignment="1" pivotButton="0" quotePrefix="0" xfId="0">
      <alignment horizontal="center"/>
    </xf>
    <xf numFmtId="0" fontId="22" fillId="0" borderId="23" applyAlignment="1" applyProtection="1" pivotButton="0" quotePrefix="0" xfId="0">
      <alignment horizontal="center"/>
      <protection locked="0" hidden="0"/>
    </xf>
    <xf numFmtId="0" fontId="4" fillId="10" borderId="10" applyAlignment="1" applyProtection="1" pivotButton="0" quotePrefix="0" xfId="0">
      <alignment horizontal="center"/>
      <protection locked="0" hidden="0"/>
    </xf>
    <xf numFmtId="0" fontId="4" fillId="10" borderId="32" applyAlignment="1" applyProtection="1" pivotButton="0" quotePrefix="0" xfId="0">
      <alignment horizontal="center"/>
      <protection locked="0" hidden="0"/>
    </xf>
    <xf numFmtId="0" fontId="4" fillId="10" borderId="37" applyAlignment="1" applyProtection="1" pivotButton="0" quotePrefix="0" xfId="0">
      <alignment horizontal="center"/>
      <protection locked="0" hidden="0"/>
    </xf>
    <xf numFmtId="0" fontId="4" fillId="10" borderId="11" applyAlignment="1" applyProtection="1" pivotButton="0" quotePrefix="0" xfId="0">
      <alignment horizontal="center"/>
      <protection locked="0" hidden="0"/>
    </xf>
    <xf numFmtId="0" fontId="4" fillId="10" borderId="38" applyAlignment="1" applyProtection="1" pivotButton="0" quotePrefix="0" xfId="0">
      <alignment horizontal="center"/>
      <protection locked="0" hidden="0"/>
    </xf>
    <xf numFmtId="0" fontId="4" fillId="10" borderId="52" applyAlignment="1" applyProtection="1" pivotButton="0" quotePrefix="0" xfId="0">
      <alignment horizontal="center"/>
      <protection locked="0" hidden="0"/>
    </xf>
    <xf numFmtId="0" fontId="4" fillId="10" borderId="81" applyAlignment="1" pivotButton="0" quotePrefix="0" xfId="0">
      <alignment horizontal="center"/>
    </xf>
    <xf numFmtId="0" fontId="4" fillId="10" borderId="23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0" borderId="24" applyAlignment="1" pivotButton="0" quotePrefix="0" xfId="0">
      <alignment horizontal="center"/>
    </xf>
    <xf numFmtId="0" fontId="4" fillId="10" borderId="26" applyAlignment="1" pivotButton="0" quotePrefix="0" xfId="0">
      <alignment horizontal="center"/>
    </xf>
    <xf numFmtId="0" fontId="4" fillId="10" borderId="25" applyAlignment="1" pivotButton="0" quotePrefix="0" xfId="0">
      <alignment horizontal="center"/>
    </xf>
    <xf numFmtId="0" fontId="24" fillId="0" borderId="81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6" fillId="0" borderId="55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 wrapText="1"/>
    </xf>
    <xf numFmtId="0" fontId="24" fillId="0" borderId="81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4" fillId="10" borderId="81" applyAlignment="1" applyProtection="1" pivotButton="0" quotePrefix="0" xfId="0">
      <alignment horizontal="center"/>
      <protection locked="0" hidden="0"/>
    </xf>
    <xf numFmtId="0" fontId="4" fillId="10" borderId="23" applyAlignment="1" applyProtection="1" pivotButton="0" quotePrefix="0" xfId="0">
      <alignment horizontal="center"/>
      <protection locked="0" hidden="0"/>
    </xf>
    <xf numFmtId="0" fontId="4" fillId="10" borderId="93" applyAlignment="1" applyProtection="1" pivotButton="0" quotePrefix="0" xfId="0">
      <alignment horizontal="center"/>
      <protection locked="0" hidden="0"/>
    </xf>
    <xf numFmtId="0" fontId="4" fillId="10" borderId="1" applyAlignment="1" applyProtection="1" pivotButton="0" quotePrefix="0" xfId="0">
      <alignment horizontal="center"/>
      <protection locked="0" hidden="0"/>
    </xf>
    <xf numFmtId="0" fontId="4" fillId="10" borderId="2" applyAlignment="1" applyProtection="1" pivotButton="0" quotePrefix="0" xfId="0">
      <alignment horizontal="center"/>
      <protection locked="0" hidden="0"/>
    </xf>
    <xf numFmtId="0" fontId="4" fillId="10" borderId="3" applyAlignment="1" applyProtection="1" pivotButton="0" quotePrefix="0" xfId="0">
      <alignment horizontal="center"/>
      <protection locked="0" hidden="0"/>
    </xf>
    <xf numFmtId="0" fontId="1" fillId="6" borderId="55" applyAlignment="1" pivotButton="0" quotePrefix="0" xfId="0">
      <alignment horizontal="center" vertical="center" wrapText="1"/>
    </xf>
    <xf numFmtId="0" fontId="1" fillId="6" borderId="14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4" fillId="0" borderId="59" applyAlignment="1" pivotButton="0" quotePrefix="0" xfId="1">
      <alignment horizontal="center" vertical="center"/>
    </xf>
    <xf numFmtId="0" fontId="14" fillId="0" borderId="60" applyAlignment="1" pivotButton="0" quotePrefix="0" xfId="1">
      <alignment horizontal="center" vertical="center"/>
    </xf>
    <xf numFmtId="0" fontId="1" fillId="0" borderId="59" applyAlignment="1" pivotButton="0" quotePrefix="0" xfId="1">
      <alignment horizontal="center"/>
    </xf>
    <xf numFmtId="0" fontId="1" fillId="0" borderId="60" applyAlignment="1" pivotButton="0" quotePrefix="0" xfId="1">
      <alignment horizontal="center"/>
    </xf>
    <xf numFmtId="0" fontId="14" fillId="0" borderId="59" applyAlignment="1" pivotButton="0" quotePrefix="0" xfId="1">
      <alignment horizontal="center"/>
    </xf>
    <xf numFmtId="0" fontId="14" fillId="0" borderId="57" applyAlignment="1" pivotButton="0" quotePrefix="0" xfId="1">
      <alignment horizontal="center"/>
    </xf>
    <xf numFmtId="0" fontId="14" fillId="0" borderId="60" applyAlignment="1" pivotButton="0" quotePrefix="0" xfId="1">
      <alignment horizontal="center"/>
    </xf>
    <xf numFmtId="168" fontId="28" fillId="0" borderId="94" applyProtection="1" pivotButton="0" quotePrefix="0" xfId="0">
      <protection locked="0" hidden="0"/>
    </xf>
    <xf numFmtId="0" fontId="28" fillId="0" borderId="96" applyAlignment="1" applyProtection="1" pivotButton="0" quotePrefix="0" xfId="0">
      <alignment horizontal="left"/>
      <protection locked="0" hidden="0"/>
    </xf>
    <xf numFmtId="0" fontId="28" fillId="0" borderId="95" applyAlignment="1" applyProtection="1" pivotButton="0" quotePrefix="0" xfId="0">
      <alignment horizontal="left"/>
      <protection locked="0" hidden="0"/>
    </xf>
    <xf numFmtId="165" fontId="14" fillId="0" borderId="97" pivotButton="0" quotePrefix="0" xfId="0"/>
    <xf numFmtId="0" fontId="11" fillId="12" borderId="2" pivotButton="0" quotePrefix="0" xfId="0"/>
    <xf numFmtId="10" fontId="11" fillId="12" borderId="98" pivotButton="0" quotePrefix="0" xfId="0"/>
    <xf numFmtId="0" fontId="11" fillId="0" borderId="2" pivotButton="0" quotePrefix="0" xfId="0"/>
    <xf numFmtId="0" fontId="39" fillId="10" borderId="2" pivotButton="0" quotePrefix="0" xfId="0"/>
    <xf numFmtId="0" fontId="39" fillId="8" borderId="2" pivotButton="0" quotePrefix="0" xfId="0"/>
    <xf numFmtId="37" fontId="10" fillId="0" borderId="2" pivotButton="0" quotePrefix="0" xfId="0"/>
    <xf numFmtId="37" fontId="43" fillId="0" borderId="2" pivotButton="0" quotePrefix="0" xfId="0"/>
    <xf numFmtId="37" fontId="10" fillId="6" borderId="2" pivotButton="0" quotePrefix="0" xfId="0"/>
    <xf numFmtId="0" fontId="9" fillId="0" borderId="2" pivotButton="0" quotePrefix="0" xfId="0"/>
    <xf numFmtId="173" fontId="14" fillId="0" borderId="2" pivotButton="0" quotePrefix="0" xfId="0"/>
    <xf numFmtId="37" fontId="1" fillId="0" borderId="2" pivotButton="0" quotePrefix="0" xfId="0"/>
    <xf numFmtId="37" fontId="13" fillId="4" borderId="2" pivotButton="0" quotePrefix="0" xfId="0"/>
    <xf numFmtId="0" fontId="14" fillId="4" borderId="2" pivotButton="0" quotePrefix="0" xfId="0"/>
    <xf numFmtId="173" fontId="14" fillId="4" borderId="2" pivotButton="0" quotePrefix="0" xfId="0"/>
    <xf numFmtId="0" fontId="13" fillId="4" borderId="2" pivotButton="0" quotePrefix="0" xfId="0"/>
    <xf numFmtId="10" fontId="9" fillId="0" borderId="2" pivotButton="0" quotePrefix="0" xfId="0"/>
    <xf numFmtId="0" fontId="12" fillId="0" borderId="2" pivotButton="0" quotePrefix="0" xfId="0"/>
    <xf numFmtId="173" fontId="12" fillId="0" borderId="2" pivotButton="0" quotePrefix="0" xfId="0"/>
    <xf numFmtId="37" fontId="44" fillId="8" borderId="2" pivotButton="0" quotePrefix="0" xfId="0"/>
    <xf numFmtId="37" fontId="44" fillId="0" borderId="2" pivotButton="0" quotePrefix="0" xfId="0"/>
    <xf numFmtId="0" fontId="5" fillId="8" borderId="2" pivotButton="0" quotePrefix="0" xfId="0"/>
    <xf numFmtId="0" fontId="5" fillId="0" borderId="2" pivotButton="0" quotePrefix="0" xfId="0"/>
    <xf numFmtId="37" fontId="12" fillId="0" borderId="2" pivotButton="0" quotePrefix="0" xfId="0"/>
    <xf numFmtId="0" fontId="36" fillId="0" borderId="2" applyAlignment="1" pivotButton="0" quotePrefix="0" xfId="0">
      <alignment horizontal="center"/>
    </xf>
    <xf numFmtId="168" fontId="37" fillId="0" borderId="99" applyAlignment="1" pivotButton="0" quotePrefix="0" xfId="0">
      <alignment horizontal="center"/>
    </xf>
    <xf numFmtId="0" fontId="1" fillId="0" borderId="2" applyAlignment="1" pivotButton="0" quotePrefix="0" xfId="1">
      <alignment horizontal="left"/>
    </xf>
    <xf numFmtId="9" fontId="1" fillId="0" borderId="2" applyAlignment="1" pivotButton="0" quotePrefix="0" xfId="3">
      <alignment horizontal="left"/>
    </xf>
    <xf numFmtId="166" fontId="1" fillId="0" borderId="2" applyAlignment="1" pivotButton="0" quotePrefix="0" xfId="4">
      <alignment horizontal="right"/>
    </xf>
    <xf numFmtId="178" fontId="1" fillId="0" borderId="2" applyAlignment="1" pivotButton="0" quotePrefix="0" xfId="4">
      <alignment horizontal="right"/>
    </xf>
    <xf numFmtId="178" fontId="1" fillId="0" borderId="2" applyAlignment="1" pivotButton="0" quotePrefix="0" xfId="1">
      <alignment horizontal="right"/>
    </xf>
    <xf numFmtId="0" fontId="12" fillId="0" borderId="2" applyAlignment="1" pivotButton="0" quotePrefix="0" xfId="1">
      <alignment wrapText="1"/>
    </xf>
    <xf numFmtId="166" fontId="53" fillId="0" borderId="2" applyAlignment="1" pivotButton="0" quotePrefix="0" xfId="2">
      <alignment horizontal="center"/>
    </xf>
    <xf numFmtId="0" fontId="4" fillId="10" borderId="100" applyAlignment="1" pivotButton="0" quotePrefix="0" xfId="0">
      <alignment horizontal="center"/>
    </xf>
    <xf numFmtId="0" fontId="0" fillId="0" borderId="32" pivotButton="0" quotePrefix="0" xfId="0"/>
    <xf numFmtId="0" fontId="0" fillId="0" borderId="37" pivotButton="0" quotePrefix="0" xfId="0"/>
    <xf numFmtId="0" fontId="4" fillId="10" borderId="101" applyAlignment="1" pivotButton="0" quotePrefix="0" xfId="0">
      <alignment horizontal="center"/>
    </xf>
    <xf numFmtId="0" fontId="0" fillId="0" borderId="38" pivotButton="0" quotePrefix="0" xfId="0"/>
    <xf numFmtId="0" fontId="0" fillId="0" borderId="52" pivotButton="0" quotePrefix="0" xfId="0"/>
    <xf numFmtId="0" fontId="54" fillId="0" borderId="0" pivotButton="0" quotePrefix="0" xfId="0"/>
    <xf numFmtId="0" fontId="7" fillId="10" borderId="102" applyAlignment="1" pivotButton="0" quotePrefix="0" xfId="0">
      <alignment horizontal="center"/>
    </xf>
    <xf numFmtId="0" fontId="0" fillId="0" borderId="31" pivotButton="0" quotePrefix="0" xfId="0"/>
    <xf numFmtId="0" fontId="0" fillId="0" borderId="39" pivotButton="0" quotePrefix="0" xfId="0"/>
    <xf numFmtId="173" fontId="8" fillId="0" borderId="43" applyProtection="1" pivotButton="0" quotePrefix="0" xfId="3">
      <protection locked="0" hidden="0"/>
    </xf>
    <xf numFmtId="164" fontId="1" fillId="0" borderId="43" pivotButton="0" quotePrefix="0" xfId="0"/>
    <xf numFmtId="164" fontId="1" fillId="0" borderId="44" pivotButton="0" quotePrefix="0" xfId="0"/>
    <xf numFmtId="0" fontId="7" fillId="10" borderId="36" applyAlignment="1" pivotButton="0" quotePrefix="0" xfId="0">
      <alignment horizontal="center"/>
    </xf>
    <xf numFmtId="0" fontId="0" fillId="0" borderId="29" pivotButton="0" quotePrefix="0" xfId="0"/>
    <xf numFmtId="0" fontId="0" fillId="0" borderId="73" pivotButton="0" quotePrefix="0" xfId="0"/>
    <xf numFmtId="164" fontId="9" fillId="5" borderId="21" applyAlignment="1" pivotButton="0" quotePrefix="0" xfId="0">
      <alignment horizontal="right"/>
    </xf>
    <xf numFmtId="164" fontId="14" fillId="0" borderId="43" pivotButton="0" quotePrefix="0" xfId="0"/>
    <xf numFmtId="164" fontId="9" fillId="5" borderId="24" applyAlignment="1" pivotButton="0" quotePrefix="0" xfId="0">
      <alignment horizontal="right"/>
    </xf>
    <xf numFmtId="164" fontId="14" fillId="0" borderId="47" pivotButton="0" quotePrefix="0" xfId="0"/>
    <xf numFmtId="164" fontId="9" fillId="5" borderId="58" applyAlignment="1" pivotButton="0" quotePrefix="0" xfId="0">
      <alignment horizontal="right"/>
    </xf>
    <xf numFmtId="164" fontId="14" fillId="0" borderId="44" pivotButton="0" quotePrefix="0" xfId="0"/>
    <xf numFmtId="0" fontId="0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0" fontId="4" fillId="10" borderId="100" applyAlignment="1" applyProtection="1" pivotButton="0" quotePrefix="0" xfId="0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4" fillId="10" borderId="101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7" fillId="10" borderId="102" applyAlignment="1" applyProtection="1" pivotButton="0" quotePrefix="0" xfId="0">
      <alignment horizont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22" fillId="0" borderId="103" applyAlignment="1" applyProtection="1" pivotButton="0" quotePrefix="0" xfId="0">
      <alignment horizontal="center"/>
      <protection locked="0" hidden="0"/>
    </xf>
    <xf numFmtId="0" fontId="0" fillId="0" borderId="104" applyProtection="1" pivotButton="0" quotePrefix="0" xfId="0">
      <protection locked="0" hidden="0"/>
    </xf>
    <xf numFmtId="0" fontId="0" fillId="0" borderId="105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22" fillId="0" borderId="106" applyAlignment="1" applyProtection="1" pivotButton="0" quotePrefix="1" xfId="0">
      <alignment horizont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22" fillId="0" borderId="106" applyAlignment="1" applyProtection="1" pivotButton="0" quotePrefix="0" xfId="0">
      <alignment horizontal="center"/>
      <protection locked="0" hidden="0"/>
    </xf>
    <xf numFmtId="166" fontId="15" fillId="0" borderId="0" applyProtection="1" pivotButton="0" quotePrefix="0" xfId="0">
      <protection locked="0" hidden="0"/>
    </xf>
    <xf numFmtId="166" fontId="11" fillId="0" borderId="0" applyProtection="1" pivotButton="0" quotePrefix="0" xfId="0">
      <protection locked="0" hidden="0"/>
    </xf>
    <xf numFmtId="164" fontId="22" fillId="0" borderId="0" pivotButton="0" quotePrefix="0" xfId="0"/>
    <xf numFmtId="166" fontId="15" fillId="0" borderId="81" applyProtection="1" pivotButton="0" quotePrefix="0" xfId="0">
      <protection locked="0" hidden="0"/>
    </xf>
    <xf numFmtId="166" fontId="15" fillId="0" borderId="27" applyProtection="1" pivotButton="0" quotePrefix="0" xfId="0">
      <protection locked="0" hidden="0"/>
    </xf>
    <xf numFmtId="170" fontId="23" fillId="0" borderId="43" pivotButton="0" quotePrefix="0" xfId="0"/>
    <xf numFmtId="166" fontId="15" fillId="0" borderId="21" applyProtection="1" pivotButton="0" quotePrefix="0" xfId="0">
      <protection locked="0" hidden="0"/>
    </xf>
    <xf numFmtId="164" fontId="15" fillId="0" borderId="0" applyProtection="1" pivotButton="0" quotePrefix="0" xfId="0">
      <protection locked="0" hidden="0"/>
    </xf>
    <xf numFmtId="164" fontId="22" fillId="0" borderId="41" pivotButton="0" quotePrefix="0" xfId="0"/>
    <xf numFmtId="164" fontId="22" fillId="0" borderId="67" pivotButton="0" quotePrefix="0" xfId="0"/>
    <xf numFmtId="164" fontId="22" fillId="0" borderId="68" pivotButton="0" quotePrefix="0" xfId="0"/>
    <xf numFmtId="164" fontId="11" fillId="0" borderId="0" applyProtection="1" pivotButton="0" quotePrefix="0" xfId="0">
      <protection locked="0" hidden="0"/>
    </xf>
    <xf numFmtId="164" fontId="11" fillId="0" borderId="27" applyProtection="1" pivotButton="0" quotePrefix="0" xfId="0">
      <protection locked="0" hidden="0"/>
    </xf>
    <xf numFmtId="167" fontId="7" fillId="10" borderId="102" applyAlignment="1" applyProtection="1" pivotButton="0" quotePrefix="0" xfId="0">
      <alignment horizontal="center"/>
      <protection locked="0" hidden="0"/>
    </xf>
    <xf numFmtId="188" fontId="11" fillId="0" borderId="81" applyAlignment="1" applyProtection="1" pivotButton="0" quotePrefix="0" xfId="0">
      <alignment horizontal="center"/>
      <protection locked="0" hidden="0"/>
    </xf>
    <xf numFmtId="188" fontId="11" fillId="0" borderId="58" applyAlignment="1" pivotButton="0" quotePrefix="0" xfId="0">
      <alignment horizontal="center"/>
    </xf>
    <xf numFmtId="168" fontId="6" fillId="0" borderId="48" applyProtection="1" pivotButton="0" quotePrefix="0" xfId="0">
      <protection locked="0" hidden="0"/>
    </xf>
    <xf numFmtId="168" fontId="15" fillId="0" borderId="0" applyProtection="1" pivotButton="0" quotePrefix="0" xfId="0">
      <protection locked="0" hidden="0"/>
    </xf>
    <xf numFmtId="168" fontId="15" fillId="0" borderId="41" applyProtection="1" pivotButton="0" quotePrefix="0" xfId="0">
      <protection locked="0" hidden="0"/>
    </xf>
    <xf numFmtId="168" fontId="6" fillId="0" borderId="69" applyProtection="1" pivotButton="0" quotePrefix="0" xfId="0">
      <protection locked="0" hidden="0"/>
    </xf>
    <xf numFmtId="182" fontId="11" fillId="0" borderId="43" pivotButton="0" quotePrefix="0" xfId="0"/>
    <xf numFmtId="164" fontId="11" fillId="0" borderId="44" pivotButton="0" quotePrefix="0" xfId="0"/>
    <xf numFmtId="164" fontId="6" fillId="0" borderId="69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5" fontId="11" fillId="0" borderId="21" applyProtection="1" pivotButton="0" quotePrefix="0" xfId="0">
      <protection locked="0" hidden="0"/>
    </xf>
    <xf numFmtId="165" fontId="11" fillId="0" borderId="27" applyProtection="1" pivotButton="0" quotePrefix="0" xfId="0">
      <protection locked="0" hidden="0"/>
    </xf>
    <xf numFmtId="169" fontId="11" fillId="0" borderId="11" applyProtection="1" pivotButton="0" quotePrefix="0" xfId="0">
      <protection locked="0" hidden="0"/>
    </xf>
    <xf numFmtId="165" fontId="11" fillId="0" borderId="58" applyProtection="1" pivotButton="0" quotePrefix="0" xfId="0">
      <protection locked="0" hidden="0"/>
    </xf>
    <xf numFmtId="165" fontId="11" fillId="0" borderId="71" applyProtection="1" pivotButton="0" quotePrefix="0" xfId="0">
      <protection locked="0" hidden="0"/>
    </xf>
    <xf numFmtId="164" fontId="11" fillId="2" borderId="0" applyProtection="1" pivotButton="0" quotePrefix="0" xfId="0">
      <protection locked="0" hidden="0"/>
    </xf>
    <xf numFmtId="166" fontId="9" fillId="0" borderId="0" applyProtection="1" pivotButton="0" quotePrefix="0" xfId="0">
      <protection locked="0" hidden="0"/>
    </xf>
    <xf numFmtId="0" fontId="4" fillId="10" borderId="103" applyAlignment="1" pivotButton="0" quotePrefix="0" xfId="0">
      <alignment horizontal="center"/>
    </xf>
    <xf numFmtId="0" fontId="0" fillId="0" borderId="104" pivotButton="0" quotePrefix="0" xfId="0"/>
    <xf numFmtId="0" fontId="0" fillId="0" borderId="105" pivotButton="0" quotePrefix="0" xfId="0"/>
    <xf numFmtId="0" fontId="4" fillId="10" borderId="106" applyAlignment="1" pivotButton="0" quotePrefix="0" xfId="0">
      <alignment horizontal="center"/>
    </xf>
    <xf numFmtId="0" fontId="0" fillId="0" borderId="26" pivotButton="0" quotePrefix="0" xfId="0"/>
    <xf numFmtId="0" fontId="0" fillId="0" borderId="25" pivotButton="0" quotePrefix="0" xfId="0"/>
    <xf numFmtId="165" fontId="11" fillId="0" borderId="0" pivotButton="0" quotePrefix="0" xfId="0"/>
    <xf numFmtId="0" fontId="24" fillId="0" borderId="112" applyAlignment="1" pivotButton="0" quotePrefix="0" xfId="0">
      <alignment horizontal="center" vertical="center"/>
    </xf>
    <xf numFmtId="0" fontId="0" fillId="0" borderId="113" pivotButton="0" quotePrefix="0" xfId="0"/>
    <xf numFmtId="168" fontId="28" fillId="0" borderId="90" applyProtection="1" pivotButton="0" quotePrefix="0" xfId="0">
      <protection locked="0" hidden="0"/>
    </xf>
    <xf numFmtId="165" fontId="26" fillId="0" borderId="90" pivotButton="0" quotePrefix="0" xfId="0"/>
    <xf numFmtId="0" fontId="0" fillId="0" borderId="107" pivotButton="0" quotePrefix="0" xfId="0"/>
    <xf numFmtId="168" fontId="28" fillId="0" borderId="79" applyProtection="1" pivotButton="0" quotePrefix="0" xfId="0">
      <protection locked="0" hidden="0"/>
    </xf>
    <xf numFmtId="165" fontId="26" fillId="0" borderId="12" pivotButton="0" quotePrefix="0" xfId="0"/>
    <xf numFmtId="168" fontId="28" fillId="0" borderId="94" applyProtection="1" pivotButton="0" quotePrefix="0" xfId="0">
      <protection locked="0" hidden="0"/>
    </xf>
    <xf numFmtId="165" fontId="26" fillId="0" borderId="27" pivotButton="0" quotePrefix="0" xfId="0"/>
    <xf numFmtId="0" fontId="0" fillId="0" borderId="108" pivotButton="0" quotePrefix="0" xfId="0"/>
    <xf numFmtId="168" fontId="28" fillId="0" borderId="60" applyProtection="1" pivotButton="0" quotePrefix="0" xfId="0">
      <protection locked="0" hidden="0"/>
    </xf>
    <xf numFmtId="165" fontId="26" fillId="0" borderId="60" pivotButton="0" quotePrefix="0" xfId="0"/>
    <xf numFmtId="0" fontId="24" fillId="0" borderId="111" applyAlignment="1" pivotButton="0" quotePrefix="0" xfId="0">
      <alignment horizontal="center" vertical="center" wrapText="1"/>
    </xf>
    <xf numFmtId="0" fontId="0" fillId="0" borderId="14" pivotButton="0" quotePrefix="0" xfId="0"/>
    <xf numFmtId="168" fontId="28" fillId="0" borderId="12" applyProtection="1" pivotButton="0" quotePrefix="0" xfId="0">
      <protection locked="0" hidden="0"/>
    </xf>
    <xf numFmtId="168" fontId="28" fillId="0" borderId="3" applyProtection="1" pivotButton="0" quotePrefix="0" xfId="0">
      <protection locked="0" hidden="0"/>
    </xf>
    <xf numFmtId="165" fontId="26" fillId="0" borderId="3" pivotButton="0" quotePrefix="0" xfId="0"/>
    <xf numFmtId="168" fontId="28" fillId="0" borderId="91" applyProtection="1" pivotButton="0" quotePrefix="0" xfId="0">
      <protection locked="0" hidden="0"/>
    </xf>
    <xf numFmtId="0" fontId="0" fillId="0" borderId="5" pivotButton="0" quotePrefix="0" xfId="0"/>
    <xf numFmtId="168" fontId="26" fillId="0" borderId="12" applyAlignment="1" pivotButton="0" quotePrefix="0" xfId="0">
      <alignment horizontal="right"/>
    </xf>
    <xf numFmtId="168" fontId="26" fillId="0" borderId="3" applyAlignment="1" pivotButton="0" quotePrefix="0" xfId="0">
      <alignment horizontal="right"/>
    </xf>
    <xf numFmtId="165" fontId="26" fillId="0" borderId="92" pivotButton="0" quotePrefix="0" xfId="0"/>
    <xf numFmtId="184" fontId="29" fillId="0" borderId="27" applyAlignment="1" pivotButton="0" quotePrefix="0" xfId="5">
      <alignment horizontal="left" wrapText="1"/>
    </xf>
    <xf numFmtId="187" fontId="29" fillId="0" borderId="91" applyAlignment="1" pivotButton="0" quotePrefix="0" xfId="5">
      <alignment horizontal="left" wrapText="1"/>
    </xf>
    <xf numFmtId="168" fontId="29" fillId="0" borderId="12" applyAlignment="1" pivotButton="0" quotePrefix="0" xfId="0">
      <alignment horizontal="right"/>
    </xf>
    <xf numFmtId="168" fontId="29" fillId="0" borderId="91" applyAlignment="1" pivotButton="0" quotePrefix="0" xfId="0">
      <alignment horizontal="right"/>
    </xf>
    <xf numFmtId="165" fontId="26" fillId="0" borderId="91" pivotButton="0" quotePrefix="0" xfId="0"/>
    <xf numFmtId="168" fontId="29" fillId="0" borderId="60" applyAlignment="1" pivotButton="0" quotePrefix="0" xfId="0">
      <alignment horizontal="right"/>
    </xf>
    <xf numFmtId="168" fontId="28" fillId="0" borderId="27" applyProtection="1" pivotButton="0" quotePrefix="0" xfId="0">
      <protection locked="0" hidden="0"/>
    </xf>
    <xf numFmtId="0" fontId="24" fillId="0" borderId="109" applyAlignment="1" pivotButton="0" quotePrefix="0" xfId="0">
      <alignment horizontal="center" vertical="center" wrapText="1"/>
    </xf>
    <xf numFmtId="168" fontId="26" fillId="0" borderId="90" applyAlignment="1" pivotButton="0" quotePrefix="0" xfId="0">
      <alignment horizontal="right"/>
    </xf>
    <xf numFmtId="168" fontId="29" fillId="0" borderId="3" applyAlignment="1" pivotButton="0" quotePrefix="0" xfId="0">
      <alignment horizontal="right"/>
    </xf>
    <xf numFmtId="168" fontId="29" fillId="0" borderId="90" applyAlignment="1" pivotButton="0" quotePrefix="0" xfId="0">
      <alignment horizontal="right"/>
    </xf>
    <xf numFmtId="168" fontId="28" fillId="0" borderId="90" pivotButton="0" quotePrefix="0" xfId="0"/>
    <xf numFmtId="168" fontId="28" fillId="0" borderId="91" pivotButton="0" quotePrefix="0" xfId="0"/>
    <xf numFmtId="168" fontId="28" fillId="0" borderId="93" applyProtection="1" pivotButton="0" quotePrefix="0" xfId="0">
      <protection locked="0" hidden="0"/>
    </xf>
    <xf numFmtId="165" fontId="26" fillId="0" borderId="93" pivotButton="0" quotePrefix="0" xfId="0"/>
    <xf numFmtId="168" fontId="24" fillId="0" borderId="54" pivotButton="0" quotePrefix="0" xfId="0"/>
    <xf numFmtId="165" fontId="24" fillId="0" borderId="3" pivotButton="0" quotePrefix="0" xfId="0"/>
    <xf numFmtId="168" fontId="24" fillId="0" borderId="0" applyProtection="1" pivotButton="0" quotePrefix="0" xfId="0">
      <protection locked="0" hidden="0"/>
    </xf>
    <xf numFmtId="168" fontId="25" fillId="0" borderId="7" pivotButton="0" quotePrefix="0" xfId="0"/>
    <xf numFmtId="165" fontId="24" fillId="0" borderId="56" applyAlignment="1" pivotButton="0" quotePrefix="0" xfId="0">
      <alignment horizontal="right"/>
    </xf>
    <xf numFmtId="168" fontId="25" fillId="0" borderId="0" pivotButton="0" quotePrefix="0" xfId="0"/>
    <xf numFmtId="165" fontId="24" fillId="0" borderId="43" applyAlignment="1" pivotButton="0" quotePrefix="0" xfId="0">
      <alignment horizontal="right"/>
    </xf>
    <xf numFmtId="165" fontId="26" fillId="0" borderId="43" pivotButton="0" quotePrefix="0" xfId="0"/>
    <xf numFmtId="168" fontId="25" fillId="0" borderId="2" pivotButton="0" quotePrefix="0" xfId="0"/>
    <xf numFmtId="165" fontId="26" fillId="0" borderId="47" pivotButton="0" quotePrefix="0" xfId="0"/>
    <xf numFmtId="168" fontId="25" fillId="0" borderId="16" pivotButton="0" quotePrefix="0" xfId="0"/>
    <xf numFmtId="165" fontId="24" fillId="0" borderId="56" pivotButton="0" quotePrefix="0" xfId="0"/>
    <xf numFmtId="165" fontId="24" fillId="0" borderId="43" pivotButton="0" quotePrefix="0" xfId="0"/>
    <xf numFmtId="165" fontId="24" fillId="0" borderId="72" pivotButton="0" quotePrefix="0" xfId="0"/>
    <xf numFmtId="168" fontId="25" fillId="0" borderId="82" pivotButton="0" quotePrefix="0" xfId="0"/>
    <xf numFmtId="168" fontId="25" fillId="0" borderId="3" pivotButton="0" quotePrefix="0" xfId="0"/>
    <xf numFmtId="165" fontId="24" fillId="0" borderId="47" pivotButton="0" quotePrefix="0" xfId="0"/>
    <xf numFmtId="168" fontId="25" fillId="0" borderId="23" pivotButton="0" quotePrefix="0" xfId="0"/>
    <xf numFmtId="165" fontId="24" fillId="0" borderId="64" pivotButton="0" quotePrefix="0" xfId="0"/>
    <xf numFmtId="168" fontId="31" fillId="0" borderId="38" pivotButton="0" quotePrefix="0" xfId="0"/>
    <xf numFmtId="165" fontId="24" fillId="0" borderId="44" pivotButton="0" quotePrefix="0" xfId="0"/>
    <xf numFmtId="0" fontId="4" fillId="10" borderId="109" applyAlignment="1" applyProtection="1" pivotButton="0" quotePrefix="0" xfId="0">
      <alignment horizontal="center"/>
      <protection locked="0" hidden="0"/>
    </xf>
    <xf numFmtId="0" fontId="0" fillId="0" borderId="93" applyProtection="1" pivotButton="0" quotePrefix="0" xfId="0">
      <protection locked="0" hidden="0"/>
    </xf>
    <xf numFmtId="0" fontId="4" fillId="10" borderId="5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4" fontId="9" fillId="5" borderId="1" applyAlignment="1" pivotButton="0" quotePrefix="0" xfId="0">
      <alignment horizontal="right"/>
    </xf>
    <xf numFmtId="175" fontId="9" fillId="0" borderId="14" applyAlignment="1" pivotButton="0" quotePrefix="0" xfId="0">
      <alignment horizontal="right"/>
    </xf>
    <xf numFmtId="165" fontId="1" fillId="0" borderId="14" pivotButton="0" quotePrefix="0" xfId="0"/>
    <xf numFmtId="165" fontId="1" fillId="0" borderId="43" pivotButton="0" quotePrefix="0" xfId="0"/>
    <xf numFmtId="176" fontId="1" fillId="0" borderId="35" pivotButton="0" quotePrefix="0" xfId="0"/>
    <xf numFmtId="175" fontId="9" fillId="0" borderId="8" applyAlignment="1" pivotButton="0" quotePrefix="0" xfId="0">
      <alignment horizontal="right"/>
    </xf>
    <xf numFmtId="165" fontId="1" fillId="0" borderId="56" pivotButton="0" quotePrefix="0" xfId="0"/>
    <xf numFmtId="177" fontId="9" fillId="0" borderId="14" applyAlignment="1" pivotButton="0" quotePrefix="0" xfId="0">
      <alignment horizontal="right"/>
    </xf>
    <xf numFmtId="178" fontId="19" fillId="0" borderId="7" pivotButton="0" quotePrefix="0" xfId="0"/>
    <xf numFmtId="177" fontId="9" fillId="0" borderId="8" applyAlignment="1" pivotButton="0" quotePrefix="0" xfId="0">
      <alignment horizontal="right"/>
    </xf>
    <xf numFmtId="165" fontId="1" fillId="0" borderId="8" pivotButton="0" quotePrefix="0" xfId="0"/>
    <xf numFmtId="175" fontId="47" fillId="0" borderId="54" applyAlignment="1" pivotButton="0" quotePrefix="0" xfId="0">
      <alignment horizontal="right"/>
    </xf>
    <xf numFmtId="165" fontId="14" fillId="0" borderId="5" pivotButton="0" quotePrefix="0" xfId="0"/>
    <xf numFmtId="165" fontId="14" fillId="0" borderId="43" pivotButton="0" quotePrefix="0" xfId="0"/>
    <xf numFmtId="179" fontId="47" fillId="0" borderId="14" applyAlignment="1" pivotButton="0" quotePrefix="0" xfId="0">
      <alignment horizontal="right"/>
    </xf>
    <xf numFmtId="165" fontId="14" fillId="0" borderId="55" pivotButton="0" quotePrefix="0" xfId="0"/>
    <xf numFmtId="165" fontId="14" fillId="0" borderId="97" pivotButton="0" quotePrefix="0" xfId="0"/>
    <xf numFmtId="165" fontId="1" fillId="0" borderId="14" applyAlignment="1" pivotButton="0" quotePrefix="0" xfId="0">
      <alignment horizontal="right"/>
    </xf>
    <xf numFmtId="175" fontId="47" fillId="0" borderId="46" applyAlignment="1" pivotButton="0" quotePrefix="0" xfId="0">
      <alignment horizontal="right"/>
    </xf>
    <xf numFmtId="165" fontId="14" fillId="0" borderId="46" pivotButton="0" quotePrefix="0" xfId="0"/>
    <xf numFmtId="164" fontId="17" fillId="0" borderId="0" applyProtection="1" pivotButton="0" quotePrefix="0" xfId="0">
      <protection locked="0" hidden="0"/>
    </xf>
    <xf numFmtId="180" fontId="1" fillId="0" borderId="14" applyAlignment="1" pivotButton="0" quotePrefix="0" xfId="0">
      <alignment horizontal="center"/>
    </xf>
    <xf numFmtId="170" fontId="1" fillId="0" borderId="43" applyAlignment="1" pivotButton="0" quotePrefix="0" xfId="0">
      <alignment horizontal="center"/>
    </xf>
    <xf numFmtId="180" fontId="1" fillId="0" borderId="5" applyAlignment="1" pivotButton="0" quotePrefix="0" xfId="0">
      <alignment horizontal="center"/>
    </xf>
    <xf numFmtId="170" fontId="8" fillId="0" borderId="47" applyAlignment="1" applyProtection="1" pivotButton="0" quotePrefix="0" xfId="0">
      <alignment horizontal="center"/>
      <protection locked="0" hidden="0"/>
    </xf>
    <xf numFmtId="175" fontId="9" fillId="0" borderId="5" applyAlignment="1" pivotButton="0" quotePrefix="0" xfId="0">
      <alignment horizontal="right"/>
    </xf>
    <xf numFmtId="165" fontId="1" fillId="0" borderId="47" pivotButton="0" quotePrefix="0" xfId="0"/>
    <xf numFmtId="175" fontId="47" fillId="0" borderId="14" applyAlignment="1" pivotButton="0" quotePrefix="0" xfId="0">
      <alignment horizontal="right"/>
    </xf>
    <xf numFmtId="165" fontId="8" fillId="0" borderId="14" applyAlignment="1" applyProtection="1" pivotButton="0" quotePrefix="0" xfId="0">
      <alignment horizontal="right"/>
      <protection locked="0" hidden="0"/>
    </xf>
    <xf numFmtId="165" fontId="14" fillId="0" borderId="48" pivotButton="0" quotePrefix="0" xfId="0"/>
    <xf numFmtId="165" fontId="14" fillId="0" borderId="44" pivotButton="0" quotePrefix="0" xfId="0"/>
    <xf numFmtId="165" fontId="22" fillId="0" borderId="0" applyProtection="1" pivotButton="0" quotePrefix="0" xfId="0">
      <protection locked="0" hidden="0"/>
    </xf>
    <xf numFmtId="180" fontId="11" fillId="0" borderId="0" pivotButton="0" quotePrefix="0" xfId="0"/>
    <xf numFmtId="170" fontId="15" fillId="0" borderId="43" pivotButton="0" quotePrefix="0" xfId="0"/>
    <xf numFmtId="165" fontId="22" fillId="4" borderId="43" pivotButton="0" quotePrefix="0" xfId="0"/>
    <xf numFmtId="165" fontId="11" fillId="0" borderId="43" applyAlignment="1" pivotButton="0" quotePrefix="0" xfId="0">
      <alignment horizontal="right"/>
    </xf>
    <xf numFmtId="165" fontId="11" fillId="0" borderId="43" pivotButton="0" quotePrefix="0" xfId="0"/>
    <xf numFmtId="165" fontId="11" fillId="0" borderId="56" pivotButton="0" quotePrefix="0" xfId="0"/>
    <xf numFmtId="165" fontId="11" fillId="7" borderId="64" pivotButton="0" quotePrefix="0" xfId="0"/>
    <xf numFmtId="165" fontId="11" fillId="7" borderId="43" pivotButton="0" quotePrefix="0" xfId="0"/>
    <xf numFmtId="165" fontId="11" fillId="7" borderId="56" pivotButton="0" quotePrefix="0" xfId="0"/>
    <xf numFmtId="165" fontId="11" fillId="11" borderId="43" pivotButton="0" quotePrefix="0" xfId="0"/>
    <xf numFmtId="165" fontId="11" fillId="11" borderId="56" pivotButton="0" quotePrefix="0" xfId="0"/>
    <xf numFmtId="165" fontId="11" fillId="12" borderId="43" pivotButton="0" quotePrefix="0" xfId="0"/>
    <xf numFmtId="165" fontId="11" fillId="12" borderId="47" pivotButton="0" quotePrefix="0" xfId="0"/>
    <xf numFmtId="165" fontId="22" fillId="0" borderId="62" pivotButton="0" quotePrefix="0" xfId="0"/>
    <xf numFmtId="165" fontId="22" fillId="0" borderId="50" applyAlignment="1" pivotButton="0" quotePrefix="0" xfId="0">
      <alignment horizontal="right"/>
    </xf>
    <xf numFmtId="181" fontId="11" fillId="0" borderId="81" applyAlignment="1" pivotButton="0" quotePrefix="0" xfId="0">
      <alignment horizontal="center"/>
    </xf>
    <xf numFmtId="173" fontId="11" fillId="0" borderId="55" applyAlignment="1" pivotButton="0" quotePrefix="0" xfId="0">
      <alignment horizontal="center"/>
    </xf>
    <xf numFmtId="165" fontId="11" fillId="0" borderId="64" pivotButton="0" quotePrefix="0" xfId="0"/>
    <xf numFmtId="181" fontId="11" fillId="0" borderId="1" applyAlignment="1" pivotButton="0" quotePrefix="0" xfId="0">
      <alignment horizontal="center"/>
    </xf>
    <xf numFmtId="173" fontId="11" fillId="0" borderId="5" applyAlignment="1" pivotButton="0" quotePrefix="0" xfId="0">
      <alignment horizontal="center"/>
    </xf>
    <xf numFmtId="165" fontId="11" fillId="0" borderId="47" pivotButton="0" quotePrefix="0" xfId="0"/>
    <xf numFmtId="181" fontId="22" fillId="0" borderId="81" applyAlignment="1" pivotButton="0" quotePrefix="0" xfId="0">
      <alignment horizontal="center"/>
    </xf>
    <xf numFmtId="173" fontId="22" fillId="0" borderId="55" applyAlignment="1" pivotButton="0" quotePrefix="0" xfId="0">
      <alignment horizontal="center"/>
    </xf>
    <xf numFmtId="165" fontId="22" fillId="0" borderId="64" pivotButton="0" quotePrefix="0" xfId="0"/>
    <xf numFmtId="181" fontId="22" fillId="0" borderId="6" applyAlignment="1" pivotButton="0" quotePrefix="0" xfId="0">
      <alignment horizontal="center"/>
    </xf>
    <xf numFmtId="173" fontId="22" fillId="0" borderId="8" applyAlignment="1" pivotButton="0" quotePrefix="0" xfId="0">
      <alignment horizontal="center"/>
    </xf>
    <xf numFmtId="165" fontId="22" fillId="0" borderId="56" pivotButton="0" quotePrefix="0" xfId="0"/>
    <xf numFmtId="173" fontId="11" fillId="0" borderId="14" applyAlignment="1" pivotButton="0" quotePrefix="0" xfId="0">
      <alignment horizontal="center"/>
    </xf>
    <xf numFmtId="181" fontId="22" fillId="4" borderId="61" applyAlignment="1" pivotButton="0" quotePrefix="0" xfId="0">
      <alignment horizontal="center"/>
    </xf>
    <xf numFmtId="173" fontId="22" fillId="4" borderId="63" applyAlignment="1" pivotButton="0" quotePrefix="0" xfId="0">
      <alignment horizontal="center"/>
    </xf>
    <xf numFmtId="165" fontId="22" fillId="4" borderId="62" pivotButton="0" quotePrefix="0" xfId="0"/>
    <xf numFmtId="170" fontId="22" fillId="0" borderId="55" applyAlignment="1" pivotButton="0" quotePrefix="0" xfId="0">
      <alignment horizontal="center"/>
    </xf>
    <xf numFmtId="171" fontId="1" fillId="0" borderId="3" pivotButton="0" quotePrefix="0" xfId="0"/>
    <xf numFmtId="185" fontId="1" fillId="0" borderId="27" applyAlignment="1" pivotButton="0" quotePrefix="0" xfId="5">
      <alignment horizontal="left" wrapText="1"/>
    </xf>
    <xf numFmtId="0" fontId="10" fillId="0" borderId="54" applyAlignment="1" pivotButton="0" quotePrefix="0" xfId="0">
      <alignment horizontal="center" wrapText="1"/>
    </xf>
    <xf numFmtId="0" fontId="10" fillId="0" borderId="54" applyAlignment="1" pivotButton="0" quotePrefix="0" xfId="0">
      <alignment horizontal="center" vertical="center" wrapText="1"/>
    </xf>
    <xf numFmtId="0" fontId="1" fillId="6" borderId="54" applyAlignment="1" pivotButton="0" quotePrefix="0" xfId="0">
      <alignment horizontal="center" vertical="center" wrapText="1"/>
    </xf>
    <xf numFmtId="172" fontId="16" fillId="0" borderId="0" pivotButton="0" quotePrefix="0" xfId="0"/>
    <xf numFmtId="186" fontId="14" fillId="4" borderId="57" pivotButton="0" quotePrefix="0" xfId="0"/>
    <xf numFmtId="173" fontId="14" fillId="4" borderId="60" pivotButton="0" quotePrefix="0" xfId="0"/>
    <xf numFmtId="173" fontId="14" fillId="0" borderId="2" pivotButton="0" quotePrefix="0" xfId="0"/>
    <xf numFmtId="173" fontId="14" fillId="4" borderId="0" pivotButton="0" quotePrefix="0" xfId="0"/>
    <xf numFmtId="173" fontId="14" fillId="4" borderId="2" pivotButton="0" quotePrefix="0" xfId="0"/>
    <xf numFmtId="173" fontId="14" fillId="0" borderId="0" pivotButton="0" quotePrefix="0" xfId="0"/>
    <xf numFmtId="173" fontId="14" fillId="4" borderId="57" pivotButton="0" quotePrefix="0" xfId="0"/>
    <xf numFmtId="173" fontId="12" fillId="0" borderId="0" pivotButton="0" quotePrefix="0" xfId="0"/>
    <xf numFmtId="173" fontId="12" fillId="0" borderId="23" pivotButton="0" quotePrefix="0" xfId="0"/>
    <xf numFmtId="173" fontId="12" fillId="0" borderId="2" pivotButton="0" quotePrefix="0" xfId="0"/>
    <xf numFmtId="171" fontId="12" fillId="0" borderId="0" pivotButton="0" quotePrefix="0" xfId="0"/>
    <xf numFmtId="174" fontId="12" fillId="0" borderId="0" pivotButton="0" quotePrefix="0" xfId="0"/>
    <xf numFmtId="173" fontId="12" fillId="0" borderId="57" pivotButton="0" quotePrefix="0" xfId="0"/>
    <xf numFmtId="0" fontId="33" fillId="10" borderId="100" applyAlignment="1" pivotButton="0" quotePrefix="0" xfId="0">
      <alignment horizontal="center"/>
    </xf>
    <xf numFmtId="0" fontId="33" fillId="10" borderId="101" applyAlignment="1" pivotButton="0" quotePrefix="0" xfId="0">
      <alignment horizontal="center"/>
    </xf>
    <xf numFmtId="168" fontId="14" fillId="0" borderId="50" applyAlignment="1" pivotButton="0" quotePrefix="0" xfId="0">
      <alignment horizontal="center"/>
    </xf>
    <xf numFmtId="168" fontId="37" fillId="0" borderId="99" applyAlignment="1" pivotButton="0" quotePrefix="0" xfId="0">
      <alignment horizontal="center"/>
    </xf>
    <xf numFmtId="168" fontId="36" fillId="0" borderId="50" applyAlignment="1" pivotButton="0" quotePrefix="0" xfId="0">
      <alignment horizontal="center"/>
    </xf>
    <xf numFmtId="165" fontId="1" fillId="5" borderId="0" applyAlignment="1" pivotButton="0" quotePrefix="0" xfId="0">
      <alignment horizontal="right"/>
    </xf>
    <xf numFmtId="168" fontId="9" fillId="5" borderId="50" pivotButton="0" quotePrefix="0" xfId="0"/>
    <xf numFmtId="165" fontId="1" fillId="0" borderId="0" pivotButton="0" quotePrefix="0" xfId="0"/>
    <xf numFmtId="168" fontId="9" fillId="0" borderId="50" pivotButton="0" quotePrefix="0" xfId="0"/>
    <xf numFmtId="165" fontId="1" fillId="5" borderId="0" pivotButton="0" quotePrefix="0" xfId="0"/>
    <xf numFmtId="165" fontId="14" fillId="3" borderId="49" pivotButton="0" quotePrefix="0" xfId="0"/>
    <xf numFmtId="165" fontId="14" fillId="3" borderId="0" pivotButton="0" quotePrefix="0" xfId="0"/>
    <xf numFmtId="168" fontId="47" fillId="3" borderId="51" pivotButton="0" quotePrefix="0" xfId="0"/>
    <xf numFmtId="165" fontId="14" fillId="0" borderId="0" pivotButton="0" quotePrefix="0" xfId="0"/>
    <xf numFmtId="168" fontId="47" fillId="0" borderId="50" pivotButton="0" quotePrefix="0" xfId="0"/>
    <xf numFmtId="169" fontId="1" fillId="0" borderId="33" pivotButton="0" quotePrefix="0" xfId="0"/>
    <xf numFmtId="165" fontId="1" fillId="0" borderId="0" pivotButton="0" quotePrefix="1" xfId="0"/>
    <xf numFmtId="165" fontId="14" fillId="4" borderId="49" pivotButton="0" quotePrefix="0" xfId="0"/>
    <xf numFmtId="165" fontId="14" fillId="4" borderId="0" pivotButton="0" quotePrefix="0" xfId="0"/>
    <xf numFmtId="168" fontId="47" fillId="4" borderId="51" pivotButton="0" quotePrefix="0" xfId="0"/>
    <xf numFmtId="168" fontId="1" fillId="0" borderId="50" pivotButton="0" quotePrefix="0" xfId="0"/>
    <xf numFmtId="165" fontId="14" fillId="3" borderId="11" pivotButton="0" quotePrefix="0" xfId="0"/>
    <xf numFmtId="168" fontId="1" fillId="0" borderId="52" pivotButton="0" quotePrefix="0" xfId="0"/>
    <xf numFmtId="168" fontId="5" fillId="0" borderId="0" applyProtection="1" pivotButton="0" quotePrefix="0" xfId="0">
      <protection locked="0" hidden="0"/>
    </xf>
    <xf numFmtId="164" fontId="1" fillId="0" borderId="0" applyAlignment="1" pivotButton="0" quotePrefix="0" xfId="1">
      <alignment horizontal="center"/>
    </xf>
    <xf numFmtId="164" fontId="14" fillId="0" borderId="36" applyAlignment="1" pivotButton="0" quotePrefix="0" xfId="1">
      <alignment horizontal="center"/>
    </xf>
    <xf numFmtId="0" fontId="14" fillId="0" borderId="111" applyAlignment="1" pivotButton="0" quotePrefix="0" xfId="1">
      <alignment horizontal="center" vertical="center"/>
    </xf>
    <xf numFmtId="0" fontId="0" fillId="0" borderId="60" pivotButton="0" quotePrefix="0" xfId="0"/>
    <xf numFmtId="0" fontId="1" fillId="0" borderId="111" applyAlignment="1" pivotButton="0" quotePrefix="0" xfId="1">
      <alignment horizontal="center"/>
    </xf>
    <xf numFmtId="166" fontId="1" fillId="0" borderId="59" applyAlignment="1" pivotButton="0" quotePrefix="0" xfId="1">
      <alignment horizontal="center"/>
    </xf>
    <xf numFmtId="164" fontId="1" fillId="0" borderId="60" pivotButton="0" quotePrefix="0" xfId="1"/>
    <xf numFmtId="166" fontId="1" fillId="0" borderId="60" applyAlignment="1" pivotButton="0" quotePrefix="0" xfId="1">
      <alignment horizontal="center"/>
    </xf>
    <xf numFmtId="166" fontId="1" fillId="0" borderId="54" applyAlignment="1" pivotButton="0" quotePrefix="0" xfId="1">
      <alignment horizontal="center"/>
    </xf>
    <xf numFmtId="183" fontId="22" fillId="0" borderId="81" applyAlignment="1" pivotButton="0" quotePrefix="0" xfId="1">
      <alignment horizontal="left"/>
    </xf>
    <xf numFmtId="166" fontId="53" fillId="0" borderId="23" applyAlignment="1" pivotButton="0" quotePrefix="0" xfId="2">
      <alignment horizontal="center"/>
    </xf>
    <xf numFmtId="164" fontId="1" fillId="0" borderId="14" pivotButton="0" quotePrefix="0" xfId="1"/>
    <xf numFmtId="164" fontId="1" fillId="0" borderId="27" applyAlignment="1" pivotButton="0" quotePrefix="0" xfId="1">
      <alignment horizontal="right"/>
    </xf>
    <xf numFmtId="166" fontId="47" fillId="5" borderId="86" applyAlignment="1" pivotButton="0" quotePrefix="0" xfId="2">
      <alignment horizontal="center"/>
    </xf>
    <xf numFmtId="183" fontId="22" fillId="0" borderId="21" applyAlignment="1" pivotButton="0" quotePrefix="0" xfId="1">
      <alignment horizontal="left"/>
    </xf>
    <xf numFmtId="166" fontId="53" fillId="0" borderId="0" applyAlignment="1" pivotButton="0" quotePrefix="0" xfId="2">
      <alignment horizontal="center"/>
    </xf>
    <xf numFmtId="166" fontId="47" fillId="2" borderId="3" applyAlignment="1" pivotButton="0" quotePrefix="0" xfId="1">
      <alignment horizontal="center" vertical="center"/>
    </xf>
    <xf numFmtId="0" fontId="14" fillId="0" borderId="111" applyAlignment="1" pivotButton="0" quotePrefix="0" xfId="1">
      <alignment horizontal="center"/>
    </xf>
    <xf numFmtId="0" fontId="0" fillId="0" borderId="57" pivotButton="0" quotePrefix="0" xfId="0"/>
    <xf numFmtId="173" fontId="52" fillId="13" borderId="0" applyAlignment="1" pivotButton="0" quotePrefix="0" xfId="3">
      <alignment horizontal="right"/>
    </xf>
    <xf numFmtId="173" fontId="52" fillId="12" borderId="14" applyAlignment="1" pivotButton="0" quotePrefix="0" xfId="3">
      <alignment horizontal="right"/>
    </xf>
    <xf numFmtId="173" fontId="1" fillId="4" borderId="0" applyAlignment="1" pivotButton="0" quotePrefix="0" xfId="3">
      <alignment horizontal="right"/>
    </xf>
    <xf numFmtId="164" fontId="1" fillId="0" borderId="8" pivotButton="0" quotePrefix="0" xfId="1"/>
    <xf numFmtId="164" fontId="1" fillId="0" borderId="74" applyAlignment="1" pivotButton="0" quotePrefix="0" xfId="1">
      <alignment horizontal="right"/>
    </xf>
    <xf numFmtId="166" fontId="1" fillId="0" borderId="2" applyAlignment="1" pivotButton="0" quotePrefix="0" xfId="4">
      <alignment horizontal="right"/>
    </xf>
    <xf numFmtId="166" fontId="1" fillId="0" borderId="5" applyAlignment="1" pivotButton="0" quotePrefix="0" xfId="4">
      <alignment horizontal="right"/>
    </xf>
    <xf numFmtId="183" fontId="22" fillId="0" borderId="88" applyAlignment="1" pivotButton="0" quotePrefix="0" xfId="1">
      <alignment horizontal="left"/>
    </xf>
    <xf numFmtId="166" fontId="53" fillId="0" borderId="75" applyAlignment="1" pivotButton="0" quotePrefix="0" xfId="2">
      <alignment horizontal="center"/>
    </xf>
    <xf numFmtId="166" fontId="1" fillId="0" borderId="0" applyAlignment="1" pivotButton="0" quotePrefix="0" xfId="4">
      <alignment horizontal="right"/>
    </xf>
    <xf numFmtId="178" fontId="1" fillId="0" borderId="2" applyAlignment="1" pivotButton="0" quotePrefix="0" xfId="4">
      <alignment horizontal="right"/>
    </xf>
    <xf numFmtId="178" fontId="1" fillId="0" borderId="5" applyAlignment="1" pivotButton="0" quotePrefix="0" xfId="4">
      <alignment horizontal="right"/>
    </xf>
    <xf numFmtId="178" fontId="1" fillId="0" borderId="2" applyAlignment="1" pivotButton="0" quotePrefix="0" xfId="1">
      <alignment horizontal="right"/>
    </xf>
    <xf numFmtId="183" fontId="22" fillId="0" borderId="1" applyAlignment="1" pivotButton="0" quotePrefix="0" xfId="1">
      <alignment horizontal="left"/>
    </xf>
    <xf numFmtId="166" fontId="53" fillId="0" borderId="2" applyAlignment="1" pivotButton="0" quotePrefix="0" xfId="2">
      <alignment horizontal="center"/>
    </xf>
    <xf numFmtId="164" fontId="1" fillId="0" borderId="5" pivotButton="0" quotePrefix="0" xfId="1"/>
    <xf numFmtId="164" fontId="1" fillId="0" borderId="3" applyAlignment="1" pivotButton="0" quotePrefix="0" xfId="1">
      <alignment horizontal="right"/>
    </xf>
    <xf numFmtId="164" fontId="14" fillId="13" borderId="76" applyAlignment="1" pivotButton="0" quotePrefix="0" xfId="4">
      <alignment horizontal="right"/>
    </xf>
    <xf numFmtId="164" fontId="14" fillId="12" borderId="77" applyAlignment="1" pivotButton="0" quotePrefix="0" xfId="4">
      <alignment horizontal="right"/>
    </xf>
    <xf numFmtId="164" fontId="14" fillId="4" borderId="76" applyAlignment="1" pivotButton="0" quotePrefix="0" xfId="1">
      <alignment horizontal="right"/>
    </xf>
    <xf numFmtId="164" fontId="1" fillId="0" borderId="23" pivotButton="0" quotePrefix="0" xfId="1"/>
    <xf numFmtId="164" fontId="1" fillId="0" borderId="0" applyAlignment="1" pivotButton="0" quotePrefix="0" xfId="1">
      <alignment horizontal="right"/>
    </xf>
    <xf numFmtId="164" fontId="1" fillId="0" borderId="0" pivotButton="0" quotePrefix="0" xfId="1"/>
    <xf numFmtId="166" fontId="1" fillId="0" borderId="14" pivotButton="0" quotePrefix="0" xfId="1"/>
    <xf numFmtId="166" fontId="1" fillId="0" borderId="27" applyAlignment="1" pivotButton="0" quotePrefix="0" xfId="1">
      <alignment horizontal="right"/>
    </xf>
    <xf numFmtId="166" fontId="1" fillId="0" borderId="8" pivotButton="0" quotePrefix="0" xfId="1"/>
    <xf numFmtId="166" fontId="1" fillId="0" borderId="74" applyAlignment="1" pivotButton="0" quotePrefix="0" xfId="1">
      <alignment horizontal="right"/>
    </xf>
    <xf numFmtId="166" fontId="1" fillId="0" borderId="5" pivotButton="0" quotePrefix="0" xfId="1"/>
    <xf numFmtId="166" fontId="1" fillId="0" borderId="3" applyAlignment="1" pivotButton="0" quotePrefix="0" xfId="1">
      <alignment horizontal="right"/>
    </xf>
    <xf numFmtId="166" fontId="1" fillId="0" borderId="0" applyAlignment="1" pivotButton="0" quotePrefix="0" xfId="1">
      <alignment horizontal="right"/>
    </xf>
    <xf numFmtId="0" fontId="55" fillId="17" borderId="100" applyAlignment="1" pivotButton="0" quotePrefix="0" xfId="0">
      <alignment horizontal="center"/>
    </xf>
    <xf numFmtId="0" fontId="55" fillId="17" borderId="101" applyAlignment="1" pivotButton="0" quotePrefix="0" xfId="0">
      <alignment horizontal="center"/>
    </xf>
    <xf numFmtId="0" fontId="56" fillId="17" borderId="102" applyAlignment="1" pivotButton="0" quotePrefix="0" xfId="0">
      <alignment horizontal="center"/>
    </xf>
    <xf numFmtId="0" fontId="56" fillId="17" borderId="30" applyAlignment="1" pivotButton="0" quotePrefix="0" xfId="0">
      <alignment horizontal="center"/>
    </xf>
    <xf numFmtId="0" fontId="56" fillId="17" borderId="36" applyAlignment="1" pivotButton="0" quotePrefix="0" xfId="0">
      <alignment horizontal="center"/>
    </xf>
    <xf numFmtId="0" fontId="55" fillId="17" borderId="100" applyAlignment="1" applyProtection="1" pivotButton="0" quotePrefix="0" xfId="0">
      <alignment horizontal="center"/>
      <protection locked="0" hidden="0"/>
    </xf>
    <xf numFmtId="0" fontId="55" fillId="17" borderId="101" applyAlignment="1" applyProtection="1" pivotButton="0" quotePrefix="0" xfId="0">
      <alignment horizontal="center"/>
      <protection locked="0" hidden="0"/>
    </xf>
    <xf numFmtId="0" fontId="56" fillId="17" borderId="102" applyAlignment="1" applyProtection="1" pivotButton="0" quotePrefix="0" xfId="0">
      <alignment horizontal="center"/>
      <protection locked="0" hidden="0"/>
    </xf>
    <xf numFmtId="167" fontId="56" fillId="17" borderId="102" applyAlignment="1" applyProtection="1" pivotButton="0" quotePrefix="0" xfId="0">
      <alignment horizontal="center"/>
      <protection locked="0" hidden="0"/>
    </xf>
    <xf numFmtId="0" fontId="55" fillId="17" borderId="103" applyAlignment="1" pivotButton="0" quotePrefix="0" xfId="0">
      <alignment horizontal="center"/>
    </xf>
    <xf numFmtId="0" fontId="55" fillId="17" borderId="106" applyAlignment="1" pivotButton="0" quotePrefix="0" xfId="0">
      <alignment horizontal="center"/>
    </xf>
    <xf numFmtId="0" fontId="55" fillId="17" borderId="109" applyAlignment="1" applyProtection="1" pivotButton="0" quotePrefix="0" xfId="0">
      <alignment horizontal="center"/>
      <protection locked="0" hidden="0"/>
    </xf>
    <xf numFmtId="0" fontId="55" fillId="17" borderId="5" applyAlignment="1" applyProtection="1" pivotButton="0" quotePrefix="0" xfId="0">
      <alignment horizontal="center"/>
      <protection locked="0" hidden="0"/>
    </xf>
    <xf numFmtId="0" fontId="57" fillId="17" borderId="23" pivotButton="0" quotePrefix="0" xfId="0"/>
    <xf numFmtId="0" fontId="57" fillId="17" borderId="2" pivotButton="0" quotePrefix="0" xfId="0"/>
    <xf numFmtId="0" fontId="56" fillId="17" borderId="57" pivotButton="0" quotePrefix="0" xfId="0"/>
    <xf numFmtId="0" fontId="58" fillId="17" borderId="57" pivotButton="0" quotePrefix="0" xfId="0"/>
    <xf numFmtId="0" fontId="58" fillId="17" borderId="0" pivotButton="0" quotePrefix="0" xfId="0"/>
    <xf numFmtId="0" fontId="52" fillId="18" borderId="54" applyAlignment="1" pivotButton="0" quotePrefix="0" xfId="1">
      <alignment horizontal="center"/>
    </xf>
    <xf numFmtId="10" fontId="52" fillId="18" borderId="54" applyAlignment="1" pivotButton="0" quotePrefix="0" xfId="1">
      <alignment horizontal="center"/>
    </xf>
  </cellXfs>
  <cellStyles count="6">
    <cellStyle name="Normal" xfId="0" builtinId="0"/>
    <cellStyle name="Normal 2" xfId="1"/>
    <cellStyle name="Comma" xfId="2" builtinId="3"/>
    <cellStyle name="Percent" xfId="3" builtinId="5"/>
    <cellStyle name="Currency 2 2" xfId="4"/>
    <cellStyle name="Normal_Sheet1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tc={4C359958-9ED8-49BD-9F69-38921EB1C2D1}</author>
  </authors>
  <commentList>
    <comment ref="E4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calculate manually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N:\Team-SpecialProjects-DNI\Team-Energy%20Center%20Five\OWNER\Budget%20and%20Proforma\18%20Stories\Energy%20Center%20Five%20Proforma%20PAR%20Land%20Value%20-%203.7%20Interest%20Rate%20_524397_5.16.1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Worksheets"/>
      <sheetName val="Instructions &amp; Print"/>
      <sheetName val="Global Assumptions"/>
      <sheetName val="Commercial Assumptions"/>
      <sheetName val="Assumptions-ReForecast"/>
      <sheetName val="Lease 1 Commissions"/>
      <sheetName val="Lease 2 Commissions"/>
      <sheetName val="Lease 3 Commissions"/>
      <sheetName val="Residential Assumptions"/>
      <sheetName val="Total Project Costs"/>
      <sheetName val="TPC-ReForecast"/>
      <sheetName val="Projected Returns"/>
      <sheetName val="TCC Returns"/>
      <sheetName val="Calc of Final Distributions"/>
      <sheetName val="Sensitivities"/>
      <sheetName val="Summary Budget"/>
      <sheetName val="Summary CF"/>
      <sheetName val="Detail and Calcs"/>
      <sheetName val="D&amp;C-ReForecast"/>
      <sheetName val="Residential D&amp;C"/>
      <sheetName val="Tax Rates"/>
      <sheetName val="AMSOutput"/>
      <sheetName val="BudgetOutput"/>
      <sheetName val="ForecastOutput"/>
      <sheetName val="Module1"/>
      <sheetName val="Construction Interest"/>
      <sheetName val="Dev Fee Calc"/>
      <sheetName val="Presentation Budget"/>
      <sheetName val="Sheet1"/>
      <sheetName val="Energy Center Five Proforma 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FC46"/>
  <sheetViews>
    <sheetView showGridLines="0" workbookViewId="0">
      <selection activeCell="E11" sqref="E11"/>
    </sheetView>
  </sheetViews>
  <sheetFormatPr baseColWidth="8" defaultColWidth="9.140625" defaultRowHeight="13.9"/>
  <cols>
    <col width="9.140625" customWidth="1" style="1" min="1" max="1"/>
    <col width="21.85546875" customWidth="1" style="1" min="2" max="2"/>
    <col width="14.140625" customWidth="1" style="1" min="3" max="3"/>
    <col width="12.42578125" customWidth="1" style="1" min="4" max="4"/>
    <col width="16" customWidth="1" style="1" min="5" max="5"/>
    <col width="9.140625" customWidth="1" style="1" min="6" max="7"/>
    <col width="25.140625" customWidth="1" style="1" min="8" max="8"/>
    <col width="10.42578125" bestFit="1" customWidth="1" style="1" min="9" max="9"/>
    <col width="6.42578125" customWidth="1" style="1" min="10" max="10"/>
    <col width="11.85546875" customWidth="1" style="1" min="11" max="11"/>
    <col width="9.140625" customWidth="1" style="1" min="12" max="16384"/>
  </cols>
  <sheetData>
    <row r="1" ht="18.75" customHeight="1">
      <c r="A1" s="1215">
        <f>A5</f>
        <v/>
      </c>
      <c r="B1" s="918" t="n"/>
      <c r="C1" s="918" t="n"/>
      <c r="D1" s="918" t="n"/>
      <c r="E1" s="918" t="n"/>
      <c r="F1" s="918" t="n"/>
      <c r="G1" s="918" t="n"/>
      <c r="H1" s="918" t="n"/>
      <c r="I1" s="918" t="n"/>
      <c r="J1" s="918" t="n"/>
      <c r="K1" s="919" t="n"/>
    </row>
    <row r="2" ht="18.75" customHeight="1" thickBot="1">
      <c r="A2" s="1216" t="inlineStr">
        <is>
          <t>Project Assumptions</t>
        </is>
      </c>
      <c r="B2" s="921" t="n"/>
      <c r="C2" s="921" t="n"/>
      <c r="D2" s="921" t="n"/>
      <c r="E2" s="921" t="n"/>
      <c r="F2" s="921" t="n"/>
      <c r="G2" s="921" t="n"/>
      <c r="H2" s="921" t="n"/>
      <c r="I2" s="921" t="n"/>
      <c r="J2" s="921" t="n"/>
      <c r="K2" s="922" t="n"/>
    </row>
    <row r="3" ht="14.1" customHeight="1" thickBot="1">
      <c r="A3" s="923" t="inlineStr">
        <is>
          <t>Blue cells = your inputs (change these)     Black cells = formulas (do not touch)     Green cells = links from other tabs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2" t="n"/>
    </row>
    <row r="4" ht="14.1" customHeight="1">
      <c r="A4" s="1217" t="inlineStr">
        <is>
          <t>Project Name</t>
        </is>
      </c>
      <c r="B4" s="925" t="n"/>
      <c r="C4" s="925" t="n"/>
      <c r="D4" s="925" t="n"/>
      <c r="E4" s="926" t="n"/>
      <c r="F4" s="2" t="n"/>
      <c r="G4" s="2" t="n"/>
      <c r="H4" s="1217" t="inlineStr">
        <is>
          <t xml:space="preserve">Base Development Fee Assumptions </t>
        </is>
      </c>
      <c r="I4" s="925" t="n"/>
      <c r="J4" s="925" t="n"/>
      <c r="K4" s="926" t="n"/>
    </row>
    <row r="5" ht="14.1" customHeight="1" thickBot="1">
      <c r="A5" s="4" t="inlineStr">
        <is>
          <t>[Enter Property Name]</t>
        </is>
      </c>
      <c r="B5" s="5" t="n"/>
      <c r="C5" s="5" t="n"/>
      <c r="D5" s="6" t="n"/>
      <c r="E5" s="7" t="n"/>
      <c r="H5" s="540" t="inlineStr">
        <is>
          <t>Percentage Fee</t>
        </is>
      </c>
      <c r="I5" s="541" t="n"/>
      <c r="J5" s="542" t="n"/>
      <c r="K5" s="657" t="n"/>
    </row>
    <row r="6" ht="14.1" customHeight="1" thickBot="1">
      <c r="A6" s="10" t="n"/>
      <c r="B6" s="11" t="n"/>
      <c r="C6" s="11" t="n"/>
      <c r="D6" s="12" t="n"/>
      <c r="H6" s="8" t="inlineStr">
        <is>
          <t>Calculate Fee on (type "X" to include):</t>
        </is>
      </c>
      <c r="I6" s="9" t="n"/>
      <c r="J6" s="13" t="n"/>
      <c r="K6" s="658" t="n"/>
    </row>
    <row r="7" ht="14.1" customHeight="1">
      <c r="A7" s="1217" t="inlineStr">
        <is>
          <t>Project Size</t>
        </is>
      </c>
      <c r="B7" s="925" t="n"/>
      <c r="C7" s="925" t="n"/>
      <c r="D7" s="925" t="n"/>
      <c r="E7" s="926" t="n"/>
      <c r="H7" s="8" t="inlineStr">
        <is>
          <t xml:space="preserve">     Land or Building Purchase</t>
        </is>
      </c>
      <c r="I7" s="13" t="n"/>
      <c r="J7" s="13" t="n"/>
      <c r="K7" s="14" t="n"/>
    </row>
    <row r="8">
      <c r="A8" s="8" t="inlineStr">
        <is>
          <t>Land Area (acres)</t>
        </is>
      </c>
      <c r="B8" s="15" t="n"/>
      <c r="C8" s="15" t="n"/>
      <c r="D8" s="9" t="n"/>
      <c r="E8" s="16" t="n"/>
      <c r="H8" s="8" t="inlineStr">
        <is>
          <t xml:space="preserve">     Land Development and Site Work</t>
        </is>
      </c>
      <c r="I8" s="13" t="n"/>
      <c r="J8" s="13" t="n"/>
      <c r="K8" s="14" t="inlineStr">
        <is>
          <t>X</t>
        </is>
      </c>
    </row>
    <row r="9">
      <c r="A9" s="8" t="inlineStr">
        <is>
          <t>Gross Square Feet</t>
        </is>
      </c>
      <c r="B9" s="9" t="n"/>
      <c r="C9" s="13" t="n"/>
      <c r="D9" s="9" t="n"/>
      <c r="E9" s="651" t="n">
        <v>92000</v>
      </c>
      <c r="H9" s="8" t="inlineStr">
        <is>
          <t xml:space="preserve">     Building Shell</t>
        </is>
      </c>
      <c r="I9" s="13" t="n"/>
      <c r="J9" s="13" t="n"/>
      <c r="K9" s="14" t="inlineStr">
        <is>
          <t>X</t>
        </is>
      </c>
    </row>
    <row r="10">
      <c r="A10" s="8" t="inlineStr">
        <is>
          <t>NRSF Factor</t>
        </is>
      </c>
      <c r="B10" s="9" t="n"/>
      <c r="C10" s="13" t="n"/>
      <c r="D10" s="9" t="n"/>
      <c r="E10" s="927">
        <f>89750/E9</f>
        <v/>
      </c>
      <c r="H10" s="8" t="inlineStr">
        <is>
          <t xml:space="preserve">     Tenant Improvements:</t>
        </is>
      </c>
      <c r="I10" s="15" t="inlineStr">
        <is>
          <t>Hard Costs</t>
        </is>
      </c>
      <c r="J10" s="13" t="n"/>
      <c r="K10" s="14" t="inlineStr">
        <is>
          <t>X</t>
        </is>
      </c>
    </row>
    <row r="11" ht="14.1" customHeight="1" thickBot="1">
      <c r="A11" s="17" t="inlineStr">
        <is>
          <t>Net Rentable Square Feet</t>
        </is>
      </c>
      <c r="B11" s="18" t="n"/>
      <c r="C11" s="19" t="n"/>
      <c r="D11" s="19" t="n"/>
      <c r="E11" s="20">
        <f>E9*E10</f>
        <v/>
      </c>
      <c r="H11" s="8" t="inlineStr">
        <is>
          <t xml:space="preserve">     Arch. &amp; Eng. and Other Consultants</t>
        </is>
      </c>
      <c r="I11" s="13" t="n"/>
      <c r="J11" s="13" t="n"/>
      <c r="K11" s="14" t="inlineStr">
        <is>
          <t>X</t>
        </is>
      </c>
    </row>
    <row r="12" ht="14.1" customHeight="1" thickBot="1">
      <c r="A12" s="10" t="n"/>
      <c r="B12" s="11" t="n"/>
      <c r="C12" s="11" t="n"/>
      <c r="D12" s="12" t="n"/>
      <c r="H12" s="8" t="inlineStr">
        <is>
          <t xml:space="preserve">     Legal, Marketing, Insurance, Taxes</t>
        </is>
      </c>
      <c r="I12" s="13" t="n"/>
      <c r="J12" s="13" t="n"/>
      <c r="K12" s="14" t="n"/>
    </row>
    <row r="13" ht="14.1" customHeight="1">
      <c r="A13" s="1218" t="inlineStr">
        <is>
          <t>Project Dates</t>
        </is>
      </c>
      <c r="B13" s="925" t="n"/>
      <c r="C13" s="925" t="n"/>
      <c r="D13" s="925" t="n"/>
      <c r="E13" s="925" t="n"/>
      <c r="H13" s="8" t="inlineStr">
        <is>
          <t xml:space="preserve">     Permits, Testing/Insp., Fees, Bonds</t>
        </is>
      </c>
      <c r="I13" s="13" t="n"/>
      <c r="J13" s="13" t="n"/>
      <c r="K13" s="14" t="inlineStr">
        <is>
          <t>X</t>
        </is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1" t="n"/>
      <c r="CL13" s="21" t="n"/>
      <c r="CM13" s="21" t="n"/>
      <c r="CN13" s="21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  <c r="DX13" s="21" t="n"/>
      <c r="DY13" s="21" t="n"/>
      <c r="DZ13" s="21" t="n"/>
      <c r="EA13" s="21" t="n"/>
      <c r="EB13" s="21" t="n"/>
      <c r="EC13" s="21" t="n"/>
      <c r="ED13" s="21" t="n"/>
      <c r="EE13" s="21" t="n"/>
      <c r="EF13" s="21" t="n"/>
      <c r="EG13" s="21" t="n"/>
      <c r="EH13" s="21" t="n"/>
      <c r="EI13" s="21" t="n"/>
      <c r="EJ13" s="21" t="n"/>
      <c r="EK13" s="21" t="n"/>
      <c r="EL13" s="21" t="n"/>
      <c r="EM13" s="21" t="n"/>
      <c r="EN13" s="21" t="n"/>
      <c r="EO13" s="21" t="n"/>
      <c r="EP13" s="21" t="n"/>
      <c r="EQ13" s="21" t="n"/>
      <c r="ER13" s="21" t="n"/>
      <c r="ES13" s="21" t="n"/>
      <c r="ET13" s="21" t="n"/>
      <c r="EU13" s="21" t="n"/>
      <c r="EV13" s="21" t="n"/>
      <c r="EW13" s="21" t="n"/>
      <c r="EX13" s="21" t="n"/>
      <c r="EY13" s="21" t="n"/>
      <c r="EZ13" s="21" t="n"/>
      <c r="FA13" s="21" t="n"/>
      <c r="FB13" s="21" t="n"/>
      <c r="FC13" s="21" t="n"/>
      <c r="FD13" s="21" t="n"/>
      <c r="FE13" s="21" t="n"/>
      <c r="FF13" s="21" t="n"/>
      <c r="FG13" s="21" t="n"/>
      <c r="FH13" s="21" t="n"/>
      <c r="FI13" s="21" t="n"/>
      <c r="FJ13" s="21" t="n"/>
      <c r="FK13" s="21" t="n"/>
      <c r="FL13" s="21" t="n"/>
      <c r="FM13" s="21" t="n"/>
      <c r="FN13" s="21" t="n"/>
      <c r="FO13" s="21" t="n"/>
      <c r="FP13" s="21" t="n"/>
      <c r="FQ13" s="21" t="n"/>
      <c r="FR13" s="21" t="n"/>
      <c r="FS13" s="21" t="n"/>
      <c r="FT13" s="21" t="n"/>
      <c r="FU13" s="21" t="n"/>
      <c r="FV13" s="21" t="n"/>
      <c r="FW13" s="21" t="n"/>
      <c r="FX13" s="21" t="n"/>
      <c r="FY13" s="21" t="n"/>
      <c r="FZ13" s="21" t="n"/>
      <c r="GA13" s="21" t="n"/>
      <c r="GB13" s="21" t="n"/>
      <c r="GC13" s="21" t="n"/>
      <c r="GD13" s="21" t="n"/>
      <c r="GE13" s="21" t="n"/>
      <c r="GF13" s="21" t="n"/>
      <c r="GG13" s="21" t="n"/>
      <c r="GH13" s="21" t="n"/>
      <c r="GI13" s="21" t="n"/>
      <c r="GJ13" s="21" t="n"/>
      <c r="GK13" s="21" t="n"/>
      <c r="GL13" s="21" t="n"/>
      <c r="GM13" s="21" t="n"/>
      <c r="GN13" s="21" t="n"/>
      <c r="GO13" s="21" t="n"/>
      <c r="GP13" s="21" t="n"/>
      <c r="GQ13" s="21" t="n"/>
      <c r="GR13" s="21" t="n"/>
      <c r="GS13" s="21" t="n"/>
      <c r="GT13" s="21" t="n"/>
      <c r="GU13" s="21" t="n"/>
      <c r="GV13" s="21" t="n"/>
      <c r="GW13" s="21" t="n"/>
      <c r="GX13" s="21" t="n"/>
      <c r="GY13" s="21" t="n"/>
      <c r="GZ13" s="21" t="n"/>
      <c r="HA13" s="21" t="n"/>
      <c r="HB13" s="21" t="n"/>
      <c r="HC13" s="21" t="n"/>
      <c r="HD13" s="21" t="n"/>
      <c r="HE13" s="21" t="n"/>
      <c r="HF13" s="21" t="n"/>
      <c r="HG13" s="21" t="n"/>
      <c r="HH13" s="21" t="n"/>
      <c r="HI13" s="21" t="n"/>
      <c r="HJ13" s="21" t="n"/>
      <c r="HK13" s="21" t="n"/>
      <c r="HL13" s="21" t="n"/>
      <c r="HM13" s="21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W13" s="21" t="n"/>
      <c r="HX13" s="21" t="n"/>
      <c r="HY13" s="21" t="n"/>
      <c r="HZ13" s="21" t="n"/>
      <c r="IA13" s="21" t="n"/>
      <c r="IB13" s="21" t="n"/>
      <c r="IC13" s="21" t="n"/>
      <c r="ID13" s="21" t="n"/>
      <c r="IE13" s="21" t="n"/>
      <c r="IF13" s="21" t="n"/>
      <c r="IG13" s="21" t="n"/>
      <c r="IH13" s="21" t="n"/>
      <c r="II13" s="21" t="n"/>
      <c r="IJ13" s="21" t="n"/>
      <c r="IK13" s="21" t="n"/>
      <c r="IL13" s="21" t="n"/>
      <c r="IM13" s="21" t="n"/>
      <c r="IN13" s="21" t="n"/>
      <c r="IO13" s="21" t="n"/>
      <c r="IP13" s="21" t="n"/>
      <c r="IQ13" s="21" t="n"/>
      <c r="IR13" s="21" t="n"/>
      <c r="IS13" s="21" t="n"/>
      <c r="IT13" s="21" t="n"/>
      <c r="IU13" s="21" t="n"/>
      <c r="IV13" s="21" t="n"/>
      <c r="IW13" s="21" t="n"/>
      <c r="IX13" s="21" t="n"/>
      <c r="IY13" s="21" t="n"/>
      <c r="IZ13" s="21" t="n"/>
      <c r="JA13" s="21" t="n"/>
      <c r="JB13" s="21" t="n"/>
      <c r="JC13" s="21" t="n"/>
      <c r="JD13" s="21" t="n"/>
      <c r="JE13" s="21" t="n"/>
      <c r="JF13" s="21" t="n"/>
      <c r="JG13" s="21" t="n"/>
      <c r="JH13" s="21" t="n"/>
      <c r="JI13" s="21" t="n"/>
      <c r="JJ13" s="21" t="n"/>
      <c r="JK13" s="21" t="n"/>
      <c r="JL13" s="21" t="n"/>
      <c r="JM13" s="21" t="n"/>
      <c r="JN13" s="21" t="n"/>
      <c r="JO13" s="21" t="n"/>
      <c r="JP13" s="21" t="n"/>
      <c r="JQ13" s="21" t="n"/>
      <c r="JR13" s="21" t="n"/>
      <c r="JS13" s="21" t="n"/>
      <c r="JT13" s="21" t="n"/>
      <c r="JU13" s="21" t="n"/>
      <c r="JV13" s="21" t="n"/>
      <c r="JW13" s="21" t="n"/>
      <c r="JX13" s="21" t="n"/>
      <c r="JY13" s="21" t="n"/>
      <c r="JZ13" s="21" t="n"/>
      <c r="KA13" s="21" t="n"/>
      <c r="KB13" s="21" t="n"/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n"/>
      <c r="KM13" s="21" t="n"/>
      <c r="KN13" s="21" t="n"/>
      <c r="KO13" s="21" t="n"/>
      <c r="KP13" s="21" t="n"/>
      <c r="KQ13" s="21" t="n"/>
      <c r="KR13" s="21" t="n"/>
      <c r="KS13" s="21" t="n"/>
      <c r="KT13" s="21" t="n"/>
      <c r="KU13" s="21" t="n"/>
      <c r="KV13" s="21" t="n"/>
      <c r="KW13" s="21" t="n"/>
      <c r="KX13" s="21" t="n"/>
      <c r="KY13" s="21" t="n"/>
      <c r="KZ13" s="21" t="n"/>
      <c r="LA13" s="21" t="n"/>
      <c r="LB13" s="21" t="n"/>
      <c r="LC13" s="21" t="n"/>
      <c r="LD13" s="21" t="n"/>
      <c r="LE13" s="21" t="n"/>
      <c r="LF13" s="21" t="n"/>
      <c r="LG13" s="21" t="n"/>
      <c r="LH13" s="21" t="n"/>
      <c r="LI13" s="21" t="n"/>
      <c r="LJ13" s="21" t="n"/>
      <c r="LK13" s="21" t="n"/>
      <c r="LL13" s="21" t="n"/>
      <c r="LM13" s="21" t="n"/>
      <c r="LN13" s="21" t="n"/>
      <c r="LO13" s="21" t="n"/>
      <c r="LP13" s="21" t="n"/>
      <c r="LQ13" s="21" t="n"/>
      <c r="LR13" s="21" t="n"/>
      <c r="LS13" s="21" t="n"/>
      <c r="LT13" s="21" t="n"/>
      <c r="LU13" s="21" t="n"/>
      <c r="LV13" s="21" t="n"/>
      <c r="LW13" s="21" t="n"/>
      <c r="LX13" s="21" t="n"/>
      <c r="LY13" s="21" t="n"/>
      <c r="LZ13" s="21" t="n"/>
      <c r="MA13" s="21" t="n"/>
      <c r="MB13" s="21" t="n"/>
      <c r="MC13" s="21" t="n"/>
      <c r="MD13" s="21" t="n"/>
      <c r="ME13" s="21" t="n"/>
      <c r="MF13" s="21" t="n"/>
      <c r="MG13" s="21" t="n"/>
      <c r="MH13" s="21" t="n"/>
      <c r="MI13" s="21" t="n"/>
      <c r="MJ13" s="21" t="n"/>
      <c r="MK13" s="21" t="n"/>
      <c r="ML13" s="21" t="n"/>
      <c r="MM13" s="21" t="n"/>
      <c r="MN13" s="21" t="n"/>
      <c r="MO13" s="21" t="n"/>
      <c r="MP13" s="21" t="n"/>
      <c r="MQ13" s="21" t="n"/>
      <c r="MR13" s="21" t="n"/>
      <c r="MS13" s="21" t="n"/>
      <c r="MT13" s="21" t="n"/>
      <c r="MU13" s="21" t="n"/>
      <c r="MV13" s="21" t="n"/>
      <c r="MW13" s="21" t="n"/>
      <c r="MX13" s="21" t="n"/>
      <c r="MY13" s="21" t="n"/>
      <c r="MZ13" s="21" t="n"/>
      <c r="NA13" s="21" t="n"/>
      <c r="NB13" s="21" t="n"/>
      <c r="NC13" s="21" t="n"/>
      <c r="ND13" s="21" t="n"/>
      <c r="NE13" s="21" t="n"/>
      <c r="NF13" s="21" t="n"/>
      <c r="NG13" s="21" t="n"/>
      <c r="NH13" s="21" t="n"/>
      <c r="NI13" s="21" t="n"/>
      <c r="NJ13" s="21" t="n"/>
      <c r="NK13" s="21" t="n"/>
      <c r="NL13" s="21" t="n"/>
      <c r="NM13" s="21" t="n"/>
      <c r="NN13" s="21" t="n"/>
      <c r="NO13" s="21" t="n"/>
      <c r="NP13" s="21" t="n"/>
      <c r="NQ13" s="21" t="n"/>
      <c r="NR13" s="21" t="n"/>
      <c r="NS13" s="21" t="n"/>
      <c r="NT13" s="21" t="n"/>
      <c r="NU13" s="21" t="n"/>
      <c r="NV13" s="21" t="n"/>
      <c r="NW13" s="21" t="n"/>
      <c r="NX13" s="21" t="n"/>
      <c r="NY13" s="21" t="n"/>
      <c r="NZ13" s="21" t="n"/>
      <c r="OA13" s="21" t="n"/>
      <c r="OB13" s="21" t="n"/>
      <c r="OC13" s="21" t="n"/>
      <c r="OD13" s="21" t="n"/>
      <c r="OE13" s="21" t="n"/>
      <c r="OF13" s="21" t="n"/>
      <c r="OG13" s="21" t="n"/>
      <c r="OH13" s="21" t="n"/>
      <c r="OI13" s="21" t="n"/>
      <c r="OJ13" s="21" t="n"/>
      <c r="OK13" s="21" t="n"/>
      <c r="OL13" s="21" t="n"/>
      <c r="OM13" s="21" t="n"/>
      <c r="ON13" s="21" t="n"/>
      <c r="OO13" s="21" t="n"/>
      <c r="OP13" s="21" t="n"/>
      <c r="OQ13" s="21" t="n"/>
      <c r="OR13" s="21" t="n"/>
      <c r="OS13" s="21" t="n"/>
      <c r="OT13" s="21" t="n"/>
      <c r="OU13" s="21" t="n"/>
      <c r="OV13" s="21" t="n"/>
      <c r="OW13" s="21" t="n"/>
      <c r="OX13" s="21" t="n"/>
      <c r="OY13" s="21" t="n"/>
      <c r="OZ13" s="21" t="n"/>
      <c r="PA13" s="21" t="n"/>
      <c r="PB13" s="21" t="n"/>
      <c r="PC13" s="21" t="n"/>
      <c r="PD13" s="21" t="n"/>
      <c r="PE13" s="21" t="n"/>
      <c r="PF13" s="21" t="n"/>
      <c r="PG13" s="21" t="n"/>
      <c r="PH13" s="21" t="n"/>
      <c r="PI13" s="21" t="n"/>
      <c r="PJ13" s="21" t="n"/>
      <c r="PK13" s="21" t="n"/>
      <c r="PL13" s="21" t="n"/>
      <c r="PM13" s="21" t="n"/>
      <c r="PN13" s="21" t="n"/>
      <c r="PO13" s="21" t="n"/>
      <c r="PP13" s="21" t="n"/>
      <c r="PQ13" s="21" t="n"/>
      <c r="PR13" s="21" t="n"/>
      <c r="PS13" s="21" t="n"/>
      <c r="PT13" s="21" t="n"/>
      <c r="PU13" s="21" t="n"/>
      <c r="PV13" s="21" t="n"/>
      <c r="PW13" s="21" t="n"/>
      <c r="PX13" s="21" t="n"/>
      <c r="PY13" s="21" t="n"/>
      <c r="PZ13" s="21" t="n"/>
      <c r="QA13" s="21" t="n"/>
      <c r="QB13" s="21" t="n"/>
      <c r="QC13" s="21" t="n"/>
      <c r="QD13" s="21" t="n"/>
      <c r="QE13" s="21" t="n"/>
      <c r="QF13" s="21" t="n"/>
      <c r="QG13" s="21" t="n"/>
      <c r="QH13" s="21" t="n"/>
      <c r="QI13" s="21" t="n"/>
      <c r="QJ13" s="21" t="n"/>
      <c r="QK13" s="21" t="n"/>
      <c r="QL13" s="21" t="n"/>
      <c r="QM13" s="21" t="n"/>
      <c r="QN13" s="21" t="n"/>
      <c r="QO13" s="21" t="n"/>
      <c r="QP13" s="21" t="n"/>
      <c r="QQ13" s="21" t="n"/>
      <c r="QR13" s="21" t="n"/>
      <c r="QS13" s="21" t="n"/>
      <c r="QT13" s="21" t="n"/>
      <c r="QU13" s="21" t="n"/>
      <c r="QV13" s="21" t="n"/>
      <c r="QW13" s="21" t="n"/>
      <c r="QX13" s="21" t="n"/>
      <c r="QY13" s="21" t="n"/>
      <c r="QZ13" s="21" t="n"/>
      <c r="RA13" s="21" t="n"/>
      <c r="RB13" s="21" t="n"/>
      <c r="RC13" s="21" t="n"/>
      <c r="RD13" s="21" t="n"/>
      <c r="RE13" s="21" t="n"/>
      <c r="RF13" s="21" t="n"/>
      <c r="RG13" s="21" t="n"/>
      <c r="RH13" s="21" t="n"/>
      <c r="RI13" s="21" t="n"/>
      <c r="RJ13" s="21" t="n"/>
      <c r="RK13" s="21" t="n"/>
      <c r="RL13" s="21" t="n"/>
      <c r="RM13" s="21" t="n"/>
      <c r="RN13" s="21" t="n"/>
      <c r="RO13" s="21" t="n"/>
      <c r="RP13" s="21" t="n"/>
      <c r="RQ13" s="21" t="n"/>
      <c r="RR13" s="21" t="n"/>
      <c r="RS13" s="21" t="n"/>
      <c r="RT13" s="21" t="n"/>
      <c r="RU13" s="21" t="n"/>
      <c r="RV13" s="21" t="n"/>
      <c r="RW13" s="21" t="n"/>
      <c r="RX13" s="21" t="n"/>
      <c r="RY13" s="21" t="n"/>
      <c r="RZ13" s="21" t="n"/>
      <c r="SA13" s="21" t="n"/>
      <c r="SB13" s="21" t="n"/>
      <c r="SC13" s="21" t="n"/>
      <c r="SD13" s="21" t="n"/>
      <c r="SE13" s="21" t="n"/>
      <c r="SF13" s="21" t="n"/>
      <c r="SG13" s="21" t="n"/>
      <c r="SH13" s="21" t="n"/>
      <c r="SI13" s="21" t="n"/>
      <c r="SJ13" s="21" t="n"/>
      <c r="SK13" s="21" t="n"/>
      <c r="SL13" s="21" t="n"/>
      <c r="SM13" s="21" t="n"/>
      <c r="SN13" s="21" t="n"/>
      <c r="SO13" s="21" t="n"/>
      <c r="SP13" s="21" t="n"/>
      <c r="SQ13" s="21" t="n"/>
      <c r="SR13" s="21" t="n"/>
      <c r="SS13" s="21" t="n"/>
      <c r="ST13" s="21" t="n"/>
      <c r="SU13" s="21" t="n"/>
      <c r="SV13" s="21" t="n"/>
      <c r="SW13" s="21" t="n"/>
      <c r="SX13" s="21" t="n"/>
      <c r="SY13" s="21" t="n"/>
      <c r="SZ13" s="21" t="n"/>
      <c r="TA13" s="21" t="n"/>
      <c r="TB13" s="21" t="n"/>
      <c r="TC13" s="21" t="n"/>
      <c r="TD13" s="21" t="n"/>
      <c r="TE13" s="21" t="n"/>
      <c r="TF13" s="21" t="n"/>
      <c r="TG13" s="21" t="n"/>
      <c r="TH13" s="21" t="n"/>
      <c r="TI13" s="21" t="n"/>
      <c r="TJ13" s="21" t="n"/>
      <c r="TK13" s="21" t="n"/>
      <c r="TL13" s="21" t="n"/>
      <c r="TM13" s="21" t="n"/>
      <c r="TN13" s="21" t="n"/>
      <c r="TO13" s="21" t="n"/>
      <c r="TP13" s="21" t="n"/>
      <c r="TQ13" s="21" t="n"/>
      <c r="TR13" s="21" t="n"/>
      <c r="TS13" s="21" t="n"/>
      <c r="TT13" s="21" t="n"/>
      <c r="TU13" s="21" t="n"/>
      <c r="TV13" s="21" t="n"/>
      <c r="TW13" s="21" t="n"/>
      <c r="TX13" s="21" t="n"/>
      <c r="TY13" s="21" t="n"/>
      <c r="TZ13" s="21" t="n"/>
      <c r="UA13" s="21" t="n"/>
      <c r="UB13" s="21" t="n"/>
      <c r="UC13" s="21" t="n"/>
      <c r="UD13" s="21" t="n"/>
      <c r="UE13" s="21" t="n"/>
      <c r="UF13" s="21" t="n"/>
      <c r="UG13" s="21" t="n"/>
      <c r="UH13" s="21" t="n"/>
      <c r="UI13" s="21" t="n"/>
      <c r="UJ13" s="21" t="n"/>
      <c r="UK13" s="21" t="n"/>
      <c r="UL13" s="21" t="n"/>
      <c r="UM13" s="21" t="n"/>
      <c r="UN13" s="21" t="n"/>
      <c r="UO13" s="21" t="n"/>
      <c r="UP13" s="21" t="n"/>
      <c r="UQ13" s="21" t="n"/>
      <c r="UR13" s="21" t="n"/>
      <c r="US13" s="21" t="n"/>
      <c r="UT13" s="21" t="n"/>
      <c r="UU13" s="21" t="n"/>
      <c r="UV13" s="21" t="n"/>
      <c r="UW13" s="21" t="n"/>
      <c r="UX13" s="21" t="n"/>
      <c r="UY13" s="21" t="n"/>
      <c r="UZ13" s="21" t="n"/>
      <c r="VA13" s="21" t="n"/>
      <c r="VB13" s="21" t="n"/>
      <c r="VC13" s="21" t="n"/>
      <c r="VD13" s="21" t="n"/>
      <c r="VE13" s="21" t="n"/>
      <c r="VF13" s="21" t="n"/>
      <c r="VG13" s="21" t="n"/>
      <c r="VH13" s="21" t="n"/>
      <c r="VI13" s="21" t="n"/>
      <c r="VJ13" s="21" t="n"/>
      <c r="VK13" s="21" t="n"/>
      <c r="VL13" s="21" t="n"/>
      <c r="VM13" s="21" t="n"/>
      <c r="VN13" s="21" t="n"/>
      <c r="VO13" s="21" t="n"/>
      <c r="VP13" s="21" t="n"/>
      <c r="VQ13" s="21" t="n"/>
      <c r="VR13" s="21" t="n"/>
      <c r="VS13" s="21" t="n"/>
      <c r="VT13" s="21" t="n"/>
      <c r="VU13" s="21" t="n"/>
      <c r="VV13" s="21" t="n"/>
      <c r="VW13" s="21" t="n"/>
      <c r="VX13" s="21" t="n"/>
      <c r="VY13" s="21" t="n"/>
      <c r="VZ13" s="21" t="n"/>
      <c r="WA13" s="21" t="n"/>
      <c r="WB13" s="21" t="n"/>
      <c r="WC13" s="21" t="n"/>
      <c r="WD13" s="21" t="n"/>
      <c r="WE13" s="21" t="n"/>
      <c r="WF13" s="21" t="n"/>
      <c r="WG13" s="21" t="n"/>
      <c r="WH13" s="21" t="n"/>
      <c r="WI13" s="21" t="n"/>
      <c r="WJ13" s="21" t="n"/>
      <c r="WK13" s="21" t="n"/>
      <c r="WL13" s="21" t="n"/>
      <c r="WM13" s="21" t="n"/>
      <c r="WN13" s="21" t="n"/>
      <c r="WO13" s="21" t="n"/>
      <c r="WP13" s="21" t="n"/>
      <c r="WQ13" s="21" t="n"/>
      <c r="WR13" s="21" t="n"/>
      <c r="WS13" s="21" t="n"/>
      <c r="WT13" s="21" t="n"/>
      <c r="WU13" s="21" t="n"/>
      <c r="WV13" s="21" t="n"/>
      <c r="WW13" s="21" t="n"/>
      <c r="WX13" s="21" t="n"/>
      <c r="WY13" s="21" t="n"/>
      <c r="WZ13" s="21" t="n"/>
      <c r="XA13" s="21" t="n"/>
      <c r="XB13" s="21" t="n"/>
      <c r="XC13" s="21" t="n"/>
      <c r="XD13" s="21" t="n"/>
      <c r="XE13" s="21" t="n"/>
      <c r="XF13" s="21" t="n"/>
      <c r="XG13" s="21" t="n"/>
      <c r="XH13" s="21" t="n"/>
      <c r="XI13" s="21" t="n"/>
      <c r="XJ13" s="21" t="n"/>
      <c r="XK13" s="21" t="n"/>
      <c r="XL13" s="21" t="n"/>
      <c r="XM13" s="21" t="n"/>
      <c r="XN13" s="21" t="n"/>
      <c r="XO13" s="21" t="n"/>
      <c r="XP13" s="21" t="n"/>
      <c r="XQ13" s="21" t="n"/>
      <c r="XR13" s="21" t="n"/>
      <c r="XS13" s="21" t="n"/>
      <c r="XT13" s="21" t="n"/>
      <c r="XU13" s="21" t="n"/>
      <c r="XV13" s="21" t="n"/>
      <c r="XW13" s="21" t="n"/>
      <c r="XX13" s="21" t="n"/>
      <c r="XY13" s="21" t="n"/>
      <c r="XZ13" s="21" t="n"/>
      <c r="YA13" s="21" t="n"/>
      <c r="YB13" s="21" t="n"/>
      <c r="YC13" s="21" t="n"/>
      <c r="YD13" s="21" t="n"/>
      <c r="YE13" s="21" t="n"/>
      <c r="YF13" s="21" t="n"/>
      <c r="YG13" s="21" t="n"/>
      <c r="YH13" s="21" t="n"/>
      <c r="YI13" s="21" t="n"/>
      <c r="YJ13" s="21" t="n"/>
      <c r="YK13" s="21" t="n"/>
      <c r="YL13" s="21" t="n"/>
      <c r="YM13" s="21" t="n"/>
      <c r="YN13" s="21" t="n"/>
      <c r="YO13" s="21" t="n"/>
      <c r="YP13" s="21" t="n"/>
      <c r="YQ13" s="21" t="n"/>
      <c r="YR13" s="21" t="n"/>
      <c r="YS13" s="21" t="n"/>
      <c r="YT13" s="21" t="n"/>
      <c r="YU13" s="21" t="n"/>
      <c r="YV13" s="21" t="n"/>
      <c r="YW13" s="21" t="n"/>
      <c r="YX13" s="21" t="n"/>
      <c r="YY13" s="21" t="n"/>
      <c r="YZ13" s="21" t="n"/>
      <c r="ZA13" s="21" t="n"/>
      <c r="ZB13" s="21" t="n"/>
      <c r="ZC13" s="21" t="n"/>
      <c r="ZD13" s="21" t="n"/>
      <c r="ZE13" s="21" t="n"/>
      <c r="ZF13" s="21" t="n"/>
      <c r="ZG13" s="21" t="n"/>
      <c r="ZH13" s="21" t="n"/>
      <c r="ZI13" s="21" t="n"/>
      <c r="ZJ13" s="21" t="n"/>
      <c r="ZK13" s="21" t="n"/>
      <c r="ZL13" s="21" t="n"/>
      <c r="ZM13" s="21" t="n"/>
      <c r="ZN13" s="21" t="n"/>
      <c r="ZO13" s="21" t="n"/>
      <c r="ZP13" s="21" t="n"/>
      <c r="ZQ13" s="21" t="n"/>
      <c r="ZR13" s="21" t="n"/>
      <c r="ZS13" s="21" t="n"/>
      <c r="ZT13" s="21" t="n"/>
      <c r="ZU13" s="21" t="n"/>
      <c r="ZV13" s="21" t="n"/>
      <c r="ZW13" s="21" t="n"/>
      <c r="ZX13" s="21" t="n"/>
      <c r="ZY13" s="21" t="n"/>
      <c r="ZZ13" s="21" t="n"/>
      <c r="AAA13" s="21" t="n"/>
      <c r="AAB13" s="21" t="n"/>
      <c r="AAC13" s="21" t="n"/>
      <c r="AAD13" s="21" t="n"/>
      <c r="AAE13" s="21" t="n"/>
      <c r="AAF13" s="21" t="n"/>
      <c r="AAG13" s="21" t="n"/>
      <c r="AAH13" s="21" t="n"/>
      <c r="AAI13" s="21" t="n"/>
      <c r="AAJ13" s="21" t="n"/>
      <c r="AAK13" s="21" t="n"/>
      <c r="AAL13" s="21" t="n"/>
      <c r="AAM13" s="21" t="n"/>
      <c r="AAN13" s="21" t="n"/>
      <c r="AAO13" s="21" t="n"/>
      <c r="AAP13" s="21" t="n"/>
      <c r="AAQ13" s="21" t="n"/>
      <c r="AAR13" s="21" t="n"/>
      <c r="AAS13" s="21" t="n"/>
      <c r="AAT13" s="21" t="n"/>
      <c r="AAU13" s="21" t="n"/>
      <c r="AAV13" s="21" t="n"/>
      <c r="AAW13" s="21" t="n"/>
      <c r="AAX13" s="21" t="n"/>
      <c r="AAY13" s="21" t="n"/>
      <c r="AAZ13" s="21" t="n"/>
      <c r="ABA13" s="21" t="n"/>
      <c r="ABB13" s="21" t="n"/>
      <c r="ABC13" s="21" t="n"/>
      <c r="ABD13" s="21" t="n"/>
      <c r="ABE13" s="21" t="n"/>
      <c r="ABF13" s="21" t="n"/>
      <c r="ABG13" s="21" t="n"/>
      <c r="ABH13" s="21" t="n"/>
      <c r="ABI13" s="21" t="n"/>
      <c r="ABJ13" s="21" t="n"/>
      <c r="ABK13" s="21" t="n"/>
      <c r="ABL13" s="21" t="n"/>
      <c r="ABM13" s="21" t="n"/>
      <c r="ABN13" s="21" t="n"/>
      <c r="ABO13" s="21" t="n"/>
      <c r="ABP13" s="21" t="n"/>
      <c r="ABQ13" s="21" t="n"/>
      <c r="ABR13" s="21" t="n"/>
      <c r="ABS13" s="21" t="n"/>
      <c r="ABT13" s="21" t="n"/>
      <c r="ABU13" s="21" t="n"/>
      <c r="ABV13" s="21" t="n"/>
      <c r="ABW13" s="21" t="n"/>
      <c r="ABX13" s="21" t="n"/>
      <c r="ABY13" s="21" t="n"/>
      <c r="ABZ13" s="21" t="n"/>
      <c r="ACA13" s="21" t="n"/>
      <c r="ACB13" s="21" t="n"/>
      <c r="ACC13" s="21" t="n"/>
      <c r="ACD13" s="21" t="n"/>
      <c r="ACE13" s="21" t="n"/>
      <c r="ACF13" s="21" t="n"/>
      <c r="ACG13" s="21" t="n"/>
      <c r="ACH13" s="21" t="n"/>
      <c r="ACI13" s="21" t="n"/>
      <c r="ACJ13" s="21" t="n"/>
      <c r="ACK13" s="21" t="n"/>
      <c r="ACL13" s="21" t="n"/>
      <c r="ACM13" s="21" t="n"/>
      <c r="ACN13" s="21" t="n"/>
      <c r="ACO13" s="21" t="n"/>
      <c r="ACP13" s="21" t="n"/>
      <c r="ACQ13" s="21" t="n"/>
      <c r="ACR13" s="21" t="n"/>
      <c r="ACS13" s="21" t="n"/>
      <c r="ACT13" s="21" t="n"/>
      <c r="ACU13" s="21" t="n"/>
      <c r="ACV13" s="21" t="n"/>
      <c r="ACW13" s="21" t="n"/>
      <c r="ACX13" s="21" t="n"/>
      <c r="ACY13" s="21" t="n"/>
      <c r="ACZ13" s="21" t="n"/>
      <c r="ADA13" s="21" t="n"/>
      <c r="ADB13" s="21" t="n"/>
      <c r="ADC13" s="21" t="n"/>
      <c r="ADD13" s="21" t="n"/>
      <c r="ADE13" s="21" t="n"/>
      <c r="ADF13" s="21" t="n"/>
      <c r="ADG13" s="21" t="n"/>
      <c r="ADH13" s="21" t="n"/>
      <c r="ADI13" s="21" t="n"/>
      <c r="ADJ13" s="21" t="n"/>
      <c r="ADK13" s="21" t="n"/>
      <c r="ADL13" s="21" t="n"/>
      <c r="ADM13" s="21" t="n"/>
      <c r="ADN13" s="21" t="n"/>
      <c r="ADO13" s="21" t="n"/>
      <c r="ADP13" s="21" t="n"/>
      <c r="ADQ13" s="21" t="n"/>
      <c r="ADR13" s="21" t="n"/>
      <c r="ADS13" s="21" t="n"/>
      <c r="ADT13" s="21" t="n"/>
      <c r="ADU13" s="21" t="n"/>
      <c r="ADV13" s="21" t="n"/>
      <c r="ADW13" s="21" t="n"/>
      <c r="ADX13" s="21" t="n"/>
      <c r="ADY13" s="21" t="n"/>
      <c r="ADZ13" s="21" t="n"/>
      <c r="AEA13" s="21" t="n"/>
      <c r="AEB13" s="21" t="n"/>
      <c r="AEC13" s="21" t="n"/>
      <c r="AED13" s="21" t="n"/>
      <c r="AEE13" s="21" t="n"/>
      <c r="AEF13" s="21" t="n"/>
      <c r="AEG13" s="21" t="n"/>
      <c r="AEH13" s="21" t="n"/>
      <c r="AEI13" s="21" t="n"/>
      <c r="AEJ13" s="21" t="n"/>
      <c r="AEK13" s="21" t="n"/>
      <c r="AEL13" s="21" t="n"/>
      <c r="AEM13" s="21" t="n"/>
      <c r="AEN13" s="21" t="n"/>
      <c r="AEO13" s="21" t="n"/>
      <c r="AEP13" s="21" t="n"/>
      <c r="AEQ13" s="21" t="n"/>
      <c r="AER13" s="21" t="n"/>
      <c r="AES13" s="21" t="n"/>
      <c r="AET13" s="21" t="n"/>
      <c r="AEU13" s="21" t="n"/>
      <c r="AEV13" s="21" t="n"/>
      <c r="AEW13" s="21" t="n"/>
      <c r="AEX13" s="21" t="n"/>
      <c r="AEY13" s="21" t="n"/>
      <c r="AEZ13" s="21" t="n"/>
      <c r="AFA13" s="21" t="n"/>
      <c r="AFB13" s="21" t="n"/>
      <c r="AFC13" s="21" t="n"/>
      <c r="AFD13" s="21" t="n"/>
      <c r="AFE13" s="21" t="n"/>
      <c r="AFF13" s="21" t="n"/>
      <c r="AFG13" s="21" t="n"/>
      <c r="AFH13" s="21" t="n"/>
      <c r="AFI13" s="21" t="n"/>
      <c r="AFJ13" s="21" t="n"/>
      <c r="AFK13" s="21" t="n"/>
      <c r="AFL13" s="21" t="n"/>
      <c r="AFM13" s="21" t="n"/>
      <c r="AFN13" s="21" t="n"/>
      <c r="AFO13" s="21" t="n"/>
      <c r="AFP13" s="21" t="n"/>
      <c r="AFQ13" s="21" t="n"/>
      <c r="AFR13" s="21" t="n"/>
      <c r="AFS13" s="21" t="n"/>
      <c r="AFT13" s="21" t="n"/>
      <c r="AFU13" s="21" t="n"/>
      <c r="AFV13" s="21" t="n"/>
      <c r="AFW13" s="21" t="n"/>
      <c r="AFX13" s="21" t="n"/>
      <c r="AFY13" s="21" t="n"/>
      <c r="AFZ13" s="21" t="n"/>
      <c r="AGA13" s="21" t="n"/>
      <c r="AGB13" s="21" t="n"/>
      <c r="AGC13" s="21" t="n"/>
      <c r="AGD13" s="21" t="n"/>
      <c r="AGE13" s="21" t="n"/>
      <c r="AGF13" s="21" t="n"/>
      <c r="AGG13" s="21" t="n"/>
      <c r="AGH13" s="21" t="n"/>
      <c r="AGI13" s="21" t="n"/>
      <c r="AGJ13" s="21" t="n"/>
      <c r="AGK13" s="21" t="n"/>
      <c r="AGL13" s="21" t="n"/>
      <c r="AGM13" s="21" t="n"/>
      <c r="AGN13" s="21" t="n"/>
      <c r="AGO13" s="21" t="n"/>
      <c r="AGP13" s="21" t="n"/>
      <c r="AGQ13" s="21" t="n"/>
      <c r="AGR13" s="21" t="n"/>
      <c r="AGS13" s="21" t="n"/>
      <c r="AGT13" s="21" t="n"/>
      <c r="AGU13" s="21" t="n"/>
      <c r="AGV13" s="21" t="n"/>
      <c r="AGW13" s="21" t="n"/>
      <c r="AGX13" s="21" t="n"/>
      <c r="AGY13" s="21" t="n"/>
      <c r="AGZ13" s="21" t="n"/>
      <c r="AHA13" s="21" t="n"/>
      <c r="AHB13" s="21" t="n"/>
      <c r="AHC13" s="21" t="n"/>
      <c r="AHD13" s="21" t="n"/>
      <c r="AHE13" s="21" t="n"/>
      <c r="AHF13" s="21" t="n"/>
      <c r="AHG13" s="21" t="n"/>
      <c r="AHH13" s="21" t="n"/>
      <c r="AHI13" s="21" t="n"/>
      <c r="AHJ13" s="21" t="n"/>
      <c r="AHK13" s="21" t="n"/>
      <c r="AHL13" s="21" t="n"/>
      <c r="AHM13" s="21" t="n"/>
      <c r="AHN13" s="21" t="n"/>
      <c r="AHO13" s="21" t="n"/>
      <c r="AHP13" s="21" t="n"/>
      <c r="AHQ13" s="21" t="n"/>
      <c r="AHR13" s="21" t="n"/>
      <c r="AHS13" s="21" t="n"/>
      <c r="AHT13" s="21" t="n"/>
      <c r="AHU13" s="21" t="n"/>
      <c r="AHV13" s="21" t="n"/>
      <c r="AHW13" s="21" t="n"/>
      <c r="AHX13" s="21" t="n"/>
      <c r="AHY13" s="21" t="n"/>
      <c r="AHZ13" s="21" t="n"/>
      <c r="AIA13" s="21" t="n"/>
      <c r="AIB13" s="21" t="n"/>
      <c r="AIC13" s="21" t="n"/>
      <c r="AID13" s="21" t="n"/>
      <c r="AIE13" s="21" t="n"/>
      <c r="AIF13" s="21" t="n"/>
      <c r="AIG13" s="21" t="n"/>
      <c r="AIH13" s="21" t="n"/>
      <c r="AII13" s="21" t="n"/>
      <c r="AIJ13" s="21" t="n"/>
      <c r="AIK13" s="21" t="n"/>
      <c r="AIL13" s="21" t="n"/>
      <c r="AIM13" s="21" t="n"/>
      <c r="AIN13" s="21" t="n"/>
      <c r="AIO13" s="21" t="n"/>
      <c r="AIP13" s="21" t="n"/>
      <c r="AIQ13" s="21" t="n"/>
      <c r="AIR13" s="21" t="n"/>
      <c r="AIS13" s="21" t="n"/>
      <c r="AIT13" s="21" t="n"/>
      <c r="AIU13" s="21" t="n"/>
      <c r="AIV13" s="21" t="n"/>
      <c r="AIW13" s="21" t="n"/>
      <c r="AIX13" s="21" t="n"/>
      <c r="AIY13" s="21" t="n"/>
      <c r="AIZ13" s="21" t="n"/>
      <c r="AJA13" s="21" t="n"/>
      <c r="AJB13" s="21" t="n"/>
      <c r="AJC13" s="21" t="n"/>
      <c r="AJD13" s="21" t="n"/>
      <c r="AJE13" s="21" t="n"/>
      <c r="AJF13" s="21" t="n"/>
      <c r="AJG13" s="21" t="n"/>
      <c r="AJH13" s="21" t="n"/>
      <c r="AJI13" s="21" t="n"/>
      <c r="AJJ13" s="21" t="n"/>
      <c r="AJK13" s="21" t="n"/>
      <c r="AJL13" s="21" t="n"/>
      <c r="AJM13" s="21" t="n"/>
      <c r="AJN13" s="21" t="n"/>
      <c r="AJO13" s="21" t="n"/>
      <c r="AJP13" s="21" t="n"/>
      <c r="AJQ13" s="21" t="n"/>
      <c r="AJR13" s="21" t="n"/>
      <c r="AJS13" s="21" t="n"/>
      <c r="AJT13" s="21" t="n"/>
      <c r="AJU13" s="21" t="n"/>
      <c r="AJV13" s="21" t="n"/>
      <c r="AJW13" s="21" t="n"/>
      <c r="AJX13" s="21" t="n"/>
      <c r="AJY13" s="21" t="n"/>
      <c r="AJZ13" s="21" t="n"/>
      <c r="AKA13" s="21" t="n"/>
      <c r="AKB13" s="21" t="n"/>
      <c r="AKC13" s="21" t="n"/>
      <c r="AKD13" s="21" t="n"/>
      <c r="AKE13" s="21" t="n"/>
      <c r="AKF13" s="21" t="n"/>
      <c r="AKG13" s="21" t="n"/>
      <c r="AKH13" s="21" t="n"/>
      <c r="AKI13" s="21" t="n"/>
      <c r="AKJ13" s="21" t="n"/>
      <c r="AKK13" s="21" t="n"/>
      <c r="AKL13" s="21" t="n"/>
      <c r="AKM13" s="21" t="n"/>
      <c r="AKN13" s="21" t="n"/>
      <c r="AKO13" s="21" t="n"/>
      <c r="AKP13" s="21" t="n"/>
      <c r="AKQ13" s="21" t="n"/>
      <c r="AKR13" s="21" t="n"/>
      <c r="AKS13" s="21" t="n"/>
      <c r="AKT13" s="21" t="n"/>
      <c r="AKU13" s="21" t="n"/>
      <c r="AKV13" s="21" t="n"/>
      <c r="AKW13" s="21" t="n"/>
      <c r="AKX13" s="21" t="n"/>
      <c r="AKY13" s="21" t="n"/>
      <c r="AKZ13" s="21" t="n"/>
      <c r="ALA13" s="21" t="n"/>
      <c r="ALB13" s="21" t="n"/>
      <c r="ALC13" s="21" t="n"/>
      <c r="ALD13" s="21" t="n"/>
      <c r="ALE13" s="21" t="n"/>
      <c r="ALF13" s="21" t="n"/>
      <c r="ALG13" s="21" t="n"/>
      <c r="ALH13" s="21" t="n"/>
      <c r="ALI13" s="21" t="n"/>
      <c r="ALJ13" s="21" t="n"/>
      <c r="ALK13" s="21" t="n"/>
      <c r="ALL13" s="21" t="n"/>
      <c r="ALM13" s="21" t="n"/>
      <c r="ALN13" s="21" t="n"/>
      <c r="ALO13" s="21" t="n"/>
      <c r="ALP13" s="21" t="n"/>
      <c r="ALQ13" s="21" t="n"/>
      <c r="ALR13" s="21" t="n"/>
      <c r="ALS13" s="21" t="n"/>
      <c r="ALT13" s="21" t="n"/>
      <c r="ALU13" s="21" t="n"/>
      <c r="ALV13" s="21" t="n"/>
      <c r="ALW13" s="21" t="n"/>
      <c r="ALX13" s="21" t="n"/>
      <c r="ALY13" s="21" t="n"/>
      <c r="ALZ13" s="21" t="n"/>
      <c r="AMA13" s="21" t="n"/>
      <c r="AMB13" s="21" t="n"/>
      <c r="AMC13" s="21" t="n"/>
      <c r="AMD13" s="21" t="n"/>
      <c r="AME13" s="21" t="n"/>
      <c r="AMF13" s="21" t="n"/>
      <c r="AMG13" s="21" t="n"/>
      <c r="AMH13" s="21" t="n"/>
      <c r="AMI13" s="21" t="n"/>
      <c r="AMJ13" s="21" t="n"/>
      <c r="AMK13" s="21" t="n"/>
      <c r="AML13" s="21" t="n"/>
      <c r="AMM13" s="21" t="n"/>
      <c r="AMN13" s="21" t="n"/>
      <c r="AMO13" s="21" t="n"/>
      <c r="AMP13" s="21" t="n"/>
      <c r="AMQ13" s="21" t="n"/>
      <c r="AMR13" s="21" t="n"/>
      <c r="AMS13" s="21" t="n"/>
      <c r="AMT13" s="21" t="n"/>
      <c r="AMU13" s="21" t="n"/>
      <c r="AMV13" s="21" t="n"/>
      <c r="AMW13" s="21" t="n"/>
      <c r="AMX13" s="21" t="n"/>
      <c r="AMY13" s="21" t="n"/>
      <c r="AMZ13" s="21" t="n"/>
      <c r="ANA13" s="21" t="n"/>
      <c r="ANB13" s="21" t="n"/>
      <c r="ANC13" s="21" t="n"/>
      <c r="AND13" s="21" t="n"/>
      <c r="ANE13" s="21" t="n"/>
      <c r="ANF13" s="21" t="n"/>
      <c r="ANG13" s="21" t="n"/>
      <c r="ANH13" s="21" t="n"/>
      <c r="ANI13" s="21" t="n"/>
      <c r="ANJ13" s="21" t="n"/>
      <c r="ANK13" s="21" t="n"/>
      <c r="ANL13" s="21" t="n"/>
      <c r="ANM13" s="21" t="n"/>
      <c r="ANN13" s="21" t="n"/>
      <c r="ANO13" s="21" t="n"/>
      <c r="ANP13" s="21" t="n"/>
      <c r="ANQ13" s="21" t="n"/>
      <c r="ANR13" s="21" t="n"/>
      <c r="ANS13" s="21" t="n"/>
      <c r="ANT13" s="21" t="n"/>
      <c r="ANU13" s="21" t="n"/>
      <c r="ANV13" s="21" t="n"/>
      <c r="ANW13" s="21" t="n"/>
      <c r="ANX13" s="21" t="n"/>
      <c r="ANY13" s="21" t="n"/>
      <c r="ANZ13" s="21" t="n"/>
      <c r="AOA13" s="21" t="n"/>
      <c r="AOB13" s="21" t="n"/>
      <c r="AOC13" s="21" t="n"/>
      <c r="AOD13" s="21" t="n"/>
      <c r="AOE13" s="21" t="n"/>
      <c r="AOF13" s="21" t="n"/>
      <c r="AOG13" s="21" t="n"/>
      <c r="AOH13" s="21" t="n"/>
      <c r="AOI13" s="21" t="n"/>
      <c r="AOJ13" s="21" t="n"/>
      <c r="AOK13" s="21" t="n"/>
      <c r="AOL13" s="21" t="n"/>
      <c r="AOM13" s="21" t="n"/>
      <c r="AON13" s="21" t="n"/>
      <c r="AOO13" s="21" t="n"/>
      <c r="AOP13" s="21" t="n"/>
      <c r="AOQ13" s="21" t="n"/>
      <c r="AOR13" s="21" t="n"/>
      <c r="AOS13" s="21" t="n"/>
      <c r="AOT13" s="21" t="n"/>
      <c r="AOU13" s="21" t="n"/>
      <c r="AOV13" s="21" t="n"/>
      <c r="AOW13" s="21" t="n"/>
      <c r="AOX13" s="21" t="n"/>
      <c r="AOY13" s="21" t="n"/>
      <c r="AOZ13" s="21" t="n"/>
      <c r="APA13" s="21" t="n"/>
      <c r="APB13" s="21" t="n"/>
      <c r="APC13" s="21" t="n"/>
      <c r="APD13" s="21" t="n"/>
      <c r="APE13" s="21" t="n"/>
      <c r="APF13" s="21" t="n"/>
      <c r="APG13" s="21" t="n"/>
      <c r="APH13" s="21" t="n"/>
      <c r="API13" s="21" t="n"/>
      <c r="APJ13" s="21" t="n"/>
      <c r="APK13" s="21" t="n"/>
      <c r="APL13" s="21" t="n"/>
      <c r="APM13" s="21" t="n"/>
      <c r="APN13" s="21" t="n"/>
      <c r="APO13" s="21" t="n"/>
      <c r="APP13" s="21" t="n"/>
      <c r="APQ13" s="21" t="n"/>
      <c r="APR13" s="21" t="n"/>
      <c r="APS13" s="21" t="n"/>
      <c r="APT13" s="21" t="n"/>
      <c r="APU13" s="21" t="n"/>
      <c r="APV13" s="21" t="n"/>
      <c r="APW13" s="21" t="n"/>
      <c r="APX13" s="21" t="n"/>
      <c r="APY13" s="21" t="n"/>
      <c r="APZ13" s="21" t="n"/>
      <c r="AQA13" s="21" t="n"/>
      <c r="AQB13" s="21" t="n"/>
      <c r="AQC13" s="21" t="n"/>
      <c r="AQD13" s="21" t="n"/>
      <c r="AQE13" s="21" t="n"/>
      <c r="AQF13" s="21" t="n"/>
      <c r="AQG13" s="21" t="n"/>
      <c r="AQH13" s="21" t="n"/>
      <c r="AQI13" s="21" t="n"/>
      <c r="AQJ13" s="21" t="n"/>
      <c r="AQK13" s="21" t="n"/>
      <c r="AQL13" s="21" t="n"/>
      <c r="AQM13" s="21" t="n"/>
      <c r="AQN13" s="21" t="n"/>
      <c r="AQO13" s="21" t="n"/>
      <c r="AQP13" s="21" t="n"/>
      <c r="AQQ13" s="21" t="n"/>
      <c r="AQR13" s="21" t="n"/>
      <c r="AQS13" s="21" t="n"/>
      <c r="AQT13" s="21" t="n"/>
      <c r="AQU13" s="21" t="n"/>
      <c r="AQV13" s="21" t="n"/>
      <c r="AQW13" s="21" t="n"/>
      <c r="AQX13" s="21" t="n"/>
      <c r="AQY13" s="21" t="n"/>
      <c r="AQZ13" s="21" t="n"/>
      <c r="ARA13" s="21" t="n"/>
      <c r="ARB13" s="21" t="n"/>
      <c r="ARC13" s="21" t="n"/>
      <c r="ARD13" s="21" t="n"/>
      <c r="ARE13" s="21" t="n"/>
      <c r="ARF13" s="21" t="n"/>
      <c r="ARG13" s="21" t="n"/>
      <c r="ARH13" s="21" t="n"/>
      <c r="ARI13" s="21" t="n"/>
      <c r="ARJ13" s="21" t="n"/>
      <c r="ARK13" s="21" t="n"/>
      <c r="ARL13" s="21" t="n"/>
      <c r="ARM13" s="21" t="n"/>
      <c r="ARN13" s="21" t="n"/>
      <c r="ARO13" s="21" t="n"/>
      <c r="ARP13" s="21" t="n"/>
      <c r="ARQ13" s="21" t="n"/>
      <c r="ARR13" s="21" t="n"/>
      <c r="ARS13" s="21" t="n"/>
      <c r="ART13" s="21" t="n"/>
      <c r="ARU13" s="21" t="n"/>
      <c r="ARV13" s="21" t="n"/>
      <c r="ARW13" s="21" t="n"/>
      <c r="ARX13" s="21" t="n"/>
      <c r="ARY13" s="21" t="n"/>
      <c r="ARZ13" s="21" t="n"/>
      <c r="ASA13" s="21" t="n"/>
      <c r="ASB13" s="21" t="n"/>
      <c r="ASC13" s="21" t="n"/>
      <c r="ASD13" s="21" t="n"/>
      <c r="ASE13" s="21" t="n"/>
      <c r="ASF13" s="21" t="n"/>
      <c r="ASG13" s="21" t="n"/>
      <c r="ASH13" s="21" t="n"/>
      <c r="ASI13" s="21" t="n"/>
      <c r="ASJ13" s="21" t="n"/>
      <c r="ASK13" s="21" t="n"/>
      <c r="ASL13" s="21" t="n"/>
      <c r="ASM13" s="21" t="n"/>
      <c r="ASN13" s="21" t="n"/>
      <c r="ASO13" s="21" t="n"/>
      <c r="ASP13" s="21" t="n"/>
      <c r="ASQ13" s="21" t="n"/>
      <c r="ASR13" s="21" t="n"/>
      <c r="ASS13" s="21" t="n"/>
      <c r="AST13" s="21" t="n"/>
      <c r="ASU13" s="21" t="n"/>
      <c r="ASV13" s="21" t="n"/>
      <c r="ASW13" s="21" t="n"/>
      <c r="ASX13" s="21" t="n"/>
      <c r="ASY13" s="21" t="n"/>
      <c r="ASZ13" s="21" t="n"/>
      <c r="ATA13" s="21" t="n"/>
      <c r="ATB13" s="21" t="n"/>
      <c r="ATC13" s="21" t="n"/>
      <c r="ATD13" s="21" t="n"/>
      <c r="ATE13" s="21" t="n"/>
      <c r="ATF13" s="21" t="n"/>
      <c r="ATG13" s="21" t="n"/>
      <c r="ATH13" s="21" t="n"/>
      <c r="ATI13" s="21" t="n"/>
      <c r="ATJ13" s="21" t="n"/>
      <c r="ATK13" s="21" t="n"/>
      <c r="ATL13" s="21" t="n"/>
      <c r="ATM13" s="21" t="n"/>
      <c r="ATN13" s="21" t="n"/>
      <c r="ATO13" s="21" t="n"/>
      <c r="ATP13" s="21" t="n"/>
      <c r="ATQ13" s="21" t="n"/>
      <c r="ATR13" s="21" t="n"/>
      <c r="ATS13" s="21" t="n"/>
      <c r="ATT13" s="21" t="n"/>
      <c r="ATU13" s="21" t="n"/>
      <c r="ATV13" s="21" t="n"/>
      <c r="ATW13" s="21" t="n"/>
      <c r="ATX13" s="21" t="n"/>
      <c r="ATY13" s="21" t="n"/>
      <c r="ATZ13" s="21" t="n"/>
      <c r="AUA13" s="21" t="n"/>
      <c r="AUB13" s="21" t="n"/>
      <c r="AUC13" s="21" t="n"/>
      <c r="AUD13" s="21" t="n"/>
      <c r="AUE13" s="21" t="n"/>
      <c r="AUF13" s="21" t="n"/>
      <c r="AUG13" s="21" t="n"/>
      <c r="AUH13" s="21" t="n"/>
      <c r="AUI13" s="21" t="n"/>
      <c r="AUJ13" s="21" t="n"/>
      <c r="AUK13" s="21" t="n"/>
      <c r="AUL13" s="21" t="n"/>
      <c r="AUM13" s="21" t="n"/>
      <c r="AUN13" s="21" t="n"/>
      <c r="AUO13" s="21" t="n"/>
      <c r="AUP13" s="21" t="n"/>
      <c r="AUQ13" s="21" t="n"/>
      <c r="AUR13" s="21" t="n"/>
      <c r="AUS13" s="21" t="n"/>
      <c r="AUT13" s="21" t="n"/>
      <c r="AUU13" s="21" t="n"/>
      <c r="AUV13" s="21" t="n"/>
      <c r="AUW13" s="21" t="n"/>
      <c r="AUX13" s="21" t="n"/>
      <c r="AUY13" s="21" t="n"/>
      <c r="AUZ13" s="21" t="n"/>
      <c r="AVA13" s="21" t="n"/>
      <c r="AVB13" s="21" t="n"/>
      <c r="AVC13" s="21" t="n"/>
      <c r="AVD13" s="21" t="n"/>
      <c r="AVE13" s="21" t="n"/>
      <c r="AVF13" s="21" t="n"/>
      <c r="AVG13" s="21" t="n"/>
      <c r="AVH13" s="21" t="n"/>
      <c r="AVI13" s="21" t="n"/>
      <c r="AVJ13" s="21" t="n"/>
      <c r="AVK13" s="21" t="n"/>
      <c r="AVL13" s="21" t="n"/>
      <c r="AVM13" s="21" t="n"/>
      <c r="AVN13" s="21" t="n"/>
      <c r="AVO13" s="21" t="n"/>
      <c r="AVP13" s="21" t="n"/>
      <c r="AVQ13" s="21" t="n"/>
      <c r="AVR13" s="21" t="n"/>
      <c r="AVS13" s="21" t="n"/>
      <c r="AVT13" s="21" t="n"/>
      <c r="AVU13" s="21" t="n"/>
      <c r="AVV13" s="21" t="n"/>
      <c r="AVW13" s="21" t="n"/>
      <c r="AVX13" s="21" t="n"/>
      <c r="AVY13" s="21" t="n"/>
      <c r="AVZ13" s="21" t="n"/>
      <c r="AWA13" s="21" t="n"/>
      <c r="AWB13" s="21" t="n"/>
      <c r="AWC13" s="21" t="n"/>
      <c r="AWD13" s="21" t="n"/>
      <c r="AWE13" s="21" t="n"/>
      <c r="AWF13" s="21" t="n"/>
      <c r="AWG13" s="21" t="n"/>
      <c r="AWH13" s="21" t="n"/>
      <c r="AWI13" s="21" t="n"/>
      <c r="AWJ13" s="21" t="n"/>
      <c r="AWK13" s="21" t="n"/>
      <c r="AWL13" s="21" t="n"/>
      <c r="AWM13" s="21" t="n"/>
      <c r="AWN13" s="21" t="n"/>
      <c r="AWO13" s="21" t="n"/>
      <c r="AWP13" s="21" t="n"/>
      <c r="AWQ13" s="21" t="n"/>
      <c r="AWR13" s="21" t="n"/>
      <c r="AWS13" s="21" t="n"/>
      <c r="AWT13" s="21" t="n"/>
      <c r="AWU13" s="21" t="n"/>
      <c r="AWV13" s="21" t="n"/>
      <c r="AWW13" s="21" t="n"/>
      <c r="AWX13" s="21" t="n"/>
      <c r="AWY13" s="21" t="n"/>
      <c r="AWZ13" s="21" t="n"/>
      <c r="AXA13" s="21" t="n"/>
      <c r="AXB13" s="21" t="n"/>
      <c r="AXC13" s="21" t="n"/>
      <c r="AXD13" s="21" t="n"/>
      <c r="AXE13" s="21" t="n"/>
      <c r="AXF13" s="21" t="n"/>
      <c r="AXG13" s="21" t="n"/>
      <c r="AXH13" s="21" t="n"/>
      <c r="AXI13" s="21" t="n"/>
      <c r="AXJ13" s="21" t="n"/>
      <c r="AXK13" s="21" t="n"/>
      <c r="AXL13" s="21" t="n"/>
      <c r="AXM13" s="21" t="n"/>
      <c r="AXN13" s="21" t="n"/>
      <c r="AXO13" s="21" t="n"/>
      <c r="AXP13" s="21" t="n"/>
      <c r="AXQ13" s="21" t="n"/>
      <c r="AXR13" s="21" t="n"/>
      <c r="AXS13" s="21" t="n"/>
      <c r="AXT13" s="21" t="n"/>
      <c r="AXU13" s="21" t="n"/>
      <c r="AXV13" s="21" t="n"/>
      <c r="AXW13" s="21" t="n"/>
      <c r="AXX13" s="21" t="n"/>
      <c r="AXY13" s="21" t="n"/>
      <c r="AXZ13" s="21" t="n"/>
      <c r="AYA13" s="21" t="n"/>
      <c r="AYB13" s="21" t="n"/>
      <c r="AYC13" s="21" t="n"/>
      <c r="AYD13" s="21" t="n"/>
      <c r="AYE13" s="21" t="n"/>
      <c r="AYF13" s="21" t="n"/>
      <c r="AYG13" s="21" t="n"/>
      <c r="AYH13" s="21" t="n"/>
      <c r="AYI13" s="21" t="n"/>
      <c r="AYJ13" s="21" t="n"/>
      <c r="AYK13" s="21" t="n"/>
      <c r="AYL13" s="21" t="n"/>
      <c r="AYM13" s="21" t="n"/>
      <c r="AYN13" s="21" t="n"/>
      <c r="AYO13" s="21" t="n"/>
      <c r="AYP13" s="21" t="n"/>
      <c r="AYQ13" s="21" t="n"/>
      <c r="AYR13" s="21" t="n"/>
      <c r="AYS13" s="21" t="n"/>
      <c r="AYT13" s="21" t="n"/>
      <c r="AYU13" s="21" t="n"/>
      <c r="AYV13" s="21" t="n"/>
      <c r="AYW13" s="21" t="n"/>
      <c r="AYX13" s="21" t="n"/>
      <c r="AYY13" s="21" t="n"/>
      <c r="AYZ13" s="21" t="n"/>
      <c r="AZA13" s="21" t="n"/>
      <c r="AZB13" s="21" t="n"/>
      <c r="AZC13" s="21" t="n"/>
      <c r="AZD13" s="21" t="n"/>
      <c r="AZE13" s="21" t="n"/>
      <c r="AZF13" s="21" t="n"/>
      <c r="AZG13" s="21" t="n"/>
      <c r="AZH13" s="21" t="n"/>
      <c r="AZI13" s="21" t="n"/>
      <c r="AZJ13" s="21" t="n"/>
      <c r="AZK13" s="21" t="n"/>
      <c r="AZL13" s="21" t="n"/>
      <c r="AZM13" s="21" t="n"/>
      <c r="AZN13" s="21" t="n"/>
      <c r="AZO13" s="21" t="n"/>
      <c r="AZP13" s="21" t="n"/>
      <c r="AZQ13" s="21" t="n"/>
      <c r="AZR13" s="21" t="n"/>
      <c r="AZS13" s="21" t="n"/>
      <c r="AZT13" s="21" t="n"/>
      <c r="AZU13" s="21" t="n"/>
      <c r="AZV13" s="21" t="n"/>
      <c r="AZW13" s="21" t="n"/>
      <c r="AZX13" s="21" t="n"/>
      <c r="AZY13" s="21" t="n"/>
      <c r="AZZ13" s="21" t="n"/>
      <c r="BAA13" s="21" t="n"/>
      <c r="BAB13" s="21" t="n"/>
      <c r="BAC13" s="21" t="n"/>
      <c r="BAD13" s="21" t="n"/>
      <c r="BAE13" s="21" t="n"/>
      <c r="BAF13" s="21" t="n"/>
      <c r="BAG13" s="21" t="n"/>
      <c r="BAH13" s="21" t="n"/>
      <c r="BAI13" s="21" t="n"/>
      <c r="BAJ13" s="21" t="n"/>
      <c r="BAK13" s="21" t="n"/>
      <c r="BAL13" s="21" t="n"/>
      <c r="BAM13" s="21" t="n"/>
      <c r="BAN13" s="21" t="n"/>
      <c r="BAO13" s="21" t="n"/>
      <c r="BAP13" s="21" t="n"/>
      <c r="BAQ13" s="21" t="n"/>
      <c r="BAR13" s="21" t="n"/>
      <c r="BAS13" s="21" t="n"/>
      <c r="BAT13" s="21" t="n"/>
      <c r="BAU13" s="21" t="n"/>
      <c r="BAV13" s="21" t="n"/>
      <c r="BAW13" s="21" t="n"/>
      <c r="BAX13" s="21" t="n"/>
      <c r="BAY13" s="21" t="n"/>
      <c r="BAZ13" s="21" t="n"/>
      <c r="BBA13" s="21" t="n"/>
      <c r="BBB13" s="21" t="n"/>
      <c r="BBC13" s="21" t="n"/>
      <c r="BBD13" s="21" t="n"/>
      <c r="BBE13" s="21" t="n"/>
      <c r="BBF13" s="21" t="n"/>
      <c r="BBG13" s="21" t="n"/>
      <c r="BBH13" s="21" t="n"/>
      <c r="BBI13" s="21" t="n"/>
      <c r="BBJ13" s="21" t="n"/>
      <c r="BBK13" s="21" t="n"/>
      <c r="BBL13" s="21" t="n"/>
      <c r="BBM13" s="21" t="n"/>
      <c r="BBN13" s="21" t="n"/>
      <c r="BBO13" s="21" t="n"/>
      <c r="BBP13" s="21" t="n"/>
      <c r="BBQ13" s="21" t="n"/>
      <c r="BBR13" s="21" t="n"/>
      <c r="BBS13" s="21" t="n"/>
      <c r="BBT13" s="21" t="n"/>
      <c r="BBU13" s="21" t="n"/>
      <c r="BBV13" s="21" t="n"/>
      <c r="BBW13" s="21" t="n"/>
      <c r="BBX13" s="21" t="n"/>
      <c r="BBY13" s="21" t="n"/>
      <c r="BBZ13" s="21" t="n"/>
      <c r="BCA13" s="21" t="n"/>
      <c r="BCB13" s="21" t="n"/>
      <c r="BCC13" s="21" t="n"/>
      <c r="BCD13" s="21" t="n"/>
      <c r="BCE13" s="21" t="n"/>
      <c r="BCF13" s="21" t="n"/>
      <c r="BCG13" s="21" t="n"/>
      <c r="BCH13" s="21" t="n"/>
      <c r="BCI13" s="21" t="n"/>
      <c r="BCJ13" s="21" t="n"/>
      <c r="BCK13" s="21" t="n"/>
      <c r="BCL13" s="21" t="n"/>
      <c r="BCM13" s="21" t="n"/>
      <c r="BCN13" s="21" t="n"/>
      <c r="BCO13" s="21" t="n"/>
      <c r="BCP13" s="21" t="n"/>
      <c r="BCQ13" s="21" t="n"/>
      <c r="BCR13" s="21" t="n"/>
      <c r="BCS13" s="21" t="n"/>
      <c r="BCT13" s="21" t="n"/>
      <c r="BCU13" s="21" t="n"/>
      <c r="BCV13" s="21" t="n"/>
      <c r="BCW13" s="21" t="n"/>
      <c r="BCX13" s="21" t="n"/>
      <c r="BCY13" s="21" t="n"/>
      <c r="BCZ13" s="21" t="n"/>
      <c r="BDA13" s="21" t="n"/>
      <c r="BDB13" s="21" t="n"/>
      <c r="BDC13" s="21" t="n"/>
      <c r="BDD13" s="21" t="n"/>
      <c r="BDE13" s="21" t="n"/>
      <c r="BDF13" s="21" t="n"/>
      <c r="BDG13" s="21" t="n"/>
      <c r="BDH13" s="21" t="n"/>
      <c r="BDI13" s="21" t="n"/>
      <c r="BDJ13" s="21" t="n"/>
      <c r="BDK13" s="21" t="n"/>
      <c r="BDL13" s="21" t="n"/>
      <c r="BDM13" s="21" t="n"/>
      <c r="BDN13" s="21" t="n"/>
      <c r="BDO13" s="21" t="n"/>
      <c r="BDP13" s="21" t="n"/>
      <c r="BDQ13" s="21" t="n"/>
      <c r="BDR13" s="21" t="n"/>
      <c r="BDS13" s="21" t="n"/>
      <c r="BDT13" s="21" t="n"/>
      <c r="BDU13" s="21" t="n"/>
      <c r="BDV13" s="21" t="n"/>
      <c r="BDW13" s="21" t="n"/>
      <c r="BDX13" s="21" t="n"/>
      <c r="BDY13" s="21" t="n"/>
      <c r="BDZ13" s="21" t="n"/>
      <c r="BEA13" s="21" t="n"/>
      <c r="BEB13" s="21" t="n"/>
      <c r="BEC13" s="21" t="n"/>
      <c r="BED13" s="21" t="n"/>
      <c r="BEE13" s="21" t="n"/>
      <c r="BEF13" s="21" t="n"/>
      <c r="BEG13" s="21" t="n"/>
      <c r="BEH13" s="21" t="n"/>
      <c r="BEI13" s="21" t="n"/>
      <c r="BEJ13" s="21" t="n"/>
      <c r="BEK13" s="21" t="n"/>
      <c r="BEL13" s="21" t="n"/>
      <c r="BEM13" s="21" t="n"/>
      <c r="BEN13" s="21" t="n"/>
      <c r="BEO13" s="21" t="n"/>
      <c r="BEP13" s="21" t="n"/>
      <c r="BEQ13" s="21" t="n"/>
      <c r="BER13" s="21" t="n"/>
      <c r="BES13" s="21" t="n"/>
      <c r="BET13" s="21" t="n"/>
      <c r="BEU13" s="21" t="n"/>
      <c r="BEV13" s="21" t="n"/>
      <c r="BEW13" s="21" t="n"/>
      <c r="BEX13" s="21" t="n"/>
      <c r="BEY13" s="21" t="n"/>
      <c r="BEZ13" s="21" t="n"/>
      <c r="BFA13" s="21" t="n"/>
      <c r="BFB13" s="21" t="n"/>
      <c r="BFC13" s="21" t="n"/>
      <c r="BFD13" s="21" t="n"/>
      <c r="BFE13" s="21" t="n"/>
      <c r="BFF13" s="21" t="n"/>
      <c r="BFG13" s="21" t="n"/>
      <c r="BFH13" s="21" t="n"/>
      <c r="BFI13" s="21" t="n"/>
      <c r="BFJ13" s="21" t="n"/>
      <c r="BFK13" s="21" t="n"/>
      <c r="BFL13" s="21" t="n"/>
      <c r="BFM13" s="21" t="n"/>
      <c r="BFN13" s="21" t="n"/>
      <c r="BFO13" s="21" t="n"/>
      <c r="BFP13" s="21" t="n"/>
      <c r="BFQ13" s="21" t="n"/>
      <c r="BFR13" s="21" t="n"/>
      <c r="BFS13" s="21" t="n"/>
      <c r="BFT13" s="21" t="n"/>
      <c r="BFU13" s="21" t="n"/>
      <c r="BFV13" s="21" t="n"/>
      <c r="BFW13" s="21" t="n"/>
      <c r="BFX13" s="21" t="n"/>
      <c r="BFY13" s="21" t="n"/>
      <c r="BFZ13" s="21" t="n"/>
      <c r="BGA13" s="21" t="n"/>
      <c r="BGB13" s="21" t="n"/>
      <c r="BGC13" s="21" t="n"/>
      <c r="BGD13" s="21" t="n"/>
      <c r="BGE13" s="21" t="n"/>
      <c r="BGF13" s="21" t="n"/>
      <c r="BGG13" s="21" t="n"/>
      <c r="BGH13" s="21" t="n"/>
      <c r="BGI13" s="21" t="n"/>
      <c r="BGJ13" s="21" t="n"/>
      <c r="BGK13" s="21" t="n"/>
      <c r="BGL13" s="21" t="n"/>
      <c r="BGM13" s="21" t="n"/>
      <c r="BGN13" s="21" t="n"/>
      <c r="BGO13" s="21" t="n"/>
      <c r="BGP13" s="21" t="n"/>
      <c r="BGQ13" s="21" t="n"/>
      <c r="BGR13" s="21" t="n"/>
      <c r="BGS13" s="21" t="n"/>
      <c r="BGT13" s="21" t="n"/>
      <c r="BGU13" s="21" t="n"/>
      <c r="BGV13" s="21" t="n"/>
      <c r="BGW13" s="21" t="n"/>
      <c r="BGX13" s="21" t="n"/>
      <c r="BGY13" s="21" t="n"/>
      <c r="BGZ13" s="21" t="n"/>
      <c r="BHA13" s="21" t="n"/>
      <c r="BHB13" s="21" t="n"/>
      <c r="BHC13" s="21" t="n"/>
      <c r="BHD13" s="21" t="n"/>
      <c r="BHE13" s="21" t="n"/>
      <c r="BHF13" s="21" t="n"/>
      <c r="BHG13" s="21" t="n"/>
      <c r="BHH13" s="21" t="n"/>
      <c r="BHI13" s="21" t="n"/>
      <c r="BHJ13" s="21" t="n"/>
      <c r="BHK13" s="21" t="n"/>
      <c r="BHL13" s="21" t="n"/>
      <c r="BHM13" s="21" t="n"/>
      <c r="BHN13" s="21" t="n"/>
      <c r="BHO13" s="21" t="n"/>
      <c r="BHP13" s="21" t="n"/>
      <c r="BHQ13" s="21" t="n"/>
      <c r="BHR13" s="21" t="n"/>
      <c r="BHS13" s="21" t="n"/>
      <c r="BHT13" s="21" t="n"/>
      <c r="BHU13" s="21" t="n"/>
      <c r="BHV13" s="21" t="n"/>
      <c r="BHW13" s="21" t="n"/>
      <c r="BHX13" s="21" t="n"/>
      <c r="BHY13" s="21" t="n"/>
      <c r="BHZ13" s="21" t="n"/>
      <c r="BIA13" s="21" t="n"/>
      <c r="BIB13" s="21" t="n"/>
      <c r="BIC13" s="21" t="n"/>
      <c r="BID13" s="21" t="n"/>
      <c r="BIE13" s="21" t="n"/>
      <c r="BIF13" s="21" t="n"/>
      <c r="BIG13" s="21" t="n"/>
      <c r="BIH13" s="21" t="n"/>
      <c r="BII13" s="21" t="n"/>
      <c r="BIJ13" s="21" t="n"/>
      <c r="BIK13" s="21" t="n"/>
      <c r="BIL13" s="21" t="n"/>
      <c r="BIM13" s="21" t="n"/>
      <c r="BIN13" s="21" t="n"/>
      <c r="BIO13" s="21" t="n"/>
      <c r="BIP13" s="21" t="n"/>
      <c r="BIQ13" s="21" t="n"/>
      <c r="BIR13" s="21" t="n"/>
      <c r="BIS13" s="21" t="n"/>
      <c r="BIT13" s="21" t="n"/>
      <c r="BIU13" s="21" t="n"/>
      <c r="BIV13" s="21" t="n"/>
      <c r="BIW13" s="21" t="n"/>
      <c r="BIX13" s="21" t="n"/>
      <c r="BIY13" s="21" t="n"/>
      <c r="BIZ13" s="21" t="n"/>
      <c r="BJA13" s="21" t="n"/>
      <c r="BJB13" s="21" t="n"/>
      <c r="BJC13" s="21" t="n"/>
      <c r="BJD13" s="21" t="n"/>
      <c r="BJE13" s="21" t="n"/>
      <c r="BJF13" s="21" t="n"/>
      <c r="BJG13" s="21" t="n"/>
      <c r="BJH13" s="21" t="n"/>
      <c r="BJI13" s="21" t="n"/>
      <c r="BJJ13" s="21" t="n"/>
      <c r="BJK13" s="21" t="n"/>
      <c r="BJL13" s="21" t="n"/>
      <c r="BJM13" s="21" t="n"/>
      <c r="BJN13" s="21" t="n"/>
      <c r="BJO13" s="21" t="n"/>
      <c r="BJP13" s="21" t="n"/>
      <c r="BJQ13" s="21" t="n"/>
      <c r="BJR13" s="21" t="n"/>
      <c r="BJS13" s="21" t="n"/>
      <c r="BJT13" s="21" t="n"/>
      <c r="BJU13" s="21" t="n"/>
      <c r="BJV13" s="21" t="n"/>
      <c r="BJW13" s="21" t="n"/>
      <c r="BJX13" s="21" t="n"/>
      <c r="BJY13" s="21" t="n"/>
      <c r="BJZ13" s="21" t="n"/>
      <c r="BKA13" s="21" t="n"/>
      <c r="BKB13" s="21" t="n"/>
      <c r="BKC13" s="21" t="n"/>
      <c r="BKD13" s="21" t="n"/>
      <c r="BKE13" s="21" t="n"/>
      <c r="BKF13" s="21" t="n"/>
      <c r="BKG13" s="21" t="n"/>
      <c r="BKH13" s="21" t="n"/>
      <c r="BKI13" s="21" t="n"/>
      <c r="BKJ13" s="21" t="n"/>
      <c r="BKK13" s="21" t="n"/>
      <c r="BKL13" s="21" t="n"/>
      <c r="BKM13" s="21" t="n"/>
      <c r="BKN13" s="21" t="n"/>
      <c r="BKO13" s="21" t="n"/>
      <c r="BKP13" s="21" t="n"/>
      <c r="BKQ13" s="21" t="n"/>
      <c r="BKR13" s="21" t="n"/>
      <c r="BKS13" s="21" t="n"/>
      <c r="BKT13" s="21" t="n"/>
      <c r="BKU13" s="21" t="n"/>
      <c r="BKV13" s="21" t="n"/>
      <c r="BKW13" s="21" t="n"/>
      <c r="BKX13" s="21" t="n"/>
      <c r="BKY13" s="21" t="n"/>
      <c r="BKZ13" s="21" t="n"/>
      <c r="BLA13" s="21" t="n"/>
      <c r="BLB13" s="21" t="n"/>
      <c r="BLC13" s="21" t="n"/>
      <c r="BLD13" s="21" t="n"/>
      <c r="BLE13" s="21" t="n"/>
      <c r="BLF13" s="21" t="n"/>
      <c r="BLG13" s="21" t="n"/>
      <c r="BLH13" s="21" t="n"/>
      <c r="BLI13" s="21" t="n"/>
      <c r="BLJ13" s="21" t="n"/>
      <c r="BLK13" s="21" t="n"/>
      <c r="BLL13" s="21" t="n"/>
      <c r="BLM13" s="21" t="n"/>
      <c r="BLN13" s="21" t="n"/>
      <c r="BLO13" s="21" t="n"/>
      <c r="BLP13" s="21" t="n"/>
      <c r="BLQ13" s="21" t="n"/>
      <c r="BLR13" s="21" t="n"/>
      <c r="BLS13" s="21" t="n"/>
      <c r="BLT13" s="21" t="n"/>
      <c r="BLU13" s="21" t="n"/>
      <c r="BLV13" s="21" t="n"/>
      <c r="BLW13" s="21" t="n"/>
      <c r="BLX13" s="21" t="n"/>
      <c r="BLY13" s="21" t="n"/>
      <c r="BLZ13" s="21" t="n"/>
      <c r="BMA13" s="21" t="n"/>
      <c r="BMB13" s="21" t="n"/>
      <c r="BMC13" s="21" t="n"/>
      <c r="BMD13" s="21" t="n"/>
      <c r="BME13" s="21" t="n"/>
      <c r="BMF13" s="21" t="n"/>
      <c r="BMG13" s="21" t="n"/>
      <c r="BMH13" s="21" t="n"/>
      <c r="BMI13" s="21" t="n"/>
      <c r="BMJ13" s="21" t="n"/>
      <c r="BMK13" s="21" t="n"/>
      <c r="BML13" s="21" t="n"/>
      <c r="BMM13" s="21" t="n"/>
      <c r="BMN13" s="21" t="n"/>
      <c r="BMO13" s="21" t="n"/>
      <c r="BMP13" s="21" t="n"/>
      <c r="BMQ13" s="21" t="n"/>
      <c r="BMR13" s="21" t="n"/>
      <c r="BMS13" s="21" t="n"/>
      <c r="BMT13" s="21" t="n"/>
      <c r="BMU13" s="21" t="n"/>
      <c r="BMV13" s="21" t="n"/>
      <c r="BMW13" s="21" t="n"/>
      <c r="BMX13" s="21" t="n"/>
      <c r="BMY13" s="21" t="n"/>
      <c r="BMZ13" s="21" t="n"/>
      <c r="BNA13" s="21" t="n"/>
      <c r="BNB13" s="21" t="n"/>
      <c r="BNC13" s="21" t="n"/>
      <c r="BND13" s="21" t="n"/>
      <c r="BNE13" s="21" t="n"/>
      <c r="BNF13" s="21" t="n"/>
      <c r="BNG13" s="21" t="n"/>
      <c r="BNH13" s="21" t="n"/>
      <c r="BNI13" s="21" t="n"/>
      <c r="BNJ13" s="21" t="n"/>
      <c r="BNK13" s="21" t="n"/>
      <c r="BNL13" s="21" t="n"/>
      <c r="BNM13" s="21" t="n"/>
      <c r="BNN13" s="21" t="n"/>
      <c r="BNO13" s="21" t="n"/>
      <c r="BNP13" s="21" t="n"/>
      <c r="BNQ13" s="21" t="n"/>
      <c r="BNR13" s="21" t="n"/>
      <c r="BNS13" s="21" t="n"/>
      <c r="BNT13" s="21" t="n"/>
      <c r="BNU13" s="21" t="n"/>
      <c r="BNV13" s="21" t="n"/>
      <c r="BNW13" s="21" t="n"/>
      <c r="BNX13" s="21" t="n"/>
      <c r="BNY13" s="21" t="n"/>
      <c r="BNZ13" s="21" t="n"/>
      <c r="BOA13" s="21" t="n"/>
      <c r="BOB13" s="21" t="n"/>
      <c r="BOC13" s="21" t="n"/>
      <c r="BOD13" s="21" t="n"/>
      <c r="BOE13" s="21" t="n"/>
      <c r="BOF13" s="21" t="n"/>
      <c r="BOG13" s="21" t="n"/>
      <c r="BOH13" s="21" t="n"/>
      <c r="BOI13" s="21" t="n"/>
      <c r="BOJ13" s="21" t="n"/>
      <c r="BOK13" s="21" t="n"/>
      <c r="BOL13" s="21" t="n"/>
      <c r="BOM13" s="21" t="n"/>
      <c r="BON13" s="21" t="n"/>
      <c r="BOO13" s="21" t="n"/>
      <c r="BOP13" s="21" t="n"/>
      <c r="BOQ13" s="21" t="n"/>
      <c r="BOR13" s="21" t="n"/>
      <c r="BOS13" s="21" t="n"/>
      <c r="BOT13" s="21" t="n"/>
      <c r="BOU13" s="21" t="n"/>
      <c r="BOV13" s="21" t="n"/>
      <c r="BOW13" s="21" t="n"/>
      <c r="BOX13" s="21" t="n"/>
      <c r="BOY13" s="21" t="n"/>
      <c r="BOZ13" s="21" t="n"/>
      <c r="BPA13" s="21" t="n"/>
      <c r="BPB13" s="21" t="n"/>
      <c r="BPC13" s="21" t="n"/>
      <c r="BPD13" s="21" t="n"/>
      <c r="BPE13" s="21" t="n"/>
      <c r="BPF13" s="21" t="n"/>
      <c r="BPG13" s="21" t="n"/>
      <c r="BPH13" s="21" t="n"/>
      <c r="BPI13" s="21" t="n"/>
      <c r="BPJ13" s="21" t="n"/>
      <c r="BPK13" s="21" t="n"/>
      <c r="BPL13" s="21" t="n"/>
      <c r="BPM13" s="21" t="n"/>
      <c r="BPN13" s="21" t="n"/>
      <c r="BPO13" s="21" t="n"/>
      <c r="BPP13" s="21" t="n"/>
      <c r="BPQ13" s="21" t="n"/>
      <c r="BPR13" s="21" t="n"/>
      <c r="BPS13" s="21" t="n"/>
      <c r="BPT13" s="21" t="n"/>
      <c r="BPU13" s="21" t="n"/>
      <c r="BPV13" s="21" t="n"/>
      <c r="BPW13" s="21" t="n"/>
      <c r="BPX13" s="21" t="n"/>
      <c r="BPY13" s="21" t="n"/>
      <c r="BPZ13" s="21" t="n"/>
      <c r="BQA13" s="21" t="n"/>
      <c r="BQB13" s="21" t="n"/>
      <c r="BQC13" s="21" t="n"/>
      <c r="BQD13" s="21" t="n"/>
      <c r="BQE13" s="21" t="n"/>
      <c r="BQF13" s="21" t="n"/>
      <c r="BQG13" s="21" t="n"/>
      <c r="BQH13" s="21" t="n"/>
      <c r="BQI13" s="21" t="n"/>
      <c r="BQJ13" s="21" t="n"/>
      <c r="BQK13" s="21" t="n"/>
      <c r="BQL13" s="21" t="n"/>
      <c r="BQM13" s="21" t="n"/>
      <c r="BQN13" s="21" t="n"/>
      <c r="BQO13" s="21" t="n"/>
      <c r="BQP13" s="21" t="n"/>
      <c r="BQQ13" s="21" t="n"/>
      <c r="BQR13" s="21" t="n"/>
      <c r="BQS13" s="21" t="n"/>
      <c r="BQT13" s="21" t="n"/>
      <c r="BQU13" s="21" t="n"/>
      <c r="BQV13" s="21" t="n"/>
      <c r="BQW13" s="21" t="n"/>
      <c r="BQX13" s="21" t="n"/>
      <c r="BQY13" s="21" t="n"/>
      <c r="BQZ13" s="21" t="n"/>
      <c r="BRA13" s="21" t="n"/>
      <c r="BRB13" s="21" t="n"/>
      <c r="BRC13" s="21" t="n"/>
      <c r="BRD13" s="21" t="n"/>
      <c r="BRE13" s="21" t="n"/>
      <c r="BRF13" s="21" t="n"/>
      <c r="BRG13" s="21" t="n"/>
      <c r="BRH13" s="21" t="n"/>
      <c r="BRI13" s="21" t="n"/>
      <c r="BRJ13" s="21" t="n"/>
      <c r="BRK13" s="21" t="n"/>
      <c r="BRL13" s="21" t="n"/>
      <c r="BRM13" s="21" t="n"/>
      <c r="BRN13" s="21" t="n"/>
      <c r="BRO13" s="21" t="n"/>
      <c r="BRP13" s="21" t="n"/>
      <c r="BRQ13" s="21" t="n"/>
      <c r="BRR13" s="21" t="n"/>
      <c r="BRS13" s="21" t="n"/>
      <c r="BRT13" s="21" t="n"/>
      <c r="BRU13" s="21" t="n"/>
      <c r="BRV13" s="21" t="n"/>
      <c r="BRW13" s="21" t="n"/>
      <c r="BRX13" s="21" t="n"/>
      <c r="BRY13" s="21" t="n"/>
      <c r="BRZ13" s="21" t="n"/>
      <c r="BSA13" s="21" t="n"/>
      <c r="BSB13" s="21" t="n"/>
      <c r="BSC13" s="21" t="n"/>
      <c r="BSD13" s="21" t="n"/>
      <c r="BSE13" s="21" t="n"/>
      <c r="BSF13" s="21" t="n"/>
      <c r="BSG13" s="21" t="n"/>
      <c r="BSH13" s="21" t="n"/>
      <c r="BSI13" s="21" t="n"/>
      <c r="BSJ13" s="21" t="n"/>
      <c r="BSK13" s="21" t="n"/>
      <c r="BSL13" s="21" t="n"/>
      <c r="BSM13" s="21" t="n"/>
      <c r="BSN13" s="21" t="n"/>
      <c r="BSO13" s="21" t="n"/>
      <c r="BSP13" s="21" t="n"/>
      <c r="BSQ13" s="21" t="n"/>
      <c r="BSR13" s="21" t="n"/>
      <c r="BSS13" s="21" t="n"/>
      <c r="BST13" s="21" t="n"/>
      <c r="BSU13" s="21" t="n"/>
      <c r="BSV13" s="21" t="n"/>
      <c r="BSW13" s="21" t="n"/>
      <c r="BSX13" s="21" t="n"/>
      <c r="BSY13" s="21" t="n"/>
      <c r="BSZ13" s="21" t="n"/>
      <c r="BTA13" s="21" t="n"/>
      <c r="BTB13" s="21" t="n"/>
      <c r="BTC13" s="21" t="n"/>
      <c r="BTD13" s="21" t="n"/>
      <c r="BTE13" s="21" t="n"/>
      <c r="BTF13" s="21" t="n"/>
      <c r="BTG13" s="21" t="n"/>
      <c r="BTH13" s="21" t="n"/>
      <c r="BTI13" s="21" t="n"/>
      <c r="BTJ13" s="21" t="n"/>
      <c r="BTK13" s="21" t="n"/>
      <c r="BTL13" s="21" t="n"/>
      <c r="BTM13" s="21" t="n"/>
      <c r="BTN13" s="21" t="n"/>
      <c r="BTO13" s="21" t="n"/>
      <c r="BTP13" s="21" t="n"/>
      <c r="BTQ13" s="21" t="n"/>
      <c r="BTR13" s="21" t="n"/>
      <c r="BTS13" s="21" t="n"/>
      <c r="BTT13" s="21" t="n"/>
      <c r="BTU13" s="21" t="n"/>
      <c r="BTV13" s="21" t="n"/>
      <c r="BTW13" s="21" t="n"/>
      <c r="BTX13" s="21" t="n"/>
      <c r="BTY13" s="21" t="n"/>
      <c r="BTZ13" s="21" t="n"/>
      <c r="BUA13" s="21" t="n"/>
      <c r="BUB13" s="21" t="n"/>
      <c r="BUC13" s="21" t="n"/>
      <c r="BUD13" s="21" t="n"/>
      <c r="BUE13" s="21" t="n"/>
      <c r="BUF13" s="21" t="n"/>
      <c r="BUG13" s="21" t="n"/>
      <c r="BUH13" s="21" t="n"/>
      <c r="BUI13" s="21" t="n"/>
      <c r="BUJ13" s="21" t="n"/>
      <c r="BUK13" s="21" t="n"/>
      <c r="BUL13" s="21" t="n"/>
      <c r="BUM13" s="21" t="n"/>
      <c r="BUN13" s="21" t="n"/>
      <c r="BUO13" s="21" t="n"/>
      <c r="BUP13" s="21" t="n"/>
      <c r="BUQ13" s="21" t="n"/>
      <c r="BUR13" s="21" t="n"/>
      <c r="BUS13" s="21" t="n"/>
      <c r="BUT13" s="21" t="n"/>
      <c r="BUU13" s="21" t="n"/>
      <c r="BUV13" s="21" t="n"/>
      <c r="BUW13" s="21" t="n"/>
      <c r="BUX13" s="21" t="n"/>
      <c r="BUY13" s="21" t="n"/>
      <c r="BUZ13" s="21" t="n"/>
      <c r="BVA13" s="21" t="n"/>
      <c r="BVB13" s="21" t="n"/>
      <c r="BVC13" s="21" t="n"/>
      <c r="BVD13" s="21" t="n"/>
      <c r="BVE13" s="21" t="n"/>
      <c r="BVF13" s="21" t="n"/>
      <c r="BVG13" s="21" t="n"/>
      <c r="BVH13" s="21" t="n"/>
      <c r="BVI13" s="21" t="n"/>
      <c r="BVJ13" s="21" t="n"/>
      <c r="BVK13" s="21" t="n"/>
      <c r="BVL13" s="21" t="n"/>
      <c r="BVM13" s="21" t="n"/>
      <c r="BVN13" s="21" t="n"/>
      <c r="BVO13" s="21" t="n"/>
      <c r="BVP13" s="21" t="n"/>
      <c r="BVQ13" s="21" t="n"/>
      <c r="BVR13" s="21" t="n"/>
      <c r="BVS13" s="21" t="n"/>
      <c r="BVT13" s="21" t="n"/>
      <c r="BVU13" s="21" t="n"/>
      <c r="BVV13" s="21" t="n"/>
      <c r="BVW13" s="21" t="n"/>
      <c r="BVX13" s="21" t="n"/>
      <c r="BVY13" s="21" t="n"/>
      <c r="BVZ13" s="21" t="n"/>
      <c r="BWA13" s="21" t="n"/>
      <c r="BWB13" s="21" t="n"/>
      <c r="BWC13" s="21" t="n"/>
      <c r="BWD13" s="21" t="n"/>
      <c r="BWE13" s="21" t="n"/>
      <c r="BWF13" s="21" t="n"/>
      <c r="BWG13" s="21" t="n"/>
      <c r="BWH13" s="21" t="n"/>
      <c r="BWI13" s="21" t="n"/>
      <c r="BWJ13" s="21" t="n"/>
      <c r="BWK13" s="21" t="n"/>
      <c r="BWL13" s="21" t="n"/>
      <c r="BWM13" s="21" t="n"/>
      <c r="BWN13" s="21" t="n"/>
      <c r="BWO13" s="21" t="n"/>
      <c r="BWP13" s="21" t="n"/>
      <c r="BWQ13" s="21" t="n"/>
      <c r="BWR13" s="21" t="n"/>
      <c r="BWS13" s="21" t="n"/>
      <c r="BWT13" s="21" t="n"/>
      <c r="BWU13" s="21" t="n"/>
      <c r="BWV13" s="21" t="n"/>
      <c r="BWW13" s="21" t="n"/>
      <c r="BWX13" s="21" t="n"/>
      <c r="BWY13" s="21" t="n"/>
      <c r="BWZ13" s="21" t="n"/>
      <c r="BXA13" s="21" t="n"/>
      <c r="BXB13" s="21" t="n"/>
      <c r="BXC13" s="21" t="n"/>
      <c r="BXD13" s="21" t="n"/>
      <c r="BXE13" s="21" t="n"/>
      <c r="BXF13" s="21" t="n"/>
      <c r="BXG13" s="21" t="n"/>
      <c r="BXH13" s="21" t="n"/>
      <c r="BXI13" s="21" t="n"/>
      <c r="BXJ13" s="21" t="n"/>
      <c r="BXK13" s="21" t="n"/>
      <c r="BXL13" s="21" t="n"/>
      <c r="BXM13" s="21" t="n"/>
      <c r="BXN13" s="21" t="n"/>
      <c r="BXO13" s="21" t="n"/>
      <c r="BXP13" s="21" t="n"/>
      <c r="BXQ13" s="21" t="n"/>
      <c r="BXR13" s="21" t="n"/>
      <c r="BXS13" s="21" t="n"/>
      <c r="BXT13" s="21" t="n"/>
      <c r="BXU13" s="21" t="n"/>
      <c r="BXV13" s="21" t="n"/>
      <c r="BXW13" s="21" t="n"/>
      <c r="BXX13" s="21" t="n"/>
      <c r="BXY13" s="21" t="n"/>
      <c r="BXZ13" s="21" t="n"/>
      <c r="BYA13" s="21" t="n"/>
      <c r="BYB13" s="21" t="n"/>
      <c r="BYC13" s="21" t="n"/>
      <c r="BYD13" s="21" t="n"/>
      <c r="BYE13" s="21" t="n"/>
      <c r="BYF13" s="21" t="n"/>
      <c r="BYG13" s="21" t="n"/>
      <c r="BYH13" s="21" t="n"/>
      <c r="BYI13" s="21" t="n"/>
      <c r="BYJ13" s="21" t="n"/>
      <c r="BYK13" s="21" t="n"/>
      <c r="BYL13" s="21" t="n"/>
      <c r="BYM13" s="21" t="n"/>
      <c r="BYN13" s="21" t="n"/>
      <c r="BYO13" s="21" t="n"/>
      <c r="BYP13" s="21" t="n"/>
      <c r="BYQ13" s="21" t="n"/>
      <c r="BYR13" s="21" t="n"/>
      <c r="BYS13" s="21" t="n"/>
      <c r="BYT13" s="21" t="n"/>
      <c r="BYU13" s="21" t="n"/>
      <c r="BYV13" s="21" t="n"/>
      <c r="BYW13" s="21" t="n"/>
      <c r="BYX13" s="21" t="n"/>
      <c r="BYY13" s="21" t="n"/>
      <c r="BYZ13" s="21" t="n"/>
      <c r="BZA13" s="21" t="n"/>
      <c r="BZB13" s="21" t="n"/>
      <c r="BZC13" s="21" t="n"/>
      <c r="BZD13" s="21" t="n"/>
      <c r="BZE13" s="21" t="n"/>
      <c r="BZF13" s="21" t="n"/>
      <c r="BZG13" s="21" t="n"/>
      <c r="BZH13" s="21" t="n"/>
      <c r="BZI13" s="21" t="n"/>
      <c r="BZJ13" s="21" t="n"/>
      <c r="BZK13" s="21" t="n"/>
      <c r="BZL13" s="21" t="n"/>
      <c r="BZM13" s="21" t="n"/>
      <c r="BZN13" s="21" t="n"/>
      <c r="BZO13" s="21" t="n"/>
      <c r="BZP13" s="21" t="n"/>
      <c r="BZQ13" s="21" t="n"/>
      <c r="BZR13" s="21" t="n"/>
      <c r="BZS13" s="21" t="n"/>
      <c r="BZT13" s="21" t="n"/>
      <c r="BZU13" s="21" t="n"/>
      <c r="BZV13" s="21" t="n"/>
      <c r="BZW13" s="21" t="n"/>
      <c r="BZX13" s="21" t="n"/>
      <c r="BZY13" s="21" t="n"/>
      <c r="BZZ13" s="21" t="n"/>
      <c r="CAA13" s="21" t="n"/>
      <c r="CAB13" s="21" t="n"/>
      <c r="CAC13" s="21" t="n"/>
      <c r="CAD13" s="21" t="n"/>
      <c r="CAE13" s="21" t="n"/>
      <c r="CAF13" s="21" t="n"/>
      <c r="CAG13" s="21" t="n"/>
      <c r="CAH13" s="21" t="n"/>
      <c r="CAI13" s="21" t="n"/>
      <c r="CAJ13" s="21" t="n"/>
      <c r="CAK13" s="21" t="n"/>
      <c r="CAL13" s="21" t="n"/>
      <c r="CAM13" s="21" t="n"/>
      <c r="CAN13" s="21" t="n"/>
      <c r="CAO13" s="21" t="n"/>
      <c r="CAP13" s="21" t="n"/>
      <c r="CAQ13" s="21" t="n"/>
      <c r="CAR13" s="21" t="n"/>
      <c r="CAS13" s="21" t="n"/>
      <c r="CAT13" s="21" t="n"/>
      <c r="CAU13" s="21" t="n"/>
      <c r="CAV13" s="21" t="n"/>
      <c r="CAW13" s="21" t="n"/>
      <c r="CAX13" s="21" t="n"/>
      <c r="CAY13" s="21" t="n"/>
      <c r="CAZ13" s="21" t="n"/>
      <c r="CBA13" s="21" t="n"/>
      <c r="CBB13" s="21" t="n"/>
      <c r="CBC13" s="21" t="n"/>
      <c r="CBD13" s="21" t="n"/>
      <c r="CBE13" s="21" t="n"/>
      <c r="CBF13" s="21" t="n"/>
      <c r="CBG13" s="21" t="n"/>
      <c r="CBH13" s="21" t="n"/>
      <c r="CBI13" s="21" t="n"/>
      <c r="CBJ13" s="21" t="n"/>
      <c r="CBK13" s="21" t="n"/>
      <c r="CBL13" s="21" t="n"/>
      <c r="CBM13" s="21" t="n"/>
      <c r="CBN13" s="21" t="n"/>
      <c r="CBO13" s="21" t="n"/>
      <c r="CBP13" s="21" t="n"/>
      <c r="CBQ13" s="21" t="n"/>
      <c r="CBR13" s="21" t="n"/>
      <c r="CBS13" s="21" t="n"/>
      <c r="CBT13" s="21" t="n"/>
      <c r="CBU13" s="21" t="n"/>
      <c r="CBV13" s="21" t="n"/>
      <c r="CBW13" s="21" t="n"/>
      <c r="CBX13" s="21" t="n"/>
      <c r="CBY13" s="21" t="n"/>
      <c r="CBZ13" s="21" t="n"/>
      <c r="CCA13" s="21" t="n"/>
      <c r="CCB13" s="21" t="n"/>
      <c r="CCC13" s="21" t="n"/>
      <c r="CCD13" s="21" t="n"/>
      <c r="CCE13" s="21" t="n"/>
      <c r="CCF13" s="21" t="n"/>
      <c r="CCG13" s="21" t="n"/>
      <c r="CCH13" s="21" t="n"/>
      <c r="CCI13" s="21" t="n"/>
      <c r="CCJ13" s="21" t="n"/>
      <c r="CCK13" s="21" t="n"/>
      <c r="CCL13" s="21" t="n"/>
      <c r="CCM13" s="21" t="n"/>
      <c r="CCN13" s="21" t="n"/>
      <c r="CCO13" s="21" t="n"/>
      <c r="CCP13" s="21" t="n"/>
      <c r="CCQ13" s="21" t="n"/>
      <c r="CCR13" s="21" t="n"/>
      <c r="CCS13" s="21" t="n"/>
      <c r="CCT13" s="21" t="n"/>
      <c r="CCU13" s="21" t="n"/>
      <c r="CCV13" s="21" t="n"/>
      <c r="CCW13" s="21" t="n"/>
      <c r="CCX13" s="21" t="n"/>
      <c r="CCY13" s="21" t="n"/>
      <c r="CCZ13" s="21" t="n"/>
      <c r="CDA13" s="21" t="n"/>
      <c r="CDB13" s="21" t="n"/>
      <c r="CDC13" s="21" t="n"/>
      <c r="CDD13" s="21" t="n"/>
      <c r="CDE13" s="21" t="n"/>
      <c r="CDF13" s="21" t="n"/>
      <c r="CDG13" s="21" t="n"/>
      <c r="CDH13" s="21" t="n"/>
      <c r="CDI13" s="21" t="n"/>
      <c r="CDJ13" s="21" t="n"/>
      <c r="CDK13" s="21" t="n"/>
      <c r="CDL13" s="21" t="n"/>
      <c r="CDM13" s="21" t="n"/>
      <c r="CDN13" s="21" t="n"/>
      <c r="CDO13" s="21" t="n"/>
      <c r="CDP13" s="21" t="n"/>
      <c r="CDQ13" s="21" t="n"/>
      <c r="CDR13" s="21" t="n"/>
      <c r="CDS13" s="21" t="n"/>
      <c r="CDT13" s="21" t="n"/>
      <c r="CDU13" s="21" t="n"/>
      <c r="CDV13" s="21" t="n"/>
      <c r="CDW13" s="21" t="n"/>
      <c r="CDX13" s="21" t="n"/>
      <c r="CDY13" s="21" t="n"/>
      <c r="CDZ13" s="21" t="n"/>
      <c r="CEA13" s="21" t="n"/>
      <c r="CEB13" s="21" t="n"/>
      <c r="CEC13" s="21" t="n"/>
      <c r="CED13" s="21" t="n"/>
      <c r="CEE13" s="21" t="n"/>
      <c r="CEF13" s="21" t="n"/>
      <c r="CEG13" s="21" t="n"/>
      <c r="CEH13" s="21" t="n"/>
      <c r="CEI13" s="21" t="n"/>
      <c r="CEJ13" s="21" t="n"/>
      <c r="CEK13" s="21" t="n"/>
      <c r="CEL13" s="21" t="n"/>
      <c r="CEM13" s="21" t="n"/>
      <c r="CEN13" s="21" t="n"/>
      <c r="CEO13" s="21" t="n"/>
      <c r="CEP13" s="21" t="n"/>
      <c r="CEQ13" s="21" t="n"/>
      <c r="CER13" s="21" t="n"/>
      <c r="CES13" s="21" t="n"/>
      <c r="CET13" s="21" t="n"/>
      <c r="CEU13" s="21" t="n"/>
      <c r="CEV13" s="21" t="n"/>
      <c r="CEW13" s="21" t="n"/>
      <c r="CEX13" s="21" t="n"/>
      <c r="CEY13" s="21" t="n"/>
      <c r="CEZ13" s="21" t="n"/>
      <c r="CFA13" s="21" t="n"/>
      <c r="CFB13" s="21" t="n"/>
      <c r="CFC13" s="21" t="n"/>
      <c r="CFD13" s="21" t="n"/>
      <c r="CFE13" s="21" t="n"/>
      <c r="CFF13" s="21" t="n"/>
      <c r="CFG13" s="21" t="n"/>
      <c r="CFH13" s="21" t="n"/>
      <c r="CFI13" s="21" t="n"/>
      <c r="CFJ13" s="21" t="n"/>
      <c r="CFK13" s="21" t="n"/>
      <c r="CFL13" s="21" t="n"/>
      <c r="CFM13" s="21" t="n"/>
      <c r="CFN13" s="21" t="n"/>
      <c r="CFO13" s="21" t="n"/>
      <c r="CFP13" s="21" t="n"/>
      <c r="CFQ13" s="21" t="n"/>
      <c r="CFR13" s="21" t="n"/>
      <c r="CFS13" s="21" t="n"/>
      <c r="CFT13" s="21" t="n"/>
      <c r="CFU13" s="21" t="n"/>
      <c r="CFV13" s="21" t="n"/>
      <c r="CFW13" s="21" t="n"/>
      <c r="CFX13" s="21" t="n"/>
      <c r="CFY13" s="21" t="n"/>
      <c r="CFZ13" s="21" t="n"/>
      <c r="CGA13" s="21" t="n"/>
      <c r="CGB13" s="21" t="n"/>
      <c r="CGC13" s="21" t="n"/>
      <c r="CGD13" s="21" t="n"/>
      <c r="CGE13" s="21" t="n"/>
      <c r="CGF13" s="21" t="n"/>
      <c r="CGG13" s="21" t="n"/>
      <c r="CGH13" s="21" t="n"/>
      <c r="CGI13" s="21" t="n"/>
      <c r="CGJ13" s="21" t="n"/>
      <c r="CGK13" s="21" t="n"/>
      <c r="CGL13" s="21" t="n"/>
      <c r="CGM13" s="21" t="n"/>
      <c r="CGN13" s="21" t="n"/>
      <c r="CGO13" s="21" t="n"/>
      <c r="CGP13" s="21" t="n"/>
      <c r="CGQ13" s="21" t="n"/>
      <c r="CGR13" s="21" t="n"/>
      <c r="CGS13" s="21" t="n"/>
      <c r="CGT13" s="21" t="n"/>
      <c r="CGU13" s="21" t="n"/>
      <c r="CGV13" s="21" t="n"/>
      <c r="CGW13" s="21" t="n"/>
      <c r="CGX13" s="21" t="n"/>
      <c r="CGY13" s="21" t="n"/>
      <c r="CGZ13" s="21" t="n"/>
      <c r="CHA13" s="21" t="n"/>
      <c r="CHB13" s="21" t="n"/>
      <c r="CHC13" s="21" t="n"/>
      <c r="CHD13" s="21" t="n"/>
      <c r="CHE13" s="21" t="n"/>
      <c r="CHF13" s="21" t="n"/>
      <c r="CHG13" s="21" t="n"/>
      <c r="CHH13" s="21" t="n"/>
      <c r="CHI13" s="21" t="n"/>
      <c r="CHJ13" s="21" t="n"/>
      <c r="CHK13" s="21" t="n"/>
      <c r="CHL13" s="21" t="n"/>
      <c r="CHM13" s="21" t="n"/>
      <c r="CHN13" s="21" t="n"/>
      <c r="CHO13" s="21" t="n"/>
      <c r="CHP13" s="21" t="n"/>
      <c r="CHQ13" s="21" t="n"/>
      <c r="CHR13" s="21" t="n"/>
      <c r="CHS13" s="21" t="n"/>
      <c r="CHT13" s="21" t="n"/>
      <c r="CHU13" s="21" t="n"/>
      <c r="CHV13" s="21" t="n"/>
      <c r="CHW13" s="21" t="n"/>
      <c r="CHX13" s="21" t="n"/>
      <c r="CHY13" s="21" t="n"/>
      <c r="CHZ13" s="21" t="n"/>
      <c r="CIA13" s="21" t="n"/>
      <c r="CIB13" s="21" t="n"/>
      <c r="CIC13" s="21" t="n"/>
      <c r="CID13" s="21" t="n"/>
      <c r="CIE13" s="21" t="n"/>
      <c r="CIF13" s="21" t="n"/>
      <c r="CIG13" s="21" t="n"/>
      <c r="CIH13" s="21" t="n"/>
      <c r="CII13" s="21" t="n"/>
      <c r="CIJ13" s="21" t="n"/>
      <c r="CIK13" s="21" t="n"/>
      <c r="CIL13" s="21" t="n"/>
      <c r="CIM13" s="21" t="n"/>
      <c r="CIN13" s="21" t="n"/>
      <c r="CIO13" s="21" t="n"/>
      <c r="CIP13" s="21" t="n"/>
      <c r="CIQ13" s="21" t="n"/>
      <c r="CIR13" s="21" t="n"/>
      <c r="CIS13" s="21" t="n"/>
      <c r="CIT13" s="21" t="n"/>
      <c r="CIU13" s="21" t="n"/>
      <c r="CIV13" s="21" t="n"/>
      <c r="CIW13" s="21" t="n"/>
      <c r="CIX13" s="21" t="n"/>
      <c r="CIY13" s="21" t="n"/>
      <c r="CIZ13" s="21" t="n"/>
      <c r="CJA13" s="21" t="n"/>
      <c r="CJB13" s="21" t="n"/>
      <c r="CJC13" s="21" t="n"/>
      <c r="CJD13" s="21" t="n"/>
      <c r="CJE13" s="21" t="n"/>
      <c r="CJF13" s="21" t="n"/>
      <c r="CJG13" s="21" t="n"/>
      <c r="CJH13" s="21" t="n"/>
      <c r="CJI13" s="21" t="n"/>
      <c r="CJJ13" s="21" t="n"/>
      <c r="CJK13" s="21" t="n"/>
      <c r="CJL13" s="21" t="n"/>
      <c r="CJM13" s="21" t="n"/>
      <c r="CJN13" s="21" t="n"/>
      <c r="CJO13" s="21" t="n"/>
      <c r="CJP13" s="21" t="n"/>
      <c r="CJQ13" s="21" t="n"/>
      <c r="CJR13" s="21" t="n"/>
      <c r="CJS13" s="21" t="n"/>
      <c r="CJT13" s="21" t="n"/>
      <c r="CJU13" s="21" t="n"/>
      <c r="CJV13" s="21" t="n"/>
      <c r="CJW13" s="21" t="n"/>
      <c r="CJX13" s="21" t="n"/>
      <c r="CJY13" s="21" t="n"/>
      <c r="CJZ13" s="21" t="n"/>
      <c r="CKA13" s="21" t="n"/>
      <c r="CKB13" s="21" t="n"/>
      <c r="CKC13" s="21" t="n"/>
      <c r="CKD13" s="21" t="n"/>
      <c r="CKE13" s="21" t="n"/>
      <c r="CKF13" s="21" t="n"/>
      <c r="CKG13" s="21" t="n"/>
      <c r="CKH13" s="21" t="n"/>
      <c r="CKI13" s="21" t="n"/>
      <c r="CKJ13" s="21" t="n"/>
      <c r="CKK13" s="21" t="n"/>
      <c r="CKL13" s="21" t="n"/>
      <c r="CKM13" s="21" t="n"/>
      <c r="CKN13" s="21" t="n"/>
      <c r="CKO13" s="21" t="n"/>
      <c r="CKP13" s="21" t="n"/>
      <c r="CKQ13" s="21" t="n"/>
      <c r="CKR13" s="21" t="n"/>
      <c r="CKS13" s="21" t="n"/>
      <c r="CKT13" s="21" t="n"/>
      <c r="CKU13" s="21" t="n"/>
      <c r="CKV13" s="21" t="n"/>
      <c r="CKW13" s="21" t="n"/>
      <c r="CKX13" s="21" t="n"/>
      <c r="CKY13" s="21" t="n"/>
      <c r="CKZ13" s="21" t="n"/>
      <c r="CLA13" s="21" t="n"/>
      <c r="CLB13" s="21" t="n"/>
      <c r="CLC13" s="21" t="n"/>
      <c r="CLD13" s="21" t="n"/>
      <c r="CLE13" s="21" t="n"/>
      <c r="CLF13" s="21" t="n"/>
      <c r="CLG13" s="21" t="n"/>
      <c r="CLH13" s="21" t="n"/>
      <c r="CLI13" s="21" t="n"/>
      <c r="CLJ13" s="21" t="n"/>
      <c r="CLK13" s="21" t="n"/>
      <c r="CLL13" s="21" t="n"/>
      <c r="CLM13" s="21" t="n"/>
      <c r="CLN13" s="21" t="n"/>
      <c r="CLO13" s="21" t="n"/>
      <c r="CLP13" s="21" t="n"/>
      <c r="CLQ13" s="21" t="n"/>
      <c r="CLR13" s="21" t="n"/>
      <c r="CLS13" s="21" t="n"/>
      <c r="CLT13" s="21" t="n"/>
      <c r="CLU13" s="21" t="n"/>
      <c r="CLV13" s="21" t="n"/>
      <c r="CLW13" s="21" t="n"/>
      <c r="CLX13" s="21" t="n"/>
      <c r="CLY13" s="21" t="n"/>
      <c r="CLZ13" s="21" t="n"/>
      <c r="CMA13" s="21" t="n"/>
      <c r="CMB13" s="21" t="n"/>
      <c r="CMC13" s="21" t="n"/>
      <c r="CMD13" s="21" t="n"/>
      <c r="CME13" s="21" t="n"/>
      <c r="CMF13" s="21" t="n"/>
      <c r="CMG13" s="21" t="n"/>
      <c r="CMH13" s="21" t="n"/>
      <c r="CMI13" s="21" t="n"/>
      <c r="CMJ13" s="21" t="n"/>
      <c r="CMK13" s="21" t="n"/>
      <c r="CML13" s="21" t="n"/>
      <c r="CMM13" s="21" t="n"/>
      <c r="CMN13" s="21" t="n"/>
      <c r="CMO13" s="21" t="n"/>
      <c r="CMP13" s="21" t="n"/>
      <c r="CMQ13" s="21" t="n"/>
      <c r="CMR13" s="21" t="n"/>
      <c r="CMS13" s="21" t="n"/>
      <c r="CMT13" s="21" t="n"/>
      <c r="CMU13" s="21" t="n"/>
      <c r="CMV13" s="21" t="n"/>
      <c r="CMW13" s="21" t="n"/>
      <c r="CMX13" s="21" t="n"/>
      <c r="CMY13" s="21" t="n"/>
      <c r="CMZ13" s="21" t="n"/>
      <c r="CNA13" s="21" t="n"/>
      <c r="CNB13" s="21" t="n"/>
      <c r="CNC13" s="21" t="n"/>
      <c r="CND13" s="21" t="n"/>
      <c r="CNE13" s="21" t="n"/>
      <c r="CNF13" s="21" t="n"/>
      <c r="CNG13" s="21" t="n"/>
      <c r="CNH13" s="21" t="n"/>
      <c r="CNI13" s="21" t="n"/>
      <c r="CNJ13" s="21" t="n"/>
      <c r="CNK13" s="21" t="n"/>
      <c r="CNL13" s="21" t="n"/>
      <c r="CNM13" s="21" t="n"/>
      <c r="CNN13" s="21" t="n"/>
      <c r="CNO13" s="21" t="n"/>
      <c r="CNP13" s="21" t="n"/>
      <c r="CNQ13" s="21" t="n"/>
      <c r="CNR13" s="21" t="n"/>
      <c r="CNS13" s="21" t="n"/>
      <c r="CNT13" s="21" t="n"/>
      <c r="CNU13" s="21" t="n"/>
      <c r="CNV13" s="21" t="n"/>
      <c r="CNW13" s="21" t="n"/>
      <c r="CNX13" s="21" t="n"/>
      <c r="CNY13" s="21" t="n"/>
      <c r="CNZ13" s="21" t="n"/>
      <c r="COA13" s="21" t="n"/>
      <c r="COB13" s="21" t="n"/>
      <c r="COC13" s="21" t="n"/>
      <c r="COD13" s="21" t="n"/>
      <c r="COE13" s="21" t="n"/>
      <c r="COF13" s="21" t="n"/>
      <c r="COG13" s="21" t="n"/>
      <c r="COH13" s="21" t="n"/>
      <c r="COI13" s="21" t="n"/>
      <c r="COJ13" s="21" t="n"/>
      <c r="COK13" s="21" t="n"/>
      <c r="COL13" s="21" t="n"/>
      <c r="COM13" s="21" t="n"/>
      <c r="CON13" s="21" t="n"/>
      <c r="COO13" s="21" t="n"/>
      <c r="COP13" s="21" t="n"/>
      <c r="COQ13" s="21" t="n"/>
      <c r="COR13" s="21" t="n"/>
      <c r="COS13" s="21" t="n"/>
      <c r="COT13" s="21" t="n"/>
      <c r="COU13" s="21" t="n"/>
      <c r="COV13" s="21" t="n"/>
      <c r="COW13" s="21" t="n"/>
      <c r="COX13" s="21" t="n"/>
      <c r="COY13" s="21" t="n"/>
      <c r="COZ13" s="21" t="n"/>
      <c r="CPA13" s="21" t="n"/>
      <c r="CPB13" s="21" t="n"/>
      <c r="CPC13" s="21" t="n"/>
      <c r="CPD13" s="21" t="n"/>
      <c r="CPE13" s="21" t="n"/>
      <c r="CPF13" s="21" t="n"/>
      <c r="CPG13" s="21" t="n"/>
      <c r="CPH13" s="21" t="n"/>
      <c r="CPI13" s="21" t="n"/>
      <c r="CPJ13" s="21" t="n"/>
      <c r="CPK13" s="21" t="n"/>
      <c r="CPL13" s="21" t="n"/>
      <c r="CPM13" s="21" t="n"/>
      <c r="CPN13" s="21" t="n"/>
      <c r="CPO13" s="21" t="n"/>
      <c r="CPP13" s="21" t="n"/>
      <c r="CPQ13" s="21" t="n"/>
      <c r="CPR13" s="21" t="n"/>
      <c r="CPS13" s="21" t="n"/>
      <c r="CPT13" s="21" t="n"/>
      <c r="CPU13" s="21" t="n"/>
      <c r="CPV13" s="21" t="n"/>
      <c r="CPW13" s="21" t="n"/>
      <c r="CPX13" s="21" t="n"/>
      <c r="CPY13" s="21" t="n"/>
      <c r="CPZ13" s="21" t="n"/>
      <c r="CQA13" s="21" t="n"/>
      <c r="CQB13" s="21" t="n"/>
      <c r="CQC13" s="21" t="n"/>
      <c r="CQD13" s="21" t="n"/>
      <c r="CQE13" s="21" t="n"/>
      <c r="CQF13" s="21" t="n"/>
      <c r="CQG13" s="21" t="n"/>
      <c r="CQH13" s="21" t="n"/>
      <c r="CQI13" s="21" t="n"/>
      <c r="CQJ13" s="21" t="n"/>
      <c r="CQK13" s="21" t="n"/>
      <c r="CQL13" s="21" t="n"/>
      <c r="CQM13" s="21" t="n"/>
      <c r="CQN13" s="21" t="n"/>
      <c r="CQO13" s="21" t="n"/>
      <c r="CQP13" s="21" t="n"/>
      <c r="CQQ13" s="21" t="n"/>
      <c r="CQR13" s="21" t="n"/>
      <c r="CQS13" s="21" t="n"/>
      <c r="CQT13" s="21" t="n"/>
      <c r="CQU13" s="21" t="n"/>
      <c r="CQV13" s="21" t="n"/>
      <c r="CQW13" s="21" t="n"/>
      <c r="CQX13" s="21" t="n"/>
      <c r="CQY13" s="21" t="n"/>
      <c r="CQZ13" s="21" t="n"/>
      <c r="CRA13" s="21" t="n"/>
      <c r="CRB13" s="21" t="n"/>
      <c r="CRC13" s="21" t="n"/>
      <c r="CRD13" s="21" t="n"/>
      <c r="CRE13" s="21" t="n"/>
      <c r="CRF13" s="21" t="n"/>
      <c r="CRG13" s="21" t="n"/>
      <c r="CRH13" s="21" t="n"/>
      <c r="CRI13" s="21" t="n"/>
      <c r="CRJ13" s="21" t="n"/>
      <c r="CRK13" s="21" t="n"/>
      <c r="CRL13" s="21" t="n"/>
      <c r="CRM13" s="21" t="n"/>
      <c r="CRN13" s="21" t="n"/>
      <c r="CRO13" s="21" t="n"/>
      <c r="CRP13" s="21" t="n"/>
      <c r="CRQ13" s="21" t="n"/>
      <c r="CRR13" s="21" t="n"/>
      <c r="CRS13" s="21" t="n"/>
      <c r="CRT13" s="21" t="n"/>
      <c r="CRU13" s="21" t="n"/>
      <c r="CRV13" s="21" t="n"/>
      <c r="CRW13" s="21" t="n"/>
      <c r="CRX13" s="21" t="n"/>
      <c r="CRY13" s="21" t="n"/>
      <c r="CRZ13" s="21" t="n"/>
      <c r="CSA13" s="21" t="n"/>
      <c r="CSB13" s="21" t="n"/>
      <c r="CSC13" s="21" t="n"/>
      <c r="CSD13" s="21" t="n"/>
      <c r="CSE13" s="21" t="n"/>
      <c r="CSF13" s="21" t="n"/>
      <c r="CSG13" s="21" t="n"/>
      <c r="CSH13" s="21" t="n"/>
      <c r="CSI13" s="21" t="n"/>
      <c r="CSJ13" s="21" t="n"/>
      <c r="CSK13" s="21" t="n"/>
      <c r="CSL13" s="21" t="n"/>
      <c r="CSM13" s="21" t="n"/>
      <c r="CSN13" s="21" t="n"/>
      <c r="CSO13" s="21" t="n"/>
      <c r="CSP13" s="21" t="n"/>
      <c r="CSQ13" s="21" t="n"/>
      <c r="CSR13" s="21" t="n"/>
      <c r="CSS13" s="21" t="n"/>
      <c r="CST13" s="21" t="n"/>
      <c r="CSU13" s="21" t="n"/>
      <c r="CSV13" s="21" t="n"/>
      <c r="CSW13" s="21" t="n"/>
      <c r="CSX13" s="21" t="n"/>
      <c r="CSY13" s="21" t="n"/>
      <c r="CSZ13" s="21" t="n"/>
      <c r="CTA13" s="21" t="n"/>
      <c r="CTB13" s="21" t="n"/>
      <c r="CTC13" s="21" t="n"/>
      <c r="CTD13" s="21" t="n"/>
      <c r="CTE13" s="21" t="n"/>
      <c r="CTF13" s="21" t="n"/>
      <c r="CTG13" s="21" t="n"/>
      <c r="CTH13" s="21" t="n"/>
      <c r="CTI13" s="21" t="n"/>
      <c r="CTJ13" s="21" t="n"/>
      <c r="CTK13" s="21" t="n"/>
      <c r="CTL13" s="21" t="n"/>
      <c r="CTM13" s="21" t="n"/>
      <c r="CTN13" s="21" t="n"/>
      <c r="CTO13" s="21" t="n"/>
      <c r="CTP13" s="21" t="n"/>
      <c r="CTQ13" s="21" t="n"/>
      <c r="CTR13" s="21" t="n"/>
      <c r="CTS13" s="21" t="n"/>
      <c r="CTT13" s="21" t="n"/>
      <c r="CTU13" s="21" t="n"/>
      <c r="CTV13" s="21" t="n"/>
      <c r="CTW13" s="21" t="n"/>
      <c r="CTX13" s="21" t="n"/>
      <c r="CTY13" s="21" t="n"/>
      <c r="CTZ13" s="21" t="n"/>
      <c r="CUA13" s="21" t="n"/>
      <c r="CUB13" s="21" t="n"/>
      <c r="CUC13" s="21" t="n"/>
      <c r="CUD13" s="21" t="n"/>
      <c r="CUE13" s="21" t="n"/>
      <c r="CUF13" s="21" t="n"/>
      <c r="CUG13" s="21" t="n"/>
      <c r="CUH13" s="21" t="n"/>
      <c r="CUI13" s="21" t="n"/>
      <c r="CUJ13" s="21" t="n"/>
      <c r="CUK13" s="21" t="n"/>
      <c r="CUL13" s="21" t="n"/>
      <c r="CUM13" s="21" t="n"/>
      <c r="CUN13" s="21" t="n"/>
      <c r="CUO13" s="21" t="n"/>
      <c r="CUP13" s="21" t="n"/>
      <c r="CUQ13" s="21" t="n"/>
      <c r="CUR13" s="21" t="n"/>
      <c r="CUS13" s="21" t="n"/>
      <c r="CUT13" s="21" t="n"/>
      <c r="CUU13" s="21" t="n"/>
      <c r="CUV13" s="21" t="n"/>
      <c r="CUW13" s="21" t="n"/>
      <c r="CUX13" s="21" t="n"/>
      <c r="CUY13" s="21" t="n"/>
      <c r="CUZ13" s="21" t="n"/>
      <c r="CVA13" s="21" t="n"/>
      <c r="CVB13" s="21" t="n"/>
      <c r="CVC13" s="21" t="n"/>
      <c r="CVD13" s="21" t="n"/>
      <c r="CVE13" s="21" t="n"/>
      <c r="CVF13" s="21" t="n"/>
      <c r="CVG13" s="21" t="n"/>
      <c r="CVH13" s="21" t="n"/>
      <c r="CVI13" s="21" t="n"/>
      <c r="CVJ13" s="21" t="n"/>
      <c r="CVK13" s="21" t="n"/>
      <c r="CVL13" s="21" t="n"/>
      <c r="CVM13" s="21" t="n"/>
      <c r="CVN13" s="21" t="n"/>
      <c r="CVO13" s="21" t="n"/>
      <c r="CVP13" s="21" t="n"/>
      <c r="CVQ13" s="21" t="n"/>
      <c r="CVR13" s="21" t="n"/>
      <c r="CVS13" s="21" t="n"/>
      <c r="CVT13" s="21" t="n"/>
      <c r="CVU13" s="21" t="n"/>
      <c r="CVV13" s="21" t="n"/>
      <c r="CVW13" s="21" t="n"/>
      <c r="CVX13" s="21" t="n"/>
      <c r="CVY13" s="21" t="n"/>
      <c r="CVZ13" s="21" t="n"/>
      <c r="CWA13" s="21" t="n"/>
      <c r="CWB13" s="21" t="n"/>
      <c r="CWC13" s="21" t="n"/>
      <c r="CWD13" s="21" t="n"/>
      <c r="CWE13" s="21" t="n"/>
      <c r="CWF13" s="21" t="n"/>
      <c r="CWG13" s="21" t="n"/>
      <c r="CWH13" s="21" t="n"/>
      <c r="CWI13" s="21" t="n"/>
      <c r="CWJ13" s="21" t="n"/>
      <c r="CWK13" s="21" t="n"/>
      <c r="CWL13" s="21" t="n"/>
      <c r="CWM13" s="21" t="n"/>
      <c r="CWN13" s="21" t="n"/>
      <c r="CWO13" s="21" t="n"/>
      <c r="CWP13" s="21" t="n"/>
      <c r="CWQ13" s="21" t="n"/>
      <c r="CWR13" s="21" t="n"/>
      <c r="CWS13" s="21" t="n"/>
      <c r="CWT13" s="21" t="n"/>
      <c r="CWU13" s="21" t="n"/>
      <c r="CWV13" s="21" t="n"/>
      <c r="CWW13" s="21" t="n"/>
      <c r="CWX13" s="21" t="n"/>
      <c r="CWY13" s="21" t="n"/>
      <c r="CWZ13" s="21" t="n"/>
      <c r="CXA13" s="21" t="n"/>
      <c r="CXB13" s="21" t="n"/>
      <c r="CXC13" s="21" t="n"/>
      <c r="CXD13" s="21" t="n"/>
      <c r="CXE13" s="21" t="n"/>
      <c r="CXF13" s="21" t="n"/>
      <c r="CXG13" s="21" t="n"/>
      <c r="CXH13" s="21" t="n"/>
      <c r="CXI13" s="21" t="n"/>
      <c r="CXJ13" s="21" t="n"/>
      <c r="CXK13" s="21" t="n"/>
      <c r="CXL13" s="21" t="n"/>
      <c r="CXM13" s="21" t="n"/>
      <c r="CXN13" s="21" t="n"/>
      <c r="CXO13" s="21" t="n"/>
      <c r="CXP13" s="21" t="n"/>
      <c r="CXQ13" s="21" t="n"/>
      <c r="CXR13" s="21" t="n"/>
      <c r="CXS13" s="21" t="n"/>
      <c r="CXT13" s="21" t="n"/>
      <c r="CXU13" s="21" t="n"/>
      <c r="CXV13" s="21" t="n"/>
      <c r="CXW13" s="21" t="n"/>
      <c r="CXX13" s="21" t="n"/>
      <c r="CXY13" s="21" t="n"/>
      <c r="CXZ13" s="21" t="n"/>
      <c r="CYA13" s="21" t="n"/>
      <c r="CYB13" s="21" t="n"/>
      <c r="CYC13" s="21" t="n"/>
      <c r="CYD13" s="21" t="n"/>
      <c r="CYE13" s="21" t="n"/>
      <c r="CYF13" s="21" t="n"/>
      <c r="CYG13" s="21" t="n"/>
      <c r="CYH13" s="21" t="n"/>
      <c r="CYI13" s="21" t="n"/>
      <c r="CYJ13" s="21" t="n"/>
      <c r="CYK13" s="21" t="n"/>
      <c r="CYL13" s="21" t="n"/>
      <c r="CYM13" s="21" t="n"/>
      <c r="CYN13" s="21" t="n"/>
      <c r="CYO13" s="21" t="n"/>
      <c r="CYP13" s="21" t="n"/>
      <c r="CYQ13" s="21" t="n"/>
      <c r="CYR13" s="21" t="n"/>
      <c r="CYS13" s="21" t="n"/>
      <c r="CYT13" s="21" t="n"/>
      <c r="CYU13" s="21" t="n"/>
      <c r="CYV13" s="21" t="n"/>
      <c r="CYW13" s="21" t="n"/>
      <c r="CYX13" s="21" t="n"/>
      <c r="CYY13" s="21" t="n"/>
      <c r="CYZ13" s="21" t="n"/>
      <c r="CZA13" s="21" t="n"/>
      <c r="CZB13" s="21" t="n"/>
      <c r="CZC13" s="21" t="n"/>
      <c r="CZD13" s="21" t="n"/>
      <c r="CZE13" s="21" t="n"/>
      <c r="CZF13" s="21" t="n"/>
      <c r="CZG13" s="21" t="n"/>
      <c r="CZH13" s="21" t="n"/>
      <c r="CZI13" s="21" t="n"/>
      <c r="CZJ13" s="21" t="n"/>
      <c r="CZK13" s="21" t="n"/>
      <c r="CZL13" s="21" t="n"/>
      <c r="CZM13" s="21" t="n"/>
      <c r="CZN13" s="21" t="n"/>
      <c r="CZO13" s="21" t="n"/>
      <c r="CZP13" s="21" t="n"/>
      <c r="CZQ13" s="21" t="n"/>
      <c r="CZR13" s="21" t="n"/>
      <c r="CZS13" s="21" t="n"/>
      <c r="CZT13" s="21" t="n"/>
      <c r="CZU13" s="21" t="n"/>
      <c r="CZV13" s="21" t="n"/>
      <c r="CZW13" s="21" t="n"/>
      <c r="CZX13" s="21" t="n"/>
      <c r="CZY13" s="21" t="n"/>
      <c r="CZZ13" s="21" t="n"/>
      <c r="DAA13" s="21" t="n"/>
      <c r="DAB13" s="21" t="n"/>
      <c r="DAC13" s="21" t="n"/>
      <c r="DAD13" s="21" t="n"/>
      <c r="DAE13" s="21" t="n"/>
      <c r="DAF13" s="21" t="n"/>
      <c r="DAG13" s="21" t="n"/>
      <c r="DAH13" s="21" t="n"/>
      <c r="DAI13" s="21" t="n"/>
      <c r="DAJ13" s="21" t="n"/>
      <c r="DAK13" s="21" t="n"/>
      <c r="DAL13" s="21" t="n"/>
      <c r="DAM13" s="21" t="n"/>
      <c r="DAN13" s="21" t="n"/>
      <c r="DAO13" s="21" t="n"/>
      <c r="DAP13" s="21" t="n"/>
      <c r="DAQ13" s="21" t="n"/>
      <c r="DAR13" s="21" t="n"/>
      <c r="DAS13" s="21" t="n"/>
      <c r="DAT13" s="21" t="n"/>
      <c r="DAU13" s="21" t="n"/>
      <c r="DAV13" s="21" t="n"/>
      <c r="DAW13" s="21" t="n"/>
      <c r="DAX13" s="21" t="n"/>
      <c r="DAY13" s="21" t="n"/>
      <c r="DAZ13" s="21" t="n"/>
      <c r="DBA13" s="21" t="n"/>
      <c r="DBB13" s="21" t="n"/>
      <c r="DBC13" s="21" t="n"/>
      <c r="DBD13" s="21" t="n"/>
      <c r="DBE13" s="21" t="n"/>
      <c r="DBF13" s="21" t="n"/>
      <c r="DBG13" s="21" t="n"/>
      <c r="DBH13" s="21" t="n"/>
      <c r="DBI13" s="21" t="n"/>
      <c r="DBJ13" s="21" t="n"/>
      <c r="DBK13" s="21" t="n"/>
      <c r="DBL13" s="21" t="n"/>
      <c r="DBM13" s="21" t="n"/>
      <c r="DBN13" s="21" t="n"/>
      <c r="DBO13" s="21" t="n"/>
      <c r="DBP13" s="21" t="n"/>
      <c r="DBQ13" s="21" t="n"/>
      <c r="DBR13" s="21" t="n"/>
      <c r="DBS13" s="21" t="n"/>
      <c r="DBT13" s="21" t="n"/>
      <c r="DBU13" s="21" t="n"/>
      <c r="DBV13" s="21" t="n"/>
      <c r="DBW13" s="21" t="n"/>
      <c r="DBX13" s="21" t="n"/>
      <c r="DBY13" s="21" t="n"/>
      <c r="DBZ13" s="21" t="n"/>
      <c r="DCA13" s="21" t="n"/>
      <c r="DCB13" s="21" t="n"/>
      <c r="DCC13" s="21" t="n"/>
      <c r="DCD13" s="21" t="n"/>
      <c r="DCE13" s="21" t="n"/>
      <c r="DCF13" s="21" t="n"/>
      <c r="DCG13" s="21" t="n"/>
      <c r="DCH13" s="21" t="n"/>
      <c r="DCI13" s="21" t="n"/>
      <c r="DCJ13" s="21" t="n"/>
      <c r="DCK13" s="21" t="n"/>
      <c r="DCL13" s="21" t="n"/>
      <c r="DCM13" s="21" t="n"/>
      <c r="DCN13" s="21" t="n"/>
      <c r="DCO13" s="21" t="n"/>
      <c r="DCP13" s="21" t="n"/>
      <c r="DCQ13" s="21" t="n"/>
      <c r="DCR13" s="21" t="n"/>
      <c r="DCS13" s="21" t="n"/>
      <c r="DCT13" s="21" t="n"/>
      <c r="DCU13" s="21" t="n"/>
      <c r="DCV13" s="21" t="n"/>
      <c r="DCW13" s="21" t="n"/>
      <c r="DCX13" s="21" t="n"/>
      <c r="DCY13" s="21" t="n"/>
      <c r="DCZ13" s="21" t="n"/>
      <c r="DDA13" s="21" t="n"/>
      <c r="DDB13" s="21" t="n"/>
      <c r="DDC13" s="21" t="n"/>
      <c r="DDD13" s="21" t="n"/>
      <c r="DDE13" s="21" t="n"/>
      <c r="DDF13" s="21" t="n"/>
      <c r="DDG13" s="21" t="n"/>
      <c r="DDH13" s="21" t="n"/>
      <c r="DDI13" s="21" t="n"/>
      <c r="DDJ13" s="21" t="n"/>
      <c r="DDK13" s="21" t="n"/>
      <c r="DDL13" s="21" t="n"/>
      <c r="DDM13" s="21" t="n"/>
      <c r="DDN13" s="21" t="n"/>
      <c r="DDO13" s="21" t="n"/>
      <c r="DDP13" s="21" t="n"/>
      <c r="DDQ13" s="21" t="n"/>
      <c r="DDR13" s="21" t="n"/>
      <c r="DDS13" s="21" t="n"/>
      <c r="DDT13" s="21" t="n"/>
      <c r="DDU13" s="21" t="n"/>
      <c r="DDV13" s="21" t="n"/>
      <c r="DDW13" s="21" t="n"/>
      <c r="DDX13" s="21" t="n"/>
      <c r="DDY13" s="21" t="n"/>
      <c r="DDZ13" s="21" t="n"/>
      <c r="DEA13" s="21" t="n"/>
      <c r="DEB13" s="21" t="n"/>
      <c r="DEC13" s="21" t="n"/>
      <c r="DED13" s="21" t="n"/>
      <c r="DEE13" s="21" t="n"/>
      <c r="DEF13" s="21" t="n"/>
      <c r="DEG13" s="21" t="n"/>
      <c r="DEH13" s="21" t="n"/>
      <c r="DEI13" s="21" t="n"/>
      <c r="DEJ13" s="21" t="n"/>
      <c r="DEK13" s="21" t="n"/>
      <c r="DEL13" s="21" t="n"/>
      <c r="DEM13" s="21" t="n"/>
      <c r="DEN13" s="21" t="n"/>
      <c r="DEO13" s="21" t="n"/>
      <c r="DEP13" s="21" t="n"/>
      <c r="DEQ13" s="21" t="n"/>
      <c r="DER13" s="21" t="n"/>
      <c r="DES13" s="21" t="n"/>
      <c r="DET13" s="21" t="n"/>
      <c r="DEU13" s="21" t="n"/>
      <c r="DEV13" s="21" t="n"/>
      <c r="DEW13" s="21" t="n"/>
      <c r="DEX13" s="21" t="n"/>
      <c r="DEY13" s="21" t="n"/>
      <c r="DEZ13" s="21" t="n"/>
      <c r="DFA13" s="21" t="n"/>
      <c r="DFB13" s="21" t="n"/>
      <c r="DFC13" s="21" t="n"/>
      <c r="DFD13" s="21" t="n"/>
      <c r="DFE13" s="21" t="n"/>
      <c r="DFF13" s="21" t="n"/>
      <c r="DFG13" s="21" t="n"/>
      <c r="DFH13" s="21" t="n"/>
      <c r="DFI13" s="21" t="n"/>
      <c r="DFJ13" s="21" t="n"/>
      <c r="DFK13" s="21" t="n"/>
      <c r="DFL13" s="21" t="n"/>
      <c r="DFM13" s="21" t="n"/>
      <c r="DFN13" s="21" t="n"/>
      <c r="DFO13" s="21" t="n"/>
      <c r="DFP13" s="21" t="n"/>
      <c r="DFQ13" s="21" t="n"/>
      <c r="DFR13" s="21" t="n"/>
      <c r="DFS13" s="21" t="n"/>
      <c r="DFT13" s="21" t="n"/>
      <c r="DFU13" s="21" t="n"/>
      <c r="DFV13" s="21" t="n"/>
      <c r="DFW13" s="21" t="n"/>
      <c r="DFX13" s="21" t="n"/>
      <c r="DFY13" s="21" t="n"/>
      <c r="DFZ13" s="21" t="n"/>
      <c r="DGA13" s="21" t="n"/>
      <c r="DGB13" s="21" t="n"/>
      <c r="DGC13" s="21" t="n"/>
      <c r="DGD13" s="21" t="n"/>
      <c r="DGE13" s="21" t="n"/>
      <c r="DGF13" s="21" t="n"/>
      <c r="DGG13" s="21" t="n"/>
      <c r="DGH13" s="21" t="n"/>
      <c r="DGI13" s="21" t="n"/>
      <c r="DGJ13" s="21" t="n"/>
      <c r="DGK13" s="21" t="n"/>
      <c r="DGL13" s="21" t="n"/>
      <c r="DGM13" s="21" t="n"/>
      <c r="DGN13" s="21" t="n"/>
      <c r="DGO13" s="21" t="n"/>
      <c r="DGP13" s="21" t="n"/>
      <c r="DGQ13" s="21" t="n"/>
      <c r="DGR13" s="21" t="n"/>
      <c r="DGS13" s="21" t="n"/>
      <c r="DGT13" s="21" t="n"/>
      <c r="DGU13" s="21" t="n"/>
      <c r="DGV13" s="21" t="n"/>
      <c r="DGW13" s="21" t="n"/>
      <c r="DGX13" s="21" t="n"/>
      <c r="DGY13" s="21" t="n"/>
      <c r="DGZ13" s="21" t="n"/>
      <c r="DHA13" s="21" t="n"/>
      <c r="DHB13" s="21" t="n"/>
      <c r="DHC13" s="21" t="n"/>
      <c r="DHD13" s="21" t="n"/>
      <c r="DHE13" s="21" t="n"/>
      <c r="DHF13" s="21" t="n"/>
      <c r="DHG13" s="21" t="n"/>
      <c r="DHH13" s="21" t="n"/>
      <c r="DHI13" s="21" t="n"/>
      <c r="DHJ13" s="21" t="n"/>
      <c r="DHK13" s="21" t="n"/>
      <c r="DHL13" s="21" t="n"/>
      <c r="DHM13" s="21" t="n"/>
      <c r="DHN13" s="21" t="n"/>
      <c r="DHO13" s="21" t="n"/>
      <c r="DHP13" s="21" t="n"/>
      <c r="DHQ13" s="21" t="n"/>
      <c r="DHR13" s="21" t="n"/>
      <c r="DHS13" s="21" t="n"/>
      <c r="DHT13" s="21" t="n"/>
      <c r="DHU13" s="21" t="n"/>
      <c r="DHV13" s="21" t="n"/>
      <c r="DHW13" s="21" t="n"/>
      <c r="DHX13" s="21" t="n"/>
      <c r="DHY13" s="21" t="n"/>
      <c r="DHZ13" s="21" t="n"/>
      <c r="DIA13" s="21" t="n"/>
      <c r="DIB13" s="21" t="n"/>
      <c r="DIC13" s="21" t="n"/>
      <c r="DID13" s="21" t="n"/>
      <c r="DIE13" s="21" t="n"/>
      <c r="DIF13" s="21" t="n"/>
      <c r="DIG13" s="21" t="n"/>
      <c r="DIH13" s="21" t="n"/>
      <c r="DII13" s="21" t="n"/>
      <c r="DIJ13" s="21" t="n"/>
      <c r="DIK13" s="21" t="n"/>
      <c r="DIL13" s="21" t="n"/>
      <c r="DIM13" s="21" t="n"/>
      <c r="DIN13" s="21" t="n"/>
      <c r="DIO13" s="21" t="n"/>
      <c r="DIP13" s="21" t="n"/>
      <c r="DIQ13" s="21" t="n"/>
      <c r="DIR13" s="21" t="n"/>
      <c r="DIS13" s="21" t="n"/>
      <c r="DIT13" s="21" t="n"/>
      <c r="DIU13" s="21" t="n"/>
      <c r="DIV13" s="21" t="n"/>
      <c r="DIW13" s="21" t="n"/>
      <c r="DIX13" s="21" t="n"/>
      <c r="DIY13" s="21" t="n"/>
      <c r="DIZ13" s="21" t="n"/>
      <c r="DJA13" s="21" t="n"/>
      <c r="DJB13" s="21" t="n"/>
      <c r="DJC13" s="21" t="n"/>
      <c r="DJD13" s="21" t="n"/>
      <c r="DJE13" s="21" t="n"/>
      <c r="DJF13" s="21" t="n"/>
      <c r="DJG13" s="21" t="n"/>
      <c r="DJH13" s="21" t="n"/>
      <c r="DJI13" s="21" t="n"/>
      <c r="DJJ13" s="21" t="n"/>
      <c r="DJK13" s="21" t="n"/>
      <c r="DJL13" s="21" t="n"/>
      <c r="DJM13" s="21" t="n"/>
      <c r="DJN13" s="21" t="n"/>
      <c r="DJO13" s="21" t="n"/>
      <c r="DJP13" s="21" t="n"/>
      <c r="DJQ13" s="21" t="n"/>
      <c r="DJR13" s="21" t="n"/>
      <c r="DJS13" s="21" t="n"/>
      <c r="DJT13" s="21" t="n"/>
      <c r="DJU13" s="21" t="n"/>
      <c r="DJV13" s="21" t="n"/>
      <c r="DJW13" s="21" t="n"/>
      <c r="DJX13" s="21" t="n"/>
      <c r="DJY13" s="21" t="n"/>
      <c r="DJZ13" s="21" t="n"/>
      <c r="DKA13" s="21" t="n"/>
      <c r="DKB13" s="21" t="n"/>
      <c r="DKC13" s="21" t="n"/>
      <c r="DKD13" s="21" t="n"/>
      <c r="DKE13" s="21" t="n"/>
      <c r="DKF13" s="21" t="n"/>
      <c r="DKG13" s="21" t="n"/>
      <c r="DKH13" s="21" t="n"/>
      <c r="DKI13" s="21" t="n"/>
      <c r="DKJ13" s="21" t="n"/>
      <c r="DKK13" s="21" t="n"/>
      <c r="DKL13" s="21" t="n"/>
      <c r="DKM13" s="21" t="n"/>
      <c r="DKN13" s="21" t="n"/>
      <c r="DKO13" s="21" t="n"/>
      <c r="DKP13" s="21" t="n"/>
      <c r="DKQ13" s="21" t="n"/>
      <c r="DKR13" s="21" t="n"/>
      <c r="DKS13" s="21" t="n"/>
      <c r="DKT13" s="21" t="n"/>
      <c r="DKU13" s="21" t="n"/>
      <c r="DKV13" s="21" t="n"/>
      <c r="DKW13" s="21" t="n"/>
      <c r="DKX13" s="21" t="n"/>
      <c r="DKY13" s="21" t="n"/>
      <c r="DKZ13" s="21" t="n"/>
      <c r="DLA13" s="21" t="n"/>
      <c r="DLB13" s="21" t="n"/>
      <c r="DLC13" s="21" t="n"/>
      <c r="DLD13" s="21" t="n"/>
      <c r="DLE13" s="21" t="n"/>
      <c r="DLF13" s="21" t="n"/>
      <c r="DLG13" s="21" t="n"/>
      <c r="DLH13" s="21" t="n"/>
      <c r="DLI13" s="21" t="n"/>
      <c r="DLJ13" s="21" t="n"/>
      <c r="DLK13" s="21" t="n"/>
      <c r="DLL13" s="21" t="n"/>
      <c r="DLM13" s="21" t="n"/>
      <c r="DLN13" s="21" t="n"/>
      <c r="DLO13" s="21" t="n"/>
      <c r="DLP13" s="21" t="n"/>
      <c r="DLQ13" s="21" t="n"/>
      <c r="DLR13" s="21" t="n"/>
      <c r="DLS13" s="21" t="n"/>
      <c r="DLT13" s="21" t="n"/>
      <c r="DLU13" s="21" t="n"/>
      <c r="DLV13" s="21" t="n"/>
      <c r="DLW13" s="21" t="n"/>
      <c r="DLX13" s="21" t="n"/>
      <c r="DLY13" s="21" t="n"/>
      <c r="DLZ13" s="21" t="n"/>
      <c r="DMA13" s="21" t="n"/>
      <c r="DMB13" s="21" t="n"/>
      <c r="DMC13" s="21" t="n"/>
      <c r="DMD13" s="21" t="n"/>
      <c r="DME13" s="21" t="n"/>
      <c r="DMF13" s="21" t="n"/>
      <c r="DMG13" s="21" t="n"/>
      <c r="DMH13" s="21" t="n"/>
      <c r="DMI13" s="21" t="n"/>
      <c r="DMJ13" s="21" t="n"/>
      <c r="DMK13" s="21" t="n"/>
      <c r="DML13" s="21" t="n"/>
      <c r="DMM13" s="21" t="n"/>
      <c r="DMN13" s="21" t="n"/>
      <c r="DMO13" s="21" t="n"/>
      <c r="DMP13" s="21" t="n"/>
      <c r="DMQ13" s="21" t="n"/>
      <c r="DMR13" s="21" t="n"/>
      <c r="DMS13" s="21" t="n"/>
      <c r="DMT13" s="21" t="n"/>
      <c r="DMU13" s="21" t="n"/>
      <c r="DMV13" s="21" t="n"/>
      <c r="DMW13" s="21" t="n"/>
      <c r="DMX13" s="21" t="n"/>
      <c r="DMY13" s="21" t="n"/>
      <c r="DMZ13" s="21" t="n"/>
      <c r="DNA13" s="21" t="n"/>
      <c r="DNB13" s="21" t="n"/>
      <c r="DNC13" s="21" t="n"/>
      <c r="DND13" s="21" t="n"/>
      <c r="DNE13" s="21" t="n"/>
      <c r="DNF13" s="21" t="n"/>
      <c r="DNG13" s="21" t="n"/>
      <c r="DNH13" s="21" t="n"/>
      <c r="DNI13" s="21" t="n"/>
      <c r="DNJ13" s="21" t="n"/>
      <c r="DNK13" s="21" t="n"/>
      <c r="DNL13" s="21" t="n"/>
      <c r="DNM13" s="21" t="n"/>
      <c r="DNN13" s="21" t="n"/>
      <c r="DNO13" s="21" t="n"/>
      <c r="DNP13" s="21" t="n"/>
      <c r="DNQ13" s="21" t="n"/>
      <c r="DNR13" s="21" t="n"/>
      <c r="DNS13" s="21" t="n"/>
      <c r="DNT13" s="21" t="n"/>
      <c r="DNU13" s="21" t="n"/>
      <c r="DNV13" s="21" t="n"/>
      <c r="DNW13" s="21" t="n"/>
      <c r="DNX13" s="21" t="n"/>
      <c r="DNY13" s="21" t="n"/>
      <c r="DNZ13" s="21" t="n"/>
      <c r="DOA13" s="21" t="n"/>
      <c r="DOB13" s="21" t="n"/>
      <c r="DOC13" s="21" t="n"/>
      <c r="DOD13" s="21" t="n"/>
      <c r="DOE13" s="21" t="n"/>
      <c r="DOF13" s="21" t="n"/>
      <c r="DOG13" s="21" t="n"/>
      <c r="DOH13" s="21" t="n"/>
      <c r="DOI13" s="21" t="n"/>
      <c r="DOJ13" s="21" t="n"/>
      <c r="DOK13" s="21" t="n"/>
      <c r="DOL13" s="21" t="n"/>
      <c r="DOM13" s="21" t="n"/>
      <c r="DON13" s="21" t="n"/>
      <c r="DOO13" s="21" t="n"/>
      <c r="DOP13" s="21" t="n"/>
      <c r="DOQ13" s="21" t="n"/>
      <c r="DOR13" s="21" t="n"/>
      <c r="DOS13" s="21" t="n"/>
      <c r="DOT13" s="21" t="n"/>
      <c r="DOU13" s="21" t="n"/>
      <c r="DOV13" s="21" t="n"/>
      <c r="DOW13" s="21" t="n"/>
      <c r="DOX13" s="21" t="n"/>
      <c r="DOY13" s="21" t="n"/>
      <c r="DOZ13" s="21" t="n"/>
      <c r="DPA13" s="21" t="n"/>
      <c r="DPB13" s="21" t="n"/>
      <c r="DPC13" s="21" t="n"/>
      <c r="DPD13" s="21" t="n"/>
      <c r="DPE13" s="21" t="n"/>
      <c r="DPF13" s="21" t="n"/>
      <c r="DPG13" s="21" t="n"/>
      <c r="DPH13" s="21" t="n"/>
      <c r="DPI13" s="21" t="n"/>
      <c r="DPJ13" s="21" t="n"/>
      <c r="DPK13" s="21" t="n"/>
      <c r="DPL13" s="21" t="n"/>
      <c r="DPM13" s="21" t="n"/>
      <c r="DPN13" s="21" t="n"/>
      <c r="DPO13" s="21" t="n"/>
      <c r="DPP13" s="21" t="n"/>
      <c r="DPQ13" s="21" t="n"/>
      <c r="DPR13" s="21" t="n"/>
      <c r="DPS13" s="21" t="n"/>
      <c r="DPT13" s="21" t="n"/>
      <c r="DPU13" s="21" t="n"/>
      <c r="DPV13" s="21" t="n"/>
      <c r="DPW13" s="21" t="n"/>
      <c r="DPX13" s="21" t="n"/>
      <c r="DPY13" s="21" t="n"/>
      <c r="DPZ13" s="21" t="n"/>
      <c r="DQA13" s="21" t="n"/>
      <c r="DQB13" s="21" t="n"/>
      <c r="DQC13" s="21" t="n"/>
      <c r="DQD13" s="21" t="n"/>
      <c r="DQE13" s="21" t="n"/>
      <c r="DQF13" s="21" t="n"/>
      <c r="DQG13" s="21" t="n"/>
      <c r="DQH13" s="21" t="n"/>
      <c r="DQI13" s="21" t="n"/>
      <c r="DQJ13" s="21" t="n"/>
      <c r="DQK13" s="21" t="n"/>
      <c r="DQL13" s="21" t="n"/>
      <c r="DQM13" s="21" t="n"/>
      <c r="DQN13" s="21" t="n"/>
      <c r="DQO13" s="21" t="n"/>
      <c r="DQP13" s="21" t="n"/>
      <c r="DQQ13" s="21" t="n"/>
      <c r="DQR13" s="21" t="n"/>
      <c r="DQS13" s="21" t="n"/>
      <c r="DQT13" s="21" t="n"/>
      <c r="DQU13" s="21" t="n"/>
      <c r="DQV13" s="21" t="n"/>
      <c r="DQW13" s="21" t="n"/>
      <c r="DQX13" s="21" t="n"/>
      <c r="DQY13" s="21" t="n"/>
      <c r="DQZ13" s="21" t="n"/>
      <c r="DRA13" s="21" t="n"/>
      <c r="DRB13" s="21" t="n"/>
      <c r="DRC13" s="21" t="n"/>
      <c r="DRD13" s="21" t="n"/>
      <c r="DRE13" s="21" t="n"/>
      <c r="DRF13" s="21" t="n"/>
      <c r="DRG13" s="21" t="n"/>
      <c r="DRH13" s="21" t="n"/>
      <c r="DRI13" s="21" t="n"/>
      <c r="DRJ13" s="21" t="n"/>
      <c r="DRK13" s="21" t="n"/>
      <c r="DRL13" s="21" t="n"/>
      <c r="DRM13" s="21" t="n"/>
      <c r="DRN13" s="21" t="n"/>
      <c r="DRO13" s="21" t="n"/>
      <c r="DRP13" s="21" t="n"/>
      <c r="DRQ13" s="21" t="n"/>
      <c r="DRR13" s="21" t="n"/>
      <c r="DRS13" s="21" t="n"/>
      <c r="DRT13" s="21" t="n"/>
      <c r="DRU13" s="21" t="n"/>
      <c r="DRV13" s="21" t="n"/>
      <c r="DRW13" s="21" t="n"/>
      <c r="DRX13" s="21" t="n"/>
      <c r="DRY13" s="21" t="n"/>
      <c r="DRZ13" s="21" t="n"/>
      <c r="DSA13" s="21" t="n"/>
      <c r="DSB13" s="21" t="n"/>
      <c r="DSC13" s="21" t="n"/>
      <c r="DSD13" s="21" t="n"/>
      <c r="DSE13" s="21" t="n"/>
      <c r="DSF13" s="21" t="n"/>
      <c r="DSG13" s="21" t="n"/>
      <c r="DSH13" s="21" t="n"/>
      <c r="DSI13" s="21" t="n"/>
      <c r="DSJ13" s="21" t="n"/>
      <c r="DSK13" s="21" t="n"/>
      <c r="DSL13" s="21" t="n"/>
      <c r="DSM13" s="21" t="n"/>
      <c r="DSN13" s="21" t="n"/>
      <c r="DSO13" s="21" t="n"/>
      <c r="DSP13" s="21" t="n"/>
      <c r="DSQ13" s="21" t="n"/>
      <c r="DSR13" s="21" t="n"/>
      <c r="DSS13" s="21" t="n"/>
      <c r="DST13" s="21" t="n"/>
      <c r="DSU13" s="21" t="n"/>
      <c r="DSV13" s="21" t="n"/>
      <c r="DSW13" s="21" t="n"/>
      <c r="DSX13" s="21" t="n"/>
      <c r="DSY13" s="21" t="n"/>
      <c r="DSZ13" s="21" t="n"/>
      <c r="DTA13" s="21" t="n"/>
      <c r="DTB13" s="21" t="n"/>
      <c r="DTC13" s="21" t="n"/>
      <c r="DTD13" s="21" t="n"/>
      <c r="DTE13" s="21" t="n"/>
      <c r="DTF13" s="21" t="n"/>
      <c r="DTG13" s="21" t="n"/>
      <c r="DTH13" s="21" t="n"/>
      <c r="DTI13" s="21" t="n"/>
      <c r="DTJ13" s="21" t="n"/>
      <c r="DTK13" s="21" t="n"/>
      <c r="DTL13" s="21" t="n"/>
      <c r="DTM13" s="21" t="n"/>
      <c r="DTN13" s="21" t="n"/>
      <c r="DTO13" s="21" t="n"/>
      <c r="DTP13" s="21" t="n"/>
      <c r="DTQ13" s="21" t="n"/>
      <c r="DTR13" s="21" t="n"/>
      <c r="DTS13" s="21" t="n"/>
      <c r="DTT13" s="21" t="n"/>
      <c r="DTU13" s="21" t="n"/>
      <c r="DTV13" s="21" t="n"/>
      <c r="DTW13" s="21" t="n"/>
      <c r="DTX13" s="21" t="n"/>
      <c r="DTY13" s="21" t="n"/>
      <c r="DTZ13" s="21" t="n"/>
      <c r="DUA13" s="21" t="n"/>
      <c r="DUB13" s="21" t="n"/>
      <c r="DUC13" s="21" t="n"/>
      <c r="DUD13" s="21" t="n"/>
      <c r="DUE13" s="21" t="n"/>
      <c r="DUF13" s="21" t="n"/>
      <c r="DUG13" s="21" t="n"/>
      <c r="DUH13" s="21" t="n"/>
      <c r="DUI13" s="21" t="n"/>
      <c r="DUJ13" s="21" t="n"/>
      <c r="DUK13" s="21" t="n"/>
      <c r="DUL13" s="21" t="n"/>
      <c r="DUM13" s="21" t="n"/>
      <c r="DUN13" s="21" t="n"/>
      <c r="DUO13" s="21" t="n"/>
      <c r="DUP13" s="21" t="n"/>
      <c r="DUQ13" s="21" t="n"/>
      <c r="DUR13" s="21" t="n"/>
      <c r="DUS13" s="21" t="n"/>
      <c r="DUT13" s="21" t="n"/>
      <c r="DUU13" s="21" t="n"/>
      <c r="DUV13" s="21" t="n"/>
      <c r="DUW13" s="21" t="n"/>
      <c r="DUX13" s="21" t="n"/>
      <c r="DUY13" s="21" t="n"/>
      <c r="DUZ13" s="21" t="n"/>
      <c r="DVA13" s="21" t="n"/>
      <c r="DVB13" s="21" t="n"/>
      <c r="DVC13" s="21" t="n"/>
      <c r="DVD13" s="21" t="n"/>
      <c r="DVE13" s="21" t="n"/>
      <c r="DVF13" s="21" t="n"/>
      <c r="DVG13" s="21" t="n"/>
      <c r="DVH13" s="21" t="n"/>
      <c r="DVI13" s="21" t="n"/>
      <c r="DVJ13" s="21" t="n"/>
      <c r="DVK13" s="21" t="n"/>
      <c r="DVL13" s="21" t="n"/>
      <c r="DVM13" s="21" t="n"/>
      <c r="DVN13" s="21" t="n"/>
      <c r="DVO13" s="21" t="n"/>
      <c r="DVP13" s="21" t="n"/>
      <c r="DVQ13" s="21" t="n"/>
      <c r="DVR13" s="21" t="n"/>
      <c r="DVS13" s="21" t="n"/>
      <c r="DVT13" s="21" t="n"/>
      <c r="DVU13" s="21" t="n"/>
      <c r="DVV13" s="21" t="n"/>
      <c r="DVW13" s="21" t="n"/>
      <c r="DVX13" s="21" t="n"/>
      <c r="DVY13" s="21" t="n"/>
      <c r="DVZ13" s="21" t="n"/>
      <c r="DWA13" s="21" t="n"/>
      <c r="DWB13" s="21" t="n"/>
      <c r="DWC13" s="21" t="n"/>
      <c r="DWD13" s="21" t="n"/>
      <c r="DWE13" s="21" t="n"/>
      <c r="DWF13" s="21" t="n"/>
      <c r="DWG13" s="21" t="n"/>
      <c r="DWH13" s="21" t="n"/>
      <c r="DWI13" s="21" t="n"/>
      <c r="DWJ13" s="21" t="n"/>
      <c r="DWK13" s="21" t="n"/>
      <c r="DWL13" s="21" t="n"/>
      <c r="DWM13" s="21" t="n"/>
      <c r="DWN13" s="21" t="n"/>
      <c r="DWO13" s="21" t="n"/>
      <c r="DWP13" s="21" t="n"/>
      <c r="DWQ13" s="21" t="n"/>
      <c r="DWR13" s="21" t="n"/>
      <c r="DWS13" s="21" t="n"/>
      <c r="DWT13" s="21" t="n"/>
      <c r="DWU13" s="21" t="n"/>
      <c r="DWV13" s="21" t="n"/>
      <c r="DWW13" s="21" t="n"/>
      <c r="DWX13" s="21" t="n"/>
      <c r="DWY13" s="21" t="n"/>
      <c r="DWZ13" s="21" t="n"/>
      <c r="DXA13" s="21" t="n"/>
      <c r="DXB13" s="21" t="n"/>
      <c r="DXC13" s="21" t="n"/>
      <c r="DXD13" s="21" t="n"/>
      <c r="DXE13" s="21" t="n"/>
      <c r="DXF13" s="21" t="n"/>
      <c r="DXG13" s="21" t="n"/>
      <c r="DXH13" s="21" t="n"/>
      <c r="DXI13" s="21" t="n"/>
      <c r="DXJ13" s="21" t="n"/>
      <c r="DXK13" s="21" t="n"/>
      <c r="DXL13" s="21" t="n"/>
      <c r="DXM13" s="21" t="n"/>
      <c r="DXN13" s="21" t="n"/>
      <c r="DXO13" s="21" t="n"/>
      <c r="DXP13" s="21" t="n"/>
      <c r="DXQ13" s="21" t="n"/>
      <c r="DXR13" s="21" t="n"/>
      <c r="DXS13" s="21" t="n"/>
      <c r="DXT13" s="21" t="n"/>
      <c r="DXU13" s="21" t="n"/>
      <c r="DXV13" s="21" t="n"/>
      <c r="DXW13" s="21" t="n"/>
      <c r="DXX13" s="21" t="n"/>
      <c r="DXY13" s="21" t="n"/>
      <c r="DXZ13" s="21" t="n"/>
      <c r="DYA13" s="21" t="n"/>
      <c r="DYB13" s="21" t="n"/>
      <c r="DYC13" s="21" t="n"/>
      <c r="DYD13" s="21" t="n"/>
      <c r="DYE13" s="21" t="n"/>
      <c r="DYF13" s="21" t="n"/>
      <c r="DYG13" s="21" t="n"/>
      <c r="DYH13" s="21" t="n"/>
      <c r="DYI13" s="21" t="n"/>
      <c r="DYJ13" s="21" t="n"/>
      <c r="DYK13" s="21" t="n"/>
      <c r="DYL13" s="21" t="n"/>
      <c r="DYM13" s="21" t="n"/>
      <c r="DYN13" s="21" t="n"/>
      <c r="DYO13" s="21" t="n"/>
      <c r="DYP13" s="21" t="n"/>
      <c r="DYQ13" s="21" t="n"/>
      <c r="DYR13" s="21" t="n"/>
      <c r="DYS13" s="21" t="n"/>
      <c r="DYT13" s="21" t="n"/>
      <c r="DYU13" s="21" t="n"/>
      <c r="DYV13" s="21" t="n"/>
      <c r="DYW13" s="21" t="n"/>
      <c r="DYX13" s="21" t="n"/>
      <c r="DYY13" s="21" t="n"/>
      <c r="DYZ13" s="21" t="n"/>
      <c r="DZA13" s="21" t="n"/>
      <c r="DZB13" s="21" t="n"/>
      <c r="DZC13" s="21" t="n"/>
      <c r="DZD13" s="21" t="n"/>
      <c r="DZE13" s="21" t="n"/>
      <c r="DZF13" s="21" t="n"/>
      <c r="DZG13" s="21" t="n"/>
      <c r="DZH13" s="21" t="n"/>
      <c r="DZI13" s="21" t="n"/>
      <c r="DZJ13" s="21" t="n"/>
      <c r="DZK13" s="21" t="n"/>
      <c r="DZL13" s="21" t="n"/>
      <c r="DZM13" s="21" t="n"/>
      <c r="DZN13" s="21" t="n"/>
      <c r="DZO13" s="21" t="n"/>
      <c r="DZP13" s="21" t="n"/>
      <c r="DZQ13" s="21" t="n"/>
      <c r="DZR13" s="21" t="n"/>
      <c r="DZS13" s="21" t="n"/>
      <c r="DZT13" s="21" t="n"/>
      <c r="DZU13" s="21" t="n"/>
      <c r="DZV13" s="21" t="n"/>
      <c r="DZW13" s="21" t="n"/>
      <c r="DZX13" s="21" t="n"/>
      <c r="DZY13" s="21" t="n"/>
      <c r="DZZ13" s="21" t="n"/>
      <c r="EAA13" s="21" t="n"/>
      <c r="EAB13" s="21" t="n"/>
      <c r="EAC13" s="21" t="n"/>
      <c r="EAD13" s="21" t="n"/>
      <c r="EAE13" s="21" t="n"/>
      <c r="EAF13" s="21" t="n"/>
      <c r="EAG13" s="21" t="n"/>
      <c r="EAH13" s="21" t="n"/>
      <c r="EAI13" s="21" t="n"/>
      <c r="EAJ13" s="21" t="n"/>
      <c r="EAK13" s="21" t="n"/>
      <c r="EAL13" s="21" t="n"/>
      <c r="EAM13" s="21" t="n"/>
      <c r="EAN13" s="21" t="n"/>
      <c r="EAO13" s="21" t="n"/>
      <c r="EAP13" s="21" t="n"/>
      <c r="EAQ13" s="21" t="n"/>
      <c r="EAR13" s="21" t="n"/>
      <c r="EAS13" s="21" t="n"/>
      <c r="EAT13" s="21" t="n"/>
      <c r="EAU13" s="21" t="n"/>
      <c r="EAV13" s="21" t="n"/>
      <c r="EAW13" s="21" t="n"/>
      <c r="EAX13" s="21" t="n"/>
      <c r="EAY13" s="21" t="n"/>
      <c r="EAZ13" s="21" t="n"/>
      <c r="EBA13" s="21" t="n"/>
      <c r="EBB13" s="21" t="n"/>
      <c r="EBC13" s="21" t="n"/>
      <c r="EBD13" s="21" t="n"/>
      <c r="EBE13" s="21" t="n"/>
      <c r="EBF13" s="21" t="n"/>
      <c r="EBG13" s="21" t="n"/>
      <c r="EBH13" s="21" t="n"/>
      <c r="EBI13" s="21" t="n"/>
      <c r="EBJ13" s="21" t="n"/>
      <c r="EBK13" s="21" t="n"/>
      <c r="EBL13" s="21" t="n"/>
      <c r="EBM13" s="21" t="n"/>
      <c r="EBN13" s="21" t="n"/>
      <c r="EBO13" s="21" t="n"/>
      <c r="EBP13" s="21" t="n"/>
      <c r="EBQ13" s="21" t="n"/>
      <c r="EBR13" s="21" t="n"/>
      <c r="EBS13" s="21" t="n"/>
      <c r="EBT13" s="21" t="n"/>
      <c r="EBU13" s="21" t="n"/>
      <c r="EBV13" s="21" t="n"/>
      <c r="EBW13" s="21" t="n"/>
      <c r="EBX13" s="21" t="n"/>
      <c r="EBY13" s="21" t="n"/>
      <c r="EBZ13" s="21" t="n"/>
      <c r="ECA13" s="21" t="n"/>
      <c r="ECB13" s="21" t="n"/>
      <c r="ECC13" s="21" t="n"/>
      <c r="ECD13" s="21" t="n"/>
      <c r="ECE13" s="21" t="n"/>
      <c r="ECF13" s="21" t="n"/>
      <c r="ECG13" s="21" t="n"/>
      <c r="ECH13" s="21" t="n"/>
      <c r="ECI13" s="21" t="n"/>
      <c r="ECJ13" s="21" t="n"/>
      <c r="ECK13" s="21" t="n"/>
      <c r="ECL13" s="21" t="n"/>
      <c r="ECM13" s="21" t="n"/>
      <c r="ECN13" s="21" t="n"/>
      <c r="ECO13" s="21" t="n"/>
      <c r="ECP13" s="21" t="n"/>
      <c r="ECQ13" s="21" t="n"/>
      <c r="ECR13" s="21" t="n"/>
      <c r="ECS13" s="21" t="n"/>
      <c r="ECT13" s="21" t="n"/>
      <c r="ECU13" s="21" t="n"/>
      <c r="ECV13" s="21" t="n"/>
      <c r="ECW13" s="21" t="n"/>
      <c r="ECX13" s="21" t="n"/>
      <c r="ECY13" s="21" t="n"/>
      <c r="ECZ13" s="21" t="n"/>
      <c r="EDA13" s="21" t="n"/>
      <c r="EDB13" s="21" t="n"/>
      <c r="EDC13" s="21" t="n"/>
      <c r="EDD13" s="21" t="n"/>
      <c r="EDE13" s="21" t="n"/>
      <c r="EDF13" s="21" t="n"/>
      <c r="EDG13" s="21" t="n"/>
      <c r="EDH13" s="21" t="n"/>
      <c r="EDI13" s="21" t="n"/>
      <c r="EDJ13" s="21" t="n"/>
      <c r="EDK13" s="21" t="n"/>
      <c r="EDL13" s="21" t="n"/>
      <c r="EDM13" s="21" t="n"/>
      <c r="EDN13" s="21" t="n"/>
      <c r="EDO13" s="21" t="n"/>
      <c r="EDP13" s="21" t="n"/>
      <c r="EDQ13" s="21" t="n"/>
      <c r="EDR13" s="21" t="n"/>
      <c r="EDS13" s="21" t="n"/>
      <c r="EDT13" s="21" t="n"/>
      <c r="EDU13" s="21" t="n"/>
      <c r="EDV13" s="21" t="n"/>
      <c r="EDW13" s="21" t="n"/>
      <c r="EDX13" s="21" t="n"/>
      <c r="EDY13" s="21" t="n"/>
      <c r="EDZ13" s="21" t="n"/>
      <c r="EEA13" s="21" t="n"/>
      <c r="EEB13" s="21" t="n"/>
      <c r="EEC13" s="21" t="n"/>
      <c r="EED13" s="21" t="n"/>
      <c r="EEE13" s="21" t="n"/>
      <c r="EEF13" s="21" t="n"/>
      <c r="EEG13" s="21" t="n"/>
      <c r="EEH13" s="21" t="n"/>
      <c r="EEI13" s="21" t="n"/>
      <c r="EEJ13" s="21" t="n"/>
      <c r="EEK13" s="21" t="n"/>
      <c r="EEL13" s="21" t="n"/>
      <c r="EEM13" s="21" t="n"/>
      <c r="EEN13" s="21" t="n"/>
      <c r="EEO13" s="21" t="n"/>
      <c r="EEP13" s="21" t="n"/>
      <c r="EEQ13" s="21" t="n"/>
      <c r="EER13" s="21" t="n"/>
      <c r="EES13" s="21" t="n"/>
      <c r="EET13" s="21" t="n"/>
      <c r="EEU13" s="21" t="n"/>
      <c r="EEV13" s="21" t="n"/>
      <c r="EEW13" s="21" t="n"/>
      <c r="EEX13" s="21" t="n"/>
      <c r="EEY13" s="21" t="n"/>
      <c r="EEZ13" s="21" t="n"/>
      <c r="EFA13" s="21" t="n"/>
      <c r="EFB13" s="21" t="n"/>
      <c r="EFC13" s="21" t="n"/>
      <c r="EFD13" s="21" t="n"/>
      <c r="EFE13" s="21" t="n"/>
      <c r="EFF13" s="21" t="n"/>
      <c r="EFG13" s="21" t="n"/>
      <c r="EFH13" s="21" t="n"/>
      <c r="EFI13" s="21" t="n"/>
      <c r="EFJ13" s="21" t="n"/>
      <c r="EFK13" s="21" t="n"/>
      <c r="EFL13" s="21" t="n"/>
      <c r="EFM13" s="21" t="n"/>
      <c r="EFN13" s="21" t="n"/>
      <c r="EFO13" s="21" t="n"/>
      <c r="EFP13" s="21" t="n"/>
      <c r="EFQ13" s="21" t="n"/>
      <c r="EFR13" s="21" t="n"/>
      <c r="EFS13" s="21" t="n"/>
      <c r="EFT13" s="21" t="n"/>
      <c r="EFU13" s="21" t="n"/>
      <c r="EFV13" s="21" t="n"/>
      <c r="EFW13" s="21" t="n"/>
      <c r="EFX13" s="21" t="n"/>
      <c r="EFY13" s="21" t="n"/>
      <c r="EFZ13" s="21" t="n"/>
      <c r="EGA13" s="21" t="n"/>
      <c r="EGB13" s="21" t="n"/>
      <c r="EGC13" s="21" t="n"/>
      <c r="EGD13" s="21" t="n"/>
      <c r="EGE13" s="21" t="n"/>
      <c r="EGF13" s="21" t="n"/>
      <c r="EGG13" s="21" t="n"/>
      <c r="EGH13" s="21" t="n"/>
      <c r="EGI13" s="21" t="n"/>
      <c r="EGJ13" s="21" t="n"/>
      <c r="EGK13" s="21" t="n"/>
      <c r="EGL13" s="21" t="n"/>
      <c r="EGM13" s="21" t="n"/>
      <c r="EGN13" s="21" t="n"/>
      <c r="EGO13" s="21" t="n"/>
      <c r="EGP13" s="21" t="n"/>
      <c r="EGQ13" s="21" t="n"/>
      <c r="EGR13" s="21" t="n"/>
      <c r="EGS13" s="21" t="n"/>
      <c r="EGT13" s="21" t="n"/>
      <c r="EGU13" s="21" t="n"/>
      <c r="EGV13" s="21" t="n"/>
      <c r="EGW13" s="21" t="n"/>
      <c r="EGX13" s="21" t="n"/>
      <c r="EGY13" s="21" t="n"/>
      <c r="EGZ13" s="21" t="n"/>
      <c r="EHA13" s="21" t="n"/>
      <c r="EHB13" s="21" t="n"/>
      <c r="EHC13" s="21" t="n"/>
      <c r="EHD13" s="21" t="n"/>
      <c r="EHE13" s="21" t="n"/>
      <c r="EHF13" s="21" t="n"/>
      <c r="EHG13" s="21" t="n"/>
      <c r="EHH13" s="21" t="n"/>
      <c r="EHI13" s="21" t="n"/>
      <c r="EHJ13" s="21" t="n"/>
      <c r="EHK13" s="21" t="n"/>
      <c r="EHL13" s="21" t="n"/>
      <c r="EHM13" s="21" t="n"/>
      <c r="EHN13" s="21" t="n"/>
      <c r="EHO13" s="21" t="n"/>
      <c r="EHP13" s="21" t="n"/>
      <c r="EHQ13" s="21" t="n"/>
      <c r="EHR13" s="21" t="n"/>
      <c r="EHS13" s="21" t="n"/>
      <c r="EHT13" s="21" t="n"/>
      <c r="EHU13" s="21" t="n"/>
      <c r="EHV13" s="21" t="n"/>
      <c r="EHW13" s="21" t="n"/>
      <c r="EHX13" s="21" t="n"/>
      <c r="EHY13" s="21" t="n"/>
      <c r="EHZ13" s="21" t="n"/>
      <c r="EIA13" s="21" t="n"/>
      <c r="EIB13" s="21" t="n"/>
      <c r="EIC13" s="21" t="n"/>
      <c r="EID13" s="21" t="n"/>
      <c r="EIE13" s="21" t="n"/>
      <c r="EIF13" s="21" t="n"/>
      <c r="EIG13" s="21" t="n"/>
      <c r="EIH13" s="21" t="n"/>
      <c r="EII13" s="21" t="n"/>
      <c r="EIJ13" s="21" t="n"/>
      <c r="EIK13" s="21" t="n"/>
      <c r="EIL13" s="21" t="n"/>
      <c r="EIM13" s="21" t="n"/>
      <c r="EIN13" s="21" t="n"/>
      <c r="EIO13" s="21" t="n"/>
      <c r="EIP13" s="21" t="n"/>
      <c r="EIQ13" s="21" t="n"/>
      <c r="EIR13" s="21" t="n"/>
      <c r="EIS13" s="21" t="n"/>
      <c r="EIT13" s="21" t="n"/>
      <c r="EIU13" s="21" t="n"/>
      <c r="EIV13" s="21" t="n"/>
      <c r="EIW13" s="21" t="n"/>
      <c r="EIX13" s="21" t="n"/>
      <c r="EIY13" s="21" t="n"/>
      <c r="EIZ13" s="21" t="n"/>
      <c r="EJA13" s="21" t="n"/>
      <c r="EJB13" s="21" t="n"/>
      <c r="EJC13" s="21" t="n"/>
      <c r="EJD13" s="21" t="n"/>
      <c r="EJE13" s="21" t="n"/>
      <c r="EJF13" s="21" t="n"/>
      <c r="EJG13" s="21" t="n"/>
      <c r="EJH13" s="21" t="n"/>
      <c r="EJI13" s="21" t="n"/>
      <c r="EJJ13" s="21" t="n"/>
      <c r="EJK13" s="21" t="n"/>
      <c r="EJL13" s="21" t="n"/>
      <c r="EJM13" s="21" t="n"/>
      <c r="EJN13" s="21" t="n"/>
      <c r="EJO13" s="21" t="n"/>
      <c r="EJP13" s="21" t="n"/>
      <c r="EJQ13" s="21" t="n"/>
      <c r="EJR13" s="21" t="n"/>
      <c r="EJS13" s="21" t="n"/>
      <c r="EJT13" s="21" t="n"/>
      <c r="EJU13" s="21" t="n"/>
      <c r="EJV13" s="21" t="n"/>
      <c r="EJW13" s="21" t="n"/>
      <c r="EJX13" s="21" t="n"/>
      <c r="EJY13" s="21" t="n"/>
      <c r="EJZ13" s="21" t="n"/>
      <c r="EKA13" s="21" t="n"/>
      <c r="EKB13" s="21" t="n"/>
      <c r="EKC13" s="21" t="n"/>
      <c r="EKD13" s="21" t="n"/>
      <c r="EKE13" s="21" t="n"/>
      <c r="EKF13" s="21" t="n"/>
      <c r="EKG13" s="21" t="n"/>
      <c r="EKH13" s="21" t="n"/>
      <c r="EKI13" s="21" t="n"/>
      <c r="EKJ13" s="21" t="n"/>
      <c r="EKK13" s="21" t="n"/>
      <c r="EKL13" s="21" t="n"/>
      <c r="EKM13" s="21" t="n"/>
      <c r="EKN13" s="21" t="n"/>
      <c r="EKO13" s="21" t="n"/>
      <c r="EKP13" s="21" t="n"/>
      <c r="EKQ13" s="21" t="n"/>
      <c r="EKR13" s="21" t="n"/>
      <c r="EKS13" s="21" t="n"/>
      <c r="EKT13" s="21" t="n"/>
      <c r="EKU13" s="21" t="n"/>
      <c r="EKV13" s="21" t="n"/>
      <c r="EKW13" s="21" t="n"/>
      <c r="EKX13" s="21" t="n"/>
      <c r="EKY13" s="21" t="n"/>
      <c r="EKZ13" s="21" t="n"/>
      <c r="ELA13" s="21" t="n"/>
      <c r="ELB13" s="21" t="n"/>
      <c r="ELC13" s="21" t="n"/>
      <c r="ELD13" s="21" t="n"/>
      <c r="ELE13" s="21" t="n"/>
      <c r="ELF13" s="21" t="n"/>
      <c r="ELG13" s="21" t="n"/>
      <c r="ELH13" s="21" t="n"/>
      <c r="ELI13" s="21" t="n"/>
      <c r="ELJ13" s="21" t="n"/>
      <c r="ELK13" s="21" t="n"/>
      <c r="ELL13" s="21" t="n"/>
      <c r="ELM13" s="21" t="n"/>
      <c r="ELN13" s="21" t="n"/>
      <c r="ELO13" s="21" t="n"/>
      <c r="ELP13" s="21" t="n"/>
      <c r="ELQ13" s="21" t="n"/>
      <c r="ELR13" s="21" t="n"/>
      <c r="ELS13" s="21" t="n"/>
      <c r="ELT13" s="21" t="n"/>
      <c r="ELU13" s="21" t="n"/>
      <c r="ELV13" s="21" t="n"/>
      <c r="ELW13" s="21" t="n"/>
      <c r="ELX13" s="21" t="n"/>
      <c r="ELY13" s="21" t="n"/>
      <c r="ELZ13" s="21" t="n"/>
      <c r="EMA13" s="21" t="n"/>
      <c r="EMB13" s="21" t="n"/>
      <c r="EMC13" s="21" t="n"/>
      <c r="EMD13" s="21" t="n"/>
      <c r="EME13" s="21" t="n"/>
      <c r="EMF13" s="21" t="n"/>
      <c r="EMG13" s="21" t="n"/>
      <c r="EMH13" s="21" t="n"/>
      <c r="EMI13" s="21" t="n"/>
      <c r="EMJ13" s="21" t="n"/>
      <c r="EMK13" s="21" t="n"/>
      <c r="EML13" s="21" t="n"/>
      <c r="EMM13" s="21" t="n"/>
      <c r="EMN13" s="21" t="n"/>
      <c r="EMO13" s="21" t="n"/>
      <c r="EMP13" s="21" t="n"/>
      <c r="EMQ13" s="21" t="n"/>
      <c r="EMR13" s="21" t="n"/>
      <c r="EMS13" s="21" t="n"/>
      <c r="EMT13" s="21" t="n"/>
      <c r="EMU13" s="21" t="n"/>
      <c r="EMV13" s="21" t="n"/>
      <c r="EMW13" s="21" t="n"/>
      <c r="EMX13" s="21" t="n"/>
      <c r="EMY13" s="21" t="n"/>
      <c r="EMZ13" s="21" t="n"/>
      <c r="ENA13" s="21" t="n"/>
      <c r="ENB13" s="21" t="n"/>
      <c r="ENC13" s="21" t="n"/>
      <c r="END13" s="21" t="n"/>
      <c r="ENE13" s="21" t="n"/>
      <c r="ENF13" s="21" t="n"/>
      <c r="ENG13" s="21" t="n"/>
      <c r="ENH13" s="21" t="n"/>
      <c r="ENI13" s="21" t="n"/>
      <c r="ENJ13" s="21" t="n"/>
      <c r="ENK13" s="21" t="n"/>
      <c r="ENL13" s="21" t="n"/>
      <c r="ENM13" s="21" t="n"/>
      <c r="ENN13" s="21" t="n"/>
      <c r="ENO13" s="21" t="n"/>
      <c r="ENP13" s="21" t="n"/>
      <c r="ENQ13" s="21" t="n"/>
      <c r="ENR13" s="21" t="n"/>
      <c r="ENS13" s="21" t="n"/>
      <c r="ENT13" s="21" t="n"/>
      <c r="ENU13" s="21" t="n"/>
      <c r="ENV13" s="21" t="n"/>
      <c r="ENW13" s="21" t="n"/>
      <c r="ENX13" s="21" t="n"/>
      <c r="ENY13" s="21" t="n"/>
      <c r="ENZ13" s="21" t="n"/>
      <c r="EOA13" s="21" t="n"/>
      <c r="EOB13" s="21" t="n"/>
      <c r="EOC13" s="21" t="n"/>
      <c r="EOD13" s="21" t="n"/>
      <c r="EOE13" s="21" t="n"/>
      <c r="EOF13" s="21" t="n"/>
      <c r="EOG13" s="21" t="n"/>
      <c r="EOH13" s="21" t="n"/>
      <c r="EOI13" s="21" t="n"/>
      <c r="EOJ13" s="21" t="n"/>
      <c r="EOK13" s="21" t="n"/>
      <c r="EOL13" s="21" t="n"/>
      <c r="EOM13" s="21" t="n"/>
      <c r="EON13" s="21" t="n"/>
      <c r="EOO13" s="21" t="n"/>
      <c r="EOP13" s="21" t="n"/>
      <c r="EOQ13" s="21" t="n"/>
      <c r="EOR13" s="21" t="n"/>
      <c r="EOS13" s="21" t="n"/>
      <c r="EOT13" s="21" t="n"/>
      <c r="EOU13" s="21" t="n"/>
      <c r="EOV13" s="21" t="n"/>
      <c r="EOW13" s="21" t="n"/>
      <c r="EOX13" s="21" t="n"/>
      <c r="EOY13" s="21" t="n"/>
      <c r="EOZ13" s="21" t="n"/>
      <c r="EPA13" s="21" t="n"/>
      <c r="EPB13" s="21" t="n"/>
      <c r="EPC13" s="21" t="n"/>
      <c r="EPD13" s="21" t="n"/>
      <c r="EPE13" s="21" t="n"/>
      <c r="EPF13" s="21" t="n"/>
      <c r="EPG13" s="21" t="n"/>
      <c r="EPH13" s="21" t="n"/>
      <c r="EPI13" s="21" t="n"/>
      <c r="EPJ13" s="21" t="n"/>
      <c r="EPK13" s="21" t="n"/>
      <c r="EPL13" s="21" t="n"/>
      <c r="EPM13" s="21" t="n"/>
      <c r="EPN13" s="21" t="n"/>
      <c r="EPO13" s="21" t="n"/>
      <c r="EPP13" s="21" t="n"/>
      <c r="EPQ13" s="21" t="n"/>
      <c r="EPR13" s="21" t="n"/>
      <c r="EPS13" s="21" t="n"/>
      <c r="EPT13" s="21" t="n"/>
      <c r="EPU13" s="21" t="n"/>
      <c r="EPV13" s="21" t="n"/>
      <c r="EPW13" s="21" t="n"/>
      <c r="EPX13" s="21" t="n"/>
      <c r="EPY13" s="21" t="n"/>
      <c r="EPZ13" s="21" t="n"/>
      <c r="EQA13" s="21" t="n"/>
      <c r="EQB13" s="21" t="n"/>
      <c r="EQC13" s="21" t="n"/>
      <c r="EQD13" s="21" t="n"/>
      <c r="EQE13" s="21" t="n"/>
      <c r="EQF13" s="21" t="n"/>
      <c r="EQG13" s="21" t="n"/>
      <c r="EQH13" s="21" t="n"/>
      <c r="EQI13" s="21" t="n"/>
      <c r="EQJ13" s="21" t="n"/>
      <c r="EQK13" s="21" t="n"/>
      <c r="EQL13" s="21" t="n"/>
      <c r="EQM13" s="21" t="n"/>
      <c r="EQN13" s="21" t="n"/>
      <c r="EQO13" s="21" t="n"/>
      <c r="EQP13" s="21" t="n"/>
      <c r="EQQ13" s="21" t="n"/>
      <c r="EQR13" s="21" t="n"/>
      <c r="EQS13" s="21" t="n"/>
      <c r="EQT13" s="21" t="n"/>
      <c r="EQU13" s="21" t="n"/>
      <c r="EQV13" s="21" t="n"/>
      <c r="EQW13" s="21" t="n"/>
      <c r="EQX13" s="21" t="n"/>
      <c r="EQY13" s="21" t="n"/>
      <c r="EQZ13" s="21" t="n"/>
      <c r="ERA13" s="21" t="n"/>
      <c r="ERB13" s="21" t="n"/>
      <c r="ERC13" s="21" t="n"/>
      <c r="ERD13" s="21" t="n"/>
      <c r="ERE13" s="21" t="n"/>
      <c r="ERF13" s="21" t="n"/>
      <c r="ERG13" s="21" t="n"/>
      <c r="ERH13" s="21" t="n"/>
      <c r="ERI13" s="21" t="n"/>
      <c r="ERJ13" s="21" t="n"/>
      <c r="ERK13" s="21" t="n"/>
      <c r="ERL13" s="21" t="n"/>
      <c r="ERM13" s="21" t="n"/>
      <c r="ERN13" s="21" t="n"/>
      <c r="ERO13" s="21" t="n"/>
      <c r="ERP13" s="21" t="n"/>
      <c r="ERQ13" s="21" t="n"/>
      <c r="ERR13" s="21" t="n"/>
      <c r="ERS13" s="21" t="n"/>
      <c r="ERT13" s="21" t="n"/>
      <c r="ERU13" s="21" t="n"/>
      <c r="ERV13" s="21" t="n"/>
      <c r="ERW13" s="21" t="n"/>
      <c r="ERX13" s="21" t="n"/>
      <c r="ERY13" s="21" t="n"/>
      <c r="ERZ13" s="21" t="n"/>
      <c r="ESA13" s="21" t="n"/>
      <c r="ESB13" s="21" t="n"/>
      <c r="ESC13" s="21" t="n"/>
      <c r="ESD13" s="21" t="n"/>
      <c r="ESE13" s="21" t="n"/>
      <c r="ESF13" s="21" t="n"/>
      <c r="ESG13" s="21" t="n"/>
      <c r="ESH13" s="21" t="n"/>
      <c r="ESI13" s="21" t="n"/>
      <c r="ESJ13" s="21" t="n"/>
      <c r="ESK13" s="21" t="n"/>
      <c r="ESL13" s="21" t="n"/>
      <c r="ESM13" s="21" t="n"/>
      <c r="ESN13" s="21" t="n"/>
      <c r="ESO13" s="21" t="n"/>
      <c r="ESP13" s="21" t="n"/>
      <c r="ESQ13" s="21" t="n"/>
      <c r="ESR13" s="21" t="n"/>
      <c r="ESS13" s="21" t="n"/>
      <c r="EST13" s="21" t="n"/>
      <c r="ESU13" s="21" t="n"/>
      <c r="ESV13" s="21" t="n"/>
      <c r="ESW13" s="21" t="n"/>
      <c r="ESX13" s="21" t="n"/>
      <c r="ESY13" s="21" t="n"/>
      <c r="ESZ13" s="21" t="n"/>
      <c r="ETA13" s="21" t="n"/>
      <c r="ETB13" s="21" t="n"/>
      <c r="ETC13" s="21" t="n"/>
      <c r="ETD13" s="21" t="n"/>
      <c r="ETE13" s="21" t="n"/>
      <c r="ETF13" s="21" t="n"/>
      <c r="ETG13" s="21" t="n"/>
      <c r="ETH13" s="21" t="n"/>
      <c r="ETI13" s="21" t="n"/>
      <c r="ETJ13" s="21" t="n"/>
      <c r="ETK13" s="21" t="n"/>
      <c r="ETL13" s="21" t="n"/>
      <c r="ETM13" s="21" t="n"/>
      <c r="ETN13" s="21" t="n"/>
      <c r="ETO13" s="21" t="n"/>
      <c r="ETP13" s="21" t="n"/>
      <c r="ETQ13" s="21" t="n"/>
      <c r="ETR13" s="21" t="n"/>
      <c r="ETS13" s="21" t="n"/>
      <c r="ETT13" s="21" t="n"/>
      <c r="ETU13" s="21" t="n"/>
      <c r="ETV13" s="21" t="n"/>
      <c r="ETW13" s="21" t="n"/>
      <c r="ETX13" s="21" t="n"/>
      <c r="ETY13" s="21" t="n"/>
      <c r="ETZ13" s="21" t="n"/>
      <c r="EUA13" s="21" t="n"/>
      <c r="EUB13" s="21" t="n"/>
      <c r="EUC13" s="21" t="n"/>
      <c r="EUD13" s="21" t="n"/>
      <c r="EUE13" s="21" t="n"/>
      <c r="EUF13" s="21" t="n"/>
      <c r="EUG13" s="21" t="n"/>
      <c r="EUH13" s="21" t="n"/>
      <c r="EUI13" s="21" t="n"/>
      <c r="EUJ13" s="21" t="n"/>
      <c r="EUK13" s="21" t="n"/>
      <c r="EUL13" s="21" t="n"/>
      <c r="EUM13" s="21" t="n"/>
      <c r="EUN13" s="21" t="n"/>
      <c r="EUO13" s="21" t="n"/>
      <c r="EUP13" s="21" t="n"/>
      <c r="EUQ13" s="21" t="n"/>
      <c r="EUR13" s="21" t="n"/>
      <c r="EUS13" s="21" t="n"/>
      <c r="EUT13" s="21" t="n"/>
      <c r="EUU13" s="21" t="n"/>
      <c r="EUV13" s="21" t="n"/>
      <c r="EUW13" s="21" t="n"/>
      <c r="EUX13" s="21" t="n"/>
      <c r="EUY13" s="21" t="n"/>
      <c r="EUZ13" s="21" t="n"/>
      <c r="EVA13" s="21" t="n"/>
      <c r="EVB13" s="21" t="n"/>
      <c r="EVC13" s="21" t="n"/>
      <c r="EVD13" s="21" t="n"/>
      <c r="EVE13" s="21" t="n"/>
      <c r="EVF13" s="21" t="n"/>
      <c r="EVG13" s="21" t="n"/>
      <c r="EVH13" s="21" t="n"/>
      <c r="EVI13" s="21" t="n"/>
      <c r="EVJ13" s="21" t="n"/>
      <c r="EVK13" s="21" t="n"/>
      <c r="EVL13" s="21" t="n"/>
      <c r="EVM13" s="21" t="n"/>
      <c r="EVN13" s="21" t="n"/>
      <c r="EVO13" s="21" t="n"/>
      <c r="EVP13" s="21" t="n"/>
      <c r="EVQ13" s="21" t="n"/>
      <c r="EVR13" s="21" t="n"/>
      <c r="EVS13" s="21" t="n"/>
      <c r="EVT13" s="21" t="n"/>
      <c r="EVU13" s="21" t="n"/>
      <c r="EVV13" s="21" t="n"/>
      <c r="EVW13" s="21" t="n"/>
      <c r="EVX13" s="21" t="n"/>
      <c r="EVY13" s="21" t="n"/>
      <c r="EVZ13" s="21" t="n"/>
      <c r="EWA13" s="21" t="n"/>
      <c r="EWB13" s="21" t="n"/>
      <c r="EWC13" s="21" t="n"/>
      <c r="EWD13" s="21" t="n"/>
      <c r="EWE13" s="21" t="n"/>
      <c r="EWF13" s="21" t="n"/>
      <c r="EWG13" s="21" t="n"/>
      <c r="EWH13" s="21" t="n"/>
      <c r="EWI13" s="21" t="n"/>
      <c r="EWJ13" s="21" t="n"/>
      <c r="EWK13" s="21" t="n"/>
      <c r="EWL13" s="21" t="n"/>
      <c r="EWM13" s="21" t="n"/>
      <c r="EWN13" s="21" t="n"/>
      <c r="EWO13" s="21" t="n"/>
      <c r="EWP13" s="21" t="n"/>
      <c r="EWQ13" s="21" t="n"/>
      <c r="EWR13" s="21" t="n"/>
      <c r="EWS13" s="21" t="n"/>
      <c r="EWT13" s="21" t="n"/>
      <c r="EWU13" s="21" t="n"/>
      <c r="EWV13" s="21" t="n"/>
      <c r="EWW13" s="21" t="n"/>
      <c r="EWX13" s="21" t="n"/>
      <c r="EWY13" s="21" t="n"/>
      <c r="EWZ13" s="21" t="n"/>
      <c r="EXA13" s="21" t="n"/>
      <c r="EXB13" s="21" t="n"/>
      <c r="EXC13" s="21" t="n"/>
      <c r="EXD13" s="21" t="n"/>
      <c r="EXE13" s="21" t="n"/>
      <c r="EXF13" s="21" t="n"/>
      <c r="EXG13" s="21" t="n"/>
      <c r="EXH13" s="21" t="n"/>
      <c r="EXI13" s="21" t="n"/>
      <c r="EXJ13" s="21" t="n"/>
      <c r="EXK13" s="21" t="n"/>
      <c r="EXL13" s="21" t="n"/>
      <c r="EXM13" s="21" t="n"/>
      <c r="EXN13" s="21" t="n"/>
      <c r="EXO13" s="21" t="n"/>
      <c r="EXP13" s="21" t="n"/>
      <c r="EXQ13" s="21" t="n"/>
      <c r="EXR13" s="21" t="n"/>
      <c r="EXS13" s="21" t="n"/>
      <c r="EXT13" s="21" t="n"/>
      <c r="EXU13" s="21" t="n"/>
      <c r="EXV13" s="21" t="n"/>
      <c r="EXW13" s="21" t="n"/>
      <c r="EXX13" s="21" t="n"/>
      <c r="EXY13" s="21" t="n"/>
      <c r="EXZ13" s="21" t="n"/>
      <c r="EYA13" s="21" t="n"/>
      <c r="EYB13" s="21" t="n"/>
      <c r="EYC13" s="21" t="n"/>
      <c r="EYD13" s="21" t="n"/>
      <c r="EYE13" s="21" t="n"/>
      <c r="EYF13" s="21" t="n"/>
      <c r="EYG13" s="21" t="n"/>
      <c r="EYH13" s="21" t="n"/>
      <c r="EYI13" s="21" t="n"/>
      <c r="EYJ13" s="21" t="n"/>
      <c r="EYK13" s="21" t="n"/>
      <c r="EYL13" s="21" t="n"/>
      <c r="EYM13" s="21" t="n"/>
      <c r="EYN13" s="21" t="n"/>
      <c r="EYO13" s="21" t="n"/>
      <c r="EYP13" s="21" t="n"/>
      <c r="EYQ13" s="21" t="n"/>
      <c r="EYR13" s="21" t="n"/>
      <c r="EYS13" s="21" t="n"/>
      <c r="EYT13" s="21" t="n"/>
      <c r="EYU13" s="21" t="n"/>
      <c r="EYV13" s="21" t="n"/>
      <c r="EYW13" s="21" t="n"/>
      <c r="EYX13" s="21" t="n"/>
      <c r="EYY13" s="21" t="n"/>
      <c r="EYZ13" s="21" t="n"/>
      <c r="EZA13" s="21" t="n"/>
      <c r="EZB13" s="21" t="n"/>
      <c r="EZC13" s="21" t="n"/>
      <c r="EZD13" s="21" t="n"/>
      <c r="EZE13" s="21" t="n"/>
      <c r="EZF13" s="21" t="n"/>
      <c r="EZG13" s="21" t="n"/>
      <c r="EZH13" s="21" t="n"/>
      <c r="EZI13" s="21" t="n"/>
      <c r="EZJ13" s="21" t="n"/>
      <c r="EZK13" s="21" t="n"/>
      <c r="EZL13" s="21" t="n"/>
      <c r="EZM13" s="21" t="n"/>
      <c r="EZN13" s="21" t="n"/>
      <c r="EZO13" s="21" t="n"/>
      <c r="EZP13" s="21" t="n"/>
      <c r="EZQ13" s="21" t="n"/>
      <c r="EZR13" s="21" t="n"/>
      <c r="EZS13" s="21" t="n"/>
      <c r="EZT13" s="21" t="n"/>
      <c r="EZU13" s="21" t="n"/>
      <c r="EZV13" s="21" t="n"/>
      <c r="EZW13" s="21" t="n"/>
      <c r="EZX13" s="21" t="n"/>
      <c r="EZY13" s="21" t="n"/>
      <c r="EZZ13" s="21" t="n"/>
      <c r="FAA13" s="21" t="n"/>
      <c r="FAB13" s="21" t="n"/>
      <c r="FAC13" s="21" t="n"/>
      <c r="FAD13" s="21" t="n"/>
      <c r="FAE13" s="21" t="n"/>
      <c r="FAF13" s="21" t="n"/>
      <c r="FAG13" s="21" t="n"/>
      <c r="FAH13" s="21" t="n"/>
      <c r="FAI13" s="21" t="n"/>
      <c r="FAJ13" s="21" t="n"/>
      <c r="FAK13" s="21" t="n"/>
      <c r="FAL13" s="21" t="n"/>
      <c r="FAM13" s="21" t="n"/>
      <c r="FAN13" s="21" t="n"/>
      <c r="FAO13" s="21" t="n"/>
      <c r="FAP13" s="21" t="n"/>
      <c r="FAQ13" s="21" t="n"/>
      <c r="FAR13" s="21" t="n"/>
      <c r="FAS13" s="21" t="n"/>
      <c r="FAT13" s="21" t="n"/>
      <c r="FAU13" s="21" t="n"/>
      <c r="FAV13" s="21" t="n"/>
      <c r="FAW13" s="21" t="n"/>
      <c r="FAX13" s="21" t="n"/>
      <c r="FAY13" s="21" t="n"/>
      <c r="FAZ13" s="21" t="n"/>
      <c r="FBA13" s="21" t="n"/>
      <c r="FBB13" s="21" t="n"/>
      <c r="FBC13" s="21" t="n"/>
      <c r="FBD13" s="21" t="n"/>
      <c r="FBE13" s="21" t="n"/>
      <c r="FBF13" s="21" t="n"/>
      <c r="FBG13" s="21" t="n"/>
      <c r="FBH13" s="21" t="n"/>
      <c r="FBI13" s="21" t="n"/>
      <c r="FBJ13" s="21" t="n"/>
      <c r="FBK13" s="21" t="n"/>
      <c r="FBL13" s="21" t="n"/>
      <c r="FBM13" s="21" t="n"/>
      <c r="FBN13" s="21" t="n"/>
      <c r="FBO13" s="21" t="n"/>
      <c r="FBP13" s="21" t="n"/>
      <c r="FBQ13" s="21" t="n"/>
      <c r="FBR13" s="21" t="n"/>
      <c r="FBS13" s="21" t="n"/>
      <c r="FBT13" s="21" t="n"/>
      <c r="FBU13" s="21" t="n"/>
      <c r="FBV13" s="21" t="n"/>
      <c r="FBW13" s="21" t="n"/>
      <c r="FBX13" s="21" t="n"/>
      <c r="FBY13" s="21" t="n"/>
      <c r="FBZ13" s="21" t="n"/>
      <c r="FCA13" s="21" t="n"/>
      <c r="FCB13" s="21" t="n"/>
      <c r="FCC13" s="21" t="n"/>
      <c r="FCD13" s="21" t="n"/>
      <c r="FCE13" s="21" t="n"/>
      <c r="FCF13" s="21" t="n"/>
      <c r="FCG13" s="21" t="n"/>
      <c r="FCH13" s="21" t="n"/>
      <c r="FCI13" s="21" t="n"/>
      <c r="FCJ13" s="21" t="n"/>
      <c r="FCK13" s="21" t="n"/>
      <c r="FCL13" s="21" t="n"/>
      <c r="FCM13" s="21" t="n"/>
      <c r="FCN13" s="21" t="n"/>
      <c r="FCO13" s="21" t="n"/>
      <c r="FCP13" s="21" t="n"/>
      <c r="FCQ13" s="21" t="n"/>
      <c r="FCR13" s="21" t="n"/>
      <c r="FCS13" s="21" t="n"/>
      <c r="FCT13" s="21" t="n"/>
      <c r="FCU13" s="21" t="n"/>
      <c r="FCV13" s="21" t="n"/>
      <c r="FCW13" s="21" t="n"/>
      <c r="FCX13" s="21" t="n"/>
      <c r="FCY13" s="21" t="n"/>
      <c r="FCZ13" s="21" t="n"/>
      <c r="FDA13" s="21" t="n"/>
      <c r="FDB13" s="21" t="n"/>
      <c r="FDC13" s="21" t="n"/>
      <c r="FDD13" s="21" t="n"/>
      <c r="FDE13" s="21" t="n"/>
      <c r="FDF13" s="21" t="n"/>
      <c r="FDG13" s="21" t="n"/>
      <c r="FDH13" s="21" t="n"/>
      <c r="FDI13" s="21" t="n"/>
      <c r="FDJ13" s="21" t="n"/>
      <c r="FDK13" s="21" t="n"/>
      <c r="FDL13" s="21" t="n"/>
      <c r="FDM13" s="21" t="n"/>
      <c r="FDN13" s="21" t="n"/>
      <c r="FDO13" s="21" t="n"/>
      <c r="FDP13" s="21" t="n"/>
      <c r="FDQ13" s="21" t="n"/>
      <c r="FDR13" s="21" t="n"/>
      <c r="FDS13" s="21" t="n"/>
      <c r="FDT13" s="21" t="n"/>
      <c r="FDU13" s="21" t="n"/>
      <c r="FDV13" s="21" t="n"/>
      <c r="FDW13" s="21" t="n"/>
      <c r="FDX13" s="21" t="n"/>
      <c r="FDY13" s="21" t="n"/>
      <c r="FDZ13" s="21" t="n"/>
      <c r="FEA13" s="21" t="n"/>
      <c r="FEB13" s="21" t="n"/>
      <c r="FEC13" s="21" t="n"/>
      <c r="FED13" s="21" t="n"/>
      <c r="FEE13" s="21" t="n"/>
      <c r="FEF13" s="21" t="n"/>
      <c r="FEG13" s="21" t="n"/>
      <c r="FEH13" s="21" t="n"/>
      <c r="FEI13" s="21" t="n"/>
      <c r="FEJ13" s="21" t="n"/>
      <c r="FEK13" s="21" t="n"/>
      <c r="FEL13" s="21" t="n"/>
      <c r="FEM13" s="21" t="n"/>
      <c r="FEN13" s="21" t="n"/>
      <c r="FEO13" s="21" t="n"/>
      <c r="FEP13" s="21" t="n"/>
      <c r="FEQ13" s="21" t="n"/>
      <c r="FER13" s="21" t="n"/>
      <c r="FES13" s="21" t="n"/>
      <c r="FET13" s="21" t="n"/>
      <c r="FEU13" s="21" t="n"/>
      <c r="FEV13" s="21" t="n"/>
      <c r="FEW13" s="21" t="n"/>
      <c r="FEX13" s="21" t="n"/>
      <c r="FEY13" s="21" t="n"/>
      <c r="FEZ13" s="21" t="n"/>
      <c r="FFA13" s="21" t="n"/>
      <c r="FFB13" s="21" t="n"/>
      <c r="FFC13" s="21" t="n"/>
      <c r="FFD13" s="21" t="n"/>
      <c r="FFE13" s="21" t="n"/>
      <c r="FFF13" s="21" t="n"/>
      <c r="FFG13" s="21" t="n"/>
      <c r="FFH13" s="21" t="n"/>
      <c r="FFI13" s="21" t="n"/>
      <c r="FFJ13" s="21" t="n"/>
      <c r="FFK13" s="21" t="n"/>
      <c r="FFL13" s="21" t="n"/>
      <c r="FFM13" s="21" t="n"/>
      <c r="FFN13" s="21" t="n"/>
      <c r="FFO13" s="21" t="n"/>
      <c r="FFP13" s="21" t="n"/>
      <c r="FFQ13" s="21" t="n"/>
      <c r="FFR13" s="21" t="n"/>
      <c r="FFS13" s="21" t="n"/>
      <c r="FFT13" s="21" t="n"/>
      <c r="FFU13" s="21" t="n"/>
      <c r="FFV13" s="21" t="n"/>
      <c r="FFW13" s="21" t="n"/>
      <c r="FFX13" s="21" t="n"/>
      <c r="FFY13" s="21" t="n"/>
      <c r="FFZ13" s="21" t="n"/>
      <c r="FGA13" s="21" t="n"/>
      <c r="FGB13" s="21" t="n"/>
      <c r="FGC13" s="21" t="n"/>
      <c r="FGD13" s="21" t="n"/>
      <c r="FGE13" s="21" t="n"/>
      <c r="FGF13" s="21" t="n"/>
      <c r="FGG13" s="21" t="n"/>
      <c r="FGH13" s="21" t="n"/>
      <c r="FGI13" s="21" t="n"/>
      <c r="FGJ13" s="21" t="n"/>
      <c r="FGK13" s="21" t="n"/>
      <c r="FGL13" s="21" t="n"/>
      <c r="FGM13" s="21" t="n"/>
      <c r="FGN13" s="21" t="n"/>
      <c r="FGO13" s="21" t="n"/>
      <c r="FGP13" s="21" t="n"/>
      <c r="FGQ13" s="21" t="n"/>
      <c r="FGR13" s="21" t="n"/>
      <c r="FGS13" s="21" t="n"/>
      <c r="FGT13" s="21" t="n"/>
      <c r="FGU13" s="21" t="n"/>
      <c r="FGV13" s="21" t="n"/>
      <c r="FGW13" s="21" t="n"/>
      <c r="FGX13" s="21" t="n"/>
      <c r="FGY13" s="21" t="n"/>
      <c r="FGZ13" s="21" t="n"/>
      <c r="FHA13" s="21" t="n"/>
      <c r="FHB13" s="21" t="n"/>
      <c r="FHC13" s="21" t="n"/>
      <c r="FHD13" s="21" t="n"/>
      <c r="FHE13" s="21" t="n"/>
      <c r="FHF13" s="21" t="n"/>
      <c r="FHG13" s="21" t="n"/>
      <c r="FHH13" s="21" t="n"/>
      <c r="FHI13" s="21" t="n"/>
      <c r="FHJ13" s="21" t="n"/>
      <c r="FHK13" s="21" t="n"/>
      <c r="FHL13" s="21" t="n"/>
      <c r="FHM13" s="21" t="n"/>
      <c r="FHN13" s="21" t="n"/>
      <c r="FHO13" s="21" t="n"/>
      <c r="FHP13" s="21" t="n"/>
      <c r="FHQ13" s="21" t="n"/>
      <c r="FHR13" s="21" t="n"/>
      <c r="FHS13" s="21" t="n"/>
      <c r="FHT13" s="21" t="n"/>
      <c r="FHU13" s="21" t="n"/>
      <c r="FHV13" s="21" t="n"/>
      <c r="FHW13" s="21" t="n"/>
      <c r="FHX13" s="21" t="n"/>
      <c r="FHY13" s="21" t="n"/>
      <c r="FHZ13" s="21" t="n"/>
      <c r="FIA13" s="21" t="n"/>
      <c r="FIB13" s="21" t="n"/>
      <c r="FIC13" s="21" t="n"/>
      <c r="FID13" s="21" t="n"/>
      <c r="FIE13" s="21" t="n"/>
      <c r="FIF13" s="21" t="n"/>
      <c r="FIG13" s="21" t="n"/>
      <c r="FIH13" s="21" t="n"/>
      <c r="FII13" s="21" t="n"/>
      <c r="FIJ13" s="21" t="n"/>
      <c r="FIK13" s="21" t="n"/>
      <c r="FIL13" s="21" t="n"/>
      <c r="FIM13" s="21" t="n"/>
      <c r="FIN13" s="21" t="n"/>
      <c r="FIO13" s="21" t="n"/>
      <c r="FIP13" s="21" t="n"/>
      <c r="FIQ13" s="21" t="n"/>
      <c r="FIR13" s="21" t="n"/>
      <c r="FIS13" s="21" t="n"/>
      <c r="FIT13" s="21" t="n"/>
      <c r="FIU13" s="21" t="n"/>
      <c r="FIV13" s="21" t="n"/>
      <c r="FIW13" s="21" t="n"/>
      <c r="FIX13" s="21" t="n"/>
      <c r="FIY13" s="21" t="n"/>
      <c r="FIZ13" s="21" t="n"/>
      <c r="FJA13" s="21" t="n"/>
      <c r="FJB13" s="21" t="n"/>
      <c r="FJC13" s="21" t="n"/>
      <c r="FJD13" s="21" t="n"/>
      <c r="FJE13" s="21" t="n"/>
      <c r="FJF13" s="21" t="n"/>
      <c r="FJG13" s="21" t="n"/>
      <c r="FJH13" s="21" t="n"/>
      <c r="FJI13" s="21" t="n"/>
      <c r="FJJ13" s="21" t="n"/>
      <c r="FJK13" s="21" t="n"/>
      <c r="FJL13" s="21" t="n"/>
      <c r="FJM13" s="21" t="n"/>
      <c r="FJN13" s="21" t="n"/>
      <c r="FJO13" s="21" t="n"/>
      <c r="FJP13" s="21" t="n"/>
      <c r="FJQ13" s="21" t="n"/>
      <c r="FJR13" s="21" t="n"/>
      <c r="FJS13" s="21" t="n"/>
      <c r="FJT13" s="21" t="n"/>
      <c r="FJU13" s="21" t="n"/>
      <c r="FJV13" s="21" t="n"/>
      <c r="FJW13" s="21" t="n"/>
      <c r="FJX13" s="21" t="n"/>
      <c r="FJY13" s="21" t="n"/>
      <c r="FJZ13" s="21" t="n"/>
      <c r="FKA13" s="21" t="n"/>
      <c r="FKB13" s="21" t="n"/>
      <c r="FKC13" s="21" t="n"/>
      <c r="FKD13" s="21" t="n"/>
      <c r="FKE13" s="21" t="n"/>
      <c r="FKF13" s="21" t="n"/>
      <c r="FKG13" s="21" t="n"/>
      <c r="FKH13" s="21" t="n"/>
      <c r="FKI13" s="21" t="n"/>
      <c r="FKJ13" s="21" t="n"/>
      <c r="FKK13" s="21" t="n"/>
      <c r="FKL13" s="21" t="n"/>
      <c r="FKM13" s="21" t="n"/>
      <c r="FKN13" s="21" t="n"/>
      <c r="FKO13" s="21" t="n"/>
      <c r="FKP13" s="21" t="n"/>
      <c r="FKQ13" s="21" t="n"/>
      <c r="FKR13" s="21" t="n"/>
      <c r="FKS13" s="21" t="n"/>
      <c r="FKT13" s="21" t="n"/>
      <c r="FKU13" s="21" t="n"/>
      <c r="FKV13" s="21" t="n"/>
      <c r="FKW13" s="21" t="n"/>
      <c r="FKX13" s="21" t="n"/>
      <c r="FKY13" s="21" t="n"/>
      <c r="FKZ13" s="21" t="n"/>
      <c r="FLA13" s="21" t="n"/>
      <c r="FLB13" s="21" t="n"/>
      <c r="FLC13" s="21" t="n"/>
      <c r="FLD13" s="21" t="n"/>
      <c r="FLE13" s="21" t="n"/>
      <c r="FLF13" s="21" t="n"/>
      <c r="FLG13" s="21" t="n"/>
      <c r="FLH13" s="21" t="n"/>
      <c r="FLI13" s="21" t="n"/>
      <c r="FLJ13" s="21" t="n"/>
      <c r="FLK13" s="21" t="n"/>
      <c r="FLL13" s="21" t="n"/>
      <c r="FLM13" s="21" t="n"/>
      <c r="FLN13" s="21" t="n"/>
      <c r="FLO13" s="21" t="n"/>
      <c r="FLP13" s="21" t="n"/>
      <c r="FLQ13" s="21" t="n"/>
      <c r="FLR13" s="21" t="n"/>
      <c r="FLS13" s="21" t="n"/>
      <c r="FLT13" s="21" t="n"/>
      <c r="FLU13" s="21" t="n"/>
      <c r="FLV13" s="21" t="n"/>
      <c r="FLW13" s="21" t="n"/>
      <c r="FLX13" s="21" t="n"/>
      <c r="FLY13" s="21" t="n"/>
      <c r="FLZ13" s="21" t="n"/>
      <c r="FMA13" s="21" t="n"/>
      <c r="FMB13" s="21" t="n"/>
      <c r="FMC13" s="21" t="n"/>
      <c r="FMD13" s="21" t="n"/>
      <c r="FME13" s="21" t="n"/>
      <c r="FMF13" s="21" t="n"/>
      <c r="FMG13" s="21" t="n"/>
      <c r="FMH13" s="21" t="n"/>
      <c r="FMI13" s="21" t="n"/>
      <c r="FMJ13" s="21" t="n"/>
      <c r="FMK13" s="21" t="n"/>
      <c r="FML13" s="21" t="n"/>
      <c r="FMM13" s="21" t="n"/>
      <c r="FMN13" s="21" t="n"/>
      <c r="FMO13" s="21" t="n"/>
      <c r="FMP13" s="21" t="n"/>
      <c r="FMQ13" s="21" t="n"/>
      <c r="FMR13" s="21" t="n"/>
      <c r="FMS13" s="21" t="n"/>
      <c r="FMT13" s="21" t="n"/>
      <c r="FMU13" s="21" t="n"/>
      <c r="FMV13" s="21" t="n"/>
      <c r="FMW13" s="21" t="n"/>
      <c r="FMX13" s="21" t="n"/>
      <c r="FMY13" s="21" t="n"/>
      <c r="FMZ13" s="21" t="n"/>
      <c r="FNA13" s="21" t="n"/>
      <c r="FNB13" s="21" t="n"/>
      <c r="FNC13" s="21" t="n"/>
      <c r="FND13" s="21" t="n"/>
      <c r="FNE13" s="21" t="n"/>
      <c r="FNF13" s="21" t="n"/>
      <c r="FNG13" s="21" t="n"/>
      <c r="FNH13" s="21" t="n"/>
      <c r="FNI13" s="21" t="n"/>
      <c r="FNJ13" s="21" t="n"/>
      <c r="FNK13" s="21" t="n"/>
      <c r="FNL13" s="21" t="n"/>
      <c r="FNM13" s="21" t="n"/>
      <c r="FNN13" s="21" t="n"/>
      <c r="FNO13" s="21" t="n"/>
      <c r="FNP13" s="21" t="n"/>
      <c r="FNQ13" s="21" t="n"/>
      <c r="FNR13" s="21" t="n"/>
      <c r="FNS13" s="21" t="n"/>
      <c r="FNT13" s="21" t="n"/>
      <c r="FNU13" s="21" t="n"/>
      <c r="FNV13" s="21" t="n"/>
      <c r="FNW13" s="21" t="n"/>
      <c r="FNX13" s="21" t="n"/>
      <c r="FNY13" s="21" t="n"/>
      <c r="FNZ13" s="21" t="n"/>
      <c r="FOA13" s="21" t="n"/>
      <c r="FOB13" s="21" t="n"/>
      <c r="FOC13" s="21" t="n"/>
      <c r="FOD13" s="21" t="n"/>
      <c r="FOE13" s="21" t="n"/>
      <c r="FOF13" s="21" t="n"/>
      <c r="FOG13" s="21" t="n"/>
      <c r="FOH13" s="21" t="n"/>
      <c r="FOI13" s="21" t="n"/>
      <c r="FOJ13" s="21" t="n"/>
      <c r="FOK13" s="21" t="n"/>
      <c r="FOL13" s="21" t="n"/>
      <c r="FOM13" s="21" t="n"/>
      <c r="FON13" s="21" t="n"/>
      <c r="FOO13" s="21" t="n"/>
      <c r="FOP13" s="21" t="n"/>
      <c r="FOQ13" s="21" t="n"/>
      <c r="FOR13" s="21" t="n"/>
      <c r="FOS13" s="21" t="n"/>
      <c r="FOT13" s="21" t="n"/>
      <c r="FOU13" s="21" t="n"/>
      <c r="FOV13" s="21" t="n"/>
      <c r="FOW13" s="21" t="n"/>
      <c r="FOX13" s="21" t="n"/>
      <c r="FOY13" s="21" t="n"/>
      <c r="FOZ13" s="21" t="n"/>
      <c r="FPA13" s="21" t="n"/>
      <c r="FPB13" s="21" t="n"/>
      <c r="FPC13" s="21" t="n"/>
      <c r="FPD13" s="21" t="n"/>
      <c r="FPE13" s="21" t="n"/>
      <c r="FPF13" s="21" t="n"/>
      <c r="FPG13" s="21" t="n"/>
      <c r="FPH13" s="21" t="n"/>
      <c r="FPI13" s="21" t="n"/>
      <c r="FPJ13" s="21" t="n"/>
      <c r="FPK13" s="21" t="n"/>
      <c r="FPL13" s="21" t="n"/>
      <c r="FPM13" s="21" t="n"/>
      <c r="FPN13" s="21" t="n"/>
      <c r="FPO13" s="21" t="n"/>
      <c r="FPP13" s="21" t="n"/>
      <c r="FPQ13" s="21" t="n"/>
      <c r="FPR13" s="21" t="n"/>
      <c r="FPS13" s="21" t="n"/>
      <c r="FPT13" s="21" t="n"/>
      <c r="FPU13" s="21" t="n"/>
      <c r="FPV13" s="21" t="n"/>
      <c r="FPW13" s="21" t="n"/>
      <c r="FPX13" s="21" t="n"/>
      <c r="FPY13" s="21" t="n"/>
      <c r="FPZ13" s="21" t="n"/>
      <c r="FQA13" s="21" t="n"/>
      <c r="FQB13" s="21" t="n"/>
      <c r="FQC13" s="21" t="n"/>
      <c r="FQD13" s="21" t="n"/>
      <c r="FQE13" s="21" t="n"/>
      <c r="FQF13" s="21" t="n"/>
      <c r="FQG13" s="21" t="n"/>
      <c r="FQH13" s="21" t="n"/>
      <c r="FQI13" s="21" t="n"/>
      <c r="FQJ13" s="21" t="n"/>
      <c r="FQK13" s="21" t="n"/>
      <c r="FQL13" s="21" t="n"/>
      <c r="FQM13" s="21" t="n"/>
      <c r="FQN13" s="21" t="n"/>
      <c r="FQO13" s="21" t="n"/>
      <c r="FQP13" s="21" t="n"/>
      <c r="FQQ13" s="21" t="n"/>
      <c r="FQR13" s="21" t="n"/>
      <c r="FQS13" s="21" t="n"/>
      <c r="FQT13" s="21" t="n"/>
      <c r="FQU13" s="21" t="n"/>
      <c r="FQV13" s="21" t="n"/>
      <c r="FQW13" s="21" t="n"/>
      <c r="FQX13" s="21" t="n"/>
      <c r="FQY13" s="21" t="n"/>
      <c r="FQZ13" s="21" t="n"/>
      <c r="FRA13" s="21" t="n"/>
      <c r="FRB13" s="21" t="n"/>
      <c r="FRC13" s="21" t="n"/>
      <c r="FRD13" s="21" t="n"/>
      <c r="FRE13" s="21" t="n"/>
      <c r="FRF13" s="21" t="n"/>
      <c r="FRG13" s="21" t="n"/>
      <c r="FRH13" s="21" t="n"/>
      <c r="FRI13" s="21" t="n"/>
      <c r="FRJ13" s="21" t="n"/>
      <c r="FRK13" s="21" t="n"/>
      <c r="FRL13" s="21" t="n"/>
      <c r="FRM13" s="21" t="n"/>
      <c r="FRN13" s="21" t="n"/>
      <c r="FRO13" s="21" t="n"/>
      <c r="FRP13" s="21" t="n"/>
      <c r="FRQ13" s="21" t="n"/>
      <c r="FRR13" s="21" t="n"/>
      <c r="FRS13" s="21" t="n"/>
      <c r="FRT13" s="21" t="n"/>
      <c r="FRU13" s="21" t="n"/>
      <c r="FRV13" s="21" t="n"/>
      <c r="FRW13" s="21" t="n"/>
      <c r="FRX13" s="21" t="n"/>
      <c r="FRY13" s="21" t="n"/>
      <c r="FRZ13" s="21" t="n"/>
      <c r="FSA13" s="21" t="n"/>
      <c r="FSB13" s="21" t="n"/>
      <c r="FSC13" s="21" t="n"/>
      <c r="FSD13" s="21" t="n"/>
      <c r="FSE13" s="21" t="n"/>
      <c r="FSF13" s="21" t="n"/>
      <c r="FSG13" s="21" t="n"/>
      <c r="FSH13" s="21" t="n"/>
      <c r="FSI13" s="21" t="n"/>
      <c r="FSJ13" s="21" t="n"/>
      <c r="FSK13" s="21" t="n"/>
      <c r="FSL13" s="21" t="n"/>
      <c r="FSM13" s="21" t="n"/>
      <c r="FSN13" s="21" t="n"/>
      <c r="FSO13" s="21" t="n"/>
      <c r="FSP13" s="21" t="n"/>
      <c r="FSQ13" s="21" t="n"/>
      <c r="FSR13" s="21" t="n"/>
      <c r="FSS13" s="21" t="n"/>
      <c r="FST13" s="21" t="n"/>
      <c r="FSU13" s="21" t="n"/>
      <c r="FSV13" s="21" t="n"/>
      <c r="FSW13" s="21" t="n"/>
      <c r="FSX13" s="21" t="n"/>
      <c r="FSY13" s="21" t="n"/>
      <c r="FSZ13" s="21" t="n"/>
      <c r="FTA13" s="21" t="n"/>
      <c r="FTB13" s="21" t="n"/>
      <c r="FTC13" s="21" t="n"/>
      <c r="FTD13" s="21" t="n"/>
      <c r="FTE13" s="21" t="n"/>
      <c r="FTF13" s="21" t="n"/>
      <c r="FTG13" s="21" t="n"/>
      <c r="FTH13" s="21" t="n"/>
      <c r="FTI13" s="21" t="n"/>
      <c r="FTJ13" s="21" t="n"/>
      <c r="FTK13" s="21" t="n"/>
      <c r="FTL13" s="21" t="n"/>
      <c r="FTM13" s="21" t="n"/>
      <c r="FTN13" s="21" t="n"/>
      <c r="FTO13" s="21" t="n"/>
      <c r="FTP13" s="21" t="n"/>
      <c r="FTQ13" s="21" t="n"/>
      <c r="FTR13" s="21" t="n"/>
      <c r="FTS13" s="21" t="n"/>
      <c r="FTT13" s="21" t="n"/>
      <c r="FTU13" s="21" t="n"/>
      <c r="FTV13" s="21" t="n"/>
      <c r="FTW13" s="21" t="n"/>
      <c r="FTX13" s="21" t="n"/>
      <c r="FTY13" s="21" t="n"/>
      <c r="FTZ13" s="21" t="n"/>
      <c r="FUA13" s="21" t="n"/>
      <c r="FUB13" s="21" t="n"/>
      <c r="FUC13" s="21" t="n"/>
      <c r="FUD13" s="21" t="n"/>
      <c r="FUE13" s="21" t="n"/>
      <c r="FUF13" s="21" t="n"/>
      <c r="FUG13" s="21" t="n"/>
      <c r="FUH13" s="21" t="n"/>
      <c r="FUI13" s="21" t="n"/>
      <c r="FUJ13" s="21" t="n"/>
      <c r="FUK13" s="21" t="n"/>
      <c r="FUL13" s="21" t="n"/>
      <c r="FUM13" s="21" t="n"/>
      <c r="FUN13" s="21" t="n"/>
      <c r="FUO13" s="21" t="n"/>
      <c r="FUP13" s="21" t="n"/>
      <c r="FUQ13" s="21" t="n"/>
      <c r="FUR13" s="21" t="n"/>
      <c r="FUS13" s="21" t="n"/>
      <c r="FUT13" s="21" t="n"/>
      <c r="FUU13" s="21" t="n"/>
      <c r="FUV13" s="21" t="n"/>
      <c r="FUW13" s="21" t="n"/>
      <c r="FUX13" s="21" t="n"/>
      <c r="FUY13" s="21" t="n"/>
      <c r="FUZ13" s="21" t="n"/>
      <c r="FVA13" s="21" t="n"/>
      <c r="FVB13" s="21" t="n"/>
      <c r="FVC13" s="21" t="n"/>
      <c r="FVD13" s="21" t="n"/>
      <c r="FVE13" s="21" t="n"/>
      <c r="FVF13" s="21" t="n"/>
      <c r="FVG13" s="21" t="n"/>
      <c r="FVH13" s="21" t="n"/>
      <c r="FVI13" s="21" t="n"/>
      <c r="FVJ13" s="21" t="n"/>
      <c r="FVK13" s="21" t="n"/>
      <c r="FVL13" s="21" t="n"/>
      <c r="FVM13" s="21" t="n"/>
      <c r="FVN13" s="21" t="n"/>
      <c r="FVO13" s="21" t="n"/>
      <c r="FVP13" s="21" t="n"/>
      <c r="FVQ13" s="21" t="n"/>
      <c r="FVR13" s="21" t="n"/>
      <c r="FVS13" s="21" t="n"/>
      <c r="FVT13" s="21" t="n"/>
      <c r="FVU13" s="21" t="n"/>
      <c r="FVV13" s="21" t="n"/>
      <c r="FVW13" s="21" t="n"/>
      <c r="FVX13" s="21" t="n"/>
      <c r="FVY13" s="21" t="n"/>
      <c r="FVZ13" s="21" t="n"/>
      <c r="FWA13" s="21" t="n"/>
      <c r="FWB13" s="21" t="n"/>
      <c r="FWC13" s="21" t="n"/>
      <c r="FWD13" s="21" t="n"/>
      <c r="FWE13" s="21" t="n"/>
      <c r="FWF13" s="21" t="n"/>
      <c r="FWG13" s="21" t="n"/>
      <c r="FWH13" s="21" t="n"/>
      <c r="FWI13" s="21" t="n"/>
      <c r="FWJ13" s="21" t="n"/>
      <c r="FWK13" s="21" t="n"/>
      <c r="FWL13" s="21" t="n"/>
      <c r="FWM13" s="21" t="n"/>
      <c r="FWN13" s="21" t="n"/>
      <c r="FWO13" s="21" t="n"/>
      <c r="FWP13" s="21" t="n"/>
      <c r="FWQ13" s="21" t="n"/>
      <c r="FWR13" s="21" t="n"/>
      <c r="FWS13" s="21" t="n"/>
      <c r="FWT13" s="21" t="n"/>
      <c r="FWU13" s="21" t="n"/>
      <c r="FWV13" s="21" t="n"/>
      <c r="FWW13" s="21" t="n"/>
      <c r="FWX13" s="21" t="n"/>
      <c r="FWY13" s="21" t="n"/>
      <c r="FWZ13" s="21" t="n"/>
      <c r="FXA13" s="21" t="n"/>
      <c r="FXB13" s="21" t="n"/>
      <c r="FXC13" s="21" t="n"/>
      <c r="FXD13" s="21" t="n"/>
      <c r="FXE13" s="21" t="n"/>
      <c r="FXF13" s="21" t="n"/>
      <c r="FXG13" s="21" t="n"/>
      <c r="FXH13" s="21" t="n"/>
      <c r="FXI13" s="21" t="n"/>
      <c r="FXJ13" s="21" t="n"/>
      <c r="FXK13" s="21" t="n"/>
      <c r="FXL13" s="21" t="n"/>
      <c r="FXM13" s="21" t="n"/>
      <c r="FXN13" s="21" t="n"/>
      <c r="FXO13" s="21" t="n"/>
      <c r="FXP13" s="21" t="n"/>
      <c r="FXQ13" s="21" t="n"/>
      <c r="FXR13" s="21" t="n"/>
      <c r="FXS13" s="21" t="n"/>
      <c r="FXT13" s="21" t="n"/>
      <c r="FXU13" s="21" t="n"/>
      <c r="FXV13" s="21" t="n"/>
      <c r="FXW13" s="21" t="n"/>
      <c r="FXX13" s="21" t="n"/>
      <c r="FXY13" s="21" t="n"/>
      <c r="FXZ13" s="21" t="n"/>
      <c r="FYA13" s="21" t="n"/>
      <c r="FYB13" s="21" t="n"/>
      <c r="FYC13" s="21" t="n"/>
      <c r="FYD13" s="21" t="n"/>
      <c r="FYE13" s="21" t="n"/>
      <c r="FYF13" s="21" t="n"/>
      <c r="FYG13" s="21" t="n"/>
      <c r="FYH13" s="21" t="n"/>
      <c r="FYI13" s="21" t="n"/>
      <c r="FYJ13" s="21" t="n"/>
      <c r="FYK13" s="21" t="n"/>
      <c r="FYL13" s="21" t="n"/>
      <c r="FYM13" s="21" t="n"/>
      <c r="FYN13" s="21" t="n"/>
      <c r="FYO13" s="21" t="n"/>
      <c r="FYP13" s="21" t="n"/>
      <c r="FYQ13" s="21" t="n"/>
      <c r="FYR13" s="21" t="n"/>
      <c r="FYS13" s="21" t="n"/>
      <c r="FYT13" s="21" t="n"/>
      <c r="FYU13" s="21" t="n"/>
      <c r="FYV13" s="21" t="n"/>
      <c r="FYW13" s="21" t="n"/>
      <c r="FYX13" s="21" t="n"/>
      <c r="FYY13" s="21" t="n"/>
      <c r="FYZ13" s="21" t="n"/>
      <c r="FZA13" s="21" t="n"/>
      <c r="FZB13" s="21" t="n"/>
      <c r="FZC13" s="21" t="n"/>
      <c r="FZD13" s="21" t="n"/>
      <c r="FZE13" s="21" t="n"/>
      <c r="FZF13" s="21" t="n"/>
      <c r="FZG13" s="21" t="n"/>
      <c r="FZH13" s="21" t="n"/>
      <c r="FZI13" s="21" t="n"/>
      <c r="FZJ13" s="21" t="n"/>
      <c r="FZK13" s="21" t="n"/>
      <c r="FZL13" s="21" t="n"/>
      <c r="FZM13" s="21" t="n"/>
      <c r="FZN13" s="21" t="n"/>
      <c r="FZO13" s="21" t="n"/>
      <c r="FZP13" s="21" t="n"/>
      <c r="FZQ13" s="21" t="n"/>
      <c r="FZR13" s="21" t="n"/>
      <c r="FZS13" s="21" t="n"/>
      <c r="FZT13" s="21" t="n"/>
      <c r="FZU13" s="21" t="n"/>
      <c r="FZV13" s="21" t="n"/>
      <c r="FZW13" s="21" t="n"/>
      <c r="FZX13" s="21" t="n"/>
      <c r="FZY13" s="21" t="n"/>
      <c r="FZZ13" s="21" t="n"/>
      <c r="GAA13" s="21" t="n"/>
      <c r="GAB13" s="21" t="n"/>
      <c r="GAC13" s="21" t="n"/>
      <c r="GAD13" s="21" t="n"/>
      <c r="GAE13" s="21" t="n"/>
      <c r="GAF13" s="21" t="n"/>
      <c r="GAG13" s="21" t="n"/>
      <c r="GAH13" s="21" t="n"/>
      <c r="GAI13" s="21" t="n"/>
      <c r="GAJ13" s="21" t="n"/>
      <c r="GAK13" s="21" t="n"/>
      <c r="GAL13" s="21" t="n"/>
      <c r="GAM13" s="21" t="n"/>
      <c r="GAN13" s="21" t="n"/>
      <c r="GAO13" s="21" t="n"/>
      <c r="GAP13" s="21" t="n"/>
      <c r="GAQ13" s="21" t="n"/>
      <c r="GAR13" s="21" t="n"/>
      <c r="GAS13" s="21" t="n"/>
      <c r="GAT13" s="21" t="n"/>
      <c r="GAU13" s="21" t="n"/>
      <c r="GAV13" s="21" t="n"/>
      <c r="GAW13" s="21" t="n"/>
      <c r="GAX13" s="21" t="n"/>
      <c r="GAY13" s="21" t="n"/>
      <c r="GAZ13" s="21" t="n"/>
      <c r="GBA13" s="21" t="n"/>
      <c r="GBB13" s="21" t="n"/>
      <c r="GBC13" s="21" t="n"/>
      <c r="GBD13" s="21" t="n"/>
      <c r="GBE13" s="21" t="n"/>
      <c r="GBF13" s="21" t="n"/>
      <c r="GBG13" s="21" t="n"/>
      <c r="GBH13" s="21" t="n"/>
      <c r="GBI13" s="21" t="n"/>
      <c r="GBJ13" s="21" t="n"/>
      <c r="GBK13" s="21" t="n"/>
      <c r="GBL13" s="21" t="n"/>
      <c r="GBM13" s="21" t="n"/>
      <c r="GBN13" s="21" t="n"/>
      <c r="GBO13" s="21" t="n"/>
      <c r="GBP13" s="21" t="n"/>
      <c r="GBQ13" s="21" t="n"/>
      <c r="GBR13" s="21" t="n"/>
      <c r="GBS13" s="21" t="n"/>
      <c r="GBT13" s="21" t="n"/>
      <c r="GBU13" s="21" t="n"/>
      <c r="GBV13" s="21" t="n"/>
      <c r="GBW13" s="21" t="n"/>
      <c r="GBX13" s="21" t="n"/>
      <c r="GBY13" s="21" t="n"/>
      <c r="GBZ13" s="21" t="n"/>
      <c r="GCA13" s="21" t="n"/>
      <c r="GCB13" s="21" t="n"/>
      <c r="GCC13" s="21" t="n"/>
      <c r="GCD13" s="21" t="n"/>
      <c r="GCE13" s="21" t="n"/>
      <c r="GCF13" s="21" t="n"/>
      <c r="GCG13" s="21" t="n"/>
      <c r="GCH13" s="21" t="n"/>
      <c r="GCI13" s="21" t="n"/>
      <c r="GCJ13" s="21" t="n"/>
      <c r="GCK13" s="21" t="n"/>
      <c r="GCL13" s="21" t="n"/>
      <c r="GCM13" s="21" t="n"/>
      <c r="GCN13" s="21" t="n"/>
      <c r="GCO13" s="21" t="n"/>
      <c r="GCP13" s="21" t="n"/>
      <c r="GCQ13" s="21" t="n"/>
      <c r="GCR13" s="21" t="n"/>
      <c r="GCS13" s="21" t="n"/>
      <c r="GCT13" s="21" t="n"/>
      <c r="GCU13" s="21" t="n"/>
      <c r="GCV13" s="21" t="n"/>
      <c r="GCW13" s="21" t="n"/>
      <c r="GCX13" s="21" t="n"/>
      <c r="GCY13" s="21" t="n"/>
      <c r="GCZ13" s="21" t="n"/>
      <c r="GDA13" s="21" t="n"/>
      <c r="GDB13" s="21" t="n"/>
      <c r="GDC13" s="21" t="n"/>
      <c r="GDD13" s="21" t="n"/>
      <c r="GDE13" s="21" t="n"/>
      <c r="GDF13" s="21" t="n"/>
      <c r="GDG13" s="21" t="n"/>
      <c r="GDH13" s="21" t="n"/>
      <c r="GDI13" s="21" t="n"/>
      <c r="GDJ13" s="21" t="n"/>
      <c r="GDK13" s="21" t="n"/>
      <c r="GDL13" s="21" t="n"/>
      <c r="GDM13" s="21" t="n"/>
      <c r="GDN13" s="21" t="n"/>
      <c r="GDO13" s="21" t="n"/>
      <c r="GDP13" s="21" t="n"/>
      <c r="GDQ13" s="21" t="n"/>
      <c r="GDR13" s="21" t="n"/>
      <c r="GDS13" s="21" t="n"/>
      <c r="GDT13" s="21" t="n"/>
      <c r="GDU13" s="21" t="n"/>
      <c r="GDV13" s="21" t="n"/>
      <c r="GDW13" s="21" t="n"/>
      <c r="GDX13" s="21" t="n"/>
      <c r="GDY13" s="21" t="n"/>
      <c r="GDZ13" s="21" t="n"/>
      <c r="GEA13" s="21" t="n"/>
      <c r="GEB13" s="21" t="n"/>
      <c r="GEC13" s="21" t="n"/>
      <c r="GED13" s="21" t="n"/>
      <c r="GEE13" s="21" t="n"/>
      <c r="GEF13" s="21" t="n"/>
      <c r="GEG13" s="21" t="n"/>
      <c r="GEH13" s="21" t="n"/>
      <c r="GEI13" s="21" t="n"/>
      <c r="GEJ13" s="21" t="n"/>
      <c r="GEK13" s="21" t="n"/>
      <c r="GEL13" s="21" t="n"/>
      <c r="GEM13" s="21" t="n"/>
      <c r="GEN13" s="21" t="n"/>
      <c r="GEO13" s="21" t="n"/>
      <c r="GEP13" s="21" t="n"/>
      <c r="GEQ13" s="21" t="n"/>
      <c r="GER13" s="21" t="n"/>
      <c r="GES13" s="21" t="n"/>
      <c r="GET13" s="21" t="n"/>
      <c r="GEU13" s="21" t="n"/>
      <c r="GEV13" s="21" t="n"/>
      <c r="GEW13" s="21" t="n"/>
      <c r="GEX13" s="21" t="n"/>
      <c r="GEY13" s="21" t="n"/>
      <c r="GEZ13" s="21" t="n"/>
      <c r="GFA13" s="21" t="n"/>
      <c r="GFB13" s="21" t="n"/>
      <c r="GFC13" s="21" t="n"/>
      <c r="GFD13" s="21" t="n"/>
      <c r="GFE13" s="21" t="n"/>
      <c r="GFF13" s="21" t="n"/>
      <c r="GFG13" s="21" t="n"/>
      <c r="GFH13" s="21" t="n"/>
      <c r="GFI13" s="21" t="n"/>
      <c r="GFJ13" s="21" t="n"/>
      <c r="GFK13" s="21" t="n"/>
      <c r="GFL13" s="21" t="n"/>
      <c r="GFM13" s="21" t="n"/>
      <c r="GFN13" s="21" t="n"/>
      <c r="GFO13" s="21" t="n"/>
      <c r="GFP13" s="21" t="n"/>
      <c r="GFQ13" s="21" t="n"/>
      <c r="GFR13" s="21" t="n"/>
      <c r="GFS13" s="21" t="n"/>
      <c r="GFT13" s="21" t="n"/>
      <c r="GFU13" s="21" t="n"/>
      <c r="GFV13" s="21" t="n"/>
      <c r="GFW13" s="21" t="n"/>
      <c r="GFX13" s="21" t="n"/>
      <c r="GFY13" s="21" t="n"/>
      <c r="GFZ13" s="21" t="n"/>
      <c r="GGA13" s="21" t="n"/>
      <c r="GGB13" s="21" t="n"/>
      <c r="GGC13" s="21" t="n"/>
      <c r="GGD13" s="21" t="n"/>
      <c r="GGE13" s="21" t="n"/>
      <c r="GGF13" s="21" t="n"/>
      <c r="GGG13" s="21" t="n"/>
      <c r="GGH13" s="21" t="n"/>
      <c r="GGI13" s="21" t="n"/>
      <c r="GGJ13" s="21" t="n"/>
      <c r="GGK13" s="21" t="n"/>
      <c r="GGL13" s="21" t="n"/>
      <c r="GGM13" s="21" t="n"/>
      <c r="GGN13" s="21" t="n"/>
      <c r="GGO13" s="21" t="n"/>
      <c r="GGP13" s="21" t="n"/>
      <c r="GGQ13" s="21" t="n"/>
      <c r="GGR13" s="21" t="n"/>
      <c r="GGS13" s="21" t="n"/>
      <c r="GGT13" s="21" t="n"/>
      <c r="GGU13" s="21" t="n"/>
      <c r="GGV13" s="21" t="n"/>
      <c r="GGW13" s="21" t="n"/>
      <c r="GGX13" s="21" t="n"/>
      <c r="GGY13" s="21" t="n"/>
      <c r="GGZ13" s="21" t="n"/>
      <c r="GHA13" s="21" t="n"/>
      <c r="GHB13" s="21" t="n"/>
      <c r="GHC13" s="21" t="n"/>
      <c r="GHD13" s="21" t="n"/>
      <c r="GHE13" s="21" t="n"/>
      <c r="GHF13" s="21" t="n"/>
      <c r="GHG13" s="21" t="n"/>
      <c r="GHH13" s="21" t="n"/>
      <c r="GHI13" s="21" t="n"/>
      <c r="GHJ13" s="21" t="n"/>
      <c r="GHK13" s="21" t="n"/>
      <c r="GHL13" s="21" t="n"/>
      <c r="GHM13" s="21" t="n"/>
      <c r="GHN13" s="21" t="n"/>
      <c r="GHO13" s="21" t="n"/>
      <c r="GHP13" s="21" t="n"/>
      <c r="GHQ13" s="21" t="n"/>
      <c r="GHR13" s="21" t="n"/>
      <c r="GHS13" s="21" t="n"/>
      <c r="GHT13" s="21" t="n"/>
      <c r="GHU13" s="21" t="n"/>
      <c r="GHV13" s="21" t="n"/>
      <c r="GHW13" s="21" t="n"/>
      <c r="GHX13" s="21" t="n"/>
      <c r="GHY13" s="21" t="n"/>
      <c r="GHZ13" s="21" t="n"/>
      <c r="GIA13" s="21" t="n"/>
      <c r="GIB13" s="21" t="n"/>
      <c r="GIC13" s="21" t="n"/>
      <c r="GID13" s="21" t="n"/>
      <c r="GIE13" s="21" t="n"/>
      <c r="GIF13" s="21" t="n"/>
      <c r="GIG13" s="21" t="n"/>
      <c r="GIH13" s="21" t="n"/>
      <c r="GII13" s="21" t="n"/>
      <c r="GIJ13" s="21" t="n"/>
      <c r="GIK13" s="21" t="n"/>
      <c r="GIL13" s="21" t="n"/>
      <c r="GIM13" s="21" t="n"/>
      <c r="GIN13" s="21" t="n"/>
      <c r="GIO13" s="21" t="n"/>
      <c r="GIP13" s="21" t="n"/>
      <c r="GIQ13" s="21" t="n"/>
      <c r="GIR13" s="21" t="n"/>
      <c r="GIS13" s="21" t="n"/>
      <c r="GIT13" s="21" t="n"/>
      <c r="GIU13" s="21" t="n"/>
      <c r="GIV13" s="21" t="n"/>
      <c r="GIW13" s="21" t="n"/>
      <c r="GIX13" s="21" t="n"/>
      <c r="GIY13" s="21" t="n"/>
      <c r="GIZ13" s="21" t="n"/>
      <c r="GJA13" s="21" t="n"/>
      <c r="GJB13" s="21" t="n"/>
      <c r="GJC13" s="21" t="n"/>
      <c r="GJD13" s="21" t="n"/>
      <c r="GJE13" s="21" t="n"/>
      <c r="GJF13" s="21" t="n"/>
      <c r="GJG13" s="21" t="n"/>
      <c r="GJH13" s="21" t="n"/>
      <c r="GJI13" s="21" t="n"/>
      <c r="GJJ13" s="21" t="n"/>
      <c r="GJK13" s="21" t="n"/>
      <c r="GJL13" s="21" t="n"/>
      <c r="GJM13" s="21" t="n"/>
      <c r="GJN13" s="21" t="n"/>
      <c r="GJO13" s="21" t="n"/>
      <c r="GJP13" s="21" t="n"/>
      <c r="GJQ13" s="21" t="n"/>
      <c r="GJR13" s="21" t="n"/>
      <c r="GJS13" s="21" t="n"/>
      <c r="GJT13" s="21" t="n"/>
      <c r="GJU13" s="21" t="n"/>
      <c r="GJV13" s="21" t="n"/>
      <c r="GJW13" s="21" t="n"/>
      <c r="GJX13" s="21" t="n"/>
      <c r="GJY13" s="21" t="n"/>
      <c r="GJZ13" s="21" t="n"/>
      <c r="GKA13" s="21" t="n"/>
      <c r="GKB13" s="21" t="n"/>
      <c r="GKC13" s="21" t="n"/>
      <c r="GKD13" s="21" t="n"/>
      <c r="GKE13" s="21" t="n"/>
      <c r="GKF13" s="21" t="n"/>
      <c r="GKG13" s="21" t="n"/>
      <c r="GKH13" s="21" t="n"/>
      <c r="GKI13" s="21" t="n"/>
      <c r="GKJ13" s="21" t="n"/>
      <c r="GKK13" s="21" t="n"/>
      <c r="GKL13" s="21" t="n"/>
      <c r="GKM13" s="21" t="n"/>
      <c r="GKN13" s="21" t="n"/>
      <c r="GKO13" s="21" t="n"/>
      <c r="GKP13" s="21" t="n"/>
      <c r="GKQ13" s="21" t="n"/>
      <c r="GKR13" s="21" t="n"/>
      <c r="GKS13" s="21" t="n"/>
      <c r="GKT13" s="21" t="n"/>
      <c r="GKU13" s="21" t="n"/>
      <c r="GKV13" s="21" t="n"/>
      <c r="GKW13" s="21" t="n"/>
      <c r="GKX13" s="21" t="n"/>
      <c r="GKY13" s="21" t="n"/>
      <c r="GKZ13" s="21" t="n"/>
      <c r="GLA13" s="21" t="n"/>
      <c r="GLB13" s="21" t="n"/>
      <c r="GLC13" s="21" t="n"/>
      <c r="GLD13" s="21" t="n"/>
      <c r="GLE13" s="21" t="n"/>
      <c r="GLF13" s="21" t="n"/>
      <c r="GLG13" s="21" t="n"/>
      <c r="GLH13" s="21" t="n"/>
      <c r="GLI13" s="21" t="n"/>
      <c r="GLJ13" s="21" t="n"/>
      <c r="GLK13" s="21" t="n"/>
      <c r="GLL13" s="21" t="n"/>
      <c r="GLM13" s="21" t="n"/>
      <c r="GLN13" s="21" t="n"/>
      <c r="GLO13" s="21" t="n"/>
      <c r="GLP13" s="21" t="n"/>
      <c r="GLQ13" s="21" t="n"/>
      <c r="GLR13" s="21" t="n"/>
      <c r="GLS13" s="21" t="n"/>
      <c r="GLT13" s="21" t="n"/>
      <c r="GLU13" s="21" t="n"/>
      <c r="GLV13" s="21" t="n"/>
      <c r="GLW13" s="21" t="n"/>
      <c r="GLX13" s="21" t="n"/>
      <c r="GLY13" s="21" t="n"/>
      <c r="GLZ13" s="21" t="n"/>
      <c r="GMA13" s="21" t="n"/>
      <c r="GMB13" s="21" t="n"/>
      <c r="GMC13" s="21" t="n"/>
      <c r="GMD13" s="21" t="n"/>
      <c r="GME13" s="21" t="n"/>
      <c r="GMF13" s="21" t="n"/>
      <c r="GMG13" s="21" t="n"/>
      <c r="GMH13" s="21" t="n"/>
      <c r="GMI13" s="21" t="n"/>
      <c r="GMJ13" s="21" t="n"/>
      <c r="GMK13" s="21" t="n"/>
      <c r="GML13" s="21" t="n"/>
      <c r="GMM13" s="21" t="n"/>
      <c r="GMN13" s="21" t="n"/>
      <c r="GMO13" s="21" t="n"/>
      <c r="GMP13" s="21" t="n"/>
      <c r="GMQ13" s="21" t="n"/>
      <c r="GMR13" s="21" t="n"/>
      <c r="GMS13" s="21" t="n"/>
      <c r="GMT13" s="21" t="n"/>
      <c r="GMU13" s="21" t="n"/>
      <c r="GMV13" s="21" t="n"/>
      <c r="GMW13" s="21" t="n"/>
      <c r="GMX13" s="21" t="n"/>
      <c r="GMY13" s="21" t="n"/>
      <c r="GMZ13" s="21" t="n"/>
      <c r="GNA13" s="21" t="n"/>
      <c r="GNB13" s="21" t="n"/>
      <c r="GNC13" s="21" t="n"/>
      <c r="GND13" s="21" t="n"/>
      <c r="GNE13" s="21" t="n"/>
      <c r="GNF13" s="21" t="n"/>
      <c r="GNG13" s="21" t="n"/>
      <c r="GNH13" s="21" t="n"/>
      <c r="GNI13" s="21" t="n"/>
      <c r="GNJ13" s="21" t="n"/>
      <c r="GNK13" s="21" t="n"/>
      <c r="GNL13" s="21" t="n"/>
      <c r="GNM13" s="21" t="n"/>
      <c r="GNN13" s="21" t="n"/>
      <c r="GNO13" s="21" t="n"/>
      <c r="GNP13" s="21" t="n"/>
      <c r="GNQ13" s="21" t="n"/>
      <c r="GNR13" s="21" t="n"/>
      <c r="GNS13" s="21" t="n"/>
      <c r="GNT13" s="21" t="n"/>
      <c r="GNU13" s="21" t="n"/>
      <c r="GNV13" s="21" t="n"/>
      <c r="GNW13" s="21" t="n"/>
      <c r="GNX13" s="21" t="n"/>
      <c r="GNY13" s="21" t="n"/>
      <c r="GNZ13" s="21" t="n"/>
      <c r="GOA13" s="21" t="n"/>
      <c r="GOB13" s="21" t="n"/>
      <c r="GOC13" s="21" t="n"/>
      <c r="GOD13" s="21" t="n"/>
      <c r="GOE13" s="21" t="n"/>
      <c r="GOF13" s="21" t="n"/>
      <c r="GOG13" s="21" t="n"/>
      <c r="GOH13" s="21" t="n"/>
      <c r="GOI13" s="21" t="n"/>
      <c r="GOJ13" s="21" t="n"/>
      <c r="GOK13" s="21" t="n"/>
      <c r="GOL13" s="21" t="n"/>
      <c r="GOM13" s="21" t="n"/>
      <c r="GON13" s="21" t="n"/>
      <c r="GOO13" s="21" t="n"/>
      <c r="GOP13" s="21" t="n"/>
      <c r="GOQ13" s="21" t="n"/>
      <c r="GOR13" s="21" t="n"/>
      <c r="GOS13" s="21" t="n"/>
      <c r="GOT13" s="21" t="n"/>
      <c r="GOU13" s="21" t="n"/>
      <c r="GOV13" s="21" t="n"/>
      <c r="GOW13" s="21" t="n"/>
      <c r="GOX13" s="21" t="n"/>
      <c r="GOY13" s="21" t="n"/>
      <c r="GOZ13" s="21" t="n"/>
      <c r="GPA13" s="21" t="n"/>
      <c r="GPB13" s="21" t="n"/>
      <c r="GPC13" s="21" t="n"/>
      <c r="GPD13" s="21" t="n"/>
      <c r="GPE13" s="21" t="n"/>
      <c r="GPF13" s="21" t="n"/>
      <c r="GPG13" s="21" t="n"/>
      <c r="GPH13" s="21" t="n"/>
      <c r="GPI13" s="21" t="n"/>
      <c r="GPJ13" s="21" t="n"/>
      <c r="GPK13" s="21" t="n"/>
      <c r="GPL13" s="21" t="n"/>
      <c r="GPM13" s="21" t="n"/>
      <c r="GPN13" s="21" t="n"/>
      <c r="GPO13" s="21" t="n"/>
      <c r="GPP13" s="21" t="n"/>
      <c r="GPQ13" s="21" t="n"/>
      <c r="GPR13" s="21" t="n"/>
      <c r="GPS13" s="21" t="n"/>
      <c r="GPT13" s="21" t="n"/>
      <c r="GPU13" s="21" t="n"/>
      <c r="GPV13" s="21" t="n"/>
      <c r="GPW13" s="21" t="n"/>
      <c r="GPX13" s="21" t="n"/>
      <c r="GPY13" s="21" t="n"/>
      <c r="GPZ13" s="21" t="n"/>
      <c r="GQA13" s="21" t="n"/>
      <c r="GQB13" s="21" t="n"/>
      <c r="GQC13" s="21" t="n"/>
      <c r="GQD13" s="21" t="n"/>
      <c r="GQE13" s="21" t="n"/>
      <c r="GQF13" s="21" t="n"/>
      <c r="GQG13" s="21" t="n"/>
      <c r="GQH13" s="21" t="n"/>
      <c r="GQI13" s="21" t="n"/>
      <c r="GQJ13" s="21" t="n"/>
      <c r="GQK13" s="21" t="n"/>
      <c r="GQL13" s="21" t="n"/>
      <c r="GQM13" s="21" t="n"/>
      <c r="GQN13" s="21" t="n"/>
      <c r="GQO13" s="21" t="n"/>
      <c r="GQP13" s="21" t="n"/>
      <c r="GQQ13" s="21" t="n"/>
      <c r="GQR13" s="21" t="n"/>
      <c r="GQS13" s="21" t="n"/>
      <c r="GQT13" s="21" t="n"/>
      <c r="GQU13" s="21" t="n"/>
      <c r="GQV13" s="21" t="n"/>
      <c r="GQW13" s="21" t="n"/>
      <c r="GQX13" s="21" t="n"/>
      <c r="GQY13" s="21" t="n"/>
      <c r="GQZ13" s="21" t="n"/>
      <c r="GRA13" s="21" t="n"/>
      <c r="GRB13" s="21" t="n"/>
      <c r="GRC13" s="21" t="n"/>
      <c r="GRD13" s="21" t="n"/>
      <c r="GRE13" s="21" t="n"/>
      <c r="GRF13" s="21" t="n"/>
      <c r="GRG13" s="21" t="n"/>
      <c r="GRH13" s="21" t="n"/>
      <c r="GRI13" s="21" t="n"/>
      <c r="GRJ13" s="21" t="n"/>
      <c r="GRK13" s="21" t="n"/>
      <c r="GRL13" s="21" t="n"/>
      <c r="GRM13" s="21" t="n"/>
      <c r="GRN13" s="21" t="n"/>
      <c r="GRO13" s="21" t="n"/>
      <c r="GRP13" s="21" t="n"/>
      <c r="GRQ13" s="21" t="n"/>
      <c r="GRR13" s="21" t="n"/>
      <c r="GRS13" s="21" t="n"/>
      <c r="GRT13" s="21" t="n"/>
      <c r="GRU13" s="21" t="n"/>
      <c r="GRV13" s="21" t="n"/>
      <c r="GRW13" s="21" t="n"/>
      <c r="GRX13" s="21" t="n"/>
      <c r="GRY13" s="21" t="n"/>
      <c r="GRZ13" s="21" t="n"/>
      <c r="GSA13" s="21" t="n"/>
      <c r="GSB13" s="21" t="n"/>
      <c r="GSC13" s="21" t="n"/>
      <c r="GSD13" s="21" t="n"/>
      <c r="GSE13" s="21" t="n"/>
      <c r="GSF13" s="21" t="n"/>
      <c r="GSG13" s="21" t="n"/>
      <c r="GSH13" s="21" t="n"/>
      <c r="GSI13" s="21" t="n"/>
      <c r="GSJ13" s="21" t="n"/>
      <c r="GSK13" s="21" t="n"/>
      <c r="GSL13" s="21" t="n"/>
      <c r="GSM13" s="21" t="n"/>
      <c r="GSN13" s="21" t="n"/>
      <c r="GSO13" s="21" t="n"/>
      <c r="GSP13" s="21" t="n"/>
      <c r="GSQ13" s="21" t="n"/>
      <c r="GSR13" s="21" t="n"/>
      <c r="GSS13" s="21" t="n"/>
      <c r="GST13" s="21" t="n"/>
      <c r="GSU13" s="21" t="n"/>
      <c r="GSV13" s="21" t="n"/>
      <c r="GSW13" s="21" t="n"/>
      <c r="GSX13" s="21" t="n"/>
      <c r="GSY13" s="21" t="n"/>
      <c r="GSZ13" s="21" t="n"/>
      <c r="GTA13" s="21" t="n"/>
      <c r="GTB13" s="21" t="n"/>
      <c r="GTC13" s="21" t="n"/>
      <c r="GTD13" s="21" t="n"/>
      <c r="GTE13" s="21" t="n"/>
      <c r="GTF13" s="21" t="n"/>
      <c r="GTG13" s="21" t="n"/>
      <c r="GTH13" s="21" t="n"/>
      <c r="GTI13" s="21" t="n"/>
      <c r="GTJ13" s="21" t="n"/>
      <c r="GTK13" s="21" t="n"/>
      <c r="GTL13" s="21" t="n"/>
      <c r="GTM13" s="21" t="n"/>
      <c r="GTN13" s="21" t="n"/>
      <c r="GTO13" s="21" t="n"/>
      <c r="GTP13" s="21" t="n"/>
      <c r="GTQ13" s="21" t="n"/>
      <c r="GTR13" s="21" t="n"/>
      <c r="GTS13" s="21" t="n"/>
      <c r="GTT13" s="21" t="n"/>
      <c r="GTU13" s="21" t="n"/>
      <c r="GTV13" s="21" t="n"/>
      <c r="GTW13" s="21" t="n"/>
      <c r="GTX13" s="21" t="n"/>
      <c r="GTY13" s="21" t="n"/>
      <c r="GTZ13" s="21" t="n"/>
      <c r="GUA13" s="21" t="n"/>
      <c r="GUB13" s="21" t="n"/>
      <c r="GUC13" s="21" t="n"/>
      <c r="GUD13" s="21" t="n"/>
      <c r="GUE13" s="21" t="n"/>
      <c r="GUF13" s="21" t="n"/>
      <c r="GUG13" s="21" t="n"/>
      <c r="GUH13" s="21" t="n"/>
      <c r="GUI13" s="21" t="n"/>
      <c r="GUJ13" s="21" t="n"/>
      <c r="GUK13" s="21" t="n"/>
      <c r="GUL13" s="21" t="n"/>
      <c r="GUM13" s="21" t="n"/>
      <c r="GUN13" s="21" t="n"/>
      <c r="GUO13" s="21" t="n"/>
      <c r="GUP13" s="21" t="n"/>
      <c r="GUQ13" s="21" t="n"/>
      <c r="GUR13" s="21" t="n"/>
      <c r="GUS13" s="21" t="n"/>
      <c r="GUT13" s="21" t="n"/>
      <c r="GUU13" s="21" t="n"/>
      <c r="GUV13" s="21" t="n"/>
      <c r="GUW13" s="21" t="n"/>
      <c r="GUX13" s="21" t="n"/>
      <c r="GUY13" s="21" t="n"/>
      <c r="GUZ13" s="21" t="n"/>
      <c r="GVA13" s="21" t="n"/>
      <c r="GVB13" s="21" t="n"/>
      <c r="GVC13" s="21" t="n"/>
      <c r="GVD13" s="21" t="n"/>
      <c r="GVE13" s="21" t="n"/>
      <c r="GVF13" s="21" t="n"/>
      <c r="GVG13" s="21" t="n"/>
      <c r="GVH13" s="21" t="n"/>
      <c r="GVI13" s="21" t="n"/>
      <c r="GVJ13" s="21" t="n"/>
      <c r="GVK13" s="21" t="n"/>
      <c r="GVL13" s="21" t="n"/>
      <c r="GVM13" s="21" t="n"/>
      <c r="GVN13" s="21" t="n"/>
      <c r="GVO13" s="21" t="n"/>
      <c r="GVP13" s="21" t="n"/>
      <c r="GVQ13" s="21" t="n"/>
      <c r="GVR13" s="21" t="n"/>
      <c r="GVS13" s="21" t="n"/>
      <c r="GVT13" s="21" t="n"/>
      <c r="GVU13" s="21" t="n"/>
      <c r="GVV13" s="21" t="n"/>
      <c r="GVW13" s="21" t="n"/>
      <c r="GVX13" s="21" t="n"/>
      <c r="GVY13" s="21" t="n"/>
      <c r="GVZ13" s="21" t="n"/>
      <c r="GWA13" s="21" t="n"/>
      <c r="GWB13" s="21" t="n"/>
      <c r="GWC13" s="21" t="n"/>
      <c r="GWD13" s="21" t="n"/>
      <c r="GWE13" s="21" t="n"/>
      <c r="GWF13" s="21" t="n"/>
      <c r="GWG13" s="21" t="n"/>
      <c r="GWH13" s="21" t="n"/>
      <c r="GWI13" s="21" t="n"/>
      <c r="GWJ13" s="21" t="n"/>
      <c r="GWK13" s="21" t="n"/>
      <c r="GWL13" s="21" t="n"/>
      <c r="GWM13" s="21" t="n"/>
      <c r="GWN13" s="21" t="n"/>
      <c r="GWO13" s="21" t="n"/>
      <c r="GWP13" s="21" t="n"/>
      <c r="GWQ13" s="21" t="n"/>
      <c r="GWR13" s="21" t="n"/>
      <c r="GWS13" s="21" t="n"/>
      <c r="GWT13" s="21" t="n"/>
      <c r="GWU13" s="21" t="n"/>
      <c r="GWV13" s="21" t="n"/>
      <c r="GWW13" s="21" t="n"/>
      <c r="GWX13" s="21" t="n"/>
      <c r="GWY13" s="21" t="n"/>
      <c r="GWZ13" s="21" t="n"/>
      <c r="GXA13" s="21" t="n"/>
      <c r="GXB13" s="21" t="n"/>
      <c r="GXC13" s="21" t="n"/>
      <c r="GXD13" s="21" t="n"/>
      <c r="GXE13" s="21" t="n"/>
      <c r="GXF13" s="21" t="n"/>
      <c r="GXG13" s="21" t="n"/>
      <c r="GXH13" s="21" t="n"/>
      <c r="GXI13" s="21" t="n"/>
      <c r="GXJ13" s="21" t="n"/>
      <c r="GXK13" s="21" t="n"/>
      <c r="GXL13" s="21" t="n"/>
      <c r="GXM13" s="21" t="n"/>
      <c r="GXN13" s="21" t="n"/>
      <c r="GXO13" s="21" t="n"/>
      <c r="GXP13" s="21" t="n"/>
      <c r="GXQ13" s="21" t="n"/>
      <c r="GXR13" s="21" t="n"/>
      <c r="GXS13" s="21" t="n"/>
      <c r="GXT13" s="21" t="n"/>
      <c r="GXU13" s="21" t="n"/>
      <c r="GXV13" s="21" t="n"/>
      <c r="GXW13" s="21" t="n"/>
      <c r="GXX13" s="21" t="n"/>
      <c r="GXY13" s="21" t="n"/>
      <c r="GXZ13" s="21" t="n"/>
      <c r="GYA13" s="21" t="n"/>
      <c r="GYB13" s="21" t="n"/>
      <c r="GYC13" s="21" t="n"/>
      <c r="GYD13" s="21" t="n"/>
      <c r="GYE13" s="21" t="n"/>
      <c r="GYF13" s="21" t="n"/>
      <c r="GYG13" s="21" t="n"/>
      <c r="GYH13" s="21" t="n"/>
      <c r="GYI13" s="21" t="n"/>
      <c r="GYJ13" s="21" t="n"/>
      <c r="GYK13" s="21" t="n"/>
      <c r="GYL13" s="21" t="n"/>
      <c r="GYM13" s="21" t="n"/>
      <c r="GYN13" s="21" t="n"/>
      <c r="GYO13" s="21" t="n"/>
      <c r="GYP13" s="21" t="n"/>
      <c r="GYQ13" s="21" t="n"/>
      <c r="GYR13" s="21" t="n"/>
      <c r="GYS13" s="21" t="n"/>
      <c r="GYT13" s="21" t="n"/>
      <c r="GYU13" s="21" t="n"/>
      <c r="GYV13" s="21" t="n"/>
      <c r="GYW13" s="21" t="n"/>
      <c r="GYX13" s="21" t="n"/>
      <c r="GYY13" s="21" t="n"/>
      <c r="GYZ13" s="21" t="n"/>
      <c r="GZA13" s="21" t="n"/>
      <c r="GZB13" s="21" t="n"/>
      <c r="GZC13" s="21" t="n"/>
      <c r="GZD13" s="21" t="n"/>
      <c r="GZE13" s="21" t="n"/>
      <c r="GZF13" s="21" t="n"/>
      <c r="GZG13" s="21" t="n"/>
      <c r="GZH13" s="21" t="n"/>
      <c r="GZI13" s="21" t="n"/>
      <c r="GZJ13" s="21" t="n"/>
      <c r="GZK13" s="21" t="n"/>
      <c r="GZL13" s="21" t="n"/>
      <c r="GZM13" s="21" t="n"/>
      <c r="GZN13" s="21" t="n"/>
      <c r="GZO13" s="21" t="n"/>
      <c r="GZP13" s="21" t="n"/>
      <c r="GZQ13" s="21" t="n"/>
      <c r="GZR13" s="21" t="n"/>
      <c r="GZS13" s="21" t="n"/>
      <c r="GZT13" s="21" t="n"/>
      <c r="GZU13" s="21" t="n"/>
      <c r="GZV13" s="21" t="n"/>
      <c r="GZW13" s="21" t="n"/>
      <c r="GZX13" s="21" t="n"/>
      <c r="GZY13" s="21" t="n"/>
      <c r="GZZ13" s="21" t="n"/>
      <c r="HAA13" s="21" t="n"/>
      <c r="HAB13" s="21" t="n"/>
      <c r="HAC13" s="21" t="n"/>
      <c r="HAD13" s="21" t="n"/>
      <c r="HAE13" s="21" t="n"/>
      <c r="HAF13" s="21" t="n"/>
      <c r="HAG13" s="21" t="n"/>
      <c r="HAH13" s="21" t="n"/>
      <c r="HAI13" s="21" t="n"/>
      <c r="HAJ13" s="21" t="n"/>
      <c r="HAK13" s="21" t="n"/>
      <c r="HAL13" s="21" t="n"/>
      <c r="HAM13" s="21" t="n"/>
      <c r="HAN13" s="21" t="n"/>
      <c r="HAO13" s="21" t="n"/>
      <c r="HAP13" s="21" t="n"/>
      <c r="HAQ13" s="21" t="n"/>
      <c r="HAR13" s="21" t="n"/>
      <c r="HAS13" s="21" t="n"/>
      <c r="HAT13" s="21" t="n"/>
      <c r="HAU13" s="21" t="n"/>
      <c r="HAV13" s="21" t="n"/>
      <c r="HAW13" s="21" t="n"/>
      <c r="HAX13" s="21" t="n"/>
      <c r="HAY13" s="21" t="n"/>
      <c r="HAZ13" s="21" t="n"/>
      <c r="HBA13" s="21" t="n"/>
      <c r="HBB13" s="21" t="n"/>
      <c r="HBC13" s="21" t="n"/>
      <c r="HBD13" s="21" t="n"/>
      <c r="HBE13" s="21" t="n"/>
      <c r="HBF13" s="21" t="n"/>
      <c r="HBG13" s="21" t="n"/>
      <c r="HBH13" s="21" t="n"/>
      <c r="HBI13" s="21" t="n"/>
      <c r="HBJ13" s="21" t="n"/>
      <c r="HBK13" s="21" t="n"/>
      <c r="HBL13" s="21" t="n"/>
      <c r="HBM13" s="21" t="n"/>
      <c r="HBN13" s="21" t="n"/>
      <c r="HBO13" s="21" t="n"/>
      <c r="HBP13" s="21" t="n"/>
      <c r="HBQ13" s="21" t="n"/>
      <c r="HBR13" s="21" t="n"/>
      <c r="HBS13" s="21" t="n"/>
      <c r="HBT13" s="21" t="n"/>
      <c r="HBU13" s="21" t="n"/>
      <c r="HBV13" s="21" t="n"/>
      <c r="HBW13" s="21" t="n"/>
      <c r="HBX13" s="21" t="n"/>
      <c r="HBY13" s="21" t="n"/>
      <c r="HBZ13" s="21" t="n"/>
      <c r="HCA13" s="21" t="n"/>
      <c r="HCB13" s="21" t="n"/>
      <c r="HCC13" s="21" t="n"/>
      <c r="HCD13" s="21" t="n"/>
      <c r="HCE13" s="21" t="n"/>
      <c r="HCF13" s="21" t="n"/>
      <c r="HCG13" s="21" t="n"/>
      <c r="HCH13" s="21" t="n"/>
      <c r="HCI13" s="21" t="n"/>
      <c r="HCJ13" s="21" t="n"/>
      <c r="HCK13" s="21" t="n"/>
      <c r="HCL13" s="21" t="n"/>
      <c r="HCM13" s="21" t="n"/>
      <c r="HCN13" s="21" t="n"/>
      <c r="HCO13" s="21" t="n"/>
      <c r="HCP13" s="21" t="n"/>
      <c r="HCQ13" s="21" t="n"/>
      <c r="HCR13" s="21" t="n"/>
      <c r="HCS13" s="21" t="n"/>
      <c r="HCT13" s="21" t="n"/>
      <c r="HCU13" s="21" t="n"/>
      <c r="HCV13" s="21" t="n"/>
      <c r="HCW13" s="21" t="n"/>
      <c r="HCX13" s="21" t="n"/>
      <c r="HCY13" s="21" t="n"/>
      <c r="HCZ13" s="21" t="n"/>
      <c r="HDA13" s="21" t="n"/>
      <c r="HDB13" s="21" t="n"/>
      <c r="HDC13" s="21" t="n"/>
      <c r="HDD13" s="21" t="n"/>
      <c r="HDE13" s="21" t="n"/>
      <c r="HDF13" s="21" t="n"/>
      <c r="HDG13" s="21" t="n"/>
      <c r="HDH13" s="21" t="n"/>
      <c r="HDI13" s="21" t="n"/>
      <c r="HDJ13" s="21" t="n"/>
      <c r="HDK13" s="21" t="n"/>
      <c r="HDL13" s="21" t="n"/>
      <c r="HDM13" s="21" t="n"/>
      <c r="HDN13" s="21" t="n"/>
      <c r="HDO13" s="21" t="n"/>
      <c r="HDP13" s="21" t="n"/>
      <c r="HDQ13" s="21" t="n"/>
      <c r="HDR13" s="21" t="n"/>
      <c r="HDS13" s="21" t="n"/>
      <c r="HDT13" s="21" t="n"/>
      <c r="HDU13" s="21" t="n"/>
      <c r="HDV13" s="21" t="n"/>
      <c r="HDW13" s="21" t="n"/>
      <c r="HDX13" s="21" t="n"/>
      <c r="HDY13" s="21" t="n"/>
      <c r="HDZ13" s="21" t="n"/>
      <c r="HEA13" s="21" t="n"/>
      <c r="HEB13" s="21" t="n"/>
      <c r="HEC13" s="21" t="n"/>
      <c r="HED13" s="21" t="n"/>
      <c r="HEE13" s="21" t="n"/>
      <c r="HEF13" s="21" t="n"/>
      <c r="HEG13" s="21" t="n"/>
      <c r="HEH13" s="21" t="n"/>
      <c r="HEI13" s="21" t="n"/>
      <c r="HEJ13" s="21" t="n"/>
      <c r="HEK13" s="21" t="n"/>
      <c r="HEL13" s="21" t="n"/>
      <c r="HEM13" s="21" t="n"/>
      <c r="HEN13" s="21" t="n"/>
      <c r="HEO13" s="21" t="n"/>
      <c r="HEP13" s="21" t="n"/>
      <c r="HEQ13" s="21" t="n"/>
      <c r="HER13" s="21" t="n"/>
      <c r="HES13" s="21" t="n"/>
      <c r="HET13" s="21" t="n"/>
      <c r="HEU13" s="21" t="n"/>
      <c r="HEV13" s="21" t="n"/>
      <c r="HEW13" s="21" t="n"/>
      <c r="HEX13" s="21" t="n"/>
      <c r="HEY13" s="21" t="n"/>
      <c r="HEZ13" s="21" t="n"/>
      <c r="HFA13" s="21" t="n"/>
      <c r="HFB13" s="21" t="n"/>
      <c r="HFC13" s="21" t="n"/>
      <c r="HFD13" s="21" t="n"/>
      <c r="HFE13" s="21" t="n"/>
      <c r="HFF13" s="21" t="n"/>
      <c r="HFG13" s="21" t="n"/>
      <c r="HFH13" s="21" t="n"/>
      <c r="HFI13" s="21" t="n"/>
      <c r="HFJ13" s="21" t="n"/>
      <c r="HFK13" s="21" t="n"/>
      <c r="HFL13" s="21" t="n"/>
      <c r="HFM13" s="21" t="n"/>
      <c r="HFN13" s="21" t="n"/>
      <c r="HFO13" s="21" t="n"/>
      <c r="HFP13" s="21" t="n"/>
      <c r="HFQ13" s="21" t="n"/>
      <c r="HFR13" s="21" t="n"/>
      <c r="HFS13" s="21" t="n"/>
      <c r="HFT13" s="21" t="n"/>
      <c r="HFU13" s="21" t="n"/>
      <c r="HFV13" s="21" t="n"/>
      <c r="HFW13" s="21" t="n"/>
      <c r="HFX13" s="21" t="n"/>
      <c r="HFY13" s="21" t="n"/>
      <c r="HFZ13" s="21" t="n"/>
      <c r="HGA13" s="21" t="n"/>
      <c r="HGB13" s="21" t="n"/>
      <c r="HGC13" s="21" t="n"/>
      <c r="HGD13" s="21" t="n"/>
      <c r="HGE13" s="21" t="n"/>
      <c r="HGF13" s="21" t="n"/>
      <c r="HGG13" s="21" t="n"/>
      <c r="HGH13" s="21" t="n"/>
      <c r="HGI13" s="21" t="n"/>
      <c r="HGJ13" s="21" t="n"/>
      <c r="HGK13" s="21" t="n"/>
      <c r="HGL13" s="21" t="n"/>
      <c r="HGM13" s="21" t="n"/>
      <c r="HGN13" s="21" t="n"/>
      <c r="HGO13" s="21" t="n"/>
      <c r="HGP13" s="21" t="n"/>
      <c r="HGQ13" s="21" t="n"/>
      <c r="HGR13" s="21" t="n"/>
      <c r="HGS13" s="21" t="n"/>
      <c r="HGT13" s="21" t="n"/>
      <c r="HGU13" s="21" t="n"/>
      <c r="HGV13" s="21" t="n"/>
      <c r="HGW13" s="21" t="n"/>
      <c r="HGX13" s="21" t="n"/>
      <c r="HGY13" s="21" t="n"/>
      <c r="HGZ13" s="21" t="n"/>
      <c r="HHA13" s="21" t="n"/>
      <c r="HHB13" s="21" t="n"/>
      <c r="HHC13" s="21" t="n"/>
      <c r="HHD13" s="21" t="n"/>
      <c r="HHE13" s="21" t="n"/>
      <c r="HHF13" s="21" t="n"/>
      <c r="HHG13" s="21" t="n"/>
      <c r="HHH13" s="21" t="n"/>
      <c r="HHI13" s="21" t="n"/>
      <c r="HHJ13" s="21" t="n"/>
      <c r="HHK13" s="21" t="n"/>
      <c r="HHL13" s="21" t="n"/>
      <c r="HHM13" s="21" t="n"/>
      <c r="HHN13" s="21" t="n"/>
      <c r="HHO13" s="21" t="n"/>
      <c r="HHP13" s="21" t="n"/>
      <c r="HHQ13" s="21" t="n"/>
      <c r="HHR13" s="21" t="n"/>
      <c r="HHS13" s="21" t="n"/>
      <c r="HHT13" s="21" t="n"/>
      <c r="HHU13" s="21" t="n"/>
      <c r="HHV13" s="21" t="n"/>
      <c r="HHW13" s="21" t="n"/>
      <c r="HHX13" s="21" t="n"/>
      <c r="HHY13" s="21" t="n"/>
      <c r="HHZ13" s="21" t="n"/>
      <c r="HIA13" s="21" t="n"/>
      <c r="HIB13" s="21" t="n"/>
      <c r="HIC13" s="21" t="n"/>
      <c r="HID13" s="21" t="n"/>
      <c r="HIE13" s="21" t="n"/>
      <c r="HIF13" s="21" t="n"/>
      <c r="HIG13" s="21" t="n"/>
      <c r="HIH13" s="21" t="n"/>
      <c r="HII13" s="21" t="n"/>
      <c r="HIJ13" s="21" t="n"/>
      <c r="HIK13" s="21" t="n"/>
      <c r="HIL13" s="21" t="n"/>
      <c r="HIM13" s="21" t="n"/>
      <c r="HIN13" s="21" t="n"/>
      <c r="HIO13" s="21" t="n"/>
      <c r="HIP13" s="21" t="n"/>
      <c r="HIQ13" s="21" t="n"/>
      <c r="HIR13" s="21" t="n"/>
      <c r="HIS13" s="21" t="n"/>
      <c r="HIT13" s="21" t="n"/>
      <c r="HIU13" s="21" t="n"/>
      <c r="HIV13" s="21" t="n"/>
      <c r="HIW13" s="21" t="n"/>
      <c r="HIX13" s="21" t="n"/>
      <c r="HIY13" s="21" t="n"/>
      <c r="HIZ13" s="21" t="n"/>
      <c r="HJA13" s="21" t="n"/>
      <c r="HJB13" s="21" t="n"/>
      <c r="HJC13" s="21" t="n"/>
      <c r="HJD13" s="21" t="n"/>
      <c r="HJE13" s="21" t="n"/>
      <c r="HJF13" s="21" t="n"/>
      <c r="HJG13" s="21" t="n"/>
      <c r="HJH13" s="21" t="n"/>
      <c r="HJI13" s="21" t="n"/>
      <c r="HJJ13" s="21" t="n"/>
      <c r="HJK13" s="21" t="n"/>
      <c r="HJL13" s="21" t="n"/>
      <c r="HJM13" s="21" t="n"/>
      <c r="HJN13" s="21" t="n"/>
      <c r="HJO13" s="21" t="n"/>
      <c r="HJP13" s="21" t="n"/>
      <c r="HJQ13" s="21" t="n"/>
      <c r="HJR13" s="21" t="n"/>
      <c r="HJS13" s="21" t="n"/>
      <c r="HJT13" s="21" t="n"/>
      <c r="HJU13" s="21" t="n"/>
      <c r="HJV13" s="21" t="n"/>
      <c r="HJW13" s="21" t="n"/>
      <c r="HJX13" s="21" t="n"/>
      <c r="HJY13" s="21" t="n"/>
      <c r="HJZ13" s="21" t="n"/>
      <c r="HKA13" s="21" t="n"/>
      <c r="HKB13" s="21" t="n"/>
      <c r="HKC13" s="21" t="n"/>
      <c r="HKD13" s="21" t="n"/>
      <c r="HKE13" s="21" t="n"/>
      <c r="HKF13" s="21" t="n"/>
      <c r="HKG13" s="21" t="n"/>
      <c r="HKH13" s="21" t="n"/>
      <c r="HKI13" s="21" t="n"/>
      <c r="HKJ13" s="21" t="n"/>
      <c r="HKK13" s="21" t="n"/>
      <c r="HKL13" s="21" t="n"/>
      <c r="HKM13" s="21" t="n"/>
      <c r="HKN13" s="21" t="n"/>
      <c r="HKO13" s="21" t="n"/>
      <c r="HKP13" s="21" t="n"/>
      <c r="HKQ13" s="21" t="n"/>
      <c r="HKR13" s="21" t="n"/>
      <c r="HKS13" s="21" t="n"/>
      <c r="HKT13" s="21" t="n"/>
      <c r="HKU13" s="21" t="n"/>
      <c r="HKV13" s="21" t="n"/>
      <c r="HKW13" s="21" t="n"/>
      <c r="HKX13" s="21" t="n"/>
      <c r="HKY13" s="21" t="n"/>
      <c r="HKZ13" s="21" t="n"/>
      <c r="HLA13" s="21" t="n"/>
      <c r="HLB13" s="21" t="n"/>
      <c r="HLC13" s="21" t="n"/>
      <c r="HLD13" s="21" t="n"/>
      <c r="HLE13" s="21" t="n"/>
      <c r="HLF13" s="21" t="n"/>
      <c r="HLG13" s="21" t="n"/>
      <c r="HLH13" s="21" t="n"/>
      <c r="HLI13" s="21" t="n"/>
      <c r="HLJ13" s="21" t="n"/>
      <c r="HLK13" s="21" t="n"/>
      <c r="HLL13" s="21" t="n"/>
      <c r="HLM13" s="21" t="n"/>
      <c r="HLN13" s="21" t="n"/>
      <c r="HLO13" s="21" t="n"/>
      <c r="HLP13" s="21" t="n"/>
      <c r="HLQ13" s="21" t="n"/>
      <c r="HLR13" s="21" t="n"/>
      <c r="HLS13" s="21" t="n"/>
      <c r="HLT13" s="21" t="n"/>
      <c r="HLU13" s="21" t="n"/>
      <c r="HLV13" s="21" t="n"/>
      <c r="HLW13" s="21" t="n"/>
      <c r="HLX13" s="21" t="n"/>
      <c r="HLY13" s="21" t="n"/>
      <c r="HLZ13" s="21" t="n"/>
      <c r="HMA13" s="21" t="n"/>
      <c r="HMB13" s="21" t="n"/>
      <c r="HMC13" s="21" t="n"/>
      <c r="HMD13" s="21" t="n"/>
      <c r="HME13" s="21" t="n"/>
      <c r="HMF13" s="21" t="n"/>
      <c r="HMG13" s="21" t="n"/>
      <c r="HMH13" s="21" t="n"/>
      <c r="HMI13" s="21" t="n"/>
      <c r="HMJ13" s="21" t="n"/>
      <c r="HMK13" s="21" t="n"/>
      <c r="HML13" s="21" t="n"/>
      <c r="HMM13" s="21" t="n"/>
      <c r="HMN13" s="21" t="n"/>
      <c r="HMO13" s="21" t="n"/>
      <c r="HMP13" s="21" t="n"/>
      <c r="HMQ13" s="21" t="n"/>
      <c r="HMR13" s="21" t="n"/>
      <c r="HMS13" s="21" t="n"/>
      <c r="HMT13" s="21" t="n"/>
      <c r="HMU13" s="21" t="n"/>
      <c r="HMV13" s="21" t="n"/>
      <c r="HMW13" s="21" t="n"/>
      <c r="HMX13" s="21" t="n"/>
      <c r="HMY13" s="21" t="n"/>
      <c r="HMZ13" s="21" t="n"/>
      <c r="HNA13" s="21" t="n"/>
      <c r="HNB13" s="21" t="n"/>
      <c r="HNC13" s="21" t="n"/>
      <c r="HND13" s="21" t="n"/>
      <c r="HNE13" s="21" t="n"/>
      <c r="HNF13" s="21" t="n"/>
      <c r="HNG13" s="21" t="n"/>
      <c r="HNH13" s="21" t="n"/>
      <c r="HNI13" s="21" t="n"/>
      <c r="HNJ13" s="21" t="n"/>
      <c r="HNK13" s="21" t="n"/>
      <c r="HNL13" s="21" t="n"/>
      <c r="HNM13" s="21" t="n"/>
      <c r="HNN13" s="21" t="n"/>
      <c r="HNO13" s="21" t="n"/>
      <c r="HNP13" s="21" t="n"/>
      <c r="HNQ13" s="21" t="n"/>
      <c r="HNR13" s="21" t="n"/>
      <c r="HNS13" s="21" t="n"/>
      <c r="HNT13" s="21" t="n"/>
      <c r="HNU13" s="21" t="n"/>
      <c r="HNV13" s="21" t="n"/>
      <c r="HNW13" s="21" t="n"/>
      <c r="HNX13" s="21" t="n"/>
      <c r="HNY13" s="21" t="n"/>
      <c r="HNZ13" s="21" t="n"/>
      <c r="HOA13" s="21" t="n"/>
      <c r="HOB13" s="21" t="n"/>
      <c r="HOC13" s="21" t="n"/>
      <c r="HOD13" s="21" t="n"/>
      <c r="HOE13" s="21" t="n"/>
      <c r="HOF13" s="21" t="n"/>
      <c r="HOG13" s="21" t="n"/>
      <c r="HOH13" s="21" t="n"/>
      <c r="HOI13" s="21" t="n"/>
      <c r="HOJ13" s="21" t="n"/>
      <c r="HOK13" s="21" t="n"/>
      <c r="HOL13" s="21" t="n"/>
      <c r="HOM13" s="21" t="n"/>
      <c r="HON13" s="21" t="n"/>
      <c r="HOO13" s="21" t="n"/>
      <c r="HOP13" s="21" t="n"/>
      <c r="HOQ13" s="21" t="n"/>
      <c r="HOR13" s="21" t="n"/>
      <c r="HOS13" s="21" t="n"/>
      <c r="HOT13" s="21" t="n"/>
      <c r="HOU13" s="21" t="n"/>
      <c r="HOV13" s="21" t="n"/>
      <c r="HOW13" s="21" t="n"/>
      <c r="HOX13" s="21" t="n"/>
      <c r="HOY13" s="21" t="n"/>
      <c r="HOZ13" s="21" t="n"/>
      <c r="HPA13" s="21" t="n"/>
      <c r="HPB13" s="21" t="n"/>
      <c r="HPC13" s="21" t="n"/>
      <c r="HPD13" s="21" t="n"/>
      <c r="HPE13" s="21" t="n"/>
      <c r="HPF13" s="21" t="n"/>
      <c r="HPG13" s="21" t="n"/>
      <c r="HPH13" s="21" t="n"/>
      <c r="HPI13" s="21" t="n"/>
      <c r="HPJ13" s="21" t="n"/>
      <c r="HPK13" s="21" t="n"/>
      <c r="HPL13" s="21" t="n"/>
      <c r="HPM13" s="21" t="n"/>
      <c r="HPN13" s="21" t="n"/>
      <c r="HPO13" s="21" t="n"/>
      <c r="HPP13" s="21" t="n"/>
      <c r="HPQ13" s="21" t="n"/>
      <c r="HPR13" s="21" t="n"/>
      <c r="HPS13" s="21" t="n"/>
      <c r="HPT13" s="21" t="n"/>
      <c r="HPU13" s="21" t="n"/>
      <c r="HPV13" s="21" t="n"/>
      <c r="HPW13" s="21" t="n"/>
      <c r="HPX13" s="21" t="n"/>
      <c r="HPY13" s="21" t="n"/>
      <c r="HPZ13" s="21" t="n"/>
      <c r="HQA13" s="21" t="n"/>
      <c r="HQB13" s="21" t="n"/>
      <c r="HQC13" s="21" t="n"/>
      <c r="HQD13" s="21" t="n"/>
      <c r="HQE13" s="21" t="n"/>
      <c r="HQF13" s="21" t="n"/>
      <c r="HQG13" s="21" t="n"/>
      <c r="HQH13" s="21" t="n"/>
      <c r="HQI13" s="21" t="n"/>
      <c r="HQJ13" s="21" t="n"/>
      <c r="HQK13" s="21" t="n"/>
      <c r="HQL13" s="21" t="n"/>
      <c r="HQM13" s="21" t="n"/>
      <c r="HQN13" s="21" t="n"/>
      <c r="HQO13" s="21" t="n"/>
      <c r="HQP13" s="21" t="n"/>
      <c r="HQQ13" s="21" t="n"/>
      <c r="HQR13" s="21" t="n"/>
      <c r="HQS13" s="21" t="n"/>
      <c r="HQT13" s="21" t="n"/>
      <c r="HQU13" s="21" t="n"/>
      <c r="HQV13" s="21" t="n"/>
      <c r="HQW13" s="21" t="n"/>
      <c r="HQX13" s="21" t="n"/>
      <c r="HQY13" s="21" t="n"/>
      <c r="HQZ13" s="21" t="n"/>
      <c r="HRA13" s="21" t="n"/>
      <c r="HRB13" s="21" t="n"/>
      <c r="HRC13" s="21" t="n"/>
      <c r="HRD13" s="21" t="n"/>
      <c r="HRE13" s="21" t="n"/>
      <c r="HRF13" s="21" t="n"/>
      <c r="HRG13" s="21" t="n"/>
      <c r="HRH13" s="21" t="n"/>
      <c r="HRI13" s="21" t="n"/>
      <c r="HRJ13" s="21" t="n"/>
      <c r="HRK13" s="21" t="n"/>
      <c r="HRL13" s="21" t="n"/>
      <c r="HRM13" s="21" t="n"/>
      <c r="HRN13" s="21" t="n"/>
      <c r="HRO13" s="21" t="n"/>
      <c r="HRP13" s="21" t="n"/>
      <c r="HRQ13" s="21" t="n"/>
      <c r="HRR13" s="21" t="n"/>
      <c r="HRS13" s="21" t="n"/>
      <c r="HRT13" s="21" t="n"/>
      <c r="HRU13" s="21" t="n"/>
      <c r="HRV13" s="21" t="n"/>
      <c r="HRW13" s="21" t="n"/>
      <c r="HRX13" s="21" t="n"/>
      <c r="HRY13" s="21" t="n"/>
      <c r="HRZ13" s="21" t="n"/>
      <c r="HSA13" s="21" t="n"/>
      <c r="HSB13" s="21" t="n"/>
      <c r="HSC13" s="21" t="n"/>
      <c r="HSD13" s="21" t="n"/>
      <c r="HSE13" s="21" t="n"/>
      <c r="HSF13" s="21" t="n"/>
      <c r="HSG13" s="21" t="n"/>
      <c r="HSH13" s="21" t="n"/>
      <c r="HSI13" s="21" t="n"/>
      <c r="HSJ13" s="21" t="n"/>
      <c r="HSK13" s="21" t="n"/>
      <c r="HSL13" s="21" t="n"/>
      <c r="HSM13" s="21" t="n"/>
      <c r="HSN13" s="21" t="n"/>
      <c r="HSO13" s="21" t="n"/>
      <c r="HSP13" s="21" t="n"/>
      <c r="HSQ13" s="21" t="n"/>
      <c r="HSR13" s="21" t="n"/>
      <c r="HSS13" s="21" t="n"/>
      <c r="HST13" s="21" t="n"/>
      <c r="HSU13" s="21" t="n"/>
      <c r="HSV13" s="21" t="n"/>
      <c r="HSW13" s="21" t="n"/>
      <c r="HSX13" s="21" t="n"/>
      <c r="HSY13" s="21" t="n"/>
      <c r="HSZ13" s="21" t="n"/>
      <c r="HTA13" s="21" t="n"/>
      <c r="HTB13" s="21" t="n"/>
      <c r="HTC13" s="21" t="n"/>
      <c r="HTD13" s="21" t="n"/>
      <c r="HTE13" s="21" t="n"/>
      <c r="HTF13" s="21" t="n"/>
      <c r="HTG13" s="21" t="n"/>
      <c r="HTH13" s="21" t="n"/>
      <c r="HTI13" s="21" t="n"/>
      <c r="HTJ13" s="21" t="n"/>
      <c r="HTK13" s="21" t="n"/>
      <c r="HTL13" s="21" t="n"/>
      <c r="HTM13" s="21" t="n"/>
      <c r="HTN13" s="21" t="n"/>
      <c r="HTO13" s="21" t="n"/>
      <c r="HTP13" s="21" t="n"/>
      <c r="HTQ13" s="21" t="n"/>
      <c r="HTR13" s="21" t="n"/>
      <c r="HTS13" s="21" t="n"/>
      <c r="HTT13" s="21" t="n"/>
      <c r="HTU13" s="21" t="n"/>
      <c r="HTV13" s="21" t="n"/>
      <c r="HTW13" s="21" t="n"/>
      <c r="HTX13" s="21" t="n"/>
      <c r="HTY13" s="21" t="n"/>
      <c r="HTZ13" s="21" t="n"/>
      <c r="HUA13" s="21" t="n"/>
      <c r="HUB13" s="21" t="n"/>
      <c r="HUC13" s="21" t="n"/>
      <c r="HUD13" s="21" t="n"/>
      <c r="HUE13" s="21" t="n"/>
      <c r="HUF13" s="21" t="n"/>
      <c r="HUG13" s="21" t="n"/>
      <c r="HUH13" s="21" t="n"/>
      <c r="HUI13" s="21" t="n"/>
      <c r="HUJ13" s="21" t="n"/>
      <c r="HUK13" s="21" t="n"/>
      <c r="HUL13" s="21" t="n"/>
      <c r="HUM13" s="21" t="n"/>
      <c r="HUN13" s="21" t="n"/>
      <c r="HUO13" s="21" t="n"/>
      <c r="HUP13" s="21" t="n"/>
      <c r="HUQ13" s="21" t="n"/>
      <c r="HUR13" s="21" t="n"/>
      <c r="HUS13" s="21" t="n"/>
      <c r="HUT13" s="21" t="n"/>
      <c r="HUU13" s="21" t="n"/>
      <c r="HUV13" s="21" t="n"/>
      <c r="HUW13" s="21" t="n"/>
      <c r="HUX13" s="21" t="n"/>
      <c r="HUY13" s="21" t="n"/>
      <c r="HUZ13" s="21" t="n"/>
      <c r="HVA13" s="21" t="n"/>
      <c r="HVB13" s="21" t="n"/>
      <c r="HVC13" s="21" t="n"/>
      <c r="HVD13" s="21" t="n"/>
      <c r="HVE13" s="21" t="n"/>
      <c r="HVF13" s="21" t="n"/>
      <c r="HVG13" s="21" t="n"/>
      <c r="HVH13" s="21" t="n"/>
      <c r="HVI13" s="21" t="n"/>
      <c r="HVJ13" s="21" t="n"/>
      <c r="HVK13" s="21" t="n"/>
      <c r="HVL13" s="21" t="n"/>
      <c r="HVM13" s="21" t="n"/>
      <c r="HVN13" s="21" t="n"/>
      <c r="HVO13" s="21" t="n"/>
      <c r="HVP13" s="21" t="n"/>
      <c r="HVQ13" s="21" t="n"/>
      <c r="HVR13" s="21" t="n"/>
      <c r="HVS13" s="21" t="n"/>
      <c r="HVT13" s="21" t="n"/>
      <c r="HVU13" s="21" t="n"/>
      <c r="HVV13" s="21" t="n"/>
      <c r="HVW13" s="21" t="n"/>
      <c r="HVX13" s="21" t="n"/>
      <c r="HVY13" s="21" t="n"/>
      <c r="HVZ13" s="21" t="n"/>
      <c r="HWA13" s="21" t="n"/>
      <c r="HWB13" s="21" t="n"/>
      <c r="HWC13" s="21" t="n"/>
      <c r="HWD13" s="21" t="n"/>
      <c r="HWE13" s="21" t="n"/>
      <c r="HWF13" s="21" t="n"/>
      <c r="HWG13" s="21" t="n"/>
      <c r="HWH13" s="21" t="n"/>
      <c r="HWI13" s="21" t="n"/>
      <c r="HWJ13" s="21" t="n"/>
      <c r="HWK13" s="21" t="n"/>
      <c r="HWL13" s="21" t="n"/>
      <c r="HWM13" s="21" t="n"/>
      <c r="HWN13" s="21" t="n"/>
      <c r="HWO13" s="21" t="n"/>
      <c r="HWP13" s="21" t="n"/>
      <c r="HWQ13" s="21" t="n"/>
      <c r="HWR13" s="21" t="n"/>
      <c r="HWS13" s="21" t="n"/>
      <c r="HWT13" s="21" t="n"/>
      <c r="HWU13" s="21" t="n"/>
      <c r="HWV13" s="21" t="n"/>
      <c r="HWW13" s="21" t="n"/>
      <c r="HWX13" s="21" t="n"/>
      <c r="HWY13" s="21" t="n"/>
      <c r="HWZ13" s="21" t="n"/>
      <c r="HXA13" s="21" t="n"/>
      <c r="HXB13" s="21" t="n"/>
      <c r="HXC13" s="21" t="n"/>
      <c r="HXD13" s="21" t="n"/>
      <c r="HXE13" s="21" t="n"/>
      <c r="HXF13" s="21" t="n"/>
      <c r="HXG13" s="21" t="n"/>
      <c r="HXH13" s="21" t="n"/>
      <c r="HXI13" s="21" t="n"/>
      <c r="HXJ13" s="21" t="n"/>
      <c r="HXK13" s="21" t="n"/>
      <c r="HXL13" s="21" t="n"/>
      <c r="HXM13" s="21" t="n"/>
      <c r="HXN13" s="21" t="n"/>
      <c r="HXO13" s="21" t="n"/>
      <c r="HXP13" s="21" t="n"/>
      <c r="HXQ13" s="21" t="n"/>
      <c r="HXR13" s="21" t="n"/>
      <c r="HXS13" s="21" t="n"/>
      <c r="HXT13" s="21" t="n"/>
      <c r="HXU13" s="21" t="n"/>
      <c r="HXV13" s="21" t="n"/>
      <c r="HXW13" s="21" t="n"/>
      <c r="HXX13" s="21" t="n"/>
      <c r="HXY13" s="21" t="n"/>
      <c r="HXZ13" s="21" t="n"/>
      <c r="HYA13" s="21" t="n"/>
      <c r="HYB13" s="21" t="n"/>
      <c r="HYC13" s="21" t="n"/>
      <c r="HYD13" s="21" t="n"/>
      <c r="HYE13" s="21" t="n"/>
      <c r="HYF13" s="21" t="n"/>
      <c r="HYG13" s="21" t="n"/>
      <c r="HYH13" s="21" t="n"/>
      <c r="HYI13" s="21" t="n"/>
      <c r="HYJ13" s="21" t="n"/>
      <c r="HYK13" s="21" t="n"/>
      <c r="HYL13" s="21" t="n"/>
      <c r="HYM13" s="21" t="n"/>
      <c r="HYN13" s="21" t="n"/>
      <c r="HYO13" s="21" t="n"/>
      <c r="HYP13" s="21" t="n"/>
      <c r="HYQ13" s="21" t="n"/>
      <c r="HYR13" s="21" t="n"/>
      <c r="HYS13" s="21" t="n"/>
      <c r="HYT13" s="21" t="n"/>
      <c r="HYU13" s="21" t="n"/>
      <c r="HYV13" s="21" t="n"/>
      <c r="HYW13" s="21" t="n"/>
      <c r="HYX13" s="21" t="n"/>
      <c r="HYY13" s="21" t="n"/>
      <c r="HYZ13" s="21" t="n"/>
      <c r="HZA13" s="21" t="n"/>
      <c r="HZB13" s="21" t="n"/>
      <c r="HZC13" s="21" t="n"/>
      <c r="HZD13" s="21" t="n"/>
      <c r="HZE13" s="21" t="n"/>
      <c r="HZF13" s="21" t="n"/>
      <c r="HZG13" s="21" t="n"/>
      <c r="HZH13" s="21" t="n"/>
      <c r="HZI13" s="21" t="n"/>
      <c r="HZJ13" s="21" t="n"/>
      <c r="HZK13" s="21" t="n"/>
      <c r="HZL13" s="21" t="n"/>
      <c r="HZM13" s="21" t="n"/>
      <c r="HZN13" s="21" t="n"/>
      <c r="HZO13" s="21" t="n"/>
      <c r="HZP13" s="21" t="n"/>
      <c r="HZQ13" s="21" t="n"/>
      <c r="HZR13" s="21" t="n"/>
      <c r="HZS13" s="21" t="n"/>
      <c r="HZT13" s="21" t="n"/>
      <c r="HZU13" s="21" t="n"/>
      <c r="HZV13" s="21" t="n"/>
      <c r="HZW13" s="21" t="n"/>
      <c r="HZX13" s="21" t="n"/>
      <c r="HZY13" s="21" t="n"/>
      <c r="HZZ13" s="21" t="n"/>
      <c r="IAA13" s="21" t="n"/>
      <c r="IAB13" s="21" t="n"/>
      <c r="IAC13" s="21" t="n"/>
      <c r="IAD13" s="21" t="n"/>
      <c r="IAE13" s="21" t="n"/>
      <c r="IAF13" s="21" t="n"/>
      <c r="IAG13" s="21" t="n"/>
      <c r="IAH13" s="21" t="n"/>
      <c r="IAI13" s="21" t="n"/>
      <c r="IAJ13" s="21" t="n"/>
      <c r="IAK13" s="21" t="n"/>
      <c r="IAL13" s="21" t="n"/>
      <c r="IAM13" s="21" t="n"/>
      <c r="IAN13" s="21" t="n"/>
      <c r="IAO13" s="21" t="n"/>
      <c r="IAP13" s="21" t="n"/>
      <c r="IAQ13" s="21" t="n"/>
      <c r="IAR13" s="21" t="n"/>
      <c r="IAS13" s="21" t="n"/>
      <c r="IAT13" s="21" t="n"/>
      <c r="IAU13" s="21" t="n"/>
      <c r="IAV13" s="21" t="n"/>
      <c r="IAW13" s="21" t="n"/>
      <c r="IAX13" s="21" t="n"/>
      <c r="IAY13" s="21" t="n"/>
      <c r="IAZ13" s="21" t="n"/>
      <c r="IBA13" s="21" t="n"/>
      <c r="IBB13" s="21" t="n"/>
      <c r="IBC13" s="21" t="n"/>
      <c r="IBD13" s="21" t="n"/>
      <c r="IBE13" s="21" t="n"/>
      <c r="IBF13" s="21" t="n"/>
      <c r="IBG13" s="21" t="n"/>
      <c r="IBH13" s="21" t="n"/>
      <c r="IBI13" s="21" t="n"/>
      <c r="IBJ13" s="21" t="n"/>
      <c r="IBK13" s="21" t="n"/>
      <c r="IBL13" s="21" t="n"/>
      <c r="IBM13" s="21" t="n"/>
      <c r="IBN13" s="21" t="n"/>
      <c r="IBO13" s="21" t="n"/>
      <c r="IBP13" s="21" t="n"/>
      <c r="IBQ13" s="21" t="n"/>
      <c r="IBR13" s="21" t="n"/>
      <c r="IBS13" s="21" t="n"/>
      <c r="IBT13" s="21" t="n"/>
      <c r="IBU13" s="21" t="n"/>
      <c r="IBV13" s="21" t="n"/>
      <c r="IBW13" s="21" t="n"/>
      <c r="IBX13" s="21" t="n"/>
      <c r="IBY13" s="21" t="n"/>
      <c r="IBZ13" s="21" t="n"/>
      <c r="ICA13" s="21" t="n"/>
      <c r="ICB13" s="21" t="n"/>
      <c r="ICC13" s="21" t="n"/>
      <c r="ICD13" s="21" t="n"/>
      <c r="ICE13" s="21" t="n"/>
      <c r="ICF13" s="21" t="n"/>
      <c r="ICG13" s="21" t="n"/>
      <c r="ICH13" s="21" t="n"/>
      <c r="ICI13" s="21" t="n"/>
      <c r="ICJ13" s="21" t="n"/>
      <c r="ICK13" s="21" t="n"/>
      <c r="ICL13" s="21" t="n"/>
      <c r="ICM13" s="21" t="n"/>
      <c r="ICN13" s="21" t="n"/>
      <c r="ICO13" s="21" t="n"/>
      <c r="ICP13" s="21" t="n"/>
      <c r="ICQ13" s="21" t="n"/>
      <c r="ICR13" s="21" t="n"/>
      <c r="ICS13" s="21" t="n"/>
      <c r="ICT13" s="21" t="n"/>
      <c r="ICU13" s="21" t="n"/>
      <c r="ICV13" s="21" t="n"/>
      <c r="ICW13" s="21" t="n"/>
      <c r="ICX13" s="21" t="n"/>
      <c r="ICY13" s="21" t="n"/>
      <c r="ICZ13" s="21" t="n"/>
      <c r="IDA13" s="21" t="n"/>
      <c r="IDB13" s="21" t="n"/>
      <c r="IDC13" s="21" t="n"/>
      <c r="IDD13" s="21" t="n"/>
      <c r="IDE13" s="21" t="n"/>
      <c r="IDF13" s="21" t="n"/>
      <c r="IDG13" s="21" t="n"/>
      <c r="IDH13" s="21" t="n"/>
      <c r="IDI13" s="21" t="n"/>
      <c r="IDJ13" s="21" t="n"/>
      <c r="IDK13" s="21" t="n"/>
      <c r="IDL13" s="21" t="n"/>
      <c r="IDM13" s="21" t="n"/>
      <c r="IDN13" s="21" t="n"/>
      <c r="IDO13" s="21" t="n"/>
      <c r="IDP13" s="21" t="n"/>
      <c r="IDQ13" s="21" t="n"/>
      <c r="IDR13" s="21" t="n"/>
      <c r="IDS13" s="21" t="n"/>
      <c r="IDT13" s="21" t="n"/>
      <c r="IDU13" s="21" t="n"/>
      <c r="IDV13" s="21" t="n"/>
      <c r="IDW13" s="21" t="n"/>
      <c r="IDX13" s="21" t="n"/>
      <c r="IDY13" s="21" t="n"/>
      <c r="IDZ13" s="21" t="n"/>
      <c r="IEA13" s="21" t="n"/>
      <c r="IEB13" s="21" t="n"/>
      <c r="IEC13" s="21" t="n"/>
      <c r="IED13" s="21" t="n"/>
      <c r="IEE13" s="21" t="n"/>
      <c r="IEF13" s="21" t="n"/>
      <c r="IEG13" s="21" t="n"/>
      <c r="IEH13" s="21" t="n"/>
      <c r="IEI13" s="21" t="n"/>
      <c r="IEJ13" s="21" t="n"/>
      <c r="IEK13" s="21" t="n"/>
      <c r="IEL13" s="21" t="n"/>
      <c r="IEM13" s="21" t="n"/>
      <c r="IEN13" s="21" t="n"/>
      <c r="IEO13" s="21" t="n"/>
      <c r="IEP13" s="21" t="n"/>
      <c r="IEQ13" s="21" t="n"/>
      <c r="IER13" s="21" t="n"/>
      <c r="IES13" s="21" t="n"/>
      <c r="IET13" s="21" t="n"/>
      <c r="IEU13" s="21" t="n"/>
      <c r="IEV13" s="21" t="n"/>
      <c r="IEW13" s="21" t="n"/>
      <c r="IEX13" s="21" t="n"/>
      <c r="IEY13" s="21" t="n"/>
      <c r="IEZ13" s="21" t="n"/>
      <c r="IFA13" s="21" t="n"/>
      <c r="IFB13" s="21" t="n"/>
      <c r="IFC13" s="21" t="n"/>
      <c r="IFD13" s="21" t="n"/>
      <c r="IFE13" s="21" t="n"/>
      <c r="IFF13" s="21" t="n"/>
      <c r="IFG13" s="21" t="n"/>
      <c r="IFH13" s="21" t="n"/>
      <c r="IFI13" s="21" t="n"/>
      <c r="IFJ13" s="21" t="n"/>
      <c r="IFK13" s="21" t="n"/>
      <c r="IFL13" s="21" t="n"/>
      <c r="IFM13" s="21" t="n"/>
      <c r="IFN13" s="21" t="n"/>
      <c r="IFO13" s="21" t="n"/>
      <c r="IFP13" s="21" t="n"/>
      <c r="IFQ13" s="21" t="n"/>
      <c r="IFR13" s="21" t="n"/>
      <c r="IFS13" s="21" t="n"/>
      <c r="IFT13" s="21" t="n"/>
      <c r="IFU13" s="21" t="n"/>
      <c r="IFV13" s="21" t="n"/>
      <c r="IFW13" s="21" t="n"/>
      <c r="IFX13" s="21" t="n"/>
      <c r="IFY13" s="21" t="n"/>
      <c r="IFZ13" s="21" t="n"/>
      <c r="IGA13" s="21" t="n"/>
      <c r="IGB13" s="21" t="n"/>
      <c r="IGC13" s="21" t="n"/>
      <c r="IGD13" s="21" t="n"/>
      <c r="IGE13" s="21" t="n"/>
      <c r="IGF13" s="21" t="n"/>
      <c r="IGG13" s="21" t="n"/>
      <c r="IGH13" s="21" t="n"/>
      <c r="IGI13" s="21" t="n"/>
      <c r="IGJ13" s="21" t="n"/>
      <c r="IGK13" s="21" t="n"/>
      <c r="IGL13" s="21" t="n"/>
      <c r="IGM13" s="21" t="n"/>
      <c r="IGN13" s="21" t="n"/>
      <c r="IGO13" s="21" t="n"/>
      <c r="IGP13" s="21" t="n"/>
      <c r="IGQ13" s="21" t="n"/>
      <c r="IGR13" s="21" t="n"/>
      <c r="IGS13" s="21" t="n"/>
      <c r="IGT13" s="21" t="n"/>
      <c r="IGU13" s="21" t="n"/>
      <c r="IGV13" s="21" t="n"/>
      <c r="IGW13" s="21" t="n"/>
      <c r="IGX13" s="21" t="n"/>
      <c r="IGY13" s="21" t="n"/>
      <c r="IGZ13" s="21" t="n"/>
      <c r="IHA13" s="21" t="n"/>
      <c r="IHB13" s="21" t="n"/>
      <c r="IHC13" s="21" t="n"/>
      <c r="IHD13" s="21" t="n"/>
      <c r="IHE13" s="21" t="n"/>
      <c r="IHF13" s="21" t="n"/>
      <c r="IHG13" s="21" t="n"/>
      <c r="IHH13" s="21" t="n"/>
      <c r="IHI13" s="21" t="n"/>
      <c r="IHJ13" s="21" t="n"/>
      <c r="IHK13" s="21" t="n"/>
      <c r="IHL13" s="21" t="n"/>
      <c r="IHM13" s="21" t="n"/>
      <c r="IHN13" s="21" t="n"/>
      <c r="IHO13" s="21" t="n"/>
      <c r="IHP13" s="21" t="n"/>
      <c r="IHQ13" s="21" t="n"/>
      <c r="IHR13" s="21" t="n"/>
      <c r="IHS13" s="21" t="n"/>
      <c r="IHT13" s="21" t="n"/>
      <c r="IHU13" s="21" t="n"/>
      <c r="IHV13" s="21" t="n"/>
      <c r="IHW13" s="21" t="n"/>
      <c r="IHX13" s="21" t="n"/>
      <c r="IHY13" s="21" t="n"/>
      <c r="IHZ13" s="21" t="n"/>
      <c r="IIA13" s="21" t="n"/>
      <c r="IIB13" s="21" t="n"/>
      <c r="IIC13" s="21" t="n"/>
      <c r="IID13" s="21" t="n"/>
      <c r="IIE13" s="21" t="n"/>
      <c r="IIF13" s="21" t="n"/>
      <c r="IIG13" s="21" t="n"/>
      <c r="IIH13" s="21" t="n"/>
      <c r="III13" s="21" t="n"/>
      <c r="IIJ13" s="21" t="n"/>
      <c r="IIK13" s="21" t="n"/>
      <c r="IIL13" s="21" t="n"/>
      <c r="IIM13" s="21" t="n"/>
      <c r="IIN13" s="21" t="n"/>
      <c r="IIO13" s="21" t="n"/>
      <c r="IIP13" s="21" t="n"/>
      <c r="IIQ13" s="21" t="n"/>
      <c r="IIR13" s="21" t="n"/>
      <c r="IIS13" s="21" t="n"/>
      <c r="IIT13" s="21" t="n"/>
      <c r="IIU13" s="21" t="n"/>
      <c r="IIV13" s="21" t="n"/>
      <c r="IIW13" s="21" t="n"/>
      <c r="IIX13" s="21" t="n"/>
      <c r="IIY13" s="21" t="n"/>
      <c r="IIZ13" s="21" t="n"/>
      <c r="IJA13" s="21" t="n"/>
      <c r="IJB13" s="21" t="n"/>
      <c r="IJC13" s="21" t="n"/>
      <c r="IJD13" s="21" t="n"/>
      <c r="IJE13" s="21" t="n"/>
      <c r="IJF13" s="21" t="n"/>
      <c r="IJG13" s="21" t="n"/>
      <c r="IJH13" s="21" t="n"/>
      <c r="IJI13" s="21" t="n"/>
      <c r="IJJ13" s="21" t="n"/>
      <c r="IJK13" s="21" t="n"/>
      <c r="IJL13" s="21" t="n"/>
      <c r="IJM13" s="21" t="n"/>
      <c r="IJN13" s="21" t="n"/>
      <c r="IJO13" s="21" t="n"/>
      <c r="IJP13" s="21" t="n"/>
      <c r="IJQ13" s="21" t="n"/>
      <c r="IJR13" s="21" t="n"/>
      <c r="IJS13" s="21" t="n"/>
      <c r="IJT13" s="21" t="n"/>
      <c r="IJU13" s="21" t="n"/>
      <c r="IJV13" s="21" t="n"/>
      <c r="IJW13" s="21" t="n"/>
      <c r="IJX13" s="21" t="n"/>
      <c r="IJY13" s="21" t="n"/>
      <c r="IJZ13" s="21" t="n"/>
      <c r="IKA13" s="21" t="n"/>
      <c r="IKB13" s="21" t="n"/>
      <c r="IKC13" s="21" t="n"/>
      <c r="IKD13" s="21" t="n"/>
      <c r="IKE13" s="21" t="n"/>
      <c r="IKF13" s="21" t="n"/>
      <c r="IKG13" s="21" t="n"/>
      <c r="IKH13" s="21" t="n"/>
      <c r="IKI13" s="21" t="n"/>
      <c r="IKJ13" s="21" t="n"/>
      <c r="IKK13" s="21" t="n"/>
      <c r="IKL13" s="21" t="n"/>
      <c r="IKM13" s="21" t="n"/>
      <c r="IKN13" s="21" t="n"/>
      <c r="IKO13" s="21" t="n"/>
      <c r="IKP13" s="21" t="n"/>
      <c r="IKQ13" s="21" t="n"/>
      <c r="IKR13" s="21" t="n"/>
      <c r="IKS13" s="21" t="n"/>
      <c r="IKT13" s="21" t="n"/>
      <c r="IKU13" s="21" t="n"/>
      <c r="IKV13" s="21" t="n"/>
      <c r="IKW13" s="21" t="n"/>
      <c r="IKX13" s="21" t="n"/>
      <c r="IKY13" s="21" t="n"/>
      <c r="IKZ13" s="21" t="n"/>
      <c r="ILA13" s="21" t="n"/>
      <c r="ILB13" s="21" t="n"/>
      <c r="ILC13" s="21" t="n"/>
      <c r="ILD13" s="21" t="n"/>
      <c r="ILE13" s="21" t="n"/>
      <c r="ILF13" s="21" t="n"/>
      <c r="ILG13" s="21" t="n"/>
      <c r="ILH13" s="21" t="n"/>
      <c r="ILI13" s="21" t="n"/>
      <c r="ILJ13" s="21" t="n"/>
      <c r="ILK13" s="21" t="n"/>
      <c r="ILL13" s="21" t="n"/>
      <c r="ILM13" s="21" t="n"/>
      <c r="ILN13" s="21" t="n"/>
      <c r="ILO13" s="21" t="n"/>
      <c r="ILP13" s="21" t="n"/>
      <c r="ILQ13" s="21" t="n"/>
      <c r="ILR13" s="21" t="n"/>
      <c r="ILS13" s="21" t="n"/>
      <c r="ILT13" s="21" t="n"/>
      <c r="ILU13" s="21" t="n"/>
      <c r="ILV13" s="21" t="n"/>
      <c r="ILW13" s="21" t="n"/>
      <c r="ILX13" s="21" t="n"/>
      <c r="ILY13" s="21" t="n"/>
      <c r="ILZ13" s="21" t="n"/>
      <c r="IMA13" s="21" t="n"/>
      <c r="IMB13" s="21" t="n"/>
      <c r="IMC13" s="21" t="n"/>
      <c r="IMD13" s="21" t="n"/>
      <c r="IME13" s="21" t="n"/>
      <c r="IMF13" s="21" t="n"/>
      <c r="IMG13" s="21" t="n"/>
      <c r="IMH13" s="21" t="n"/>
      <c r="IMI13" s="21" t="n"/>
      <c r="IMJ13" s="21" t="n"/>
      <c r="IMK13" s="21" t="n"/>
      <c r="IML13" s="21" t="n"/>
      <c r="IMM13" s="21" t="n"/>
      <c r="IMN13" s="21" t="n"/>
      <c r="IMO13" s="21" t="n"/>
      <c r="IMP13" s="21" t="n"/>
      <c r="IMQ13" s="21" t="n"/>
      <c r="IMR13" s="21" t="n"/>
      <c r="IMS13" s="21" t="n"/>
      <c r="IMT13" s="21" t="n"/>
      <c r="IMU13" s="21" t="n"/>
      <c r="IMV13" s="21" t="n"/>
      <c r="IMW13" s="21" t="n"/>
      <c r="IMX13" s="21" t="n"/>
      <c r="IMY13" s="21" t="n"/>
      <c r="IMZ13" s="21" t="n"/>
      <c r="INA13" s="21" t="n"/>
      <c r="INB13" s="21" t="n"/>
      <c r="INC13" s="21" t="n"/>
      <c r="IND13" s="21" t="n"/>
      <c r="INE13" s="21" t="n"/>
      <c r="INF13" s="21" t="n"/>
      <c r="ING13" s="21" t="n"/>
      <c r="INH13" s="21" t="n"/>
      <c r="INI13" s="21" t="n"/>
      <c r="INJ13" s="21" t="n"/>
      <c r="INK13" s="21" t="n"/>
      <c r="INL13" s="21" t="n"/>
      <c r="INM13" s="21" t="n"/>
      <c r="INN13" s="21" t="n"/>
      <c r="INO13" s="21" t="n"/>
      <c r="INP13" s="21" t="n"/>
      <c r="INQ13" s="21" t="n"/>
      <c r="INR13" s="21" t="n"/>
      <c r="INS13" s="21" t="n"/>
      <c r="INT13" s="21" t="n"/>
      <c r="INU13" s="21" t="n"/>
      <c r="INV13" s="21" t="n"/>
      <c r="INW13" s="21" t="n"/>
      <c r="INX13" s="21" t="n"/>
      <c r="INY13" s="21" t="n"/>
      <c r="INZ13" s="21" t="n"/>
      <c r="IOA13" s="21" t="n"/>
      <c r="IOB13" s="21" t="n"/>
      <c r="IOC13" s="21" t="n"/>
      <c r="IOD13" s="21" t="n"/>
      <c r="IOE13" s="21" t="n"/>
      <c r="IOF13" s="21" t="n"/>
      <c r="IOG13" s="21" t="n"/>
      <c r="IOH13" s="21" t="n"/>
      <c r="IOI13" s="21" t="n"/>
      <c r="IOJ13" s="21" t="n"/>
      <c r="IOK13" s="21" t="n"/>
      <c r="IOL13" s="21" t="n"/>
      <c r="IOM13" s="21" t="n"/>
      <c r="ION13" s="21" t="n"/>
      <c r="IOO13" s="21" t="n"/>
      <c r="IOP13" s="21" t="n"/>
      <c r="IOQ13" s="21" t="n"/>
      <c r="IOR13" s="21" t="n"/>
      <c r="IOS13" s="21" t="n"/>
      <c r="IOT13" s="21" t="n"/>
      <c r="IOU13" s="21" t="n"/>
      <c r="IOV13" s="21" t="n"/>
      <c r="IOW13" s="21" t="n"/>
      <c r="IOX13" s="21" t="n"/>
      <c r="IOY13" s="21" t="n"/>
      <c r="IOZ13" s="21" t="n"/>
      <c r="IPA13" s="21" t="n"/>
      <c r="IPB13" s="21" t="n"/>
      <c r="IPC13" s="21" t="n"/>
      <c r="IPD13" s="21" t="n"/>
      <c r="IPE13" s="21" t="n"/>
      <c r="IPF13" s="21" t="n"/>
      <c r="IPG13" s="21" t="n"/>
      <c r="IPH13" s="21" t="n"/>
      <c r="IPI13" s="21" t="n"/>
      <c r="IPJ13" s="21" t="n"/>
      <c r="IPK13" s="21" t="n"/>
      <c r="IPL13" s="21" t="n"/>
      <c r="IPM13" s="21" t="n"/>
      <c r="IPN13" s="21" t="n"/>
      <c r="IPO13" s="21" t="n"/>
      <c r="IPP13" s="21" t="n"/>
      <c r="IPQ13" s="21" t="n"/>
      <c r="IPR13" s="21" t="n"/>
      <c r="IPS13" s="21" t="n"/>
      <c r="IPT13" s="21" t="n"/>
      <c r="IPU13" s="21" t="n"/>
      <c r="IPV13" s="21" t="n"/>
      <c r="IPW13" s="21" t="n"/>
      <c r="IPX13" s="21" t="n"/>
      <c r="IPY13" s="21" t="n"/>
      <c r="IPZ13" s="21" t="n"/>
      <c r="IQA13" s="21" t="n"/>
      <c r="IQB13" s="21" t="n"/>
      <c r="IQC13" s="21" t="n"/>
      <c r="IQD13" s="21" t="n"/>
      <c r="IQE13" s="21" t="n"/>
      <c r="IQF13" s="21" t="n"/>
      <c r="IQG13" s="21" t="n"/>
      <c r="IQH13" s="21" t="n"/>
      <c r="IQI13" s="21" t="n"/>
      <c r="IQJ13" s="21" t="n"/>
      <c r="IQK13" s="21" t="n"/>
      <c r="IQL13" s="21" t="n"/>
      <c r="IQM13" s="21" t="n"/>
      <c r="IQN13" s="21" t="n"/>
      <c r="IQO13" s="21" t="n"/>
      <c r="IQP13" s="21" t="n"/>
      <c r="IQQ13" s="21" t="n"/>
      <c r="IQR13" s="21" t="n"/>
      <c r="IQS13" s="21" t="n"/>
      <c r="IQT13" s="21" t="n"/>
      <c r="IQU13" s="21" t="n"/>
      <c r="IQV13" s="21" t="n"/>
      <c r="IQW13" s="21" t="n"/>
      <c r="IQX13" s="21" t="n"/>
      <c r="IQY13" s="21" t="n"/>
      <c r="IQZ13" s="21" t="n"/>
      <c r="IRA13" s="21" t="n"/>
      <c r="IRB13" s="21" t="n"/>
      <c r="IRC13" s="21" t="n"/>
      <c r="IRD13" s="21" t="n"/>
      <c r="IRE13" s="21" t="n"/>
      <c r="IRF13" s="21" t="n"/>
      <c r="IRG13" s="21" t="n"/>
      <c r="IRH13" s="21" t="n"/>
      <c r="IRI13" s="21" t="n"/>
      <c r="IRJ13" s="21" t="n"/>
      <c r="IRK13" s="21" t="n"/>
      <c r="IRL13" s="21" t="n"/>
      <c r="IRM13" s="21" t="n"/>
      <c r="IRN13" s="21" t="n"/>
      <c r="IRO13" s="21" t="n"/>
      <c r="IRP13" s="21" t="n"/>
      <c r="IRQ13" s="21" t="n"/>
      <c r="IRR13" s="21" t="n"/>
      <c r="IRS13" s="21" t="n"/>
      <c r="IRT13" s="21" t="n"/>
      <c r="IRU13" s="21" t="n"/>
      <c r="IRV13" s="21" t="n"/>
      <c r="IRW13" s="21" t="n"/>
      <c r="IRX13" s="21" t="n"/>
      <c r="IRY13" s="21" t="n"/>
      <c r="IRZ13" s="21" t="n"/>
      <c r="ISA13" s="21" t="n"/>
      <c r="ISB13" s="21" t="n"/>
      <c r="ISC13" s="21" t="n"/>
      <c r="ISD13" s="21" t="n"/>
      <c r="ISE13" s="21" t="n"/>
      <c r="ISF13" s="21" t="n"/>
      <c r="ISG13" s="21" t="n"/>
      <c r="ISH13" s="21" t="n"/>
      <c r="ISI13" s="21" t="n"/>
      <c r="ISJ13" s="21" t="n"/>
      <c r="ISK13" s="21" t="n"/>
      <c r="ISL13" s="21" t="n"/>
      <c r="ISM13" s="21" t="n"/>
      <c r="ISN13" s="21" t="n"/>
      <c r="ISO13" s="21" t="n"/>
      <c r="ISP13" s="21" t="n"/>
      <c r="ISQ13" s="21" t="n"/>
      <c r="ISR13" s="21" t="n"/>
      <c r="ISS13" s="21" t="n"/>
      <c r="IST13" s="21" t="n"/>
      <c r="ISU13" s="21" t="n"/>
      <c r="ISV13" s="21" t="n"/>
      <c r="ISW13" s="21" t="n"/>
      <c r="ISX13" s="21" t="n"/>
      <c r="ISY13" s="21" t="n"/>
      <c r="ISZ13" s="21" t="n"/>
      <c r="ITA13" s="21" t="n"/>
      <c r="ITB13" s="21" t="n"/>
      <c r="ITC13" s="21" t="n"/>
      <c r="ITD13" s="21" t="n"/>
      <c r="ITE13" s="21" t="n"/>
      <c r="ITF13" s="21" t="n"/>
      <c r="ITG13" s="21" t="n"/>
      <c r="ITH13" s="21" t="n"/>
      <c r="ITI13" s="21" t="n"/>
      <c r="ITJ13" s="21" t="n"/>
      <c r="ITK13" s="21" t="n"/>
      <c r="ITL13" s="21" t="n"/>
      <c r="ITM13" s="21" t="n"/>
      <c r="ITN13" s="21" t="n"/>
      <c r="ITO13" s="21" t="n"/>
      <c r="ITP13" s="21" t="n"/>
      <c r="ITQ13" s="21" t="n"/>
      <c r="ITR13" s="21" t="n"/>
      <c r="ITS13" s="21" t="n"/>
      <c r="ITT13" s="21" t="n"/>
      <c r="ITU13" s="21" t="n"/>
      <c r="ITV13" s="21" t="n"/>
      <c r="ITW13" s="21" t="n"/>
      <c r="ITX13" s="21" t="n"/>
      <c r="ITY13" s="21" t="n"/>
      <c r="ITZ13" s="21" t="n"/>
      <c r="IUA13" s="21" t="n"/>
      <c r="IUB13" s="21" t="n"/>
      <c r="IUC13" s="21" t="n"/>
      <c r="IUD13" s="21" t="n"/>
      <c r="IUE13" s="21" t="n"/>
      <c r="IUF13" s="21" t="n"/>
      <c r="IUG13" s="21" t="n"/>
      <c r="IUH13" s="21" t="n"/>
      <c r="IUI13" s="21" t="n"/>
      <c r="IUJ13" s="21" t="n"/>
      <c r="IUK13" s="21" t="n"/>
      <c r="IUL13" s="21" t="n"/>
      <c r="IUM13" s="21" t="n"/>
      <c r="IUN13" s="21" t="n"/>
      <c r="IUO13" s="21" t="n"/>
      <c r="IUP13" s="21" t="n"/>
      <c r="IUQ13" s="21" t="n"/>
      <c r="IUR13" s="21" t="n"/>
      <c r="IUS13" s="21" t="n"/>
      <c r="IUT13" s="21" t="n"/>
      <c r="IUU13" s="21" t="n"/>
      <c r="IUV13" s="21" t="n"/>
      <c r="IUW13" s="21" t="n"/>
      <c r="IUX13" s="21" t="n"/>
      <c r="IUY13" s="21" t="n"/>
      <c r="IUZ13" s="21" t="n"/>
      <c r="IVA13" s="21" t="n"/>
      <c r="IVB13" s="21" t="n"/>
      <c r="IVC13" s="21" t="n"/>
      <c r="IVD13" s="21" t="n"/>
      <c r="IVE13" s="21" t="n"/>
      <c r="IVF13" s="21" t="n"/>
      <c r="IVG13" s="21" t="n"/>
      <c r="IVH13" s="21" t="n"/>
      <c r="IVI13" s="21" t="n"/>
      <c r="IVJ13" s="21" t="n"/>
      <c r="IVK13" s="21" t="n"/>
      <c r="IVL13" s="21" t="n"/>
      <c r="IVM13" s="21" t="n"/>
      <c r="IVN13" s="21" t="n"/>
      <c r="IVO13" s="21" t="n"/>
      <c r="IVP13" s="21" t="n"/>
      <c r="IVQ13" s="21" t="n"/>
      <c r="IVR13" s="21" t="n"/>
      <c r="IVS13" s="21" t="n"/>
      <c r="IVT13" s="21" t="n"/>
      <c r="IVU13" s="21" t="n"/>
      <c r="IVV13" s="21" t="n"/>
      <c r="IVW13" s="21" t="n"/>
      <c r="IVX13" s="21" t="n"/>
      <c r="IVY13" s="21" t="n"/>
      <c r="IVZ13" s="21" t="n"/>
      <c r="IWA13" s="21" t="n"/>
      <c r="IWB13" s="21" t="n"/>
      <c r="IWC13" s="21" t="n"/>
      <c r="IWD13" s="21" t="n"/>
      <c r="IWE13" s="21" t="n"/>
      <c r="IWF13" s="21" t="n"/>
      <c r="IWG13" s="21" t="n"/>
      <c r="IWH13" s="21" t="n"/>
      <c r="IWI13" s="21" t="n"/>
      <c r="IWJ13" s="21" t="n"/>
      <c r="IWK13" s="21" t="n"/>
      <c r="IWL13" s="21" t="n"/>
      <c r="IWM13" s="21" t="n"/>
      <c r="IWN13" s="21" t="n"/>
      <c r="IWO13" s="21" t="n"/>
      <c r="IWP13" s="21" t="n"/>
      <c r="IWQ13" s="21" t="n"/>
      <c r="IWR13" s="21" t="n"/>
      <c r="IWS13" s="21" t="n"/>
      <c r="IWT13" s="21" t="n"/>
      <c r="IWU13" s="21" t="n"/>
      <c r="IWV13" s="21" t="n"/>
      <c r="IWW13" s="21" t="n"/>
      <c r="IWX13" s="21" t="n"/>
      <c r="IWY13" s="21" t="n"/>
      <c r="IWZ13" s="21" t="n"/>
      <c r="IXA13" s="21" t="n"/>
      <c r="IXB13" s="21" t="n"/>
      <c r="IXC13" s="21" t="n"/>
      <c r="IXD13" s="21" t="n"/>
      <c r="IXE13" s="21" t="n"/>
      <c r="IXF13" s="21" t="n"/>
      <c r="IXG13" s="21" t="n"/>
      <c r="IXH13" s="21" t="n"/>
      <c r="IXI13" s="21" t="n"/>
      <c r="IXJ13" s="21" t="n"/>
      <c r="IXK13" s="21" t="n"/>
      <c r="IXL13" s="21" t="n"/>
      <c r="IXM13" s="21" t="n"/>
      <c r="IXN13" s="21" t="n"/>
      <c r="IXO13" s="21" t="n"/>
      <c r="IXP13" s="21" t="n"/>
      <c r="IXQ13" s="21" t="n"/>
      <c r="IXR13" s="21" t="n"/>
      <c r="IXS13" s="21" t="n"/>
      <c r="IXT13" s="21" t="n"/>
      <c r="IXU13" s="21" t="n"/>
      <c r="IXV13" s="21" t="n"/>
      <c r="IXW13" s="21" t="n"/>
      <c r="IXX13" s="21" t="n"/>
      <c r="IXY13" s="21" t="n"/>
      <c r="IXZ13" s="21" t="n"/>
      <c r="IYA13" s="21" t="n"/>
      <c r="IYB13" s="21" t="n"/>
      <c r="IYC13" s="21" t="n"/>
      <c r="IYD13" s="21" t="n"/>
      <c r="IYE13" s="21" t="n"/>
      <c r="IYF13" s="21" t="n"/>
      <c r="IYG13" s="21" t="n"/>
      <c r="IYH13" s="21" t="n"/>
      <c r="IYI13" s="21" t="n"/>
      <c r="IYJ13" s="21" t="n"/>
      <c r="IYK13" s="21" t="n"/>
      <c r="IYL13" s="21" t="n"/>
      <c r="IYM13" s="21" t="n"/>
      <c r="IYN13" s="21" t="n"/>
      <c r="IYO13" s="21" t="n"/>
      <c r="IYP13" s="21" t="n"/>
      <c r="IYQ13" s="21" t="n"/>
      <c r="IYR13" s="21" t="n"/>
      <c r="IYS13" s="21" t="n"/>
      <c r="IYT13" s="21" t="n"/>
      <c r="IYU13" s="21" t="n"/>
      <c r="IYV13" s="21" t="n"/>
      <c r="IYW13" s="21" t="n"/>
      <c r="IYX13" s="21" t="n"/>
      <c r="IYY13" s="21" t="n"/>
      <c r="IYZ13" s="21" t="n"/>
      <c r="IZA13" s="21" t="n"/>
      <c r="IZB13" s="21" t="n"/>
      <c r="IZC13" s="21" t="n"/>
      <c r="IZD13" s="21" t="n"/>
      <c r="IZE13" s="21" t="n"/>
      <c r="IZF13" s="21" t="n"/>
      <c r="IZG13" s="21" t="n"/>
      <c r="IZH13" s="21" t="n"/>
      <c r="IZI13" s="21" t="n"/>
      <c r="IZJ13" s="21" t="n"/>
      <c r="IZK13" s="21" t="n"/>
      <c r="IZL13" s="21" t="n"/>
      <c r="IZM13" s="21" t="n"/>
      <c r="IZN13" s="21" t="n"/>
      <c r="IZO13" s="21" t="n"/>
      <c r="IZP13" s="21" t="n"/>
      <c r="IZQ13" s="21" t="n"/>
      <c r="IZR13" s="21" t="n"/>
      <c r="IZS13" s="21" t="n"/>
      <c r="IZT13" s="21" t="n"/>
      <c r="IZU13" s="21" t="n"/>
      <c r="IZV13" s="21" t="n"/>
      <c r="IZW13" s="21" t="n"/>
      <c r="IZX13" s="21" t="n"/>
      <c r="IZY13" s="21" t="n"/>
      <c r="IZZ13" s="21" t="n"/>
      <c r="JAA13" s="21" t="n"/>
      <c r="JAB13" s="21" t="n"/>
      <c r="JAC13" s="21" t="n"/>
      <c r="JAD13" s="21" t="n"/>
      <c r="JAE13" s="21" t="n"/>
      <c r="JAF13" s="21" t="n"/>
      <c r="JAG13" s="21" t="n"/>
      <c r="JAH13" s="21" t="n"/>
      <c r="JAI13" s="21" t="n"/>
      <c r="JAJ13" s="21" t="n"/>
      <c r="JAK13" s="21" t="n"/>
      <c r="JAL13" s="21" t="n"/>
      <c r="JAM13" s="21" t="n"/>
      <c r="JAN13" s="21" t="n"/>
      <c r="JAO13" s="21" t="n"/>
      <c r="JAP13" s="21" t="n"/>
      <c r="JAQ13" s="21" t="n"/>
      <c r="JAR13" s="21" t="n"/>
      <c r="JAS13" s="21" t="n"/>
      <c r="JAT13" s="21" t="n"/>
      <c r="JAU13" s="21" t="n"/>
      <c r="JAV13" s="21" t="n"/>
      <c r="JAW13" s="21" t="n"/>
      <c r="JAX13" s="21" t="n"/>
      <c r="JAY13" s="21" t="n"/>
      <c r="JAZ13" s="21" t="n"/>
      <c r="JBA13" s="21" t="n"/>
      <c r="JBB13" s="21" t="n"/>
      <c r="JBC13" s="21" t="n"/>
      <c r="JBD13" s="21" t="n"/>
      <c r="JBE13" s="21" t="n"/>
      <c r="JBF13" s="21" t="n"/>
      <c r="JBG13" s="21" t="n"/>
      <c r="JBH13" s="21" t="n"/>
      <c r="JBI13" s="21" t="n"/>
      <c r="JBJ13" s="21" t="n"/>
      <c r="JBK13" s="21" t="n"/>
      <c r="JBL13" s="21" t="n"/>
      <c r="JBM13" s="21" t="n"/>
      <c r="JBN13" s="21" t="n"/>
      <c r="JBO13" s="21" t="n"/>
      <c r="JBP13" s="21" t="n"/>
      <c r="JBQ13" s="21" t="n"/>
      <c r="JBR13" s="21" t="n"/>
      <c r="JBS13" s="21" t="n"/>
      <c r="JBT13" s="21" t="n"/>
      <c r="JBU13" s="21" t="n"/>
      <c r="JBV13" s="21" t="n"/>
      <c r="JBW13" s="21" t="n"/>
      <c r="JBX13" s="21" t="n"/>
      <c r="JBY13" s="21" t="n"/>
      <c r="JBZ13" s="21" t="n"/>
      <c r="JCA13" s="21" t="n"/>
      <c r="JCB13" s="21" t="n"/>
      <c r="JCC13" s="21" t="n"/>
      <c r="JCD13" s="21" t="n"/>
      <c r="JCE13" s="21" t="n"/>
      <c r="JCF13" s="21" t="n"/>
      <c r="JCG13" s="21" t="n"/>
      <c r="JCH13" s="21" t="n"/>
      <c r="JCI13" s="21" t="n"/>
      <c r="JCJ13" s="21" t="n"/>
      <c r="JCK13" s="21" t="n"/>
      <c r="JCL13" s="21" t="n"/>
      <c r="JCM13" s="21" t="n"/>
      <c r="JCN13" s="21" t="n"/>
      <c r="JCO13" s="21" t="n"/>
      <c r="JCP13" s="21" t="n"/>
      <c r="JCQ13" s="21" t="n"/>
      <c r="JCR13" s="21" t="n"/>
      <c r="JCS13" s="21" t="n"/>
      <c r="JCT13" s="21" t="n"/>
      <c r="JCU13" s="21" t="n"/>
      <c r="JCV13" s="21" t="n"/>
      <c r="JCW13" s="21" t="n"/>
      <c r="JCX13" s="21" t="n"/>
      <c r="JCY13" s="21" t="n"/>
      <c r="JCZ13" s="21" t="n"/>
      <c r="JDA13" s="21" t="n"/>
      <c r="JDB13" s="21" t="n"/>
      <c r="JDC13" s="21" t="n"/>
      <c r="JDD13" s="21" t="n"/>
      <c r="JDE13" s="21" t="n"/>
      <c r="JDF13" s="21" t="n"/>
      <c r="JDG13" s="21" t="n"/>
      <c r="JDH13" s="21" t="n"/>
      <c r="JDI13" s="21" t="n"/>
      <c r="JDJ13" s="21" t="n"/>
      <c r="JDK13" s="21" t="n"/>
      <c r="JDL13" s="21" t="n"/>
      <c r="JDM13" s="21" t="n"/>
      <c r="JDN13" s="21" t="n"/>
      <c r="JDO13" s="21" t="n"/>
      <c r="JDP13" s="21" t="n"/>
      <c r="JDQ13" s="21" t="n"/>
      <c r="JDR13" s="21" t="n"/>
      <c r="JDS13" s="21" t="n"/>
      <c r="JDT13" s="21" t="n"/>
      <c r="JDU13" s="21" t="n"/>
      <c r="JDV13" s="21" t="n"/>
      <c r="JDW13" s="21" t="n"/>
      <c r="JDX13" s="21" t="n"/>
      <c r="JDY13" s="21" t="n"/>
      <c r="JDZ13" s="21" t="n"/>
      <c r="JEA13" s="21" t="n"/>
      <c r="JEB13" s="21" t="n"/>
      <c r="JEC13" s="21" t="n"/>
      <c r="JED13" s="21" t="n"/>
      <c r="JEE13" s="21" t="n"/>
      <c r="JEF13" s="21" t="n"/>
      <c r="JEG13" s="21" t="n"/>
      <c r="JEH13" s="21" t="n"/>
      <c r="JEI13" s="21" t="n"/>
      <c r="JEJ13" s="21" t="n"/>
      <c r="JEK13" s="21" t="n"/>
      <c r="JEL13" s="21" t="n"/>
      <c r="JEM13" s="21" t="n"/>
      <c r="JEN13" s="21" t="n"/>
      <c r="JEO13" s="21" t="n"/>
      <c r="JEP13" s="21" t="n"/>
      <c r="JEQ13" s="21" t="n"/>
      <c r="JER13" s="21" t="n"/>
      <c r="JES13" s="21" t="n"/>
      <c r="JET13" s="21" t="n"/>
      <c r="JEU13" s="21" t="n"/>
      <c r="JEV13" s="21" t="n"/>
      <c r="JEW13" s="21" t="n"/>
      <c r="JEX13" s="21" t="n"/>
      <c r="JEY13" s="21" t="n"/>
      <c r="JEZ13" s="21" t="n"/>
      <c r="JFA13" s="21" t="n"/>
      <c r="JFB13" s="21" t="n"/>
      <c r="JFC13" s="21" t="n"/>
      <c r="JFD13" s="21" t="n"/>
      <c r="JFE13" s="21" t="n"/>
      <c r="JFF13" s="21" t="n"/>
      <c r="JFG13" s="21" t="n"/>
      <c r="JFH13" s="21" t="n"/>
      <c r="JFI13" s="21" t="n"/>
      <c r="JFJ13" s="21" t="n"/>
      <c r="JFK13" s="21" t="n"/>
      <c r="JFL13" s="21" t="n"/>
      <c r="JFM13" s="21" t="n"/>
      <c r="JFN13" s="21" t="n"/>
      <c r="JFO13" s="21" t="n"/>
      <c r="JFP13" s="21" t="n"/>
      <c r="JFQ13" s="21" t="n"/>
      <c r="JFR13" s="21" t="n"/>
      <c r="JFS13" s="21" t="n"/>
      <c r="JFT13" s="21" t="n"/>
      <c r="JFU13" s="21" t="n"/>
      <c r="JFV13" s="21" t="n"/>
      <c r="JFW13" s="21" t="n"/>
      <c r="JFX13" s="21" t="n"/>
      <c r="JFY13" s="21" t="n"/>
      <c r="JFZ13" s="21" t="n"/>
      <c r="JGA13" s="21" t="n"/>
      <c r="JGB13" s="21" t="n"/>
      <c r="JGC13" s="21" t="n"/>
      <c r="JGD13" s="21" t="n"/>
      <c r="JGE13" s="21" t="n"/>
      <c r="JGF13" s="21" t="n"/>
      <c r="JGG13" s="21" t="n"/>
      <c r="JGH13" s="21" t="n"/>
      <c r="JGI13" s="21" t="n"/>
      <c r="JGJ13" s="21" t="n"/>
      <c r="JGK13" s="21" t="n"/>
      <c r="JGL13" s="21" t="n"/>
      <c r="JGM13" s="21" t="n"/>
      <c r="JGN13" s="21" t="n"/>
      <c r="JGO13" s="21" t="n"/>
      <c r="JGP13" s="21" t="n"/>
      <c r="JGQ13" s="21" t="n"/>
      <c r="JGR13" s="21" t="n"/>
      <c r="JGS13" s="21" t="n"/>
      <c r="JGT13" s="21" t="n"/>
      <c r="JGU13" s="21" t="n"/>
      <c r="JGV13" s="21" t="n"/>
      <c r="JGW13" s="21" t="n"/>
      <c r="JGX13" s="21" t="n"/>
      <c r="JGY13" s="21" t="n"/>
      <c r="JGZ13" s="21" t="n"/>
      <c r="JHA13" s="21" t="n"/>
      <c r="JHB13" s="21" t="n"/>
      <c r="JHC13" s="21" t="n"/>
      <c r="JHD13" s="21" t="n"/>
      <c r="JHE13" s="21" t="n"/>
      <c r="JHF13" s="21" t="n"/>
      <c r="JHG13" s="21" t="n"/>
      <c r="JHH13" s="21" t="n"/>
      <c r="JHI13" s="21" t="n"/>
      <c r="JHJ13" s="21" t="n"/>
      <c r="JHK13" s="21" t="n"/>
      <c r="JHL13" s="21" t="n"/>
      <c r="JHM13" s="21" t="n"/>
      <c r="JHN13" s="21" t="n"/>
      <c r="JHO13" s="21" t="n"/>
      <c r="JHP13" s="21" t="n"/>
      <c r="JHQ13" s="21" t="n"/>
      <c r="JHR13" s="21" t="n"/>
      <c r="JHS13" s="21" t="n"/>
      <c r="JHT13" s="21" t="n"/>
      <c r="JHU13" s="21" t="n"/>
      <c r="JHV13" s="21" t="n"/>
      <c r="JHW13" s="21" t="n"/>
      <c r="JHX13" s="21" t="n"/>
      <c r="JHY13" s="21" t="n"/>
      <c r="JHZ13" s="21" t="n"/>
      <c r="JIA13" s="21" t="n"/>
      <c r="JIB13" s="21" t="n"/>
      <c r="JIC13" s="21" t="n"/>
      <c r="JID13" s="21" t="n"/>
      <c r="JIE13" s="21" t="n"/>
      <c r="JIF13" s="21" t="n"/>
      <c r="JIG13" s="21" t="n"/>
      <c r="JIH13" s="21" t="n"/>
      <c r="JII13" s="21" t="n"/>
      <c r="JIJ13" s="21" t="n"/>
      <c r="JIK13" s="21" t="n"/>
      <c r="JIL13" s="21" t="n"/>
      <c r="JIM13" s="21" t="n"/>
      <c r="JIN13" s="21" t="n"/>
      <c r="JIO13" s="21" t="n"/>
      <c r="JIP13" s="21" t="n"/>
      <c r="JIQ13" s="21" t="n"/>
      <c r="JIR13" s="21" t="n"/>
      <c r="JIS13" s="21" t="n"/>
      <c r="JIT13" s="21" t="n"/>
      <c r="JIU13" s="21" t="n"/>
      <c r="JIV13" s="21" t="n"/>
      <c r="JIW13" s="21" t="n"/>
      <c r="JIX13" s="21" t="n"/>
      <c r="JIY13" s="21" t="n"/>
      <c r="JIZ13" s="21" t="n"/>
      <c r="JJA13" s="21" t="n"/>
      <c r="JJB13" s="21" t="n"/>
      <c r="JJC13" s="21" t="n"/>
      <c r="JJD13" s="21" t="n"/>
      <c r="JJE13" s="21" t="n"/>
      <c r="JJF13" s="21" t="n"/>
      <c r="JJG13" s="21" t="n"/>
      <c r="JJH13" s="21" t="n"/>
      <c r="JJI13" s="21" t="n"/>
      <c r="JJJ13" s="21" t="n"/>
      <c r="JJK13" s="21" t="n"/>
      <c r="JJL13" s="21" t="n"/>
      <c r="JJM13" s="21" t="n"/>
      <c r="JJN13" s="21" t="n"/>
      <c r="JJO13" s="21" t="n"/>
      <c r="JJP13" s="21" t="n"/>
      <c r="JJQ13" s="21" t="n"/>
      <c r="JJR13" s="21" t="n"/>
      <c r="JJS13" s="21" t="n"/>
      <c r="JJT13" s="21" t="n"/>
      <c r="JJU13" s="21" t="n"/>
      <c r="JJV13" s="21" t="n"/>
      <c r="JJW13" s="21" t="n"/>
      <c r="JJX13" s="21" t="n"/>
      <c r="JJY13" s="21" t="n"/>
      <c r="JJZ13" s="21" t="n"/>
      <c r="JKA13" s="21" t="n"/>
      <c r="JKB13" s="21" t="n"/>
      <c r="JKC13" s="21" t="n"/>
      <c r="JKD13" s="21" t="n"/>
      <c r="JKE13" s="21" t="n"/>
      <c r="JKF13" s="21" t="n"/>
      <c r="JKG13" s="21" t="n"/>
      <c r="JKH13" s="21" t="n"/>
      <c r="JKI13" s="21" t="n"/>
      <c r="JKJ13" s="21" t="n"/>
      <c r="JKK13" s="21" t="n"/>
      <c r="JKL13" s="21" t="n"/>
      <c r="JKM13" s="21" t="n"/>
      <c r="JKN13" s="21" t="n"/>
      <c r="JKO13" s="21" t="n"/>
      <c r="JKP13" s="21" t="n"/>
      <c r="JKQ13" s="21" t="n"/>
      <c r="JKR13" s="21" t="n"/>
      <c r="JKS13" s="21" t="n"/>
      <c r="JKT13" s="21" t="n"/>
      <c r="JKU13" s="21" t="n"/>
      <c r="JKV13" s="21" t="n"/>
      <c r="JKW13" s="21" t="n"/>
      <c r="JKX13" s="21" t="n"/>
      <c r="JKY13" s="21" t="n"/>
      <c r="JKZ13" s="21" t="n"/>
      <c r="JLA13" s="21" t="n"/>
      <c r="JLB13" s="21" t="n"/>
      <c r="JLC13" s="21" t="n"/>
      <c r="JLD13" s="21" t="n"/>
      <c r="JLE13" s="21" t="n"/>
      <c r="JLF13" s="21" t="n"/>
      <c r="JLG13" s="21" t="n"/>
      <c r="JLH13" s="21" t="n"/>
      <c r="JLI13" s="21" t="n"/>
      <c r="JLJ13" s="21" t="n"/>
      <c r="JLK13" s="21" t="n"/>
      <c r="JLL13" s="21" t="n"/>
      <c r="JLM13" s="21" t="n"/>
      <c r="JLN13" s="21" t="n"/>
      <c r="JLO13" s="21" t="n"/>
      <c r="JLP13" s="21" t="n"/>
      <c r="JLQ13" s="21" t="n"/>
      <c r="JLR13" s="21" t="n"/>
      <c r="JLS13" s="21" t="n"/>
      <c r="JLT13" s="21" t="n"/>
      <c r="JLU13" s="21" t="n"/>
      <c r="JLV13" s="21" t="n"/>
      <c r="JLW13" s="21" t="n"/>
      <c r="JLX13" s="21" t="n"/>
      <c r="JLY13" s="21" t="n"/>
      <c r="JLZ13" s="21" t="n"/>
      <c r="JMA13" s="21" t="n"/>
      <c r="JMB13" s="21" t="n"/>
      <c r="JMC13" s="21" t="n"/>
      <c r="JMD13" s="21" t="n"/>
      <c r="JME13" s="21" t="n"/>
      <c r="JMF13" s="21" t="n"/>
      <c r="JMG13" s="21" t="n"/>
      <c r="JMH13" s="21" t="n"/>
      <c r="JMI13" s="21" t="n"/>
      <c r="JMJ13" s="21" t="n"/>
      <c r="JMK13" s="21" t="n"/>
      <c r="JML13" s="21" t="n"/>
      <c r="JMM13" s="21" t="n"/>
      <c r="JMN13" s="21" t="n"/>
      <c r="JMO13" s="21" t="n"/>
      <c r="JMP13" s="21" t="n"/>
      <c r="JMQ13" s="21" t="n"/>
      <c r="JMR13" s="21" t="n"/>
      <c r="JMS13" s="21" t="n"/>
      <c r="JMT13" s="21" t="n"/>
      <c r="JMU13" s="21" t="n"/>
      <c r="JMV13" s="21" t="n"/>
      <c r="JMW13" s="21" t="n"/>
      <c r="JMX13" s="21" t="n"/>
      <c r="JMY13" s="21" t="n"/>
      <c r="JMZ13" s="21" t="n"/>
      <c r="JNA13" s="21" t="n"/>
      <c r="JNB13" s="21" t="n"/>
      <c r="JNC13" s="21" t="n"/>
      <c r="JND13" s="21" t="n"/>
      <c r="JNE13" s="21" t="n"/>
      <c r="JNF13" s="21" t="n"/>
      <c r="JNG13" s="21" t="n"/>
      <c r="JNH13" s="21" t="n"/>
      <c r="JNI13" s="21" t="n"/>
      <c r="JNJ13" s="21" t="n"/>
      <c r="JNK13" s="21" t="n"/>
      <c r="JNL13" s="21" t="n"/>
      <c r="JNM13" s="21" t="n"/>
      <c r="JNN13" s="21" t="n"/>
      <c r="JNO13" s="21" t="n"/>
      <c r="JNP13" s="21" t="n"/>
      <c r="JNQ13" s="21" t="n"/>
      <c r="JNR13" s="21" t="n"/>
      <c r="JNS13" s="21" t="n"/>
      <c r="JNT13" s="21" t="n"/>
      <c r="JNU13" s="21" t="n"/>
      <c r="JNV13" s="21" t="n"/>
      <c r="JNW13" s="21" t="n"/>
      <c r="JNX13" s="21" t="n"/>
      <c r="JNY13" s="21" t="n"/>
      <c r="JNZ13" s="21" t="n"/>
      <c r="JOA13" s="21" t="n"/>
      <c r="JOB13" s="21" t="n"/>
      <c r="JOC13" s="21" t="n"/>
      <c r="JOD13" s="21" t="n"/>
      <c r="JOE13" s="21" t="n"/>
      <c r="JOF13" s="21" t="n"/>
      <c r="JOG13" s="21" t="n"/>
      <c r="JOH13" s="21" t="n"/>
      <c r="JOI13" s="21" t="n"/>
      <c r="JOJ13" s="21" t="n"/>
      <c r="JOK13" s="21" t="n"/>
      <c r="JOL13" s="21" t="n"/>
      <c r="JOM13" s="21" t="n"/>
      <c r="JON13" s="21" t="n"/>
      <c r="JOO13" s="21" t="n"/>
      <c r="JOP13" s="21" t="n"/>
      <c r="JOQ13" s="21" t="n"/>
      <c r="JOR13" s="21" t="n"/>
      <c r="JOS13" s="21" t="n"/>
      <c r="JOT13" s="21" t="n"/>
      <c r="JOU13" s="21" t="n"/>
      <c r="JOV13" s="21" t="n"/>
      <c r="JOW13" s="21" t="n"/>
      <c r="JOX13" s="21" t="n"/>
      <c r="JOY13" s="21" t="n"/>
      <c r="JOZ13" s="21" t="n"/>
      <c r="JPA13" s="21" t="n"/>
      <c r="JPB13" s="21" t="n"/>
      <c r="JPC13" s="21" t="n"/>
      <c r="JPD13" s="21" t="n"/>
      <c r="JPE13" s="21" t="n"/>
      <c r="JPF13" s="21" t="n"/>
      <c r="JPG13" s="21" t="n"/>
      <c r="JPH13" s="21" t="n"/>
      <c r="JPI13" s="21" t="n"/>
      <c r="JPJ13" s="21" t="n"/>
      <c r="JPK13" s="21" t="n"/>
      <c r="JPL13" s="21" t="n"/>
      <c r="JPM13" s="21" t="n"/>
      <c r="JPN13" s="21" t="n"/>
      <c r="JPO13" s="21" t="n"/>
      <c r="JPP13" s="21" t="n"/>
      <c r="JPQ13" s="21" t="n"/>
      <c r="JPR13" s="21" t="n"/>
      <c r="JPS13" s="21" t="n"/>
      <c r="JPT13" s="21" t="n"/>
      <c r="JPU13" s="21" t="n"/>
      <c r="JPV13" s="21" t="n"/>
      <c r="JPW13" s="21" t="n"/>
      <c r="JPX13" s="21" t="n"/>
      <c r="JPY13" s="21" t="n"/>
      <c r="JPZ13" s="21" t="n"/>
      <c r="JQA13" s="21" t="n"/>
      <c r="JQB13" s="21" t="n"/>
      <c r="JQC13" s="21" t="n"/>
      <c r="JQD13" s="21" t="n"/>
      <c r="JQE13" s="21" t="n"/>
      <c r="JQF13" s="21" t="n"/>
      <c r="JQG13" s="21" t="n"/>
      <c r="JQH13" s="21" t="n"/>
      <c r="JQI13" s="21" t="n"/>
      <c r="JQJ13" s="21" t="n"/>
      <c r="JQK13" s="21" t="n"/>
      <c r="JQL13" s="21" t="n"/>
      <c r="JQM13" s="21" t="n"/>
      <c r="JQN13" s="21" t="n"/>
      <c r="JQO13" s="21" t="n"/>
      <c r="JQP13" s="21" t="n"/>
      <c r="JQQ13" s="21" t="n"/>
      <c r="JQR13" s="21" t="n"/>
      <c r="JQS13" s="21" t="n"/>
      <c r="JQT13" s="21" t="n"/>
      <c r="JQU13" s="21" t="n"/>
      <c r="JQV13" s="21" t="n"/>
      <c r="JQW13" s="21" t="n"/>
      <c r="JQX13" s="21" t="n"/>
      <c r="JQY13" s="21" t="n"/>
      <c r="JQZ13" s="21" t="n"/>
      <c r="JRA13" s="21" t="n"/>
      <c r="JRB13" s="21" t="n"/>
      <c r="JRC13" s="21" t="n"/>
      <c r="JRD13" s="21" t="n"/>
      <c r="JRE13" s="21" t="n"/>
      <c r="JRF13" s="21" t="n"/>
      <c r="JRG13" s="21" t="n"/>
      <c r="JRH13" s="21" t="n"/>
      <c r="JRI13" s="21" t="n"/>
      <c r="JRJ13" s="21" t="n"/>
      <c r="JRK13" s="21" t="n"/>
      <c r="JRL13" s="21" t="n"/>
      <c r="JRM13" s="21" t="n"/>
      <c r="JRN13" s="21" t="n"/>
      <c r="JRO13" s="21" t="n"/>
      <c r="JRP13" s="21" t="n"/>
      <c r="JRQ13" s="21" t="n"/>
      <c r="JRR13" s="21" t="n"/>
      <c r="JRS13" s="21" t="n"/>
      <c r="JRT13" s="21" t="n"/>
      <c r="JRU13" s="21" t="n"/>
      <c r="JRV13" s="21" t="n"/>
      <c r="JRW13" s="21" t="n"/>
      <c r="JRX13" s="21" t="n"/>
      <c r="JRY13" s="21" t="n"/>
      <c r="JRZ13" s="21" t="n"/>
      <c r="JSA13" s="21" t="n"/>
      <c r="JSB13" s="21" t="n"/>
      <c r="JSC13" s="21" t="n"/>
      <c r="JSD13" s="21" t="n"/>
      <c r="JSE13" s="21" t="n"/>
      <c r="JSF13" s="21" t="n"/>
      <c r="JSG13" s="21" t="n"/>
      <c r="JSH13" s="21" t="n"/>
      <c r="JSI13" s="21" t="n"/>
      <c r="JSJ13" s="21" t="n"/>
      <c r="JSK13" s="21" t="n"/>
      <c r="JSL13" s="21" t="n"/>
      <c r="JSM13" s="21" t="n"/>
      <c r="JSN13" s="21" t="n"/>
      <c r="JSO13" s="21" t="n"/>
      <c r="JSP13" s="21" t="n"/>
      <c r="JSQ13" s="21" t="n"/>
      <c r="JSR13" s="21" t="n"/>
      <c r="JSS13" s="21" t="n"/>
      <c r="JST13" s="21" t="n"/>
      <c r="JSU13" s="21" t="n"/>
      <c r="JSV13" s="21" t="n"/>
      <c r="JSW13" s="21" t="n"/>
      <c r="JSX13" s="21" t="n"/>
      <c r="JSY13" s="21" t="n"/>
      <c r="JSZ13" s="21" t="n"/>
      <c r="JTA13" s="21" t="n"/>
      <c r="JTB13" s="21" t="n"/>
      <c r="JTC13" s="21" t="n"/>
      <c r="JTD13" s="21" t="n"/>
      <c r="JTE13" s="21" t="n"/>
      <c r="JTF13" s="21" t="n"/>
      <c r="JTG13" s="21" t="n"/>
      <c r="JTH13" s="21" t="n"/>
      <c r="JTI13" s="21" t="n"/>
      <c r="JTJ13" s="21" t="n"/>
      <c r="JTK13" s="21" t="n"/>
      <c r="JTL13" s="21" t="n"/>
      <c r="JTM13" s="21" t="n"/>
      <c r="JTN13" s="21" t="n"/>
      <c r="JTO13" s="21" t="n"/>
      <c r="JTP13" s="21" t="n"/>
      <c r="JTQ13" s="21" t="n"/>
      <c r="JTR13" s="21" t="n"/>
      <c r="JTS13" s="21" t="n"/>
      <c r="JTT13" s="21" t="n"/>
      <c r="JTU13" s="21" t="n"/>
      <c r="JTV13" s="21" t="n"/>
      <c r="JTW13" s="21" t="n"/>
      <c r="JTX13" s="21" t="n"/>
      <c r="JTY13" s="21" t="n"/>
      <c r="JTZ13" s="21" t="n"/>
      <c r="JUA13" s="21" t="n"/>
      <c r="JUB13" s="21" t="n"/>
      <c r="JUC13" s="21" t="n"/>
      <c r="JUD13" s="21" t="n"/>
      <c r="JUE13" s="21" t="n"/>
      <c r="JUF13" s="21" t="n"/>
      <c r="JUG13" s="21" t="n"/>
      <c r="JUH13" s="21" t="n"/>
      <c r="JUI13" s="21" t="n"/>
      <c r="JUJ13" s="21" t="n"/>
      <c r="JUK13" s="21" t="n"/>
      <c r="JUL13" s="21" t="n"/>
      <c r="JUM13" s="21" t="n"/>
      <c r="JUN13" s="21" t="n"/>
      <c r="JUO13" s="21" t="n"/>
      <c r="JUP13" s="21" t="n"/>
      <c r="JUQ13" s="21" t="n"/>
      <c r="JUR13" s="21" t="n"/>
      <c r="JUS13" s="21" t="n"/>
      <c r="JUT13" s="21" t="n"/>
      <c r="JUU13" s="21" t="n"/>
      <c r="JUV13" s="21" t="n"/>
      <c r="JUW13" s="21" t="n"/>
      <c r="JUX13" s="21" t="n"/>
      <c r="JUY13" s="21" t="n"/>
      <c r="JUZ13" s="21" t="n"/>
      <c r="JVA13" s="21" t="n"/>
      <c r="JVB13" s="21" t="n"/>
      <c r="JVC13" s="21" t="n"/>
      <c r="JVD13" s="21" t="n"/>
      <c r="JVE13" s="21" t="n"/>
      <c r="JVF13" s="21" t="n"/>
      <c r="JVG13" s="21" t="n"/>
      <c r="JVH13" s="21" t="n"/>
      <c r="JVI13" s="21" t="n"/>
      <c r="JVJ13" s="21" t="n"/>
      <c r="JVK13" s="21" t="n"/>
      <c r="JVL13" s="21" t="n"/>
      <c r="JVM13" s="21" t="n"/>
      <c r="JVN13" s="21" t="n"/>
      <c r="JVO13" s="21" t="n"/>
      <c r="JVP13" s="21" t="n"/>
      <c r="JVQ13" s="21" t="n"/>
      <c r="JVR13" s="21" t="n"/>
      <c r="JVS13" s="21" t="n"/>
      <c r="JVT13" s="21" t="n"/>
      <c r="JVU13" s="21" t="n"/>
      <c r="JVV13" s="21" t="n"/>
      <c r="JVW13" s="21" t="n"/>
      <c r="JVX13" s="21" t="n"/>
      <c r="JVY13" s="21" t="n"/>
      <c r="JVZ13" s="21" t="n"/>
      <c r="JWA13" s="21" t="n"/>
      <c r="JWB13" s="21" t="n"/>
      <c r="JWC13" s="21" t="n"/>
      <c r="JWD13" s="21" t="n"/>
      <c r="JWE13" s="21" t="n"/>
      <c r="JWF13" s="21" t="n"/>
      <c r="JWG13" s="21" t="n"/>
      <c r="JWH13" s="21" t="n"/>
      <c r="JWI13" s="21" t="n"/>
      <c r="JWJ13" s="21" t="n"/>
      <c r="JWK13" s="21" t="n"/>
      <c r="JWL13" s="21" t="n"/>
      <c r="JWM13" s="21" t="n"/>
      <c r="JWN13" s="21" t="n"/>
      <c r="JWO13" s="21" t="n"/>
      <c r="JWP13" s="21" t="n"/>
      <c r="JWQ13" s="21" t="n"/>
      <c r="JWR13" s="21" t="n"/>
      <c r="JWS13" s="21" t="n"/>
      <c r="JWT13" s="21" t="n"/>
      <c r="JWU13" s="21" t="n"/>
      <c r="JWV13" s="21" t="n"/>
      <c r="JWW13" s="21" t="n"/>
      <c r="JWX13" s="21" t="n"/>
      <c r="JWY13" s="21" t="n"/>
      <c r="JWZ13" s="21" t="n"/>
      <c r="JXA13" s="21" t="n"/>
      <c r="JXB13" s="21" t="n"/>
      <c r="JXC13" s="21" t="n"/>
      <c r="JXD13" s="21" t="n"/>
      <c r="JXE13" s="21" t="n"/>
      <c r="JXF13" s="21" t="n"/>
      <c r="JXG13" s="21" t="n"/>
      <c r="JXH13" s="21" t="n"/>
      <c r="JXI13" s="21" t="n"/>
      <c r="JXJ13" s="21" t="n"/>
      <c r="JXK13" s="21" t="n"/>
      <c r="JXL13" s="21" t="n"/>
      <c r="JXM13" s="21" t="n"/>
      <c r="JXN13" s="21" t="n"/>
      <c r="JXO13" s="21" t="n"/>
      <c r="JXP13" s="21" t="n"/>
      <c r="JXQ13" s="21" t="n"/>
      <c r="JXR13" s="21" t="n"/>
      <c r="JXS13" s="21" t="n"/>
      <c r="JXT13" s="21" t="n"/>
      <c r="JXU13" s="21" t="n"/>
      <c r="JXV13" s="21" t="n"/>
      <c r="JXW13" s="21" t="n"/>
      <c r="JXX13" s="21" t="n"/>
      <c r="JXY13" s="21" t="n"/>
      <c r="JXZ13" s="21" t="n"/>
      <c r="JYA13" s="21" t="n"/>
      <c r="JYB13" s="21" t="n"/>
      <c r="JYC13" s="21" t="n"/>
      <c r="JYD13" s="21" t="n"/>
      <c r="JYE13" s="21" t="n"/>
      <c r="JYF13" s="21" t="n"/>
      <c r="JYG13" s="21" t="n"/>
      <c r="JYH13" s="21" t="n"/>
      <c r="JYI13" s="21" t="n"/>
      <c r="JYJ13" s="21" t="n"/>
      <c r="JYK13" s="21" t="n"/>
      <c r="JYL13" s="21" t="n"/>
      <c r="JYM13" s="21" t="n"/>
      <c r="JYN13" s="21" t="n"/>
      <c r="JYO13" s="21" t="n"/>
      <c r="JYP13" s="21" t="n"/>
      <c r="JYQ13" s="21" t="n"/>
      <c r="JYR13" s="21" t="n"/>
      <c r="JYS13" s="21" t="n"/>
      <c r="JYT13" s="21" t="n"/>
      <c r="JYU13" s="21" t="n"/>
      <c r="JYV13" s="21" t="n"/>
      <c r="JYW13" s="21" t="n"/>
      <c r="JYX13" s="21" t="n"/>
      <c r="JYY13" s="21" t="n"/>
      <c r="JYZ13" s="21" t="n"/>
      <c r="JZA13" s="21" t="n"/>
      <c r="JZB13" s="21" t="n"/>
      <c r="JZC13" s="21" t="n"/>
      <c r="JZD13" s="21" t="n"/>
      <c r="JZE13" s="21" t="n"/>
      <c r="JZF13" s="21" t="n"/>
      <c r="JZG13" s="21" t="n"/>
      <c r="JZH13" s="21" t="n"/>
      <c r="JZI13" s="21" t="n"/>
      <c r="JZJ13" s="21" t="n"/>
      <c r="JZK13" s="21" t="n"/>
      <c r="JZL13" s="21" t="n"/>
      <c r="JZM13" s="21" t="n"/>
      <c r="JZN13" s="21" t="n"/>
      <c r="JZO13" s="21" t="n"/>
      <c r="JZP13" s="21" t="n"/>
      <c r="JZQ13" s="21" t="n"/>
      <c r="JZR13" s="21" t="n"/>
      <c r="JZS13" s="21" t="n"/>
      <c r="JZT13" s="21" t="n"/>
      <c r="JZU13" s="21" t="n"/>
      <c r="JZV13" s="21" t="n"/>
      <c r="JZW13" s="21" t="n"/>
      <c r="JZX13" s="21" t="n"/>
      <c r="JZY13" s="21" t="n"/>
      <c r="JZZ13" s="21" t="n"/>
      <c r="KAA13" s="21" t="n"/>
      <c r="KAB13" s="21" t="n"/>
      <c r="KAC13" s="21" t="n"/>
      <c r="KAD13" s="21" t="n"/>
      <c r="KAE13" s="21" t="n"/>
      <c r="KAF13" s="21" t="n"/>
      <c r="KAG13" s="21" t="n"/>
      <c r="KAH13" s="21" t="n"/>
      <c r="KAI13" s="21" t="n"/>
      <c r="KAJ13" s="21" t="n"/>
      <c r="KAK13" s="21" t="n"/>
      <c r="KAL13" s="21" t="n"/>
      <c r="KAM13" s="21" t="n"/>
      <c r="KAN13" s="21" t="n"/>
      <c r="KAO13" s="21" t="n"/>
      <c r="KAP13" s="21" t="n"/>
      <c r="KAQ13" s="21" t="n"/>
      <c r="KAR13" s="21" t="n"/>
      <c r="KAS13" s="21" t="n"/>
      <c r="KAT13" s="21" t="n"/>
      <c r="KAU13" s="21" t="n"/>
      <c r="KAV13" s="21" t="n"/>
      <c r="KAW13" s="21" t="n"/>
      <c r="KAX13" s="21" t="n"/>
      <c r="KAY13" s="21" t="n"/>
      <c r="KAZ13" s="21" t="n"/>
      <c r="KBA13" s="21" t="n"/>
      <c r="KBB13" s="21" t="n"/>
      <c r="KBC13" s="21" t="n"/>
      <c r="KBD13" s="21" t="n"/>
      <c r="KBE13" s="21" t="n"/>
      <c r="KBF13" s="21" t="n"/>
      <c r="KBG13" s="21" t="n"/>
      <c r="KBH13" s="21" t="n"/>
      <c r="KBI13" s="21" t="n"/>
      <c r="KBJ13" s="21" t="n"/>
      <c r="KBK13" s="21" t="n"/>
      <c r="KBL13" s="21" t="n"/>
      <c r="KBM13" s="21" t="n"/>
      <c r="KBN13" s="21" t="n"/>
      <c r="KBO13" s="21" t="n"/>
      <c r="KBP13" s="21" t="n"/>
      <c r="KBQ13" s="21" t="n"/>
      <c r="KBR13" s="21" t="n"/>
      <c r="KBS13" s="21" t="n"/>
      <c r="KBT13" s="21" t="n"/>
      <c r="KBU13" s="21" t="n"/>
      <c r="KBV13" s="21" t="n"/>
      <c r="KBW13" s="21" t="n"/>
      <c r="KBX13" s="21" t="n"/>
      <c r="KBY13" s="21" t="n"/>
      <c r="KBZ13" s="21" t="n"/>
      <c r="KCA13" s="21" t="n"/>
      <c r="KCB13" s="21" t="n"/>
      <c r="KCC13" s="21" t="n"/>
      <c r="KCD13" s="21" t="n"/>
      <c r="KCE13" s="21" t="n"/>
      <c r="KCF13" s="21" t="n"/>
      <c r="KCG13" s="21" t="n"/>
      <c r="KCH13" s="21" t="n"/>
      <c r="KCI13" s="21" t="n"/>
      <c r="KCJ13" s="21" t="n"/>
      <c r="KCK13" s="21" t="n"/>
      <c r="KCL13" s="21" t="n"/>
      <c r="KCM13" s="21" t="n"/>
      <c r="KCN13" s="21" t="n"/>
      <c r="KCO13" s="21" t="n"/>
      <c r="KCP13" s="21" t="n"/>
      <c r="KCQ13" s="21" t="n"/>
      <c r="KCR13" s="21" t="n"/>
      <c r="KCS13" s="21" t="n"/>
      <c r="KCT13" s="21" t="n"/>
      <c r="KCU13" s="21" t="n"/>
      <c r="KCV13" s="21" t="n"/>
      <c r="KCW13" s="21" t="n"/>
      <c r="KCX13" s="21" t="n"/>
      <c r="KCY13" s="21" t="n"/>
      <c r="KCZ13" s="21" t="n"/>
      <c r="KDA13" s="21" t="n"/>
      <c r="KDB13" s="21" t="n"/>
      <c r="KDC13" s="21" t="n"/>
      <c r="KDD13" s="21" t="n"/>
      <c r="KDE13" s="21" t="n"/>
      <c r="KDF13" s="21" t="n"/>
      <c r="KDG13" s="21" t="n"/>
      <c r="KDH13" s="21" t="n"/>
      <c r="KDI13" s="21" t="n"/>
      <c r="KDJ13" s="21" t="n"/>
      <c r="KDK13" s="21" t="n"/>
      <c r="KDL13" s="21" t="n"/>
      <c r="KDM13" s="21" t="n"/>
      <c r="KDN13" s="21" t="n"/>
      <c r="KDO13" s="21" t="n"/>
      <c r="KDP13" s="21" t="n"/>
      <c r="KDQ13" s="21" t="n"/>
      <c r="KDR13" s="21" t="n"/>
      <c r="KDS13" s="21" t="n"/>
      <c r="KDT13" s="21" t="n"/>
      <c r="KDU13" s="21" t="n"/>
      <c r="KDV13" s="21" t="n"/>
      <c r="KDW13" s="21" t="n"/>
      <c r="KDX13" s="21" t="n"/>
      <c r="KDY13" s="21" t="n"/>
      <c r="KDZ13" s="21" t="n"/>
      <c r="KEA13" s="21" t="n"/>
      <c r="KEB13" s="21" t="n"/>
      <c r="KEC13" s="21" t="n"/>
      <c r="KED13" s="21" t="n"/>
      <c r="KEE13" s="21" t="n"/>
      <c r="KEF13" s="21" t="n"/>
      <c r="KEG13" s="21" t="n"/>
      <c r="KEH13" s="21" t="n"/>
      <c r="KEI13" s="21" t="n"/>
      <c r="KEJ13" s="21" t="n"/>
      <c r="KEK13" s="21" t="n"/>
      <c r="KEL13" s="21" t="n"/>
      <c r="KEM13" s="21" t="n"/>
      <c r="KEN13" s="21" t="n"/>
      <c r="KEO13" s="21" t="n"/>
      <c r="KEP13" s="21" t="n"/>
      <c r="KEQ13" s="21" t="n"/>
      <c r="KER13" s="21" t="n"/>
      <c r="KES13" s="21" t="n"/>
      <c r="KET13" s="21" t="n"/>
      <c r="KEU13" s="21" t="n"/>
      <c r="KEV13" s="21" t="n"/>
      <c r="KEW13" s="21" t="n"/>
      <c r="KEX13" s="21" t="n"/>
      <c r="KEY13" s="21" t="n"/>
      <c r="KEZ13" s="21" t="n"/>
      <c r="KFA13" s="21" t="n"/>
      <c r="KFB13" s="21" t="n"/>
      <c r="KFC13" s="21" t="n"/>
      <c r="KFD13" s="21" t="n"/>
      <c r="KFE13" s="21" t="n"/>
      <c r="KFF13" s="21" t="n"/>
      <c r="KFG13" s="21" t="n"/>
      <c r="KFH13" s="21" t="n"/>
      <c r="KFI13" s="21" t="n"/>
      <c r="KFJ13" s="21" t="n"/>
      <c r="KFK13" s="21" t="n"/>
      <c r="KFL13" s="21" t="n"/>
      <c r="KFM13" s="21" t="n"/>
      <c r="KFN13" s="21" t="n"/>
      <c r="KFO13" s="21" t="n"/>
      <c r="KFP13" s="21" t="n"/>
      <c r="KFQ13" s="21" t="n"/>
      <c r="KFR13" s="21" t="n"/>
      <c r="KFS13" s="21" t="n"/>
      <c r="KFT13" s="21" t="n"/>
      <c r="KFU13" s="21" t="n"/>
      <c r="KFV13" s="21" t="n"/>
      <c r="KFW13" s="21" t="n"/>
      <c r="KFX13" s="21" t="n"/>
      <c r="KFY13" s="21" t="n"/>
      <c r="KFZ13" s="21" t="n"/>
      <c r="KGA13" s="21" t="n"/>
      <c r="KGB13" s="21" t="n"/>
      <c r="KGC13" s="21" t="n"/>
      <c r="KGD13" s="21" t="n"/>
      <c r="KGE13" s="21" t="n"/>
      <c r="KGF13" s="21" t="n"/>
      <c r="KGG13" s="21" t="n"/>
      <c r="KGH13" s="21" t="n"/>
      <c r="KGI13" s="21" t="n"/>
      <c r="KGJ13" s="21" t="n"/>
      <c r="KGK13" s="21" t="n"/>
      <c r="KGL13" s="21" t="n"/>
      <c r="KGM13" s="21" t="n"/>
      <c r="KGN13" s="21" t="n"/>
      <c r="KGO13" s="21" t="n"/>
      <c r="KGP13" s="21" t="n"/>
      <c r="KGQ13" s="21" t="n"/>
      <c r="KGR13" s="21" t="n"/>
      <c r="KGS13" s="21" t="n"/>
      <c r="KGT13" s="21" t="n"/>
      <c r="KGU13" s="21" t="n"/>
      <c r="KGV13" s="21" t="n"/>
      <c r="KGW13" s="21" t="n"/>
      <c r="KGX13" s="21" t="n"/>
      <c r="KGY13" s="21" t="n"/>
      <c r="KGZ13" s="21" t="n"/>
      <c r="KHA13" s="21" t="n"/>
      <c r="KHB13" s="21" t="n"/>
      <c r="KHC13" s="21" t="n"/>
      <c r="KHD13" s="21" t="n"/>
      <c r="KHE13" s="21" t="n"/>
      <c r="KHF13" s="21" t="n"/>
      <c r="KHG13" s="21" t="n"/>
      <c r="KHH13" s="21" t="n"/>
      <c r="KHI13" s="21" t="n"/>
      <c r="KHJ13" s="21" t="n"/>
      <c r="KHK13" s="21" t="n"/>
      <c r="KHL13" s="21" t="n"/>
      <c r="KHM13" s="21" t="n"/>
      <c r="KHN13" s="21" t="n"/>
      <c r="KHO13" s="21" t="n"/>
      <c r="KHP13" s="21" t="n"/>
      <c r="KHQ13" s="21" t="n"/>
      <c r="KHR13" s="21" t="n"/>
      <c r="KHS13" s="21" t="n"/>
      <c r="KHT13" s="21" t="n"/>
      <c r="KHU13" s="21" t="n"/>
      <c r="KHV13" s="21" t="n"/>
      <c r="KHW13" s="21" t="n"/>
      <c r="KHX13" s="21" t="n"/>
      <c r="KHY13" s="21" t="n"/>
      <c r="KHZ13" s="21" t="n"/>
      <c r="KIA13" s="21" t="n"/>
      <c r="KIB13" s="21" t="n"/>
      <c r="KIC13" s="21" t="n"/>
      <c r="KID13" s="21" t="n"/>
      <c r="KIE13" s="21" t="n"/>
      <c r="KIF13" s="21" t="n"/>
      <c r="KIG13" s="21" t="n"/>
      <c r="KIH13" s="21" t="n"/>
      <c r="KII13" s="21" t="n"/>
      <c r="KIJ13" s="21" t="n"/>
      <c r="KIK13" s="21" t="n"/>
      <c r="KIL13" s="21" t="n"/>
      <c r="KIM13" s="21" t="n"/>
      <c r="KIN13" s="21" t="n"/>
      <c r="KIO13" s="21" t="n"/>
      <c r="KIP13" s="21" t="n"/>
      <c r="KIQ13" s="21" t="n"/>
      <c r="KIR13" s="21" t="n"/>
      <c r="KIS13" s="21" t="n"/>
      <c r="KIT13" s="21" t="n"/>
      <c r="KIU13" s="21" t="n"/>
      <c r="KIV13" s="21" t="n"/>
      <c r="KIW13" s="21" t="n"/>
      <c r="KIX13" s="21" t="n"/>
      <c r="KIY13" s="21" t="n"/>
      <c r="KIZ13" s="21" t="n"/>
      <c r="KJA13" s="21" t="n"/>
      <c r="KJB13" s="21" t="n"/>
      <c r="KJC13" s="21" t="n"/>
      <c r="KJD13" s="21" t="n"/>
      <c r="KJE13" s="21" t="n"/>
      <c r="KJF13" s="21" t="n"/>
      <c r="KJG13" s="21" t="n"/>
      <c r="KJH13" s="21" t="n"/>
      <c r="KJI13" s="21" t="n"/>
      <c r="KJJ13" s="21" t="n"/>
      <c r="KJK13" s="21" t="n"/>
      <c r="KJL13" s="21" t="n"/>
      <c r="KJM13" s="21" t="n"/>
      <c r="KJN13" s="21" t="n"/>
      <c r="KJO13" s="21" t="n"/>
      <c r="KJP13" s="21" t="n"/>
      <c r="KJQ13" s="21" t="n"/>
      <c r="KJR13" s="21" t="n"/>
      <c r="KJS13" s="21" t="n"/>
      <c r="KJT13" s="21" t="n"/>
      <c r="KJU13" s="21" t="n"/>
      <c r="KJV13" s="21" t="n"/>
      <c r="KJW13" s="21" t="n"/>
      <c r="KJX13" s="21" t="n"/>
      <c r="KJY13" s="21" t="n"/>
      <c r="KJZ13" s="21" t="n"/>
      <c r="KKA13" s="21" t="n"/>
      <c r="KKB13" s="21" t="n"/>
      <c r="KKC13" s="21" t="n"/>
      <c r="KKD13" s="21" t="n"/>
      <c r="KKE13" s="21" t="n"/>
      <c r="KKF13" s="21" t="n"/>
      <c r="KKG13" s="21" t="n"/>
      <c r="KKH13" s="21" t="n"/>
      <c r="KKI13" s="21" t="n"/>
      <c r="KKJ13" s="21" t="n"/>
      <c r="KKK13" s="21" t="n"/>
      <c r="KKL13" s="21" t="n"/>
      <c r="KKM13" s="21" t="n"/>
      <c r="KKN13" s="21" t="n"/>
      <c r="KKO13" s="21" t="n"/>
      <c r="KKP13" s="21" t="n"/>
      <c r="KKQ13" s="21" t="n"/>
      <c r="KKR13" s="21" t="n"/>
      <c r="KKS13" s="21" t="n"/>
      <c r="KKT13" s="21" t="n"/>
      <c r="KKU13" s="21" t="n"/>
      <c r="KKV13" s="21" t="n"/>
      <c r="KKW13" s="21" t="n"/>
      <c r="KKX13" s="21" t="n"/>
      <c r="KKY13" s="21" t="n"/>
      <c r="KKZ13" s="21" t="n"/>
      <c r="KLA13" s="21" t="n"/>
      <c r="KLB13" s="21" t="n"/>
      <c r="KLC13" s="21" t="n"/>
      <c r="KLD13" s="21" t="n"/>
      <c r="KLE13" s="21" t="n"/>
      <c r="KLF13" s="21" t="n"/>
      <c r="KLG13" s="21" t="n"/>
      <c r="KLH13" s="21" t="n"/>
      <c r="KLI13" s="21" t="n"/>
      <c r="KLJ13" s="21" t="n"/>
      <c r="KLK13" s="21" t="n"/>
      <c r="KLL13" s="21" t="n"/>
      <c r="KLM13" s="21" t="n"/>
      <c r="KLN13" s="21" t="n"/>
      <c r="KLO13" s="21" t="n"/>
      <c r="KLP13" s="21" t="n"/>
      <c r="KLQ13" s="21" t="n"/>
      <c r="KLR13" s="21" t="n"/>
      <c r="KLS13" s="21" t="n"/>
      <c r="KLT13" s="21" t="n"/>
      <c r="KLU13" s="21" t="n"/>
      <c r="KLV13" s="21" t="n"/>
      <c r="KLW13" s="21" t="n"/>
      <c r="KLX13" s="21" t="n"/>
      <c r="KLY13" s="21" t="n"/>
      <c r="KLZ13" s="21" t="n"/>
      <c r="KMA13" s="21" t="n"/>
      <c r="KMB13" s="21" t="n"/>
      <c r="KMC13" s="21" t="n"/>
      <c r="KMD13" s="21" t="n"/>
      <c r="KME13" s="21" t="n"/>
      <c r="KMF13" s="21" t="n"/>
      <c r="KMG13" s="21" t="n"/>
      <c r="KMH13" s="21" t="n"/>
      <c r="KMI13" s="21" t="n"/>
      <c r="KMJ13" s="21" t="n"/>
      <c r="KMK13" s="21" t="n"/>
      <c r="KML13" s="21" t="n"/>
      <c r="KMM13" s="21" t="n"/>
      <c r="KMN13" s="21" t="n"/>
      <c r="KMO13" s="21" t="n"/>
      <c r="KMP13" s="21" t="n"/>
      <c r="KMQ13" s="21" t="n"/>
      <c r="KMR13" s="21" t="n"/>
      <c r="KMS13" s="21" t="n"/>
      <c r="KMT13" s="21" t="n"/>
      <c r="KMU13" s="21" t="n"/>
      <c r="KMV13" s="21" t="n"/>
      <c r="KMW13" s="21" t="n"/>
      <c r="KMX13" s="21" t="n"/>
      <c r="KMY13" s="21" t="n"/>
      <c r="KMZ13" s="21" t="n"/>
      <c r="KNA13" s="21" t="n"/>
      <c r="KNB13" s="21" t="n"/>
      <c r="KNC13" s="21" t="n"/>
      <c r="KND13" s="21" t="n"/>
      <c r="KNE13" s="21" t="n"/>
      <c r="KNF13" s="21" t="n"/>
      <c r="KNG13" s="21" t="n"/>
      <c r="KNH13" s="21" t="n"/>
      <c r="KNI13" s="21" t="n"/>
      <c r="KNJ13" s="21" t="n"/>
      <c r="KNK13" s="21" t="n"/>
      <c r="KNL13" s="21" t="n"/>
      <c r="KNM13" s="21" t="n"/>
      <c r="KNN13" s="21" t="n"/>
      <c r="KNO13" s="21" t="n"/>
      <c r="KNP13" s="21" t="n"/>
      <c r="KNQ13" s="21" t="n"/>
      <c r="KNR13" s="21" t="n"/>
      <c r="KNS13" s="21" t="n"/>
      <c r="KNT13" s="21" t="n"/>
      <c r="KNU13" s="21" t="n"/>
      <c r="KNV13" s="21" t="n"/>
      <c r="KNW13" s="21" t="n"/>
      <c r="KNX13" s="21" t="n"/>
      <c r="KNY13" s="21" t="n"/>
      <c r="KNZ13" s="21" t="n"/>
      <c r="KOA13" s="21" t="n"/>
      <c r="KOB13" s="21" t="n"/>
      <c r="KOC13" s="21" t="n"/>
      <c r="KOD13" s="21" t="n"/>
      <c r="KOE13" s="21" t="n"/>
      <c r="KOF13" s="21" t="n"/>
      <c r="KOG13" s="21" t="n"/>
      <c r="KOH13" s="21" t="n"/>
      <c r="KOI13" s="21" t="n"/>
      <c r="KOJ13" s="21" t="n"/>
      <c r="KOK13" s="21" t="n"/>
      <c r="KOL13" s="21" t="n"/>
      <c r="KOM13" s="21" t="n"/>
      <c r="KON13" s="21" t="n"/>
      <c r="KOO13" s="21" t="n"/>
      <c r="KOP13" s="21" t="n"/>
      <c r="KOQ13" s="21" t="n"/>
      <c r="KOR13" s="21" t="n"/>
      <c r="KOS13" s="21" t="n"/>
      <c r="KOT13" s="21" t="n"/>
      <c r="KOU13" s="21" t="n"/>
      <c r="KOV13" s="21" t="n"/>
      <c r="KOW13" s="21" t="n"/>
      <c r="KOX13" s="21" t="n"/>
      <c r="KOY13" s="21" t="n"/>
      <c r="KOZ13" s="21" t="n"/>
      <c r="KPA13" s="21" t="n"/>
      <c r="KPB13" s="21" t="n"/>
      <c r="KPC13" s="21" t="n"/>
      <c r="KPD13" s="21" t="n"/>
      <c r="KPE13" s="21" t="n"/>
      <c r="KPF13" s="21" t="n"/>
      <c r="KPG13" s="21" t="n"/>
      <c r="KPH13" s="21" t="n"/>
      <c r="KPI13" s="21" t="n"/>
      <c r="KPJ13" s="21" t="n"/>
      <c r="KPK13" s="21" t="n"/>
      <c r="KPL13" s="21" t="n"/>
      <c r="KPM13" s="21" t="n"/>
      <c r="KPN13" s="21" t="n"/>
      <c r="KPO13" s="21" t="n"/>
      <c r="KPP13" s="21" t="n"/>
      <c r="KPQ13" s="21" t="n"/>
      <c r="KPR13" s="21" t="n"/>
      <c r="KPS13" s="21" t="n"/>
      <c r="KPT13" s="21" t="n"/>
      <c r="KPU13" s="21" t="n"/>
      <c r="KPV13" s="21" t="n"/>
      <c r="KPW13" s="21" t="n"/>
      <c r="KPX13" s="21" t="n"/>
      <c r="KPY13" s="21" t="n"/>
      <c r="KPZ13" s="21" t="n"/>
      <c r="KQA13" s="21" t="n"/>
      <c r="KQB13" s="21" t="n"/>
      <c r="KQC13" s="21" t="n"/>
      <c r="KQD13" s="21" t="n"/>
      <c r="KQE13" s="21" t="n"/>
      <c r="KQF13" s="21" t="n"/>
      <c r="KQG13" s="21" t="n"/>
      <c r="KQH13" s="21" t="n"/>
      <c r="KQI13" s="21" t="n"/>
      <c r="KQJ13" s="21" t="n"/>
      <c r="KQK13" s="21" t="n"/>
      <c r="KQL13" s="21" t="n"/>
      <c r="KQM13" s="21" t="n"/>
      <c r="KQN13" s="21" t="n"/>
      <c r="KQO13" s="21" t="n"/>
      <c r="KQP13" s="21" t="n"/>
      <c r="KQQ13" s="21" t="n"/>
      <c r="KQR13" s="21" t="n"/>
      <c r="KQS13" s="21" t="n"/>
      <c r="KQT13" s="21" t="n"/>
      <c r="KQU13" s="21" t="n"/>
      <c r="KQV13" s="21" t="n"/>
      <c r="KQW13" s="21" t="n"/>
      <c r="KQX13" s="21" t="n"/>
      <c r="KQY13" s="21" t="n"/>
      <c r="KQZ13" s="21" t="n"/>
      <c r="KRA13" s="21" t="n"/>
      <c r="KRB13" s="21" t="n"/>
      <c r="KRC13" s="21" t="n"/>
      <c r="KRD13" s="21" t="n"/>
      <c r="KRE13" s="21" t="n"/>
      <c r="KRF13" s="21" t="n"/>
      <c r="KRG13" s="21" t="n"/>
      <c r="KRH13" s="21" t="n"/>
      <c r="KRI13" s="21" t="n"/>
      <c r="KRJ13" s="21" t="n"/>
      <c r="KRK13" s="21" t="n"/>
      <c r="KRL13" s="21" t="n"/>
      <c r="KRM13" s="21" t="n"/>
      <c r="KRN13" s="21" t="n"/>
      <c r="KRO13" s="21" t="n"/>
      <c r="KRP13" s="21" t="n"/>
      <c r="KRQ13" s="21" t="n"/>
      <c r="KRR13" s="21" t="n"/>
      <c r="KRS13" s="21" t="n"/>
      <c r="KRT13" s="21" t="n"/>
      <c r="KRU13" s="21" t="n"/>
      <c r="KRV13" s="21" t="n"/>
      <c r="KRW13" s="21" t="n"/>
      <c r="KRX13" s="21" t="n"/>
      <c r="KRY13" s="21" t="n"/>
      <c r="KRZ13" s="21" t="n"/>
      <c r="KSA13" s="21" t="n"/>
      <c r="KSB13" s="21" t="n"/>
      <c r="KSC13" s="21" t="n"/>
      <c r="KSD13" s="21" t="n"/>
      <c r="KSE13" s="21" t="n"/>
      <c r="KSF13" s="21" t="n"/>
      <c r="KSG13" s="21" t="n"/>
      <c r="KSH13" s="21" t="n"/>
      <c r="KSI13" s="21" t="n"/>
      <c r="KSJ13" s="21" t="n"/>
      <c r="KSK13" s="21" t="n"/>
      <c r="KSL13" s="21" t="n"/>
      <c r="KSM13" s="21" t="n"/>
      <c r="KSN13" s="21" t="n"/>
      <c r="KSO13" s="21" t="n"/>
      <c r="KSP13" s="21" t="n"/>
      <c r="KSQ13" s="21" t="n"/>
      <c r="KSR13" s="21" t="n"/>
      <c r="KSS13" s="21" t="n"/>
      <c r="KST13" s="21" t="n"/>
      <c r="KSU13" s="21" t="n"/>
      <c r="KSV13" s="21" t="n"/>
      <c r="KSW13" s="21" t="n"/>
      <c r="KSX13" s="21" t="n"/>
      <c r="KSY13" s="21" t="n"/>
      <c r="KSZ13" s="21" t="n"/>
      <c r="KTA13" s="21" t="n"/>
      <c r="KTB13" s="21" t="n"/>
      <c r="KTC13" s="21" t="n"/>
      <c r="KTD13" s="21" t="n"/>
      <c r="KTE13" s="21" t="n"/>
      <c r="KTF13" s="21" t="n"/>
      <c r="KTG13" s="21" t="n"/>
      <c r="KTH13" s="21" t="n"/>
      <c r="KTI13" s="21" t="n"/>
      <c r="KTJ13" s="21" t="n"/>
      <c r="KTK13" s="21" t="n"/>
      <c r="KTL13" s="21" t="n"/>
      <c r="KTM13" s="21" t="n"/>
      <c r="KTN13" s="21" t="n"/>
      <c r="KTO13" s="21" t="n"/>
      <c r="KTP13" s="21" t="n"/>
      <c r="KTQ13" s="21" t="n"/>
      <c r="KTR13" s="21" t="n"/>
      <c r="KTS13" s="21" t="n"/>
      <c r="KTT13" s="21" t="n"/>
      <c r="KTU13" s="21" t="n"/>
      <c r="KTV13" s="21" t="n"/>
      <c r="KTW13" s="21" t="n"/>
      <c r="KTX13" s="21" t="n"/>
      <c r="KTY13" s="21" t="n"/>
      <c r="KTZ13" s="21" t="n"/>
      <c r="KUA13" s="21" t="n"/>
      <c r="KUB13" s="21" t="n"/>
      <c r="KUC13" s="21" t="n"/>
      <c r="KUD13" s="21" t="n"/>
      <c r="KUE13" s="21" t="n"/>
      <c r="KUF13" s="21" t="n"/>
      <c r="KUG13" s="21" t="n"/>
      <c r="KUH13" s="21" t="n"/>
      <c r="KUI13" s="21" t="n"/>
      <c r="KUJ13" s="21" t="n"/>
      <c r="KUK13" s="21" t="n"/>
      <c r="KUL13" s="21" t="n"/>
      <c r="KUM13" s="21" t="n"/>
      <c r="KUN13" s="21" t="n"/>
      <c r="KUO13" s="21" t="n"/>
      <c r="KUP13" s="21" t="n"/>
      <c r="KUQ13" s="21" t="n"/>
      <c r="KUR13" s="21" t="n"/>
      <c r="KUS13" s="21" t="n"/>
      <c r="KUT13" s="21" t="n"/>
      <c r="KUU13" s="21" t="n"/>
      <c r="KUV13" s="21" t="n"/>
      <c r="KUW13" s="21" t="n"/>
      <c r="KUX13" s="21" t="n"/>
      <c r="KUY13" s="21" t="n"/>
      <c r="KUZ13" s="21" t="n"/>
      <c r="KVA13" s="21" t="n"/>
      <c r="KVB13" s="21" t="n"/>
      <c r="KVC13" s="21" t="n"/>
      <c r="KVD13" s="21" t="n"/>
      <c r="KVE13" s="21" t="n"/>
      <c r="KVF13" s="21" t="n"/>
      <c r="KVG13" s="21" t="n"/>
      <c r="KVH13" s="21" t="n"/>
      <c r="KVI13" s="21" t="n"/>
      <c r="KVJ13" s="21" t="n"/>
      <c r="KVK13" s="21" t="n"/>
      <c r="KVL13" s="21" t="n"/>
      <c r="KVM13" s="21" t="n"/>
      <c r="KVN13" s="21" t="n"/>
      <c r="KVO13" s="21" t="n"/>
      <c r="KVP13" s="21" t="n"/>
      <c r="KVQ13" s="21" t="n"/>
      <c r="KVR13" s="21" t="n"/>
      <c r="KVS13" s="21" t="n"/>
      <c r="KVT13" s="21" t="n"/>
      <c r="KVU13" s="21" t="n"/>
      <c r="KVV13" s="21" t="n"/>
      <c r="KVW13" s="21" t="n"/>
      <c r="KVX13" s="21" t="n"/>
      <c r="KVY13" s="21" t="n"/>
      <c r="KVZ13" s="21" t="n"/>
      <c r="KWA13" s="21" t="n"/>
      <c r="KWB13" s="21" t="n"/>
      <c r="KWC13" s="21" t="n"/>
      <c r="KWD13" s="21" t="n"/>
      <c r="KWE13" s="21" t="n"/>
      <c r="KWF13" s="21" t="n"/>
      <c r="KWG13" s="21" t="n"/>
      <c r="KWH13" s="21" t="n"/>
      <c r="KWI13" s="21" t="n"/>
      <c r="KWJ13" s="21" t="n"/>
      <c r="KWK13" s="21" t="n"/>
      <c r="KWL13" s="21" t="n"/>
      <c r="KWM13" s="21" t="n"/>
      <c r="KWN13" s="21" t="n"/>
      <c r="KWO13" s="21" t="n"/>
      <c r="KWP13" s="21" t="n"/>
      <c r="KWQ13" s="21" t="n"/>
      <c r="KWR13" s="21" t="n"/>
      <c r="KWS13" s="21" t="n"/>
      <c r="KWT13" s="21" t="n"/>
      <c r="KWU13" s="21" t="n"/>
      <c r="KWV13" s="21" t="n"/>
      <c r="KWW13" s="21" t="n"/>
      <c r="KWX13" s="21" t="n"/>
      <c r="KWY13" s="21" t="n"/>
      <c r="KWZ13" s="21" t="n"/>
      <c r="KXA13" s="21" t="n"/>
      <c r="KXB13" s="21" t="n"/>
      <c r="KXC13" s="21" t="n"/>
      <c r="KXD13" s="21" t="n"/>
      <c r="KXE13" s="21" t="n"/>
      <c r="KXF13" s="21" t="n"/>
      <c r="KXG13" s="21" t="n"/>
      <c r="KXH13" s="21" t="n"/>
      <c r="KXI13" s="21" t="n"/>
      <c r="KXJ13" s="21" t="n"/>
      <c r="KXK13" s="21" t="n"/>
      <c r="KXL13" s="21" t="n"/>
      <c r="KXM13" s="21" t="n"/>
      <c r="KXN13" s="21" t="n"/>
      <c r="KXO13" s="21" t="n"/>
      <c r="KXP13" s="21" t="n"/>
      <c r="KXQ13" s="21" t="n"/>
      <c r="KXR13" s="21" t="n"/>
      <c r="KXS13" s="21" t="n"/>
      <c r="KXT13" s="21" t="n"/>
      <c r="KXU13" s="21" t="n"/>
      <c r="KXV13" s="21" t="n"/>
      <c r="KXW13" s="21" t="n"/>
      <c r="KXX13" s="21" t="n"/>
      <c r="KXY13" s="21" t="n"/>
      <c r="KXZ13" s="21" t="n"/>
      <c r="KYA13" s="21" t="n"/>
      <c r="KYB13" s="21" t="n"/>
      <c r="KYC13" s="21" t="n"/>
      <c r="KYD13" s="21" t="n"/>
      <c r="KYE13" s="21" t="n"/>
      <c r="KYF13" s="21" t="n"/>
      <c r="KYG13" s="21" t="n"/>
      <c r="KYH13" s="21" t="n"/>
      <c r="KYI13" s="21" t="n"/>
      <c r="KYJ13" s="21" t="n"/>
      <c r="KYK13" s="21" t="n"/>
      <c r="KYL13" s="21" t="n"/>
      <c r="KYM13" s="21" t="n"/>
      <c r="KYN13" s="21" t="n"/>
      <c r="KYO13" s="21" t="n"/>
      <c r="KYP13" s="21" t="n"/>
      <c r="KYQ13" s="21" t="n"/>
      <c r="KYR13" s="21" t="n"/>
      <c r="KYS13" s="21" t="n"/>
      <c r="KYT13" s="21" t="n"/>
      <c r="KYU13" s="21" t="n"/>
      <c r="KYV13" s="21" t="n"/>
      <c r="KYW13" s="21" t="n"/>
      <c r="KYX13" s="21" t="n"/>
      <c r="KYY13" s="21" t="n"/>
      <c r="KYZ13" s="21" t="n"/>
      <c r="KZA13" s="21" t="n"/>
      <c r="KZB13" s="21" t="n"/>
      <c r="KZC13" s="21" t="n"/>
      <c r="KZD13" s="21" t="n"/>
      <c r="KZE13" s="21" t="n"/>
      <c r="KZF13" s="21" t="n"/>
      <c r="KZG13" s="21" t="n"/>
      <c r="KZH13" s="21" t="n"/>
      <c r="KZI13" s="21" t="n"/>
      <c r="KZJ13" s="21" t="n"/>
      <c r="KZK13" s="21" t="n"/>
      <c r="KZL13" s="21" t="n"/>
      <c r="KZM13" s="21" t="n"/>
      <c r="KZN13" s="21" t="n"/>
      <c r="KZO13" s="21" t="n"/>
      <c r="KZP13" s="21" t="n"/>
      <c r="KZQ13" s="21" t="n"/>
      <c r="KZR13" s="21" t="n"/>
      <c r="KZS13" s="21" t="n"/>
      <c r="KZT13" s="21" t="n"/>
      <c r="KZU13" s="21" t="n"/>
      <c r="KZV13" s="21" t="n"/>
      <c r="KZW13" s="21" t="n"/>
      <c r="KZX13" s="21" t="n"/>
      <c r="KZY13" s="21" t="n"/>
      <c r="KZZ13" s="21" t="n"/>
      <c r="LAA13" s="21" t="n"/>
      <c r="LAB13" s="21" t="n"/>
      <c r="LAC13" s="21" t="n"/>
      <c r="LAD13" s="21" t="n"/>
      <c r="LAE13" s="21" t="n"/>
      <c r="LAF13" s="21" t="n"/>
      <c r="LAG13" s="21" t="n"/>
      <c r="LAH13" s="21" t="n"/>
      <c r="LAI13" s="21" t="n"/>
      <c r="LAJ13" s="21" t="n"/>
      <c r="LAK13" s="21" t="n"/>
      <c r="LAL13" s="21" t="n"/>
      <c r="LAM13" s="21" t="n"/>
      <c r="LAN13" s="21" t="n"/>
      <c r="LAO13" s="21" t="n"/>
      <c r="LAP13" s="21" t="n"/>
      <c r="LAQ13" s="21" t="n"/>
      <c r="LAR13" s="21" t="n"/>
      <c r="LAS13" s="21" t="n"/>
      <c r="LAT13" s="21" t="n"/>
      <c r="LAU13" s="21" t="n"/>
      <c r="LAV13" s="21" t="n"/>
      <c r="LAW13" s="21" t="n"/>
      <c r="LAX13" s="21" t="n"/>
      <c r="LAY13" s="21" t="n"/>
      <c r="LAZ13" s="21" t="n"/>
      <c r="LBA13" s="21" t="n"/>
      <c r="LBB13" s="21" t="n"/>
      <c r="LBC13" s="21" t="n"/>
      <c r="LBD13" s="21" t="n"/>
      <c r="LBE13" s="21" t="n"/>
      <c r="LBF13" s="21" t="n"/>
      <c r="LBG13" s="21" t="n"/>
      <c r="LBH13" s="21" t="n"/>
      <c r="LBI13" s="21" t="n"/>
      <c r="LBJ13" s="21" t="n"/>
      <c r="LBK13" s="21" t="n"/>
      <c r="LBL13" s="21" t="n"/>
      <c r="LBM13" s="21" t="n"/>
      <c r="LBN13" s="21" t="n"/>
      <c r="LBO13" s="21" t="n"/>
      <c r="LBP13" s="21" t="n"/>
      <c r="LBQ13" s="21" t="n"/>
      <c r="LBR13" s="21" t="n"/>
      <c r="LBS13" s="21" t="n"/>
      <c r="LBT13" s="21" t="n"/>
      <c r="LBU13" s="21" t="n"/>
      <c r="LBV13" s="21" t="n"/>
      <c r="LBW13" s="21" t="n"/>
      <c r="LBX13" s="21" t="n"/>
      <c r="LBY13" s="21" t="n"/>
      <c r="LBZ13" s="21" t="n"/>
      <c r="LCA13" s="21" t="n"/>
      <c r="LCB13" s="21" t="n"/>
      <c r="LCC13" s="21" t="n"/>
      <c r="LCD13" s="21" t="n"/>
      <c r="LCE13" s="21" t="n"/>
      <c r="LCF13" s="21" t="n"/>
      <c r="LCG13" s="21" t="n"/>
      <c r="LCH13" s="21" t="n"/>
      <c r="LCI13" s="21" t="n"/>
      <c r="LCJ13" s="21" t="n"/>
      <c r="LCK13" s="21" t="n"/>
      <c r="LCL13" s="21" t="n"/>
      <c r="LCM13" s="21" t="n"/>
      <c r="LCN13" s="21" t="n"/>
      <c r="LCO13" s="21" t="n"/>
      <c r="LCP13" s="21" t="n"/>
      <c r="LCQ13" s="21" t="n"/>
      <c r="LCR13" s="21" t="n"/>
      <c r="LCS13" s="21" t="n"/>
      <c r="LCT13" s="21" t="n"/>
      <c r="LCU13" s="21" t="n"/>
      <c r="LCV13" s="21" t="n"/>
      <c r="LCW13" s="21" t="n"/>
      <c r="LCX13" s="21" t="n"/>
      <c r="LCY13" s="21" t="n"/>
      <c r="LCZ13" s="21" t="n"/>
      <c r="LDA13" s="21" t="n"/>
      <c r="LDB13" s="21" t="n"/>
      <c r="LDC13" s="21" t="n"/>
      <c r="LDD13" s="21" t="n"/>
      <c r="LDE13" s="21" t="n"/>
      <c r="LDF13" s="21" t="n"/>
      <c r="LDG13" s="21" t="n"/>
      <c r="LDH13" s="21" t="n"/>
      <c r="LDI13" s="21" t="n"/>
      <c r="LDJ13" s="21" t="n"/>
      <c r="LDK13" s="21" t="n"/>
      <c r="LDL13" s="21" t="n"/>
      <c r="LDM13" s="21" t="n"/>
      <c r="LDN13" s="21" t="n"/>
      <c r="LDO13" s="21" t="n"/>
      <c r="LDP13" s="21" t="n"/>
      <c r="LDQ13" s="21" t="n"/>
      <c r="LDR13" s="21" t="n"/>
      <c r="LDS13" s="21" t="n"/>
      <c r="LDT13" s="21" t="n"/>
      <c r="LDU13" s="21" t="n"/>
      <c r="LDV13" s="21" t="n"/>
      <c r="LDW13" s="21" t="n"/>
      <c r="LDX13" s="21" t="n"/>
      <c r="LDY13" s="21" t="n"/>
      <c r="LDZ13" s="21" t="n"/>
      <c r="LEA13" s="21" t="n"/>
      <c r="LEB13" s="21" t="n"/>
      <c r="LEC13" s="21" t="n"/>
      <c r="LED13" s="21" t="n"/>
      <c r="LEE13" s="21" t="n"/>
      <c r="LEF13" s="21" t="n"/>
      <c r="LEG13" s="21" t="n"/>
      <c r="LEH13" s="21" t="n"/>
      <c r="LEI13" s="21" t="n"/>
      <c r="LEJ13" s="21" t="n"/>
      <c r="LEK13" s="21" t="n"/>
      <c r="LEL13" s="21" t="n"/>
      <c r="LEM13" s="21" t="n"/>
      <c r="LEN13" s="21" t="n"/>
      <c r="LEO13" s="21" t="n"/>
      <c r="LEP13" s="21" t="n"/>
      <c r="LEQ13" s="21" t="n"/>
      <c r="LER13" s="21" t="n"/>
      <c r="LES13" s="21" t="n"/>
      <c r="LET13" s="21" t="n"/>
      <c r="LEU13" s="21" t="n"/>
      <c r="LEV13" s="21" t="n"/>
      <c r="LEW13" s="21" t="n"/>
      <c r="LEX13" s="21" t="n"/>
      <c r="LEY13" s="21" t="n"/>
      <c r="LEZ13" s="21" t="n"/>
      <c r="LFA13" s="21" t="n"/>
      <c r="LFB13" s="21" t="n"/>
      <c r="LFC13" s="21" t="n"/>
      <c r="LFD13" s="21" t="n"/>
      <c r="LFE13" s="21" t="n"/>
      <c r="LFF13" s="21" t="n"/>
      <c r="LFG13" s="21" t="n"/>
      <c r="LFH13" s="21" t="n"/>
      <c r="LFI13" s="21" t="n"/>
      <c r="LFJ13" s="21" t="n"/>
      <c r="LFK13" s="21" t="n"/>
      <c r="LFL13" s="21" t="n"/>
      <c r="LFM13" s="21" t="n"/>
      <c r="LFN13" s="21" t="n"/>
      <c r="LFO13" s="21" t="n"/>
      <c r="LFP13" s="21" t="n"/>
      <c r="LFQ13" s="21" t="n"/>
      <c r="LFR13" s="21" t="n"/>
      <c r="LFS13" s="21" t="n"/>
      <c r="LFT13" s="21" t="n"/>
      <c r="LFU13" s="21" t="n"/>
      <c r="LFV13" s="21" t="n"/>
      <c r="LFW13" s="21" t="n"/>
      <c r="LFX13" s="21" t="n"/>
      <c r="LFY13" s="21" t="n"/>
      <c r="LFZ13" s="21" t="n"/>
      <c r="LGA13" s="21" t="n"/>
      <c r="LGB13" s="21" t="n"/>
      <c r="LGC13" s="21" t="n"/>
      <c r="LGD13" s="21" t="n"/>
      <c r="LGE13" s="21" t="n"/>
      <c r="LGF13" s="21" t="n"/>
      <c r="LGG13" s="21" t="n"/>
      <c r="LGH13" s="21" t="n"/>
      <c r="LGI13" s="21" t="n"/>
      <c r="LGJ13" s="21" t="n"/>
      <c r="LGK13" s="21" t="n"/>
      <c r="LGL13" s="21" t="n"/>
      <c r="LGM13" s="21" t="n"/>
      <c r="LGN13" s="21" t="n"/>
      <c r="LGO13" s="21" t="n"/>
      <c r="LGP13" s="21" t="n"/>
      <c r="LGQ13" s="21" t="n"/>
      <c r="LGR13" s="21" t="n"/>
      <c r="LGS13" s="21" t="n"/>
      <c r="LGT13" s="21" t="n"/>
      <c r="LGU13" s="21" t="n"/>
      <c r="LGV13" s="21" t="n"/>
      <c r="LGW13" s="21" t="n"/>
      <c r="LGX13" s="21" t="n"/>
      <c r="LGY13" s="21" t="n"/>
      <c r="LGZ13" s="21" t="n"/>
      <c r="LHA13" s="21" t="n"/>
      <c r="LHB13" s="21" t="n"/>
      <c r="LHC13" s="21" t="n"/>
      <c r="LHD13" s="21" t="n"/>
      <c r="LHE13" s="21" t="n"/>
      <c r="LHF13" s="21" t="n"/>
      <c r="LHG13" s="21" t="n"/>
      <c r="LHH13" s="21" t="n"/>
      <c r="LHI13" s="21" t="n"/>
      <c r="LHJ13" s="21" t="n"/>
      <c r="LHK13" s="21" t="n"/>
      <c r="LHL13" s="21" t="n"/>
      <c r="LHM13" s="21" t="n"/>
      <c r="LHN13" s="21" t="n"/>
      <c r="LHO13" s="21" t="n"/>
      <c r="LHP13" s="21" t="n"/>
      <c r="LHQ13" s="21" t="n"/>
      <c r="LHR13" s="21" t="n"/>
      <c r="LHS13" s="21" t="n"/>
      <c r="LHT13" s="21" t="n"/>
      <c r="LHU13" s="21" t="n"/>
      <c r="LHV13" s="21" t="n"/>
      <c r="LHW13" s="21" t="n"/>
      <c r="LHX13" s="21" t="n"/>
      <c r="LHY13" s="21" t="n"/>
      <c r="LHZ13" s="21" t="n"/>
      <c r="LIA13" s="21" t="n"/>
      <c r="LIB13" s="21" t="n"/>
      <c r="LIC13" s="21" t="n"/>
      <c r="LID13" s="21" t="n"/>
      <c r="LIE13" s="21" t="n"/>
      <c r="LIF13" s="21" t="n"/>
      <c r="LIG13" s="21" t="n"/>
      <c r="LIH13" s="21" t="n"/>
      <c r="LII13" s="21" t="n"/>
      <c r="LIJ13" s="21" t="n"/>
      <c r="LIK13" s="21" t="n"/>
      <c r="LIL13" s="21" t="n"/>
      <c r="LIM13" s="21" t="n"/>
      <c r="LIN13" s="21" t="n"/>
      <c r="LIO13" s="21" t="n"/>
      <c r="LIP13" s="21" t="n"/>
      <c r="LIQ13" s="21" t="n"/>
      <c r="LIR13" s="21" t="n"/>
      <c r="LIS13" s="21" t="n"/>
      <c r="LIT13" s="21" t="n"/>
      <c r="LIU13" s="21" t="n"/>
      <c r="LIV13" s="21" t="n"/>
      <c r="LIW13" s="21" t="n"/>
      <c r="LIX13" s="21" t="n"/>
      <c r="LIY13" s="21" t="n"/>
      <c r="LIZ13" s="21" t="n"/>
      <c r="LJA13" s="21" t="n"/>
      <c r="LJB13" s="21" t="n"/>
      <c r="LJC13" s="21" t="n"/>
      <c r="LJD13" s="21" t="n"/>
      <c r="LJE13" s="21" t="n"/>
      <c r="LJF13" s="21" t="n"/>
      <c r="LJG13" s="21" t="n"/>
      <c r="LJH13" s="21" t="n"/>
      <c r="LJI13" s="21" t="n"/>
      <c r="LJJ13" s="21" t="n"/>
      <c r="LJK13" s="21" t="n"/>
      <c r="LJL13" s="21" t="n"/>
      <c r="LJM13" s="21" t="n"/>
      <c r="LJN13" s="21" t="n"/>
      <c r="LJO13" s="21" t="n"/>
      <c r="LJP13" s="21" t="n"/>
      <c r="LJQ13" s="21" t="n"/>
      <c r="LJR13" s="21" t="n"/>
      <c r="LJS13" s="21" t="n"/>
      <c r="LJT13" s="21" t="n"/>
      <c r="LJU13" s="21" t="n"/>
      <c r="LJV13" s="21" t="n"/>
      <c r="LJW13" s="21" t="n"/>
      <c r="LJX13" s="21" t="n"/>
      <c r="LJY13" s="21" t="n"/>
      <c r="LJZ13" s="21" t="n"/>
      <c r="LKA13" s="21" t="n"/>
      <c r="LKB13" s="21" t="n"/>
      <c r="LKC13" s="21" t="n"/>
      <c r="LKD13" s="21" t="n"/>
      <c r="LKE13" s="21" t="n"/>
      <c r="LKF13" s="21" t="n"/>
      <c r="LKG13" s="21" t="n"/>
      <c r="LKH13" s="21" t="n"/>
      <c r="LKI13" s="21" t="n"/>
      <c r="LKJ13" s="21" t="n"/>
      <c r="LKK13" s="21" t="n"/>
      <c r="LKL13" s="21" t="n"/>
      <c r="LKM13" s="21" t="n"/>
      <c r="LKN13" s="21" t="n"/>
      <c r="LKO13" s="21" t="n"/>
      <c r="LKP13" s="21" t="n"/>
      <c r="LKQ13" s="21" t="n"/>
      <c r="LKR13" s="21" t="n"/>
      <c r="LKS13" s="21" t="n"/>
      <c r="LKT13" s="21" t="n"/>
      <c r="LKU13" s="21" t="n"/>
      <c r="LKV13" s="21" t="n"/>
      <c r="LKW13" s="21" t="n"/>
      <c r="LKX13" s="21" t="n"/>
      <c r="LKY13" s="21" t="n"/>
      <c r="LKZ13" s="21" t="n"/>
      <c r="LLA13" s="21" t="n"/>
      <c r="LLB13" s="21" t="n"/>
      <c r="LLC13" s="21" t="n"/>
      <c r="LLD13" s="21" t="n"/>
      <c r="LLE13" s="21" t="n"/>
      <c r="LLF13" s="21" t="n"/>
      <c r="LLG13" s="21" t="n"/>
      <c r="LLH13" s="21" t="n"/>
      <c r="LLI13" s="21" t="n"/>
      <c r="LLJ13" s="21" t="n"/>
      <c r="LLK13" s="21" t="n"/>
      <c r="LLL13" s="21" t="n"/>
      <c r="LLM13" s="21" t="n"/>
      <c r="LLN13" s="21" t="n"/>
      <c r="LLO13" s="21" t="n"/>
      <c r="LLP13" s="21" t="n"/>
      <c r="LLQ13" s="21" t="n"/>
      <c r="LLR13" s="21" t="n"/>
      <c r="LLS13" s="21" t="n"/>
      <c r="LLT13" s="21" t="n"/>
      <c r="LLU13" s="21" t="n"/>
      <c r="LLV13" s="21" t="n"/>
      <c r="LLW13" s="21" t="n"/>
      <c r="LLX13" s="21" t="n"/>
      <c r="LLY13" s="21" t="n"/>
      <c r="LLZ13" s="21" t="n"/>
      <c r="LMA13" s="21" t="n"/>
      <c r="LMB13" s="21" t="n"/>
      <c r="LMC13" s="21" t="n"/>
      <c r="LMD13" s="21" t="n"/>
      <c r="LME13" s="21" t="n"/>
      <c r="LMF13" s="21" t="n"/>
      <c r="LMG13" s="21" t="n"/>
      <c r="LMH13" s="21" t="n"/>
      <c r="LMI13" s="21" t="n"/>
      <c r="LMJ13" s="21" t="n"/>
      <c r="LMK13" s="21" t="n"/>
      <c r="LML13" s="21" t="n"/>
      <c r="LMM13" s="21" t="n"/>
      <c r="LMN13" s="21" t="n"/>
      <c r="LMO13" s="21" t="n"/>
      <c r="LMP13" s="21" t="n"/>
      <c r="LMQ13" s="21" t="n"/>
      <c r="LMR13" s="21" t="n"/>
      <c r="LMS13" s="21" t="n"/>
      <c r="LMT13" s="21" t="n"/>
      <c r="LMU13" s="21" t="n"/>
      <c r="LMV13" s="21" t="n"/>
      <c r="LMW13" s="21" t="n"/>
      <c r="LMX13" s="21" t="n"/>
      <c r="LMY13" s="21" t="n"/>
      <c r="LMZ13" s="21" t="n"/>
      <c r="LNA13" s="21" t="n"/>
      <c r="LNB13" s="21" t="n"/>
      <c r="LNC13" s="21" t="n"/>
      <c r="LND13" s="21" t="n"/>
      <c r="LNE13" s="21" t="n"/>
      <c r="LNF13" s="21" t="n"/>
      <c r="LNG13" s="21" t="n"/>
      <c r="LNH13" s="21" t="n"/>
      <c r="LNI13" s="21" t="n"/>
      <c r="LNJ13" s="21" t="n"/>
      <c r="LNK13" s="21" t="n"/>
      <c r="LNL13" s="21" t="n"/>
      <c r="LNM13" s="21" t="n"/>
      <c r="LNN13" s="21" t="n"/>
      <c r="LNO13" s="21" t="n"/>
      <c r="LNP13" s="21" t="n"/>
      <c r="LNQ13" s="21" t="n"/>
      <c r="LNR13" s="21" t="n"/>
      <c r="LNS13" s="21" t="n"/>
      <c r="LNT13" s="21" t="n"/>
      <c r="LNU13" s="21" t="n"/>
      <c r="LNV13" s="21" t="n"/>
      <c r="LNW13" s="21" t="n"/>
      <c r="LNX13" s="21" t="n"/>
      <c r="LNY13" s="21" t="n"/>
      <c r="LNZ13" s="21" t="n"/>
      <c r="LOA13" s="21" t="n"/>
      <c r="LOB13" s="21" t="n"/>
      <c r="LOC13" s="21" t="n"/>
      <c r="LOD13" s="21" t="n"/>
      <c r="LOE13" s="21" t="n"/>
      <c r="LOF13" s="21" t="n"/>
      <c r="LOG13" s="21" t="n"/>
      <c r="LOH13" s="21" t="n"/>
      <c r="LOI13" s="21" t="n"/>
      <c r="LOJ13" s="21" t="n"/>
      <c r="LOK13" s="21" t="n"/>
      <c r="LOL13" s="21" t="n"/>
      <c r="LOM13" s="21" t="n"/>
      <c r="LON13" s="21" t="n"/>
      <c r="LOO13" s="21" t="n"/>
      <c r="LOP13" s="21" t="n"/>
      <c r="LOQ13" s="21" t="n"/>
      <c r="LOR13" s="21" t="n"/>
      <c r="LOS13" s="21" t="n"/>
      <c r="LOT13" s="21" t="n"/>
      <c r="LOU13" s="21" t="n"/>
      <c r="LOV13" s="21" t="n"/>
      <c r="LOW13" s="21" t="n"/>
      <c r="LOX13" s="21" t="n"/>
      <c r="LOY13" s="21" t="n"/>
      <c r="LOZ13" s="21" t="n"/>
      <c r="LPA13" s="21" t="n"/>
      <c r="LPB13" s="21" t="n"/>
      <c r="LPC13" s="21" t="n"/>
      <c r="LPD13" s="21" t="n"/>
      <c r="LPE13" s="21" t="n"/>
      <c r="LPF13" s="21" t="n"/>
      <c r="LPG13" s="21" t="n"/>
      <c r="LPH13" s="21" t="n"/>
      <c r="LPI13" s="21" t="n"/>
      <c r="LPJ13" s="21" t="n"/>
      <c r="LPK13" s="21" t="n"/>
      <c r="LPL13" s="21" t="n"/>
      <c r="LPM13" s="21" t="n"/>
      <c r="LPN13" s="21" t="n"/>
      <c r="LPO13" s="21" t="n"/>
      <c r="LPP13" s="21" t="n"/>
      <c r="LPQ13" s="21" t="n"/>
      <c r="LPR13" s="21" t="n"/>
      <c r="LPS13" s="21" t="n"/>
      <c r="LPT13" s="21" t="n"/>
      <c r="LPU13" s="21" t="n"/>
      <c r="LPV13" s="21" t="n"/>
      <c r="LPW13" s="21" t="n"/>
      <c r="LPX13" s="21" t="n"/>
      <c r="LPY13" s="21" t="n"/>
      <c r="LPZ13" s="21" t="n"/>
      <c r="LQA13" s="21" t="n"/>
      <c r="LQB13" s="21" t="n"/>
      <c r="LQC13" s="21" t="n"/>
      <c r="LQD13" s="21" t="n"/>
      <c r="LQE13" s="21" t="n"/>
      <c r="LQF13" s="21" t="n"/>
      <c r="LQG13" s="21" t="n"/>
      <c r="LQH13" s="21" t="n"/>
      <c r="LQI13" s="21" t="n"/>
      <c r="LQJ13" s="21" t="n"/>
      <c r="LQK13" s="21" t="n"/>
      <c r="LQL13" s="21" t="n"/>
      <c r="LQM13" s="21" t="n"/>
      <c r="LQN13" s="21" t="n"/>
      <c r="LQO13" s="21" t="n"/>
      <c r="LQP13" s="21" t="n"/>
      <c r="LQQ13" s="21" t="n"/>
      <c r="LQR13" s="21" t="n"/>
      <c r="LQS13" s="21" t="n"/>
      <c r="LQT13" s="21" t="n"/>
      <c r="LQU13" s="21" t="n"/>
      <c r="LQV13" s="21" t="n"/>
      <c r="LQW13" s="21" t="n"/>
      <c r="LQX13" s="21" t="n"/>
      <c r="LQY13" s="21" t="n"/>
      <c r="LQZ13" s="21" t="n"/>
      <c r="LRA13" s="21" t="n"/>
      <c r="LRB13" s="21" t="n"/>
      <c r="LRC13" s="21" t="n"/>
      <c r="LRD13" s="21" t="n"/>
      <c r="LRE13" s="21" t="n"/>
      <c r="LRF13" s="21" t="n"/>
      <c r="LRG13" s="21" t="n"/>
      <c r="LRH13" s="21" t="n"/>
      <c r="LRI13" s="21" t="n"/>
      <c r="LRJ13" s="21" t="n"/>
      <c r="LRK13" s="21" t="n"/>
      <c r="LRL13" s="21" t="n"/>
      <c r="LRM13" s="21" t="n"/>
      <c r="LRN13" s="21" t="n"/>
      <c r="LRO13" s="21" t="n"/>
      <c r="LRP13" s="21" t="n"/>
      <c r="LRQ13" s="21" t="n"/>
      <c r="LRR13" s="21" t="n"/>
      <c r="LRS13" s="21" t="n"/>
      <c r="LRT13" s="21" t="n"/>
      <c r="LRU13" s="21" t="n"/>
      <c r="LRV13" s="21" t="n"/>
      <c r="LRW13" s="21" t="n"/>
      <c r="LRX13" s="21" t="n"/>
      <c r="LRY13" s="21" t="n"/>
      <c r="LRZ13" s="21" t="n"/>
      <c r="LSA13" s="21" t="n"/>
      <c r="LSB13" s="21" t="n"/>
      <c r="LSC13" s="21" t="n"/>
      <c r="LSD13" s="21" t="n"/>
      <c r="LSE13" s="21" t="n"/>
      <c r="LSF13" s="21" t="n"/>
      <c r="LSG13" s="21" t="n"/>
      <c r="LSH13" s="21" t="n"/>
      <c r="LSI13" s="21" t="n"/>
      <c r="LSJ13" s="21" t="n"/>
      <c r="LSK13" s="21" t="n"/>
      <c r="LSL13" s="21" t="n"/>
      <c r="LSM13" s="21" t="n"/>
      <c r="LSN13" s="21" t="n"/>
      <c r="LSO13" s="21" t="n"/>
      <c r="LSP13" s="21" t="n"/>
      <c r="LSQ13" s="21" t="n"/>
      <c r="LSR13" s="21" t="n"/>
      <c r="LSS13" s="21" t="n"/>
      <c r="LST13" s="21" t="n"/>
      <c r="LSU13" s="21" t="n"/>
      <c r="LSV13" s="21" t="n"/>
      <c r="LSW13" s="21" t="n"/>
      <c r="LSX13" s="21" t="n"/>
      <c r="LSY13" s="21" t="n"/>
      <c r="LSZ13" s="21" t="n"/>
      <c r="LTA13" s="21" t="n"/>
      <c r="LTB13" s="21" t="n"/>
      <c r="LTC13" s="21" t="n"/>
      <c r="LTD13" s="21" t="n"/>
      <c r="LTE13" s="21" t="n"/>
      <c r="LTF13" s="21" t="n"/>
      <c r="LTG13" s="21" t="n"/>
      <c r="LTH13" s="21" t="n"/>
      <c r="LTI13" s="21" t="n"/>
      <c r="LTJ13" s="21" t="n"/>
      <c r="LTK13" s="21" t="n"/>
      <c r="LTL13" s="21" t="n"/>
      <c r="LTM13" s="21" t="n"/>
      <c r="LTN13" s="21" t="n"/>
      <c r="LTO13" s="21" t="n"/>
      <c r="LTP13" s="21" t="n"/>
      <c r="LTQ13" s="21" t="n"/>
      <c r="LTR13" s="21" t="n"/>
      <c r="LTS13" s="21" t="n"/>
      <c r="LTT13" s="21" t="n"/>
      <c r="LTU13" s="21" t="n"/>
      <c r="LTV13" s="21" t="n"/>
      <c r="LTW13" s="21" t="n"/>
      <c r="LTX13" s="21" t="n"/>
      <c r="LTY13" s="21" t="n"/>
      <c r="LTZ13" s="21" t="n"/>
      <c r="LUA13" s="21" t="n"/>
      <c r="LUB13" s="21" t="n"/>
      <c r="LUC13" s="21" t="n"/>
      <c r="LUD13" s="21" t="n"/>
      <c r="LUE13" s="21" t="n"/>
      <c r="LUF13" s="21" t="n"/>
      <c r="LUG13" s="21" t="n"/>
      <c r="LUH13" s="21" t="n"/>
      <c r="LUI13" s="21" t="n"/>
      <c r="LUJ13" s="21" t="n"/>
      <c r="LUK13" s="21" t="n"/>
      <c r="LUL13" s="21" t="n"/>
      <c r="LUM13" s="21" t="n"/>
      <c r="LUN13" s="21" t="n"/>
      <c r="LUO13" s="21" t="n"/>
      <c r="LUP13" s="21" t="n"/>
      <c r="LUQ13" s="21" t="n"/>
      <c r="LUR13" s="21" t="n"/>
      <c r="LUS13" s="21" t="n"/>
      <c r="LUT13" s="21" t="n"/>
      <c r="LUU13" s="21" t="n"/>
      <c r="LUV13" s="21" t="n"/>
      <c r="LUW13" s="21" t="n"/>
      <c r="LUX13" s="21" t="n"/>
      <c r="LUY13" s="21" t="n"/>
      <c r="LUZ13" s="21" t="n"/>
      <c r="LVA13" s="21" t="n"/>
      <c r="LVB13" s="21" t="n"/>
      <c r="LVC13" s="21" t="n"/>
      <c r="LVD13" s="21" t="n"/>
      <c r="LVE13" s="21" t="n"/>
      <c r="LVF13" s="21" t="n"/>
      <c r="LVG13" s="21" t="n"/>
      <c r="LVH13" s="21" t="n"/>
      <c r="LVI13" s="21" t="n"/>
      <c r="LVJ13" s="21" t="n"/>
      <c r="LVK13" s="21" t="n"/>
      <c r="LVL13" s="21" t="n"/>
      <c r="LVM13" s="21" t="n"/>
      <c r="LVN13" s="21" t="n"/>
      <c r="LVO13" s="21" t="n"/>
      <c r="LVP13" s="21" t="n"/>
      <c r="LVQ13" s="21" t="n"/>
      <c r="LVR13" s="21" t="n"/>
      <c r="LVS13" s="21" t="n"/>
      <c r="LVT13" s="21" t="n"/>
      <c r="LVU13" s="21" t="n"/>
      <c r="LVV13" s="21" t="n"/>
      <c r="LVW13" s="21" t="n"/>
      <c r="LVX13" s="21" t="n"/>
      <c r="LVY13" s="21" t="n"/>
      <c r="LVZ13" s="21" t="n"/>
      <c r="LWA13" s="21" t="n"/>
      <c r="LWB13" s="21" t="n"/>
      <c r="LWC13" s="21" t="n"/>
      <c r="LWD13" s="21" t="n"/>
      <c r="LWE13" s="21" t="n"/>
      <c r="LWF13" s="21" t="n"/>
      <c r="LWG13" s="21" t="n"/>
      <c r="LWH13" s="21" t="n"/>
      <c r="LWI13" s="21" t="n"/>
      <c r="LWJ13" s="21" t="n"/>
      <c r="LWK13" s="21" t="n"/>
      <c r="LWL13" s="21" t="n"/>
      <c r="LWM13" s="21" t="n"/>
      <c r="LWN13" s="21" t="n"/>
      <c r="LWO13" s="21" t="n"/>
      <c r="LWP13" s="21" t="n"/>
      <c r="LWQ13" s="21" t="n"/>
      <c r="LWR13" s="21" t="n"/>
      <c r="LWS13" s="21" t="n"/>
      <c r="LWT13" s="21" t="n"/>
      <c r="LWU13" s="21" t="n"/>
      <c r="LWV13" s="21" t="n"/>
      <c r="LWW13" s="21" t="n"/>
      <c r="LWX13" s="21" t="n"/>
      <c r="LWY13" s="21" t="n"/>
      <c r="LWZ13" s="21" t="n"/>
      <c r="LXA13" s="21" t="n"/>
      <c r="LXB13" s="21" t="n"/>
      <c r="LXC13" s="21" t="n"/>
      <c r="LXD13" s="21" t="n"/>
      <c r="LXE13" s="21" t="n"/>
      <c r="LXF13" s="21" t="n"/>
      <c r="LXG13" s="21" t="n"/>
      <c r="LXH13" s="21" t="n"/>
      <c r="LXI13" s="21" t="n"/>
      <c r="LXJ13" s="21" t="n"/>
      <c r="LXK13" s="21" t="n"/>
      <c r="LXL13" s="21" t="n"/>
      <c r="LXM13" s="21" t="n"/>
      <c r="LXN13" s="21" t="n"/>
      <c r="LXO13" s="21" t="n"/>
      <c r="LXP13" s="21" t="n"/>
      <c r="LXQ13" s="21" t="n"/>
      <c r="LXR13" s="21" t="n"/>
      <c r="LXS13" s="21" t="n"/>
      <c r="LXT13" s="21" t="n"/>
      <c r="LXU13" s="21" t="n"/>
      <c r="LXV13" s="21" t="n"/>
      <c r="LXW13" s="21" t="n"/>
      <c r="LXX13" s="21" t="n"/>
      <c r="LXY13" s="21" t="n"/>
      <c r="LXZ13" s="21" t="n"/>
      <c r="LYA13" s="21" t="n"/>
      <c r="LYB13" s="21" t="n"/>
      <c r="LYC13" s="21" t="n"/>
      <c r="LYD13" s="21" t="n"/>
      <c r="LYE13" s="21" t="n"/>
      <c r="LYF13" s="21" t="n"/>
      <c r="LYG13" s="21" t="n"/>
      <c r="LYH13" s="21" t="n"/>
      <c r="LYI13" s="21" t="n"/>
      <c r="LYJ13" s="21" t="n"/>
      <c r="LYK13" s="21" t="n"/>
      <c r="LYL13" s="21" t="n"/>
      <c r="LYM13" s="21" t="n"/>
      <c r="LYN13" s="21" t="n"/>
      <c r="LYO13" s="21" t="n"/>
      <c r="LYP13" s="21" t="n"/>
      <c r="LYQ13" s="21" t="n"/>
      <c r="LYR13" s="21" t="n"/>
      <c r="LYS13" s="21" t="n"/>
      <c r="LYT13" s="21" t="n"/>
      <c r="LYU13" s="21" t="n"/>
      <c r="LYV13" s="21" t="n"/>
      <c r="LYW13" s="21" t="n"/>
      <c r="LYX13" s="21" t="n"/>
      <c r="LYY13" s="21" t="n"/>
      <c r="LYZ13" s="21" t="n"/>
      <c r="LZA13" s="21" t="n"/>
      <c r="LZB13" s="21" t="n"/>
      <c r="LZC13" s="21" t="n"/>
      <c r="LZD13" s="21" t="n"/>
      <c r="LZE13" s="21" t="n"/>
      <c r="LZF13" s="21" t="n"/>
      <c r="LZG13" s="21" t="n"/>
      <c r="LZH13" s="21" t="n"/>
      <c r="LZI13" s="21" t="n"/>
      <c r="LZJ13" s="21" t="n"/>
      <c r="LZK13" s="21" t="n"/>
      <c r="LZL13" s="21" t="n"/>
      <c r="LZM13" s="21" t="n"/>
      <c r="LZN13" s="21" t="n"/>
      <c r="LZO13" s="21" t="n"/>
      <c r="LZP13" s="21" t="n"/>
      <c r="LZQ13" s="21" t="n"/>
      <c r="LZR13" s="21" t="n"/>
      <c r="LZS13" s="21" t="n"/>
      <c r="LZT13" s="21" t="n"/>
      <c r="LZU13" s="21" t="n"/>
      <c r="LZV13" s="21" t="n"/>
      <c r="LZW13" s="21" t="n"/>
      <c r="LZX13" s="21" t="n"/>
      <c r="LZY13" s="21" t="n"/>
      <c r="LZZ13" s="21" t="n"/>
      <c r="MAA13" s="21" t="n"/>
      <c r="MAB13" s="21" t="n"/>
      <c r="MAC13" s="21" t="n"/>
      <c r="MAD13" s="21" t="n"/>
      <c r="MAE13" s="21" t="n"/>
      <c r="MAF13" s="21" t="n"/>
      <c r="MAG13" s="21" t="n"/>
      <c r="MAH13" s="21" t="n"/>
      <c r="MAI13" s="21" t="n"/>
      <c r="MAJ13" s="21" t="n"/>
      <c r="MAK13" s="21" t="n"/>
      <c r="MAL13" s="21" t="n"/>
      <c r="MAM13" s="21" t="n"/>
      <c r="MAN13" s="21" t="n"/>
      <c r="MAO13" s="21" t="n"/>
      <c r="MAP13" s="21" t="n"/>
      <c r="MAQ13" s="21" t="n"/>
      <c r="MAR13" s="21" t="n"/>
      <c r="MAS13" s="21" t="n"/>
      <c r="MAT13" s="21" t="n"/>
      <c r="MAU13" s="21" t="n"/>
      <c r="MAV13" s="21" t="n"/>
      <c r="MAW13" s="21" t="n"/>
      <c r="MAX13" s="21" t="n"/>
      <c r="MAY13" s="21" t="n"/>
      <c r="MAZ13" s="21" t="n"/>
      <c r="MBA13" s="21" t="n"/>
      <c r="MBB13" s="21" t="n"/>
      <c r="MBC13" s="21" t="n"/>
      <c r="MBD13" s="21" t="n"/>
      <c r="MBE13" s="21" t="n"/>
      <c r="MBF13" s="21" t="n"/>
      <c r="MBG13" s="21" t="n"/>
      <c r="MBH13" s="21" t="n"/>
      <c r="MBI13" s="21" t="n"/>
      <c r="MBJ13" s="21" t="n"/>
      <c r="MBK13" s="21" t="n"/>
      <c r="MBL13" s="21" t="n"/>
      <c r="MBM13" s="21" t="n"/>
      <c r="MBN13" s="21" t="n"/>
      <c r="MBO13" s="21" t="n"/>
      <c r="MBP13" s="21" t="n"/>
      <c r="MBQ13" s="21" t="n"/>
      <c r="MBR13" s="21" t="n"/>
      <c r="MBS13" s="21" t="n"/>
      <c r="MBT13" s="21" t="n"/>
      <c r="MBU13" s="21" t="n"/>
      <c r="MBV13" s="21" t="n"/>
      <c r="MBW13" s="21" t="n"/>
      <c r="MBX13" s="21" t="n"/>
      <c r="MBY13" s="21" t="n"/>
      <c r="MBZ13" s="21" t="n"/>
      <c r="MCA13" s="21" t="n"/>
      <c r="MCB13" s="21" t="n"/>
      <c r="MCC13" s="21" t="n"/>
      <c r="MCD13" s="21" t="n"/>
      <c r="MCE13" s="21" t="n"/>
      <c r="MCF13" s="21" t="n"/>
      <c r="MCG13" s="21" t="n"/>
      <c r="MCH13" s="21" t="n"/>
      <c r="MCI13" s="21" t="n"/>
      <c r="MCJ13" s="21" t="n"/>
      <c r="MCK13" s="21" t="n"/>
      <c r="MCL13" s="21" t="n"/>
      <c r="MCM13" s="21" t="n"/>
      <c r="MCN13" s="21" t="n"/>
      <c r="MCO13" s="21" t="n"/>
      <c r="MCP13" s="21" t="n"/>
      <c r="MCQ13" s="21" t="n"/>
      <c r="MCR13" s="21" t="n"/>
      <c r="MCS13" s="21" t="n"/>
      <c r="MCT13" s="21" t="n"/>
      <c r="MCU13" s="21" t="n"/>
      <c r="MCV13" s="21" t="n"/>
      <c r="MCW13" s="21" t="n"/>
      <c r="MCX13" s="21" t="n"/>
      <c r="MCY13" s="21" t="n"/>
      <c r="MCZ13" s="21" t="n"/>
      <c r="MDA13" s="21" t="n"/>
      <c r="MDB13" s="21" t="n"/>
      <c r="MDC13" s="21" t="n"/>
      <c r="MDD13" s="21" t="n"/>
      <c r="MDE13" s="21" t="n"/>
      <c r="MDF13" s="21" t="n"/>
      <c r="MDG13" s="21" t="n"/>
      <c r="MDH13" s="21" t="n"/>
      <c r="MDI13" s="21" t="n"/>
      <c r="MDJ13" s="21" t="n"/>
      <c r="MDK13" s="21" t="n"/>
      <c r="MDL13" s="21" t="n"/>
      <c r="MDM13" s="21" t="n"/>
      <c r="MDN13" s="21" t="n"/>
      <c r="MDO13" s="21" t="n"/>
      <c r="MDP13" s="21" t="n"/>
      <c r="MDQ13" s="21" t="n"/>
      <c r="MDR13" s="21" t="n"/>
      <c r="MDS13" s="21" t="n"/>
      <c r="MDT13" s="21" t="n"/>
      <c r="MDU13" s="21" t="n"/>
      <c r="MDV13" s="21" t="n"/>
      <c r="MDW13" s="21" t="n"/>
      <c r="MDX13" s="21" t="n"/>
      <c r="MDY13" s="21" t="n"/>
      <c r="MDZ13" s="21" t="n"/>
      <c r="MEA13" s="21" t="n"/>
      <c r="MEB13" s="21" t="n"/>
      <c r="MEC13" s="21" t="n"/>
      <c r="MED13" s="21" t="n"/>
      <c r="MEE13" s="21" t="n"/>
      <c r="MEF13" s="21" t="n"/>
      <c r="MEG13" s="21" t="n"/>
      <c r="MEH13" s="21" t="n"/>
      <c r="MEI13" s="21" t="n"/>
      <c r="MEJ13" s="21" t="n"/>
      <c r="MEK13" s="21" t="n"/>
      <c r="MEL13" s="21" t="n"/>
      <c r="MEM13" s="21" t="n"/>
      <c r="MEN13" s="21" t="n"/>
      <c r="MEO13" s="21" t="n"/>
      <c r="MEP13" s="21" t="n"/>
      <c r="MEQ13" s="21" t="n"/>
      <c r="MER13" s="21" t="n"/>
      <c r="MES13" s="21" t="n"/>
      <c r="MET13" s="21" t="n"/>
      <c r="MEU13" s="21" t="n"/>
      <c r="MEV13" s="21" t="n"/>
      <c r="MEW13" s="21" t="n"/>
      <c r="MEX13" s="21" t="n"/>
      <c r="MEY13" s="21" t="n"/>
      <c r="MEZ13" s="21" t="n"/>
      <c r="MFA13" s="21" t="n"/>
      <c r="MFB13" s="21" t="n"/>
      <c r="MFC13" s="21" t="n"/>
      <c r="MFD13" s="21" t="n"/>
      <c r="MFE13" s="21" t="n"/>
      <c r="MFF13" s="21" t="n"/>
      <c r="MFG13" s="21" t="n"/>
      <c r="MFH13" s="21" t="n"/>
      <c r="MFI13" s="21" t="n"/>
      <c r="MFJ13" s="21" t="n"/>
      <c r="MFK13" s="21" t="n"/>
      <c r="MFL13" s="21" t="n"/>
      <c r="MFM13" s="21" t="n"/>
      <c r="MFN13" s="21" t="n"/>
      <c r="MFO13" s="21" t="n"/>
      <c r="MFP13" s="21" t="n"/>
      <c r="MFQ13" s="21" t="n"/>
      <c r="MFR13" s="21" t="n"/>
      <c r="MFS13" s="21" t="n"/>
      <c r="MFT13" s="21" t="n"/>
      <c r="MFU13" s="21" t="n"/>
      <c r="MFV13" s="21" t="n"/>
      <c r="MFW13" s="21" t="n"/>
      <c r="MFX13" s="21" t="n"/>
      <c r="MFY13" s="21" t="n"/>
      <c r="MFZ13" s="21" t="n"/>
      <c r="MGA13" s="21" t="n"/>
      <c r="MGB13" s="21" t="n"/>
      <c r="MGC13" s="21" t="n"/>
      <c r="MGD13" s="21" t="n"/>
      <c r="MGE13" s="21" t="n"/>
      <c r="MGF13" s="21" t="n"/>
      <c r="MGG13" s="21" t="n"/>
      <c r="MGH13" s="21" t="n"/>
      <c r="MGI13" s="21" t="n"/>
      <c r="MGJ13" s="21" t="n"/>
      <c r="MGK13" s="21" t="n"/>
      <c r="MGL13" s="21" t="n"/>
      <c r="MGM13" s="21" t="n"/>
      <c r="MGN13" s="21" t="n"/>
      <c r="MGO13" s="21" t="n"/>
      <c r="MGP13" s="21" t="n"/>
      <c r="MGQ13" s="21" t="n"/>
      <c r="MGR13" s="21" t="n"/>
      <c r="MGS13" s="21" t="n"/>
      <c r="MGT13" s="21" t="n"/>
      <c r="MGU13" s="21" t="n"/>
      <c r="MGV13" s="21" t="n"/>
      <c r="MGW13" s="21" t="n"/>
      <c r="MGX13" s="21" t="n"/>
      <c r="MGY13" s="21" t="n"/>
      <c r="MGZ13" s="21" t="n"/>
      <c r="MHA13" s="21" t="n"/>
      <c r="MHB13" s="21" t="n"/>
      <c r="MHC13" s="21" t="n"/>
      <c r="MHD13" s="21" t="n"/>
      <c r="MHE13" s="21" t="n"/>
      <c r="MHF13" s="21" t="n"/>
      <c r="MHG13" s="21" t="n"/>
      <c r="MHH13" s="21" t="n"/>
      <c r="MHI13" s="21" t="n"/>
      <c r="MHJ13" s="21" t="n"/>
      <c r="MHK13" s="21" t="n"/>
      <c r="MHL13" s="21" t="n"/>
      <c r="MHM13" s="21" t="n"/>
      <c r="MHN13" s="21" t="n"/>
      <c r="MHO13" s="21" t="n"/>
      <c r="MHP13" s="21" t="n"/>
      <c r="MHQ13" s="21" t="n"/>
      <c r="MHR13" s="21" t="n"/>
      <c r="MHS13" s="21" t="n"/>
      <c r="MHT13" s="21" t="n"/>
      <c r="MHU13" s="21" t="n"/>
      <c r="MHV13" s="21" t="n"/>
      <c r="MHW13" s="21" t="n"/>
      <c r="MHX13" s="21" t="n"/>
      <c r="MHY13" s="21" t="n"/>
      <c r="MHZ13" s="21" t="n"/>
      <c r="MIA13" s="21" t="n"/>
      <c r="MIB13" s="21" t="n"/>
      <c r="MIC13" s="21" t="n"/>
      <c r="MID13" s="21" t="n"/>
      <c r="MIE13" s="21" t="n"/>
      <c r="MIF13" s="21" t="n"/>
      <c r="MIG13" s="21" t="n"/>
      <c r="MIH13" s="21" t="n"/>
      <c r="MII13" s="21" t="n"/>
      <c r="MIJ13" s="21" t="n"/>
      <c r="MIK13" s="21" t="n"/>
      <c r="MIL13" s="21" t="n"/>
      <c r="MIM13" s="21" t="n"/>
      <c r="MIN13" s="21" t="n"/>
      <c r="MIO13" s="21" t="n"/>
      <c r="MIP13" s="21" t="n"/>
      <c r="MIQ13" s="21" t="n"/>
      <c r="MIR13" s="21" t="n"/>
      <c r="MIS13" s="21" t="n"/>
      <c r="MIT13" s="21" t="n"/>
      <c r="MIU13" s="21" t="n"/>
      <c r="MIV13" s="21" t="n"/>
      <c r="MIW13" s="21" t="n"/>
      <c r="MIX13" s="21" t="n"/>
      <c r="MIY13" s="21" t="n"/>
      <c r="MIZ13" s="21" t="n"/>
      <c r="MJA13" s="21" t="n"/>
      <c r="MJB13" s="21" t="n"/>
      <c r="MJC13" s="21" t="n"/>
      <c r="MJD13" s="21" t="n"/>
      <c r="MJE13" s="21" t="n"/>
      <c r="MJF13" s="21" t="n"/>
      <c r="MJG13" s="21" t="n"/>
      <c r="MJH13" s="21" t="n"/>
      <c r="MJI13" s="21" t="n"/>
      <c r="MJJ13" s="21" t="n"/>
      <c r="MJK13" s="21" t="n"/>
      <c r="MJL13" s="21" t="n"/>
      <c r="MJM13" s="21" t="n"/>
      <c r="MJN13" s="21" t="n"/>
      <c r="MJO13" s="21" t="n"/>
      <c r="MJP13" s="21" t="n"/>
      <c r="MJQ13" s="21" t="n"/>
      <c r="MJR13" s="21" t="n"/>
      <c r="MJS13" s="21" t="n"/>
      <c r="MJT13" s="21" t="n"/>
      <c r="MJU13" s="21" t="n"/>
      <c r="MJV13" s="21" t="n"/>
      <c r="MJW13" s="21" t="n"/>
      <c r="MJX13" s="21" t="n"/>
      <c r="MJY13" s="21" t="n"/>
      <c r="MJZ13" s="21" t="n"/>
      <c r="MKA13" s="21" t="n"/>
      <c r="MKB13" s="21" t="n"/>
      <c r="MKC13" s="21" t="n"/>
      <c r="MKD13" s="21" t="n"/>
      <c r="MKE13" s="21" t="n"/>
      <c r="MKF13" s="21" t="n"/>
      <c r="MKG13" s="21" t="n"/>
      <c r="MKH13" s="21" t="n"/>
      <c r="MKI13" s="21" t="n"/>
      <c r="MKJ13" s="21" t="n"/>
      <c r="MKK13" s="21" t="n"/>
      <c r="MKL13" s="21" t="n"/>
      <c r="MKM13" s="21" t="n"/>
      <c r="MKN13" s="21" t="n"/>
      <c r="MKO13" s="21" t="n"/>
      <c r="MKP13" s="21" t="n"/>
      <c r="MKQ13" s="21" t="n"/>
      <c r="MKR13" s="21" t="n"/>
      <c r="MKS13" s="21" t="n"/>
      <c r="MKT13" s="21" t="n"/>
      <c r="MKU13" s="21" t="n"/>
      <c r="MKV13" s="21" t="n"/>
      <c r="MKW13" s="21" t="n"/>
      <c r="MKX13" s="21" t="n"/>
      <c r="MKY13" s="21" t="n"/>
      <c r="MKZ13" s="21" t="n"/>
      <c r="MLA13" s="21" t="n"/>
      <c r="MLB13" s="21" t="n"/>
      <c r="MLC13" s="21" t="n"/>
      <c r="MLD13" s="21" t="n"/>
      <c r="MLE13" s="21" t="n"/>
      <c r="MLF13" s="21" t="n"/>
      <c r="MLG13" s="21" t="n"/>
      <c r="MLH13" s="21" t="n"/>
      <c r="MLI13" s="21" t="n"/>
      <c r="MLJ13" s="21" t="n"/>
      <c r="MLK13" s="21" t="n"/>
      <c r="MLL13" s="21" t="n"/>
      <c r="MLM13" s="21" t="n"/>
      <c r="MLN13" s="21" t="n"/>
      <c r="MLO13" s="21" t="n"/>
      <c r="MLP13" s="21" t="n"/>
      <c r="MLQ13" s="21" t="n"/>
      <c r="MLR13" s="21" t="n"/>
      <c r="MLS13" s="21" t="n"/>
      <c r="MLT13" s="21" t="n"/>
      <c r="MLU13" s="21" t="n"/>
      <c r="MLV13" s="21" t="n"/>
      <c r="MLW13" s="21" t="n"/>
      <c r="MLX13" s="21" t="n"/>
      <c r="MLY13" s="21" t="n"/>
      <c r="MLZ13" s="21" t="n"/>
      <c r="MMA13" s="21" t="n"/>
      <c r="MMB13" s="21" t="n"/>
      <c r="MMC13" s="21" t="n"/>
      <c r="MMD13" s="21" t="n"/>
      <c r="MME13" s="21" t="n"/>
      <c r="MMF13" s="21" t="n"/>
      <c r="MMG13" s="21" t="n"/>
      <c r="MMH13" s="21" t="n"/>
      <c r="MMI13" s="21" t="n"/>
      <c r="MMJ13" s="21" t="n"/>
      <c r="MMK13" s="21" t="n"/>
      <c r="MML13" s="21" t="n"/>
      <c r="MMM13" s="21" t="n"/>
      <c r="MMN13" s="21" t="n"/>
      <c r="MMO13" s="21" t="n"/>
      <c r="MMP13" s="21" t="n"/>
      <c r="MMQ13" s="21" t="n"/>
      <c r="MMR13" s="21" t="n"/>
      <c r="MMS13" s="21" t="n"/>
      <c r="MMT13" s="21" t="n"/>
      <c r="MMU13" s="21" t="n"/>
      <c r="MMV13" s="21" t="n"/>
      <c r="MMW13" s="21" t="n"/>
      <c r="MMX13" s="21" t="n"/>
      <c r="MMY13" s="21" t="n"/>
      <c r="MMZ13" s="21" t="n"/>
      <c r="MNA13" s="21" t="n"/>
      <c r="MNB13" s="21" t="n"/>
      <c r="MNC13" s="21" t="n"/>
      <c r="MND13" s="21" t="n"/>
      <c r="MNE13" s="21" t="n"/>
      <c r="MNF13" s="21" t="n"/>
      <c r="MNG13" s="21" t="n"/>
      <c r="MNH13" s="21" t="n"/>
      <c r="MNI13" s="21" t="n"/>
      <c r="MNJ13" s="21" t="n"/>
      <c r="MNK13" s="21" t="n"/>
      <c r="MNL13" s="21" t="n"/>
      <c r="MNM13" s="21" t="n"/>
      <c r="MNN13" s="21" t="n"/>
      <c r="MNO13" s="21" t="n"/>
      <c r="MNP13" s="21" t="n"/>
      <c r="MNQ13" s="21" t="n"/>
      <c r="MNR13" s="21" t="n"/>
      <c r="MNS13" s="21" t="n"/>
      <c r="MNT13" s="21" t="n"/>
      <c r="MNU13" s="21" t="n"/>
      <c r="MNV13" s="21" t="n"/>
      <c r="MNW13" s="21" t="n"/>
      <c r="MNX13" s="21" t="n"/>
      <c r="MNY13" s="21" t="n"/>
      <c r="MNZ13" s="21" t="n"/>
      <c r="MOA13" s="21" t="n"/>
      <c r="MOB13" s="21" t="n"/>
      <c r="MOC13" s="21" t="n"/>
      <c r="MOD13" s="21" t="n"/>
      <c r="MOE13" s="21" t="n"/>
      <c r="MOF13" s="21" t="n"/>
      <c r="MOG13" s="21" t="n"/>
      <c r="MOH13" s="21" t="n"/>
      <c r="MOI13" s="21" t="n"/>
      <c r="MOJ13" s="21" t="n"/>
      <c r="MOK13" s="21" t="n"/>
      <c r="MOL13" s="21" t="n"/>
      <c r="MOM13" s="21" t="n"/>
      <c r="MON13" s="21" t="n"/>
      <c r="MOO13" s="21" t="n"/>
      <c r="MOP13" s="21" t="n"/>
      <c r="MOQ13" s="21" t="n"/>
      <c r="MOR13" s="21" t="n"/>
      <c r="MOS13" s="21" t="n"/>
      <c r="MOT13" s="21" t="n"/>
      <c r="MOU13" s="21" t="n"/>
      <c r="MOV13" s="21" t="n"/>
      <c r="MOW13" s="21" t="n"/>
      <c r="MOX13" s="21" t="n"/>
      <c r="MOY13" s="21" t="n"/>
      <c r="MOZ13" s="21" t="n"/>
      <c r="MPA13" s="21" t="n"/>
      <c r="MPB13" s="21" t="n"/>
      <c r="MPC13" s="21" t="n"/>
      <c r="MPD13" s="21" t="n"/>
      <c r="MPE13" s="21" t="n"/>
      <c r="MPF13" s="21" t="n"/>
      <c r="MPG13" s="21" t="n"/>
      <c r="MPH13" s="21" t="n"/>
      <c r="MPI13" s="21" t="n"/>
      <c r="MPJ13" s="21" t="n"/>
      <c r="MPK13" s="21" t="n"/>
      <c r="MPL13" s="21" t="n"/>
      <c r="MPM13" s="21" t="n"/>
      <c r="MPN13" s="21" t="n"/>
      <c r="MPO13" s="21" t="n"/>
      <c r="MPP13" s="21" t="n"/>
      <c r="MPQ13" s="21" t="n"/>
      <c r="MPR13" s="21" t="n"/>
      <c r="MPS13" s="21" t="n"/>
      <c r="MPT13" s="21" t="n"/>
      <c r="MPU13" s="21" t="n"/>
      <c r="MPV13" s="21" t="n"/>
      <c r="MPW13" s="21" t="n"/>
      <c r="MPX13" s="21" t="n"/>
      <c r="MPY13" s="21" t="n"/>
      <c r="MPZ13" s="21" t="n"/>
      <c r="MQA13" s="21" t="n"/>
      <c r="MQB13" s="21" t="n"/>
      <c r="MQC13" s="21" t="n"/>
      <c r="MQD13" s="21" t="n"/>
      <c r="MQE13" s="21" t="n"/>
      <c r="MQF13" s="21" t="n"/>
      <c r="MQG13" s="21" t="n"/>
      <c r="MQH13" s="21" t="n"/>
      <c r="MQI13" s="21" t="n"/>
      <c r="MQJ13" s="21" t="n"/>
      <c r="MQK13" s="21" t="n"/>
      <c r="MQL13" s="21" t="n"/>
      <c r="MQM13" s="21" t="n"/>
      <c r="MQN13" s="21" t="n"/>
      <c r="MQO13" s="21" t="n"/>
      <c r="MQP13" s="21" t="n"/>
      <c r="MQQ13" s="21" t="n"/>
      <c r="MQR13" s="21" t="n"/>
      <c r="MQS13" s="21" t="n"/>
      <c r="MQT13" s="21" t="n"/>
      <c r="MQU13" s="21" t="n"/>
      <c r="MQV13" s="21" t="n"/>
      <c r="MQW13" s="21" t="n"/>
      <c r="MQX13" s="21" t="n"/>
      <c r="MQY13" s="21" t="n"/>
      <c r="MQZ13" s="21" t="n"/>
      <c r="MRA13" s="21" t="n"/>
      <c r="MRB13" s="21" t="n"/>
      <c r="MRC13" s="21" t="n"/>
      <c r="MRD13" s="21" t="n"/>
      <c r="MRE13" s="21" t="n"/>
      <c r="MRF13" s="21" t="n"/>
      <c r="MRG13" s="21" t="n"/>
      <c r="MRH13" s="21" t="n"/>
      <c r="MRI13" s="21" t="n"/>
      <c r="MRJ13" s="21" t="n"/>
      <c r="MRK13" s="21" t="n"/>
      <c r="MRL13" s="21" t="n"/>
      <c r="MRM13" s="21" t="n"/>
      <c r="MRN13" s="21" t="n"/>
      <c r="MRO13" s="21" t="n"/>
      <c r="MRP13" s="21" t="n"/>
      <c r="MRQ13" s="21" t="n"/>
      <c r="MRR13" s="21" t="n"/>
      <c r="MRS13" s="21" t="n"/>
      <c r="MRT13" s="21" t="n"/>
      <c r="MRU13" s="21" t="n"/>
      <c r="MRV13" s="21" t="n"/>
      <c r="MRW13" s="21" t="n"/>
      <c r="MRX13" s="21" t="n"/>
      <c r="MRY13" s="21" t="n"/>
      <c r="MRZ13" s="21" t="n"/>
      <c r="MSA13" s="21" t="n"/>
      <c r="MSB13" s="21" t="n"/>
      <c r="MSC13" s="21" t="n"/>
      <c r="MSD13" s="21" t="n"/>
      <c r="MSE13" s="21" t="n"/>
      <c r="MSF13" s="21" t="n"/>
      <c r="MSG13" s="21" t="n"/>
      <c r="MSH13" s="21" t="n"/>
      <c r="MSI13" s="21" t="n"/>
      <c r="MSJ13" s="21" t="n"/>
      <c r="MSK13" s="21" t="n"/>
      <c r="MSL13" s="21" t="n"/>
      <c r="MSM13" s="21" t="n"/>
      <c r="MSN13" s="21" t="n"/>
      <c r="MSO13" s="21" t="n"/>
      <c r="MSP13" s="21" t="n"/>
      <c r="MSQ13" s="21" t="n"/>
      <c r="MSR13" s="21" t="n"/>
      <c r="MSS13" s="21" t="n"/>
      <c r="MST13" s="21" t="n"/>
      <c r="MSU13" s="21" t="n"/>
      <c r="MSV13" s="21" t="n"/>
      <c r="MSW13" s="21" t="n"/>
      <c r="MSX13" s="21" t="n"/>
      <c r="MSY13" s="21" t="n"/>
      <c r="MSZ13" s="21" t="n"/>
      <c r="MTA13" s="21" t="n"/>
      <c r="MTB13" s="21" t="n"/>
      <c r="MTC13" s="21" t="n"/>
      <c r="MTD13" s="21" t="n"/>
      <c r="MTE13" s="21" t="n"/>
      <c r="MTF13" s="21" t="n"/>
      <c r="MTG13" s="21" t="n"/>
      <c r="MTH13" s="21" t="n"/>
      <c r="MTI13" s="21" t="n"/>
      <c r="MTJ13" s="21" t="n"/>
      <c r="MTK13" s="21" t="n"/>
      <c r="MTL13" s="21" t="n"/>
      <c r="MTM13" s="21" t="n"/>
      <c r="MTN13" s="21" t="n"/>
      <c r="MTO13" s="21" t="n"/>
      <c r="MTP13" s="21" t="n"/>
      <c r="MTQ13" s="21" t="n"/>
      <c r="MTR13" s="21" t="n"/>
      <c r="MTS13" s="21" t="n"/>
      <c r="MTT13" s="21" t="n"/>
      <c r="MTU13" s="21" t="n"/>
      <c r="MTV13" s="21" t="n"/>
      <c r="MTW13" s="21" t="n"/>
      <c r="MTX13" s="21" t="n"/>
      <c r="MTY13" s="21" t="n"/>
      <c r="MTZ13" s="21" t="n"/>
      <c r="MUA13" s="21" t="n"/>
      <c r="MUB13" s="21" t="n"/>
      <c r="MUC13" s="21" t="n"/>
      <c r="MUD13" s="21" t="n"/>
      <c r="MUE13" s="21" t="n"/>
      <c r="MUF13" s="21" t="n"/>
      <c r="MUG13" s="21" t="n"/>
      <c r="MUH13" s="21" t="n"/>
      <c r="MUI13" s="21" t="n"/>
      <c r="MUJ13" s="21" t="n"/>
      <c r="MUK13" s="21" t="n"/>
      <c r="MUL13" s="21" t="n"/>
      <c r="MUM13" s="21" t="n"/>
      <c r="MUN13" s="21" t="n"/>
      <c r="MUO13" s="21" t="n"/>
      <c r="MUP13" s="21" t="n"/>
      <c r="MUQ13" s="21" t="n"/>
      <c r="MUR13" s="21" t="n"/>
      <c r="MUS13" s="21" t="n"/>
      <c r="MUT13" s="21" t="n"/>
      <c r="MUU13" s="21" t="n"/>
      <c r="MUV13" s="21" t="n"/>
      <c r="MUW13" s="21" t="n"/>
      <c r="MUX13" s="21" t="n"/>
      <c r="MUY13" s="21" t="n"/>
      <c r="MUZ13" s="21" t="n"/>
      <c r="MVA13" s="21" t="n"/>
      <c r="MVB13" s="21" t="n"/>
      <c r="MVC13" s="21" t="n"/>
      <c r="MVD13" s="21" t="n"/>
      <c r="MVE13" s="21" t="n"/>
      <c r="MVF13" s="21" t="n"/>
      <c r="MVG13" s="21" t="n"/>
      <c r="MVH13" s="21" t="n"/>
      <c r="MVI13" s="21" t="n"/>
      <c r="MVJ13" s="21" t="n"/>
      <c r="MVK13" s="21" t="n"/>
      <c r="MVL13" s="21" t="n"/>
      <c r="MVM13" s="21" t="n"/>
      <c r="MVN13" s="21" t="n"/>
      <c r="MVO13" s="21" t="n"/>
      <c r="MVP13" s="21" t="n"/>
      <c r="MVQ13" s="21" t="n"/>
      <c r="MVR13" s="21" t="n"/>
      <c r="MVS13" s="21" t="n"/>
      <c r="MVT13" s="21" t="n"/>
      <c r="MVU13" s="21" t="n"/>
      <c r="MVV13" s="21" t="n"/>
      <c r="MVW13" s="21" t="n"/>
      <c r="MVX13" s="21" t="n"/>
      <c r="MVY13" s="21" t="n"/>
      <c r="MVZ13" s="21" t="n"/>
      <c r="MWA13" s="21" t="n"/>
      <c r="MWB13" s="21" t="n"/>
      <c r="MWC13" s="21" t="n"/>
      <c r="MWD13" s="21" t="n"/>
      <c r="MWE13" s="21" t="n"/>
      <c r="MWF13" s="21" t="n"/>
      <c r="MWG13" s="21" t="n"/>
      <c r="MWH13" s="21" t="n"/>
      <c r="MWI13" s="21" t="n"/>
      <c r="MWJ13" s="21" t="n"/>
      <c r="MWK13" s="21" t="n"/>
      <c r="MWL13" s="21" t="n"/>
      <c r="MWM13" s="21" t="n"/>
      <c r="MWN13" s="21" t="n"/>
      <c r="MWO13" s="21" t="n"/>
      <c r="MWP13" s="21" t="n"/>
      <c r="MWQ13" s="21" t="n"/>
      <c r="MWR13" s="21" t="n"/>
      <c r="MWS13" s="21" t="n"/>
      <c r="MWT13" s="21" t="n"/>
      <c r="MWU13" s="21" t="n"/>
      <c r="MWV13" s="21" t="n"/>
      <c r="MWW13" s="21" t="n"/>
      <c r="MWX13" s="21" t="n"/>
      <c r="MWY13" s="21" t="n"/>
      <c r="MWZ13" s="21" t="n"/>
      <c r="MXA13" s="21" t="n"/>
      <c r="MXB13" s="21" t="n"/>
      <c r="MXC13" s="21" t="n"/>
      <c r="MXD13" s="21" t="n"/>
      <c r="MXE13" s="21" t="n"/>
      <c r="MXF13" s="21" t="n"/>
      <c r="MXG13" s="21" t="n"/>
      <c r="MXH13" s="21" t="n"/>
      <c r="MXI13" s="21" t="n"/>
      <c r="MXJ13" s="21" t="n"/>
      <c r="MXK13" s="21" t="n"/>
      <c r="MXL13" s="21" t="n"/>
      <c r="MXM13" s="21" t="n"/>
      <c r="MXN13" s="21" t="n"/>
      <c r="MXO13" s="21" t="n"/>
      <c r="MXP13" s="21" t="n"/>
      <c r="MXQ13" s="21" t="n"/>
      <c r="MXR13" s="21" t="n"/>
      <c r="MXS13" s="21" t="n"/>
      <c r="MXT13" s="21" t="n"/>
      <c r="MXU13" s="21" t="n"/>
      <c r="MXV13" s="21" t="n"/>
      <c r="MXW13" s="21" t="n"/>
      <c r="MXX13" s="21" t="n"/>
      <c r="MXY13" s="21" t="n"/>
      <c r="MXZ13" s="21" t="n"/>
      <c r="MYA13" s="21" t="n"/>
      <c r="MYB13" s="21" t="n"/>
      <c r="MYC13" s="21" t="n"/>
      <c r="MYD13" s="21" t="n"/>
      <c r="MYE13" s="21" t="n"/>
      <c r="MYF13" s="21" t="n"/>
      <c r="MYG13" s="21" t="n"/>
      <c r="MYH13" s="21" t="n"/>
      <c r="MYI13" s="21" t="n"/>
      <c r="MYJ13" s="21" t="n"/>
      <c r="MYK13" s="21" t="n"/>
      <c r="MYL13" s="21" t="n"/>
      <c r="MYM13" s="21" t="n"/>
      <c r="MYN13" s="21" t="n"/>
      <c r="MYO13" s="21" t="n"/>
      <c r="MYP13" s="21" t="n"/>
      <c r="MYQ13" s="21" t="n"/>
      <c r="MYR13" s="21" t="n"/>
      <c r="MYS13" s="21" t="n"/>
      <c r="MYT13" s="21" t="n"/>
      <c r="MYU13" s="21" t="n"/>
      <c r="MYV13" s="21" t="n"/>
      <c r="MYW13" s="21" t="n"/>
      <c r="MYX13" s="21" t="n"/>
      <c r="MYY13" s="21" t="n"/>
      <c r="MYZ13" s="21" t="n"/>
      <c r="MZA13" s="21" t="n"/>
      <c r="MZB13" s="21" t="n"/>
      <c r="MZC13" s="21" t="n"/>
      <c r="MZD13" s="21" t="n"/>
      <c r="MZE13" s="21" t="n"/>
      <c r="MZF13" s="21" t="n"/>
      <c r="MZG13" s="21" t="n"/>
      <c r="MZH13" s="21" t="n"/>
      <c r="MZI13" s="21" t="n"/>
      <c r="MZJ13" s="21" t="n"/>
      <c r="MZK13" s="21" t="n"/>
      <c r="MZL13" s="21" t="n"/>
      <c r="MZM13" s="21" t="n"/>
      <c r="MZN13" s="21" t="n"/>
      <c r="MZO13" s="21" t="n"/>
      <c r="MZP13" s="21" t="n"/>
      <c r="MZQ13" s="21" t="n"/>
      <c r="MZR13" s="21" t="n"/>
      <c r="MZS13" s="21" t="n"/>
      <c r="MZT13" s="21" t="n"/>
      <c r="MZU13" s="21" t="n"/>
      <c r="MZV13" s="21" t="n"/>
      <c r="MZW13" s="21" t="n"/>
      <c r="MZX13" s="21" t="n"/>
      <c r="MZY13" s="21" t="n"/>
      <c r="MZZ13" s="21" t="n"/>
      <c r="NAA13" s="21" t="n"/>
      <c r="NAB13" s="21" t="n"/>
      <c r="NAC13" s="21" t="n"/>
      <c r="NAD13" s="21" t="n"/>
      <c r="NAE13" s="21" t="n"/>
      <c r="NAF13" s="21" t="n"/>
      <c r="NAG13" s="21" t="n"/>
      <c r="NAH13" s="21" t="n"/>
      <c r="NAI13" s="21" t="n"/>
      <c r="NAJ13" s="21" t="n"/>
      <c r="NAK13" s="21" t="n"/>
      <c r="NAL13" s="21" t="n"/>
      <c r="NAM13" s="21" t="n"/>
      <c r="NAN13" s="21" t="n"/>
      <c r="NAO13" s="21" t="n"/>
      <c r="NAP13" s="21" t="n"/>
      <c r="NAQ13" s="21" t="n"/>
      <c r="NAR13" s="21" t="n"/>
      <c r="NAS13" s="21" t="n"/>
      <c r="NAT13" s="21" t="n"/>
      <c r="NAU13" s="21" t="n"/>
      <c r="NAV13" s="21" t="n"/>
      <c r="NAW13" s="21" t="n"/>
      <c r="NAX13" s="21" t="n"/>
      <c r="NAY13" s="21" t="n"/>
      <c r="NAZ13" s="21" t="n"/>
      <c r="NBA13" s="21" t="n"/>
      <c r="NBB13" s="21" t="n"/>
      <c r="NBC13" s="21" t="n"/>
      <c r="NBD13" s="21" t="n"/>
      <c r="NBE13" s="21" t="n"/>
      <c r="NBF13" s="21" t="n"/>
      <c r="NBG13" s="21" t="n"/>
      <c r="NBH13" s="21" t="n"/>
      <c r="NBI13" s="21" t="n"/>
      <c r="NBJ13" s="21" t="n"/>
      <c r="NBK13" s="21" t="n"/>
      <c r="NBL13" s="21" t="n"/>
      <c r="NBM13" s="21" t="n"/>
      <c r="NBN13" s="21" t="n"/>
      <c r="NBO13" s="21" t="n"/>
      <c r="NBP13" s="21" t="n"/>
      <c r="NBQ13" s="21" t="n"/>
      <c r="NBR13" s="21" t="n"/>
      <c r="NBS13" s="21" t="n"/>
      <c r="NBT13" s="21" t="n"/>
      <c r="NBU13" s="21" t="n"/>
      <c r="NBV13" s="21" t="n"/>
      <c r="NBW13" s="21" t="n"/>
      <c r="NBX13" s="21" t="n"/>
      <c r="NBY13" s="21" t="n"/>
      <c r="NBZ13" s="21" t="n"/>
      <c r="NCA13" s="21" t="n"/>
      <c r="NCB13" s="21" t="n"/>
      <c r="NCC13" s="21" t="n"/>
      <c r="NCD13" s="21" t="n"/>
      <c r="NCE13" s="21" t="n"/>
      <c r="NCF13" s="21" t="n"/>
      <c r="NCG13" s="21" t="n"/>
      <c r="NCH13" s="21" t="n"/>
      <c r="NCI13" s="21" t="n"/>
      <c r="NCJ13" s="21" t="n"/>
      <c r="NCK13" s="21" t="n"/>
      <c r="NCL13" s="21" t="n"/>
      <c r="NCM13" s="21" t="n"/>
      <c r="NCN13" s="21" t="n"/>
      <c r="NCO13" s="21" t="n"/>
      <c r="NCP13" s="21" t="n"/>
      <c r="NCQ13" s="21" t="n"/>
      <c r="NCR13" s="21" t="n"/>
      <c r="NCS13" s="21" t="n"/>
      <c r="NCT13" s="21" t="n"/>
      <c r="NCU13" s="21" t="n"/>
      <c r="NCV13" s="21" t="n"/>
      <c r="NCW13" s="21" t="n"/>
      <c r="NCX13" s="21" t="n"/>
      <c r="NCY13" s="21" t="n"/>
      <c r="NCZ13" s="21" t="n"/>
      <c r="NDA13" s="21" t="n"/>
      <c r="NDB13" s="21" t="n"/>
      <c r="NDC13" s="21" t="n"/>
      <c r="NDD13" s="21" t="n"/>
      <c r="NDE13" s="21" t="n"/>
      <c r="NDF13" s="21" t="n"/>
      <c r="NDG13" s="21" t="n"/>
      <c r="NDH13" s="21" t="n"/>
      <c r="NDI13" s="21" t="n"/>
      <c r="NDJ13" s="21" t="n"/>
      <c r="NDK13" s="21" t="n"/>
      <c r="NDL13" s="21" t="n"/>
      <c r="NDM13" s="21" t="n"/>
      <c r="NDN13" s="21" t="n"/>
      <c r="NDO13" s="21" t="n"/>
      <c r="NDP13" s="21" t="n"/>
      <c r="NDQ13" s="21" t="n"/>
      <c r="NDR13" s="21" t="n"/>
      <c r="NDS13" s="21" t="n"/>
      <c r="NDT13" s="21" t="n"/>
      <c r="NDU13" s="21" t="n"/>
      <c r="NDV13" s="21" t="n"/>
      <c r="NDW13" s="21" t="n"/>
      <c r="NDX13" s="21" t="n"/>
      <c r="NDY13" s="21" t="n"/>
      <c r="NDZ13" s="21" t="n"/>
      <c r="NEA13" s="21" t="n"/>
      <c r="NEB13" s="21" t="n"/>
      <c r="NEC13" s="21" t="n"/>
      <c r="NED13" s="21" t="n"/>
      <c r="NEE13" s="21" t="n"/>
      <c r="NEF13" s="21" t="n"/>
      <c r="NEG13" s="21" t="n"/>
      <c r="NEH13" s="21" t="n"/>
      <c r="NEI13" s="21" t="n"/>
      <c r="NEJ13" s="21" t="n"/>
      <c r="NEK13" s="21" t="n"/>
      <c r="NEL13" s="21" t="n"/>
      <c r="NEM13" s="21" t="n"/>
      <c r="NEN13" s="21" t="n"/>
      <c r="NEO13" s="21" t="n"/>
      <c r="NEP13" s="21" t="n"/>
      <c r="NEQ13" s="21" t="n"/>
      <c r="NER13" s="21" t="n"/>
      <c r="NES13" s="21" t="n"/>
      <c r="NET13" s="21" t="n"/>
      <c r="NEU13" s="21" t="n"/>
      <c r="NEV13" s="21" t="n"/>
      <c r="NEW13" s="21" t="n"/>
      <c r="NEX13" s="21" t="n"/>
      <c r="NEY13" s="21" t="n"/>
      <c r="NEZ13" s="21" t="n"/>
      <c r="NFA13" s="21" t="n"/>
      <c r="NFB13" s="21" t="n"/>
      <c r="NFC13" s="21" t="n"/>
      <c r="NFD13" s="21" t="n"/>
      <c r="NFE13" s="21" t="n"/>
      <c r="NFF13" s="21" t="n"/>
      <c r="NFG13" s="21" t="n"/>
      <c r="NFH13" s="21" t="n"/>
      <c r="NFI13" s="21" t="n"/>
      <c r="NFJ13" s="21" t="n"/>
      <c r="NFK13" s="21" t="n"/>
      <c r="NFL13" s="21" t="n"/>
      <c r="NFM13" s="21" t="n"/>
      <c r="NFN13" s="21" t="n"/>
      <c r="NFO13" s="21" t="n"/>
      <c r="NFP13" s="21" t="n"/>
      <c r="NFQ13" s="21" t="n"/>
      <c r="NFR13" s="21" t="n"/>
      <c r="NFS13" s="21" t="n"/>
      <c r="NFT13" s="21" t="n"/>
      <c r="NFU13" s="21" t="n"/>
      <c r="NFV13" s="21" t="n"/>
      <c r="NFW13" s="21" t="n"/>
      <c r="NFX13" s="21" t="n"/>
      <c r="NFY13" s="21" t="n"/>
      <c r="NFZ13" s="21" t="n"/>
      <c r="NGA13" s="21" t="n"/>
      <c r="NGB13" s="21" t="n"/>
      <c r="NGC13" s="21" t="n"/>
      <c r="NGD13" s="21" t="n"/>
      <c r="NGE13" s="21" t="n"/>
      <c r="NGF13" s="21" t="n"/>
      <c r="NGG13" s="21" t="n"/>
      <c r="NGH13" s="21" t="n"/>
      <c r="NGI13" s="21" t="n"/>
      <c r="NGJ13" s="21" t="n"/>
      <c r="NGK13" s="21" t="n"/>
      <c r="NGL13" s="21" t="n"/>
      <c r="NGM13" s="21" t="n"/>
      <c r="NGN13" s="21" t="n"/>
      <c r="NGO13" s="21" t="n"/>
      <c r="NGP13" s="21" t="n"/>
      <c r="NGQ13" s="21" t="n"/>
      <c r="NGR13" s="21" t="n"/>
      <c r="NGS13" s="21" t="n"/>
      <c r="NGT13" s="21" t="n"/>
      <c r="NGU13" s="21" t="n"/>
      <c r="NGV13" s="21" t="n"/>
      <c r="NGW13" s="21" t="n"/>
      <c r="NGX13" s="21" t="n"/>
      <c r="NGY13" s="21" t="n"/>
      <c r="NGZ13" s="21" t="n"/>
      <c r="NHA13" s="21" t="n"/>
      <c r="NHB13" s="21" t="n"/>
      <c r="NHC13" s="21" t="n"/>
      <c r="NHD13" s="21" t="n"/>
      <c r="NHE13" s="21" t="n"/>
      <c r="NHF13" s="21" t="n"/>
      <c r="NHG13" s="21" t="n"/>
      <c r="NHH13" s="21" t="n"/>
      <c r="NHI13" s="21" t="n"/>
      <c r="NHJ13" s="21" t="n"/>
      <c r="NHK13" s="21" t="n"/>
      <c r="NHL13" s="21" t="n"/>
      <c r="NHM13" s="21" t="n"/>
      <c r="NHN13" s="21" t="n"/>
      <c r="NHO13" s="21" t="n"/>
      <c r="NHP13" s="21" t="n"/>
      <c r="NHQ13" s="21" t="n"/>
      <c r="NHR13" s="21" t="n"/>
      <c r="NHS13" s="21" t="n"/>
      <c r="NHT13" s="21" t="n"/>
      <c r="NHU13" s="21" t="n"/>
      <c r="NHV13" s="21" t="n"/>
      <c r="NHW13" s="21" t="n"/>
      <c r="NHX13" s="21" t="n"/>
      <c r="NHY13" s="21" t="n"/>
      <c r="NHZ13" s="21" t="n"/>
      <c r="NIA13" s="21" t="n"/>
      <c r="NIB13" s="21" t="n"/>
      <c r="NIC13" s="21" t="n"/>
      <c r="NID13" s="21" t="n"/>
      <c r="NIE13" s="21" t="n"/>
      <c r="NIF13" s="21" t="n"/>
      <c r="NIG13" s="21" t="n"/>
      <c r="NIH13" s="21" t="n"/>
      <c r="NII13" s="21" t="n"/>
      <c r="NIJ13" s="21" t="n"/>
      <c r="NIK13" s="21" t="n"/>
      <c r="NIL13" s="21" t="n"/>
      <c r="NIM13" s="21" t="n"/>
      <c r="NIN13" s="21" t="n"/>
      <c r="NIO13" s="21" t="n"/>
      <c r="NIP13" s="21" t="n"/>
      <c r="NIQ13" s="21" t="n"/>
      <c r="NIR13" s="21" t="n"/>
      <c r="NIS13" s="21" t="n"/>
      <c r="NIT13" s="21" t="n"/>
      <c r="NIU13" s="21" t="n"/>
      <c r="NIV13" s="21" t="n"/>
      <c r="NIW13" s="21" t="n"/>
      <c r="NIX13" s="21" t="n"/>
      <c r="NIY13" s="21" t="n"/>
      <c r="NIZ13" s="21" t="n"/>
      <c r="NJA13" s="21" t="n"/>
      <c r="NJB13" s="21" t="n"/>
      <c r="NJC13" s="21" t="n"/>
      <c r="NJD13" s="21" t="n"/>
      <c r="NJE13" s="21" t="n"/>
      <c r="NJF13" s="21" t="n"/>
      <c r="NJG13" s="21" t="n"/>
      <c r="NJH13" s="21" t="n"/>
      <c r="NJI13" s="21" t="n"/>
      <c r="NJJ13" s="21" t="n"/>
      <c r="NJK13" s="21" t="n"/>
      <c r="NJL13" s="21" t="n"/>
      <c r="NJM13" s="21" t="n"/>
      <c r="NJN13" s="21" t="n"/>
      <c r="NJO13" s="21" t="n"/>
      <c r="NJP13" s="21" t="n"/>
      <c r="NJQ13" s="21" t="n"/>
      <c r="NJR13" s="21" t="n"/>
      <c r="NJS13" s="21" t="n"/>
      <c r="NJT13" s="21" t="n"/>
      <c r="NJU13" s="21" t="n"/>
      <c r="NJV13" s="21" t="n"/>
      <c r="NJW13" s="21" t="n"/>
      <c r="NJX13" s="21" t="n"/>
      <c r="NJY13" s="21" t="n"/>
      <c r="NJZ13" s="21" t="n"/>
      <c r="NKA13" s="21" t="n"/>
      <c r="NKB13" s="21" t="n"/>
      <c r="NKC13" s="21" t="n"/>
      <c r="NKD13" s="21" t="n"/>
      <c r="NKE13" s="21" t="n"/>
      <c r="NKF13" s="21" t="n"/>
      <c r="NKG13" s="21" t="n"/>
      <c r="NKH13" s="21" t="n"/>
      <c r="NKI13" s="21" t="n"/>
      <c r="NKJ13" s="21" t="n"/>
      <c r="NKK13" s="21" t="n"/>
      <c r="NKL13" s="21" t="n"/>
      <c r="NKM13" s="21" t="n"/>
      <c r="NKN13" s="21" t="n"/>
      <c r="NKO13" s="21" t="n"/>
      <c r="NKP13" s="21" t="n"/>
      <c r="NKQ13" s="21" t="n"/>
      <c r="NKR13" s="21" t="n"/>
      <c r="NKS13" s="21" t="n"/>
      <c r="NKT13" s="21" t="n"/>
      <c r="NKU13" s="21" t="n"/>
      <c r="NKV13" s="21" t="n"/>
      <c r="NKW13" s="21" t="n"/>
      <c r="NKX13" s="21" t="n"/>
      <c r="NKY13" s="21" t="n"/>
      <c r="NKZ13" s="21" t="n"/>
      <c r="NLA13" s="21" t="n"/>
      <c r="NLB13" s="21" t="n"/>
      <c r="NLC13" s="21" t="n"/>
      <c r="NLD13" s="21" t="n"/>
      <c r="NLE13" s="21" t="n"/>
      <c r="NLF13" s="21" t="n"/>
      <c r="NLG13" s="21" t="n"/>
      <c r="NLH13" s="21" t="n"/>
      <c r="NLI13" s="21" t="n"/>
      <c r="NLJ13" s="21" t="n"/>
      <c r="NLK13" s="21" t="n"/>
      <c r="NLL13" s="21" t="n"/>
      <c r="NLM13" s="21" t="n"/>
      <c r="NLN13" s="21" t="n"/>
      <c r="NLO13" s="21" t="n"/>
      <c r="NLP13" s="21" t="n"/>
      <c r="NLQ13" s="21" t="n"/>
      <c r="NLR13" s="21" t="n"/>
      <c r="NLS13" s="21" t="n"/>
      <c r="NLT13" s="21" t="n"/>
      <c r="NLU13" s="21" t="n"/>
      <c r="NLV13" s="21" t="n"/>
      <c r="NLW13" s="21" t="n"/>
      <c r="NLX13" s="21" t="n"/>
      <c r="NLY13" s="21" t="n"/>
      <c r="NLZ13" s="21" t="n"/>
      <c r="NMA13" s="21" t="n"/>
      <c r="NMB13" s="21" t="n"/>
      <c r="NMC13" s="21" t="n"/>
      <c r="NMD13" s="21" t="n"/>
      <c r="NME13" s="21" t="n"/>
      <c r="NMF13" s="21" t="n"/>
      <c r="NMG13" s="21" t="n"/>
      <c r="NMH13" s="21" t="n"/>
      <c r="NMI13" s="21" t="n"/>
      <c r="NMJ13" s="21" t="n"/>
      <c r="NMK13" s="21" t="n"/>
      <c r="NML13" s="21" t="n"/>
      <c r="NMM13" s="21" t="n"/>
      <c r="NMN13" s="21" t="n"/>
      <c r="NMO13" s="21" t="n"/>
      <c r="NMP13" s="21" t="n"/>
      <c r="NMQ13" s="21" t="n"/>
      <c r="NMR13" s="21" t="n"/>
      <c r="NMS13" s="21" t="n"/>
      <c r="NMT13" s="21" t="n"/>
      <c r="NMU13" s="21" t="n"/>
      <c r="NMV13" s="21" t="n"/>
      <c r="NMW13" s="21" t="n"/>
      <c r="NMX13" s="21" t="n"/>
      <c r="NMY13" s="21" t="n"/>
      <c r="NMZ13" s="21" t="n"/>
      <c r="NNA13" s="21" t="n"/>
      <c r="NNB13" s="21" t="n"/>
      <c r="NNC13" s="21" t="n"/>
      <c r="NND13" s="21" t="n"/>
      <c r="NNE13" s="21" t="n"/>
      <c r="NNF13" s="21" t="n"/>
      <c r="NNG13" s="21" t="n"/>
      <c r="NNH13" s="21" t="n"/>
      <c r="NNI13" s="21" t="n"/>
      <c r="NNJ13" s="21" t="n"/>
      <c r="NNK13" s="21" t="n"/>
      <c r="NNL13" s="21" t="n"/>
      <c r="NNM13" s="21" t="n"/>
      <c r="NNN13" s="21" t="n"/>
      <c r="NNO13" s="21" t="n"/>
      <c r="NNP13" s="21" t="n"/>
      <c r="NNQ13" s="21" t="n"/>
      <c r="NNR13" s="21" t="n"/>
      <c r="NNS13" s="21" t="n"/>
      <c r="NNT13" s="21" t="n"/>
      <c r="NNU13" s="21" t="n"/>
      <c r="NNV13" s="21" t="n"/>
      <c r="NNW13" s="21" t="n"/>
      <c r="NNX13" s="21" t="n"/>
      <c r="NNY13" s="21" t="n"/>
      <c r="NNZ13" s="21" t="n"/>
      <c r="NOA13" s="21" t="n"/>
      <c r="NOB13" s="21" t="n"/>
      <c r="NOC13" s="21" t="n"/>
      <c r="NOD13" s="21" t="n"/>
      <c r="NOE13" s="21" t="n"/>
      <c r="NOF13" s="21" t="n"/>
      <c r="NOG13" s="21" t="n"/>
      <c r="NOH13" s="21" t="n"/>
      <c r="NOI13" s="21" t="n"/>
      <c r="NOJ13" s="21" t="n"/>
      <c r="NOK13" s="21" t="n"/>
      <c r="NOL13" s="21" t="n"/>
      <c r="NOM13" s="21" t="n"/>
      <c r="NON13" s="21" t="n"/>
      <c r="NOO13" s="21" t="n"/>
      <c r="NOP13" s="21" t="n"/>
      <c r="NOQ13" s="21" t="n"/>
      <c r="NOR13" s="21" t="n"/>
      <c r="NOS13" s="21" t="n"/>
      <c r="NOT13" s="21" t="n"/>
      <c r="NOU13" s="21" t="n"/>
      <c r="NOV13" s="21" t="n"/>
      <c r="NOW13" s="21" t="n"/>
      <c r="NOX13" s="21" t="n"/>
      <c r="NOY13" s="21" t="n"/>
      <c r="NOZ13" s="21" t="n"/>
      <c r="NPA13" s="21" t="n"/>
      <c r="NPB13" s="21" t="n"/>
      <c r="NPC13" s="21" t="n"/>
      <c r="NPD13" s="21" t="n"/>
      <c r="NPE13" s="21" t="n"/>
      <c r="NPF13" s="21" t="n"/>
      <c r="NPG13" s="21" t="n"/>
      <c r="NPH13" s="21" t="n"/>
      <c r="NPI13" s="21" t="n"/>
      <c r="NPJ13" s="21" t="n"/>
      <c r="NPK13" s="21" t="n"/>
      <c r="NPL13" s="21" t="n"/>
      <c r="NPM13" s="21" t="n"/>
      <c r="NPN13" s="21" t="n"/>
      <c r="NPO13" s="21" t="n"/>
      <c r="NPP13" s="21" t="n"/>
      <c r="NPQ13" s="21" t="n"/>
      <c r="NPR13" s="21" t="n"/>
      <c r="NPS13" s="21" t="n"/>
      <c r="NPT13" s="21" t="n"/>
      <c r="NPU13" s="21" t="n"/>
      <c r="NPV13" s="21" t="n"/>
      <c r="NPW13" s="21" t="n"/>
      <c r="NPX13" s="21" t="n"/>
      <c r="NPY13" s="21" t="n"/>
      <c r="NPZ13" s="21" t="n"/>
      <c r="NQA13" s="21" t="n"/>
      <c r="NQB13" s="21" t="n"/>
      <c r="NQC13" s="21" t="n"/>
      <c r="NQD13" s="21" t="n"/>
      <c r="NQE13" s="21" t="n"/>
      <c r="NQF13" s="21" t="n"/>
      <c r="NQG13" s="21" t="n"/>
      <c r="NQH13" s="21" t="n"/>
      <c r="NQI13" s="21" t="n"/>
      <c r="NQJ13" s="21" t="n"/>
      <c r="NQK13" s="21" t="n"/>
      <c r="NQL13" s="21" t="n"/>
      <c r="NQM13" s="21" t="n"/>
      <c r="NQN13" s="21" t="n"/>
      <c r="NQO13" s="21" t="n"/>
      <c r="NQP13" s="21" t="n"/>
      <c r="NQQ13" s="21" t="n"/>
      <c r="NQR13" s="21" t="n"/>
      <c r="NQS13" s="21" t="n"/>
      <c r="NQT13" s="21" t="n"/>
      <c r="NQU13" s="21" t="n"/>
      <c r="NQV13" s="21" t="n"/>
      <c r="NQW13" s="21" t="n"/>
      <c r="NQX13" s="21" t="n"/>
      <c r="NQY13" s="21" t="n"/>
      <c r="NQZ13" s="21" t="n"/>
      <c r="NRA13" s="21" t="n"/>
      <c r="NRB13" s="21" t="n"/>
      <c r="NRC13" s="21" t="n"/>
      <c r="NRD13" s="21" t="n"/>
      <c r="NRE13" s="21" t="n"/>
      <c r="NRF13" s="21" t="n"/>
      <c r="NRG13" s="21" t="n"/>
      <c r="NRH13" s="21" t="n"/>
      <c r="NRI13" s="21" t="n"/>
      <c r="NRJ13" s="21" t="n"/>
      <c r="NRK13" s="21" t="n"/>
      <c r="NRL13" s="21" t="n"/>
      <c r="NRM13" s="21" t="n"/>
      <c r="NRN13" s="21" t="n"/>
      <c r="NRO13" s="21" t="n"/>
      <c r="NRP13" s="21" t="n"/>
      <c r="NRQ13" s="21" t="n"/>
      <c r="NRR13" s="21" t="n"/>
      <c r="NRS13" s="21" t="n"/>
      <c r="NRT13" s="21" t="n"/>
      <c r="NRU13" s="21" t="n"/>
      <c r="NRV13" s="21" t="n"/>
      <c r="NRW13" s="21" t="n"/>
      <c r="NRX13" s="21" t="n"/>
      <c r="NRY13" s="21" t="n"/>
      <c r="NRZ13" s="21" t="n"/>
      <c r="NSA13" s="21" t="n"/>
      <c r="NSB13" s="21" t="n"/>
      <c r="NSC13" s="21" t="n"/>
      <c r="NSD13" s="21" t="n"/>
      <c r="NSE13" s="21" t="n"/>
      <c r="NSF13" s="21" t="n"/>
      <c r="NSG13" s="21" t="n"/>
      <c r="NSH13" s="21" t="n"/>
      <c r="NSI13" s="21" t="n"/>
      <c r="NSJ13" s="21" t="n"/>
      <c r="NSK13" s="21" t="n"/>
      <c r="NSL13" s="21" t="n"/>
      <c r="NSM13" s="21" t="n"/>
      <c r="NSN13" s="21" t="n"/>
      <c r="NSO13" s="21" t="n"/>
      <c r="NSP13" s="21" t="n"/>
      <c r="NSQ13" s="21" t="n"/>
      <c r="NSR13" s="21" t="n"/>
      <c r="NSS13" s="21" t="n"/>
      <c r="NST13" s="21" t="n"/>
      <c r="NSU13" s="21" t="n"/>
      <c r="NSV13" s="21" t="n"/>
      <c r="NSW13" s="21" t="n"/>
      <c r="NSX13" s="21" t="n"/>
      <c r="NSY13" s="21" t="n"/>
      <c r="NSZ13" s="21" t="n"/>
      <c r="NTA13" s="21" t="n"/>
      <c r="NTB13" s="21" t="n"/>
      <c r="NTC13" s="21" t="n"/>
      <c r="NTD13" s="21" t="n"/>
      <c r="NTE13" s="21" t="n"/>
      <c r="NTF13" s="21" t="n"/>
      <c r="NTG13" s="21" t="n"/>
      <c r="NTH13" s="21" t="n"/>
      <c r="NTI13" s="21" t="n"/>
      <c r="NTJ13" s="21" t="n"/>
      <c r="NTK13" s="21" t="n"/>
      <c r="NTL13" s="21" t="n"/>
      <c r="NTM13" s="21" t="n"/>
      <c r="NTN13" s="21" t="n"/>
      <c r="NTO13" s="21" t="n"/>
      <c r="NTP13" s="21" t="n"/>
      <c r="NTQ13" s="21" t="n"/>
      <c r="NTR13" s="21" t="n"/>
      <c r="NTS13" s="21" t="n"/>
      <c r="NTT13" s="21" t="n"/>
      <c r="NTU13" s="21" t="n"/>
      <c r="NTV13" s="21" t="n"/>
      <c r="NTW13" s="21" t="n"/>
      <c r="NTX13" s="21" t="n"/>
      <c r="NTY13" s="21" t="n"/>
      <c r="NTZ13" s="21" t="n"/>
      <c r="NUA13" s="21" t="n"/>
      <c r="NUB13" s="21" t="n"/>
      <c r="NUC13" s="21" t="n"/>
      <c r="NUD13" s="21" t="n"/>
      <c r="NUE13" s="21" t="n"/>
      <c r="NUF13" s="21" t="n"/>
      <c r="NUG13" s="21" t="n"/>
      <c r="NUH13" s="21" t="n"/>
      <c r="NUI13" s="21" t="n"/>
      <c r="NUJ13" s="21" t="n"/>
      <c r="NUK13" s="21" t="n"/>
      <c r="NUL13" s="21" t="n"/>
      <c r="NUM13" s="21" t="n"/>
      <c r="NUN13" s="21" t="n"/>
      <c r="NUO13" s="21" t="n"/>
      <c r="NUP13" s="21" t="n"/>
      <c r="NUQ13" s="21" t="n"/>
      <c r="NUR13" s="21" t="n"/>
      <c r="NUS13" s="21" t="n"/>
      <c r="NUT13" s="21" t="n"/>
      <c r="NUU13" s="21" t="n"/>
      <c r="NUV13" s="21" t="n"/>
      <c r="NUW13" s="21" t="n"/>
      <c r="NUX13" s="21" t="n"/>
      <c r="NUY13" s="21" t="n"/>
      <c r="NUZ13" s="21" t="n"/>
      <c r="NVA13" s="21" t="n"/>
      <c r="NVB13" s="21" t="n"/>
      <c r="NVC13" s="21" t="n"/>
      <c r="NVD13" s="21" t="n"/>
      <c r="NVE13" s="21" t="n"/>
      <c r="NVF13" s="21" t="n"/>
      <c r="NVG13" s="21" t="n"/>
      <c r="NVH13" s="21" t="n"/>
      <c r="NVI13" s="21" t="n"/>
      <c r="NVJ13" s="21" t="n"/>
      <c r="NVK13" s="21" t="n"/>
      <c r="NVL13" s="21" t="n"/>
      <c r="NVM13" s="21" t="n"/>
      <c r="NVN13" s="21" t="n"/>
      <c r="NVO13" s="21" t="n"/>
      <c r="NVP13" s="21" t="n"/>
      <c r="NVQ13" s="21" t="n"/>
      <c r="NVR13" s="21" t="n"/>
      <c r="NVS13" s="21" t="n"/>
      <c r="NVT13" s="21" t="n"/>
      <c r="NVU13" s="21" t="n"/>
      <c r="NVV13" s="21" t="n"/>
      <c r="NVW13" s="21" t="n"/>
      <c r="NVX13" s="21" t="n"/>
      <c r="NVY13" s="21" t="n"/>
      <c r="NVZ13" s="21" t="n"/>
      <c r="NWA13" s="21" t="n"/>
      <c r="NWB13" s="21" t="n"/>
      <c r="NWC13" s="21" t="n"/>
      <c r="NWD13" s="21" t="n"/>
      <c r="NWE13" s="21" t="n"/>
      <c r="NWF13" s="21" t="n"/>
      <c r="NWG13" s="21" t="n"/>
      <c r="NWH13" s="21" t="n"/>
      <c r="NWI13" s="21" t="n"/>
      <c r="NWJ13" s="21" t="n"/>
      <c r="NWK13" s="21" t="n"/>
      <c r="NWL13" s="21" t="n"/>
      <c r="NWM13" s="21" t="n"/>
      <c r="NWN13" s="21" t="n"/>
      <c r="NWO13" s="21" t="n"/>
      <c r="NWP13" s="21" t="n"/>
      <c r="NWQ13" s="21" t="n"/>
      <c r="NWR13" s="21" t="n"/>
      <c r="NWS13" s="21" t="n"/>
      <c r="NWT13" s="21" t="n"/>
      <c r="NWU13" s="21" t="n"/>
      <c r="NWV13" s="21" t="n"/>
      <c r="NWW13" s="21" t="n"/>
      <c r="NWX13" s="21" t="n"/>
      <c r="NWY13" s="21" t="n"/>
      <c r="NWZ13" s="21" t="n"/>
      <c r="NXA13" s="21" t="n"/>
      <c r="NXB13" s="21" t="n"/>
      <c r="NXC13" s="21" t="n"/>
      <c r="NXD13" s="21" t="n"/>
      <c r="NXE13" s="21" t="n"/>
      <c r="NXF13" s="21" t="n"/>
      <c r="NXG13" s="21" t="n"/>
      <c r="NXH13" s="21" t="n"/>
      <c r="NXI13" s="21" t="n"/>
      <c r="NXJ13" s="21" t="n"/>
      <c r="NXK13" s="21" t="n"/>
      <c r="NXL13" s="21" t="n"/>
      <c r="NXM13" s="21" t="n"/>
      <c r="NXN13" s="21" t="n"/>
      <c r="NXO13" s="21" t="n"/>
      <c r="NXP13" s="21" t="n"/>
      <c r="NXQ13" s="21" t="n"/>
      <c r="NXR13" s="21" t="n"/>
      <c r="NXS13" s="21" t="n"/>
      <c r="NXT13" s="21" t="n"/>
      <c r="NXU13" s="21" t="n"/>
      <c r="NXV13" s="21" t="n"/>
      <c r="NXW13" s="21" t="n"/>
      <c r="NXX13" s="21" t="n"/>
      <c r="NXY13" s="21" t="n"/>
      <c r="NXZ13" s="21" t="n"/>
      <c r="NYA13" s="21" t="n"/>
      <c r="NYB13" s="21" t="n"/>
      <c r="NYC13" s="21" t="n"/>
      <c r="NYD13" s="21" t="n"/>
      <c r="NYE13" s="21" t="n"/>
      <c r="NYF13" s="21" t="n"/>
      <c r="NYG13" s="21" t="n"/>
      <c r="NYH13" s="21" t="n"/>
      <c r="NYI13" s="21" t="n"/>
      <c r="NYJ13" s="21" t="n"/>
      <c r="NYK13" s="21" t="n"/>
      <c r="NYL13" s="21" t="n"/>
      <c r="NYM13" s="21" t="n"/>
      <c r="NYN13" s="21" t="n"/>
      <c r="NYO13" s="21" t="n"/>
      <c r="NYP13" s="21" t="n"/>
      <c r="NYQ13" s="21" t="n"/>
      <c r="NYR13" s="21" t="n"/>
      <c r="NYS13" s="21" t="n"/>
      <c r="NYT13" s="21" t="n"/>
      <c r="NYU13" s="21" t="n"/>
      <c r="NYV13" s="21" t="n"/>
      <c r="NYW13" s="21" t="n"/>
      <c r="NYX13" s="21" t="n"/>
      <c r="NYY13" s="21" t="n"/>
      <c r="NYZ13" s="21" t="n"/>
      <c r="NZA13" s="21" t="n"/>
      <c r="NZB13" s="21" t="n"/>
      <c r="NZC13" s="21" t="n"/>
      <c r="NZD13" s="21" t="n"/>
      <c r="NZE13" s="21" t="n"/>
      <c r="NZF13" s="21" t="n"/>
      <c r="NZG13" s="21" t="n"/>
      <c r="NZH13" s="21" t="n"/>
      <c r="NZI13" s="21" t="n"/>
      <c r="NZJ13" s="21" t="n"/>
      <c r="NZK13" s="21" t="n"/>
      <c r="NZL13" s="21" t="n"/>
      <c r="NZM13" s="21" t="n"/>
      <c r="NZN13" s="21" t="n"/>
      <c r="NZO13" s="21" t="n"/>
      <c r="NZP13" s="21" t="n"/>
      <c r="NZQ13" s="21" t="n"/>
      <c r="NZR13" s="21" t="n"/>
      <c r="NZS13" s="21" t="n"/>
      <c r="NZT13" s="21" t="n"/>
      <c r="NZU13" s="21" t="n"/>
      <c r="NZV13" s="21" t="n"/>
      <c r="NZW13" s="21" t="n"/>
      <c r="NZX13" s="21" t="n"/>
      <c r="NZY13" s="21" t="n"/>
      <c r="NZZ13" s="21" t="n"/>
      <c r="OAA13" s="21" t="n"/>
      <c r="OAB13" s="21" t="n"/>
      <c r="OAC13" s="21" t="n"/>
      <c r="OAD13" s="21" t="n"/>
      <c r="OAE13" s="21" t="n"/>
      <c r="OAF13" s="21" t="n"/>
      <c r="OAG13" s="21" t="n"/>
      <c r="OAH13" s="21" t="n"/>
      <c r="OAI13" s="21" t="n"/>
      <c r="OAJ13" s="21" t="n"/>
      <c r="OAK13" s="21" t="n"/>
      <c r="OAL13" s="21" t="n"/>
      <c r="OAM13" s="21" t="n"/>
      <c r="OAN13" s="21" t="n"/>
      <c r="OAO13" s="21" t="n"/>
      <c r="OAP13" s="21" t="n"/>
      <c r="OAQ13" s="21" t="n"/>
      <c r="OAR13" s="21" t="n"/>
      <c r="OAS13" s="21" t="n"/>
      <c r="OAT13" s="21" t="n"/>
      <c r="OAU13" s="21" t="n"/>
      <c r="OAV13" s="21" t="n"/>
      <c r="OAW13" s="21" t="n"/>
      <c r="OAX13" s="21" t="n"/>
      <c r="OAY13" s="21" t="n"/>
      <c r="OAZ13" s="21" t="n"/>
      <c r="OBA13" s="21" t="n"/>
      <c r="OBB13" s="21" t="n"/>
      <c r="OBC13" s="21" t="n"/>
      <c r="OBD13" s="21" t="n"/>
      <c r="OBE13" s="21" t="n"/>
      <c r="OBF13" s="21" t="n"/>
      <c r="OBG13" s="21" t="n"/>
      <c r="OBH13" s="21" t="n"/>
      <c r="OBI13" s="21" t="n"/>
      <c r="OBJ13" s="21" t="n"/>
      <c r="OBK13" s="21" t="n"/>
      <c r="OBL13" s="21" t="n"/>
      <c r="OBM13" s="21" t="n"/>
      <c r="OBN13" s="21" t="n"/>
      <c r="OBO13" s="21" t="n"/>
      <c r="OBP13" s="21" t="n"/>
      <c r="OBQ13" s="21" t="n"/>
      <c r="OBR13" s="21" t="n"/>
      <c r="OBS13" s="21" t="n"/>
      <c r="OBT13" s="21" t="n"/>
      <c r="OBU13" s="21" t="n"/>
      <c r="OBV13" s="21" t="n"/>
      <c r="OBW13" s="21" t="n"/>
      <c r="OBX13" s="21" t="n"/>
      <c r="OBY13" s="21" t="n"/>
      <c r="OBZ13" s="21" t="n"/>
      <c r="OCA13" s="21" t="n"/>
      <c r="OCB13" s="21" t="n"/>
      <c r="OCC13" s="21" t="n"/>
      <c r="OCD13" s="21" t="n"/>
      <c r="OCE13" s="21" t="n"/>
      <c r="OCF13" s="21" t="n"/>
      <c r="OCG13" s="21" t="n"/>
      <c r="OCH13" s="21" t="n"/>
      <c r="OCI13" s="21" t="n"/>
      <c r="OCJ13" s="21" t="n"/>
      <c r="OCK13" s="21" t="n"/>
      <c r="OCL13" s="21" t="n"/>
      <c r="OCM13" s="21" t="n"/>
      <c r="OCN13" s="21" t="n"/>
      <c r="OCO13" s="21" t="n"/>
      <c r="OCP13" s="21" t="n"/>
      <c r="OCQ13" s="21" t="n"/>
      <c r="OCR13" s="21" t="n"/>
      <c r="OCS13" s="21" t="n"/>
      <c r="OCT13" s="21" t="n"/>
      <c r="OCU13" s="21" t="n"/>
      <c r="OCV13" s="21" t="n"/>
      <c r="OCW13" s="21" t="n"/>
      <c r="OCX13" s="21" t="n"/>
      <c r="OCY13" s="21" t="n"/>
      <c r="OCZ13" s="21" t="n"/>
      <c r="ODA13" s="21" t="n"/>
      <c r="ODB13" s="21" t="n"/>
      <c r="ODC13" s="21" t="n"/>
      <c r="ODD13" s="21" t="n"/>
      <c r="ODE13" s="21" t="n"/>
      <c r="ODF13" s="21" t="n"/>
      <c r="ODG13" s="21" t="n"/>
      <c r="ODH13" s="21" t="n"/>
      <c r="ODI13" s="21" t="n"/>
      <c r="ODJ13" s="21" t="n"/>
      <c r="ODK13" s="21" t="n"/>
      <c r="ODL13" s="21" t="n"/>
      <c r="ODM13" s="21" t="n"/>
      <c r="ODN13" s="21" t="n"/>
      <c r="ODO13" s="21" t="n"/>
      <c r="ODP13" s="21" t="n"/>
      <c r="ODQ13" s="21" t="n"/>
      <c r="ODR13" s="21" t="n"/>
      <c r="ODS13" s="21" t="n"/>
      <c r="ODT13" s="21" t="n"/>
      <c r="ODU13" s="21" t="n"/>
      <c r="ODV13" s="21" t="n"/>
      <c r="ODW13" s="21" t="n"/>
      <c r="ODX13" s="21" t="n"/>
      <c r="ODY13" s="21" t="n"/>
      <c r="ODZ13" s="21" t="n"/>
      <c r="OEA13" s="21" t="n"/>
      <c r="OEB13" s="21" t="n"/>
      <c r="OEC13" s="21" t="n"/>
      <c r="OED13" s="21" t="n"/>
      <c r="OEE13" s="21" t="n"/>
      <c r="OEF13" s="21" t="n"/>
      <c r="OEG13" s="21" t="n"/>
      <c r="OEH13" s="21" t="n"/>
      <c r="OEI13" s="21" t="n"/>
      <c r="OEJ13" s="21" t="n"/>
      <c r="OEK13" s="21" t="n"/>
      <c r="OEL13" s="21" t="n"/>
      <c r="OEM13" s="21" t="n"/>
      <c r="OEN13" s="21" t="n"/>
      <c r="OEO13" s="21" t="n"/>
      <c r="OEP13" s="21" t="n"/>
      <c r="OEQ13" s="21" t="n"/>
      <c r="OER13" s="21" t="n"/>
      <c r="OES13" s="21" t="n"/>
      <c r="OET13" s="21" t="n"/>
      <c r="OEU13" s="21" t="n"/>
      <c r="OEV13" s="21" t="n"/>
      <c r="OEW13" s="21" t="n"/>
      <c r="OEX13" s="21" t="n"/>
      <c r="OEY13" s="21" t="n"/>
      <c r="OEZ13" s="21" t="n"/>
      <c r="OFA13" s="21" t="n"/>
      <c r="OFB13" s="21" t="n"/>
      <c r="OFC13" s="21" t="n"/>
      <c r="OFD13" s="21" t="n"/>
      <c r="OFE13" s="21" t="n"/>
      <c r="OFF13" s="21" t="n"/>
      <c r="OFG13" s="21" t="n"/>
      <c r="OFH13" s="21" t="n"/>
      <c r="OFI13" s="21" t="n"/>
      <c r="OFJ13" s="21" t="n"/>
      <c r="OFK13" s="21" t="n"/>
      <c r="OFL13" s="21" t="n"/>
      <c r="OFM13" s="21" t="n"/>
      <c r="OFN13" s="21" t="n"/>
      <c r="OFO13" s="21" t="n"/>
      <c r="OFP13" s="21" t="n"/>
      <c r="OFQ13" s="21" t="n"/>
      <c r="OFR13" s="21" t="n"/>
      <c r="OFS13" s="21" t="n"/>
      <c r="OFT13" s="21" t="n"/>
      <c r="OFU13" s="21" t="n"/>
      <c r="OFV13" s="21" t="n"/>
      <c r="OFW13" s="21" t="n"/>
      <c r="OFX13" s="21" t="n"/>
      <c r="OFY13" s="21" t="n"/>
      <c r="OFZ13" s="21" t="n"/>
      <c r="OGA13" s="21" t="n"/>
      <c r="OGB13" s="21" t="n"/>
      <c r="OGC13" s="21" t="n"/>
      <c r="OGD13" s="21" t="n"/>
      <c r="OGE13" s="21" t="n"/>
      <c r="OGF13" s="21" t="n"/>
      <c r="OGG13" s="21" t="n"/>
      <c r="OGH13" s="21" t="n"/>
      <c r="OGI13" s="21" t="n"/>
      <c r="OGJ13" s="21" t="n"/>
      <c r="OGK13" s="21" t="n"/>
      <c r="OGL13" s="21" t="n"/>
      <c r="OGM13" s="21" t="n"/>
      <c r="OGN13" s="21" t="n"/>
      <c r="OGO13" s="21" t="n"/>
      <c r="OGP13" s="21" t="n"/>
      <c r="OGQ13" s="21" t="n"/>
      <c r="OGR13" s="21" t="n"/>
      <c r="OGS13" s="21" t="n"/>
      <c r="OGT13" s="21" t="n"/>
      <c r="OGU13" s="21" t="n"/>
      <c r="OGV13" s="21" t="n"/>
      <c r="OGW13" s="21" t="n"/>
      <c r="OGX13" s="21" t="n"/>
      <c r="OGY13" s="21" t="n"/>
      <c r="OGZ13" s="21" t="n"/>
      <c r="OHA13" s="21" t="n"/>
      <c r="OHB13" s="21" t="n"/>
      <c r="OHC13" s="21" t="n"/>
      <c r="OHD13" s="21" t="n"/>
      <c r="OHE13" s="21" t="n"/>
      <c r="OHF13" s="21" t="n"/>
      <c r="OHG13" s="21" t="n"/>
      <c r="OHH13" s="21" t="n"/>
      <c r="OHI13" s="21" t="n"/>
      <c r="OHJ13" s="21" t="n"/>
      <c r="OHK13" s="21" t="n"/>
      <c r="OHL13" s="21" t="n"/>
      <c r="OHM13" s="21" t="n"/>
      <c r="OHN13" s="21" t="n"/>
      <c r="OHO13" s="21" t="n"/>
      <c r="OHP13" s="21" t="n"/>
      <c r="OHQ13" s="21" t="n"/>
      <c r="OHR13" s="21" t="n"/>
      <c r="OHS13" s="21" t="n"/>
      <c r="OHT13" s="21" t="n"/>
      <c r="OHU13" s="21" t="n"/>
      <c r="OHV13" s="21" t="n"/>
      <c r="OHW13" s="21" t="n"/>
      <c r="OHX13" s="21" t="n"/>
      <c r="OHY13" s="21" t="n"/>
      <c r="OHZ13" s="21" t="n"/>
      <c r="OIA13" s="21" t="n"/>
      <c r="OIB13" s="21" t="n"/>
      <c r="OIC13" s="21" t="n"/>
      <c r="OID13" s="21" t="n"/>
      <c r="OIE13" s="21" t="n"/>
      <c r="OIF13" s="21" t="n"/>
      <c r="OIG13" s="21" t="n"/>
      <c r="OIH13" s="21" t="n"/>
      <c r="OII13" s="21" t="n"/>
      <c r="OIJ13" s="21" t="n"/>
      <c r="OIK13" s="21" t="n"/>
      <c r="OIL13" s="21" t="n"/>
      <c r="OIM13" s="21" t="n"/>
      <c r="OIN13" s="21" t="n"/>
      <c r="OIO13" s="21" t="n"/>
      <c r="OIP13" s="21" t="n"/>
      <c r="OIQ13" s="21" t="n"/>
      <c r="OIR13" s="21" t="n"/>
      <c r="OIS13" s="21" t="n"/>
      <c r="OIT13" s="21" t="n"/>
      <c r="OIU13" s="21" t="n"/>
      <c r="OIV13" s="21" t="n"/>
      <c r="OIW13" s="21" t="n"/>
      <c r="OIX13" s="21" t="n"/>
      <c r="OIY13" s="21" t="n"/>
      <c r="OIZ13" s="21" t="n"/>
      <c r="OJA13" s="21" t="n"/>
      <c r="OJB13" s="21" t="n"/>
      <c r="OJC13" s="21" t="n"/>
      <c r="OJD13" s="21" t="n"/>
      <c r="OJE13" s="21" t="n"/>
      <c r="OJF13" s="21" t="n"/>
      <c r="OJG13" s="21" t="n"/>
      <c r="OJH13" s="21" t="n"/>
      <c r="OJI13" s="21" t="n"/>
      <c r="OJJ13" s="21" t="n"/>
      <c r="OJK13" s="21" t="n"/>
      <c r="OJL13" s="21" t="n"/>
      <c r="OJM13" s="21" t="n"/>
      <c r="OJN13" s="21" t="n"/>
      <c r="OJO13" s="21" t="n"/>
      <c r="OJP13" s="21" t="n"/>
      <c r="OJQ13" s="21" t="n"/>
      <c r="OJR13" s="21" t="n"/>
      <c r="OJS13" s="21" t="n"/>
      <c r="OJT13" s="21" t="n"/>
      <c r="OJU13" s="21" t="n"/>
      <c r="OJV13" s="21" t="n"/>
      <c r="OJW13" s="21" t="n"/>
      <c r="OJX13" s="21" t="n"/>
      <c r="OJY13" s="21" t="n"/>
      <c r="OJZ13" s="21" t="n"/>
      <c r="OKA13" s="21" t="n"/>
      <c r="OKB13" s="21" t="n"/>
      <c r="OKC13" s="21" t="n"/>
      <c r="OKD13" s="21" t="n"/>
      <c r="OKE13" s="21" t="n"/>
      <c r="OKF13" s="21" t="n"/>
      <c r="OKG13" s="21" t="n"/>
      <c r="OKH13" s="21" t="n"/>
      <c r="OKI13" s="21" t="n"/>
      <c r="OKJ13" s="21" t="n"/>
      <c r="OKK13" s="21" t="n"/>
      <c r="OKL13" s="21" t="n"/>
      <c r="OKM13" s="21" t="n"/>
      <c r="OKN13" s="21" t="n"/>
      <c r="OKO13" s="21" t="n"/>
      <c r="OKP13" s="21" t="n"/>
      <c r="OKQ13" s="21" t="n"/>
      <c r="OKR13" s="21" t="n"/>
      <c r="OKS13" s="21" t="n"/>
      <c r="OKT13" s="21" t="n"/>
      <c r="OKU13" s="21" t="n"/>
      <c r="OKV13" s="21" t="n"/>
      <c r="OKW13" s="21" t="n"/>
      <c r="OKX13" s="21" t="n"/>
      <c r="OKY13" s="21" t="n"/>
      <c r="OKZ13" s="21" t="n"/>
      <c r="OLA13" s="21" t="n"/>
      <c r="OLB13" s="21" t="n"/>
      <c r="OLC13" s="21" t="n"/>
      <c r="OLD13" s="21" t="n"/>
      <c r="OLE13" s="21" t="n"/>
      <c r="OLF13" s="21" t="n"/>
      <c r="OLG13" s="21" t="n"/>
      <c r="OLH13" s="21" t="n"/>
      <c r="OLI13" s="21" t="n"/>
      <c r="OLJ13" s="21" t="n"/>
      <c r="OLK13" s="21" t="n"/>
      <c r="OLL13" s="21" t="n"/>
      <c r="OLM13" s="21" t="n"/>
      <c r="OLN13" s="21" t="n"/>
      <c r="OLO13" s="21" t="n"/>
      <c r="OLP13" s="21" t="n"/>
      <c r="OLQ13" s="21" t="n"/>
      <c r="OLR13" s="21" t="n"/>
      <c r="OLS13" s="21" t="n"/>
      <c r="OLT13" s="21" t="n"/>
      <c r="OLU13" s="21" t="n"/>
      <c r="OLV13" s="21" t="n"/>
      <c r="OLW13" s="21" t="n"/>
      <c r="OLX13" s="21" t="n"/>
      <c r="OLY13" s="21" t="n"/>
      <c r="OLZ13" s="21" t="n"/>
      <c r="OMA13" s="21" t="n"/>
      <c r="OMB13" s="21" t="n"/>
      <c r="OMC13" s="21" t="n"/>
      <c r="OMD13" s="21" t="n"/>
      <c r="OME13" s="21" t="n"/>
      <c r="OMF13" s="21" t="n"/>
      <c r="OMG13" s="21" t="n"/>
      <c r="OMH13" s="21" t="n"/>
      <c r="OMI13" s="21" t="n"/>
      <c r="OMJ13" s="21" t="n"/>
      <c r="OMK13" s="21" t="n"/>
      <c r="OML13" s="21" t="n"/>
      <c r="OMM13" s="21" t="n"/>
      <c r="OMN13" s="21" t="n"/>
      <c r="OMO13" s="21" t="n"/>
      <c r="OMP13" s="21" t="n"/>
      <c r="OMQ13" s="21" t="n"/>
      <c r="OMR13" s="21" t="n"/>
      <c r="OMS13" s="21" t="n"/>
      <c r="OMT13" s="21" t="n"/>
      <c r="OMU13" s="21" t="n"/>
      <c r="OMV13" s="21" t="n"/>
      <c r="OMW13" s="21" t="n"/>
      <c r="OMX13" s="21" t="n"/>
      <c r="OMY13" s="21" t="n"/>
      <c r="OMZ13" s="21" t="n"/>
      <c r="ONA13" s="21" t="n"/>
      <c r="ONB13" s="21" t="n"/>
      <c r="ONC13" s="21" t="n"/>
      <c r="OND13" s="21" t="n"/>
      <c r="ONE13" s="21" t="n"/>
      <c r="ONF13" s="21" t="n"/>
      <c r="ONG13" s="21" t="n"/>
      <c r="ONH13" s="21" t="n"/>
      <c r="ONI13" s="21" t="n"/>
      <c r="ONJ13" s="21" t="n"/>
      <c r="ONK13" s="21" t="n"/>
      <c r="ONL13" s="21" t="n"/>
      <c r="ONM13" s="21" t="n"/>
      <c r="ONN13" s="21" t="n"/>
      <c r="ONO13" s="21" t="n"/>
      <c r="ONP13" s="21" t="n"/>
      <c r="ONQ13" s="21" t="n"/>
      <c r="ONR13" s="21" t="n"/>
      <c r="ONS13" s="21" t="n"/>
      <c r="ONT13" s="21" t="n"/>
      <c r="ONU13" s="21" t="n"/>
      <c r="ONV13" s="21" t="n"/>
      <c r="ONW13" s="21" t="n"/>
      <c r="ONX13" s="21" t="n"/>
      <c r="ONY13" s="21" t="n"/>
      <c r="ONZ13" s="21" t="n"/>
      <c r="OOA13" s="21" t="n"/>
      <c r="OOB13" s="21" t="n"/>
      <c r="OOC13" s="21" t="n"/>
      <c r="OOD13" s="21" t="n"/>
      <c r="OOE13" s="21" t="n"/>
      <c r="OOF13" s="21" t="n"/>
      <c r="OOG13" s="21" t="n"/>
      <c r="OOH13" s="21" t="n"/>
      <c r="OOI13" s="21" t="n"/>
      <c r="OOJ13" s="21" t="n"/>
      <c r="OOK13" s="21" t="n"/>
      <c r="OOL13" s="21" t="n"/>
      <c r="OOM13" s="21" t="n"/>
      <c r="OON13" s="21" t="n"/>
      <c r="OOO13" s="21" t="n"/>
      <c r="OOP13" s="21" t="n"/>
      <c r="OOQ13" s="21" t="n"/>
      <c r="OOR13" s="21" t="n"/>
      <c r="OOS13" s="21" t="n"/>
      <c r="OOT13" s="21" t="n"/>
      <c r="OOU13" s="21" t="n"/>
      <c r="OOV13" s="21" t="n"/>
      <c r="OOW13" s="21" t="n"/>
      <c r="OOX13" s="21" t="n"/>
      <c r="OOY13" s="21" t="n"/>
      <c r="OOZ13" s="21" t="n"/>
      <c r="OPA13" s="21" t="n"/>
      <c r="OPB13" s="21" t="n"/>
      <c r="OPC13" s="21" t="n"/>
      <c r="OPD13" s="21" t="n"/>
      <c r="OPE13" s="21" t="n"/>
      <c r="OPF13" s="21" t="n"/>
      <c r="OPG13" s="21" t="n"/>
      <c r="OPH13" s="21" t="n"/>
      <c r="OPI13" s="21" t="n"/>
      <c r="OPJ13" s="21" t="n"/>
      <c r="OPK13" s="21" t="n"/>
      <c r="OPL13" s="21" t="n"/>
      <c r="OPM13" s="21" t="n"/>
      <c r="OPN13" s="21" t="n"/>
      <c r="OPO13" s="21" t="n"/>
      <c r="OPP13" s="21" t="n"/>
      <c r="OPQ13" s="21" t="n"/>
      <c r="OPR13" s="21" t="n"/>
      <c r="OPS13" s="21" t="n"/>
      <c r="OPT13" s="21" t="n"/>
      <c r="OPU13" s="21" t="n"/>
      <c r="OPV13" s="21" t="n"/>
      <c r="OPW13" s="21" t="n"/>
      <c r="OPX13" s="21" t="n"/>
      <c r="OPY13" s="21" t="n"/>
      <c r="OPZ13" s="21" t="n"/>
      <c r="OQA13" s="21" t="n"/>
      <c r="OQB13" s="21" t="n"/>
      <c r="OQC13" s="21" t="n"/>
      <c r="OQD13" s="21" t="n"/>
      <c r="OQE13" s="21" t="n"/>
      <c r="OQF13" s="21" t="n"/>
      <c r="OQG13" s="21" t="n"/>
      <c r="OQH13" s="21" t="n"/>
      <c r="OQI13" s="21" t="n"/>
      <c r="OQJ13" s="21" t="n"/>
      <c r="OQK13" s="21" t="n"/>
      <c r="OQL13" s="21" t="n"/>
      <c r="OQM13" s="21" t="n"/>
      <c r="OQN13" s="21" t="n"/>
      <c r="OQO13" s="21" t="n"/>
      <c r="OQP13" s="21" t="n"/>
      <c r="OQQ13" s="21" t="n"/>
      <c r="OQR13" s="21" t="n"/>
      <c r="OQS13" s="21" t="n"/>
      <c r="OQT13" s="21" t="n"/>
      <c r="OQU13" s="21" t="n"/>
      <c r="OQV13" s="21" t="n"/>
      <c r="OQW13" s="21" t="n"/>
      <c r="OQX13" s="21" t="n"/>
      <c r="OQY13" s="21" t="n"/>
      <c r="OQZ13" s="21" t="n"/>
      <c r="ORA13" s="21" t="n"/>
      <c r="ORB13" s="21" t="n"/>
      <c r="ORC13" s="21" t="n"/>
      <c r="ORD13" s="21" t="n"/>
      <c r="ORE13" s="21" t="n"/>
      <c r="ORF13" s="21" t="n"/>
      <c r="ORG13" s="21" t="n"/>
      <c r="ORH13" s="21" t="n"/>
      <c r="ORI13" s="21" t="n"/>
      <c r="ORJ13" s="21" t="n"/>
      <c r="ORK13" s="21" t="n"/>
      <c r="ORL13" s="21" t="n"/>
      <c r="ORM13" s="21" t="n"/>
      <c r="ORN13" s="21" t="n"/>
      <c r="ORO13" s="21" t="n"/>
      <c r="ORP13" s="21" t="n"/>
      <c r="ORQ13" s="21" t="n"/>
      <c r="ORR13" s="21" t="n"/>
      <c r="ORS13" s="21" t="n"/>
      <c r="ORT13" s="21" t="n"/>
      <c r="ORU13" s="21" t="n"/>
      <c r="ORV13" s="21" t="n"/>
      <c r="ORW13" s="21" t="n"/>
      <c r="ORX13" s="21" t="n"/>
      <c r="ORY13" s="21" t="n"/>
      <c r="ORZ13" s="21" t="n"/>
      <c r="OSA13" s="21" t="n"/>
      <c r="OSB13" s="21" t="n"/>
      <c r="OSC13" s="21" t="n"/>
      <c r="OSD13" s="21" t="n"/>
      <c r="OSE13" s="21" t="n"/>
      <c r="OSF13" s="21" t="n"/>
      <c r="OSG13" s="21" t="n"/>
      <c r="OSH13" s="21" t="n"/>
      <c r="OSI13" s="21" t="n"/>
      <c r="OSJ13" s="21" t="n"/>
      <c r="OSK13" s="21" t="n"/>
      <c r="OSL13" s="21" t="n"/>
      <c r="OSM13" s="21" t="n"/>
      <c r="OSN13" s="21" t="n"/>
      <c r="OSO13" s="21" t="n"/>
      <c r="OSP13" s="21" t="n"/>
      <c r="OSQ13" s="21" t="n"/>
      <c r="OSR13" s="21" t="n"/>
      <c r="OSS13" s="21" t="n"/>
      <c r="OST13" s="21" t="n"/>
      <c r="OSU13" s="21" t="n"/>
      <c r="OSV13" s="21" t="n"/>
      <c r="OSW13" s="21" t="n"/>
      <c r="OSX13" s="21" t="n"/>
      <c r="OSY13" s="21" t="n"/>
      <c r="OSZ13" s="21" t="n"/>
      <c r="OTA13" s="21" t="n"/>
      <c r="OTB13" s="21" t="n"/>
      <c r="OTC13" s="21" t="n"/>
      <c r="OTD13" s="21" t="n"/>
      <c r="OTE13" s="21" t="n"/>
      <c r="OTF13" s="21" t="n"/>
      <c r="OTG13" s="21" t="n"/>
      <c r="OTH13" s="21" t="n"/>
      <c r="OTI13" s="21" t="n"/>
      <c r="OTJ13" s="21" t="n"/>
      <c r="OTK13" s="21" t="n"/>
      <c r="OTL13" s="21" t="n"/>
      <c r="OTM13" s="21" t="n"/>
      <c r="OTN13" s="21" t="n"/>
      <c r="OTO13" s="21" t="n"/>
      <c r="OTP13" s="21" t="n"/>
      <c r="OTQ13" s="21" t="n"/>
      <c r="OTR13" s="21" t="n"/>
      <c r="OTS13" s="21" t="n"/>
      <c r="OTT13" s="21" t="n"/>
      <c r="OTU13" s="21" t="n"/>
      <c r="OTV13" s="21" t="n"/>
      <c r="OTW13" s="21" t="n"/>
      <c r="OTX13" s="21" t="n"/>
      <c r="OTY13" s="21" t="n"/>
      <c r="OTZ13" s="21" t="n"/>
      <c r="OUA13" s="21" t="n"/>
      <c r="OUB13" s="21" t="n"/>
      <c r="OUC13" s="21" t="n"/>
      <c r="OUD13" s="21" t="n"/>
      <c r="OUE13" s="21" t="n"/>
      <c r="OUF13" s="21" t="n"/>
      <c r="OUG13" s="21" t="n"/>
      <c r="OUH13" s="21" t="n"/>
      <c r="OUI13" s="21" t="n"/>
      <c r="OUJ13" s="21" t="n"/>
      <c r="OUK13" s="21" t="n"/>
      <c r="OUL13" s="21" t="n"/>
      <c r="OUM13" s="21" t="n"/>
      <c r="OUN13" s="21" t="n"/>
      <c r="OUO13" s="21" t="n"/>
      <c r="OUP13" s="21" t="n"/>
      <c r="OUQ13" s="21" t="n"/>
      <c r="OUR13" s="21" t="n"/>
      <c r="OUS13" s="21" t="n"/>
      <c r="OUT13" s="21" t="n"/>
      <c r="OUU13" s="21" t="n"/>
      <c r="OUV13" s="21" t="n"/>
      <c r="OUW13" s="21" t="n"/>
      <c r="OUX13" s="21" t="n"/>
      <c r="OUY13" s="21" t="n"/>
      <c r="OUZ13" s="21" t="n"/>
      <c r="OVA13" s="21" t="n"/>
      <c r="OVB13" s="21" t="n"/>
      <c r="OVC13" s="21" t="n"/>
      <c r="OVD13" s="21" t="n"/>
      <c r="OVE13" s="21" t="n"/>
      <c r="OVF13" s="21" t="n"/>
      <c r="OVG13" s="21" t="n"/>
      <c r="OVH13" s="21" t="n"/>
      <c r="OVI13" s="21" t="n"/>
      <c r="OVJ13" s="21" t="n"/>
      <c r="OVK13" s="21" t="n"/>
      <c r="OVL13" s="21" t="n"/>
      <c r="OVM13" s="21" t="n"/>
      <c r="OVN13" s="21" t="n"/>
      <c r="OVO13" s="21" t="n"/>
      <c r="OVP13" s="21" t="n"/>
      <c r="OVQ13" s="21" t="n"/>
      <c r="OVR13" s="21" t="n"/>
      <c r="OVS13" s="21" t="n"/>
      <c r="OVT13" s="21" t="n"/>
      <c r="OVU13" s="21" t="n"/>
      <c r="OVV13" s="21" t="n"/>
      <c r="OVW13" s="21" t="n"/>
      <c r="OVX13" s="21" t="n"/>
      <c r="OVY13" s="21" t="n"/>
      <c r="OVZ13" s="21" t="n"/>
      <c r="OWA13" s="21" t="n"/>
      <c r="OWB13" s="21" t="n"/>
      <c r="OWC13" s="21" t="n"/>
      <c r="OWD13" s="21" t="n"/>
      <c r="OWE13" s="21" t="n"/>
      <c r="OWF13" s="21" t="n"/>
      <c r="OWG13" s="21" t="n"/>
      <c r="OWH13" s="21" t="n"/>
      <c r="OWI13" s="21" t="n"/>
      <c r="OWJ13" s="21" t="n"/>
      <c r="OWK13" s="21" t="n"/>
      <c r="OWL13" s="21" t="n"/>
      <c r="OWM13" s="21" t="n"/>
      <c r="OWN13" s="21" t="n"/>
      <c r="OWO13" s="21" t="n"/>
      <c r="OWP13" s="21" t="n"/>
      <c r="OWQ13" s="21" t="n"/>
      <c r="OWR13" s="21" t="n"/>
      <c r="OWS13" s="21" t="n"/>
      <c r="OWT13" s="21" t="n"/>
      <c r="OWU13" s="21" t="n"/>
      <c r="OWV13" s="21" t="n"/>
      <c r="OWW13" s="21" t="n"/>
      <c r="OWX13" s="21" t="n"/>
      <c r="OWY13" s="21" t="n"/>
      <c r="OWZ13" s="21" t="n"/>
      <c r="OXA13" s="21" t="n"/>
      <c r="OXB13" s="21" t="n"/>
      <c r="OXC13" s="21" t="n"/>
      <c r="OXD13" s="21" t="n"/>
      <c r="OXE13" s="21" t="n"/>
      <c r="OXF13" s="21" t="n"/>
      <c r="OXG13" s="21" t="n"/>
      <c r="OXH13" s="21" t="n"/>
      <c r="OXI13" s="21" t="n"/>
      <c r="OXJ13" s="21" t="n"/>
      <c r="OXK13" s="21" t="n"/>
      <c r="OXL13" s="21" t="n"/>
      <c r="OXM13" s="21" t="n"/>
      <c r="OXN13" s="21" t="n"/>
      <c r="OXO13" s="21" t="n"/>
      <c r="OXP13" s="21" t="n"/>
      <c r="OXQ13" s="21" t="n"/>
      <c r="OXR13" s="21" t="n"/>
      <c r="OXS13" s="21" t="n"/>
      <c r="OXT13" s="21" t="n"/>
      <c r="OXU13" s="21" t="n"/>
      <c r="OXV13" s="21" t="n"/>
      <c r="OXW13" s="21" t="n"/>
      <c r="OXX13" s="21" t="n"/>
      <c r="OXY13" s="21" t="n"/>
      <c r="OXZ13" s="21" t="n"/>
      <c r="OYA13" s="21" t="n"/>
      <c r="OYB13" s="21" t="n"/>
      <c r="OYC13" s="21" t="n"/>
      <c r="OYD13" s="21" t="n"/>
      <c r="OYE13" s="21" t="n"/>
      <c r="OYF13" s="21" t="n"/>
      <c r="OYG13" s="21" t="n"/>
      <c r="OYH13" s="21" t="n"/>
      <c r="OYI13" s="21" t="n"/>
      <c r="OYJ13" s="21" t="n"/>
      <c r="OYK13" s="21" t="n"/>
      <c r="OYL13" s="21" t="n"/>
      <c r="OYM13" s="21" t="n"/>
      <c r="OYN13" s="21" t="n"/>
      <c r="OYO13" s="21" t="n"/>
      <c r="OYP13" s="21" t="n"/>
      <c r="OYQ13" s="21" t="n"/>
      <c r="OYR13" s="21" t="n"/>
      <c r="OYS13" s="21" t="n"/>
      <c r="OYT13" s="21" t="n"/>
      <c r="OYU13" s="21" t="n"/>
      <c r="OYV13" s="21" t="n"/>
      <c r="OYW13" s="21" t="n"/>
      <c r="OYX13" s="21" t="n"/>
      <c r="OYY13" s="21" t="n"/>
      <c r="OYZ13" s="21" t="n"/>
      <c r="OZA13" s="21" t="n"/>
      <c r="OZB13" s="21" t="n"/>
      <c r="OZC13" s="21" t="n"/>
      <c r="OZD13" s="21" t="n"/>
      <c r="OZE13" s="21" t="n"/>
      <c r="OZF13" s="21" t="n"/>
      <c r="OZG13" s="21" t="n"/>
      <c r="OZH13" s="21" t="n"/>
      <c r="OZI13" s="21" t="n"/>
      <c r="OZJ13" s="21" t="n"/>
      <c r="OZK13" s="21" t="n"/>
      <c r="OZL13" s="21" t="n"/>
      <c r="OZM13" s="21" t="n"/>
      <c r="OZN13" s="21" t="n"/>
      <c r="OZO13" s="21" t="n"/>
      <c r="OZP13" s="21" t="n"/>
      <c r="OZQ13" s="21" t="n"/>
      <c r="OZR13" s="21" t="n"/>
      <c r="OZS13" s="21" t="n"/>
      <c r="OZT13" s="21" t="n"/>
      <c r="OZU13" s="21" t="n"/>
      <c r="OZV13" s="21" t="n"/>
      <c r="OZW13" s="21" t="n"/>
      <c r="OZX13" s="21" t="n"/>
      <c r="OZY13" s="21" t="n"/>
      <c r="OZZ13" s="21" t="n"/>
      <c r="PAA13" s="21" t="n"/>
      <c r="PAB13" s="21" t="n"/>
      <c r="PAC13" s="21" t="n"/>
      <c r="PAD13" s="21" t="n"/>
      <c r="PAE13" s="21" t="n"/>
      <c r="PAF13" s="21" t="n"/>
      <c r="PAG13" s="21" t="n"/>
      <c r="PAH13" s="21" t="n"/>
      <c r="PAI13" s="21" t="n"/>
      <c r="PAJ13" s="21" t="n"/>
      <c r="PAK13" s="21" t="n"/>
      <c r="PAL13" s="21" t="n"/>
      <c r="PAM13" s="21" t="n"/>
      <c r="PAN13" s="21" t="n"/>
      <c r="PAO13" s="21" t="n"/>
      <c r="PAP13" s="21" t="n"/>
      <c r="PAQ13" s="21" t="n"/>
      <c r="PAR13" s="21" t="n"/>
      <c r="PAS13" s="21" t="n"/>
      <c r="PAT13" s="21" t="n"/>
      <c r="PAU13" s="21" t="n"/>
      <c r="PAV13" s="21" t="n"/>
      <c r="PAW13" s="21" t="n"/>
      <c r="PAX13" s="21" t="n"/>
      <c r="PAY13" s="21" t="n"/>
      <c r="PAZ13" s="21" t="n"/>
      <c r="PBA13" s="21" t="n"/>
      <c r="PBB13" s="21" t="n"/>
      <c r="PBC13" s="21" t="n"/>
      <c r="PBD13" s="21" t="n"/>
      <c r="PBE13" s="21" t="n"/>
      <c r="PBF13" s="21" t="n"/>
      <c r="PBG13" s="21" t="n"/>
      <c r="PBH13" s="21" t="n"/>
      <c r="PBI13" s="21" t="n"/>
      <c r="PBJ13" s="21" t="n"/>
      <c r="PBK13" s="21" t="n"/>
      <c r="PBL13" s="21" t="n"/>
      <c r="PBM13" s="21" t="n"/>
      <c r="PBN13" s="21" t="n"/>
      <c r="PBO13" s="21" t="n"/>
      <c r="PBP13" s="21" t="n"/>
      <c r="PBQ13" s="21" t="n"/>
      <c r="PBR13" s="21" t="n"/>
      <c r="PBS13" s="21" t="n"/>
      <c r="PBT13" s="21" t="n"/>
      <c r="PBU13" s="21" t="n"/>
      <c r="PBV13" s="21" t="n"/>
      <c r="PBW13" s="21" t="n"/>
      <c r="PBX13" s="21" t="n"/>
      <c r="PBY13" s="21" t="n"/>
      <c r="PBZ13" s="21" t="n"/>
      <c r="PCA13" s="21" t="n"/>
      <c r="PCB13" s="21" t="n"/>
      <c r="PCC13" s="21" t="n"/>
      <c r="PCD13" s="21" t="n"/>
      <c r="PCE13" s="21" t="n"/>
      <c r="PCF13" s="21" t="n"/>
      <c r="PCG13" s="21" t="n"/>
      <c r="PCH13" s="21" t="n"/>
      <c r="PCI13" s="21" t="n"/>
      <c r="PCJ13" s="21" t="n"/>
      <c r="PCK13" s="21" t="n"/>
      <c r="PCL13" s="21" t="n"/>
      <c r="PCM13" s="21" t="n"/>
      <c r="PCN13" s="21" t="n"/>
      <c r="PCO13" s="21" t="n"/>
      <c r="PCP13" s="21" t="n"/>
      <c r="PCQ13" s="21" t="n"/>
      <c r="PCR13" s="21" t="n"/>
      <c r="PCS13" s="21" t="n"/>
      <c r="PCT13" s="21" t="n"/>
      <c r="PCU13" s="21" t="n"/>
      <c r="PCV13" s="21" t="n"/>
      <c r="PCW13" s="21" t="n"/>
      <c r="PCX13" s="21" t="n"/>
      <c r="PCY13" s="21" t="n"/>
      <c r="PCZ13" s="21" t="n"/>
      <c r="PDA13" s="21" t="n"/>
      <c r="PDB13" s="21" t="n"/>
      <c r="PDC13" s="21" t="n"/>
      <c r="PDD13" s="21" t="n"/>
      <c r="PDE13" s="21" t="n"/>
      <c r="PDF13" s="21" t="n"/>
      <c r="PDG13" s="21" t="n"/>
      <c r="PDH13" s="21" t="n"/>
      <c r="PDI13" s="21" t="n"/>
      <c r="PDJ13" s="21" t="n"/>
      <c r="PDK13" s="21" t="n"/>
      <c r="PDL13" s="21" t="n"/>
      <c r="PDM13" s="21" t="n"/>
      <c r="PDN13" s="21" t="n"/>
      <c r="PDO13" s="21" t="n"/>
      <c r="PDP13" s="21" t="n"/>
      <c r="PDQ13" s="21" t="n"/>
      <c r="PDR13" s="21" t="n"/>
      <c r="PDS13" s="21" t="n"/>
      <c r="PDT13" s="21" t="n"/>
      <c r="PDU13" s="21" t="n"/>
      <c r="PDV13" s="21" t="n"/>
      <c r="PDW13" s="21" t="n"/>
      <c r="PDX13" s="21" t="n"/>
      <c r="PDY13" s="21" t="n"/>
      <c r="PDZ13" s="21" t="n"/>
      <c r="PEA13" s="21" t="n"/>
      <c r="PEB13" s="21" t="n"/>
      <c r="PEC13" s="21" t="n"/>
      <c r="PED13" s="21" t="n"/>
      <c r="PEE13" s="21" t="n"/>
      <c r="PEF13" s="21" t="n"/>
      <c r="PEG13" s="21" t="n"/>
      <c r="PEH13" s="21" t="n"/>
      <c r="PEI13" s="21" t="n"/>
      <c r="PEJ13" s="21" t="n"/>
      <c r="PEK13" s="21" t="n"/>
      <c r="PEL13" s="21" t="n"/>
      <c r="PEM13" s="21" t="n"/>
      <c r="PEN13" s="21" t="n"/>
      <c r="PEO13" s="21" t="n"/>
      <c r="PEP13" s="21" t="n"/>
      <c r="PEQ13" s="21" t="n"/>
      <c r="PER13" s="21" t="n"/>
      <c r="PES13" s="21" t="n"/>
      <c r="PET13" s="21" t="n"/>
      <c r="PEU13" s="21" t="n"/>
      <c r="PEV13" s="21" t="n"/>
      <c r="PEW13" s="21" t="n"/>
      <c r="PEX13" s="21" t="n"/>
      <c r="PEY13" s="21" t="n"/>
      <c r="PEZ13" s="21" t="n"/>
      <c r="PFA13" s="21" t="n"/>
      <c r="PFB13" s="21" t="n"/>
      <c r="PFC13" s="21" t="n"/>
      <c r="PFD13" s="21" t="n"/>
      <c r="PFE13" s="21" t="n"/>
      <c r="PFF13" s="21" t="n"/>
      <c r="PFG13" s="21" t="n"/>
      <c r="PFH13" s="21" t="n"/>
      <c r="PFI13" s="21" t="n"/>
      <c r="PFJ13" s="21" t="n"/>
      <c r="PFK13" s="21" t="n"/>
      <c r="PFL13" s="21" t="n"/>
      <c r="PFM13" s="21" t="n"/>
      <c r="PFN13" s="21" t="n"/>
      <c r="PFO13" s="21" t="n"/>
      <c r="PFP13" s="21" t="n"/>
      <c r="PFQ13" s="21" t="n"/>
      <c r="PFR13" s="21" t="n"/>
      <c r="PFS13" s="21" t="n"/>
      <c r="PFT13" s="21" t="n"/>
      <c r="PFU13" s="21" t="n"/>
      <c r="PFV13" s="21" t="n"/>
      <c r="PFW13" s="21" t="n"/>
      <c r="PFX13" s="21" t="n"/>
      <c r="PFY13" s="21" t="n"/>
      <c r="PFZ13" s="21" t="n"/>
      <c r="PGA13" s="21" t="n"/>
      <c r="PGB13" s="21" t="n"/>
      <c r="PGC13" s="21" t="n"/>
      <c r="PGD13" s="21" t="n"/>
      <c r="PGE13" s="21" t="n"/>
      <c r="PGF13" s="21" t="n"/>
      <c r="PGG13" s="21" t="n"/>
      <c r="PGH13" s="21" t="n"/>
      <c r="PGI13" s="21" t="n"/>
      <c r="PGJ13" s="21" t="n"/>
      <c r="PGK13" s="21" t="n"/>
      <c r="PGL13" s="21" t="n"/>
      <c r="PGM13" s="21" t="n"/>
      <c r="PGN13" s="21" t="n"/>
      <c r="PGO13" s="21" t="n"/>
      <c r="PGP13" s="21" t="n"/>
      <c r="PGQ13" s="21" t="n"/>
      <c r="PGR13" s="21" t="n"/>
      <c r="PGS13" s="21" t="n"/>
      <c r="PGT13" s="21" t="n"/>
      <c r="PGU13" s="21" t="n"/>
      <c r="PGV13" s="21" t="n"/>
      <c r="PGW13" s="21" t="n"/>
      <c r="PGX13" s="21" t="n"/>
      <c r="PGY13" s="21" t="n"/>
      <c r="PGZ13" s="21" t="n"/>
      <c r="PHA13" s="21" t="n"/>
      <c r="PHB13" s="21" t="n"/>
      <c r="PHC13" s="21" t="n"/>
      <c r="PHD13" s="21" t="n"/>
      <c r="PHE13" s="21" t="n"/>
      <c r="PHF13" s="21" t="n"/>
      <c r="PHG13" s="21" t="n"/>
      <c r="PHH13" s="21" t="n"/>
      <c r="PHI13" s="21" t="n"/>
      <c r="PHJ13" s="21" t="n"/>
      <c r="PHK13" s="21" t="n"/>
      <c r="PHL13" s="21" t="n"/>
      <c r="PHM13" s="21" t="n"/>
      <c r="PHN13" s="21" t="n"/>
      <c r="PHO13" s="21" t="n"/>
      <c r="PHP13" s="21" t="n"/>
      <c r="PHQ13" s="21" t="n"/>
      <c r="PHR13" s="21" t="n"/>
      <c r="PHS13" s="21" t="n"/>
      <c r="PHT13" s="21" t="n"/>
      <c r="PHU13" s="21" t="n"/>
      <c r="PHV13" s="21" t="n"/>
      <c r="PHW13" s="21" t="n"/>
      <c r="PHX13" s="21" t="n"/>
      <c r="PHY13" s="21" t="n"/>
      <c r="PHZ13" s="21" t="n"/>
      <c r="PIA13" s="21" t="n"/>
      <c r="PIB13" s="21" t="n"/>
      <c r="PIC13" s="21" t="n"/>
      <c r="PID13" s="21" t="n"/>
      <c r="PIE13" s="21" t="n"/>
      <c r="PIF13" s="21" t="n"/>
      <c r="PIG13" s="21" t="n"/>
      <c r="PIH13" s="21" t="n"/>
      <c r="PII13" s="21" t="n"/>
      <c r="PIJ13" s="21" t="n"/>
      <c r="PIK13" s="21" t="n"/>
      <c r="PIL13" s="21" t="n"/>
      <c r="PIM13" s="21" t="n"/>
      <c r="PIN13" s="21" t="n"/>
      <c r="PIO13" s="21" t="n"/>
      <c r="PIP13" s="21" t="n"/>
      <c r="PIQ13" s="21" t="n"/>
      <c r="PIR13" s="21" t="n"/>
      <c r="PIS13" s="21" t="n"/>
      <c r="PIT13" s="21" t="n"/>
      <c r="PIU13" s="21" t="n"/>
      <c r="PIV13" s="21" t="n"/>
      <c r="PIW13" s="21" t="n"/>
      <c r="PIX13" s="21" t="n"/>
      <c r="PIY13" s="21" t="n"/>
      <c r="PIZ13" s="21" t="n"/>
      <c r="PJA13" s="21" t="n"/>
      <c r="PJB13" s="21" t="n"/>
      <c r="PJC13" s="21" t="n"/>
      <c r="PJD13" s="21" t="n"/>
      <c r="PJE13" s="21" t="n"/>
      <c r="PJF13" s="21" t="n"/>
      <c r="PJG13" s="21" t="n"/>
      <c r="PJH13" s="21" t="n"/>
      <c r="PJI13" s="21" t="n"/>
      <c r="PJJ13" s="21" t="n"/>
      <c r="PJK13" s="21" t="n"/>
      <c r="PJL13" s="21" t="n"/>
      <c r="PJM13" s="21" t="n"/>
      <c r="PJN13" s="21" t="n"/>
      <c r="PJO13" s="21" t="n"/>
      <c r="PJP13" s="21" t="n"/>
      <c r="PJQ13" s="21" t="n"/>
      <c r="PJR13" s="21" t="n"/>
      <c r="PJS13" s="21" t="n"/>
      <c r="PJT13" s="21" t="n"/>
      <c r="PJU13" s="21" t="n"/>
      <c r="PJV13" s="21" t="n"/>
      <c r="PJW13" s="21" t="n"/>
      <c r="PJX13" s="21" t="n"/>
      <c r="PJY13" s="21" t="n"/>
      <c r="PJZ13" s="21" t="n"/>
      <c r="PKA13" s="21" t="n"/>
      <c r="PKB13" s="21" t="n"/>
      <c r="PKC13" s="21" t="n"/>
      <c r="PKD13" s="21" t="n"/>
      <c r="PKE13" s="21" t="n"/>
      <c r="PKF13" s="21" t="n"/>
      <c r="PKG13" s="21" t="n"/>
      <c r="PKH13" s="21" t="n"/>
      <c r="PKI13" s="21" t="n"/>
      <c r="PKJ13" s="21" t="n"/>
      <c r="PKK13" s="21" t="n"/>
      <c r="PKL13" s="21" t="n"/>
      <c r="PKM13" s="21" t="n"/>
      <c r="PKN13" s="21" t="n"/>
      <c r="PKO13" s="21" t="n"/>
      <c r="PKP13" s="21" t="n"/>
      <c r="PKQ13" s="21" t="n"/>
      <c r="PKR13" s="21" t="n"/>
      <c r="PKS13" s="21" t="n"/>
      <c r="PKT13" s="21" t="n"/>
      <c r="PKU13" s="21" t="n"/>
      <c r="PKV13" s="21" t="n"/>
      <c r="PKW13" s="21" t="n"/>
      <c r="PKX13" s="21" t="n"/>
      <c r="PKY13" s="21" t="n"/>
      <c r="PKZ13" s="21" t="n"/>
      <c r="PLA13" s="21" t="n"/>
      <c r="PLB13" s="21" t="n"/>
      <c r="PLC13" s="21" t="n"/>
      <c r="PLD13" s="21" t="n"/>
      <c r="PLE13" s="21" t="n"/>
      <c r="PLF13" s="21" t="n"/>
      <c r="PLG13" s="21" t="n"/>
      <c r="PLH13" s="21" t="n"/>
      <c r="PLI13" s="21" t="n"/>
      <c r="PLJ13" s="21" t="n"/>
      <c r="PLK13" s="21" t="n"/>
      <c r="PLL13" s="21" t="n"/>
      <c r="PLM13" s="21" t="n"/>
      <c r="PLN13" s="21" t="n"/>
      <c r="PLO13" s="21" t="n"/>
      <c r="PLP13" s="21" t="n"/>
      <c r="PLQ13" s="21" t="n"/>
      <c r="PLR13" s="21" t="n"/>
      <c r="PLS13" s="21" t="n"/>
      <c r="PLT13" s="21" t="n"/>
      <c r="PLU13" s="21" t="n"/>
      <c r="PLV13" s="21" t="n"/>
      <c r="PLW13" s="21" t="n"/>
      <c r="PLX13" s="21" t="n"/>
      <c r="PLY13" s="21" t="n"/>
      <c r="PLZ13" s="21" t="n"/>
      <c r="PMA13" s="21" t="n"/>
      <c r="PMB13" s="21" t="n"/>
      <c r="PMC13" s="21" t="n"/>
      <c r="PMD13" s="21" t="n"/>
      <c r="PME13" s="21" t="n"/>
      <c r="PMF13" s="21" t="n"/>
      <c r="PMG13" s="21" t="n"/>
      <c r="PMH13" s="21" t="n"/>
      <c r="PMI13" s="21" t="n"/>
      <c r="PMJ13" s="21" t="n"/>
      <c r="PMK13" s="21" t="n"/>
      <c r="PML13" s="21" t="n"/>
      <c r="PMM13" s="21" t="n"/>
      <c r="PMN13" s="21" t="n"/>
      <c r="PMO13" s="21" t="n"/>
      <c r="PMP13" s="21" t="n"/>
      <c r="PMQ13" s="21" t="n"/>
      <c r="PMR13" s="21" t="n"/>
      <c r="PMS13" s="21" t="n"/>
      <c r="PMT13" s="21" t="n"/>
      <c r="PMU13" s="21" t="n"/>
      <c r="PMV13" s="21" t="n"/>
      <c r="PMW13" s="21" t="n"/>
      <c r="PMX13" s="21" t="n"/>
      <c r="PMY13" s="21" t="n"/>
      <c r="PMZ13" s="21" t="n"/>
      <c r="PNA13" s="21" t="n"/>
      <c r="PNB13" s="21" t="n"/>
      <c r="PNC13" s="21" t="n"/>
      <c r="PND13" s="21" t="n"/>
      <c r="PNE13" s="21" t="n"/>
      <c r="PNF13" s="21" t="n"/>
      <c r="PNG13" s="21" t="n"/>
      <c r="PNH13" s="21" t="n"/>
      <c r="PNI13" s="21" t="n"/>
      <c r="PNJ13" s="21" t="n"/>
      <c r="PNK13" s="21" t="n"/>
      <c r="PNL13" s="21" t="n"/>
      <c r="PNM13" s="21" t="n"/>
      <c r="PNN13" s="21" t="n"/>
      <c r="PNO13" s="21" t="n"/>
      <c r="PNP13" s="21" t="n"/>
      <c r="PNQ13" s="21" t="n"/>
      <c r="PNR13" s="21" t="n"/>
      <c r="PNS13" s="21" t="n"/>
      <c r="PNT13" s="21" t="n"/>
      <c r="PNU13" s="21" t="n"/>
      <c r="PNV13" s="21" t="n"/>
      <c r="PNW13" s="21" t="n"/>
      <c r="PNX13" s="21" t="n"/>
      <c r="PNY13" s="21" t="n"/>
      <c r="PNZ13" s="21" t="n"/>
      <c r="POA13" s="21" t="n"/>
      <c r="POB13" s="21" t="n"/>
      <c r="POC13" s="21" t="n"/>
      <c r="POD13" s="21" t="n"/>
      <c r="POE13" s="21" t="n"/>
      <c r="POF13" s="21" t="n"/>
      <c r="POG13" s="21" t="n"/>
      <c r="POH13" s="21" t="n"/>
      <c r="POI13" s="21" t="n"/>
      <c r="POJ13" s="21" t="n"/>
      <c r="POK13" s="21" t="n"/>
      <c r="POL13" s="21" t="n"/>
      <c r="POM13" s="21" t="n"/>
      <c r="PON13" s="21" t="n"/>
      <c r="POO13" s="21" t="n"/>
      <c r="POP13" s="21" t="n"/>
      <c r="POQ13" s="21" t="n"/>
      <c r="POR13" s="21" t="n"/>
      <c r="POS13" s="21" t="n"/>
      <c r="POT13" s="21" t="n"/>
      <c r="POU13" s="21" t="n"/>
      <c r="POV13" s="21" t="n"/>
      <c r="POW13" s="21" t="n"/>
      <c r="POX13" s="21" t="n"/>
      <c r="POY13" s="21" t="n"/>
      <c r="POZ13" s="21" t="n"/>
      <c r="PPA13" s="21" t="n"/>
      <c r="PPB13" s="21" t="n"/>
      <c r="PPC13" s="21" t="n"/>
      <c r="PPD13" s="21" t="n"/>
      <c r="PPE13" s="21" t="n"/>
      <c r="PPF13" s="21" t="n"/>
      <c r="PPG13" s="21" t="n"/>
      <c r="PPH13" s="21" t="n"/>
      <c r="PPI13" s="21" t="n"/>
      <c r="PPJ13" s="21" t="n"/>
      <c r="PPK13" s="21" t="n"/>
      <c r="PPL13" s="21" t="n"/>
      <c r="PPM13" s="21" t="n"/>
      <c r="PPN13" s="21" t="n"/>
      <c r="PPO13" s="21" t="n"/>
      <c r="PPP13" s="21" t="n"/>
      <c r="PPQ13" s="21" t="n"/>
      <c r="PPR13" s="21" t="n"/>
      <c r="PPS13" s="21" t="n"/>
      <c r="PPT13" s="21" t="n"/>
      <c r="PPU13" s="21" t="n"/>
      <c r="PPV13" s="21" t="n"/>
      <c r="PPW13" s="21" t="n"/>
      <c r="PPX13" s="21" t="n"/>
      <c r="PPY13" s="21" t="n"/>
      <c r="PPZ13" s="21" t="n"/>
      <c r="PQA13" s="21" t="n"/>
      <c r="PQB13" s="21" t="n"/>
      <c r="PQC13" s="21" t="n"/>
      <c r="PQD13" s="21" t="n"/>
      <c r="PQE13" s="21" t="n"/>
      <c r="PQF13" s="21" t="n"/>
      <c r="PQG13" s="21" t="n"/>
      <c r="PQH13" s="21" t="n"/>
      <c r="PQI13" s="21" t="n"/>
      <c r="PQJ13" s="21" t="n"/>
      <c r="PQK13" s="21" t="n"/>
      <c r="PQL13" s="21" t="n"/>
      <c r="PQM13" s="21" t="n"/>
      <c r="PQN13" s="21" t="n"/>
      <c r="PQO13" s="21" t="n"/>
      <c r="PQP13" s="21" t="n"/>
      <c r="PQQ13" s="21" t="n"/>
      <c r="PQR13" s="21" t="n"/>
      <c r="PQS13" s="21" t="n"/>
      <c r="PQT13" s="21" t="n"/>
      <c r="PQU13" s="21" t="n"/>
      <c r="PQV13" s="21" t="n"/>
      <c r="PQW13" s="21" t="n"/>
      <c r="PQX13" s="21" t="n"/>
      <c r="PQY13" s="21" t="n"/>
      <c r="PQZ13" s="21" t="n"/>
      <c r="PRA13" s="21" t="n"/>
      <c r="PRB13" s="21" t="n"/>
      <c r="PRC13" s="21" t="n"/>
      <c r="PRD13" s="21" t="n"/>
      <c r="PRE13" s="21" t="n"/>
      <c r="PRF13" s="21" t="n"/>
      <c r="PRG13" s="21" t="n"/>
      <c r="PRH13" s="21" t="n"/>
      <c r="PRI13" s="21" t="n"/>
      <c r="PRJ13" s="21" t="n"/>
      <c r="PRK13" s="21" t="n"/>
      <c r="PRL13" s="21" t="n"/>
      <c r="PRM13" s="21" t="n"/>
      <c r="PRN13" s="21" t="n"/>
      <c r="PRO13" s="21" t="n"/>
      <c r="PRP13" s="21" t="n"/>
      <c r="PRQ13" s="21" t="n"/>
      <c r="PRR13" s="21" t="n"/>
      <c r="PRS13" s="21" t="n"/>
      <c r="PRT13" s="21" t="n"/>
      <c r="PRU13" s="21" t="n"/>
      <c r="PRV13" s="21" t="n"/>
      <c r="PRW13" s="21" t="n"/>
      <c r="PRX13" s="21" t="n"/>
      <c r="PRY13" s="21" t="n"/>
      <c r="PRZ13" s="21" t="n"/>
      <c r="PSA13" s="21" t="n"/>
      <c r="PSB13" s="21" t="n"/>
      <c r="PSC13" s="21" t="n"/>
      <c r="PSD13" s="21" t="n"/>
      <c r="PSE13" s="21" t="n"/>
      <c r="PSF13" s="21" t="n"/>
      <c r="PSG13" s="21" t="n"/>
      <c r="PSH13" s="21" t="n"/>
      <c r="PSI13" s="21" t="n"/>
      <c r="PSJ13" s="21" t="n"/>
      <c r="PSK13" s="21" t="n"/>
      <c r="PSL13" s="21" t="n"/>
      <c r="PSM13" s="21" t="n"/>
      <c r="PSN13" s="21" t="n"/>
      <c r="PSO13" s="21" t="n"/>
      <c r="PSP13" s="21" t="n"/>
      <c r="PSQ13" s="21" t="n"/>
      <c r="PSR13" s="21" t="n"/>
      <c r="PSS13" s="21" t="n"/>
      <c r="PST13" s="21" t="n"/>
      <c r="PSU13" s="21" t="n"/>
      <c r="PSV13" s="21" t="n"/>
      <c r="PSW13" s="21" t="n"/>
      <c r="PSX13" s="21" t="n"/>
      <c r="PSY13" s="21" t="n"/>
      <c r="PSZ13" s="21" t="n"/>
      <c r="PTA13" s="21" t="n"/>
      <c r="PTB13" s="21" t="n"/>
      <c r="PTC13" s="21" t="n"/>
      <c r="PTD13" s="21" t="n"/>
      <c r="PTE13" s="21" t="n"/>
      <c r="PTF13" s="21" t="n"/>
      <c r="PTG13" s="21" t="n"/>
      <c r="PTH13" s="21" t="n"/>
      <c r="PTI13" s="21" t="n"/>
      <c r="PTJ13" s="21" t="n"/>
      <c r="PTK13" s="21" t="n"/>
      <c r="PTL13" s="21" t="n"/>
      <c r="PTM13" s="21" t="n"/>
      <c r="PTN13" s="21" t="n"/>
      <c r="PTO13" s="21" t="n"/>
      <c r="PTP13" s="21" t="n"/>
      <c r="PTQ13" s="21" t="n"/>
      <c r="PTR13" s="21" t="n"/>
      <c r="PTS13" s="21" t="n"/>
      <c r="PTT13" s="21" t="n"/>
      <c r="PTU13" s="21" t="n"/>
      <c r="PTV13" s="21" t="n"/>
      <c r="PTW13" s="21" t="n"/>
      <c r="PTX13" s="21" t="n"/>
      <c r="PTY13" s="21" t="n"/>
      <c r="PTZ13" s="21" t="n"/>
      <c r="PUA13" s="21" t="n"/>
      <c r="PUB13" s="21" t="n"/>
      <c r="PUC13" s="21" t="n"/>
      <c r="PUD13" s="21" t="n"/>
      <c r="PUE13" s="21" t="n"/>
      <c r="PUF13" s="21" t="n"/>
      <c r="PUG13" s="21" t="n"/>
      <c r="PUH13" s="21" t="n"/>
      <c r="PUI13" s="21" t="n"/>
      <c r="PUJ13" s="21" t="n"/>
      <c r="PUK13" s="21" t="n"/>
      <c r="PUL13" s="21" t="n"/>
      <c r="PUM13" s="21" t="n"/>
      <c r="PUN13" s="21" t="n"/>
      <c r="PUO13" s="21" t="n"/>
      <c r="PUP13" s="21" t="n"/>
      <c r="PUQ13" s="21" t="n"/>
      <c r="PUR13" s="21" t="n"/>
      <c r="PUS13" s="21" t="n"/>
      <c r="PUT13" s="21" t="n"/>
      <c r="PUU13" s="21" t="n"/>
      <c r="PUV13" s="21" t="n"/>
      <c r="PUW13" s="21" t="n"/>
      <c r="PUX13" s="21" t="n"/>
      <c r="PUY13" s="21" t="n"/>
      <c r="PUZ13" s="21" t="n"/>
      <c r="PVA13" s="21" t="n"/>
      <c r="PVB13" s="21" t="n"/>
      <c r="PVC13" s="21" t="n"/>
      <c r="PVD13" s="21" t="n"/>
      <c r="PVE13" s="21" t="n"/>
      <c r="PVF13" s="21" t="n"/>
      <c r="PVG13" s="21" t="n"/>
      <c r="PVH13" s="21" t="n"/>
      <c r="PVI13" s="21" t="n"/>
      <c r="PVJ13" s="21" t="n"/>
      <c r="PVK13" s="21" t="n"/>
      <c r="PVL13" s="21" t="n"/>
      <c r="PVM13" s="21" t="n"/>
      <c r="PVN13" s="21" t="n"/>
      <c r="PVO13" s="21" t="n"/>
      <c r="PVP13" s="21" t="n"/>
      <c r="PVQ13" s="21" t="n"/>
      <c r="PVR13" s="21" t="n"/>
      <c r="PVS13" s="21" t="n"/>
      <c r="PVT13" s="21" t="n"/>
      <c r="PVU13" s="21" t="n"/>
      <c r="PVV13" s="21" t="n"/>
      <c r="PVW13" s="21" t="n"/>
      <c r="PVX13" s="21" t="n"/>
      <c r="PVY13" s="21" t="n"/>
      <c r="PVZ13" s="21" t="n"/>
      <c r="PWA13" s="21" t="n"/>
      <c r="PWB13" s="21" t="n"/>
      <c r="PWC13" s="21" t="n"/>
      <c r="PWD13" s="21" t="n"/>
      <c r="PWE13" s="21" t="n"/>
      <c r="PWF13" s="21" t="n"/>
      <c r="PWG13" s="21" t="n"/>
      <c r="PWH13" s="21" t="n"/>
      <c r="PWI13" s="21" t="n"/>
      <c r="PWJ13" s="21" t="n"/>
      <c r="PWK13" s="21" t="n"/>
      <c r="PWL13" s="21" t="n"/>
      <c r="PWM13" s="21" t="n"/>
      <c r="PWN13" s="21" t="n"/>
      <c r="PWO13" s="21" t="n"/>
      <c r="PWP13" s="21" t="n"/>
      <c r="PWQ13" s="21" t="n"/>
      <c r="PWR13" s="21" t="n"/>
      <c r="PWS13" s="21" t="n"/>
      <c r="PWT13" s="21" t="n"/>
      <c r="PWU13" s="21" t="n"/>
      <c r="PWV13" s="21" t="n"/>
      <c r="PWW13" s="21" t="n"/>
      <c r="PWX13" s="21" t="n"/>
      <c r="PWY13" s="21" t="n"/>
      <c r="PWZ13" s="21" t="n"/>
      <c r="PXA13" s="21" t="n"/>
      <c r="PXB13" s="21" t="n"/>
      <c r="PXC13" s="21" t="n"/>
      <c r="PXD13" s="21" t="n"/>
      <c r="PXE13" s="21" t="n"/>
      <c r="PXF13" s="21" t="n"/>
      <c r="PXG13" s="21" t="n"/>
      <c r="PXH13" s="21" t="n"/>
      <c r="PXI13" s="21" t="n"/>
      <c r="PXJ13" s="21" t="n"/>
      <c r="PXK13" s="21" t="n"/>
      <c r="PXL13" s="21" t="n"/>
      <c r="PXM13" s="21" t="n"/>
      <c r="PXN13" s="21" t="n"/>
      <c r="PXO13" s="21" t="n"/>
      <c r="PXP13" s="21" t="n"/>
      <c r="PXQ13" s="21" t="n"/>
      <c r="PXR13" s="21" t="n"/>
      <c r="PXS13" s="21" t="n"/>
      <c r="PXT13" s="21" t="n"/>
      <c r="PXU13" s="21" t="n"/>
      <c r="PXV13" s="21" t="n"/>
      <c r="PXW13" s="21" t="n"/>
      <c r="PXX13" s="21" t="n"/>
      <c r="PXY13" s="21" t="n"/>
      <c r="PXZ13" s="21" t="n"/>
      <c r="PYA13" s="21" t="n"/>
      <c r="PYB13" s="21" t="n"/>
      <c r="PYC13" s="21" t="n"/>
      <c r="PYD13" s="21" t="n"/>
      <c r="PYE13" s="21" t="n"/>
      <c r="PYF13" s="21" t="n"/>
      <c r="PYG13" s="21" t="n"/>
      <c r="PYH13" s="21" t="n"/>
      <c r="PYI13" s="21" t="n"/>
      <c r="PYJ13" s="21" t="n"/>
      <c r="PYK13" s="21" t="n"/>
      <c r="PYL13" s="21" t="n"/>
      <c r="PYM13" s="21" t="n"/>
      <c r="PYN13" s="21" t="n"/>
      <c r="PYO13" s="21" t="n"/>
      <c r="PYP13" s="21" t="n"/>
      <c r="PYQ13" s="21" t="n"/>
      <c r="PYR13" s="21" t="n"/>
      <c r="PYS13" s="21" t="n"/>
      <c r="PYT13" s="21" t="n"/>
      <c r="PYU13" s="21" t="n"/>
      <c r="PYV13" s="21" t="n"/>
      <c r="PYW13" s="21" t="n"/>
      <c r="PYX13" s="21" t="n"/>
      <c r="PYY13" s="21" t="n"/>
      <c r="PYZ13" s="21" t="n"/>
      <c r="PZA13" s="21" t="n"/>
      <c r="PZB13" s="21" t="n"/>
      <c r="PZC13" s="21" t="n"/>
      <c r="PZD13" s="21" t="n"/>
      <c r="PZE13" s="21" t="n"/>
      <c r="PZF13" s="21" t="n"/>
      <c r="PZG13" s="21" t="n"/>
      <c r="PZH13" s="21" t="n"/>
      <c r="PZI13" s="21" t="n"/>
      <c r="PZJ13" s="21" t="n"/>
      <c r="PZK13" s="21" t="n"/>
      <c r="PZL13" s="21" t="n"/>
      <c r="PZM13" s="21" t="n"/>
      <c r="PZN13" s="21" t="n"/>
      <c r="PZO13" s="21" t="n"/>
      <c r="PZP13" s="21" t="n"/>
      <c r="PZQ13" s="21" t="n"/>
      <c r="PZR13" s="21" t="n"/>
      <c r="PZS13" s="21" t="n"/>
      <c r="PZT13" s="21" t="n"/>
      <c r="PZU13" s="21" t="n"/>
      <c r="PZV13" s="21" t="n"/>
      <c r="PZW13" s="21" t="n"/>
      <c r="PZX13" s="21" t="n"/>
      <c r="PZY13" s="21" t="n"/>
      <c r="PZZ13" s="21" t="n"/>
      <c r="QAA13" s="21" t="n"/>
      <c r="QAB13" s="21" t="n"/>
      <c r="QAC13" s="21" t="n"/>
      <c r="QAD13" s="21" t="n"/>
      <c r="QAE13" s="21" t="n"/>
      <c r="QAF13" s="21" t="n"/>
      <c r="QAG13" s="21" t="n"/>
      <c r="QAH13" s="21" t="n"/>
      <c r="QAI13" s="21" t="n"/>
      <c r="QAJ13" s="21" t="n"/>
      <c r="QAK13" s="21" t="n"/>
      <c r="QAL13" s="21" t="n"/>
      <c r="QAM13" s="21" t="n"/>
      <c r="QAN13" s="21" t="n"/>
      <c r="QAO13" s="21" t="n"/>
      <c r="QAP13" s="21" t="n"/>
      <c r="QAQ13" s="21" t="n"/>
      <c r="QAR13" s="21" t="n"/>
      <c r="QAS13" s="21" t="n"/>
      <c r="QAT13" s="21" t="n"/>
      <c r="QAU13" s="21" t="n"/>
      <c r="QAV13" s="21" t="n"/>
      <c r="QAW13" s="21" t="n"/>
      <c r="QAX13" s="21" t="n"/>
      <c r="QAY13" s="21" t="n"/>
      <c r="QAZ13" s="21" t="n"/>
      <c r="QBA13" s="21" t="n"/>
      <c r="QBB13" s="21" t="n"/>
      <c r="QBC13" s="21" t="n"/>
      <c r="QBD13" s="21" t="n"/>
      <c r="QBE13" s="21" t="n"/>
      <c r="QBF13" s="21" t="n"/>
      <c r="QBG13" s="21" t="n"/>
      <c r="QBH13" s="21" t="n"/>
      <c r="QBI13" s="21" t="n"/>
      <c r="QBJ13" s="21" t="n"/>
      <c r="QBK13" s="21" t="n"/>
      <c r="QBL13" s="21" t="n"/>
      <c r="QBM13" s="21" t="n"/>
      <c r="QBN13" s="21" t="n"/>
      <c r="QBO13" s="21" t="n"/>
      <c r="QBP13" s="21" t="n"/>
      <c r="QBQ13" s="21" t="n"/>
      <c r="QBR13" s="21" t="n"/>
      <c r="QBS13" s="21" t="n"/>
      <c r="QBT13" s="21" t="n"/>
      <c r="QBU13" s="21" t="n"/>
      <c r="QBV13" s="21" t="n"/>
      <c r="QBW13" s="21" t="n"/>
      <c r="QBX13" s="21" t="n"/>
      <c r="QBY13" s="21" t="n"/>
      <c r="QBZ13" s="21" t="n"/>
      <c r="QCA13" s="21" t="n"/>
      <c r="QCB13" s="21" t="n"/>
      <c r="QCC13" s="21" t="n"/>
      <c r="QCD13" s="21" t="n"/>
      <c r="QCE13" s="21" t="n"/>
      <c r="QCF13" s="21" t="n"/>
      <c r="QCG13" s="21" t="n"/>
      <c r="QCH13" s="21" t="n"/>
      <c r="QCI13" s="21" t="n"/>
      <c r="QCJ13" s="21" t="n"/>
      <c r="QCK13" s="21" t="n"/>
      <c r="QCL13" s="21" t="n"/>
      <c r="QCM13" s="21" t="n"/>
      <c r="QCN13" s="21" t="n"/>
      <c r="QCO13" s="21" t="n"/>
      <c r="QCP13" s="21" t="n"/>
      <c r="QCQ13" s="21" t="n"/>
      <c r="QCR13" s="21" t="n"/>
      <c r="QCS13" s="21" t="n"/>
      <c r="QCT13" s="21" t="n"/>
      <c r="QCU13" s="21" t="n"/>
      <c r="QCV13" s="21" t="n"/>
      <c r="QCW13" s="21" t="n"/>
      <c r="QCX13" s="21" t="n"/>
      <c r="QCY13" s="21" t="n"/>
      <c r="QCZ13" s="21" t="n"/>
      <c r="QDA13" s="21" t="n"/>
      <c r="QDB13" s="21" t="n"/>
      <c r="QDC13" s="21" t="n"/>
      <c r="QDD13" s="21" t="n"/>
      <c r="QDE13" s="21" t="n"/>
      <c r="QDF13" s="21" t="n"/>
      <c r="QDG13" s="21" t="n"/>
      <c r="QDH13" s="21" t="n"/>
      <c r="QDI13" s="21" t="n"/>
      <c r="QDJ13" s="21" t="n"/>
      <c r="QDK13" s="21" t="n"/>
      <c r="QDL13" s="21" t="n"/>
      <c r="QDM13" s="21" t="n"/>
      <c r="QDN13" s="21" t="n"/>
      <c r="QDO13" s="21" t="n"/>
      <c r="QDP13" s="21" t="n"/>
      <c r="QDQ13" s="21" t="n"/>
      <c r="QDR13" s="21" t="n"/>
      <c r="QDS13" s="21" t="n"/>
      <c r="QDT13" s="21" t="n"/>
      <c r="QDU13" s="21" t="n"/>
      <c r="QDV13" s="21" t="n"/>
      <c r="QDW13" s="21" t="n"/>
      <c r="QDX13" s="21" t="n"/>
      <c r="QDY13" s="21" t="n"/>
      <c r="QDZ13" s="21" t="n"/>
      <c r="QEA13" s="21" t="n"/>
      <c r="QEB13" s="21" t="n"/>
      <c r="QEC13" s="21" t="n"/>
      <c r="QED13" s="21" t="n"/>
      <c r="QEE13" s="21" t="n"/>
      <c r="QEF13" s="21" t="n"/>
      <c r="QEG13" s="21" t="n"/>
      <c r="QEH13" s="21" t="n"/>
      <c r="QEI13" s="21" t="n"/>
      <c r="QEJ13" s="21" t="n"/>
      <c r="QEK13" s="21" t="n"/>
      <c r="QEL13" s="21" t="n"/>
      <c r="QEM13" s="21" t="n"/>
      <c r="QEN13" s="21" t="n"/>
      <c r="QEO13" s="21" t="n"/>
      <c r="QEP13" s="21" t="n"/>
      <c r="QEQ13" s="21" t="n"/>
      <c r="QER13" s="21" t="n"/>
      <c r="QES13" s="21" t="n"/>
      <c r="QET13" s="21" t="n"/>
      <c r="QEU13" s="21" t="n"/>
      <c r="QEV13" s="21" t="n"/>
      <c r="QEW13" s="21" t="n"/>
      <c r="QEX13" s="21" t="n"/>
      <c r="QEY13" s="21" t="n"/>
      <c r="QEZ13" s="21" t="n"/>
      <c r="QFA13" s="21" t="n"/>
      <c r="QFB13" s="21" t="n"/>
      <c r="QFC13" s="21" t="n"/>
      <c r="QFD13" s="21" t="n"/>
      <c r="QFE13" s="21" t="n"/>
      <c r="QFF13" s="21" t="n"/>
      <c r="QFG13" s="21" t="n"/>
      <c r="QFH13" s="21" t="n"/>
      <c r="QFI13" s="21" t="n"/>
      <c r="QFJ13" s="21" t="n"/>
      <c r="QFK13" s="21" t="n"/>
      <c r="QFL13" s="21" t="n"/>
      <c r="QFM13" s="21" t="n"/>
      <c r="QFN13" s="21" t="n"/>
      <c r="QFO13" s="21" t="n"/>
      <c r="QFP13" s="21" t="n"/>
      <c r="QFQ13" s="21" t="n"/>
      <c r="QFR13" s="21" t="n"/>
      <c r="QFS13" s="21" t="n"/>
      <c r="QFT13" s="21" t="n"/>
      <c r="QFU13" s="21" t="n"/>
      <c r="QFV13" s="21" t="n"/>
      <c r="QFW13" s="21" t="n"/>
      <c r="QFX13" s="21" t="n"/>
      <c r="QFY13" s="21" t="n"/>
      <c r="QFZ13" s="21" t="n"/>
      <c r="QGA13" s="21" t="n"/>
      <c r="QGB13" s="21" t="n"/>
      <c r="QGC13" s="21" t="n"/>
      <c r="QGD13" s="21" t="n"/>
      <c r="QGE13" s="21" t="n"/>
      <c r="QGF13" s="21" t="n"/>
      <c r="QGG13" s="21" t="n"/>
      <c r="QGH13" s="21" t="n"/>
      <c r="QGI13" s="21" t="n"/>
      <c r="QGJ13" s="21" t="n"/>
      <c r="QGK13" s="21" t="n"/>
      <c r="QGL13" s="21" t="n"/>
      <c r="QGM13" s="21" t="n"/>
      <c r="QGN13" s="21" t="n"/>
      <c r="QGO13" s="21" t="n"/>
      <c r="QGP13" s="21" t="n"/>
      <c r="QGQ13" s="21" t="n"/>
      <c r="QGR13" s="21" t="n"/>
      <c r="QGS13" s="21" t="n"/>
      <c r="QGT13" s="21" t="n"/>
      <c r="QGU13" s="21" t="n"/>
      <c r="QGV13" s="21" t="n"/>
      <c r="QGW13" s="21" t="n"/>
      <c r="QGX13" s="21" t="n"/>
      <c r="QGY13" s="21" t="n"/>
      <c r="QGZ13" s="21" t="n"/>
      <c r="QHA13" s="21" t="n"/>
      <c r="QHB13" s="21" t="n"/>
      <c r="QHC13" s="21" t="n"/>
      <c r="QHD13" s="21" t="n"/>
      <c r="QHE13" s="21" t="n"/>
      <c r="QHF13" s="21" t="n"/>
      <c r="QHG13" s="21" t="n"/>
      <c r="QHH13" s="21" t="n"/>
      <c r="QHI13" s="21" t="n"/>
      <c r="QHJ13" s="21" t="n"/>
      <c r="QHK13" s="21" t="n"/>
      <c r="QHL13" s="21" t="n"/>
      <c r="QHM13" s="21" t="n"/>
      <c r="QHN13" s="21" t="n"/>
      <c r="QHO13" s="21" t="n"/>
      <c r="QHP13" s="21" t="n"/>
      <c r="QHQ13" s="21" t="n"/>
      <c r="QHR13" s="21" t="n"/>
      <c r="QHS13" s="21" t="n"/>
      <c r="QHT13" s="21" t="n"/>
      <c r="QHU13" s="21" t="n"/>
      <c r="QHV13" s="21" t="n"/>
      <c r="QHW13" s="21" t="n"/>
      <c r="QHX13" s="21" t="n"/>
      <c r="QHY13" s="21" t="n"/>
      <c r="QHZ13" s="21" t="n"/>
      <c r="QIA13" s="21" t="n"/>
      <c r="QIB13" s="21" t="n"/>
      <c r="QIC13" s="21" t="n"/>
      <c r="QID13" s="21" t="n"/>
      <c r="QIE13" s="21" t="n"/>
      <c r="QIF13" s="21" t="n"/>
      <c r="QIG13" s="21" t="n"/>
      <c r="QIH13" s="21" t="n"/>
      <c r="QII13" s="21" t="n"/>
      <c r="QIJ13" s="21" t="n"/>
      <c r="QIK13" s="21" t="n"/>
      <c r="QIL13" s="21" t="n"/>
      <c r="QIM13" s="21" t="n"/>
      <c r="QIN13" s="21" t="n"/>
      <c r="QIO13" s="21" t="n"/>
      <c r="QIP13" s="21" t="n"/>
      <c r="QIQ13" s="21" t="n"/>
      <c r="QIR13" s="21" t="n"/>
      <c r="QIS13" s="21" t="n"/>
      <c r="QIT13" s="21" t="n"/>
      <c r="QIU13" s="21" t="n"/>
      <c r="QIV13" s="21" t="n"/>
      <c r="QIW13" s="21" t="n"/>
      <c r="QIX13" s="21" t="n"/>
      <c r="QIY13" s="21" t="n"/>
      <c r="QIZ13" s="21" t="n"/>
      <c r="QJA13" s="21" t="n"/>
      <c r="QJB13" s="21" t="n"/>
      <c r="QJC13" s="21" t="n"/>
      <c r="QJD13" s="21" t="n"/>
      <c r="QJE13" s="21" t="n"/>
      <c r="QJF13" s="21" t="n"/>
      <c r="QJG13" s="21" t="n"/>
      <c r="QJH13" s="21" t="n"/>
      <c r="QJI13" s="21" t="n"/>
      <c r="QJJ13" s="21" t="n"/>
      <c r="QJK13" s="21" t="n"/>
      <c r="QJL13" s="21" t="n"/>
      <c r="QJM13" s="21" t="n"/>
      <c r="QJN13" s="21" t="n"/>
      <c r="QJO13" s="21" t="n"/>
      <c r="QJP13" s="21" t="n"/>
      <c r="QJQ13" s="21" t="n"/>
      <c r="QJR13" s="21" t="n"/>
      <c r="QJS13" s="21" t="n"/>
      <c r="QJT13" s="21" t="n"/>
      <c r="QJU13" s="21" t="n"/>
      <c r="QJV13" s="21" t="n"/>
      <c r="QJW13" s="21" t="n"/>
      <c r="QJX13" s="21" t="n"/>
      <c r="QJY13" s="21" t="n"/>
      <c r="QJZ13" s="21" t="n"/>
      <c r="QKA13" s="21" t="n"/>
      <c r="QKB13" s="21" t="n"/>
      <c r="QKC13" s="21" t="n"/>
      <c r="QKD13" s="21" t="n"/>
      <c r="QKE13" s="21" t="n"/>
      <c r="QKF13" s="21" t="n"/>
      <c r="QKG13" s="21" t="n"/>
      <c r="QKH13" s="21" t="n"/>
      <c r="QKI13" s="21" t="n"/>
      <c r="QKJ13" s="21" t="n"/>
      <c r="QKK13" s="21" t="n"/>
      <c r="QKL13" s="21" t="n"/>
      <c r="QKM13" s="21" t="n"/>
      <c r="QKN13" s="21" t="n"/>
      <c r="QKO13" s="21" t="n"/>
      <c r="QKP13" s="21" t="n"/>
      <c r="QKQ13" s="21" t="n"/>
      <c r="QKR13" s="21" t="n"/>
      <c r="QKS13" s="21" t="n"/>
      <c r="QKT13" s="21" t="n"/>
      <c r="QKU13" s="21" t="n"/>
      <c r="QKV13" s="21" t="n"/>
      <c r="QKW13" s="21" t="n"/>
      <c r="QKX13" s="21" t="n"/>
      <c r="QKY13" s="21" t="n"/>
      <c r="QKZ13" s="21" t="n"/>
      <c r="QLA13" s="21" t="n"/>
      <c r="QLB13" s="21" t="n"/>
      <c r="QLC13" s="21" t="n"/>
      <c r="QLD13" s="21" t="n"/>
      <c r="QLE13" s="21" t="n"/>
      <c r="QLF13" s="21" t="n"/>
      <c r="QLG13" s="21" t="n"/>
      <c r="QLH13" s="21" t="n"/>
      <c r="QLI13" s="21" t="n"/>
      <c r="QLJ13" s="21" t="n"/>
      <c r="QLK13" s="21" t="n"/>
      <c r="QLL13" s="21" t="n"/>
      <c r="QLM13" s="21" t="n"/>
      <c r="QLN13" s="21" t="n"/>
      <c r="QLO13" s="21" t="n"/>
      <c r="QLP13" s="21" t="n"/>
      <c r="QLQ13" s="21" t="n"/>
      <c r="QLR13" s="21" t="n"/>
      <c r="QLS13" s="21" t="n"/>
      <c r="QLT13" s="21" t="n"/>
      <c r="QLU13" s="21" t="n"/>
      <c r="QLV13" s="21" t="n"/>
      <c r="QLW13" s="21" t="n"/>
      <c r="QLX13" s="21" t="n"/>
      <c r="QLY13" s="21" t="n"/>
      <c r="QLZ13" s="21" t="n"/>
      <c r="QMA13" s="21" t="n"/>
      <c r="QMB13" s="21" t="n"/>
      <c r="QMC13" s="21" t="n"/>
      <c r="QMD13" s="21" t="n"/>
      <c r="QME13" s="21" t="n"/>
      <c r="QMF13" s="21" t="n"/>
      <c r="QMG13" s="21" t="n"/>
      <c r="QMH13" s="21" t="n"/>
      <c r="QMI13" s="21" t="n"/>
      <c r="QMJ13" s="21" t="n"/>
      <c r="QMK13" s="21" t="n"/>
      <c r="QML13" s="21" t="n"/>
      <c r="QMM13" s="21" t="n"/>
      <c r="QMN13" s="21" t="n"/>
      <c r="QMO13" s="21" t="n"/>
      <c r="QMP13" s="21" t="n"/>
      <c r="QMQ13" s="21" t="n"/>
      <c r="QMR13" s="21" t="n"/>
      <c r="QMS13" s="21" t="n"/>
      <c r="QMT13" s="21" t="n"/>
      <c r="QMU13" s="21" t="n"/>
      <c r="QMV13" s="21" t="n"/>
      <c r="QMW13" s="21" t="n"/>
      <c r="QMX13" s="21" t="n"/>
      <c r="QMY13" s="21" t="n"/>
      <c r="QMZ13" s="21" t="n"/>
      <c r="QNA13" s="21" t="n"/>
      <c r="QNB13" s="21" t="n"/>
      <c r="QNC13" s="21" t="n"/>
      <c r="QND13" s="21" t="n"/>
      <c r="QNE13" s="21" t="n"/>
      <c r="QNF13" s="21" t="n"/>
      <c r="QNG13" s="21" t="n"/>
      <c r="QNH13" s="21" t="n"/>
      <c r="QNI13" s="21" t="n"/>
      <c r="QNJ13" s="21" t="n"/>
      <c r="QNK13" s="21" t="n"/>
      <c r="QNL13" s="21" t="n"/>
      <c r="QNM13" s="21" t="n"/>
      <c r="QNN13" s="21" t="n"/>
      <c r="QNO13" s="21" t="n"/>
      <c r="QNP13" s="21" t="n"/>
      <c r="QNQ13" s="21" t="n"/>
      <c r="QNR13" s="21" t="n"/>
      <c r="QNS13" s="21" t="n"/>
      <c r="QNT13" s="21" t="n"/>
      <c r="QNU13" s="21" t="n"/>
      <c r="QNV13" s="21" t="n"/>
      <c r="QNW13" s="21" t="n"/>
      <c r="QNX13" s="21" t="n"/>
      <c r="QNY13" s="21" t="n"/>
      <c r="QNZ13" s="21" t="n"/>
      <c r="QOA13" s="21" t="n"/>
      <c r="QOB13" s="21" t="n"/>
      <c r="QOC13" s="21" t="n"/>
      <c r="QOD13" s="21" t="n"/>
      <c r="QOE13" s="21" t="n"/>
      <c r="QOF13" s="21" t="n"/>
      <c r="QOG13" s="21" t="n"/>
      <c r="QOH13" s="21" t="n"/>
      <c r="QOI13" s="21" t="n"/>
      <c r="QOJ13" s="21" t="n"/>
      <c r="QOK13" s="21" t="n"/>
      <c r="QOL13" s="21" t="n"/>
      <c r="QOM13" s="21" t="n"/>
      <c r="QON13" s="21" t="n"/>
      <c r="QOO13" s="21" t="n"/>
      <c r="QOP13" s="21" t="n"/>
      <c r="QOQ13" s="21" t="n"/>
      <c r="QOR13" s="21" t="n"/>
      <c r="QOS13" s="21" t="n"/>
      <c r="QOT13" s="21" t="n"/>
      <c r="QOU13" s="21" t="n"/>
      <c r="QOV13" s="21" t="n"/>
      <c r="QOW13" s="21" t="n"/>
      <c r="QOX13" s="21" t="n"/>
      <c r="QOY13" s="21" t="n"/>
      <c r="QOZ13" s="21" t="n"/>
      <c r="QPA13" s="21" t="n"/>
      <c r="QPB13" s="21" t="n"/>
      <c r="QPC13" s="21" t="n"/>
      <c r="QPD13" s="21" t="n"/>
      <c r="QPE13" s="21" t="n"/>
      <c r="QPF13" s="21" t="n"/>
      <c r="QPG13" s="21" t="n"/>
      <c r="QPH13" s="21" t="n"/>
      <c r="QPI13" s="21" t="n"/>
      <c r="QPJ13" s="21" t="n"/>
      <c r="QPK13" s="21" t="n"/>
      <c r="QPL13" s="21" t="n"/>
      <c r="QPM13" s="21" t="n"/>
      <c r="QPN13" s="21" t="n"/>
      <c r="QPO13" s="21" t="n"/>
      <c r="QPP13" s="21" t="n"/>
      <c r="QPQ13" s="21" t="n"/>
      <c r="QPR13" s="21" t="n"/>
      <c r="QPS13" s="21" t="n"/>
      <c r="QPT13" s="21" t="n"/>
      <c r="QPU13" s="21" t="n"/>
      <c r="QPV13" s="21" t="n"/>
      <c r="QPW13" s="21" t="n"/>
      <c r="QPX13" s="21" t="n"/>
      <c r="QPY13" s="21" t="n"/>
      <c r="QPZ13" s="21" t="n"/>
      <c r="QQA13" s="21" t="n"/>
      <c r="QQB13" s="21" t="n"/>
      <c r="QQC13" s="21" t="n"/>
      <c r="QQD13" s="21" t="n"/>
      <c r="QQE13" s="21" t="n"/>
      <c r="QQF13" s="21" t="n"/>
      <c r="QQG13" s="21" t="n"/>
      <c r="QQH13" s="21" t="n"/>
      <c r="QQI13" s="21" t="n"/>
      <c r="QQJ13" s="21" t="n"/>
      <c r="QQK13" s="21" t="n"/>
      <c r="QQL13" s="21" t="n"/>
      <c r="QQM13" s="21" t="n"/>
      <c r="QQN13" s="21" t="n"/>
      <c r="QQO13" s="21" t="n"/>
      <c r="QQP13" s="21" t="n"/>
      <c r="QQQ13" s="21" t="n"/>
      <c r="QQR13" s="21" t="n"/>
      <c r="QQS13" s="21" t="n"/>
      <c r="QQT13" s="21" t="n"/>
      <c r="QQU13" s="21" t="n"/>
      <c r="QQV13" s="21" t="n"/>
      <c r="QQW13" s="21" t="n"/>
      <c r="QQX13" s="21" t="n"/>
      <c r="QQY13" s="21" t="n"/>
      <c r="QQZ13" s="21" t="n"/>
      <c r="QRA13" s="21" t="n"/>
      <c r="QRB13" s="21" t="n"/>
      <c r="QRC13" s="21" t="n"/>
      <c r="QRD13" s="21" t="n"/>
      <c r="QRE13" s="21" t="n"/>
      <c r="QRF13" s="21" t="n"/>
      <c r="QRG13" s="21" t="n"/>
      <c r="QRH13" s="21" t="n"/>
      <c r="QRI13" s="21" t="n"/>
      <c r="QRJ13" s="21" t="n"/>
      <c r="QRK13" s="21" t="n"/>
      <c r="QRL13" s="21" t="n"/>
      <c r="QRM13" s="21" t="n"/>
      <c r="QRN13" s="21" t="n"/>
      <c r="QRO13" s="21" t="n"/>
      <c r="QRP13" s="21" t="n"/>
      <c r="QRQ13" s="21" t="n"/>
      <c r="QRR13" s="21" t="n"/>
      <c r="QRS13" s="21" t="n"/>
      <c r="QRT13" s="21" t="n"/>
      <c r="QRU13" s="21" t="n"/>
      <c r="QRV13" s="21" t="n"/>
      <c r="QRW13" s="21" t="n"/>
      <c r="QRX13" s="21" t="n"/>
      <c r="QRY13" s="21" t="n"/>
      <c r="QRZ13" s="21" t="n"/>
      <c r="QSA13" s="21" t="n"/>
      <c r="QSB13" s="21" t="n"/>
      <c r="QSC13" s="21" t="n"/>
      <c r="QSD13" s="21" t="n"/>
      <c r="QSE13" s="21" t="n"/>
      <c r="QSF13" s="21" t="n"/>
      <c r="QSG13" s="21" t="n"/>
      <c r="QSH13" s="21" t="n"/>
      <c r="QSI13" s="21" t="n"/>
      <c r="QSJ13" s="21" t="n"/>
      <c r="QSK13" s="21" t="n"/>
      <c r="QSL13" s="21" t="n"/>
      <c r="QSM13" s="21" t="n"/>
      <c r="QSN13" s="21" t="n"/>
      <c r="QSO13" s="21" t="n"/>
      <c r="QSP13" s="21" t="n"/>
      <c r="QSQ13" s="21" t="n"/>
      <c r="QSR13" s="21" t="n"/>
      <c r="QSS13" s="21" t="n"/>
      <c r="QST13" s="21" t="n"/>
      <c r="QSU13" s="21" t="n"/>
      <c r="QSV13" s="21" t="n"/>
      <c r="QSW13" s="21" t="n"/>
      <c r="QSX13" s="21" t="n"/>
      <c r="QSY13" s="21" t="n"/>
      <c r="QSZ13" s="21" t="n"/>
      <c r="QTA13" s="21" t="n"/>
      <c r="QTB13" s="21" t="n"/>
      <c r="QTC13" s="21" t="n"/>
      <c r="QTD13" s="21" t="n"/>
      <c r="QTE13" s="21" t="n"/>
      <c r="QTF13" s="21" t="n"/>
      <c r="QTG13" s="21" t="n"/>
      <c r="QTH13" s="21" t="n"/>
      <c r="QTI13" s="21" t="n"/>
      <c r="QTJ13" s="21" t="n"/>
      <c r="QTK13" s="21" t="n"/>
      <c r="QTL13" s="21" t="n"/>
      <c r="QTM13" s="21" t="n"/>
      <c r="QTN13" s="21" t="n"/>
      <c r="QTO13" s="21" t="n"/>
      <c r="QTP13" s="21" t="n"/>
      <c r="QTQ13" s="21" t="n"/>
      <c r="QTR13" s="21" t="n"/>
      <c r="QTS13" s="21" t="n"/>
      <c r="QTT13" s="21" t="n"/>
      <c r="QTU13" s="21" t="n"/>
      <c r="QTV13" s="21" t="n"/>
      <c r="QTW13" s="21" t="n"/>
      <c r="QTX13" s="21" t="n"/>
      <c r="QTY13" s="21" t="n"/>
      <c r="QTZ13" s="21" t="n"/>
      <c r="QUA13" s="21" t="n"/>
      <c r="QUB13" s="21" t="n"/>
      <c r="QUC13" s="21" t="n"/>
      <c r="QUD13" s="21" t="n"/>
      <c r="QUE13" s="21" t="n"/>
      <c r="QUF13" s="21" t="n"/>
      <c r="QUG13" s="21" t="n"/>
      <c r="QUH13" s="21" t="n"/>
      <c r="QUI13" s="21" t="n"/>
      <c r="QUJ13" s="21" t="n"/>
      <c r="QUK13" s="21" t="n"/>
      <c r="QUL13" s="21" t="n"/>
      <c r="QUM13" s="21" t="n"/>
      <c r="QUN13" s="21" t="n"/>
      <c r="QUO13" s="21" t="n"/>
      <c r="QUP13" s="21" t="n"/>
      <c r="QUQ13" s="21" t="n"/>
      <c r="QUR13" s="21" t="n"/>
      <c r="QUS13" s="21" t="n"/>
      <c r="QUT13" s="21" t="n"/>
      <c r="QUU13" s="21" t="n"/>
      <c r="QUV13" s="21" t="n"/>
      <c r="QUW13" s="21" t="n"/>
      <c r="QUX13" s="21" t="n"/>
      <c r="QUY13" s="21" t="n"/>
      <c r="QUZ13" s="21" t="n"/>
      <c r="QVA13" s="21" t="n"/>
      <c r="QVB13" s="21" t="n"/>
      <c r="QVC13" s="21" t="n"/>
      <c r="QVD13" s="21" t="n"/>
      <c r="QVE13" s="21" t="n"/>
      <c r="QVF13" s="21" t="n"/>
      <c r="QVG13" s="21" t="n"/>
      <c r="QVH13" s="21" t="n"/>
      <c r="QVI13" s="21" t="n"/>
      <c r="QVJ13" s="21" t="n"/>
      <c r="QVK13" s="21" t="n"/>
      <c r="QVL13" s="21" t="n"/>
      <c r="QVM13" s="21" t="n"/>
      <c r="QVN13" s="21" t="n"/>
      <c r="QVO13" s="21" t="n"/>
      <c r="QVP13" s="21" t="n"/>
      <c r="QVQ13" s="21" t="n"/>
      <c r="QVR13" s="21" t="n"/>
      <c r="QVS13" s="21" t="n"/>
      <c r="QVT13" s="21" t="n"/>
      <c r="QVU13" s="21" t="n"/>
      <c r="QVV13" s="21" t="n"/>
      <c r="QVW13" s="21" t="n"/>
      <c r="QVX13" s="21" t="n"/>
      <c r="QVY13" s="21" t="n"/>
      <c r="QVZ13" s="21" t="n"/>
      <c r="QWA13" s="21" t="n"/>
      <c r="QWB13" s="21" t="n"/>
      <c r="QWC13" s="21" t="n"/>
      <c r="QWD13" s="21" t="n"/>
      <c r="QWE13" s="21" t="n"/>
      <c r="QWF13" s="21" t="n"/>
      <c r="QWG13" s="21" t="n"/>
      <c r="QWH13" s="21" t="n"/>
      <c r="QWI13" s="21" t="n"/>
      <c r="QWJ13" s="21" t="n"/>
      <c r="QWK13" s="21" t="n"/>
      <c r="QWL13" s="21" t="n"/>
      <c r="QWM13" s="21" t="n"/>
      <c r="QWN13" s="21" t="n"/>
      <c r="QWO13" s="21" t="n"/>
      <c r="QWP13" s="21" t="n"/>
      <c r="QWQ13" s="21" t="n"/>
      <c r="QWR13" s="21" t="n"/>
      <c r="QWS13" s="21" t="n"/>
      <c r="QWT13" s="21" t="n"/>
      <c r="QWU13" s="21" t="n"/>
      <c r="QWV13" s="21" t="n"/>
      <c r="QWW13" s="21" t="n"/>
      <c r="QWX13" s="21" t="n"/>
      <c r="QWY13" s="21" t="n"/>
      <c r="QWZ13" s="21" t="n"/>
      <c r="QXA13" s="21" t="n"/>
      <c r="QXB13" s="21" t="n"/>
      <c r="QXC13" s="21" t="n"/>
      <c r="QXD13" s="21" t="n"/>
      <c r="QXE13" s="21" t="n"/>
      <c r="QXF13" s="21" t="n"/>
      <c r="QXG13" s="21" t="n"/>
      <c r="QXH13" s="21" t="n"/>
      <c r="QXI13" s="21" t="n"/>
      <c r="QXJ13" s="21" t="n"/>
      <c r="QXK13" s="21" t="n"/>
      <c r="QXL13" s="21" t="n"/>
      <c r="QXM13" s="21" t="n"/>
      <c r="QXN13" s="21" t="n"/>
      <c r="QXO13" s="21" t="n"/>
      <c r="QXP13" s="21" t="n"/>
      <c r="QXQ13" s="21" t="n"/>
      <c r="QXR13" s="21" t="n"/>
      <c r="QXS13" s="21" t="n"/>
      <c r="QXT13" s="21" t="n"/>
      <c r="QXU13" s="21" t="n"/>
      <c r="QXV13" s="21" t="n"/>
      <c r="QXW13" s="21" t="n"/>
      <c r="QXX13" s="21" t="n"/>
      <c r="QXY13" s="21" t="n"/>
      <c r="QXZ13" s="21" t="n"/>
      <c r="QYA13" s="21" t="n"/>
      <c r="QYB13" s="21" t="n"/>
      <c r="QYC13" s="21" t="n"/>
      <c r="QYD13" s="21" t="n"/>
      <c r="QYE13" s="21" t="n"/>
      <c r="QYF13" s="21" t="n"/>
      <c r="QYG13" s="21" t="n"/>
      <c r="QYH13" s="21" t="n"/>
      <c r="QYI13" s="21" t="n"/>
      <c r="QYJ13" s="21" t="n"/>
      <c r="QYK13" s="21" t="n"/>
      <c r="QYL13" s="21" t="n"/>
      <c r="QYM13" s="21" t="n"/>
      <c r="QYN13" s="21" t="n"/>
      <c r="QYO13" s="21" t="n"/>
      <c r="QYP13" s="21" t="n"/>
      <c r="QYQ13" s="21" t="n"/>
      <c r="QYR13" s="21" t="n"/>
      <c r="QYS13" s="21" t="n"/>
      <c r="QYT13" s="21" t="n"/>
      <c r="QYU13" s="21" t="n"/>
      <c r="QYV13" s="21" t="n"/>
      <c r="QYW13" s="21" t="n"/>
      <c r="QYX13" s="21" t="n"/>
      <c r="QYY13" s="21" t="n"/>
      <c r="QYZ13" s="21" t="n"/>
      <c r="QZA13" s="21" t="n"/>
      <c r="QZB13" s="21" t="n"/>
      <c r="QZC13" s="21" t="n"/>
      <c r="QZD13" s="21" t="n"/>
      <c r="QZE13" s="21" t="n"/>
      <c r="QZF13" s="21" t="n"/>
      <c r="QZG13" s="21" t="n"/>
      <c r="QZH13" s="21" t="n"/>
      <c r="QZI13" s="21" t="n"/>
      <c r="QZJ13" s="21" t="n"/>
      <c r="QZK13" s="21" t="n"/>
      <c r="QZL13" s="21" t="n"/>
      <c r="QZM13" s="21" t="n"/>
      <c r="QZN13" s="21" t="n"/>
      <c r="QZO13" s="21" t="n"/>
      <c r="QZP13" s="21" t="n"/>
      <c r="QZQ13" s="21" t="n"/>
      <c r="QZR13" s="21" t="n"/>
      <c r="QZS13" s="21" t="n"/>
      <c r="QZT13" s="21" t="n"/>
      <c r="QZU13" s="21" t="n"/>
      <c r="QZV13" s="21" t="n"/>
      <c r="QZW13" s="21" t="n"/>
      <c r="QZX13" s="21" t="n"/>
      <c r="QZY13" s="21" t="n"/>
      <c r="QZZ13" s="21" t="n"/>
      <c r="RAA13" s="21" t="n"/>
      <c r="RAB13" s="21" t="n"/>
      <c r="RAC13" s="21" t="n"/>
      <c r="RAD13" s="21" t="n"/>
      <c r="RAE13" s="21" t="n"/>
      <c r="RAF13" s="21" t="n"/>
      <c r="RAG13" s="21" t="n"/>
      <c r="RAH13" s="21" t="n"/>
      <c r="RAI13" s="21" t="n"/>
      <c r="RAJ13" s="21" t="n"/>
      <c r="RAK13" s="21" t="n"/>
      <c r="RAL13" s="21" t="n"/>
      <c r="RAM13" s="21" t="n"/>
      <c r="RAN13" s="21" t="n"/>
      <c r="RAO13" s="21" t="n"/>
      <c r="RAP13" s="21" t="n"/>
      <c r="RAQ13" s="21" t="n"/>
      <c r="RAR13" s="21" t="n"/>
      <c r="RAS13" s="21" t="n"/>
      <c r="RAT13" s="21" t="n"/>
      <c r="RAU13" s="21" t="n"/>
      <c r="RAV13" s="21" t="n"/>
      <c r="RAW13" s="21" t="n"/>
      <c r="RAX13" s="21" t="n"/>
      <c r="RAY13" s="21" t="n"/>
      <c r="RAZ13" s="21" t="n"/>
      <c r="RBA13" s="21" t="n"/>
      <c r="RBB13" s="21" t="n"/>
      <c r="RBC13" s="21" t="n"/>
      <c r="RBD13" s="21" t="n"/>
      <c r="RBE13" s="21" t="n"/>
      <c r="RBF13" s="21" t="n"/>
      <c r="RBG13" s="21" t="n"/>
      <c r="RBH13" s="21" t="n"/>
      <c r="RBI13" s="21" t="n"/>
      <c r="RBJ13" s="21" t="n"/>
      <c r="RBK13" s="21" t="n"/>
      <c r="RBL13" s="21" t="n"/>
      <c r="RBM13" s="21" t="n"/>
      <c r="RBN13" s="21" t="n"/>
      <c r="RBO13" s="21" t="n"/>
      <c r="RBP13" s="21" t="n"/>
      <c r="RBQ13" s="21" t="n"/>
      <c r="RBR13" s="21" t="n"/>
      <c r="RBS13" s="21" t="n"/>
      <c r="RBT13" s="21" t="n"/>
      <c r="RBU13" s="21" t="n"/>
      <c r="RBV13" s="21" t="n"/>
      <c r="RBW13" s="21" t="n"/>
      <c r="RBX13" s="21" t="n"/>
      <c r="RBY13" s="21" t="n"/>
      <c r="RBZ13" s="21" t="n"/>
      <c r="RCA13" s="21" t="n"/>
      <c r="RCB13" s="21" t="n"/>
      <c r="RCC13" s="21" t="n"/>
      <c r="RCD13" s="21" t="n"/>
      <c r="RCE13" s="21" t="n"/>
      <c r="RCF13" s="21" t="n"/>
      <c r="RCG13" s="21" t="n"/>
      <c r="RCH13" s="21" t="n"/>
      <c r="RCI13" s="21" t="n"/>
      <c r="RCJ13" s="21" t="n"/>
      <c r="RCK13" s="21" t="n"/>
      <c r="RCL13" s="21" t="n"/>
      <c r="RCM13" s="21" t="n"/>
      <c r="RCN13" s="21" t="n"/>
      <c r="RCO13" s="21" t="n"/>
      <c r="RCP13" s="21" t="n"/>
      <c r="RCQ13" s="21" t="n"/>
      <c r="RCR13" s="21" t="n"/>
      <c r="RCS13" s="21" t="n"/>
      <c r="RCT13" s="21" t="n"/>
      <c r="RCU13" s="21" t="n"/>
      <c r="RCV13" s="21" t="n"/>
      <c r="RCW13" s="21" t="n"/>
      <c r="RCX13" s="21" t="n"/>
      <c r="RCY13" s="21" t="n"/>
      <c r="RCZ13" s="21" t="n"/>
      <c r="RDA13" s="21" t="n"/>
      <c r="RDB13" s="21" t="n"/>
      <c r="RDC13" s="21" t="n"/>
      <c r="RDD13" s="21" t="n"/>
      <c r="RDE13" s="21" t="n"/>
      <c r="RDF13" s="21" t="n"/>
      <c r="RDG13" s="21" t="n"/>
      <c r="RDH13" s="21" t="n"/>
      <c r="RDI13" s="21" t="n"/>
      <c r="RDJ13" s="21" t="n"/>
      <c r="RDK13" s="21" t="n"/>
      <c r="RDL13" s="21" t="n"/>
      <c r="RDM13" s="21" t="n"/>
      <c r="RDN13" s="21" t="n"/>
      <c r="RDO13" s="21" t="n"/>
      <c r="RDP13" s="21" t="n"/>
      <c r="RDQ13" s="21" t="n"/>
      <c r="RDR13" s="21" t="n"/>
      <c r="RDS13" s="21" t="n"/>
      <c r="RDT13" s="21" t="n"/>
      <c r="RDU13" s="21" t="n"/>
      <c r="RDV13" s="21" t="n"/>
      <c r="RDW13" s="21" t="n"/>
      <c r="RDX13" s="21" t="n"/>
      <c r="RDY13" s="21" t="n"/>
      <c r="RDZ13" s="21" t="n"/>
      <c r="REA13" s="21" t="n"/>
      <c r="REB13" s="21" t="n"/>
      <c r="REC13" s="21" t="n"/>
      <c r="RED13" s="21" t="n"/>
      <c r="REE13" s="21" t="n"/>
      <c r="REF13" s="21" t="n"/>
      <c r="REG13" s="21" t="n"/>
      <c r="REH13" s="21" t="n"/>
      <c r="REI13" s="21" t="n"/>
      <c r="REJ13" s="21" t="n"/>
      <c r="REK13" s="21" t="n"/>
      <c r="REL13" s="21" t="n"/>
      <c r="REM13" s="21" t="n"/>
      <c r="REN13" s="21" t="n"/>
      <c r="REO13" s="21" t="n"/>
      <c r="REP13" s="21" t="n"/>
      <c r="REQ13" s="21" t="n"/>
      <c r="RER13" s="21" t="n"/>
      <c r="RES13" s="21" t="n"/>
      <c r="RET13" s="21" t="n"/>
      <c r="REU13" s="21" t="n"/>
      <c r="REV13" s="21" t="n"/>
      <c r="REW13" s="21" t="n"/>
      <c r="REX13" s="21" t="n"/>
      <c r="REY13" s="21" t="n"/>
      <c r="REZ13" s="21" t="n"/>
      <c r="RFA13" s="21" t="n"/>
      <c r="RFB13" s="21" t="n"/>
      <c r="RFC13" s="21" t="n"/>
      <c r="RFD13" s="21" t="n"/>
      <c r="RFE13" s="21" t="n"/>
      <c r="RFF13" s="21" t="n"/>
      <c r="RFG13" s="21" t="n"/>
      <c r="RFH13" s="21" t="n"/>
      <c r="RFI13" s="21" t="n"/>
      <c r="RFJ13" s="21" t="n"/>
      <c r="RFK13" s="21" t="n"/>
      <c r="RFL13" s="21" t="n"/>
      <c r="RFM13" s="21" t="n"/>
      <c r="RFN13" s="21" t="n"/>
      <c r="RFO13" s="21" t="n"/>
      <c r="RFP13" s="21" t="n"/>
      <c r="RFQ13" s="21" t="n"/>
      <c r="RFR13" s="21" t="n"/>
      <c r="RFS13" s="21" t="n"/>
      <c r="RFT13" s="21" t="n"/>
      <c r="RFU13" s="21" t="n"/>
      <c r="RFV13" s="21" t="n"/>
      <c r="RFW13" s="21" t="n"/>
      <c r="RFX13" s="21" t="n"/>
      <c r="RFY13" s="21" t="n"/>
      <c r="RFZ13" s="21" t="n"/>
      <c r="RGA13" s="21" t="n"/>
      <c r="RGB13" s="21" t="n"/>
      <c r="RGC13" s="21" t="n"/>
      <c r="RGD13" s="21" t="n"/>
      <c r="RGE13" s="21" t="n"/>
      <c r="RGF13" s="21" t="n"/>
      <c r="RGG13" s="21" t="n"/>
      <c r="RGH13" s="21" t="n"/>
      <c r="RGI13" s="21" t="n"/>
      <c r="RGJ13" s="21" t="n"/>
      <c r="RGK13" s="21" t="n"/>
      <c r="RGL13" s="21" t="n"/>
      <c r="RGM13" s="21" t="n"/>
      <c r="RGN13" s="21" t="n"/>
      <c r="RGO13" s="21" t="n"/>
      <c r="RGP13" s="21" t="n"/>
      <c r="RGQ13" s="21" t="n"/>
      <c r="RGR13" s="21" t="n"/>
      <c r="RGS13" s="21" t="n"/>
      <c r="RGT13" s="21" t="n"/>
      <c r="RGU13" s="21" t="n"/>
      <c r="RGV13" s="21" t="n"/>
      <c r="RGW13" s="21" t="n"/>
      <c r="RGX13" s="21" t="n"/>
      <c r="RGY13" s="21" t="n"/>
      <c r="RGZ13" s="21" t="n"/>
      <c r="RHA13" s="21" t="n"/>
      <c r="RHB13" s="21" t="n"/>
      <c r="RHC13" s="21" t="n"/>
      <c r="RHD13" s="21" t="n"/>
      <c r="RHE13" s="21" t="n"/>
      <c r="RHF13" s="21" t="n"/>
      <c r="RHG13" s="21" t="n"/>
      <c r="RHH13" s="21" t="n"/>
      <c r="RHI13" s="21" t="n"/>
      <c r="RHJ13" s="21" t="n"/>
      <c r="RHK13" s="21" t="n"/>
      <c r="RHL13" s="21" t="n"/>
      <c r="RHM13" s="21" t="n"/>
      <c r="RHN13" s="21" t="n"/>
      <c r="RHO13" s="21" t="n"/>
      <c r="RHP13" s="21" t="n"/>
      <c r="RHQ13" s="21" t="n"/>
      <c r="RHR13" s="21" t="n"/>
      <c r="RHS13" s="21" t="n"/>
      <c r="RHT13" s="21" t="n"/>
      <c r="RHU13" s="21" t="n"/>
      <c r="RHV13" s="21" t="n"/>
      <c r="RHW13" s="21" t="n"/>
      <c r="RHX13" s="21" t="n"/>
      <c r="RHY13" s="21" t="n"/>
      <c r="RHZ13" s="21" t="n"/>
      <c r="RIA13" s="21" t="n"/>
      <c r="RIB13" s="21" t="n"/>
      <c r="RIC13" s="21" t="n"/>
      <c r="RID13" s="21" t="n"/>
      <c r="RIE13" s="21" t="n"/>
      <c r="RIF13" s="21" t="n"/>
      <c r="RIG13" s="21" t="n"/>
      <c r="RIH13" s="21" t="n"/>
      <c r="RII13" s="21" t="n"/>
      <c r="RIJ13" s="21" t="n"/>
      <c r="RIK13" s="21" t="n"/>
      <c r="RIL13" s="21" t="n"/>
      <c r="RIM13" s="21" t="n"/>
      <c r="RIN13" s="21" t="n"/>
      <c r="RIO13" s="21" t="n"/>
      <c r="RIP13" s="21" t="n"/>
      <c r="RIQ13" s="21" t="n"/>
      <c r="RIR13" s="21" t="n"/>
      <c r="RIS13" s="21" t="n"/>
      <c r="RIT13" s="21" t="n"/>
      <c r="RIU13" s="21" t="n"/>
      <c r="RIV13" s="21" t="n"/>
      <c r="RIW13" s="21" t="n"/>
      <c r="RIX13" s="21" t="n"/>
      <c r="RIY13" s="21" t="n"/>
      <c r="RIZ13" s="21" t="n"/>
      <c r="RJA13" s="21" t="n"/>
      <c r="RJB13" s="21" t="n"/>
      <c r="RJC13" s="21" t="n"/>
      <c r="RJD13" s="21" t="n"/>
      <c r="RJE13" s="21" t="n"/>
      <c r="RJF13" s="21" t="n"/>
      <c r="RJG13" s="21" t="n"/>
      <c r="RJH13" s="21" t="n"/>
      <c r="RJI13" s="21" t="n"/>
      <c r="RJJ13" s="21" t="n"/>
      <c r="RJK13" s="21" t="n"/>
      <c r="RJL13" s="21" t="n"/>
      <c r="RJM13" s="21" t="n"/>
      <c r="RJN13" s="21" t="n"/>
      <c r="RJO13" s="21" t="n"/>
      <c r="RJP13" s="21" t="n"/>
      <c r="RJQ13" s="21" t="n"/>
      <c r="RJR13" s="21" t="n"/>
      <c r="RJS13" s="21" t="n"/>
      <c r="RJT13" s="21" t="n"/>
      <c r="RJU13" s="21" t="n"/>
      <c r="RJV13" s="21" t="n"/>
      <c r="RJW13" s="21" t="n"/>
      <c r="RJX13" s="21" t="n"/>
      <c r="RJY13" s="21" t="n"/>
      <c r="RJZ13" s="21" t="n"/>
      <c r="RKA13" s="21" t="n"/>
      <c r="RKB13" s="21" t="n"/>
      <c r="RKC13" s="21" t="n"/>
      <c r="RKD13" s="21" t="n"/>
      <c r="RKE13" s="21" t="n"/>
      <c r="RKF13" s="21" t="n"/>
      <c r="RKG13" s="21" t="n"/>
      <c r="RKH13" s="21" t="n"/>
      <c r="RKI13" s="21" t="n"/>
      <c r="RKJ13" s="21" t="n"/>
      <c r="RKK13" s="21" t="n"/>
      <c r="RKL13" s="21" t="n"/>
      <c r="RKM13" s="21" t="n"/>
      <c r="RKN13" s="21" t="n"/>
      <c r="RKO13" s="21" t="n"/>
      <c r="RKP13" s="21" t="n"/>
      <c r="RKQ13" s="21" t="n"/>
      <c r="RKR13" s="21" t="n"/>
      <c r="RKS13" s="21" t="n"/>
      <c r="RKT13" s="21" t="n"/>
      <c r="RKU13" s="21" t="n"/>
      <c r="RKV13" s="21" t="n"/>
      <c r="RKW13" s="21" t="n"/>
      <c r="RKX13" s="21" t="n"/>
      <c r="RKY13" s="21" t="n"/>
      <c r="RKZ13" s="21" t="n"/>
      <c r="RLA13" s="21" t="n"/>
      <c r="RLB13" s="21" t="n"/>
      <c r="RLC13" s="21" t="n"/>
      <c r="RLD13" s="21" t="n"/>
      <c r="RLE13" s="21" t="n"/>
      <c r="RLF13" s="21" t="n"/>
      <c r="RLG13" s="21" t="n"/>
      <c r="RLH13" s="21" t="n"/>
      <c r="RLI13" s="21" t="n"/>
      <c r="RLJ13" s="21" t="n"/>
      <c r="RLK13" s="21" t="n"/>
      <c r="RLL13" s="21" t="n"/>
      <c r="RLM13" s="21" t="n"/>
      <c r="RLN13" s="21" t="n"/>
      <c r="RLO13" s="21" t="n"/>
      <c r="RLP13" s="21" t="n"/>
      <c r="RLQ13" s="21" t="n"/>
      <c r="RLR13" s="21" t="n"/>
      <c r="RLS13" s="21" t="n"/>
      <c r="RLT13" s="21" t="n"/>
      <c r="RLU13" s="21" t="n"/>
      <c r="RLV13" s="21" t="n"/>
      <c r="RLW13" s="21" t="n"/>
      <c r="RLX13" s="21" t="n"/>
      <c r="RLY13" s="21" t="n"/>
      <c r="RLZ13" s="21" t="n"/>
      <c r="RMA13" s="21" t="n"/>
      <c r="RMB13" s="21" t="n"/>
      <c r="RMC13" s="21" t="n"/>
      <c r="RMD13" s="21" t="n"/>
      <c r="RME13" s="21" t="n"/>
      <c r="RMF13" s="21" t="n"/>
      <c r="RMG13" s="21" t="n"/>
      <c r="RMH13" s="21" t="n"/>
      <c r="RMI13" s="21" t="n"/>
      <c r="RMJ13" s="21" t="n"/>
      <c r="RMK13" s="21" t="n"/>
      <c r="RML13" s="21" t="n"/>
      <c r="RMM13" s="21" t="n"/>
      <c r="RMN13" s="21" t="n"/>
      <c r="RMO13" s="21" t="n"/>
      <c r="RMP13" s="21" t="n"/>
      <c r="RMQ13" s="21" t="n"/>
      <c r="RMR13" s="21" t="n"/>
      <c r="RMS13" s="21" t="n"/>
      <c r="RMT13" s="21" t="n"/>
      <c r="RMU13" s="21" t="n"/>
      <c r="RMV13" s="21" t="n"/>
      <c r="RMW13" s="21" t="n"/>
      <c r="RMX13" s="21" t="n"/>
      <c r="RMY13" s="21" t="n"/>
      <c r="RMZ13" s="21" t="n"/>
      <c r="RNA13" s="21" t="n"/>
      <c r="RNB13" s="21" t="n"/>
      <c r="RNC13" s="21" t="n"/>
      <c r="RND13" s="21" t="n"/>
      <c r="RNE13" s="21" t="n"/>
      <c r="RNF13" s="21" t="n"/>
      <c r="RNG13" s="21" t="n"/>
      <c r="RNH13" s="21" t="n"/>
      <c r="RNI13" s="21" t="n"/>
      <c r="RNJ13" s="21" t="n"/>
      <c r="RNK13" s="21" t="n"/>
      <c r="RNL13" s="21" t="n"/>
      <c r="RNM13" s="21" t="n"/>
      <c r="RNN13" s="21" t="n"/>
      <c r="RNO13" s="21" t="n"/>
      <c r="RNP13" s="21" t="n"/>
      <c r="RNQ13" s="21" t="n"/>
      <c r="RNR13" s="21" t="n"/>
      <c r="RNS13" s="21" t="n"/>
      <c r="RNT13" s="21" t="n"/>
      <c r="RNU13" s="21" t="n"/>
      <c r="RNV13" s="21" t="n"/>
      <c r="RNW13" s="21" t="n"/>
      <c r="RNX13" s="21" t="n"/>
      <c r="RNY13" s="21" t="n"/>
      <c r="RNZ13" s="21" t="n"/>
      <c r="ROA13" s="21" t="n"/>
      <c r="ROB13" s="21" t="n"/>
      <c r="ROC13" s="21" t="n"/>
      <c r="ROD13" s="21" t="n"/>
      <c r="ROE13" s="21" t="n"/>
      <c r="ROF13" s="21" t="n"/>
      <c r="ROG13" s="21" t="n"/>
      <c r="ROH13" s="21" t="n"/>
      <c r="ROI13" s="21" t="n"/>
      <c r="ROJ13" s="21" t="n"/>
      <c r="ROK13" s="21" t="n"/>
      <c r="ROL13" s="21" t="n"/>
      <c r="ROM13" s="21" t="n"/>
      <c r="RON13" s="21" t="n"/>
      <c r="ROO13" s="21" t="n"/>
      <c r="ROP13" s="21" t="n"/>
      <c r="ROQ13" s="21" t="n"/>
      <c r="ROR13" s="21" t="n"/>
      <c r="ROS13" s="21" t="n"/>
      <c r="ROT13" s="21" t="n"/>
      <c r="ROU13" s="21" t="n"/>
      <c r="ROV13" s="21" t="n"/>
      <c r="ROW13" s="21" t="n"/>
      <c r="ROX13" s="21" t="n"/>
      <c r="ROY13" s="21" t="n"/>
      <c r="ROZ13" s="21" t="n"/>
      <c r="RPA13" s="21" t="n"/>
      <c r="RPB13" s="21" t="n"/>
      <c r="RPC13" s="21" t="n"/>
      <c r="RPD13" s="21" t="n"/>
      <c r="RPE13" s="21" t="n"/>
      <c r="RPF13" s="21" t="n"/>
      <c r="RPG13" s="21" t="n"/>
      <c r="RPH13" s="21" t="n"/>
      <c r="RPI13" s="21" t="n"/>
      <c r="RPJ13" s="21" t="n"/>
      <c r="RPK13" s="21" t="n"/>
      <c r="RPL13" s="21" t="n"/>
      <c r="RPM13" s="21" t="n"/>
      <c r="RPN13" s="21" t="n"/>
      <c r="RPO13" s="21" t="n"/>
      <c r="RPP13" s="21" t="n"/>
      <c r="RPQ13" s="21" t="n"/>
      <c r="RPR13" s="21" t="n"/>
      <c r="RPS13" s="21" t="n"/>
      <c r="RPT13" s="21" t="n"/>
      <c r="RPU13" s="21" t="n"/>
      <c r="RPV13" s="21" t="n"/>
      <c r="RPW13" s="21" t="n"/>
      <c r="RPX13" s="21" t="n"/>
      <c r="RPY13" s="21" t="n"/>
      <c r="RPZ13" s="21" t="n"/>
      <c r="RQA13" s="21" t="n"/>
      <c r="RQB13" s="21" t="n"/>
      <c r="RQC13" s="21" t="n"/>
      <c r="RQD13" s="21" t="n"/>
      <c r="RQE13" s="21" t="n"/>
      <c r="RQF13" s="21" t="n"/>
      <c r="RQG13" s="21" t="n"/>
      <c r="RQH13" s="21" t="n"/>
      <c r="RQI13" s="21" t="n"/>
      <c r="RQJ13" s="21" t="n"/>
      <c r="RQK13" s="21" t="n"/>
      <c r="RQL13" s="21" t="n"/>
      <c r="RQM13" s="21" t="n"/>
      <c r="RQN13" s="21" t="n"/>
      <c r="RQO13" s="21" t="n"/>
      <c r="RQP13" s="21" t="n"/>
      <c r="RQQ13" s="21" t="n"/>
      <c r="RQR13" s="21" t="n"/>
      <c r="RQS13" s="21" t="n"/>
      <c r="RQT13" s="21" t="n"/>
      <c r="RQU13" s="21" t="n"/>
      <c r="RQV13" s="21" t="n"/>
      <c r="RQW13" s="21" t="n"/>
      <c r="RQX13" s="21" t="n"/>
      <c r="RQY13" s="21" t="n"/>
      <c r="RQZ13" s="21" t="n"/>
      <c r="RRA13" s="21" t="n"/>
      <c r="RRB13" s="21" t="n"/>
      <c r="RRC13" s="21" t="n"/>
      <c r="RRD13" s="21" t="n"/>
      <c r="RRE13" s="21" t="n"/>
      <c r="RRF13" s="21" t="n"/>
      <c r="RRG13" s="21" t="n"/>
      <c r="RRH13" s="21" t="n"/>
      <c r="RRI13" s="21" t="n"/>
      <c r="RRJ13" s="21" t="n"/>
      <c r="RRK13" s="21" t="n"/>
      <c r="RRL13" s="21" t="n"/>
      <c r="RRM13" s="21" t="n"/>
      <c r="RRN13" s="21" t="n"/>
      <c r="RRO13" s="21" t="n"/>
      <c r="RRP13" s="21" t="n"/>
      <c r="RRQ13" s="21" t="n"/>
      <c r="RRR13" s="21" t="n"/>
      <c r="RRS13" s="21" t="n"/>
      <c r="RRT13" s="21" t="n"/>
      <c r="RRU13" s="21" t="n"/>
      <c r="RRV13" s="21" t="n"/>
      <c r="RRW13" s="21" t="n"/>
      <c r="RRX13" s="21" t="n"/>
      <c r="RRY13" s="21" t="n"/>
      <c r="RRZ13" s="21" t="n"/>
      <c r="RSA13" s="21" t="n"/>
      <c r="RSB13" s="21" t="n"/>
      <c r="RSC13" s="21" t="n"/>
      <c r="RSD13" s="21" t="n"/>
      <c r="RSE13" s="21" t="n"/>
      <c r="RSF13" s="21" t="n"/>
      <c r="RSG13" s="21" t="n"/>
      <c r="RSH13" s="21" t="n"/>
      <c r="RSI13" s="21" t="n"/>
      <c r="RSJ13" s="21" t="n"/>
      <c r="RSK13" s="21" t="n"/>
      <c r="RSL13" s="21" t="n"/>
      <c r="RSM13" s="21" t="n"/>
      <c r="RSN13" s="21" t="n"/>
      <c r="RSO13" s="21" t="n"/>
      <c r="RSP13" s="21" t="n"/>
      <c r="RSQ13" s="21" t="n"/>
      <c r="RSR13" s="21" t="n"/>
      <c r="RSS13" s="21" t="n"/>
      <c r="RST13" s="21" t="n"/>
      <c r="RSU13" s="21" t="n"/>
      <c r="RSV13" s="21" t="n"/>
      <c r="RSW13" s="21" t="n"/>
      <c r="RSX13" s="21" t="n"/>
      <c r="RSY13" s="21" t="n"/>
      <c r="RSZ13" s="21" t="n"/>
      <c r="RTA13" s="21" t="n"/>
      <c r="RTB13" s="21" t="n"/>
      <c r="RTC13" s="21" t="n"/>
      <c r="RTD13" s="21" t="n"/>
      <c r="RTE13" s="21" t="n"/>
      <c r="RTF13" s="21" t="n"/>
      <c r="RTG13" s="21" t="n"/>
      <c r="RTH13" s="21" t="n"/>
      <c r="RTI13" s="21" t="n"/>
      <c r="RTJ13" s="21" t="n"/>
      <c r="RTK13" s="21" t="n"/>
      <c r="RTL13" s="21" t="n"/>
      <c r="RTM13" s="21" t="n"/>
      <c r="RTN13" s="21" t="n"/>
      <c r="RTO13" s="21" t="n"/>
      <c r="RTP13" s="21" t="n"/>
      <c r="RTQ13" s="21" t="n"/>
      <c r="RTR13" s="21" t="n"/>
      <c r="RTS13" s="21" t="n"/>
      <c r="RTT13" s="21" t="n"/>
      <c r="RTU13" s="21" t="n"/>
      <c r="RTV13" s="21" t="n"/>
      <c r="RTW13" s="21" t="n"/>
      <c r="RTX13" s="21" t="n"/>
      <c r="RTY13" s="21" t="n"/>
      <c r="RTZ13" s="21" t="n"/>
      <c r="RUA13" s="21" t="n"/>
      <c r="RUB13" s="21" t="n"/>
      <c r="RUC13" s="21" t="n"/>
      <c r="RUD13" s="21" t="n"/>
      <c r="RUE13" s="21" t="n"/>
      <c r="RUF13" s="21" t="n"/>
      <c r="RUG13" s="21" t="n"/>
      <c r="RUH13" s="21" t="n"/>
      <c r="RUI13" s="21" t="n"/>
      <c r="RUJ13" s="21" t="n"/>
      <c r="RUK13" s="21" t="n"/>
      <c r="RUL13" s="21" t="n"/>
      <c r="RUM13" s="21" t="n"/>
      <c r="RUN13" s="21" t="n"/>
      <c r="RUO13" s="21" t="n"/>
      <c r="RUP13" s="21" t="n"/>
      <c r="RUQ13" s="21" t="n"/>
      <c r="RUR13" s="21" t="n"/>
      <c r="RUS13" s="21" t="n"/>
      <c r="RUT13" s="21" t="n"/>
      <c r="RUU13" s="21" t="n"/>
      <c r="RUV13" s="21" t="n"/>
      <c r="RUW13" s="21" t="n"/>
      <c r="RUX13" s="21" t="n"/>
      <c r="RUY13" s="21" t="n"/>
      <c r="RUZ13" s="21" t="n"/>
      <c r="RVA13" s="21" t="n"/>
      <c r="RVB13" s="21" t="n"/>
      <c r="RVC13" s="21" t="n"/>
      <c r="RVD13" s="21" t="n"/>
      <c r="RVE13" s="21" t="n"/>
      <c r="RVF13" s="21" t="n"/>
      <c r="RVG13" s="21" t="n"/>
      <c r="RVH13" s="21" t="n"/>
      <c r="RVI13" s="21" t="n"/>
      <c r="RVJ13" s="21" t="n"/>
      <c r="RVK13" s="21" t="n"/>
      <c r="RVL13" s="21" t="n"/>
      <c r="RVM13" s="21" t="n"/>
      <c r="RVN13" s="21" t="n"/>
      <c r="RVO13" s="21" t="n"/>
      <c r="RVP13" s="21" t="n"/>
      <c r="RVQ13" s="21" t="n"/>
      <c r="RVR13" s="21" t="n"/>
      <c r="RVS13" s="21" t="n"/>
      <c r="RVT13" s="21" t="n"/>
      <c r="RVU13" s="21" t="n"/>
      <c r="RVV13" s="21" t="n"/>
      <c r="RVW13" s="21" t="n"/>
      <c r="RVX13" s="21" t="n"/>
      <c r="RVY13" s="21" t="n"/>
      <c r="RVZ13" s="21" t="n"/>
      <c r="RWA13" s="21" t="n"/>
      <c r="RWB13" s="21" t="n"/>
      <c r="RWC13" s="21" t="n"/>
      <c r="RWD13" s="21" t="n"/>
      <c r="RWE13" s="21" t="n"/>
      <c r="RWF13" s="21" t="n"/>
      <c r="RWG13" s="21" t="n"/>
      <c r="RWH13" s="21" t="n"/>
      <c r="RWI13" s="21" t="n"/>
      <c r="RWJ13" s="21" t="n"/>
      <c r="RWK13" s="21" t="n"/>
      <c r="RWL13" s="21" t="n"/>
      <c r="RWM13" s="21" t="n"/>
      <c r="RWN13" s="21" t="n"/>
      <c r="RWO13" s="21" t="n"/>
      <c r="RWP13" s="21" t="n"/>
      <c r="RWQ13" s="21" t="n"/>
      <c r="RWR13" s="21" t="n"/>
      <c r="RWS13" s="21" t="n"/>
      <c r="RWT13" s="21" t="n"/>
      <c r="RWU13" s="21" t="n"/>
      <c r="RWV13" s="21" t="n"/>
      <c r="RWW13" s="21" t="n"/>
      <c r="RWX13" s="21" t="n"/>
      <c r="RWY13" s="21" t="n"/>
      <c r="RWZ13" s="21" t="n"/>
      <c r="RXA13" s="21" t="n"/>
      <c r="RXB13" s="21" t="n"/>
      <c r="RXC13" s="21" t="n"/>
      <c r="RXD13" s="21" t="n"/>
      <c r="RXE13" s="21" t="n"/>
      <c r="RXF13" s="21" t="n"/>
      <c r="RXG13" s="21" t="n"/>
      <c r="RXH13" s="21" t="n"/>
      <c r="RXI13" s="21" t="n"/>
      <c r="RXJ13" s="21" t="n"/>
      <c r="RXK13" s="21" t="n"/>
      <c r="RXL13" s="21" t="n"/>
      <c r="RXM13" s="21" t="n"/>
      <c r="RXN13" s="21" t="n"/>
      <c r="RXO13" s="21" t="n"/>
      <c r="RXP13" s="21" t="n"/>
      <c r="RXQ13" s="21" t="n"/>
      <c r="RXR13" s="21" t="n"/>
      <c r="RXS13" s="21" t="n"/>
      <c r="RXT13" s="21" t="n"/>
      <c r="RXU13" s="21" t="n"/>
      <c r="RXV13" s="21" t="n"/>
      <c r="RXW13" s="21" t="n"/>
      <c r="RXX13" s="21" t="n"/>
      <c r="RXY13" s="21" t="n"/>
      <c r="RXZ13" s="21" t="n"/>
      <c r="RYA13" s="21" t="n"/>
      <c r="RYB13" s="21" t="n"/>
      <c r="RYC13" s="21" t="n"/>
      <c r="RYD13" s="21" t="n"/>
      <c r="RYE13" s="21" t="n"/>
      <c r="RYF13" s="21" t="n"/>
      <c r="RYG13" s="21" t="n"/>
      <c r="RYH13" s="21" t="n"/>
      <c r="RYI13" s="21" t="n"/>
      <c r="RYJ13" s="21" t="n"/>
      <c r="RYK13" s="21" t="n"/>
      <c r="RYL13" s="21" t="n"/>
      <c r="RYM13" s="21" t="n"/>
      <c r="RYN13" s="21" t="n"/>
      <c r="RYO13" s="21" t="n"/>
      <c r="RYP13" s="21" t="n"/>
      <c r="RYQ13" s="21" t="n"/>
      <c r="RYR13" s="21" t="n"/>
      <c r="RYS13" s="21" t="n"/>
      <c r="RYT13" s="21" t="n"/>
      <c r="RYU13" s="21" t="n"/>
      <c r="RYV13" s="21" t="n"/>
      <c r="RYW13" s="21" t="n"/>
      <c r="RYX13" s="21" t="n"/>
      <c r="RYY13" s="21" t="n"/>
      <c r="RYZ13" s="21" t="n"/>
      <c r="RZA13" s="21" t="n"/>
      <c r="RZB13" s="21" t="n"/>
      <c r="RZC13" s="21" t="n"/>
      <c r="RZD13" s="21" t="n"/>
      <c r="RZE13" s="21" t="n"/>
      <c r="RZF13" s="21" t="n"/>
      <c r="RZG13" s="21" t="n"/>
      <c r="RZH13" s="21" t="n"/>
      <c r="RZI13" s="21" t="n"/>
      <c r="RZJ13" s="21" t="n"/>
      <c r="RZK13" s="21" t="n"/>
      <c r="RZL13" s="21" t="n"/>
      <c r="RZM13" s="21" t="n"/>
      <c r="RZN13" s="21" t="n"/>
      <c r="RZO13" s="21" t="n"/>
      <c r="RZP13" s="21" t="n"/>
      <c r="RZQ13" s="21" t="n"/>
      <c r="RZR13" s="21" t="n"/>
      <c r="RZS13" s="21" t="n"/>
      <c r="RZT13" s="21" t="n"/>
      <c r="RZU13" s="21" t="n"/>
      <c r="RZV13" s="21" t="n"/>
      <c r="RZW13" s="21" t="n"/>
      <c r="RZX13" s="21" t="n"/>
      <c r="RZY13" s="21" t="n"/>
      <c r="RZZ13" s="21" t="n"/>
      <c r="SAA13" s="21" t="n"/>
      <c r="SAB13" s="21" t="n"/>
      <c r="SAC13" s="21" t="n"/>
      <c r="SAD13" s="21" t="n"/>
      <c r="SAE13" s="21" t="n"/>
      <c r="SAF13" s="21" t="n"/>
      <c r="SAG13" s="21" t="n"/>
      <c r="SAH13" s="21" t="n"/>
      <c r="SAI13" s="21" t="n"/>
      <c r="SAJ13" s="21" t="n"/>
      <c r="SAK13" s="21" t="n"/>
      <c r="SAL13" s="21" t="n"/>
      <c r="SAM13" s="21" t="n"/>
      <c r="SAN13" s="21" t="n"/>
      <c r="SAO13" s="21" t="n"/>
      <c r="SAP13" s="21" t="n"/>
      <c r="SAQ13" s="21" t="n"/>
      <c r="SAR13" s="21" t="n"/>
      <c r="SAS13" s="21" t="n"/>
      <c r="SAT13" s="21" t="n"/>
      <c r="SAU13" s="21" t="n"/>
      <c r="SAV13" s="21" t="n"/>
      <c r="SAW13" s="21" t="n"/>
      <c r="SAX13" s="21" t="n"/>
      <c r="SAY13" s="21" t="n"/>
      <c r="SAZ13" s="21" t="n"/>
      <c r="SBA13" s="21" t="n"/>
      <c r="SBB13" s="21" t="n"/>
      <c r="SBC13" s="21" t="n"/>
      <c r="SBD13" s="21" t="n"/>
      <c r="SBE13" s="21" t="n"/>
      <c r="SBF13" s="21" t="n"/>
      <c r="SBG13" s="21" t="n"/>
      <c r="SBH13" s="21" t="n"/>
      <c r="SBI13" s="21" t="n"/>
      <c r="SBJ13" s="21" t="n"/>
      <c r="SBK13" s="21" t="n"/>
      <c r="SBL13" s="21" t="n"/>
      <c r="SBM13" s="21" t="n"/>
      <c r="SBN13" s="21" t="n"/>
      <c r="SBO13" s="21" t="n"/>
      <c r="SBP13" s="21" t="n"/>
      <c r="SBQ13" s="21" t="n"/>
      <c r="SBR13" s="21" t="n"/>
      <c r="SBS13" s="21" t="n"/>
      <c r="SBT13" s="21" t="n"/>
      <c r="SBU13" s="21" t="n"/>
      <c r="SBV13" s="21" t="n"/>
      <c r="SBW13" s="21" t="n"/>
      <c r="SBX13" s="21" t="n"/>
      <c r="SBY13" s="21" t="n"/>
      <c r="SBZ13" s="21" t="n"/>
      <c r="SCA13" s="21" t="n"/>
      <c r="SCB13" s="21" t="n"/>
      <c r="SCC13" s="21" t="n"/>
      <c r="SCD13" s="21" t="n"/>
      <c r="SCE13" s="21" t="n"/>
      <c r="SCF13" s="21" t="n"/>
      <c r="SCG13" s="21" t="n"/>
      <c r="SCH13" s="21" t="n"/>
      <c r="SCI13" s="21" t="n"/>
      <c r="SCJ13" s="21" t="n"/>
      <c r="SCK13" s="21" t="n"/>
      <c r="SCL13" s="21" t="n"/>
      <c r="SCM13" s="21" t="n"/>
      <c r="SCN13" s="21" t="n"/>
      <c r="SCO13" s="21" t="n"/>
      <c r="SCP13" s="21" t="n"/>
      <c r="SCQ13" s="21" t="n"/>
      <c r="SCR13" s="21" t="n"/>
      <c r="SCS13" s="21" t="n"/>
      <c r="SCT13" s="21" t="n"/>
      <c r="SCU13" s="21" t="n"/>
      <c r="SCV13" s="21" t="n"/>
      <c r="SCW13" s="21" t="n"/>
      <c r="SCX13" s="21" t="n"/>
      <c r="SCY13" s="21" t="n"/>
      <c r="SCZ13" s="21" t="n"/>
      <c r="SDA13" s="21" t="n"/>
      <c r="SDB13" s="21" t="n"/>
      <c r="SDC13" s="21" t="n"/>
      <c r="SDD13" s="21" t="n"/>
      <c r="SDE13" s="21" t="n"/>
      <c r="SDF13" s="21" t="n"/>
      <c r="SDG13" s="21" t="n"/>
      <c r="SDH13" s="21" t="n"/>
      <c r="SDI13" s="21" t="n"/>
      <c r="SDJ13" s="21" t="n"/>
      <c r="SDK13" s="21" t="n"/>
      <c r="SDL13" s="21" t="n"/>
      <c r="SDM13" s="21" t="n"/>
      <c r="SDN13" s="21" t="n"/>
      <c r="SDO13" s="21" t="n"/>
      <c r="SDP13" s="21" t="n"/>
      <c r="SDQ13" s="21" t="n"/>
      <c r="SDR13" s="21" t="n"/>
      <c r="SDS13" s="21" t="n"/>
      <c r="SDT13" s="21" t="n"/>
      <c r="SDU13" s="21" t="n"/>
      <c r="SDV13" s="21" t="n"/>
      <c r="SDW13" s="21" t="n"/>
      <c r="SDX13" s="21" t="n"/>
      <c r="SDY13" s="21" t="n"/>
      <c r="SDZ13" s="21" t="n"/>
      <c r="SEA13" s="21" t="n"/>
      <c r="SEB13" s="21" t="n"/>
      <c r="SEC13" s="21" t="n"/>
      <c r="SED13" s="21" t="n"/>
      <c r="SEE13" s="21" t="n"/>
      <c r="SEF13" s="21" t="n"/>
      <c r="SEG13" s="21" t="n"/>
      <c r="SEH13" s="21" t="n"/>
      <c r="SEI13" s="21" t="n"/>
      <c r="SEJ13" s="21" t="n"/>
      <c r="SEK13" s="21" t="n"/>
      <c r="SEL13" s="21" t="n"/>
      <c r="SEM13" s="21" t="n"/>
      <c r="SEN13" s="21" t="n"/>
      <c r="SEO13" s="21" t="n"/>
      <c r="SEP13" s="21" t="n"/>
      <c r="SEQ13" s="21" t="n"/>
      <c r="SER13" s="21" t="n"/>
      <c r="SES13" s="21" t="n"/>
      <c r="SET13" s="21" t="n"/>
      <c r="SEU13" s="21" t="n"/>
      <c r="SEV13" s="21" t="n"/>
      <c r="SEW13" s="21" t="n"/>
      <c r="SEX13" s="21" t="n"/>
      <c r="SEY13" s="21" t="n"/>
      <c r="SEZ13" s="21" t="n"/>
      <c r="SFA13" s="21" t="n"/>
      <c r="SFB13" s="21" t="n"/>
      <c r="SFC13" s="21" t="n"/>
      <c r="SFD13" s="21" t="n"/>
      <c r="SFE13" s="21" t="n"/>
      <c r="SFF13" s="21" t="n"/>
      <c r="SFG13" s="21" t="n"/>
      <c r="SFH13" s="21" t="n"/>
      <c r="SFI13" s="21" t="n"/>
      <c r="SFJ13" s="21" t="n"/>
      <c r="SFK13" s="21" t="n"/>
      <c r="SFL13" s="21" t="n"/>
      <c r="SFM13" s="21" t="n"/>
      <c r="SFN13" s="21" t="n"/>
      <c r="SFO13" s="21" t="n"/>
      <c r="SFP13" s="21" t="n"/>
      <c r="SFQ13" s="21" t="n"/>
      <c r="SFR13" s="21" t="n"/>
      <c r="SFS13" s="21" t="n"/>
      <c r="SFT13" s="21" t="n"/>
      <c r="SFU13" s="21" t="n"/>
      <c r="SFV13" s="21" t="n"/>
      <c r="SFW13" s="21" t="n"/>
      <c r="SFX13" s="21" t="n"/>
      <c r="SFY13" s="21" t="n"/>
      <c r="SFZ13" s="21" t="n"/>
      <c r="SGA13" s="21" t="n"/>
      <c r="SGB13" s="21" t="n"/>
      <c r="SGC13" s="21" t="n"/>
      <c r="SGD13" s="21" t="n"/>
      <c r="SGE13" s="21" t="n"/>
      <c r="SGF13" s="21" t="n"/>
      <c r="SGG13" s="21" t="n"/>
      <c r="SGH13" s="21" t="n"/>
      <c r="SGI13" s="21" t="n"/>
      <c r="SGJ13" s="21" t="n"/>
      <c r="SGK13" s="21" t="n"/>
      <c r="SGL13" s="21" t="n"/>
      <c r="SGM13" s="21" t="n"/>
      <c r="SGN13" s="21" t="n"/>
      <c r="SGO13" s="21" t="n"/>
      <c r="SGP13" s="21" t="n"/>
      <c r="SGQ13" s="21" t="n"/>
      <c r="SGR13" s="21" t="n"/>
      <c r="SGS13" s="21" t="n"/>
      <c r="SGT13" s="21" t="n"/>
      <c r="SGU13" s="21" t="n"/>
      <c r="SGV13" s="21" t="n"/>
      <c r="SGW13" s="21" t="n"/>
      <c r="SGX13" s="21" t="n"/>
      <c r="SGY13" s="21" t="n"/>
      <c r="SGZ13" s="21" t="n"/>
      <c r="SHA13" s="21" t="n"/>
      <c r="SHB13" s="21" t="n"/>
      <c r="SHC13" s="21" t="n"/>
      <c r="SHD13" s="21" t="n"/>
      <c r="SHE13" s="21" t="n"/>
      <c r="SHF13" s="21" t="n"/>
      <c r="SHG13" s="21" t="n"/>
      <c r="SHH13" s="21" t="n"/>
      <c r="SHI13" s="21" t="n"/>
      <c r="SHJ13" s="21" t="n"/>
      <c r="SHK13" s="21" t="n"/>
      <c r="SHL13" s="21" t="n"/>
      <c r="SHM13" s="21" t="n"/>
      <c r="SHN13" s="21" t="n"/>
      <c r="SHO13" s="21" t="n"/>
      <c r="SHP13" s="21" t="n"/>
      <c r="SHQ13" s="21" t="n"/>
      <c r="SHR13" s="21" t="n"/>
      <c r="SHS13" s="21" t="n"/>
      <c r="SHT13" s="21" t="n"/>
      <c r="SHU13" s="21" t="n"/>
      <c r="SHV13" s="21" t="n"/>
      <c r="SHW13" s="21" t="n"/>
      <c r="SHX13" s="21" t="n"/>
      <c r="SHY13" s="21" t="n"/>
      <c r="SHZ13" s="21" t="n"/>
      <c r="SIA13" s="21" t="n"/>
      <c r="SIB13" s="21" t="n"/>
      <c r="SIC13" s="21" t="n"/>
      <c r="SID13" s="21" t="n"/>
      <c r="SIE13" s="21" t="n"/>
      <c r="SIF13" s="21" t="n"/>
      <c r="SIG13" s="21" t="n"/>
      <c r="SIH13" s="21" t="n"/>
      <c r="SII13" s="21" t="n"/>
      <c r="SIJ13" s="21" t="n"/>
      <c r="SIK13" s="21" t="n"/>
      <c r="SIL13" s="21" t="n"/>
      <c r="SIM13" s="21" t="n"/>
      <c r="SIN13" s="21" t="n"/>
      <c r="SIO13" s="21" t="n"/>
      <c r="SIP13" s="21" t="n"/>
      <c r="SIQ13" s="21" t="n"/>
      <c r="SIR13" s="21" t="n"/>
      <c r="SIS13" s="21" t="n"/>
      <c r="SIT13" s="21" t="n"/>
      <c r="SIU13" s="21" t="n"/>
      <c r="SIV13" s="21" t="n"/>
      <c r="SIW13" s="21" t="n"/>
      <c r="SIX13" s="21" t="n"/>
      <c r="SIY13" s="21" t="n"/>
      <c r="SIZ13" s="21" t="n"/>
      <c r="SJA13" s="21" t="n"/>
      <c r="SJB13" s="21" t="n"/>
      <c r="SJC13" s="21" t="n"/>
      <c r="SJD13" s="21" t="n"/>
      <c r="SJE13" s="21" t="n"/>
      <c r="SJF13" s="21" t="n"/>
      <c r="SJG13" s="21" t="n"/>
      <c r="SJH13" s="21" t="n"/>
      <c r="SJI13" s="21" t="n"/>
      <c r="SJJ13" s="21" t="n"/>
      <c r="SJK13" s="21" t="n"/>
      <c r="SJL13" s="21" t="n"/>
      <c r="SJM13" s="21" t="n"/>
      <c r="SJN13" s="21" t="n"/>
      <c r="SJO13" s="21" t="n"/>
      <c r="SJP13" s="21" t="n"/>
      <c r="SJQ13" s="21" t="n"/>
      <c r="SJR13" s="21" t="n"/>
      <c r="SJS13" s="21" t="n"/>
      <c r="SJT13" s="21" t="n"/>
      <c r="SJU13" s="21" t="n"/>
      <c r="SJV13" s="21" t="n"/>
      <c r="SJW13" s="21" t="n"/>
      <c r="SJX13" s="21" t="n"/>
      <c r="SJY13" s="21" t="n"/>
      <c r="SJZ13" s="21" t="n"/>
      <c r="SKA13" s="21" t="n"/>
      <c r="SKB13" s="21" t="n"/>
      <c r="SKC13" s="21" t="n"/>
      <c r="SKD13" s="21" t="n"/>
      <c r="SKE13" s="21" t="n"/>
      <c r="SKF13" s="21" t="n"/>
      <c r="SKG13" s="21" t="n"/>
      <c r="SKH13" s="21" t="n"/>
      <c r="SKI13" s="21" t="n"/>
      <c r="SKJ13" s="21" t="n"/>
      <c r="SKK13" s="21" t="n"/>
      <c r="SKL13" s="21" t="n"/>
      <c r="SKM13" s="21" t="n"/>
      <c r="SKN13" s="21" t="n"/>
      <c r="SKO13" s="21" t="n"/>
      <c r="SKP13" s="21" t="n"/>
      <c r="SKQ13" s="21" t="n"/>
      <c r="SKR13" s="21" t="n"/>
      <c r="SKS13" s="21" t="n"/>
      <c r="SKT13" s="21" t="n"/>
      <c r="SKU13" s="21" t="n"/>
      <c r="SKV13" s="21" t="n"/>
      <c r="SKW13" s="21" t="n"/>
      <c r="SKX13" s="21" t="n"/>
      <c r="SKY13" s="21" t="n"/>
      <c r="SKZ13" s="21" t="n"/>
      <c r="SLA13" s="21" t="n"/>
      <c r="SLB13" s="21" t="n"/>
      <c r="SLC13" s="21" t="n"/>
      <c r="SLD13" s="21" t="n"/>
      <c r="SLE13" s="21" t="n"/>
      <c r="SLF13" s="21" t="n"/>
      <c r="SLG13" s="21" t="n"/>
      <c r="SLH13" s="21" t="n"/>
      <c r="SLI13" s="21" t="n"/>
      <c r="SLJ13" s="21" t="n"/>
      <c r="SLK13" s="21" t="n"/>
      <c r="SLL13" s="21" t="n"/>
      <c r="SLM13" s="21" t="n"/>
      <c r="SLN13" s="21" t="n"/>
      <c r="SLO13" s="21" t="n"/>
      <c r="SLP13" s="21" t="n"/>
      <c r="SLQ13" s="21" t="n"/>
      <c r="SLR13" s="21" t="n"/>
      <c r="SLS13" s="21" t="n"/>
      <c r="SLT13" s="21" t="n"/>
      <c r="SLU13" s="21" t="n"/>
      <c r="SLV13" s="21" t="n"/>
      <c r="SLW13" s="21" t="n"/>
      <c r="SLX13" s="21" t="n"/>
      <c r="SLY13" s="21" t="n"/>
      <c r="SLZ13" s="21" t="n"/>
      <c r="SMA13" s="21" t="n"/>
      <c r="SMB13" s="21" t="n"/>
      <c r="SMC13" s="21" t="n"/>
      <c r="SMD13" s="21" t="n"/>
      <c r="SME13" s="21" t="n"/>
      <c r="SMF13" s="21" t="n"/>
      <c r="SMG13" s="21" t="n"/>
      <c r="SMH13" s="21" t="n"/>
      <c r="SMI13" s="21" t="n"/>
      <c r="SMJ13" s="21" t="n"/>
      <c r="SMK13" s="21" t="n"/>
      <c r="SML13" s="21" t="n"/>
      <c r="SMM13" s="21" t="n"/>
      <c r="SMN13" s="21" t="n"/>
      <c r="SMO13" s="21" t="n"/>
      <c r="SMP13" s="21" t="n"/>
      <c r="SMQ13" s="21" t="n"/>
      <c r="SMR13" s="21" t="n"/>
      <c r="SMS13" s="21" t="n"/>
      <c r="SMT13" s="21" t="n"/>
      <c r="SMU13" s="21" t="n"/>
      <c r="SMV13" s="21" t="n"/>
      <c r="SMW13" s="21" t="n"/>
      <c r="SMX13" s="21" t="n"/>
      <c r="SMY13" s="21" t="n"/>
      <c r="SMZ13" s="21" t="n"/>
      <c r="SNA13" s="21" t="n"/>
      <c r="SNB13" s="21" t="n"/>
      <c r="SNC13" s="21" t="n"/>
      <c r="SND13" s="21" t="n"/>
      <c r="SNE13" s="21" t="n"/>
      <c r="SNF13" s="21" t="n"/>
      <c r="SNG13" s="21" t="n"/>
      <c r="SNH13" s="21" t="n"/>
      <c r="SNI13" s="21" t="n"/>
      <c r="SNJ13" s="21" t="n"/>
      <c r="SNK13" s="21" t="n"/>
      <c r="SNL13" s="21" t="n"/>
      <c r="SNM13" s="21" t="n"/>
      <c r="SNN13" s="21" t="n"/>
      <c r="SNO13" s="21" t="n"/>
      <c r="SNP13" s="21" t="n"/>
      <c r="SNQ13" s="21" t="n"/>
      <c r="SNR13" s="21" t="n"/>
      <c r="SNS13" s="21" t="n"/>
      <c r="SNT13" s="21" t="n"/>
      <c r="SNU13" s="21" t="n"/>
      <c r="SNV13" s="21" t="n"/>
      <c r="SNW13" s="21" t="n"/>
      <c r="SNX13" s="21" t="n"/>
      <c r="SNY13" s="21" t="n"/>
      <c r="SNZ13" s="21" t="n"/>
      <c r="SOA13" s="21" t="n"/>
      <c r="SOB13" s="21" t="n"/>
      <c r="SOC13" s="21" t="n"/>
      <c r="SOD13" s="21" t="n"/>
      <c r="SOE13" s="21" t="n"/>
      <c r="SOF13" s="21" t="n"/>
      <c r="SOG13" s="21" t="n"/>
      <c r="SOH13" s="21" t="n"/>
      <c r="SOI13" s="21" t="n"/>
      <c r="SOJ13" s="21" t="n"/>
      <c r="SOK13" s="21" t="n"/>
      <c r="SOL13" s="21" t="n"/>
      <c r="SOM13" s="21" t="n"/>
      <c r="SON13" s="21" t="n"/>
      <c r="SOO13" s="21" t="n"/>
      <c r="SOP13" s="21" t="n"/>
      <c r="SOQ13" s="21" t="n"/>
      <c r="SOR13" s="21" t="n"/>
      <c r="SOS13" s="21" t="n"/>
      <c r="SOT13" s="21" t="n"/>
      <c r="SOU13" s="21" t="n"/>
      <c r="SOV13" s="21" t="n"/>
      <c r="SOW13" s="21" t="n"/>
      <c r="SOX13" s="21" t="n"/>
      <c r="SOY13" s="21" t="n"/>
      <c r="SOZ13" s="21" t="n"/>
      <c r="SPA13" s="21" t="n"/>
      <c r="SPB13" s="21" t="n"/>
      <c r="SPC13" s="21" t="n"/>
      <c r="SPD13" s="21" t="n"/>
      <c r="SPE13" s="21" t="n"/>
      <c r="SPF13" s="21" t="n"/>
      <c r="SPG13" s="21" t="n"/>
      <c r="SPH13" s="21" t="n"/>
      <c r="SPI13" s="21" t="n"/>
      <c r="SPJ13" s="21" t="n"/>
      <c r="SPK13" s="21" t="n"/>
      <c r="SPL13" s="21" t="n"/>
      <c r="SPM13" s="21" t="n"/>
      <c r="SPN13" s="21" t="n"/>
      <c r="SPO13" s="21" t="n"/>
      <c r="SPP13" s="21" t="n"/>
      <c r="SPQ13" s="21" t="n"/>
      <c r="SPR13" s="21" t="n"/>
      <c r="SPS13" s="21" t="n"/>
      <c r="SPT13" s="21" t="n"/>
      <c r="SPU13" s="21" t="n"/>
      <c r="SPV13" s="21" t="n"/>
      <c r="SPW13" s="21" t="n"/>
      <c r="SPX13" s="21" t="n"/>
      <c r="SPY13" s="21" t="n"/>
      <c r="SPZ13" s="21" t="n"/>
      <c r="SQA13" s="21" t="n"/>
      <c r="SQB13" s="21" t="n"/>
      <c r="SQC13" s="21" t="n"/>
      <c r="SQD13" s="21" t="n"/>
      <c r="SQE13" s="21" t="n"/>
      <c r="SQF13" s="21" t="n"/>
      <c r="SQG13" s="21" t="n"/>
      <c r="SQH13" s="21" t="n"/>
      <c r="SQI13" s="21" t="n"/>
      <c r="SQJ13" s="21" t="n"/>
      <c r="SQK13" s="21" t="n"/>
      <c r="SQL13" s="21" t="n"/>
      <c r="SQM13" s="21" t="n"/>
      <c r="SQN13" s="21" t="n"/>
      <c r="SQO13" s="21" t="n"/>
      <c r="SQP13" s="21" t="n"/>
      <c r="SQQ13" s="21" t="n"/>
      <c r="SQR13" s="21" t="n"/>
      <c r="SQS13" s="21" t="n"/>
      <c r="SQT13" s="21" t="n"/>
      <c r="SQU13" s="21" t="n"/>
      <c r="SQV13" s="21" t="n"/>
      <c r="SQW13" s="21" t="n"/>
      <c r="SQX13" s="21" t="n"/>
      <c r="SQY13" s="21" t="n"/>
      <c r="SQZ13" s="21" t="n"/>
      <c r="SRA13" s="21" t="n"/>
      <c r="SRB13" s="21" t="n"/>
      <c r="SRC13" s="21" t="n"/>
      <c r="SRD13" s="21" t="n"/>
      <c r="SRE13" s="21" t="n"/>
      <c r="SRF13" s="21" t="n"/>
      <c r="SRG13" s="21" t="n"/>
      <c r="SRH13" s="21" t="n"/>
      <c r="SRI13" s="21" t="n"/>
      <c r="SRJ13" s="21" t="n"/>
      <c r="SRK13" s="21" t="n"/>
      <c r="SRL13" s="21" t="n"/>
      <c r="SRM13" s="21" t="n"/>
      <c r="SRN13" s="21" t="n"/>
      <c r="SRO13" s="21" t="n"/>
      <c r="SRP13" s="21" t="n"/>
      <c r="SRQ13" s="21" t="n"/>
      <c r="SRR13" s="21" t="n"/>
      <c r="SRS13" s="21" t="n"/>
      <c r="SRT13" s="21" t="n"/>
      <c r="SRU13" s="21" t="n"/>
      <c r="SRV13" s="21" t="n"/>
      <c r="SRW13" s="21" t="n"/>
      <c r="SRX13" s="21" t="n"/>
      <c r="SRY13" s="21" t="n"/>
      <c r="SRZ13" s="21" t="n"/>
      <c r="SSA13" s="21" t="n"/>
      <c r="SSB13" s="21" t="n"/>
      <c r="SSC13" s="21" t="n"/>
      <c r="SSD13" s="21" t="n"/>
      <c r="SSE13" s="21" t="n"/>
      <c r="SSF13" s="21" t="n"/>
      <c r="SSG13" s="21" t="n"/>
      <c r="SSH13" s="21" t="n"/>
      <c r="SSI13" s="21" t="n"/>
      <c r="SSJ13" s="21" t="n"/>
      <c r="SSK13" s="21" t="n"/>
      <c r="SSL13" s="21" t="n"/>
      <c r="SSM13" s="21" t="n"/>
      <c r="SSN13" s="21" t="n"/>
      <c r="SSO13" s="21" t="n"/>
      <c r="SSP13" s="21" t="n"/>
      <c r="SSQ13" s="21" t="n"/>
      <c r="SSR13" s="21" t="n"/>
      <c r="SSS13" s="21" t="n"/>
      <c r="SST13" s="21" t="n"/>
      <c r="SSU13" s="21" t="n"/>
      <c r="SSV13" s="21" t="n"/>
      <c r="SSW13" s="21" t="n"/>
      <c r="SSX13" s="21" t="n"/>
      <c r="SSY13" s="21" t="n"/>
      <c r="SSZ13" s="21" t="n"/>
      <c r="STA13" s="21" t="n"/>
      <c r="STB13" s="21" t="n"/>
      <c r="STC13" s="21" t="n"/>
      <c r="STD13" s="21" t="n"/>
      <c r="STE13" s="21" t="n"/>
      <c r="STF13" s="21" t="n"/>
      <c r="STG13" s="21" t="n"/>
      <c r="STH13" s="21" t="n"/>
      <c r="STI13" s="21" t="n"/>
      <c r="STJ13" s="21" t="n"/>
      <c r="STK13" s="21" t="n"/>
      <c r="STL13" s="21" t="n"/>
      <c r="STM13" s="21" t="n"/>
      <c r="STN13" s="21" t="n"/>
      <c r="STO13" s="21" t="n"/>
      <c r="STP13" s="21" t="n"/>
      <c r="STQ13" s="21" t="n"/>
      <c r="STR13" s="21" t="n"/>
      <c r="STS13" s="21" t="n"/>
      <c r="STT13" s="21" t="n"/>
      <c r="STU13" s="21" t="n"/>
      <c r="STV13" s="21" t="n"/>
      <c r="STW13" s="21" t="n"/>
      <c r="STX13" s="21" t="n"/>
      <c r="STY13" s="21" t="n"/>
      <c r="STZ13" s="21" t="n"/>
      <c r="SUA13" s="21" t="n"/>
      <c r="SUB13" s="21" t="n"/>
      <c r="SUC13" s="21" t="n"/>
      <c r="SUD13" s="21" t="n"/>
      <c r="SUE13" s="21" t="n"/>
      <c r="SUF13" s="21" t="n"/>
      <c r="SUG13" s="21" t="n"/>
      <c r="SUH13" s="21" t="n"/>
      <c r="SUI13" s="21" t="n"/>
      <c r="SUJ13" s="21" t="n"/>
      <c r="SUK13" s="21" t="n"/>
      <c r="SUL13" s="21" t="n"/>
      <c r="SUM13" s="21" t="n"/>
      <c r="SUN13" s="21" t="n"/>
      <c r="SUO13" s="21" t="n"/>
      <c r="SUP13" s="21" t="n"/>
      <c r="SUQ13" s="21" t="n"/>
      <c r="SUR13" s="21" t="n"/>
      <c r="SUS13" s="21" t="n"/>
      <c r="SUT13" s="21" t="n"/>
      <c r="SUU13" s="21" t="n"/>
      <c r="SUV13" s="21" t="n"/>
      <c r="SUW13" s="21" t="n"/>
      <c r="SUX13" s="21" t="n"/>
      <c r="SUY13" s="21" t="n"/>
      <c r="SUZ13" s="21" t="n"/>
      <c r="SVA13" s="21" t="n"/>
      <c r="SVB13" s="21" t="n"/>
      <c r="SVC13" s="21" t="n"/>
      <c r="SVD13" s="21" t="n"/>
      <c r="SVE13" s="21" t="n"/>
      <c r="SVF13" s="21" t="n"/>
      <c r="SVG13" s="21" t="n"/>
      <c r="SVH13" s="21" t="n"/>
      <c r="SVI13" s="21" t="n"/>
      <c r="SVJ13" s="21" t="n"/>
      <c r="SVK13" s="21" t="n"/>
      <c r="SVL13" s="21" t="n"/>
      <c r="SVM13" s="21" t="n"/>
      <c r="SVN13" s="21" t="n"/>
      <c r="SVO13" s="21" t="n"/>
      <c r="SVP13" s="21" t="n"/>
      <c r="SVQ13" s="21" t="n"/>
      <c r="SVR13" s="21" t="n"/>
      <c r="SVS13" s="21" t="n"/>
      <c r="SVT13" s="21" t="n"/>
      <c r="SVU13" s="21" t="n"/>
      <c r="SVV13" s="21" t="n"/>
      <c r="SVW13" s="21" t="n"/>
      <c r="SVX13" s="21" t="n"/>
      <c r="SVY13" s="21" t="n"/>
      <c r="SVZ13" s="21" t="n"/>
      <c r="SWA13" s="21" t="n"/>
      <c r="SWB13" s="21" t="n"/>
      <c r="SWC13" s="21" t="n"/>
      <c r="SWD13" s="21" t="n"/>
      <c r="SWE13" s="21" t="n"/>
      <c r="SWF13" s="21" t="n"/>
      <c r="SWG13" s="21" t="n"/>
      <c r="SWH13" s="21" t="n"/>
      <c r="SWI13" s="21" t="n"/>
      <c r="SWJ13" s="21" t="n"/>
      <c r="SWK13" s="21" t="n"/>
      <c r="SWL13" s="21" t="n"/>
      <c r="SWM13" s="21" t="n"/>
      <c r="SWN13" s="21" t="n"/>
      <c r="SWO13" s="21" t="n"/>
      <c r="SWP13" s="21" t="n"/>
      <c r="SWQ13" s="21" t="n"/>
      <c r="SWR13" s="21" t="n"/>
      <c r="SWS13" s="21" t="n"/>
      <c r="SWT13" s="21" t="n"/>
      <c r="SWU13" s="21" t="n"/>
      <c r="SWV13" s="21" t="n"/>
      <c r="SWW13" s="21" t="n"/>
      <c r="SWX13" s="21" t="n"/>
      <c r="SWY13" s="21" t="n"/>
      <c r="SWZ13" s="21" t="n"/>
      <c r="SXA13" s="21" t="n"/>
      <c r="SXB13" s="21" t="n"/>
      <c r="SXC13" s="21" t="n"/>
      <c r="SXD13" s="21" t="n"/>
      <c r="SXE13" s="21" t="n"/>
      <c r="SXF13" s="21" t="n"/>
      <c r="SXG13" s="21" t="n"/>
      <c r="SXH13" s="21" t="n"/>
      <c r="SXI13" s="21" t="n"/>
      <c r="SXJ13" s="21" t="n"/>
      <c r="SXK13" s="21" t="n"/>
      <c r="SXL13" s="21" t="n"/>
      <c r="SXM13" s="21" t="n"/>
      <c r="SXN13" s="21" t="n"/>
      <c r="SXO13" s="21" t="n"/>
      <c r="SXP13" s="21" t="n"/>
      <c r="SXQ13" s="21" t="n"/>
      <c r="SXR13" s="21" t="n"/>
      <c r="SXS13" s="21" t="n"/>
      <c r="SXT13" s="21" t="n"/>
      <c r="SXU13" s="21" t="n"/>
      <c r="SXV13" s="21" t="n"/>
      <c r="SXW13" s="21" t="n"/>
      <c r="SXX13" s="21" t="n"/>
      <c r="SXY13" s="21" t="n"/>
      <c r="SXZ13" s="21" t="n"/>
      <c r="SYA13" s="21" t="n"/>
      <c r="SYB13" s="21" t="n"/>
      <c r="SYC13" s="21" t="n"/>
      <c r="SYD13" s="21" t="n"/>
      <c r="SYE13" s="21" t="n"/>
      <c r="SYF13" s="21" t="n"/>
      <c r="SYG13" s="21" t="n"/>
      <c r="SYH13" s="21" t="n"/>
      <c r="SYI13" s="21" t="n"/>
      <c r="SYJ13" s="21" t="n"/>
      <c r="SYK13" s="21" t="n"/>
      <c r="SYL13" s="21" t="n"/>
      <c r="SYM13" s="21" t="n"/>
      <c r="SYN13" s="21" t="n"/>
      <c r="SYO13" s="21" t="n"/>
      <c r="SYP13" s="21" t="n"/>
      <c r="SYQ13" s="21" t="n"/>
      <c r="SYR13" s="21" t="n"/>
      <c r="SYS13" s="21" t="n"/>
      <c r="SYT13" s="21" t="n"/>
      <c r="SYU13" s="21" t="n"/>
      <c r="SYV13" s="21" t="n"/>
      <c r="SYW13" s="21" t="n"/>
      <c r="SYX13" s="21" t="n"/>
      <c r="SYY13" s="21" t="n"/>
      <c r="SYZ13" s="21" t="n"/>
      <c r="SZA13" s="21" t="n"/>
      <c r="SZB13" s="21" t="n"/>
      <c r="SZC13" s="21" t="n"/>
      <c r="SZD13" s="21" t="n"/>
      <c r="SZE13" s="21" t="n"/>
      <c r="SZF13" s="21" t="n"/>
      <c r="SZG13" s="21" t="n"/>
      <c r="SZH13" s="21" t="n"/>
      <c r="SZI13" s="21" t="n"/>
      <c r="SZJ13" s="21" t="n"/>
      <c r="SZK13" s="21" t="n"/>
      <c r="SZL13" s="21" t="n"/>
      <c r="SZM13" s="21" t="n"/>
      <c r="SZN13" s="21" t="n"/>
      <c r="SZO13" s="21" t="n"/>
      <c r="SZP13" s="21" t="n"/>
      <c r="SZQ13" s="21" t="n"/>
      <c r="SZR13" s="21" t="n"/>
      <c r="SZS13" s="21" t="n"/>
      <c r="SZT13" s="21" t="n"/>
      <c r="SZU13" s="21" t="n"/>
      <c r="SZV13" s="21" t="n"/>
      <c r="SZW13" s="21" t="n"/>
      <c r="SZX13" s="21" t="n"/>
      <c r="SZY13" s="21" t="n"/>
      <c r="SZZ13" s="21" t="n"/>
      <c r="TAA13" s="21" t="n"/>
      <c r="TAB13" s="21" t="n"/>
      <c r="TAC13" s="21" t="n"/>
      <c r="TAD13" s="21" t="n"/>
      <c r="TAE13" s="21" t="n"/>
      <c r="TAF13" s="21" t="n"/>
      <c r="TAG13" s="21" t="n"/>
      <c r="TAH13" s="21" t="n"/>
      <c r="TAI13" s="21" t="n"/>
      <c r="TAJ13" s="21" t="n"/>
      <c r="TAK13" s="21" t="n"/>
      <c r="TAL13" s="21" t="n"/>
      <c r="TAM13" s="21" t="n"/>
      <c r="TAN13" s="21" t="n"/>
      <c r="TAO13" s="21" t="n"/>
      <c r="TAP13" s="21" t="n"/>
      <c r="TAQ13" s="21" t="n"/>
      <c r="TAR13" s="21" t="n"/>
      <c r="TAS13" s="21" t="n"/>
      <c r="TAT13" s="21" t="n"/>
      <c r="TAU13" s="21" t="n"/>
      <c r="TAV13" s="21" t="n"/>
      <c r="TAW13" s="21" t="n"/>
      <c r="TAX13" s="21" t="n"/>
      <c r="TAY13" s="21" t="n"/>
      <c r="TAZ13" s="21" t="n"/>
      <c r="TBA13" s="21" t="n"/>
      <c r="TBB13" s="21" t="n"/>
      <c r="TBC13" s="21" t="n"/>
      <c r="TBD13" s="21" t="n"/>
      <c r="TBE13" s="21" t="n"/>
      <c r="TBF13" s="21" t="n"/>
      <c r="TBG13" s="21" t="n"/>
      <c r="TBH13" s="21" t="n"/>
      <c r="TBI13" s="21" t="n"/>
      <c r="TBJ13" s="21" t="n"/>
      <c r="TBK13" s="21" t="n"/>
      <c r="TBL13" s="21" t="n"/>
      <c r="TBM13" s="21" t="n"/>
      <c r="TBN13" s="21" t="n"/>
      <c r="TBO13" s="21" t="n"/>
      <c r="TBP13" s="21" t="n"/>
      <c r="TBQ13" s="21" t="n"/>
      <c r="TBR13" s="21" t="n"/>
      <c r="TBS13" s="21" t="n"/>
      <c r="TBT13" s="21" t="n"/>
      <c r="TBU13" s="21" t="n"/>
      <c r="TBV13" s="21" t="n"/>
      <c r="TBW13" s="21" t="n"/>
      <c r="TBX13" s="21" t="n"/>
      <c r="TBY13" s="21" t="n"/>
      <c r="TBZ13" s="21" t="n"/>
      <c r="TCA13" s="21" t="n"/>
      <c r="TCB13" s="21" t="n"/>
      <c r="TCC13" s="21" t="n"/>
      <c r="TCD13" s="21" t="n"/>
      <c r="TCE13" s="21" t="n"/>
      <c r="TCF13" s="21" t="n"/>
      <c r="TCG13" s="21" t="n"/>
      <c r="TCH13" s="21" t="n"/>
      <c r="TCI13" s="21" t="n"/>
      <c r="TCJ13" s="21" t="n"/>
      <c r="TCK13" s="21" t="n"/>
      <c r="TCL13" s="21" t="n"/>
      <c r="TCM13" s="21" t="n"/>
      <c r="TCN13" s="21" t="n"/>
      <c r="TCO13" s="21" t="n"/>
      <c r="TCP13" s="21" t="n"/>
      <c r="TCQ13" s="21" t="n"/>
      <c r="TCR13" s="21" t="n"/>
      <c r="TCS13" s="21" t="n"/>
      <c r="TCT13" s="21" t="n"/>
      <c r="TCU13" s="21" t="n"/>
      <c r="TCV13" s="21" t="n"/>
      <c r="TCW13" s="21" t="n"/>
      <c r="TCX13" s="21" t="n"/>
      <c r="TCY13" s="21" t="n"/>
      <c r="TCZ13" s="21" t="n"/>
      <c r="TDA13" s="21" t="n"/>
      <c r="TDB13" s="21" t="n"/>
      <c r="TDC13" s="21" t="n"/>
      <c r="TDD13" s="21" t="n"/>
      <c r="TDE13" s="21" t="n"/>
      <c r="TDF13" s="21" t="n"/>
      <c r="TDG13" s="21" t="n"/>
      <c r="TDH13" s="21" t="n"/>
      <c r="TDI13" s="21" t="n"/>
      <c r="TDJ13" s="21" t="n"/>
      <c r="TDK13" s="21" t="n"/>
      <c r="TDL13" s="21" t="n"/>
      <c r="TDM13" s="21" t="n"/>
      <c r="TDN13" s="21" t="n"/>
      <c r="TDO13" s="21" t="n"/>
      <c r="TDP13" s="21" t="n"/>
      <c r="TDQ13" s="21" t="n"/>
      <c r="TDR13" s="21" t="n"/>
      <c r="TDS13" s="21" t="n"/>
      <c r="TDT13" s="21" t="n"/>
      <c r="TDU13" s="21" t="n"/>
      <c r="TDV13" s="21" t="n"/>
      <c r="TDW13" s="21" t="n"/>
      <c r="TDX13" s="21" t="n"/>
      <c r="TDY13" s="21" t="n"/>
      <c r="TDZ13" s="21" t="n"/>
      <c r="TEA13" s="21" t="n"/>
      <c r="TEB13" s="21" t="n"/>
      <c r="TEC13" s="21" t="n"/>
      <c r="TED13" s="21" t="n"/>
      <c r="TEE13" s="21" t="n"/>
      <c r="TEF13" s="21" t="n"/>
      <c r="TEG13" s="21" t="n"/>
      <c r="TEH13" s="21" t="n"/>
      <c r="TEI13" s="21" t="n"/>
      <c r="TEJ13" s="21" t="n"/>
      <c r="TEK13" s="21" t="n"/>
      <c r="TEL13" s="21" t="n"/>
      <c r="TEM13" s="21" t="n"/>
      <c r="TEN13" s="21" t="n"/>
      <c r="TEO13" s="21" t="n"/>
      <c r="TEP13" s="21" t="n"/>
      <c r="TEQ13" s="21" t="n"/>
      <c r="TER13" s="21" t="n"/>
      <c r="TES13" s="21" t="n"/>
      <c r="TET13" s="21" t="n"/>
      <c r="TEU13" s="21" t="n"/>
      <c r="TEV13" s="21" t="n"/>
      <c r="TEW13" s="21" t="n"/>
      <c r="TEX13" s="21" t="n"/>
      <c r="TEY13" s="21" t="n"/>
      <c r="TEZ13" s="21" t="n"/>
      <c r="TFA13" s="21" t="n"/>
      <c r="TFB13" s="21" t="n"/>
      <c r="TFC13" s="21" t="n"/>
      <c r="TFD13" s="21" t="n"/>
      <c r="TFE13" s="21" t="n"/>
      <c r="TFF13" s="21" t="n"/>
      <c r="TFG13" s="21" t="n"/>
      <c r="TFH13" s="21" t="n"/>
      <c r="TFI13" s="21" t="n"/>
      <c r="TFJ13" s="21" t="n"/>
      <c r="TFK13" s="21" t="n"/>
      <c r="TFL13" s="21" t="n"/>
      <c r="TFM13" s="21" t="n"/>
      <c r="TFN13" s="21" t="n"/>
      <c r="TFO13" s="21" t="n"/>
      <c r="TFP13" s="21" t="n"/>
      <c r="TFQ13" s="21" t="n"/>
      <c r="TFR13" s="21" t="n"/>
      <c r="TFS13" s="21" t="n"/>
      <c r="TFT13" s="21" t="n"/>
      <c r="TFU13" s="21" t="n"/>
      <c r="TFV13" s="21" t="n"/>
      <c r="TFW13" s="21" t="n"/>
      <c r="TFX13" s="21" t="n"/>
      <c r="TFY13" s="21" t="n"/>
      <c r="TFZ13" s="21" t="n"/>
      <c r="TGA13" s="21" t="n"/>
      <c r="TGB13" s="21" t="n"/>
      <c r="TGC13" s="21" t="n"/>
      <c r="TGD13" s="21" t="n"/>
      <c r="TGE13" s="21" t="n"/>
      <c r="TGF13" s="21" t="n"/>
      <c r="TGG13" s="21" t="n"/>
      <c r="TGH13" s="21" t="n"/>
      <c r="TGI13" s="21" t="n"/>
      <c r="TGJ13" s="21" t="n"/>
      <c r="TGK13" s="21" t="n"/>
      <c r="TGL13" s="21" t="n"/>
      <c r="TGM13" s="21" t="n"/>
      <c r="TGN13" s="21" t="n"/>
      <c r="TGO13" s="21" t="n"/>
      <c r="TGP13" s="21" t="n"/>
      <c r="TGQ13" s="21" t="n"/>
      <c r="TGR13" s="21" t="n"/>
      <c r="TGS13" s="21" t="n"/>
      <c r="TGT13" s="21" t="n"/>
      <c r="TGU13" s="21" t="n"/>
      <c r="TGV13" s="21" t="n"/>
      <c r="TGW13" s="21" t="n"/>
      <c r="TGX13" s="21" t="n"/>
      <c r="TGY13" s="21" t="n"/>
      <c r="TGZ13" s="21" t="n"/>
      <c r="THA13" s="21" t="n"/>
      <c r="THB13" s="21" t="n"/>
      <c r="THC13" s="21" t="n"/>
      <c r="THD13" s="21" t="n"/>
      <c r="THE13" s="21" t="n"/>
      <c r="THF13" s="21" t="n"/>
      <c r="THG13" s="21" t="n"/>
      <c r="THH13" s="21" t="n"/>
      <c r="THI13" s="21" t="n"/>
      <c r="THJ13" s="21" t="n"/>
      <c r="THK13" s="21" t="n"/>
      <c r="THL13" s="21" t="n"/>
      <c r="THM13" s="21" t="n"/>
      <c r="THN13" s="21" t="n"/>
      <c r="THO13" s="21" t="n"/>
      <c r="THP13" s="21" t="n"/>
      <c r="THQ13" s="21" t="n"/>
      <c r="THR13" s="21" t="n"/>
      <c r="THS13" s="21" t="n"/>
      <c r="THT13" s="21" t="n"/>
      <c r="THU13" s="21" t="n"/>
      <c r="THV13" s="21" t="n"/>
      <c r="THW13" s="21" t="n"/>
      <c r="THX13" s="21" t="n"/>
      <c r="THY13" s="21" t="n"/>
      <c r="THZ13" s="21" t="n"/>
      <c r="TIA13" s="21" t="n"/>
      <c r="TIB13" s="21" t="n"/>
      <c r="TIC13" s="21" t="n"/>
      <c r="TID13" s="21" t="n"/>
      <c r="TIE13" s="21" t="n"/>
      <c r="TIF13" s="21" t="n"/>
      <c r="TIG13" s="21" t="n"/>
      <c r="TIH13" s="21" t="n"/>
      <c r="TII13" s="21" t="n"/>
      <c r="TIJ13" s="21" t="n"/>
      <c r="TIK13" s="21" t="n"/>
      <c r="TIL13" s="21" t="n"/>
      <c r="TIM13" s="21" t="n"/>
      <c r="TIN13" s="21" t="n"/>
      <c r="TIO13" s="21" t="n"/>
      <c r="TIP13" s="21" t="n"/>
      <c r="TIQ13" s="21" t="n"/>
      <c r="TIR13" s="21" t="n"/>
      <c r="TIS13" s="21" t="n"/>
      <c r="TIT13" s="21" t="n"/>
      <c r="TIU13" s="21" t="n"/>
      <c r="TIV13" s="21" t="n"/>
      <c r="TIW13" s="21" t="n"/>
      <c r="TIX13" s="21" t="n"/>
      <c r="TIY13" s="21" t="n"/>
      <c r="TIZ13" s="21" t="n"/>
      <c r="TJA13" s="21" t="n"/>
      <c r="TJB13" s="21" t="n"/>
      <c r="TJC13" s="21" t="n"/>
      <c r="TJD13" s="21" t="n"/>
      <c r="TJE13" s="21" t="n"/>
      <c r="TJF13" s="21" t="n"/>
      <c r="TJG13" s="21" t="n"/>
      <c r="TJH13" s="21" t="n"/>
      <c r="TJI13" s="21" t="n"/>
      <c r="TJJ13" s="21" t="n"/>
      <c r="TJK13" s="21" t="n"/>
      <c r="TJL13" s="21" t="n"/>
      <c r="TJM13" s="21" t="n"/>
      <c r="TJN13" s="21" t="n"/>
      <c r="TJO13" s="21" t="n"/>
      <c r="TJP13" s="21" t="n"/>
      <c r="TJQ13" s="21" t="n"/>
      <c r="TJR13" s="21" t="n"/>
      <c r="TJS13" s="21" t="n"/>
      <c r="TJT13" s="21" t="n"/>
      <c r="TJU13" s="21" t="n"/>
      <c r="TJV13" s="21" t="n"/>
      <c r="TJW13" s="21" t="n"/>
      <c r="TJX13" s="21" t="n"/>
      <c r="TJY13" s="21" t="n"/>
      <c r="TJZ13" s="21" t="n"/>
      <c r="TKA13" s="21" t="n"/>
      <c r="TKB13" s="21" t="n"/>
      <c r="TKC13" s="21" t="n"/>
      <c r="TKD13" s="21" t="n"/>
      <c r="TKE13" s="21" t="n"/>
      <c r="TKF13" s="21" t="n"/>
      <c r="TKG13" s="21" t="n"/>
      <c r="TKH13" s="21" t="n"/>
      <c r="TKI13" s="21" t="n"/>
      <c r="TKJ13" s="21" t="n"/>
      <c r="TKK13" s="21" t="n"/>
      <c r="TKL13" s="21" t="n"/>
      <c r="TKM13" s="21" t="n"/>
      <c r="TKN13" s="21" t="n"/>
      <c r="TKO13" s="21" t="n"/>
      <c r="TKP13" s="21" t="n"/>
      <c r="TKQ13" s="21" t="n"/>
      <c r="TKR13" s="21" t="n"/>
      <c r="TKS13" s="21" t="n"/>
      <c r="TKT13" s="21" t="n"/>
      <c r="TKU13" s="21" t="n"/>
      <c r="TKV13" s="21" t="n"/>
      <c r="TKW13" s="21" t="n"/>
      <c r="TKX13" s="21" t="n"/>
      <c r="TKY13" s="21" t="n"/>
      <c r="TKZ13" s="21" t="n"/>
      <c r="TLA13" s="21" t="n"/>
      <c r="TLB13" s="21" t="n"/>
      <c r="TLC13" s="21" t="n"/>
      <c r="TLD13" s="21" t="n"/>
      <c r="TLE13" s="21" t="n"/>
      <c r="TLF13" s="21" t="n"/>
      <c r="TLG13" s="21" t="n"/>
      <c r="TLH13" s="21" t="n"/>
      <c r="TLI13" s="21" t="n"/>
      <c r="TLJ13" s="21" t="n"/>
      <c r="TLK13" s="21" t="n"/>
      <c r="TLL13" s="21" t="n"/>
      <c r="TLM13" s="21" t="n"/>
      <c r="TLN13" s="21" t="n"/>
      <c r="TLO13" s="21" t="n"/>
      <c r="TLP13" s="21" t="n"/>
      <c r="TLQ13" s="21" t="n"/>
      <c r="TLR13" s="21" t="n"/>
      <c r="TLS13" s="21" t="n"/>
      <c r="TLT13" s="21" t="n"/>
      <c r="TLU13" s="21" t="n"/>
      <c r="TLV13" s="21" t="n"/>
      <c r="TLW13" s="21" t="n"/>
      <c r="TLX13" s="21" t="n"/>
      <c r="TLY13" s="21" t="n"/>
      <c r="TLZ13" s="21" t="n"/>
      <c r="TMA13" s="21" t="n"/>
      <c r="TMB13" s="21" t="n"/>
      <c r="TMC13" s="21" t="n"/>
      <c r="TMD13" s="21" t="n"/>
      <c r="TME13" s="21" t="n"/>
      <c r="TMF13" s="21" t="n"/>
      <c r="TMG13" s="21" t="n"/>
      <c r="TMH13" s="21" t="n"/>
      <c r="TMI13" s="21" t="n"/>
      <c r="TMJ13" s="21" t="n"/>
      <c r="TMK13" s="21" t="n"/>
      <c r="TML13" s="21" t="n"/>
      <c r="TMM13" s="21" t="n"/>
      <c r="TMN13" s="21" t="n"/>
      <c r="TMO13" s="21" t="n"/>
      <c r="TMP13" s="21" t="n"/>
      <c r="TMQ13" s="21" t="n"/>
      <c r="TMR13" s="21" t="n"/>
      <c r="TMS13" s="21" t="n"/>
      <c r="TMT13" s="21" t="n"/>
      <c r="TMU13" s="21" t="n"/>
      <c r="TMV13" s="21" t="n"/>
      <c r="TMW13" s="21" t="n"/>
      <c r="TMX13" s="21" t="n"/>
      <c r="TMY13" s="21" t="n"/>
      <c r="TMZ13" s="21" t="n"/>
      <c r="TNA13" s="21" t="n"/>
      <c r="TNB13" s="21" t="n"/>
      <c r="TNC13" s="21" t="n"/>
      <c r="TND13" s="21" t="n"/>
      <c r="TNE13" s="21" t="n"/>
      <c r="TNF13" s="21" t="n"/>
      <c r="TNG13" s="21" t="n"/>
      <c r="TNH13" s="21" t="n"/>
      <c r="TNI13" s="21" t="n"/>
      <c r="TNJ13" s="21" t="n"/>
      <c r="TNK13" s="21" t="n"/>
      <c r="TNL13" s="21" t="n"/>
      <c r="TNM13" s="21" t="n"/>
      <c r="TNN13" s="21" t="n"/>
      <c r="TNO13" s="21" t="n"/>
      <c r="TNP13" s="21" t="n"/>
      <c r="TNQ13" s="21" t="n"/>
      <c r="TNR13" s="21" t="n"/>
      <c r="TNS13" s="21" t="n"/>
      <c r="TNT13" s="21" t="n"/>
      <c r="TNU13" s="21" t="n"/>
      <c r="TNV13" s="21" t="n"/>
      <c r="TNW13" s="21" t="n"/>
      <c r="TNX13" s="21" t="n"/>
      <c r="TNY13" s="21" t="n"/>
      <c r="TNZ13" s="21" t="n"/>
      <c r="TOA13" s="21" t="n"/>
      <c r="TOB13" s="21" t="n"/>
      <c r="TOC13" s="21" t="n"/>
      <c r="TOD13" s="21" t="n"/>
      <c r="TOE13" s="21" t="n"/>
      <c r="TOF13" s="21" t="n"/>
      <c r="TOG13" s="21" t="n"/>
      <c r="TOH13" s="21" t="n"/>
      <c r="TOI13" s="21" t="n"/>
      <c r="TOJ13" s="21" t="n"/>
      <c r="TOK13" s="21" t="n"/>
      <c r="TOL13" s="21" t="n"/>
      <c r="TOM13" s="21" t="n"/>
      <c r="TON13" s="21" t="n"/>
      <c r="TOO13" s="21" t="n"/>
      <c r="TOP13" s="21" t="n"/>
      <c r="TOQ13" s="21" t="n"/>
      <c r="TOR13" s="21" t="n"/>
      <c r="TOS13" s="21" t="n"/>
      <c r="TOT13" s="21" t="n"/>
      <c r="TOU13" s="21" t="n"/>
      <c r="TOV13" s="21" t="n"/>
      <c r="TOW13" s="21" t="n"/>
      <c r="TOX13" s="21" t="n"/>
      <c r="TOY13" s="21" t="n"/>
      <c r="TOZ13" s="21" t="n"/>
      <c r="TPA13" s="21" t="n"/>
      <c r="TPB13" s="21" t="n"/>
      <c r="TPC13" s="21" t="n"/>
      <c r="TPD13" s="21" t="n"/>
      <c r="TPE13" s="21" t="n"/>
      <c r="TPF13" s="21" t="n"/>
      <c r="TPG13" s="21" t="n"/>
      <c r="TPH13" s="21" t="n"/>
      <c r="TPI13" s="21" t="n"/>
      <c r="TPJ13" s="21" t="n"/>
      <c r="TPK13" s="21" t="n"/>
      <c r="TPL13" s="21" t="n"/>
      <c r="TPM13" s="21" t="n"/>
      <c r="TPN13" s="21" t="n"/>
      <c r="TPO13" s="21" t="n"/>
      <c r="TPP13" s="21" t="n"/>
      <c r="TPQ13" s="21" t="n"/>
      <c r="TPR13" s="21" t="n"/>
      <c r="TPS13" s="21" t="n"/>
      <c r="TPT13" s="21" t="n"/>
      <c r="TPU13" s="21" t="n"/>
      <c r="TPV13" s="21" t="n"/>
      <c r="TPW13" s="21" t="n"/>
      <c r="TPX13" s="21" t="n"/>
      <c r="TPY13" s="21" t="n"/>
      <c r="TPZ13" s="21" t="n"/>
      <c r="TQA13" s="21" t="n"/>
      <c r="TQB13" s="21" t="n"/>
      <c r="TQC13" s="21" t="n"/>
      <c r="TQD13" s="21" t="n"/>
      <c r="TQE13" s="21" t="n"/>
      <c r="TQF13" s="21" t="n"/>
      <c r="TQG13" s="21" t="n"/>
      <c r="TQH13" s="21" t="n"/>
      <c r="TQI13" s="21" t="n"/>
      <c r="TQJ13" s="21" t="n"/>
      <c r="TQK13" s="21" t="n"/>
      <c r="TQL13" s="21" t="n"/>
      <c r="TQM13" s="21" t="n"/>
      <c r="TQN13" s="21" t="n"/>
      <c r="TQO13" s="21" t="n"/>
      <c r="TQP13" s="21" t="n"/>
      <c r="TQQ13" s="21" t="n"/>
      <c r="TQR13" s="21" t="n"/>
      <c r="TQS13" s="21" t="n"/>
      <c r="TQT13" s="21" t="n"/>
      <c r="TQU13" s="21" t="n"/>
      <c r="TQV13" s="21" t="n"/>
      <c r="TQW13" s="21" t="n"/>
      <c r="TQX13" s="21" t="n"/>
      <c r="TQY13" s="21" t="n"/>
      <c r="TQZ13" s="21" t="n"/>
      <c r="TRA13" s="21" t="n"/>
      <c r="TRB13" s="21" t="n"/>
      <c r="TRC13" s="21" t="n"/>
      <c r="TRD13" s="21" t="n"/>
      <c r="TRE13" s="21" t="n"/>
      <c r="TRF13" s="21" t="n"/>
      <c r="TRG13" s="21" t="n"/>
      <c r="TRH13" s="21" t="n"/>
      <c r="TRI13" s="21" t="n"/>
      <c r="TRJ13" s="21" t="n"/>
      <c r="TRK13" s="21" t="n"/>
      <c r="TRL13" s="21" t="n"/>
      <c r="TRM13" s="21" t="n"/>
      <c r="TRN13" s="21" t="n"/>
      <c r="TRO13" s="21" t="n"/>
      <c r="TRP13" s="21" t="n"/>
      <c r="TRQ13" s="21" t="n"/>
      <c r="TRR13" s="21" t="n"/>
      <c r="TRS13" s="21" t="n"/>
      <c r="TRT13" s="21" t="n"/>
      <c r="TRU13" s="21" t="n"/>
      <c r="TRV13" s="21" t="n"/>
      <c r="TRW13" s="21" t="n"/>
      <c r="TRX13" s="21" t="n"/>
      <c r="TRY13" s="21" t="n"/>
      <c r="TRZ13" s="21" t="n"/>
      <c r="TSA13" s="21" t="n"/>
      <c r="TSB13" s="21" t="n"/>
      <c r="TSC13" s="21" t="n"/>
      <c r="TSD13" s="21" t="n"/>
      <c r="TSE13" s="21" t="n"/>
      <c r="TSF13" s="21" t="n"/>
      <c r="TSG13" s="21" t="n"/>
      <c r="TSH13" s="21" t="n"/>
      <c r="TSI13" s="21" t="n"/>
      <c r="TSJ13" s="21" t="n"/>
      <c r="TSK13" s="21" t="n"/>
      <c r="TSL13" s="21" t="n"/>
      <c r="TSM13" s="21" t="n"/>
      <c r="TSN13" s="21" t="n"/>
      <c r="TSO13" s="21" t="n"/>
      <c r="TSP13" s="21" t="n"/>
      <c r="TSQ13" s="21" t="n"/>
      <c r="TSR13" s="21" t="n"/>
      <c r="TSS13" s="21" t="n"/>
      <c r="TST13" s="21" t="n"/>
      <c r="TSU13" s="21" t="n"/>
      <c r="TSV13" s="21" t="n"/>
      <c r="TSW13" s="21" t="n"/>
      <c r="TSX13" s="21" t="n"/>
      <c r="TSY13" s="21" t="n"/>
      <c r="TSZ13" s="21" t="n"/>
      <c r="TTA13" s="21" t="n"/>
      <c r="TTB13" s="21" t="n"/>
      <c r="TTC13" s="21" t="n"/>
      <c r="TTD13" s="21" t="n"/>
      <c r="TTE13" s="21" t="n"/>
      <c r="TTF13" s="21" t="n"/>
      <c r="TTG13" s="21" t="n"/>
      <c r="TTH13" s="21" t="n"/>
      <c r="TTI13" s="21" t="n"/>
      <c r="TTJ13" s="21" t="n"/>
      <c r="TTK13" s="21" t="n"/>
      <c r="TTL13" s="21" t="n"/>
      <c r="TTM13" s="21" t="n"/>
      <c r="TTN13" s="21" t="n"/>
      <c r="TTO13" s="21" t="n"/>
      <c r="TTP13" s="21" t="n"/>
      <c r="TTQ13" s="21" t="n"/>
      <c r="TTR13" s="21" t="n"/>
      <c r="TTS13" s="21" t="n"/>
      <c r="TTT13" s="21" t="n"/>
      <c r="TTU13" s="21" t="n"/>
      <c r="TTV13" s="21" t="n"/>
      <c r="TTW13" s="21" t="n"/>
      <c r="TTX13" s="21" t="n"/>
      <c r="TTY13" s="21" t="n"/>
      <c r="TTZ13" s="21" t="n"/>
      <c r="TUA13" s="21" t="n"/>
      <c r="TUB13" s="21" t="n"/>
      <c r="TUC13" s="21" t="n"/>
      <c r="TUD13" s="21" t="n"/>
      <c r="TUE13" s="21" t="n"/>
      <c r="TUF13" s="21" t="n"/>
      <c r="TUG13" s="21" t="n"/>
      <c r="TUH13" s="21" t="n"/>
      <c r="TUI13" s="21" t="n"/>
      <c r="TUJ13" s="21" t="n"/>
      <c r="TUK13" s="21" t="n"/>
      <c r="TUL13" s="21" t="n"/>
      <c r="TUM13" s="21" t="n"/>
      <c r="TUN13" s="21" t="n"/>
      <c r="TUO13" s="21" t="n"/>
      <c r="TUP13" s="21" t="n"/>
      <c r="TUQ13" s="21" t="n"/>
      <c r="TUR13" s="21" t="n"/>
      <c r="TUS13" s="21" t="n"/>
      <c r="TUT13" s="21" t="n"/>
      <c r="TUU13" s="21" t="n"/>
      <c r="TUV13" s="21" t="n"/>
      <c r="TUW13" s="21" t="n"/>
      <c r="TUX13" s="21" t="n"/>
      <c r="TUY13" s="21" t="n"/>
      <c r="TUZ13" s="21" t="n"/>
      <c r="TVA13" s="21" t="n"/>
      <c r="TVB13" s="21" t="n"/>
      <c r="TVC13" s="21" t="n"/>
      <c r="TVD13" s="21" t="n"/>
      <c r="TVE13" s="21" t="n"/>
      <c r="TVF13" s="21" t="n"/>
      <c r="TVG13" s="21" t="n"/>
      <c r="TVH13" s="21" t="n"/>
      <c r="TVI13" s="21" t="n"/>
      <c r="TVJ13" s="21" t="n"/>
      <c r="TVK13" s="21" t="n"/>
      <c r="TVL13" s="21" t="n"/>
      <c r="TVM13" s="21" t="n"/>
      <c r="TVN13" s="21" t="n"/>
      <c r="TVO13" s="21" t="n"/>
      <c r="TVP13" s="21" t="n"/>
      <c r="TVQ13" s="21" t="n"/>
      <c r="TVR13" s="21" t="n"/>
      <c r="TVS13" s="21" t="n"/>
      <c r="TVT13" s="21" t="n"/>
      <c r="TVU13" s="21" t="n"/>
      <c r="TVV13" s="21" t="n"/>
      <c r="TVW13" s="21" t="n"/>
      <c r="TVX13" s="21" t="n"/>
      <c r="TVY13" s="21" t="n"/>
      <c r="TVZ13" s="21" t="n"/>
      <c r="TWA13" s="21" t="n"/>
      <c r="TWB13" s="21" t="n"/>
      <c r="TWC13" s="21" t="n"/>
      <c r="TWD13" s="21" t="n"/>
      <c r="TWE13" s="21" t="n"/>
      <c r="TWF13" s="21" t="n"/>
      <c r="TWG13" s="21" t="n"/>
      <c r="TWH13" s="21" t="n"/>
      <c r="TWI13" s="21" t="n"/>
      <c r="TWJ13" s="21" t="n"/>
      <c r="TWK13" s="21" t="n"/>
      <c r="TWL13" s="21" t="n"/>
      <c r="TWM13" s="21" t="n"/>
      <c r="TWN13" s="21" t="n"/>
      <c r="TWO13" s="21" t="n"/>
      <c r="TWP13" s="21" t="n"/>
      <c r="TWQ13" s="21" t="n"/>
      <c r="TWR13" s="21" t="n"/>
      <c r="TWS13" s="21" t="n"/>
      <c r="TWT13" s="21" t="n"/>
      <c r="TWU13" s="21" t="n"/>
      <c r="TWV13" s="21" t="n"/>
      <c r="TWW13" s="21" t="n"/>
      <c r="TWX13" s="21" t="n"/>
      <c r="TWY13" s="21" t="n"/>
      <c r="TWZ13" s="21" t="n"/>
      <c r="TXA13" s="21" t="n"/>
      <c r="TXB13" s="21" t="n"/>
      <c r="TXC13" s="21" t="n"/>
      <c r="TXD13" s="21" t="n"/>
      <c r="TXE13" s="21" t="n"/>
      <c r="TXF13" s="21" t="n"/>
      <c r="TXG13" s="21" t="n"/>
      <c r="TXH13" s="21" t="n"/>
      <c r="TXI13" s="21" t="n"/>
      <c r="TXJ13" s="21" t="n"/>
      <c r="TXK13" s="21" t="n"/>
      <c r="TXL13" s="21" t="n"/>
      <c r="TXM13" s="21" t="n"/>
      <c r="TXN13" s="21" t="n"/>
      <c r="TXO13" s="21" t="n"/>
      <c r="TXP13" s="21" t="n"/>
      <c r="TXQ13" s="21" t="n"/>
      <c r="TXR13" s="21" t="n"/>
      <c r="TXS13" s="21" t="n"/>
      <c r="TXT13" s="21" t="n"/>
      <c r="TXU13" s="21" t="n"/>
      <c r="TXV13" s="21" t="n"/>
      <c r="TXW13" s="21" t="n"/>
      <c r="TXX13" s="21" t="n"/>
      <c r="TXY13" s="21" t="n"/>
      <c r="TXZ13" s="21" t="n"/>
      <c r="TYA13" s="21" t="n"/>
      <c r="TYB13" s="21" t="n"/>
      <c r="TYC13" s="21" t="n"/>
      <c r="TYD13" s="21" t="n"/>
      <c r="TYE13" s="21" t="n"/>
      <c r="TYF13" s="21" t="n"/>
      <c r="TYG13" s="21" t="n"/>
      <c r="TYH13" s="21" t="n"/>
      <c r="TYI13" s="21" t="n"/>
      <c r="TYJ13" s="21" t="n"/>
      <c r="TYK13" s="21" t="n"/>
      <c r="TYL13" s="21" t="n"/>
      <c r="TYM13" s="21" t="n"/>
      <c r="TYN13" s="21" t="n"/>
      <c r="TYO13" s="21" t="n"/>
      <c r="TYP13" s="21" t="n"/>
      <c r="TYQ13" s="21" t="n"/>
      <c r="TYR13" s="21" t="n"/>
      <c r="TYS13" s="21" t="n"/>
      <c r="TYT13" s="21" t="n"/>
      <c r="TYU13" s="21" t="n"/>
      <c r="TYV13" s="21" t="n"/>
      <c r="TYW13" s="21" t="n"/>
      <c r="TYX13" s="21" t="n"/>
      <c r="TYY13" s="21" t="n"/>
      <c r="TYZ13" s="21" t="n"/>
      <c r="TZA13" s="21" t="n"/>
      <c r="TZB13" s="21" t="n"/>
      <c r="TZC13" s="21" t="n"/>
      <c r="TZD13" s="21" t="n"/>
      <c r="TZE13" s="21" t="n"/>
      <c r="TZF13" s="21" t="n"/>
      <c r="TZG13" s="21" t="n"/>
      <c r="TZH13" s="21" t="n"/>
      <c r="TZI13" s="21" t="n"/>
      <c r="TZJ13" s="21" t="n"/>
      <c r="TZK13" s="21" t="n"/>
      <c r="TZL13" s="21" t="n"/>
      <c r="TZM13" s="21" t="n"/>
      <c r="TZN13" s="21" t="n"/>
      <c r="TZO13" s="21" t="n"/>
      <c r="TZP13" s="21" t="n"/>
      <c r="TZQ13" s="21" t="n"/>
      <c r="TZR13" s="21" t="n"/>
      <c r="TZS13" s="21" t="n"/>
      <c r="TZT13" s="21" t="n"/>
      <c r="TZU13" s="21" t="n"/>
      <c r="TZV13" s="21" t="n"/>
      <c r="TZW13" s="21" t="n"/>
      <c r="TZX13" s="21" t="n"/>
      <c r="TZY13" s="21" t="n"/>
      <c r="TZZ13" s="21" t="n"/>
      <c r="UAA13" s="21" t="n"/>
      <c r="UAB13" s="21" t="n"/>
      <c r="UAC13" s="21" t="n"/>
      <c r="UAD13" s="21" t="n"/>
      <c r="UAE13" s="21" t="n"/>
      <c r="UAF13" s="21" t="n"/>
      <c r="UAG13" s="21" t="n"/>
      <c r="UAH13" s="21" t="n"/>
      <c r="UAI13" s="21" t="n"/>
      <c r="UAJ13" s="21" t="n"/>
      <c r="UAK13" s="21" t="n"/>
      <c r="UAL13" s="21" t="n"/>
      <c r="UAM13" s="21" t="n"/>
      <c r="UAN13" s="21" t="n"/>
      <c r="UAO13" s="21" t="n"/>
      <c r="UAP13" s="21" t="n"/>
      <c r="UAQ13" s="21" t="n"/>
      <c r="UAR13" s="21" t="n"/>
      <c r="UAS13" s="21" t="n"/>
      <c r="UAT13" s="21" t="n"/>
      <c r="UAU13" s="21" t="n"/>
      <c r="UAV13" s="21" t="n"/>
      <c r="UAW13" s="21" t="n"/>
      <c r="UAX13" s="21" t="n"/>
      <c r="UAY13" s="21" t="n"/>
      <c r="UAZ13" s="21" t="n"/>
      <c r="UBA13" s="21" t="n"/>
      <c r="UBB13" s="21" t="n"/>
      <c r="UBC13" s="21" t="n"/>
      <c r="UBD13" s="21" t="n"/>
      <c r="UBE13" s="21" t="n"/>
      <c r="UBF13" s="21" t="n"/>
      <c r="UBG13" s="21" t="n"/>
      <c r="UBH13" s="21" t="n"/>
      <c r="UBI13" s="21" t="n"/>
      <c r="UBJ13" s="21" t="n"/>
      <c r="UBK13" s="21" t="n"/>
      <c r="UBL13" s="21" t="n"/>
      <c r="UBM13" s="21" t="n"/>
      <c r="UBN13" s="21" t="n"/>
      <c r="UBO13" s="21" t="n"/>
      <c r="UBP13" s="21" t="n"/>
      <c r="UBQ13" s="21" t="n"/>
      <c r="UBR13" s="21" t="n"/>
      <c r="UBS13" s="21" t="n"/>
      <c r="UBT13" s="21" t="n"/>
      <c r="UBU13" s="21" t="n"/>
      <c r="UBV13" s="21" t="n"/>
      <c r="UBW13" s="21" t="n"/>
      <c r="UBX13" s="21" t="n"/>
      <c r="UBY13" s="21" t="n"/>
      <c r="UBZ13" s="21" t="n"/>
      <c r="UCA13" s="21" t="n"/>
      <c r="UCB13" s="21" t="n"/>
      <c r="UCC13" s="21" t="n"/>
      <c r="UCD13" s="21" t="n"/>
      <c r="UCE13" s="21" t="n"/>
      <c r="UCF13" s="21" t="n"/>
      <c r="UCG13" s="21" t="n"/>
      <c r="UCH13" s="21" t="n"/>
      <c r="UCI13" s="21" t="n"/>
      <c r="UCJ13" s="21" t="n"/>
      <c r="UCK13" s="21" t="n"/>
      <c r="UCL13" s="21" t="n"/>
      <c r="UCM13" s="21" t="n"/>
      <c r="UCN13" s="21" t="n"/>
      <c r="UCO13" s="21" t="n"/>
      <c r="UCP13" s="21" t="n"/>
      <c r="UCQ13" s="21" t="n"/>
      <c r="UCR13" s="21" t="n"/>
      <c r="UCS13" s="21" t="n"/>
      <c r="UCT13" s="21" t="n"/>
      <c r="UCU13" s="21" t="n"/>
      <c r="UCV13" s="21" t="n"/>
      <c r="UCW13" s="21" t="n"/>
      <c r="UCX13" s="21" t="n"/>
      <c r="UCY13" s="21" t="n"/>
      <c r="UCZ13" s="21" t="n"/>
      <c r="UDA13" s="21" t="n"/>
      <c r="UDB13" s="21" t="n"/>
      <c r="UDC13" s="21" t="n"/>
      <c r="UDD13" s="21" t="n"/>
      <c r="UDE13" s="21" t="n"/>
      <c r="UDF13" s="21" t="n"/>
      <c r="UDG13" s="21" t="n"/>
      <c r="UDH13" s="21" t="n"/>
      <c r="UDI13" s="21" t="n"/>
      <c r="UDJ13" s="21" t="n"/>
      <c r="UDK13" s="21" t="n"/>
      <c r="UDL13" s="21" t="n"/>
      <c r="UDM13" s="21" t="n"/>
      <c r="UDN13" s="21" t="n"/>
      <c r="UDO13" s="21" t="n"/>
      <c r="UDP13" s="21" t="n"/>
      <c r="UDQ13" s="21" t="n"/>
      <c r="UDR13" s="21" t="n"/>
      <c r="UDS13" s="21" t="n"/>
      <c r="UDT13" s="21" t="n"/>
      <c r="UDU13" s="21" t="n"/>
      <c r="UDV13" s="21" t="n"/>
      <c r="UDW13" s="21" t="n"/>
      <c r="UDX13" s="21" t="n"/>
      <c r="UDY13" s="21" t="n"/>
      <c r="UDZ13" s="21" t="n"/>
      <c r="UEA13" s="21" t="n"/>
      <c r="UEB13" s="21" t="n"/>
      <c r="UEC13" s="21" t="n"/>
      <c r="UED13" s="21" t="n"/>
      <c r="UEE13" s="21" t="n"/>
      <c r="UEF13" s="21" t="n"/>
      <c r="UEG13" s="21" t="n"/>
      <c r="UEH13" s="21" t="n"/>
      <c r="UEI13" s="21" t="n"/>
      <c r="UEJ13" s="21" t="n"/>
      <c r="UEK13" s="21" t="n"/>
      <c r="UEL13" s="21" t="n"/>
      <c r="UEM13" s="21" t="n"/>
      <c r="UEN13" s="21" t="n"/>
      <c r="UEO13" s="21" t="n"/>
      <c r="UEP13" s="21" t="n"/>
      <c r="UEQ13" s="21" t="n"/>
      <c r="UER13" s="21" t="n"/>
      <c r="UES13" s="21" t="n"/>
      <c r="UET13" s="21" t="n"/>
      <c r="UEU13" s="21" t="n"/>
      <c r="UEV13" s="21" t="n"/>
      <c r="UEW13" s="21" t="n"/>
      <c r="UEX13" s="21" t="n"/>
      <c r="UEY13" s="21" t="n"/>
      <c r="UEZ13" s="21" t="n"/>
      <c r="UFA13" s="21" t="n"/>
      <c r="UFB13" s="21" t="n"/>
      <c r="UFC13" s="21" t="n"/>
      <c r="UFD13" s="21" t="n"/>
      <c r="UFE13" s="21" t="n"/>
      <c r="UFF13" s="21" t="n"/>
      <c r="UFG13" s="21" t="n"/>
      <c r="UFH13" s="21" t="n"/>
      <c r="UFI13" s="21" t="n"/>
      <c r="UFJ13" s="21" t="n"/>
      <c r="UFK13" s="21" t="n"/>
      <c r="UFL13" s="21" t="n"/>
      <c r="UFM13" s="21" t="n"/>
      <c r="UFN13" s="21" t="n"/>
      <c r="UFO13" s="21" t="n"/>
      <c r="UFP13" s="21" t="n"/>
      <c r="UFQ13" s="21" t="n"/>
      <c r="UFR13" s="21" t="n"/>
      <c r="UFS13" s="21" t="n"/>
      <c r="UFT13" s="21" t="n"/>
      <c r="UFU13" s="21" t="n"/>
      <c r="UFV13" s="21" t="n"/>
      <c r="UFW13" s="21" t="n"/>
      <c r="UFX13" s="21" t="n"/>
      <c r="UFY13" s="21" t="n"/>
      <c r="UFZ13" s="21" t="n"/>
      <c r="UGA13" s="21" t="n"/>
      <c r="UGB13" s="21" t="n"/>
      <c r="UGC13" s="21" t="n"/>
      <c r="UGD13" s="21" t="n"/>
      <c r="UGE13" s="21" t="n"/>
      <c r="UGF13" s="21" t="n"/>
      <c r="UGG13" s="21" t="n"/>
      <c r="UGH13" s="21" t="n"/>
      <c r="UGI13" s="21" t="n"/>
      <c r="UGJ13" s="21" t="n"/>
      <c r="UGK13" s="21" t="n"/>
      <c r="UGL13" s="21" t="n"/>
      <c r="UGM13" s="21" t="n"/>
      <c r="UGN13" s="21" t="n"/>
      <c r="UGO13" s="21" t="n"/>
      <c r="UGP13" s="21" t="n"/>
      <c r="UGQ13" s="21" t="n"/>
      <c r="UGR13" s="21" t="n"/>
      <c r="UGS13" s="21" t="n"/>
      <c r="UGT13" s="21" t="n"/>
      <c r="UGU13" s="21" t="n"/>
      <c r="UGV13" s="21" t="n"/>
      <c r="UGW13" s="21" t="n"/>
      <c r="UGX13" s="21" t="n"/>
      <c r="UGY13" s="21" t="n"/>
      <c r="UGZ13" s="21" t="n"/>
      <c r="UHA13" s="21" t="n"/>
      <c r="UHB13" s="21" t="n"/>
      <c r="UHC13" s="21" t="n"/>
      <c r="UHD13" s="21" t="n"/>
      <c r="UHE13" s="21" t="n"/>
      <c r="UHF13" s="21" t="n"/>
      <c r="UHG13" s="21" t="n"/>
      <c r="UHH13" s="21" t="n"/>
      <c r="UHI13" s="21" t="n"/>
      <c r="UHJ13" s="21" t="n"/>
      <c r="UHK13" s="21" t="n"/>
      <c r="UHL13" s="21" t="n"/>
      <c r="UHM13" s="21" t="n"/>
      <c r="UHN13" s="21" t="n"/>
      <c r="UHO13" s="21" t="n"/>
      <c r="UHP13" s="21" t="n"/>
      <c r="UHQ13" s="21" t="n"/>
      <c r="UHR13" s="21" t="n"/>
      <c r="UHS13" s="21" t="n"/>
      <c r="UHT13" s="21" t="n"/>
      <c r="UHU13" s="21" t="n"/>
      <c r="UHV13" s="21" t="n"/>
      <c r="UHW13" s="21" t="n"/>
      <c r="UHX13" s="21" t="n"/>
      <c r="UHY13" s="21" t="n"/>
      <c r="UHZ13" s="21" t="n"/>
      <c r="UIA13" s="21" t="n"/>
      <c r="UIB13" s="21" t="n"/>
      <c r="UIC13" s="21" t="n"/>
      <c r="UID13" s="21" t="n"/>
      <c r="UIE13" s="21" t="n"/>
      <c r="UIF13" s="21" t="n"/>
      <c r="UIG13" s="21" t="n"/>
      <c r="UIH13" s="21" t="n"/>
      <c r="UII13" s="21" t="n"/>
      <c r="UIJ13" s="21" t="n"/>
      <c r="UIK13" s="21" t="n"/>
      <c r="UIL13" s="21" t="n"/>
      <c r="UIM13" s="21" t="n"/>
      <c r="UIN13" s="21" t="n"/>
      <c r="UIO13" s="21" t="n"/>
      <c r="UIP13" s="21" t="n"/>
      <c r="UIQ13" s="21" t="n"/>
      <c r="UIR13" s="21" t="n"/>
      <c r="UIS13" s="21" t="n"/>
      <c r="UIT13" s="21" t="n"/>
      <c r="UIU13" s="21" t="n"/>
      <c r="UIV13" s="21" t="n"/>
      <c r="UIW13" s="21" t="n"/>
      <c r="UIX13" s="21" t="n"/>
      <c r="UIY13" s="21" t="n"/>
      <c r="UIZ13" s="21" t="n"/>
      <c r="UJA13" s="21" t="n"/>
      <c r="UJB13" s="21" t="n"/>
      <c r="UJC13" s="21" t="n"/>
      <c r="UJD13" s="21" t="n"/>
      <c r="UJE13" s="21" t="n"/>
      <c r="UJF13" s="21" t="n"/>
      <c r="UJG13" s="21" t="n"/>
      <c r="UJH13" s="21" t="n"/>
      <c r="UJI13" s="21" t="n"/>
      <c r="UJJ13" s="21" t="n"/>
      <c r="UJK13" s="21" t="n"/>
      <c r="UJL13" s="21" t="n"/>
      <c r="UJM13" s="21" t="n"/>
      <c r="UJN13" s="21" t="n"/>
      <c r="UJO13" s="21" t="n"/>
      <c r="UJP13" s="21" t="n"/>
      <c r="UJQ13" s="21" t="n"/>
      <c r="UJR13" s="21" t="n"/>
      <c r="UJS13" s="21" t="n"/>
      <c r="UJT13" s="21" t="n"/>
      <c r="UJU13" s="21" t="n"/>
      <c r="UJV13" s="21" t="n"/>
      <c r="UJW13" s="21" t="n"/>
      <c r="UJX13" s="21" t="n"/>
      <c r="UJY13" s="21" t="n"/>
      <c r="UJZ13" s="21" t="n"/>
      <c r="UKA13" s="21" t="n"/>
      <c r="UKB13" s="21" t="n"/>
      <c r="UKC13" s="21" t="n"/>
      <c r="UKD13" s="21" t="n"/>
      <c r="UKE13" s="21" t="n"/>
      <c r="UKF13" s="21" t="n"/>
      <c r="UKG13" s="21" t="n"/>
      <c r="UKH13" s="21" t="n"/>
      <c r="UKI13" s="21" t="n"/>
      <c r="UKJ13" s="21" t="n"/>
      <c r="UKK13" s="21" t="n"/>
      <c r="UKL13" s="21" t="n"/>
      <c r="UKM13" s="21" t="n"/>
      <c r="UKN13" s="21" t="n"/>
      <c r="UKO13" s="21" t="n"/>
      <c r="UKP13" s="21" t="n"/>
      <c r="UKQ13" s="21" t="n"/>
      <c r="UKR13" s="21" t="n"/>
      <c r="UKS13" s="21" t="n"/>
      <c r="UKT13" s="21" t="n"/>
      <c r="UKU13" s="21" t="n"/>
      <c r="UKV13" s="21" t="n"/>
      <c r="UKW13" s="21" t="n"/>
      <c r="UKX13" s="21" t="n"/>
      <c r="UKY13" s="21" t="n"/>
      <c r="UKZ13" s="21" t="n"/>
      <c r="ULA13" s="21" t="n"/>
      <c r="ULB13" s="21" t="n"/>
      <c r="ULC13" s="21" t="n"/>
      <c r="ULD13" s="21" t="n"/>
      <c r="ULE13" s="21" t="n"/>
      <c r="ULF13" s="21" t="n"/>
      <c r="ULG13" s="21" t="n"/>
      <c r="ULH13" s="21" t="n"/>
      <c r="ULI13" s="21" t="n"/>
      <c r="ULJ13" s="21" t="n"/>
      <c r="ULK13" s="21" t="n"/>
      <c r="ULL13" s="21" t="n"/>
      <c r="ULM13" s="21" t="n"/>
      <c r="ULN13" s="21" t="n"/>
      <c r="ULO13" s="21" t="n"/>
      <c r="ULP13" s="21" t="n"/>
      <c r="ULQ13" s="21" t="n"/>
      <c r="ULR13" s="21" t="n"/>
      <c r="ULS13" s="21" t="n"/>
      <c r="ULT13" s="21" t="n"/>
      <c r="ULU13" s="21" t="n"/>
      <c r="ULV13" s="21" t="n"/>
      <c r="ULW13" s="21" t="n"/>
      <c r="ULX13" s="21" t="n"/>
      <c r="ULY13" s="21" t="n"/>
      <c r="ULZ13" s="21" t="n"/>
      <c r="UMA13" s="21" t="n"/>
      <c r="UMB13" s="21" t="n"/>
      <c r="UMC13" s="21" t="n"/>
      <c r="UMD13" s="21" t="n"/>
      <c r="UME13" s="21" t="n"/>
      <c r="UMF13" s="21" t="n"/>
      <c r="UMG13" s="21" t="n"/>
      <c r="UMH13" s="21" t="n"/>
      <c r="UMI13" s="21" t="n"/>
      <c r="UMJ13" s="21" t="n"/>
      <c r="UMK13" s="21" t="n"/>
      <c r="UML13" s="21" t="n"/>
      <c r="UMM13" s="21" t="n"/>
      <c r="UMN13" s="21" t="n"/>
      <c r="UMO13" s="21" t="n"/>
      <c r="UMP13" s="21" t="n"/>
      <c r="UMQ13" s="21" t="n"/>
      <c r="UMR13" s="21" t="n"/>
      <c r="UMS13" s="21" t="n"/>
      <c r="UMT13" s="21" t="n"/>
      <c r="UMU13" s="21" t="n"/>
      <c r="UMV13" s="21" t="n"/>
      <c r="UMW13" s="21" t="n"/>
      <c r="UMX13" s="21" t="n"/>
      <c r="UMY13" s="21" t="n"/>
      <c r="UMZ13" s="21" t="n"/>
      <c r="UNA13" s="21" t="n"/>
      <c r="UNB13" s="21" t="n"/>
      <c r="UNC13" s="21" t="n"/>
      <c r="UND13" s="21" t="n"/>
      <c r="UNE13" s="21" t="n"/>
      <c r="UNF13" s="21" t="n"/>
      <c r="UNG13" s="21" t="n"/>
      <c r="UNH13" s="21" t="n"/>
      <c r="UNI13" s="21" t="n"/>
      <c r="UNJ13" s="21" t="n"/>
      <c r="UNK13" s="21" t="n"/>
      <c r="UNL13" s="21" t="n"/>
      <c r="UNM13" s="21" t="n"/>
      <c r="UNN13" s="21" t="n"/>
      <c r="UNO13" s="21" t="n"/>
      <c r="UNP13" s="21" t="n"/>
      <c r="UNQ13" s="21" t="n"/>
      <c r="UNR13" s="21" t="n"/>
      <c r="UNS13" s="21" t="n"/>
      <c r="UNT13" s="21" t="n"/>
      <c r="UNU13" s="21" t="n"/>
      <c r="UNV13" s="21" t="n"/>
      <c r="UNW13" s="21" t="n"/>
      <c r="UNX13" s="21" t="n"/>
      <c r="UNY13" s="21" t="n"/>
      <c r="UNZ13" s="21" t="n"/>
      <c r="UOA13" s="21" t="n"/>
      <c r="UOB13" s="21" t="n"/>
      <c r="UOC13" s="21" t="n"/>
      <c r="UOD13" s="21" t="n"/>
      <c r="UOE13" s="21" t="n"/>
      <c r="UOF13" s="21" t="n"/>
      <c r="UOG13" s="21" t="n"/>
      <c r="UOH13" s="21" t="n"/>
      <c r="UOI13" s="21" t="n"/>
      <c r="UOJ13" s="21" t="n"/>
      <c r="UOK13" s="21" t="n"/>
      <c r="UOL13" s="21" t="n"/>
      <c r="UOM13" s="21" t="n"/>
      <c r="UON13" s="21" t="n"/>
      <c r="UOO13" s="21" t="n"/>
      <c r="UOP13" s="21" t="n"/>
      <c r="UOQ13" s="21" t="n"/>
      <c r="UOR13" s="21" t="n"/>
      <c r="UOS13" s="21" t="n"/>
      <c r="UOT13" s="21" t="n"/>
      <c r="UOU13" s="21" t="n"/>
      <c r="UOV13" s="21" t="n"/>
      <c r="UOW13" s="21" t="n"/>
      <c r="UOX13" s="21" t="n"/>
      <c r="UOY13" s="21" t="n"/>
      <c r="UOZ13" s="21" t="n"/>
      <c r="UPA13" s="21" t="n"/>
      <c r="UPB13" s="21" t="n"/>
      <c r="UPC13" s="21" t="n"/>
      <c r="UPD13" s="21" t="n"/>
      <c r="UPE13" s="21" t="n"/>
      <c r="UPF13" s="21" t="n"/>
      <c r="UPG13" s="21" t="n"/>
      <c r="UPH13" s="21" t="n"/>
      <c r="UPI13" s="21" t="n"/>
      <c r="UPJ13" s="21" t="n"/>
      <c r="UPK13" s="21" t="n"/>
      <c r="UPL13" s="21" t="n"/>
      <c r="UPM13" s="21" t="n"/>
      <c r="UPN13" s="21" t="n"/>
      <c r="UPO13" s="21" t="n"/>
      <c r="UPP13" s="21" t="n"/>
      <c r="UPQ13" s="21" t="n"/>
      <c r="UPR13" s="21" t="n"/>
      <c r="UPS13" s="21" t="n"/>
      <c r="UPT13" s="21" t="n"/>
      <c r="UPU13" s="21" t="n"/>
      <c r="UPV13" s="21" t="n"/>
      <c r="UPW13" s="21" t="n"/>
      <c r="UPX13" s="21" t="n"/>
      <c r="UPY13" s="21" t="n"/>
      <c r="UPZ13" s="21" t="n"/>
      <c r="UQA13" s="21" t="n"/>
      <c r="UQB13" s="21" t="n"/>
      <c r="UQC13" s="21" t="n"/>
      <c r="UQD13" s="21" t="n"/>
      <c r="UQE13" s="21" t="n"/>
      <c r="UQF13" s="21" t="n"/>
      <c r="UQG13" s="21" t="n"/>
      <c r="UQH13" s="21" t="n"/>
      <c r="UQI13" s="21" t="n"/>
      <c r="UQJ13" s="21" t="n"/>
      <c r="UQK13" s="21" t="n"/>
      <c r="UQL13" s="21" t="n"/>
      <c r="UQM13" s="21" t="n"/>
      <c r="UQN13" s="21" t="n"/>
      <c r="UQO13" s="21" t="n"/>
      <c r="UQP13" s="21" t="n"/>
      <c r="UQQ13" s="21" t="n"/>
      <c r="UQR13" s="21" t="n"/>
      <c r="UQS13" s="21" t="n"/>
      <c r="UQT13" s="21" t="n"/>
      <c r="UQU13" s="21" t="n"/>
      <c r="UQV13" s="21" t="n"/>
      <c r="UQW13" s="21" t="n"/>
      <c r="UQX13" s="21" t="n"/>
      <c r="UQY13" s="21" t="n"/>
      <c r="UQZ13" s="21" t="n"/>
      <c r="URA13" s="21" t="n"/>
      <c r="URB13" s="21" t="n"/>
      <c r="URC13" s="21" t="n"/>
      <c r="URD13" s="21" t="n"/>
      <c r="URE13" s="21" t="n"/>
      <c r="URF13" s="21" t="n"/>
      <c r="URG13" s="21" t="n"/>
      <c r="URH13" s="21" t="n"/>
      <c r="URI13" s="21" t="n"/>
      <c r="URJ13" s="21" t="n"/>
      <c r="URK13" s="21" t="n"/>
      <c r="URL13" s="21" t="n"/>
      <c r="URM13" s="21" t="n"/>
      <c r="URN13" s="21" t="n"/>
      <c r="URO13" s="21" t="n"/>
      <c r="URP13" s="21" t="n"/>
      <c r="URQ13" s="21" t="n"/>
      <c r="URR13" s="21" t="n"/>
      <c r="URS13" s="21" t="n"/>
      <c r="URT13" s="21" t="n"/>
      <c r="URU13" s="21" t="n"/>
      <c r="URV13" s="21" t="n"/>
      <c r="URW13" s="21" t="n"/>
      <c r="URX13" s="21" t="n"/>
      <c r="URY13" s="21" t="n"/>
      <c r="URZ13" s="21" t="n"/>
      <c r="USA13" s="21" t="n"/>
      <c r="USB13" s="21" t="n"/>
      <c r="USC13" s="21" t="n"/>
      <c r="USD13" s="21" t="n"/>
      <c r="USE13" s="21" t="n"/>
      <c r="USF13" s="21" t="n"/>
      <c r="USG13" s="21" t="n"/>
      <c r="USH13" s="21" t="n"/>
      <c r="USI13" s="21" t="n"/>
      <c r="USJ13" s="21" t="n"/>
      <c r="USK13" s="21" t="n"/>
      <c r="USL13" s="21" t="n"/>
      <c r="USM13" s="21" t="n"/>
      <c r="USN13" s="21" t="n"/>
      <c r="USO13" s="21" t="n"/>
      <c r="USP13" s="21" t="n"/>
      <c r="USQ13" s="21" t="n"/>
      <c r="USR13" s="21" t="n"/>
      <c r="USS13" s="21" t="n"/>
      <c r="UST13" s="21" t="n"/>
      <c r="USU13" s="21" t="n"/>
      <c r="USV13" s="21" t="n"/>
      <c r="USW13" s="21" t="n"/>
      <c r="USX13" s="21" t="n"/>
      <c r="USY13" s="21" t="n"/>
      <c r="USZ13" s="21" t="n"/>
      <c r="UTA13" s="21" t="n"/>
      <c r="UTB13" s="21" t="n"/>
      <c r="UTC13" s="21" t="n"/>
      <c r="UTD13" s="21" t="n"/>
      <c r="UTE13" s="21" t="n"/>
      <c r="UTF13" s="21" t="n"/>
      <c r="UTG13" s="21" t="n"/>
      <c r="UTH13" s="21" t="n"/>
      <c r="UTI13" s="21" t="n"/>
      <c r="UTJ13" s="21" t="n"/>
      <c r="UTK13" s="21" t="n"/>
      <c r="UTL13" s="21" t="n"/>
      <c r="UTM13" s="21" t="n"/>
      <c r="UTN13" s="21" t="n"/>
      <c r="UTO13" s="21" t="n"/>
      <c r="UTP13" s="21" t="n"/>
      <c r="UTQ13" s="21" t="n"/>
      <c r="UTR13" s="21" t="n"/>
      <c r="UTS13" s="21" t="n"/>
      <c r="UTT13" s="21" t="n"/>
      <c r="UTU13" s="21" t="n"/>
      <c r="UTV13" s="21" t="n"/>
      <c r="UTW13" s="21" t="n"/>
      <c r="UTX13" s="21" t="n"/>
      <c r="UTY13" s="21" t="n"/>
      <c r="UTZ13" s="21" t="n"/>
      <c r="UUA13" s="21" t="n"/>
      <c r="UUB13" s="21" t="n"/>
      <c r="UUC13" s="21" t="n"/>
      <c r="UUD13" s="21" t="n"/>
      <c r="UUE13" s="21" t="n"/>
      <c r="UUF13" s="21" t="n"/>
      <c r="UUG13" s="21" t="n"/>
      <c r="UUH13" s="21" t="n"/>
      <c r="UUI13" s="21" t="n"/>
      <c r="UUJ13" s="21" t="n"/>
      <c r="UUK13" s="21" t="n"/>
      <c r="UUL13" s="21" t="n"/>
      <c r="UUM13" s="21" t="n"/>
      <c r="UUN13" s="21" t="n"/>
      <c r="UUO13" s="21" t="n"/>
      <c r="UUP13" s="21" t="n"/>
      <c r="UUQ13" s="21" t="n"/>
      <c r="UUR13" s="21" t="n"/>
      <c r="UUS13" s="21" t="n"/>
      <c r="UUT13" s="21" t="n"/>
      <c r="UUU13" s="21" t="n"/>
      <c r="UUV13" s="21" t="n"/>
      <c r="UUW13" s="21" t="n"/>
      <c r="UUX13" s="21" t="n"/>
      <c r="UUY13" s="21" t="n"/>
      <c r="UUZ13" s="21" t="n"/>
      <c r="UVA13" s="21" t="n"/>
      <c r="UVB13" s="21" t="n"/>
      <c r="UVC13" s="21" t="n"/>
      <c r="UVD13" s="21" t="n"/>
      <c r="UVE13" s="21" t="n"/>
      <c r="UVF13" s="21" t="n"/>
      <c r="UVG13" s="21" t="n"/>
      <c r="UVH13" s="21" t="n"/>
      <c r="UVI13" s="21" t="n"/>
      <c r="UVJ13" s="21" t="n"/>
      <c r="UVK13" s="21" t="n"/>
      <c r="UVL13" s="21" t="n"/>
      <c r="UVM13" s="21" t="n"/>
      <c r="UVN13" s="21" t="n"/>
      <c r="UVO13" s="21" t="n"/>
      <c r="UVP13" s="21" t="n"/>
      <c r="UVQ13" s="21" t="n"/>
      <c r="UVR13" s="21" t="n"/>
      <c r="UVS13" s="21" t="n"/>
      <c r="UVT13" s="21" t="n"/>
      <c r="UVU13" s="21" t="n"/>
      <c r="UVV13" s="21" t="n"/>
      <c r="UVW13" s="21" t="n"/>
      <c r="UVX13" s="21" t="n"/>
      <c r="UVY13" s="21" t="n"/>
      <c r="UVZ13" s="21" t="n"/>
      <c r="UWA13" s="21" t="n"/>
      <c r="UWB13" s="21" t="n"/>
      <c r="UWC13" s="21" t="n"/>
      <c r="UWD13" s="21" t="n"/>
      <c r="UWE13" s="21" t="n"/>
      <c r="UWF13" s="21" t="n"/>
      <c r="UWG13" s="21" t="n"/>
      <c r="UWH13" s="21" t="n"/>
      <c r="UWI13" s="21" t="n"/>
      <c r="UWJ13" s="21" t="n"/>
      <c r="UWK13" s="21" t="n"/>
      <c r="UWL13" s="21" t="n"/>
      <c r="UWM13" s="21" t="n"/>
      <c r="UWN13" s="21" t="n"/>
      <c r="UWO13" s="21" t="n"/>
      <c r="UWP13" s="21" t="n"/>
      <c r="UWQ13" s="21" t="n"/>
      <c r="UWR13" s="21" t="n"/>
      <c r="UWS13" s="21" t="n"/>
      <c r="UWT13" s="21" t="n"/>
      <c r="UWU13" s="21" t="n"/>
      <c r="UWV13" s="21" t="n"/>
      <c r="UWW13" s="21" t="n"/>
      <c r="UWX13" s="21" t="n"/>
      <c r="UWY13" s="21" t="n"/>
      <c r="UWZ13" s="21" t="n"/>
      <c r="UXA13" s="21" t="n"/>
      <c r="UXB13" s="21" t="n"/>
      <c r="UXC13" s="21" t="n"/>
      <c r="UXD13" s="21" t="n"/>
      <c r="UXE13" s="21" t="n"/>
      <c r="UXF13" s="21" t="n"/>
      <c r="UXG13" s="21" t="n"/>
      <c r="UXH13" s="21" t="n"/>
      <c r="UXI13" s="21" t="n"/>
      <c r="UXJ13" s="21" t="n"/>
      <c r="UXK13" s="21" t="n"/>
      <c r="UXL13" s="21" t="n"/>
      <c r="UXM13" s="21" t="n"/>
      <c r="UXN13" s="21" t="n"/>
      <c r="UXO13" s="21" t="n"/>
      <c r="UXP13" s="21" t="n"/>
      <c r="UXQ13" s="21" t="n"/>
      <c r="UXR13" s="21" t="n"/>
      <c r="UXS13" s="21" t="n"/>
      <c r="UXT13" s="21" t="n"/>
      <c r="UXU13" s="21" t="n"/>
      <c r="UXV13" s="21" t="n"/>
      <c r="UXW13" s="21" t="n"/>
      <c r="UXX13" s="21" t="n"/>
      <c r="UXY13" s="21" t="n"/>
      <c r="UXZ13" s="21" t="n"/>
      <c r="UYA13" s="21" t="n"/>
      <c r="UYB13" s="21" t="n"/>
      <c r="UYC13" s="21" t="n"/>
      <c r="UYD13" s="21" t="n"/>
      <c r="UYE13" s="21" t="n"/>
      <c r="UYF13" s="21" t="n"/>
      <c r="UYG13" s="21" t="n"/>
      <c r="UYH13" s="21" t="n"/>
      <c r="UYI13" s="21" t="n"/>
      <c r="UYJ13" s="21" t="n"/>
      <c r="UYK13" s="21" t="n"/>
      <c r="UYL13" s="21" t="n"/>
      <c r="UYM13" s="21" t="n"/>
      <c r="UYN13" s="21" t="n"/>
      <c r="UYO13" s="21" t="n"/>
      <c r="UYP13" s="21" t="n"/>
      <c r="UYQ13" s="21" t="n"/>
      <c r="UYR13" s="21" t="n"/>
      <c r="UYS13" s="21" t="n"/>
      <c r="UYT13" s="21" t="n"/>
      <c r="UYU13" s="21" t="n"/>
      <c r="UYV13" s="21" t="n"/>
      <c r="UYW13" s="21" t="n"/>
      <c r="UYX13" s="21" t="n"/>
      <c r="UYY13" s="21" t="n"/>
      <c r="UYZ13" s="21" t="n"/>
      <c r="UZA13" s="21" t="n"/>
      <c r="UZB13" s="21" t="n"/>
      <c r="UZC13" s="21" t="n"/>
      <c r="UZD13" s="21" t="n"/>
      <c r="UZE13" s="21" t="n"/>
      <c r="UZF13" s="21" t="n"/>
      <c r="UZG13" s="21" t="n"/>
      <c r="UZH13" s="21" t="n"/>
      <c r="UZI13" s="21" t="n"/>
      <c r="UZJ13" s="21" t="n"/>
      <c r="UZK13" s="21" t="n"/>
      <c r="UZL13" s="21" t="n"/>
      <c r="UZM13" s="21" t="n"/>
      <c r="UZN13" s="21" t="n"/>
      <c r="UZO13" s="21" t="n"/>
      <c r="UZP13" s="21" t="n"/>
      <c r="UZQ13" s="21" t="n"/>
      <c r="UZR13" s="21" t="n"/>
      <c r="UZS13" s="21" t="n"/>
      <c r="UZT13" s="21" t="n"/>
      <c r="UZU13" s="21" t="n"/>
      <c r="UZV13" s="21" t="n"/>
      <c r="UZW13" s="21" t="n"/>
      <c r="UZX13" s="21" t="n"/>
      <c r="UZY13" s="21" t="n"/>
      <c r="UZZ13" s="21" t="n"/>
      <c r="VAA13" s="21" t="n"/>
      <c r="VAB13" s="21" t="n"/>
      <c r="VAC13" s="21" t="n"/>
      <c r="VAD13" s="21" t="n"/>
      <c r="VAE13" s="21" t="n"/>
      <c r="VAF13" s="21" t="n"/>
      <c r="VAG13" s="21" t="n"/>
      <c r="VAH13" s="21" t="n"/>
      <c r="VAI13" s="21" t="n"/>
      <c r="VAJ13" s="21" t="n"/>
      <c r="VAK13" s="21" t="n"/>
      <c r="VAL13" s="21" t="n"/>
      <c r="VAM13" s="21" t="n"/>
      <c r="VAN13" s="21" t="n"/>
      <c r="VAO13" s="21" t="n"/>
      <c r="VAP13" s="21" t="n"/>
      <c r="VAQ13" s="21" t="n"/>
      <c r="VAR13" s="21" t="n"/>
      <c r="VAS13" s="21" t="n"/>
      <c r="VAT13" s="21" t="n"/>
      <c r="VAU13" s="21" t="n"/>
      <c r="VAV13" s="21" t="n"/>
      <c r="VAW13" s="21" t="n"/>
      <c r="VAX13" s="21" t="n"/>
      <c r="VAY13" s="21" t="n"/>
      <c r="VAZ13" s="21" t="n"/>
      <c r="VBA13" s="21" t="n"/>
      <c r="VBB13" s="21" t="n"/>
      <c r="VBC13" s="21" t="n"/>
      <c r="VBD13" s="21" t="n"/>
      <c r="VBE13" s="21" t="n"/>
      <c r="VBF13" s="21" t="n"/>
      <c r="VBG13" s="21" t="n"/>
      <c r="VBH13" s="21" t="n"/>
      <c r="VBI13" s="21" t="n"/>
      <c r="VBJ13" s="21" t="n"/>
      <c r="VBK13" s="21" t="n"/>
      <c r="VBL13" s="21" t="n"/>
      <c r="VBM13" s="21" t="n"/>
      <c r="VBN13" s="21" t="n"/>
      <c r="VBO13" s="21" t="n"/>
      <c r="VBP13" s="21" t="n"/>
      <c r="VBQ13" s="21" t="n"/>
      <c r="VBR13" s="21" t="n"/>
      <c r="VBS13" s="21" t="n"/>
      <c r="VBT13" s="21" t="n"/>
      <c r="VBU13" s="21" t="n"/>
      <c r="VBV13" s="21" t="n"/>
      <c r="VBW13" s="21" t="n"/>
      <c r="VBX13" s="21" t="n"/>
      <c r="VBY13" s="21" t="n"/>
      <c r="VBZ13" s="21" t="n"/>
      <c r="VCA13" s="21" t="n"/>
      <c r="VCB13" s="21" t="n"/>
      <c r="VCC13" s="21" t="n"/>
      <c r="VCD13" s="21" t="n"/>
      <c r="VCE13" s="21" t="n"/>
      <c r="VCF13" s="21" t="n"/>
      <c r="VCG13" s="21" t="n"/>
      <c r="VCH13" s="21" t="n"/>
      <c r="VCI13" s="21" t="n"/>
      <c r="VCJ13" s="21" t="n"/>
      <c r="VCK13" s="21" t="n"/>
      <c r="VCL13" s="21" t="n"/>
      <c r="VCM13" s="21" t="n"/>
      <c r="VCN13" s="21" t="n"/>
      <c r="VCO13" s="21" t="n"/>
      <c r="VCP13" s="21" t="n"/>
      <c r="VCQ13" s="21" t="n"/>
      <c r="VCR13" s="21" t="n"/>
      <c r="VCS13" s="21" t="n"/>
      <c r="VCT13" s="21" t="n"/>
      <c r="VCU13" s="21" t="n"/>
      <c r="VCV13" s="21" t="n"/>
      <c r="VCW13" s="21" t="n"/>
      <c r="VCX13" s="21" t="n"/>
      <c r="VCY13" s="21" t="n"/>
      <c r="VCZ13" s="21" t="n"/>
      <c r="VDA13" s="21" t="n"/>
      <c r="VDB13" s="21" t="n"/>
      <c r="VDC13" s="21" t="n"/>
      <c r="VDD13" s="21" t="n"/>
      <c r="VDE13" s="21" t="n"/>
      <c r="VDF13" s="21" t="n"/>
      <c r="VDG13" s="21" t="n"/>
      <c r="VDH13" s="21" t="n"/>
      <c r="VDI13" s="21" t="n"/>
      <c r="VDJ13" s="21" t="n"/>
      <c r="VDK13" s="21" t="n"/>
      <c r="VDL13" s="21" t="n"/>
      <c r="VDM13" s="21" t="n"/>
      <c r="VDN13" s="21" t="n"/>
      <c r="VDO13" s="21" t="n"/>
      <c r="VDP13" s="21" t="n"/>
      <c r="VDQ13" s="21" t="n"/>
      <c r="VDR13" s="21" t="n"/>
      <c r="VDS13" s="21" t="n"/>
      <c r="VDT13" s="21" t="n"/>
      <c r="VDU13" s="21" t="n"/>
      <c r="VDV13" s="21" t="n"/>
      <c r="VDW13" s="21" t="n"/>
      <c r="VDX13" s="21" t="n"/>
      <c r="VDY13" s="21" t="n"/>
      <c r="VDZ13" s="21" t="n"/>
      <c r="VEA13" s="21" t="n"/>
      <c r="VEB13" s="21" t="n"/>
      <c r="VEC13" s="21" t="n"/>
      <c r="VED13" s="21" t="n"/>
      <c r="VEE13" s="21" t="n"/>
      <c r="VEF13" s="21" t="n"/>
      <c r="VEG13" s="21" t="n"/>
      <c r="VEH13" s="21" t="n"/>
      <c r="VEI13" s="21" t="n"/>
      <c r="VEJ13" s="21" t="n"/>
      <c r="VEK13" s="21" t="n"/>
      <c r="VEL13" s="21" t="n"/>
      <c r="VEM13" s="21" t="n"/>
      <c r="VEN13" s="21" t="n"/>
      <c r="VEO13" s="21" t="n"/>
      <c r="VEP13" s="21" t="n"/>
      <c r="VEQ13" s="21" t="n"/>
      <c r="VER13" s="21" t="n"/>
      <c r="VES13" s="21" t="n"/>
      <c r="VET13" s="21" t="n"/>
      <c r="VEU13" s="21" t="n"/>
      <c r="VEV13" s="21" t="n"/>
      <c r="VEW13" s="21" t="n"/>
      <c r="VEX13" s="21" t="n"/>
      <c r="VEY13" s="21" t="n"/>
      <c r="VEZ13" s="21" t="n"/>
      <c r="VFA13" s="21" t="n"/>
      <c r="VFB13" s="21" t="n"/>
      <c r="VFC13" s="21" t="n"/>
      <c r="VFD13" s="21" t="n"/>
      <c r="VFE13" s="21" t="n"/>
      <c r="VFF13" s="21" t="n"/>
      <c r="VFG13" s="21" t="n"/>
      <c r="VFH13" s="21" t="n"/>
      <c r="VFI13" s="21" t="n"/>
      <c r="VFJ13" s="21" t="n"/>
      <c r="VFK13" s="21" t="n"/>
      <c r="VFL13" s="21" t="n"/>
      <c r="VFM13" s="21" t="n"/>
      <c r="VFN13" s="21" t="n"/>
      <c r="VFO13" s="21" t="n"/>
      <c r="VFP13" s="21" t="n"/>
      <c r="VFQ13" s="21" t="n"/>
      <c r="VFR13" s="21" t="n"/>
      <c r="VFS13" s="21" t="n"/>
      <c r="VFT13" s="21" t="n"/>
      <c r="VFU13" s="21" t="n"/>
      <c r="VFV13" s="21" t="n"/>
      <c r="VFW13" s="21" t="n"/>
      <c r="VFX13" s="21" t="n"/>
      <c r="VFY13" s="21" t="n"/>
      <c r="VFZ13" s="21" t="n"/>
      <c r="VGA13" s="21" t="n"/>
      <c r="VGB13" s="21" t="n"/>
      <c r="VGC13" s="21" t="n"/>
      <c r="VGD13" s="21" t="n"/>
      <c r="VGE13" s="21" t="n"/>
      <c r="VGF13" s="21" t="n"/>
      <c r="VGG13" s="21" t="n"/>
      <c r="VGH13" s="21" t="n"/>
      <c r="VGI13" s="21" t="n"/>
      <c r="VGJ13" s="21" t="n"/>
      <c r="VGK13" s="21" t="n"/>
      <c r="VGL13" s="21" t="n"/>
      <c r="VGM13" s="21" t="n"/>
      <c r="VGN13" s="21" t="n"/>
      <c r="VGO13" s="21" t="n"/>
      <c r="VGP13" s="21" t="n"/>
      <c r="VGQ13" s="21" t="n"/>
      <c r="VGR13" s="21" t="n"/>
      <c r="VGS13" s="21" t="n"/>
      <c r="VGT13" s="21" t="n"/>
      <c r="VGU13" s="21" t="n"/>
      <c r="VGV13" s="21" t="n"/>
      <c r="VGW13" s="21" t="n"/>
      <c r="VGX13" s="21" t="n"/>
      <c r="VGY13" s="21" t="n"/>
      <c r="VGZ13" s="21" t="n"/>
      <c r="VHA13" s="21" t="n"/>
      <c r="VHB13" s="21" t="n"/>
      <c r="VHC13" s="21" t="n"/>
      <c r="VHD13" s="21" t="n"/>
      <c r="VHE13" s="21" t="n"/>
      <c r="VHF13" s="21" t="n"/>
      <c r="VHG13" s="21" t="n"/>
      <c r="VHH13" s="21" t="n"/>
      <c r="VHI13" s="21" t="n"/>
      <c r="VHJ13" s="21" t="n"/>
      <c r="VHK13" s="21" t="n"/>
      <c r="VHL13" s="21" t="n"/>
      <c r="VHM13" s="21" t="n"/>
      <c r="VHN13" s="21" t="n"/>
      <c r="VHO13" s="21" t="n"/>
      <c r="VHP13" s="21" t="n"/>
      <c r="VHQ13" s="21" t="n"/>
      <c r="VHR13" s="21" t="n"/>
      <c r="VHS13" s="21" t="n"/>
      <c r="VHT13" s="21" t="n"/>
      <c r="VHU13" s="21" t="n"/>
      <c r="VHV13" s="21" t="n"/>
      <c r="VHW13" s="21" t="n"/>
      <c r="VHX13" s="21" t="n"/>
      <c r="VHY13" s="21" t="n"/>
      <c r="VHZ13" s="21" t="n"/>
      <c r="VIA13" s="21" t="n"/>
      <c r="VIB13" s="21" t="n"/>
      <c r="VIC13" s="21" t="n"/>
      <c r="VID13" s="21" t="n"/>
      <c r="VIE13" s="21" t="n"/>
      <c r="VIF13" s="21" t="n"/>
      <c r="VIG13" s="21" t="n"/>
      <c r="VIH13" s="21" t="n"/>
      <c r="VII13" s="21" t="n"/>
      <c r="VIJ13" s="21" t="n"/>
      <c r="VIK13" s="21" t="n"/>
      <c r="VIL13" s="21" t="n"/>
      <c r="VIM13" s="21" t="n"/>
      <c r="VIN13" s="21" t="n"/>
      <c r="VIO13" s="21" t="n"/>
      <c r="VIP13" s="21" t="n"/>
      <c r="VIQ13" s="21" t="n"/>
      <c r="VIR13" s="21" t="n"/>
      <c r="VIS13" s="21" t="n"/>
      <c r="VIT13" s="21" t="n"/>
      <c r="VIU13" s="21" t="n"/>
      <c r="VIV13" s="21" t="n"/>
      <c r="VIW13" s="21" t="n"/>
      <c r="VIX13" s="21" t="n"/>
      <c r="VIY13" s="21" t="n"/>
      <c r="VIZ13" s="21" t="n"/>
      <c r="VJA13" s="21" t="n"/>
      <c r="VJB13" s="21" t="n"/>
      <c r="VJC13" s="21" t="n"/>
      <c r="VJD13" s="21" t="n"/>
      <c r="VJE13" s="21" t="n"/>
      <c r="VJF13" s="21" t="n"/>
      <c r="VJG13" s="21" t="n"/>
      <c r="VJH13" s="21" t="n"/>
      <c r="VJI13" s="21" t="n"/>
      <c r="VJJ13" s="21" t="n"/>
      <c r="VJK13" s="21" t="n"/>
      <c r="VJL13" s="21" t="n"/>
      <c r="VJM13" s="21" t="n"/>
      <c r="VJN13" s="21" t="n"/>
      <c r="VJO13" s="21" t="n"/>
      <c r="VJP13" s="21" t="n"/>
      <c r="VJQ13" s="21" t="n"/>
      <c r="VJR13" s="21" t="n"/>
      <c r="VJS13" s="21" t="n"/>
      <c r="VJT13" s="21" t="n"/>
      <c r="VJU13" s="21" t="n"/>
      <c r="VJV13" s="21" t="n"/>
      <c r="VJW13" s="21" t="n"/>
      <c r="VJX13" s="21" t="n"/>
      <c r="VJY13" s="21" t="n"/>
      <c r="VJZ13" s="21" t="n"/>
      <c r="VKA13" s="21" t="n"/>
      <c r="VKB13" s="21" t="n"/>
      <c r="VKC13" s="21" t="n"/>
      <c r="VKD13" s="21" t="n"/>
      <c r="VKE13" s="21" t="n"/>
      <c r="VKF13" s="21" t="n"/>
      <c r="VKG13" s="21" t="n"/>
      <c r="VKH13" s="21" t="n"/>
      <c r="VKI13" s="21" t="n"/>
      <c r="VKJ13" s="21" t="n"/>
      <c r="VKK13" s="21" t="n"/>
      <c r="VKL13" s="21" t="n"/>
      <c r="VKM13" s="21" t="n"/>
      <c r="VKN13" s="21" t="n"/>
      <c r="VKO13" s="21" t="n"/>
      <c r="VKP13" s="21" t="n"/>
      <c r="VKQ13" s="21" t="n"/>
      <c r="VKR13" s="21" t="n"/>
      <c r="VKS13" s="21" t="n"/>
      <c r="VKT13" s="21" t="n"/>
      <c r="VKU13" s="21" t="n"/>
      <c r="VKV13" s="21" t="n"/>
      <c r="VKW13" s="21" t="n"/>
      <c r="VKX13" s="21" t="n"/>
      <c r="VKY13" s="21" t="n"/>
      <c r="VKZ13" s="21" t="n"/>
      <c r="VLA13" s="21" t="n"/>
      <c r="VLB13" s="21" t="n"/>
      <c r="VLC13" s="21" t="n"/>
      <c r="VLD13" s="21" t="n"/>
      <c r="VLE13" s="21" t="n"/>
      <c r="VLF13" s="21" t="n"/>
      <c r="VLG13" s="21" t="n"/>
      <c r="VLH13" s="21" t="n"/>
      <c r="VLI13" s="21" t="n"/>
      <c r="VLJ13" s="21" t="n"/>
      <c r="VLK13" s="21" t="n"/>
      <c r="VLL13" s="21" t="n"/>
      <c r="VLM13" s="21" t="n"/>
      <c r="VLN13" s="21" t="n"/>
      <c r="VLO13" s="21" t="n"/>
      <c r="VLP13" s="21" t="n"/>
      <c r="VLQ13" s="21" t="n"/>
      <c r="VLR13" s="21" t="n"/>
      <c r="VLS13" s="21" t="n"/>
      <c r="VLT13" s="21" t="n"/>
      <c r="VLU13" s="21" t="n"/>
      <c r="VLV13" s="21" t="n"/>
      <c r="VLW13" s="21" t="n"/>
      <c r="VLX13" s="21" t="n"/>
      <c r="VLY13" s="21" t="n"/>
      <c r="VLZ13" s="21" t="n"/>
      <c r="VMA13" s="21" t="n"/>
      <c r="VMB13" s="21" t="n"/>
      <c r="VMC13" s="21" t="n"/>
      <c r="VMD13" s="21" t="n"/>
      <c r="VME13" s="21" t="n"/>
      <c r="VMF13" s="21" t="n"/>
      <c r="VMG13" s="21" t="n"/>
      <c r="VMH13" s="21" t="n"/>
      <c r="VMI13" s="21" t="n"/>
      <c r="VMJ13" s="21" t="n"/>
      <c r="VMK13" s="21" t="n"/>
      <c r="VML13" s="21" t="n"/>
      <c r="VMM13" s="21" t="n"/>
      <c r="VMN13" s="21" t="n"/>
      <c r="VMO13" s="21" t="n"/>
      <c r="VMP13" s="21" t="n"/>
      <c r="VMQ13" s="21" t="n"/>
      <c r="VMR13" s="21" t="n"/>
      <c r="VMS13" s="21" t="n"/>
      <c r="VMT13" s="21" t="n"/>
      <c r="VMU13" s="21" t="n"/>
      <c r="VMV13" s="21" t="n"/>
      <c r="VMW13" s="21" t="n"/>
      <c r="VMX13" s="21" t="n"/>
      <c r="VMY13" s="21" t="n"/>
      <c r="VMZ13" s="21" t="n"/>
      <c r="VNA13" s="21" t="n"/>
      <c r="VNB13" s="21" t="n"/>
      <c r="VNC13" s="21" t="n"/>
      <c r="VND13" s="21" t="n"/>
      <c r="VNE13" s="21" t="n"/>
      <c r="VNF13" s="21" t="n"/>
      <c r="VNG13" s="21" t="n"/>
      <c r="VNH13" s="21" t="n"/>
      <c r="VNI13" s="21" t="n"/>
      <c r="VNJ13" s="21" t="n"/>
      <c r="VNK13" s="21" t="n"/>
      <c r="VNL13" s="21" t="n"/>
      <c r="VNM13" s="21" t="n"/>
      <c r="VNN13" s="21" t="n"/>
      <c r="VNO13" s="21" t="n"/>
      <c r="VNP13" s="21" t="n"/>
      <c r="VNQ13" s="21" t="n"/>
      <c r="VNR13" s="21" t="n"/>
      <c r="VNS13" s="21" t="n"/>
      <c r="VNT13" s="21" t="n"/>
      <c r="VNU13" s="21" t="n"/>
      <c r="VNV13" s="21" t="n"/>
      <c r="VNW13" s="21" t="n"/>
      <c r="VNX13" s="21" t="n"/>
      <c r="VNY13" s="21" t="n"/>
      <c r="VNZ13" s="21" t="n"/>
      <c r="VOA13" s="21" t="n"/>
      <c r="VOB13" s="21" t="n"/>
      <c r="VOC13" s="21" t="n"/>
      <c r="VOD13" s="21" t="n"/>
      <c r="VOE13" s="21" t="n"/>
      <c r="VOF13" s="21" t="n"/>
      <c r="VOG13" s="21" t="n"/>
      <c r="VOH13" s="21" t="n"/>
      <c r="VOI13" s="21" t="n"/>
      <c r="VOJ13" s="21" t="n"/>
      <c r="VOK13" s="21" t="n"/>
      <c r="VOL13" s="21" t="n"/>
      <c r="VOM13" s="21" t="n"/>
      <c r="VON13" s="21" t="n"/>
      <c r="VOO13" s="21" t="n"/>
      <c r="VOP13" s="21" t="n"/>
      <c r="VOQ13" s="21" t="n"/>
      <c r="VOR13" s="21" t="n"/>
      <c r="VOS13" s="21" t="n"/>
      <c r="VOT13" s="21" t="n"/>
      <c r="VOU13" s="21" t="n"/>
      <c r="VOV13" s="21" t="n"/>
      <c r="VOW13" s="21" t="n"/>
      <c r="VOX13" s="21" t="n"/>
      <c r="VOY13" s="21" t="n"/>
      <c r="VOZ13" s="21" t="n"/>
      <c r="VPA13" s="21" t="n"/>
      <c r="VPB13" s="21" t="n"/>
      <c r="VPC13" s="21" t="n"/>
      <c r="VPD13" s="21" t="n"/>
      <c r="VPE13" s="21" t="n"/>
      <c r="VPF13" s="21" t="n"/>
      <c r="VPG13" s="21" t="n"/>
      <c r="VPH13" s="21" t="n"/>
      <c r="VPI13" s="21" t="n"/>
      <c r="VPJ13" s="21" t="n"/>
      <c r="VPK13" s="21" t="n"/>
      <c r="VPL13" s="21" t="n"/>
      <c r="VPM13" s="21" t="n"/>
      <c r="VPN13" s="21" t="n"/>
      <c r="VPO13" s="21" t="n"/>
      <c r="VPP13" s="21" t="n"/>
      <c r="VPQ13" s="21" t="n"/>
      <c r="VPR13" s="21" t="n"/>
      <c r="VPS13" s="21" t="n"/>
      <c r="VPT13" s="21" t="n"/>
      <c r="VPU13" s="21" t="n"/>
      <c r="VPV13" s="21" t="n"/>
      <c r="VPW13" s="21" t="n"/>
      <c r="VPX13" s="21" t="n"/>
      <c r="VPY13" s="21" t="n"/>
      <c r="VPZ13" s="21" t="n"/>
      <c r="VQA13" s="21" t="n"/>
      <c r="VQB13" s="21" t="n"/>
      <c r="VQC13" s="21" t="n"/>
      <c r="VQD13" s="21" t="n"/>
      <c r="VQE13" s="21" t="n"/>
      <c r="VQF13" s="21" t="n"/>
      <c r="VQG13" s="21" t="n"/>
      <c r="VQH13" s="21" t="n"/>
      <c r="VQI13" s="21" t="n"/>
      <c r="VQJ13" s="21" t="n"/>
      <c r="VQK13" s="21" t="n"/>
      <c r="VQL13" s="21" t="n"/>
      <c r="VQM13" s="21" t="n"/>
      <c r="VQN13" s="21" t="n"/>
      <c r="VQO13" s="21" t="n"/>
      <c r="VQP13" s="21" t="n"/>
      <c r="VQQ13" s="21" t="n"/>
      <c r="VQR13" s="21" t="n"/>
      <c r="VQS13" s="21" t="n"/>
      <c r="VQT13" s="21" t="n"/>
      <c r="VQU13" s="21" t="n"/>
      <c r="VQV13" s="21" t="n"/>
      <c r="VQW13" s="21" t="n"/>
      <c r="VQX13" s="21" t="n"/>
      <c r="VQY13" s="21" t="n"/>
      <c r="VQZ13" s="21" t="n"/>
      <c r="VRA13" s="21" t="n"/>
      <c r="VRB13" s="21" t="n"/>
      <c r="VRC13" s="21" t="n"/>
      <c r="VRD13" s="21" t="n"/>
      <c r="VRE13" s="21" t="n"/>
      <c r="VRF13" s="21" t="n"/>
      <c r="VRG13" s="21" t="n"/>
      <c r="VRH13" s="21" t="n"/>
      <c r="VRI13" s="21" t="n"/>
      <c r="VRJ13" s="21" t="n"/>
      <c r="VRK13" s="21" t="n"/>
      <c r="VRL13" s="21" t="n"/>
      <c r="VRM13" s="21" t="n"/>
      <c r="VRN13" s="21" t="n"/>
      <c r="VRO13" s="21" t="n"/>
      <c r="VRP13" s="21" t="n"/>
      <c r="VRQ13" s="21" t="n"/>
      <c r="VRR13" s="21" t="n"/>
      <c r="VRS13" s="21" t="n"/>
      <c r="VRT13" s="21" t="n"/>
      <c r="VRU13" s="21" t="n"/>
      <c r="VRV13" s="21" t="n"/>
      <c r="VRW13" s="21" t="n"/>
      <c r="VRX13" s="21" t="n"/>
      <c r="VRY13" s="21" t="n"/>
      <c r="VRZ13" s="21" t="n"/>
      <c r="VSA13" s="21" t="n"/>
      <c r="VSB13" s="21" t="n"/>
      <c r="VSC13" s="21" t="n"/>
      <c r="VSD13" s="21" t="n"/>
      <c r="VSE13" s="21" t="n"/>
      <c r="VSF13" s="21" t="n"/>
      <c r="VSG13" s="21" t="n"/>
      <c r="VSH13" s="21" t="n"/>
      <c r="VSI13" s="21" t="n"/>
      <c r="VSJ13" s="21" t="n"/>
      <c r="VSK13" s="21" t="n"/>
      <c r="VSL13" s="21" t="n"/>
      <c r="VSM13" s="21" t="n"/>
      <c r="VSN13" s="21" t="n"/>
      <c r="VSO13" s="21" t="n"/>
      <c r="VSP13" s="21" t="n"/>
      <c r="VSQ13" s="21" t="n"/>
      <c r="VSR13" s="21" t="n"/>
      <c r="VSS13" s="21" t="n"/>
      <c r="VST13" s="21" t="n"/>
      <c r="VSU13" s="21" t="n"/>
      <c r="VSV13" s="21" t="n"/>
      <c r="VSW13" s="21" t="n"/>
      <c r="VSX13" s="21" t="n"/>
      <c r="VSY13" s="21" t="n"/>
      <c r="VSZ13" s="21" t="n"/>
      <c r="VTA13" s="21" t="n"/>
      <c r="VTB13" s="21" t="n"/>
      <c r="VTC13" s="21" t="n"/>
      <c r="VTD13" s="21" t="n"/>
      <c r="VTE13" s="21" t="n"/>
      <c r="VTF13" s="21" t="n"/>
      <c r="VTG13" s="21" t="n"/>
      <c r="VTH13" s="21" t="n"/>
      <c r="VTI13" s="21" t="n"/>
      <c r="VTJ13" s="21" t="n"/>
      <c r="VTK13" s="21" t="n"/>
      <c r="VTL13" s="21" t="n"/>
      <c r="VTM13" s="21" t="n"/>
      <c r="VTN13" s="21" t="n"/>
      <c r="VTO13" s="21" t="n"/>
      <c r="VTP13" s="21" t="n"/>
      <c r="VTQ13" s="21" t="n"/>
      <c r="VTR13" s="21" t="n"/>
      <c r="VTS13" s="21" t="n"/>
      <c r="VTT13" s="21" t="n"/>
      <c r="VTU13" s="21" t="n"/>
      <c r="VTV13" s="21" t="n"/>
      <c r="VTW13" s="21" t="n"/>
      <c r="VTX13" s="21" t="n"/>
      <c r="VTY13" s="21" t="n"/>
      <c r="VTZ13" s="21" t="n"/>
      <c r="VUA13" s="21" t="n"/>
      <c r="VUB13" s="21" t="n"/>
      <c r="VUC13" s="21" t="n"/>
      <c r="VUD13" s="21" t="n"/>
      <c r="VUE13" s="21" t="n"/>
      <c r="VUF13" s="21" t="n"/>
      <c r="VUG13" s="21" t="n"/>
      <c r="VUH13" s="21" t="n"/>
      <c r="VUI13" s="21" t="n"/>
      <c r="VUJ13" s="21" t="n"/>
      <c r="VUK13" s="21" t="n"/>
      <c r="VUL13" s="21" t="n"/>
      <c r="VUM13" s="21" t="n"/>
      <c r="VUN13" s="21" t="n"/>
      <c r="VUO13" s="21" t="n"/>
      <c r="VUP13" s="21" t="n"/>
      <c r="VUQ13" s="21" t="n"/>
      <c r="VUR13" s="21" t="n"/>
      <c r="VUS13" s="21" t="n"/>
      <c r="VUT13" s="21" t="n"/>
      <c r="VUU13" s="21" t="n"/>
      <c r="VUV13" s="21" t="n"/>
      <c r="VUW13" s="21" t="n"/>
      <c r="VUX13" s="21" t="n"/>
      <c r="VUY13" s="21" t="n"/>
      <c r="VUZ13" s="21" t="n"/>
      <c r="VVA13" s="21" t="n"/>
      <c r="VVB13" s="21" t="n"/>
      <c r="VVC13" s="21" t="n"/>
      <c r="VVD13" s="21" t="n"/>
      <c r="VVE13" s="21" t="n"/>
      <c r="VVF13" s="21" t="n"/>
      <c r="VVG13" s="21" t="n"/>
      <c r="VVH13" s="21" t="n"/>
      <c r="VVI13" s="21" t="n"/>
      <c r="VVJ13" s="21" t="n"/>
      <c r="VVK13" s="21" t="n"/>
      <c r="VVL13" s="21" t="n"/>
      <c r="VVM13" s="21" t="n"/>
      <c r="VVN13" s="21" t="n"/>
      <c r="VVO13" s="21" t="n"/>
      <c r="VVP13" s="21" t="n"/>
      <c r="VVQ13" s="21" t="n"/>
      <c r="VVR13" s="21" t="n"/>
      <c r="VVS13" s="21" t="n"/>
      <c r="VVT13" s="21" t="n"/>
      <c r="VVU13" s="21" t="n"/>
      <c r="VVV13" s="21" t="n"/>
      <c r="VVW13" s="21" t="n"/>
      <c r="VVX13" s="21" t="n"/>
      <c r="VVY13" s="21" t="n"/>
      <c r="VVZ13" s="21" t="n"/>
      <c r="VWA13" s="21" t="n"/>
      <c r="VWB13" s="21" t="n"/>
      <c r="VWC13" s="21" t="n"/>
      <c r="VWD13" s="21" t="n"/>
      <c r="VWE13" s="21" t="n"/>
      <c r="VWF13" s="21" t="n"/>
      <c r="VWG13" s="21" t="n"/>
      <c r="VWH13" s="21" t="n"/>
      <c r="VWI13" s="21" t="n"/>
      <c r="VWJ13" s="21" t="n"/>
      <c r="VWK13" s="21" t="n"/>
      <c r="VWL13" s="21" t="n"/>
      <c r="VWM13" s="21" t="n"/>
      <c r="VWN13" s="21" t="n"/>
      <c r="VWO13" s="21" t="n"/>
      <c r="VWP13" s="21" t="n"/>
      <c r="VWQ13" s="21" t="n"/>
      <c r="VWR13" s="21" t="n"/>
      <c r="VWS13" s="21" t="n"/>
      <c r="VWT13" s="21" t="n"/>
      <c r="VWU13" s="21" t="n"/>
      <c r="VWV13" s="21" t="n"/>
      <c r="VWW13" s="21" t="n"/>
      <c r="VWX13" s="21" t="n"/>
      <c r="VWY13" s="21" t="n"/>
      <c r="VWZ13" s="21" t="n"/>
      <c r="VXA13" s="21" t="n"/>
      <c r="VXB13" s="21" t="n"/>
      <c r="VXC13" s="21" t="n"/>
      <c r="VXD13" s="21" t="n"/>
      <c r="VXE13" s="21" t="n"/>
      <c r="VXF13" s="21" t="n"/>
      <c r="VXG13" s="21" t="n"/>
      <c r="VXH13" s="21" t="n"/>
      <c r="VXI13" s="21" t="n"/>
      <c r="VXJ13" s="21" t="n"/>
      <c r="VXK13" s="21" t="n"/>
      <c r="VXL13" s="21" t="n"/>
      <c r="VXM13" s="21" t="n"/>
      <c r="VXN13" s="21" t="n"/>
      <c r="VXO13" s="21" t="n"/>
      <c r="VXP13" s="21" t="n"/>
      <c r="VXQ13" s="21" t="n"/>
      <c r="VXR13" s="21" t="n"/>
      <c r="VXS13" s="21" t="n"/>
      <c r="VXT13" s="21" t="n"/>
      <c r="VXU13" s="21" t="n"/>
      <c r="VXV13" s="21" t="n"/>
      <c r="VXW13" s="21" t="n"/>
      <c r="VXX13" s="21" t="n"/>
      <c r="VXY13" s="21" t="n"/>
      <c r="VXZ13" s="21" t="n"/>
      <c r="VYA13" s="21" t="n"/>
      <c r="VYB13" s="21" t="n"/>
      <c r="VYC13" s="21" t="n"/>
      <c r="VYD13" s="21" t="n"/>
      <c r="VYE13" s="21" t="n"/>
      <c r="VYF13" s="21" t="n"/>
      <c r="VYG13" s="21" t="n"/>
      <c r="VYH13" s="21" t="n"/>
      <c r="VYI13" s="21" t="n"/>
      <c r="VYJ13" s="21" t="n"/>
      <c r="VYK13" s="21" t="n"/>
      <c r="VYL13" s="21" t="n"/>
      <c r="VYM13" s="21" t="n"/>
      <c r="VYN13" s="21" t="n"/>
      <c r="VYO13" s="21" t="n"/>
      <c r="VYP13" s="21" t="n"/>
      <c r="VYQ13" s="21" t="n"/>
      <c r="VYR13" s="21" t="n"/>
      <c r="VYS13" s="21" t="n"/>
      <c r="VYT13" s="21" t="n"/>
      <c r="VYU13" s="21" t="n"/>
      <c r="VYV13" s="21" t="n"/>
      <c r="VYW13" s="21" t="n"/>
      <c r="VYX13" s="21" t="n"/>
      <c r="VYY13" s="21" t="n"/>
      <c r="VYZ13" s="21" t="n"/>
      <c r="VZA13" s="21" t="n"/>
      <c r="VZB13" s="21" t="n"/>
      <c r="VZC13" s="21" t="n"/>
      <c r="VZD13" s="21" t="n"/>
      <c r="VZE13" s="21" t="n"/>
      <c r="VZF13" s="21" t="n"/>
      <c r="VZG13" s="21" t="n"/>
      <c r="VZH13" s="21" t="n"/>
      <c r="VZI13" s="21" t="n"/>
      <c r="VZJ13" s="21" t="n"/>
      <c r="VZK13" s="21" t="n"/>
      <c r="VZL13" s="21" t="n"/>
      <c r="VZM13" s="21" t="n"/>
      <c r="VZN13" s="21" t="n"/>
      <c r="VZO13" s="21" t="n"/>
      <c r="VZP13" s="21" t="n"/>
      <c r="VZQ13" s="21" t="n"/>
      <c r="VZR13" s="21" t="n"/>
      <c r="VZS13" s="21" t="n"/>
      <c r="VZT13" s="21" t="n"/>
      <c r="VZU13" s="21" t="n"/>
      <c r="VZV13" s="21" t="n"/>
      <c r="VZW13" s="21" t="n"/>
      <c r="VZX13" s="21" t="n"/>
      <c r="VZY13" s="21" t="n"/>
      <c r="VZZ13" s="21" t="n"/>
      <c r="WAA13" s="21" t="n"/>
      <c r="WAB13" s="21" t="n"/>
      <c r="WAC13" s="21" t="n"/>
      <c r="WAD13" s="21" t="n"/>
      <c r="WAE13" s="21" t="n"/>
      <c r="WAF13" s="21" t="n"/>
      <c r="WAG13" s="21" t="n"/>
      <c r="WAH13" s="21" t="n"/>
      <c r="WAI13" s="21" t="n"/>
      <c r="WAJ13" s="21" t="n"/>
      <c r="WAK13" s="21" t="n"/>
      <c r="WAL13" s="21" t="n"/>
      <c r="WAM13" s="21" t="n"/>
      <c r="WAN13" s="21" t="n"/>
      <c r="WAO13" s="21" t="n"/>
      <c r="WAP13" s="21" t="n"/>
      <c r="WAQ13" s="21" t="n"/>
      <c r="WAR13" s="21" t="n"/>
      <c r="WAS13" s="21" t="n"/>
      <c r="WAT13" s="21" t="n"/>
      <c r="WAU13" s="21" t="n"/>
      <c r="WAV13" s="21" t="n"/>
      <c r="WAW13" s="21" t="n"/>
      <c r="WAX13" s="21" t="n"/>
      <c r="WAY13" s="21" t="n"/>
      <c r="WAZ13" s="21" t="n"/>
      <c r="WBA13" s="21" t="n"/>
      <c r="WBB13" s="21" t="n"/>
      <c r="WBC13" s="21" t="n"/>
      <c r="WBD13" s="21" t="n"/>
      <c r="WBE13" s="21" t="n"/>
      <c r="WBF13" s="21" t="n"/>
      <c r="WBG13" s="21" t="n"/>
      <c r="WBH13" s="21" t="n"/>
      <c r="WBI13" s="21" t="n"/>
      <c r="WBJ13" s="21" t="n"/>
      <c r="WBK13" s="21" t="n"/>
      <c r="WBL13" s="21" t="n"/>
      <c r="WBM13" s="21" t="n"/>
      <c r="WBN13" s="21" t="n"/>
      <c r="WBO13" s="21" t="n"/>
      <c r="WBP13" s="21" t="n"/>
      <c r="WBQ13" s="21" t="n"/>
      <c r="WBR13" s="21" t="n"/>
      <c r="WBS13" s="21" t="n"/>
      <c r="WBT13" s="21" t="n"/>
      <c r="WBU13" s="21" t="n"/>
      <c r="WBV13" s="21" t="n"/>
      <c r="WBW13" s="21" t="n"/>
      <c r="WBX13" s="21" t="n"/>
      <c r="WBY13" s="21" t="n"/>
      <c r="WBZ13" s="21" t="n"/>
      <c r="WCA13" s="21" t="n"/>
      <c r="WCB13" s="21" t="n"/>
      <c r="WCC13" s="21" t="n"/>
      <c r="WCD13" s="21" t="n"/>
      <c r="WCE13" s="21" t="n"/>
      <c r="WCF13" s="21" t="n"/>
      <c r="WCG13" s="21" t="n"/>
      <c r="WCH13" s="21" t="n"/>
      <c r="WCI13" s="21" t="n"/>
      <c r="WCJ13" s="21" t="n"/>
      <c r="WCK13" s="21" t="n"/>
      <c r="WCL13" s="21" t="n"/>
      <c r="WCM13" s="21" t="n"/>
      <c r="WCN13" s="21" t="n"/>
      <c r="WCO13" s="21" t="n"/>
      <c r="WCP13" s="21" t="n"/>
      <c r="WCQ13" s="21" t="n"/>
      <c r="WCR13" s="21" t="n"/>
      <c r="WCS13" s="21" t="n"/>
      <c r="WCT13" s="21" t="n"/>
      <c r="WCU13" s="21" t="n"/>
      <c r="WCV13" s="21" t="n"/>
      <c r="WCW13" s="21" t="n"/>
      <c r="WCX13" s="21" t="n"/>
      <c r="WCY13" s="21" t="n"/>
      <c r="WCZ13" s="21" t="n"/>
      <c r="WDA13" s="21" t="n"/>
      <c r="WDB13" s="21" t="n"/>
      <c r="WDC13" s="21" t="n"/>
      <c r="WDD13" s="21" t="n"/>
      <c r="WDE13" s="21" t="n"/>
      <c r="WDF13" s="21" t="n"/>
      <c r="WDG13" s="21" t="n"/>
      <c r="WDH13" s="21" t="n"/>
      <c r="WDI13" s="21" t="n"/>
      <c r="WDJ13" s="21" t="n"/>
      <c r="WDK13" s="21" t="n"/>
      <c r="WDL13" s="21" t="n"/>
      <c r="WDM13" s="21" t="n"/>
      <c r="WDN13" s="21" t="n"/>
      <c r="WDO13" s="21" t="n"/>
      <c r="WDP13" s="21" t="n"/>
      <c r="WDQ13" s="21" t="n"/>
      <c r="WDR13" s="21" t="n"/>
      <c r="WDS13" s="21" t="n"/>
      <c r="WDT13" s="21" t="n"/>
      <c r="WDU13" s="21" t="n"/>
      <c r="WDV13" s="21" t="n"/>
      <c r="WDW13" s="21" t="n"/>
      <c r="WDX13" s="21" t="n"/>
      <c r="WDY13" s="21" t="n"/>
      <c r="WDZ13" s="21" t="n"/>
      <c r="WEA13" s="21" t="n"/>
      <c r="WEB13" s="21" t="n"/>
      <c r="WEC13" s="21" t="n"/>
      <c r="WED13" s="21" t="n"/>
      <c r="WEE13" s="21" t="n"/>
      <c r="WEF13" s="21" t="n"/>
      <c r="WEG13" s="21" t="n"/>
      <c r="WEH13" s="21" t="n"/>
      <c r="WEI13" s="21" t="n"/>
      <c r="WEJ13" s="21" t="n"/>
      <c r="WEK13" s="21" t="n"/>
      <c r="WEL13" s="21" t="n"/>
      <c r="WEM13" s="21" t="n"/>
      <c r="WEN13" s="21" t="n"/>
      <c r="WEO13" s="21" t="n"/>
      <c r="WEP13" s="21" t="n"/>
      <c r="WEQ13" s="21" t="n"/>
      <c r="WER13" s="21" t="n"/>
      <c r="WES13" s="21" t="n"/>
      <c r="WET13" s="21" t="n"/>
      <c r="WEU13" s="21" t="n"/>
      <c r="WEV13" s="21" t="n"/>
      <c r="WEW13" s="21" t="n"/>
      <c r="WEX13" s="21" t="n"/>
      <c r="WEY13" s="21" t="n"/>
      <c r="WEZ13" s="21" t="n"/>
      <c r="WFA13" s="21" t="n"/>
      <c r="WFB13" s="21" t="n"/>
      <c r="WFC13" s="21" t="n"/>
      <c r="WFD13" s="21" t="n"/>
      <c r="WFE13" s="21" t="n"/>
      <c r="WFF13" s="21" t="n"/>
      <c r="WFG13" s="21" t="n"/>
      <c r="WFH13" s="21" t="n"/>
      <c r="WFI13" s="21" t="n"/>
      <c r="WFJ13" s="21" t="n"/>
      <c r="WFK13" s="21" t="n"/>
      <c r="WFL13" s="21" t="n"/>
      <c r="WFM13" s="21" t="n"/>
      <c r="WFN13" s="21" t="n"/>
      <c r="WFO13" s="21" t="n"/>
      <c r="WFP13" s="21" t="n"/>
      <c r="WFQ13" s="21" t="n"/>
      <c r="WFR13" s="21" t="n"/>
      <c r="WFS13" s="21" t="n"/>
      <c r="WFT13" s="21" t="n"/>
      <c r="WFU13" s="21" t="n"/>
      <c r="WFV13" s="21" t="n"/>
      <c r="WFW13" s="21" t="n"/>
      <c r="WFX13" s="21" t="n"/>
      <c r="WFY13" s="21" t="n"/>
      <c r="WFZ13" s="21" t="n"/>
      <c r="WGA13" s="21" t="n"/>
      <c r="WGB13" s="21" t="n"/>
      <c r="WGC13" s="21" t="n"/>
      <c r="WGD13" s="21" t="n"/>
      <c r="WGE13" s="21" t="n"/>
      <c r="WGF13" s="21" t="n"/>
      <c r="WGG13" s="21" t="n"/>
      <c r="WGH13" s="21" t="n"/>
      <c r="WGI13" s="21" t="n"/>
      <c r="WGJ13" s="21" t="n"/>
      <c r="WGK13" s="21" t="n"/>
      <c r="WGL13" s="21" t="n"/>
      <c r="WGM13" s="21" t="n"/>
      <c r="WGN13" s="21" t="n"/>
      <c r="WGO13" s="21" t="n"/>
      <c r="WGP13" s="21" t="n"/>
      <c r="WGQ13" s="21" t="n"/>
      <c r="WGR13" s="21" t="n"/>
      <c r="WGS13" s="21" t="n"/>
      <c r="WGT13" s="21" t="n"/>
      <c r="WGU13" s="21" t="n"/>
      <c r="WGV13" s="21" t="n"/>
      <c r="WGW13" s="21" t="n"/>
      <c r="WGX13" s="21" t="n"/>
      <c r="WGY13" s="21" t="n"/>
      <c r="WGZ13" s="21" t="n"/>
      <c r="WHA13" s="21" t="n"/>
      <c r="WHB13" s="21" t="n"/>
      <c r="WHC13" s="21" t="n"/>
      <c r="WHD13" s="21" t="n"/>
      <c r="WHE13" s="21" t="n"/>
      <c r="WHF13" s="21" t="n"/>
      <c r="WHG13" s="21" t="n"/>
      <c r="WHH13" s="21" t="n"/>
      <c r="WHI13" s="21" t="n"/>
      <c r="WHJ13" s="21" t="n"/>
      <c r="WHK13" s="21" t="n"/>
      <c r="WHL13" s="21" t="n"/>
      <c r="WHM13" s="21" t="n"/>
      <c r="WHN13" s="21" t="n"/>
      <c r="WHO13" s="21" t="n"/>
      <c r="WHP13" s="21" t="n"/>
      <c r="WHQ13" s="21" t="n"/>
      <c r="WHR13" s="21" t="n"/>
      <c r="WHS13" s="21" t="n"/>
      <c r="WHT13" s="21" t="n"/>
      <c r="WHU13" s="21" t="n"/>
      <c r="WHV13" s="21" t="n"/>
      <c r="WHW13" s="21" t="n"/>
      <c r="WHX13" s="21" t="n"/>
      <c r="WHY13" s="21" t="n"/>
      <c r="WHZ13" s="21" t="n"/>
      <c r="WIA13" s="21" t="n"/>
      <c r="WIB13" s="21" t="n"/>
      <c r="WIC13" s="21" t="n"/>
      <c r="WID13" s="21" t="n"/>
      <c r="WIE13" s="21" t="n"/>
      <c r="WIF13" s="21" t="n"/>
      <c r="WIG13" s="21" t="n"/>
      <c r="WIH13" s="21" t="n"/>
      <c r="WII13" s="21" t="n"/>
      <c r="WIJ13" s="21" t="n"/>
      <c r="WIK13" s="21" t="n"/>
      <c r="WIL13" s="21" t="n"/>
      <c r="WIM13" s="21" t="n"/>
      <c r="WIN13" s="21" t="n"/>
      <c r="WIO13" s="21" t="n"/>
      <c r="WIP13" s="21" t="n"/>
      <c r="WIQ13" s="21" t="n"/>
      <c r="WIR13" s="21" t="n"/>
      <c r="WIS13" s="21" t="n"/>
      <c r="WIT13" s="21" t="n"/>
      <c r="WIU13" s="21" t="n"/>
      <c r="WIV13" s="21" t="n"/>
      <c r="WIW13" s="21" t="n"/>
      <c r="WIX13" s="21" t="n"/>
      <c r="WIY13" s="21" t="n"/>
      <c r="WIZ13" s="21" t="n"/>
      <c r="WJA13" s="21" t="n"/>
      <c r="WJB13" s="21" t="n"/>
      <c r="WJC13" s="21" t="n"/>
      <c r="WJD13" s="21" t="n"/>
      <c r="WJE13" s="21" t="n"/>
      <c r="WJF13" s="21" t="n"/>
      <c r="WJG13" s="21" t="n"/>
      <c r="WJH13" s="21" t="n"/>
      <c r="WJI13" s="21" t="n"/>
      <c r="WJJ13" s="21" t="n"/>
      <c r="WJK13" s="21" t="n"/>
      <c r="WJL13" s="21" t="n"/>
      <c r="WJM13" s="21" t="n"/>
      <c r="WJN13" s="21" t="n"/>
      <c r="WJO13" s="21" t="n"/>
      <c r="WJP13" s="21" t="n"/>
      <c r="WJQ13" s="21" t="n"/>
      <c r="WJR13" s="21" t="n"/>
      <c r="WJS13" s="21" t="n"/>
      <c r="WJT13" s="21" t="n"/>
      <c r="WJU13" s="21" t="n"/>
      <c r="WJV13" s="21" t="n"/>
      <c r="WJW13" s="21" t="n"/>
      <c r="WJX13" s="21" t="n"/>
      <c r="WJY13" s="21" t="n"/>
      <c r="WJZ13" s="21" t="n"/>
      <c r="WKA13" s="21" t="n"/>
      <c r="WKB13" s="21" t="n"/>
      <c r="WKC13" s="21" t="n"/>
      <c r="WKD13" s="21" t="n"/>
      <c r="WKE13" s="21" t="n"/>
      <c r="WKF13" s="21" t="n"/>
      <c r="WKG13" s="21" t="n"/>
      <c r="WKH13" s="21" t="n"/>
      <c r="WKI13" s="21" t="n"/>
      <c r="WKJ13" s="21" t="n"/>
      <c r="WKK13" s="21" t="n"/>
      <c r="WKL13" s="21" t="n"/>
      <c r="WKM13" s="21" t="n"/>
      <c r="WKN13" s="21" t="n"/>
      <c r="WKO13" s="21" t="n"/>
      <c r="WKP13" s="21" t="n"/>
      <c r="WKQ13" s="21" t="n"/>
      <c r="WKR13" s="21" t="n"/>
      <c r="WKS13" s="21" t="n"/>
      <c r="WKT13" s="21" t="n"/>
      <c r="WKU13" s="21" t="n"/>
      <c r="WKV13" s="21" t="n"/>
      <c r="WKW13" s="21" t="n"/>
      <c r="WKX13" s="21" t="n"/>
      <c r="WKY13" s="21" t="n"/>
      <c r="WKZ13" s="21" t="n"/>
      <c r="WLA13" s="21" t="n"/>
      <c r="WLB13" s="21" t="n"/>
      <c r="WLC13" s="21" t="n"/>
      <c r="WLD13" s="21" t="n"/>
      <c r="WLE13" s="21" t="n"/>
      <c r="WLF13" s="21" t="n"/>
      <c r="WLG13" s="21" t="n"/>
      <c r="WLH13" s="21" t="n"/>
      <c r="WLI13" s="21" t="n"/>
      <c r="WLJ13" s="21" t="n"/>
      <c r="WLK13" s="21" t="n"/>
      <c r="WLL13" s="21" t="n"/>
      <c r="WLM13" s="21" t="n"/>
      <c r="WLN13" s="21" t="n"/>
      <c r="WLO13" s="21" t="n"/>
      <c r="WLP13" s="21" t="n"/>
      <c r="WLQ13" s="21" t="n"/>
      <c r="WLR13" s="21" t="n"/>
      <c r="WLS13" s="21" t="n"/>
      <c r="WLT13" s="21" t="n"/>
      <c r="WLU13" s="21" t="n"/>
      <c r="WLV13" s="21" t="n"/>
      <c r="WLW13" s="21" t="n"/>
      <c r="WLX13" s="21" t="n"/>
      <c r="WLY13" s="21" t="n"/>
      <c r="WLZ13" s="21" t="n"/>
      <c r="WMA13" s="21" t="n"/>
      <c r="WMB13" s="21" t="n"/>
      <c r="WMC13" s="21" t="n"/>
      <c r="WMD13" s="21" t="n"/>
      <c r="WME13" s="21" t="n"/>
      <c r="WMF13" s="21" t="n"/>
      <c r="WMG13" s="21" t="n"/>
      <c r="WMH13" s="21" t="n"/>
      <c r="WMI13" s="21" t="n"/>
      <c r="WMJ13" s="21" t="n"/>
      <c r="WMK13" s="21" t="n"/>
      <c r="WML13" s="21" t="n"/>
      <c r="WMM13" s="21" t="n"/>
      <c r="WMN13" s="21" t="n"/>
      <c r="WMO13" s="21" t="n"/>
      <c r="WMP13" s="21" t="n"/>
      <c r="WMQ13" s="21" t="n"/>
      <c r="WMR13" s="21" t="n"/>
      <c r="WMS13" s="21" t="n"/>
      <c r="WMT13" s="21" t="n"/>
      <c r="WMU13" s="21" t="n"/>
      <c r="WMV13" s="21" t="n"/>
      <c r="WMW13" s="21" t="n"/>
      <c r="WMX13" s="21" t="n"/>
      <c r="WMY13" s="21" t="n"/>
      <c r="WMZ13" s="21" t="n"/>
      <c r="WNA13" s="21" t="n"/>
      <c r="WNB13" s="21" t="n"/>
      <c r="WNC13" s="21" t="n"/>
      <c r="WND13" s="21" t="n"/>
      <c r="WNE13" s="21" t="n"/>
      <c r="WNF13" s="21" t="n"/>
      <c r="WNG13" s="21" t="n"/>
      <c r="WNH13" s="21" t="n"/>
      <c r="WNI13" s="21" t="n"/>
      <c r="WNJ13" s="21" t="n"/>
      <c r="WNK13" s="21" t="n"/>
      <c r="WNL13" s="21" t="n"/>
      <c r="WNM13" s="21" t="n"/>
      <c r="WNN13" s="21" t="n"/>
      <c r="WNO13" s="21" t="n"/>
      <c r="WNP13" s="21" t="n"/>
      <c r="WNQ13" s="21" t="n"/>
      <c r="WNR13" s="21" t="n"/>
      <c r="WNS13" s="21" t="n"/>
      <c r="WNT13" s="21" t="n"/>
      <c r="WNU13" s="21" t="n"/>
      <c r="WNV13" s="21" t="n"/>
      <c r="WNW13" s="21" t="n"/>
      <c r="WNX13" s="21" t="n"/>
      <c r="WNY13" s="21" t="n"/>
      <c r="WNZ13" s="21" t="n"/>
      <c r="WOA13" s="21" t="n"/>
      <c r="WOB13" s="21" t="n"/>
      <c r="WOC13" s="21" t="n"/>
      <c r="WOD13" s="21" t="n"/>
      <c r="WOE13" s="21" t="n"/>
      <c r="WOF13" s="21" t="n"/>
      <c r="WOG13" s="21" t="n"/>
      <c r="WOH13" s="21" t="n"/>
      <c r="WOI13" s="21" t="n"/>
      <c r="WOJ13" s="21" t="n"/>
      <c r="WOK13" s="21" t="n"/>
      <c r="WOL13" s="21" t="n"/>
      <c r="WOM13" s="21" t="n"/>
      <c r="WON13" s="21" t="n"/>
      <c r="WOO13" s="21" t="n"/>
      <c r="WOP13" s="21" t="n"/>
      <c r="WOQ13" s="21" t="n"/>
      <c r="WOR13" s="21" t="n"/>
      <c r="WOS13" s="21" t="n"/>
      <c r="WOT13" s="21" t="n"/>
      <c r="WOU13" s="21" t="n"/>
      <c r="WOV13" s="21" t="n"/>
      <c r="WOW13" s="21" t="n"/>
      <c r="WOX13" s="21" t="n"/>
      <c r="WOY13" s="21" t="n"/>
      <c r="WOZ13" s="21" t="n"/>
      <c r="WPA13" s="21" t="n"/>
      <c r="WPB13" s="21" t="n"/>
      <c r="WPC13" s="21" t="n"/>
      <c r="WPD13" s="21" t="n"/>
      <c r="WPE13" s="21" t="n"/>
      <c r="WPF13" s="21" t="n"/>
      <c r="WPG13" s="21" t="n"/>
      <c r="WPH13" s="21" t="n"/>
      <c r="WPI13" s="21" t="n"/>
      <c r="WPJ13" s="21" t="n"/>
      <c r="WPK13" s="21" t="n"/>
      <c r="WPL13" s="21" t="n"/>
      <c r="WPM13" s="21" t="n"/>
      <c r="WPN13" s="21" t="n"/>
      <c r="WPO13" s="21" t="n"/>
      <c r="WPP13" s="21" t="n"/>
      <c r="WPQ13" s="21" t="n"/>
      <c r="WPR13" s="21" t="n"/>
      <c r="WPS13" s="21" t="n"/>
      <c r="WPT13" s="21" t="n"/>
      <c r="WPU13" s="21" t="n"/>
      <c r="WPV13" s="21" t="n"/>
      <c r="WPW13" s="21" t="n"/>
      <c r="WPX13" s="21" t="n"/>
      <c r="WPY13" s="21" t="n"/>
      <c r="WPZ13" s="21" t="n"/>
      <c r="WQA13" s="21" t="n"/>
      <c r="WQB13" s="21" t="n"/>
      <c r="WQC13" s="21" t="n"/>
      <c r="WQD13" s="21" t="n"/>
      <c r="WQE13" s="21" t="n"/>
      <c r="WQF13" s="21" t="n"/>
      <c r="WQG13" s="21" t="n"/>
      <c r="WQH13" s="21" t="n"/>
      <c r="WQI13" s="21" t="n"/>
      <c r="WQJ13" s="21" t="n"/>
      <c r="WQK13" s="21" t="n"/>
      <c r="WQL13" s="21" t="n"/>
      <c r="WQM13" s="21" t="n"/>
      <c r="WQN13" s="21" t="n"/>
      <c r="WQO13" s="21" t="n"/>
      <c r="WQP13" s="21" t="n"/>
      <c r="WQQ13" s="21" t="n"/>
      <c r="WQR13" s="21" t="n"/>
      <c r="WQS13" s="21" t="n"/>
      <c r="WQT13" s="21" t="n"/>
      <c r="WQU13" s="21" t="n"/>
      <c r="WQV13" s="21" t="n"/>
      <c r="WQW13" s="21" t="n"/>
      <c r="WQX13" s="21" t="n"/>
      <c r="WQY13" s="21" t="n"/>
      <c r="WQZ13" s="21" t="n"/>
      <c r="WRA13" s="21" t="n"/>
      <c r="WRB13" s="21" t="n"/>
      <c r="WRC13" s="21" t="n"/>
      <c r="WRD13" s="21" t="n"/>
      <c r="WRE13" s="21" t="n"/>
      <c r="WRF13" s="21" t="n"/>
      <c r="WRG13" s="21" t="n"/>
      <c r="WRH13" s="21" t="n"/>
      <c r="WRI13" s="21" t="n"/>
      <c r="WRJ13" s="21" t="n"/>
      <c r="WRK13" s="21" t="n"/>
      <c r="WRL13" s="21" t="n"/>
      <c r="WRM13" s="21" t="n"/>
      <c r="WRN13" s="21" t="n"/>
      <c r="WRO13" s="21" t="n"/>
      <c r="WRP13" s="21" t="n"/>
      <c r="WRQ13" s="21" t="n"/>
      <c r="WRR13" s="21" t="n"/>
      <c r="WRS13" s="21" t="n"/>
      <c r="WRT13" s="21" t="n"/>
      <c r="WRU13" s="21" t="n"/>
      <c r="WRV13" s="21" t="n"/>
      <c r="WRW13" s="21" t="n"/>
      <c r="WRX13" s="21" t="n"/>
      <c r="WRY13" s="21" t="n"/>
      <c r="WRZ13" s="21" t="n"/>
      <c r="WSA13" s="21" t="n"/>
      <c r="WSB13" s="21" t="n"/>
      <c r="WSC13" s="21" t="n"/>
      <c r="WSD13" s="21" t="n"/>
      <c r="WSE13" s="21" t="n"/>
      <c r="WSF13" s="21" t="n"/>
      <c r="WSG13" s="21" t="n"/>
      <c r="WSH13" s="21" t="n"/>
      <c r="WSI13" s="21" t="n"/>
      <c r="WSJ13" s="21" t="n"/>
      <c r="WSK13" s="21" t="n"/>
      <c r="WSL13" s="21" t="n"/>
      <c r="WSM13" s="21" t="n"/>
      <c r="WSN13" s="21" t="n"/>
      <c r="WSO13" s="21" t="n"/>
      <c r="WSP13" s="21" t="n"/>
      <c r="WSQ13" s="21" t="n"/>
      <c r="WSR13" s="21" t="n"/>
      <c r="WSS13" s="21" t="n"/>
      <c r="WST13" s="21" t="n"/>
      <c r="WSU13" s="21" t="n"/>
      <c r="WSV13" s="21" t="n"/>
      <c r="WSW13" s="21" t="n"/>
      <c r="WSX13" s="21" t="n"/>
      <c r="WSY13" s="21" t="n"/>
      <c r="WSZ13" s="21" t="n"/>
      <c r="WTA13" s="21" t="n"/>
      <c r="WTB13" s="21" t="n"/>
      <c r="WTC13" s="21" t="n"/>
      <c r="WTD13" s="21" t="n"/>
      <c r="WTE13" s="21" t="n"/>
      <c r="WTF13" s="21" t="n"/>
      <c r="WTG13" s="21" t="n"/>
      <c r="WTH13" s="21" t="n"/>
      <c r="WTI13" s="21" t="n"/>
      <c r="WTJ13" s="21" t="n"/>
      <c r="WTK13" s="21" t="n"/>
      <c r="WTL13" s="21" t="n"/>
      <c r="WTM13" s="21" t="n"/>
      <c r="WTN13" s="21" t="n"/>
      <c r="WTO13" s="21" t="n"/>
      <c r="WTP13" s="21" t="n"/>
      <c r="WTQ13" s="21" t="n"/>
      <c r="WTR13" s="21" t="n"/>
      <c r="WTS13" s="21" t="n"/>
      <c r="WTT13" s="21" t="n"/>
      <c r="WTU13" s="21" t="n"/>
      <c r="WTV13" s="21" t="n"/>
      <c r="WTW13" s="21" t="n"/>
      <c r="WTX13" s="21" t="n"/>
      <c r="WTY13" s="21" t="n"/>
      <c r="WTZ13" s="21" t="n"/>
      <c r="WUA13" s="21" t="n"/>
      <c r="WUB13" s="21" t="n"/>
      <c r="WUC13" s="21" t="n"/>
      <c r="WUD13" s="21" t="n"/>
      <c r="WUE13" s="21" t="n"/>
      <c r="WUF13" s="21" t="n"/>
      <c r="WUG13" s="21" t="n"/>
      <c r="WUH13" s="21" t="n"/>
      <c r="WUI13" s="21" t="n"/>
      <c r="WUJ13" s="21" t="n"/>
      <c r="WUK13" s="21" t="n"/>
      <c r="WUL13" s="21" t="n"/>
      <c r="WUM13" s="21" t="n"/>
      <c r="WUN13" s="21" t="n"/>
      <c r="WUO13" s="21" t="n"/>
      <c r="WUP13" s="21" t="n"/>
      <c r="WUQ13" s="21" t="n"/>
      <c r="WUR13" s="21" t="n"/>
      <c r="WUS13" s="21" t="n"/>
      <c r="WUT13" s="21" t="n"/>
      <c r="WUU13" s="21" t="n"/>
      <c r="WUV13" s="21" t="n"/>
      <c r="WUW13" s="21" t="n"/>
      <c r="WUX13" s="21" t="n"/>
      <c r="WUY13" s="21" t="n"/>
      <c r="WUZ13" s="21" t="n"/>
      <c r="WVA13" s="21" t="n"/>
      <c r="WVB13" s="21" t="n"/>
      <c r="WVC13" s="21" t="n"/>
      <c r="WVD13" s="21" t="n"/>
      <c r="WVE13" s="21" t="n"/>
      <c r="WVF13" s="21" t="n"/>
      <c r="WVG13" s="21" t="n"/>
      <c r="WVH13" s="21" t="n"/>
      <c r="WVI13" s="21" t="n"/>
      <c r="WVJ13" s="21" t="n"/>
      <c r="WVK13" s="21" t="n"/>
      <c r="WVL13" s="21" t="n"/>
      <c r="WVM13" s="21" t="n"/>
      <c r="WVN13" s="21" t="n"/>
      <c r="WVO13" s="21" t="n"/>
      <c r="WVP13" s="21" t="n"/>
      <c r="WVQ13" s="21" t="n"/>
      <c r="WVR13" s="21" t="n"/>
      <c r="WVS13" s="21" t="n"/>
      <c r="WVT13" s="21" t="n"/>
      <c r="WVU13" s="21" t="n"/>
      <c r="WVV13" s="21" t="n"/>
      <c r="WVW13" s="21" t="n"/>
      <c r="WVX13" s="21" t="n"/>
      <c r="WVY13" s="21" t="n"/>
      <c r="WVZ13" s="21" t="n"/>
      <c r="WWA13" s="21" t="n"/>
      <c r="WWB13" s="21" t="n"/>
      <c r="WWC13" s="21" t="n"/>
      <c r="WWD13" s="21" t="n"/>
      <c r="WWE13" s="21" t="n"/>
      <c r="WWF13" s="21" t="n"/>
      <c r="WWG13" s="21" t="n"/>
      <c r="WWH13" s="21" t="n"/>
      <c r="WWI13" s="21" t="n"/>
      <c r="WWJ13" s="21" t="n"/>
      <c r="WWK13" s="21" t="n"/>
      <c r="WWL13" s="21" t="n"/>
      <c r="WWM13" s="21" t="n"/>
      <c r="WWN13" s="21" t="n"/>
      <c r="WWO13" s="21" t="n"/>
      <c r="WWP13" s="21" t="n"/>
      <c r="WWQ13" s="21" t="n"/>
      <c r="WWR13" s="21" t="n"/>
      <c r="WWS13" s="21" t="n"/>
      <c r="WWT13" s="21" t="n"/>
      <c r="WWU13" s="21" t="n"/>
      <c r="WWV13" s="21" t="n"/>
      <c r="WWW13" s="21" t="n"/>
      <c r="WWX13" s="21" t="n"/>
      <c r="WWY13" s="21" t="n"/>
      <c r="WWZ13" s="21" t="n"/>
      <c r="WXA13" s="21" t="n"/>
      <c r="WXB13" s="21" t="n"/>
      <c r="WXC13" s="21" t="n"/>
      <c r="WXD13" s="21" t="n"/>
      <c r="WXE13" s="21" t="n"/>
      <c r="WXF13" s="21" t="n"/>
      <c r="WXG13" s="21" t="n"/>
      <c r="WXH13" s="21" t="n"/>
      <c r="WXI13" s="21" t="n"/>
      <c r="WXJ13" s="21" t="n"/>
      <c r="WXK13" s="21" t="n"/>
      <c r="WXL13" s="21" t="n"/>
      <c r="WXM13" s="21" t="n"/>
      <c r="WXN13" s="21" t="n"/>
      <c r="WXO13" s="21" t="n"/>
      <c r="WXP13" s="21" t="n"/>
      <c r="WXQ13" s="21" t="n"/>
      <c r="WXR13" s="21" t="n"/>
      <c r="WXS13" s="21" t="n"/>
      <c r="WXT13" s="21" t="n"/>
      <c r="WXU13" s="21" t="n"/>
      <c r="WXV13" s="21" t="n"/>
      <c r="WXW13" s="21" t="n"/>
      <c r="WXX13" s="21" t="n"/>
      <c r="WXY13" s="21" t="n"/>
      <c r="WXZ13" s="21" t="n"/>
      <c r="WYA13" s="21" t="n"/>
      <c r="WYB13" s="21" t="n"/>
      <c r="WYC13" s="21" t="n"/>
      <c r="WYD13" s="21" t="n"/>
      <c r="WYE13" s="21" t="n"/>
      <c r="WYF13" s="21" t="n"/>
      <c r="WYG13" s="21" t="n"/>
      <c r="WYH13" s="21" t="n"/>
      <c r="WYI13" s="21" t="n"/>
      <c r="WYJ13" s="21" t="n"/>
      <c r="WYK13" s="21" t="n"/>
      <c r="WYL13" s="21" t="n"/>
      <c r="WYM13" s="21" t="n"/>
      <c r="WYN13" s="21" t="n"/>
      <c r="WYO13" s="21" t="n"/>
      <c r="WYP13" s="21" t="n"/>
      <c r="WYQ13" s="21" t="n"/>
      <c r="WYR13" s="21" t="n"/>
      <c r="WYS13" s="21" t="n"/>
      <c r="WYT13" s="21" t="n"/>
      <c r="WYU13" s="21" t="n"/>
      <c r="WYV13" s="21" t="n"/>
      <c r="WYW13" s="21" t="n"/>
      <c r="WYX13" s="21" t="n"/>
      <c r="WYY13" s="21" t="n"/>
      <c r="WYZ13" s="21" t="n"/>
      <c r="WZA13" s="21" t="n"/>
      <c r="WZB13" s="21" t="n"/>
      <c r="WZC13" s="21" t="n"/>
      <c r="WZD13" s="21" t="n"/>
      <c r="WZE13" s="21" t="n"/>
      <c r="WZF13" s="21" t="n"/>
      <c r="WZG13" s="21" t="n"/>
      <c r="WZH13" s="21" t="n"/>
      <c r="WZI13" s="21" t="n"/>
      <c r="WZJ13" s="21" t="n"/>
      <c r="WZK13" s="21" t="n"/>
      <c r="WZL13" s="21" t="n"/>
      <c r="WZM13" s="21" t="n"/>
      <c r="WZN13" s="21" t="n"/>
      <c r="WZO13" s="21" t="n"/>
      <c r="WZP13" s="21" t="n"/>
      <c r="WZQ13" s="21" t="n"/>
      <c r="WZR13" s="21" t="n"/>
      <c r="WZS13" s="21" t="n"/>
      <c r="WZT13" s="21" t="n"/>
      <c r="WZU13" s="21" t="n"/>
      <c r="WZV13" s="21" t="n"/>
      <c r="WZW13" s="21" t="n"/>
      <c r="WZX13" s="21" t="n"/>
      <c r="WZY13" s="21" t="n"/>
      <c r="WZZ13" s="21" t="n"/>
      <c r="XAA13" s="21" t="n"/>
      <c r="XAB13" s="21" t="n"/>
      <c r="XAC13" s="21" t="n"/>
      <c r="XAD13" s="21" t="n"/>
      <c r="XAE13" s="21" t="n"/>
      <c r="XAF13" s="21" t="n"/>
      <c r="XAG13" s="21" t="n"/>
      <c r="XAH13" s="21" t="n"/>
      <c r="XAI13" s="21" t="n"/>
      <c r="XAJ13" s="21" t="n"/>
      <c r="XAK13" s="21" t="n"/>
      <c r="XAL13" s="21" t="n"/>
      <c r="XAM13" s="21" t="n"/>
      <c r="XAN13" s="21" t="n"/>
      <c r="XAO13" s="21" t="n"/>
      <c r="XAP13" s="21" t="n"/>
      <c r="XAQ13" s="21" t="n"/>
      <c r="XAR13" s="21" t="n"/>
      <c r="XAS13" s="21" t="n"/>
      <c r="XAT13" s="21" t="n"/>
      <c r="XAU13" s="21" t="n"/>
      <c r="XAV13" s="21" t="n"/>
      <c r="XAW13" s="21" t="n"/>
      <c r="XAX13" s="21" t="n"/>
      <c r="XAY13" s="21" t="n"/>
      <c r="XAZ13" s="21" t="n"/>
      <c r="XBA13" s="21" t="n"/>
      <c r="XBB13" s="21" t="n"/>
      <c r="XBC13" s="21" t="n"/>
      <c r="XBD13" s="21" t="n"/>
      <c r="XBE13" s="21" t="n"/>
      <c r="XBF13" s="21" t="n"/>
      <c r="XBG13" s="21" t="n"/>
      <c r="XBH13" s="21" t="n"/>
      <c r="XBI13" s="21" t="n"/>
      <c r="XBJ13" s="21" t="n"/>
      <c r="XBK13" s="21" t="n"/>
      <c r="XBL13" s="21" t="n"/>
      <c r="XBM13" s="21" t="n"/>
      <c r="XBN13" s="21" t="n"/>
      <c r="XBO13" s="21" t="n"/>
      <c r="XBP13" s="21" t="n"/>
      <c r="XBQ13" s="21" t="n"/>
      <c r="XBR13" s="21" t="n"/>
      <c r="XBS13" s="21" t="n"/>
      <c r="XBT13" s="21" t="n"/>
      <c r="XBU13" s="21" t="n"/>
      <c r="XBV13" s="21" t="n"/>
      <c r="XBW13" s="21" t="n"/>
      <c r="XBX13" s="21" t="n"/>
      <c r="XBY13" s="21" t="n"/>
      <c r="XBZ13" s="21" t="n"/>
      <c r="XCA13" s="21" t="n"/>
      <c r="XCB13" s="21" t="n"/>
      <c r="XCC13" s="21" t="n"/>
      <c r="XCD13" s="21" t="n"/>
      <c r="XCE13" s="21" t="n"/>
      <c r="XCF13" s="21" t="n"/>
      <c r="XCG13" s="21" t="n"/>
      <c r="XCH13" s="21" t="n"/>
      <c r="XCI13" s="21" t="n"/>
      <c r="XCJ13" s="21" t="n"/>
      <c r="XCK13" s="21" t="n"/>
      <c r="XCL13" s="21" t="n"/>
      <c r="XCM13" s="21" t="n"/>
      <c r="XCN13" s="21" t="n"/>
      <c r="XCO13" s="21" t="n"/>
      <c r="XCP13" s="21" t="n"/>
      <c r="XCQ13" s="21" t="n"/>
      <c r="XCR13" s="21" t="n"/>
      <c r="XCS13" s="21" t="n"/>
      <c r="XCT13" s="21" t="n"/>
      <c r="XCU13" s="21" t="n"/>
      <c r="XCV13" s="21" t="n"/>
      <c r="XCW13" s="21" t="n"/>
      <c r="XCX13" s="21" t="n"/>
      <c r="XCY13" s="21" t="n"/>
      <c r="XCZ13" s="21" t="n"/>
      <c r="XDA13" s="21" t="n"/>
      <c r="XDB13" s="21" t="n"/>
      <c r="XDC13" s="21" t="n"/>
      <c r="XDD13" s="21" t="n"/>
      <c r="XDE13" s="21" t="n"/>
      <c r="XDF13" s="21" t="n"/>
      <c r="XDG13" s="21" t="n"/>
      <c r="XDH13" s="21" t="n"/>
      <c r="XDI13" s="21" t="n"/>
      <c r="XDJ13" s="21" t="n"/>
      <c r="XDK13" s="21" t="n"/>
      <c r="XDL13" s="21" t="n"/>
      <c r="XDM13" s="21" t="n"/>
      <c r="XDN13" s="21" t="n"/>
      <c r="XDO13" s="21" t="n"/>
      <c r="XDP13" s="21" t="n"/>
      <c r="XDQ13" s="21" t="n"/>
      <c r="XDR13" s="21" t="n"/>
      <c r="XDS13" s="21" t="n"/>
      <c r="XDT13" s="21" t="n"/>
      <c r="XDU13" s="21" t="n"/>
      <c r="XDV13" s="21" t="n"/>
      <c r="XDW13" s="21" t="n"/>
      <c r="XDX13" s="21" t="n"/>
      <c r="XDY13" s="21" t="n"/>
      <c r="XDZ13" s="21" t="n"/>
      <c r="XEA13" s="21" t="n"/>
      <c r="XEB13" s="21" t="n"/>
      <c r="XEC13" s="21" t="n"/>
      <c r="XED13" s="21" t="n"/>
      <c r="XEE13" s="21" t="n"/>
      <c r="XEF13" s="21" t="n"/>
      <c r="XEG13" s="21" t="n"/>
      <c r="XEH13" s="21" t="n"/>
      <c r="XEI13" s="21" t="n"/>
      <c r="XEJ13" s="21" t="n"/>
      <c r="XEK13" s="21" t="n"/>
      <c r="XEL13" s="21" t="n"/>
      <c r="XEM13" s="21" t="n"/>
      <c r="XEN13" s="21" t="n"/>
      <c r="XEO13" s="21" t="n"/>
      <c r="XEP13" s="21" t="n"/>
      <c r="XEQ13" s="21" t="n"/>
      <c r="XER13" s="21" t="n"/>
      <c r="XES13" s="21" t="n"/>
      <c r="XET13" s="21" t="n"/>
      <c r="XEU13" s="21" t="n"/>
      <c r="XEV13" s="21" t="n"/>
      <c r="XEW13" s="21" t="n"/>
      <c r="XEX13" s="21" t="n"/>
      <c r="XEY13" s="21" t="n"/>
      <c r="XEZ13" s="21" t="n"/>
      <c r="XFA13" s="21" t="n"/>
      <c r="XFB13" s="21" t="n"/>
      <c r="XFC13" s="21" t="n"/>
    </row>
    <row r="14">
      <c r="A14" s="22" t="inlineStr">
        <is>
          <t>Land Acquisition Date</t>
        </is>
      </c>
      <c r="B14" s="23" t="n"/>
      <c r="C14" s="24" t="n"/>
      <c r="D14" s="659" t="n"/>
      <c r="E14" s="660" t="inlineStr">
        <is>
          <t>End Date</t>
        </is>
      </c>
      <c r="H14" s="8" t="inlineStr">
        <is>
          <t xml:space="preserve">     Leasing Commissions</t>
        </is>
      </c>
      <c r="I14" s="13" t="n"/>
      <c r="J14" s="13" t="n"/>
      <c r="K14" s="14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  <c r="DX14" s="21" t="n"/>
      <c r="DY14" s="21" t="n"/>
      <c r="DZ14" s="21" t="n"/>
      <c r="EA14" s="21" t="n"/>
      <c r="EB14" s="21" t="n"/>
      <c r="EC14" s="21" t="n"/>
      <c r="ED14" s="21" t="n"/>
      <c r="EE14" s="21" t="n"/>
      <c r="EF14" s="21" t="n"/>
      <c r="EG14" s="21" t="n"/>
      <c r="EH14" s="21" t="n"/>
      <c r="EI14" s="21" t="n"/>
      <c r="EJ14" s="21" t="n"/>
      <c r="EK14" s="21" t="n"/>
      <c r="EL14" s="21" t="n"/>
      <c r="EM14" s="21" t="n"/>
      <c r="EN14" s="21" t="n"/>
      <c r="EO14" s="21" t="n"/>
      <c r="EP14" s="21" t="n"/>
      <c r="EQ14" s="21" t="n"/>
      <c r="ER14" s="21" t="n"/>
      <c r="ES14" s="21" t="n"/>
      <c r="ET14" s="21" t="n"/>
      <c r="EU14" s="21" t="n"/>
      <c r="EV14" s="21" t="n"/>
      <c r="EW14" s="21" t="n"/>
      <c r="EX14" s="21" t="n"/>
      <c r="EY14" s="21" t="n"/>
      <c r="EZ14" s="21" t="n"/>
      <c r="FA14" s="21" t="n"/>
      <c r="FB14" s="21" t="n"/>
      <c r="FC14" s="21" t="n"/>
      <c r="FD14" s="21" t="n"/>
      <c r="FE14" s="21" t="n"/>
      <c r="FF14" s="21" t="n"/>
      <c r="FG14" s="21" t="n"/>
      <c r="FH14" s="21" t="n"/>
      <c r="FI14" s="21" t="n"/>
      <c r="FJ14" s="21" t="n"/>
      <c r="FK14" s="21" t="n"/>
      <c r="FL14" s="21" t="n"/>
      <c r="FM14" s="21" t="n"/>
      <c r="FN14" s="21" t="n"/>
      <c r="FO14" s="21" t="n"/>
      <c r="FP14" s="21" t="n"/>
      <c r="FQ14" s="21" t="n"/>
      <c r="FR14" s="21" t="n"/>
      <c r="FS14" s="21" t="n"/>
      <c r="FT14" s="21" t="n"/>
      <c r="FU14" s="21" t="n"/>
      <c r="FV14" s="21" t="n"/>
      <c r="FW14" s="21" t="n"/>
      <c r="FX14" s="21" t="n"/>
      <c r="FY14" s="21" t="n"/>
      <c r="FZ14" s="21" t="n"/>
      <c r="GA14" s="21" t="n"/>
      <c r="GB14" s="21" t="n"/>
      <c r="GC14" s="21" t="n"/>
      <c r="GD14" s="21" t="n"/>
      <c r="GE14" s="21" t="n"/>
      <c r="GF14" s="21" t="n"/>
      <c r="GG14" s="21" t="n"/>
      <c r="GH14" s="21" t="n"/>
      <c r="GI14" s="21" t="n"/>
      <c r="GJ14" s="21" t="n"/>
      <c r="GK14" s="21" t="n"/>
      <c r="GL14" s="21" t="n"/>
      <c r="GM14" s="21" t="n"/>
      <c r="GN14" s="21" t="n"/>
      <c r="GO14" s="21" t="n"/>
      <c r="GP14" s="21" t="n"/>
      <c r="GQ14" s="21" t="n"/>
      <c r="GR14" s="21" t="n"/>
      <c r="GS14" s="21" t="n"/>
      <c r="GT14" s="21" t="n"/>
      <c r="GU14" s="21" t="n"/>
      <c r="GV14" s="21" t="n"/>
      <c r="GW14" s="21" t="n"/>
      <c r="GX14" s="21" t="n"/>
      <c r="GY14" s="21" t="n"/>
      <c r="GZ14" s="21" t="n"/>
      <c r="HA14" s="21" t="n"/>
      <c r="HB14" s="21" t="n"/>
      <c r="HC14" s="21" t="n"/>
      <c r="HD14" s="21" t="n"/>
      <c r="HE14" s="21" t="n"/>
      <c r="HF14" s="21" t="n"/>
      <c r="HG14" s="21" t="n"/>
      <c r="HH14" s="21" t="n"/>
      <c r="HI14" s="21" t="n"/>
      <c r="HJ14" s="21" t="n"/>
      <c r="HK14" s="21" t="n"/>
      <c r="HL14" s="21" t="n"/>
      <c r="HM14" s="21" t="n"/>
      <c r="HN14" s="21" t="n"/>
      <c r="HO14" s="21" t="n"/>
      <c r="HP14" s="21" t="n"/>
      <c r="HQ14" s="21" t="n"/>
      <c r="HR14" s="21" t="n"/>
      <c r="HS14" s="21" t="n"/>
      <c r="HT14" s="21" t="n"/>
      <c r="HU14" s="21" t="n"/>
      <c r="HV14" s="21" t="n"/>
      <c r="HW14" s="21" t="n"/>
      <c r="HX14" s="21" t="n"/>
      <c r="HY14" s="21" t="n"/>
      <c r="HZ14" s="21" t="n"/>
      <c r="IA14" s="21" t="n"/>
      <c r="IB14" s="21" t="n"/>
      <c r="IC14" s="21" t="n"/>
      <c r="ID14" s="21" t="n"/>
      <c r="IE14" s="21" t="n"/>
      <c r="IF14" s="21" t="n"/>
      <c r="IG14" s="21" t="n"/>
      <c r="IH14" s="21" t="n"/>
      <c r="II14" s="21" t="n"/>
      <c r="IJ14" s="21" t="n"/>
      <c r="IK14" s="21" t="n"/>
      <c r="IL14" s="21" t="n"/>
      <c r="IM14" s="21" t="n"/>
      <c r="IN14" s="21" t="n"/>
      <c r="IO14" s="21" t="n"/>
      <c r="IP14" s="21" t="n"/>
      <c r="IQ14" s="21" t="n"/>
      <c r="IR14" s="21" t="n"/>
      <c r="IS14" s="21" t="n"/>
      <c r="IT14" s="21" t="n"/>
      <c r="IU14" s="21" t="n"/>
      <c r="IV14" s="21" t="n"/>
      <c r="IW14" s="21" t="n"/>
      <c r="IX14" s="21" t="n"/>
      <c r="IY14" s="21" t="n"/>
      <c r="IZ14" s="21" t="n"/>
      <c r="JA14" s="21" t="n"/>
      <c r="JB14" s="21" t="n"/>
      <c r="JC14" s="21" t="n"/>
      <c r="JD14" s="21" t="n"/>
      <c r="JE14" s="21" t="n"/>
      <c r="JF14" s="21" t="n"/>
      <c r="JG14" s="21" t="n"/>
      <c r="JH14" s="21" t="n"/>
      <c r="JI14" s="21" t="n"/>
      <c r="JJ14" s="21" t="n"/>
      <c r="JK14" s="21" t="n"/>
      <c r="JL14" s="21" t="n"/>
      <c r="JM14" s="21" t="n"/>
      <c r="JN14" s="21" t="n"/>
      <c r="JO14" s="21" t="n"/>
      <c r="JP14" s="21" t="n"/>
      <c r="JQ14" s="21" t="n"/>
      <c r="JR14" s="21" t="n"/>
      <c r="JS14" s="21" t="n"/>
      <c r="JT14" s="21" t="n"/>
      <c r="JU14" s="21" t="n"/>
      <c r="JV14" s="21" t="n"/>
      <c r="JW14" s="21" t="n"/>
      <c r="JX14" s="21" t="n"/>
      <c r="JY14" s="21" t="n"/>
      <c r="JZ14" s="21" t="n"/>
      <c r="KA14" s="21" t="n"/>
      <c r="KB14" s="21" t="n"/>
      <c r="KC14" s="21" t="n"/>
      <c r="KD14" s="21" t="n"/>
      <c r="KE14" s="21" t="n"/>
      <c r="KF14" s="21" t="n"/>
      <c r="KG14" s="21" t="n"/>
      <c r="KH14" s="21" t="n"/>
      <c r="KI14" s="21" t="n"/>
      <c r="KJ14" s="21" t="n"/>
      <c r="KK14" s="21" t="n"/>
      <c r="KL14" s="21" t="n"/>
      <c r="KM14" s="21" t="n"/>
      <c r="KN14" s="21" t="n"/>
      <c r="KO14" s="21" t="n"/>
      <c r="KP14" s="21" t="n"/>
      <c r="KQ14" s="21" t="n"/>
      <c r="KR14" s="21" t="n"/>
      <c r="KS14" s="21" t="n"/>
      <c r="KT14" s="21" t="n"/>
      <c r="KU14" s="21" t="n"/>
      <c r="KV14" s="21" t="n"/>
      <c r="KW14" s="21" t="n"/>
      <c r="KX14" s="21" t="n"/>
      <c r="KY14" s="21" t="n"/>
      <c r="KZ14" s="21" t="n"/>
      <c r="LA14" s="21" t="n"/>
      <c r="LB14" s="21" t="n"/>
      <c r="LC14" s="21" t="n"/>
      <c r="LD14" s="21" t="n"/>
      <c r="LE14" s="21" t="n"/>
      <c r="LF14" s="21" t="n"/>
      <c r="LG14" s="21" t="n"/>
      <c r="LH14" s="21" t="n"/>
      <c r="LI14" s="21" t="n"/>
      <c r="LJ14" s="21" t="n"/>
      <c r="LK14" s="21" t="n"/>
      <c r="LL14" s="21" t="n"/>
      <c r="LM14" s="21" t="n"/>
      <c r="LN14" s="21" t="n"/>
      <c r="LO14" s="21" t="n"/>
      <c r="LP14" s="21" t="n"/>
      <c r="LQ14" s="21" t="n"/>
      <c r="LR14" s="21" t="n"/>
      <c r="LS14" s="21" t="n"/>
      <c r="LT14" s="21" t="n"/>
      <c r="LU14" s="21" t="n"/>
      <c r="LV14" s="21" t="n"/>
      <c r="LW14" s="21" t="n"/>
      <c r="LX14" s="21" t="n"/>
      <c r="LY14" s="21" t="n"/>
      <c r="LZ14" s="21" t="n"/>
      <c r="MA14" s="21" t="n"/>
      <c r="MB14" s="21" t="n"/>
      <c r="MC14" s="21" t="n"/>
      <c r="MD14" s="21" t="n"/>
      <c r="ME14" s="21" t="n"/>
      <c r="MF14" s="21" t="n"/>
      <c r="MG14" s="21" t="n"/>
      <c r="MH14" s="21" t="n"/>
      <c r="MI14" s="21" t="n"/>
      <c r="MJ14" s="21" t="n"/>
      <c r="MK14" s="21" t="n"/>
      <c r="ML14" s="21" t="n"/>
      <c r="MM14" s="21" t="n"/>
      <c r="MN14" s="21" t="n"/>
      <c r="MO14" s="21" t="n"/>
      <c r="MP14" s="21" t="n"/>
      <c r="MQ14" s="21" t="n"/>
      <c r="MR14" s="21" t="n"/>
      <c r="MS14" s="21" t="n"/>
      <c r="MT14" s="21" t="n"/>
      <c r="MU14" s="21" t="n"/>
      <c r="MV14" s="21" t="n"/>
      <c r="MW14" s="21" t="n"/>
      <c r="MX14" s="21" t="n"/>
      <c r="MY14" s="21" t="n"/>
      <c r="MZ14" s="21" t="n"/>
      <c r="NA14" s="21" t="n"/>
      <c r="NB14" s="21" t="n"/>
      <c r="NC14" s="21" t="n"/>
      <c r="ND14" s="21" t="n"/>
      <c r="NE14" s="21" t="n"/>
      <c r="NF14" s="21" t="n"/>
      <c r="NG14" s="21" t="n"/>
      <c r="NH14" s="21" t="n"/>
      <c r="NI14" s="21" t="n"/>
      <c r="NJ14" s="21" t="n"/>
      <c r="NK14" s="21" t="n"/>
      <c r="NL14" s="21" t="n"/>
      <c r="NM14" s="21" t="n"/>
      <c r="NN14" s="21" t="n"/>
      <c r="NO14" s="21" t="n"/>
      <c r="NP14" s="21" t="n"/>
      <c r="NQ14" s="21" t="n"/>
      <c r="NR14" s="21" t="n"/>
      <c r="NS14" s="21" t="n"/>
      <c r="NT14" s="21" t="n"/>
      <c r="NU14" s="21" t="n"/>
      <c r="NV14" s="21" t="n"/>
      <c r="NW14" s="21" t="n"/>
      <c r="NX14" s="21" t="n"/>
      <c r="NY14" s="21" t="n"/>
      <c r="NZ14" s="21" t="n"/>
      <c r="OA14" s="21" t="n"/>
      <c r="OB14" s="21" t="n"/>
      <c r="OC14" s="21" t="n"/>
      <c r="OD14" s="21" t="n"/>
      <c r="OE14" s="21" t="n"/>
      <c r="OF14" s="21" t="n"/>
      <c r="OG14" s="21" t="n"/>
      <c r="OH14" s="21" t="n"/>
      <c r="OI14" s="21" t="n"/>
      <c r="OJ14" s="21" t="n"/>
      <c r="OK14" s="21" t="n"/>
      <c r="OL14" s="21" t="n"/>
      <c r="OM14" s="21" t="n"/>
      <c r="ON14" s="21" t="n"/>
      <c r="OO14" s="21" t="n"/>
      <c r="OP14" s="21" t="n"/>
      <c r="OQ14" s="21" t="n"/>
      <c r="OR14" s="21" t="n"/>
      <c r="OS14" s="21" t="n"/>
      <c r="OT14" s="21" t="n"/>
      <c r="OU14" s="21" t="n"/>
      <c r="OV14" s="21" t="n"/>
      <c r="OW14" s="21" t="n"/>
      <c r="OX14" s="21" t="n"/>
      <c r="OY14" s="21" t="n"/>
      <c r="OZ14" s="21" t="n"/>
      <c r="PA14" s="21" t="n"/>
      <c r="PB14" s="21" t="n"/>
      <c r="PC14" s="21" t="n"/>
      <c r="PD14" s="21" t="n"/>
      <c r="PE14" s="21" t="n"/>
      <c r="PF14" s="21" t="n"/>
      <c r="PG14" s="21" t="n"/>
      <c r="PH14" s="21" t="n"/>
      <c r="PI14" s="21" t="n"/>
      <c r="PJ14" s="21" t="n"/>
      <c r="PK14" s="21" t="n"/>
      <c r="PL14" s="21" t="n"/>
      <c r="PM14" s="21" t="n"/>
      <c r="PN14" s="21" t="n"/>
      <c r="PO14" s="21" t="n"/>
      <c r="PP14" s="21" t="n"/>
      <c r="PQ14" s="21" t="n"/>
      <c r="PR14" s="21" t="n"/>
      <c r="PS14" s="21" t="n"/>
      <c r="PT14" s="21" t="n"/>
      <c r="PU14" s="21" t="n"/>
      <c r="PV14" s="21" t="n"/>
      <c r="PW14" s="21" t="n"/>
      <c r="PX14" s="21" t="n"/>
      <c r="PY14" s="21" t="n"/>
      <c r="PZ14" s="21" t="n"/>
      <c r="QA14" s="21" t="n"/>
      <c r="QB14" s="21" t="n"/>
      <c r="QC14" s="21" t="n"/>
      <c r="QD14" s="21" t="n"/>
      <c r="QE14" s="21" t="n"/>
      <c r="QF14" s="21" t="n"/>
      <c r="QG14" s="21" t="n"/>
      <c r="QH14" s="21" t="n"/>
      <c r="QI14" s="21" t="n"/>
      <c r="QJ14" s="21" t="n"/>
      <c r="QK14" s="21" t="n"/>
      <c r="QL14" s="21" t="n"/>
      <c r="QM14" s="21" t="n"/>
      <c r="QN14" s="21" t="n"/>
      <c r="QO14" s="21" t="n"/>
      <c r="QP14" s="21" t="n"/>
      <c r="QQ14" s="21" t="n"/>
      <c r="QR14" s="21" t="n"/>
      <c r="QS14" s="21" t="n"/>
      <c r="QT14" s="21" t="n"/>
      <c r="QU14" s="21" t="n"/>
      <c r="QV14" s="21" t="n"/>
      <c r="QW14" s="21" t="n"/>
      <c r="QX14" s="21" t="n"/>
      <c r="QY14" s="21" t="n"/>
      <c r="QZ14" s="21" t="n"/>
      <c r="RA14" s="21" t="n"/>
      <c r="RB14" s="21" t="n"/>
      <c r="RC14" s="21" t="n"/>
      <c r="RD14" s="21" t="n"/>
      <c r="RE14" s="21" t="n"/>
      <c r="RF14" s="21" t="n"/>
      <c r="RG14" s="21" t="n"/>
      <c r="RH14" s="21" t="n"/>
      <c r="RI14" s="21" t="n"/>
      <c r="RJ14" s="21" t="n"/>
      <c r="RK14" s="21" t="n"/>
      <c r="RL14" s="21" t="n"/>
      <c r="RM14" s="21" t="n"/>
      <c r="RN14" s="21" t="n"/>
      <c r="RO14" s="21" t="n"/>
      <c r="RP14" s="21" t="n"/>
      <c r="RQ14" s="21" t="n"/>
      <c r="RR14" s="21" t="n"/>
      <c r="RS14" s="21" t="n"/>
      <c r="RT14" s="21" t="n"/>
      <c r="RU14" s="21" t="n"/>
      <c r="RV14" s="21" t="n"/>
      <c r="RW14" s="21" t="n"/>
      <c r="RX14" s="21" t="n"/>
      <c r="RY14" s="21" t="n"/>
      <c r="RZ14" s="21" t="n"/>
      <c r="SA14" s="21" t="n"/>
      <c r="SB14" s="21" t="n"/>
      <c r="SC14" s="21" t="n"/>
      <c r="SD14" s="21" t="n"/>
      <c r="SE14" s="21" t="n"/>
      <c r="SF14" s="21" t="n"/>
      <c r="SG14" s="21" t="n"/>
      <c r="SH14" s="21" t="n"/>
      <c r="SI14" s="21" t="n"/>
      <c r="SJ14" s="21" t="n"/>
      <c r="SK14" s="21" t="n"/>
      <c r="SL14" s="21" t="n"/>
      <c r="SM14" s="21" t="n"/>
      <c r="SN14" s="21" t="n"/>
      <c r="SO14" s="21" t="n"/>
      <c r="SP14" s="21" t="n"/>
      <c r="SQ14" s="21" t="n"/>
      <c r="SR14" s="21" t="n"/>
      <c r="SS14" s="21" t="n"/>
      <c r="ST14" s="21" t="n"/>
      <c r="SU14" s="21" t="n"/>
      <c r="SV14" s="21" t="n"/>
      <c r="SW14" s="21" t="n"/>
      <c r="SX14" s="21" t="n"/>
      <c r="SY14" s="21" t="n"/>
      <c r="SZ14" s="21" t="n"/>
      <c r="TA14" s="21" t="n"/>
      <c r="TB14" s="21" t="n"/>
      <c r="TC14" s="21" t="n"/>
      <c r="TD14" s="21" t="n"/>
      <c r="TE14" s="21" t="n"/>
      <c r="TF14" s="21" t="n"/>
      <c r="TG14" s="21" t="n"/>
      <c r="TH14" s="21" t="n"/>
      <c r="TI14" s="21" t="n"/>
      <c r="TJ14" s="21" t="n"/>
      <c r="TK14" s="21" t="n"/>
      <c r="TL14" s="21" t="n"/>
      <c r="TM14" s="21" t="n"/>
      <c r="TN14" s="21" t="n"/>
      <c r="TO14" s="21" t="n"/>
      <c r="TP14" s="21" t="n"/>
      <c r="TQ14" s="21" t="n"/>
      <c r="TR14" s="21" t="n"/>
      <c r="TS14" s="21" t="n"/>
      <c r="TT14" s="21" t="n"/>
      <c r="TU14" s="21" t="n"/>
      <c r="TV14" s="21" t="n"/>
      <c r="TW14" s="21" t="n"/>
      <c r="TX14" s="21" t="n"/>
      <c r="TY14" s="21" t="n"/>
      <c r="TZ14" s="21" t="n"/>
      <c r="UA14" s="21" t="n"/>
      <c r="UB14" s="21" t="n"/>
      <c r="UC14" s="21" t="n"/>
      <c r="UD14" s="21" t="n"/>
      <c r="UE14" s="21" t="n"/>
      <c r="UF14" s="21" t="n"/>
      <c r="UG14" s="21" t="n"/>
      <c r="UH14" s="21" t="n"/>
      <c r="UI14" s="21" t="n"/>
      <c r="UJ14" s="21" t="n"/>
      <c r="UK14" s="21" t="n"/>
      <c r="UL14" s="21" t="n"/>
      <c r="UM14" s="21" t="n"/>
      <c r="UN14" s="21" t="n"/>
      <c r="UO14" s="21" t="n"/>
      <c r="UP14" s="21" t="n"/>
      <c r="UQ14" s="21" t="n"/>
      <c r="UR14" s="21" t="n"/>
      <c r="US14" s="21" t="n"/>
      <c r="UT14" s="21" t="n"/>
      <c r="UU14" s="21" t="n"/>
      <c r="UV14" s="21" t="n"/>
      <c r="UW14" s="21" t="n"/>
      <c r="UX14" s="21" t="n"/>
      <c r="UY14" s="21" t="n"/>
      <c r="UZ14" s="21" t="n"/>
      <c r="VA14" s="21" t="n"/>
      <c r="VB14" s="21" t="n"/>
      <c r="VC14" s="21" t="n"/>
      <c r="VD14" s="21" t="n"/>
      <c r="VE14" s="21" t="n"/>
      <c r="VF14" s="21" t="n"/>
      <c r="VG14" s="21" t="n"/>
      <c r="VH14" s="21" t="n"/>
      <c r="VI14" s="21" t="n"/>
      <c r="VJ14" s="21" t="n"/>
      <c r="VK14" s="21" t="n"/>
      <c r="VL14" s="21" t="n"/>
      <c r="VM14" s="21" t="n"/>
      <c r="VN14" s="21" t="n"/>
      <c r="VO14" s="21" t="n"/>
      <c r="VP14" s="21" t="n"/>
      <c r="VQ14" s="21" t="n"/>
      <c r="VR14" s="21" t="n"/>
      <c r="VS14" s="21" t="n"/>
      <c r="VT14" s="21" t="n"/>
      <c r="VU14" s="21" t="n"/>
      <c r="VV14" s="21" t="n"/>
      <c r="VW14" s="21" t="n"/>
      <c r="VX14" s="21" t="n"/>
      <c r="VY14" s="21" t="n"/>
      <c r="VZ14" s="21" t="n"/>
      <c r="WA14" s="21" t="n"/>
      <c r="WB14" s="21" t="n"/>
      <c r="WC14" s="21" t="n"/>
      <c r="WD14" s="21" t="n"/>
      <c r="WE14" s="21" t="n"/>
      <c r="WF14" s="21" t="n"/>
      <c r="WG14" s="21" t="n"/>
      <c r="WH14" s="21" t="n"/>
      <c r="WI14" s="21" t="n"/>
      <c r="WJ14" s="21" t="n"/>
      <c r="WK14" s="21" t="n"/>
      <c r="WL14" s="21" t="n"/>
      <c r="WM14" s="21" t="n"/>
      <c r="WN14" s="21" t="n"/>
      <c r="WO14" s="21" t="n"/>
      <c r="WP14" s="21" t="n"/>
      <c r="WQ14" s="21" t="n"/>
      <c r="WR14" s="21" t="n"/>
      <c r="WS14" s="21" t="n"/>
      <c r="WT14" s="21" t="n"/>
      <c r="WU14" s="21" t="n"/>
      <c r="WV14" s="21" t="n"/>
      <c r="WW14" s="21" t="n"/>
      <c r="WX14" s="21" t="n"/>
      <c r="WY14" s="21" t="n"/>
      <c r="WZ14" s="21" t="n"/>
      <c r="XA14" s="21" t="n"/>
      <c r="XB14" s="21" t="n"/>
      <c r="XC14" s="21" t="n"/>
      <c r="XD14" s="21" t="n"/>
      <c r="XE14" s="21" t="n"/>
      <c r="XF14" s="21" t="n"/>
      <c r="XG14" s="21" t="n"/>
      <c r="XH14" s="21" t="n"/>
      <c r="XI14" s="21" t="n"/>
      <c r="XJ14" s="21" t="n"/>
      <c r="XK14" s="21" t="n"/>
      <c r="XL14" s="21" t="n"/>
      <c r="XM14" s="21" t="n"/>
      <c r="XN14" s="21" t="n"/>
      <c r="XO14" s="21" t="n"/>
      <c r="XP14" s="21" t="n"/>
      <c r="XQ14" s="21" t="n"/>
      <c r="XR14" s="21" t="n"/>
      <c r="XS14" s="21" t="n"/>
      <c r="XT14" s="21" t="n"/>
      <c r="XU14" s="21" t="n"/>
      <c r="XV14" s="21" t="n"/>
      <c r="XW14" s="21" t="n"/>
      <c r="XX14" s="21" t="n"/>
      <c r="XY14" s="21" t="n"/>
      <c r="XZ14" s="21" t="n"/>
      <c r="YA14" s="21" t="n"/>
      <c r="YB14" s="21" t="n"/>
      <c r="YC14" s="21" t="n"/>
      <c r="YD14" s="21" t="n"/>
      <c r="YE14" s="21" t="n"/>
      <c r="YF14" s="21" t="n"/>
      <c r="YG14" s="21" t="n"/>
      <c r="YH14" s="21" t="n"/>
      <c r="YI14" s="21" t="n"/>
      <c r="YJ14" s="21" t="n"/>
      <c r="YK14" s="21" t="n"/>
      <c r="YL14" s="21" t="n"/>
      <c r="YM14" s="21" t="n"/>
      <c r="YN14" s="21" t="n"/>
      <c r="YO14" s="21" t="n"/>
      <c r="YP14" s="21" t="n"/>
      <c r="YQ14" s="21" t="n"/>
      <c r="YR14" s="21" t="n"/>
      <c r="YS14" s="21" t="n"/>
      <c r="YT14" s="21" t="n"/>
      <c r="YU14" s="21" t="n"/>
      <c r="YV14" s="21" t="n"/>
      <c r="YW14" s="21" t="n"/>
      <c r="YX14" s="21" t="n"/>
      <c r="YY14" s="21" t="n"/>
      <c r="YZ14" s="21" t="n"/>
      <c r="ZA14" s="21" t="n"/>
      <c r="ZB14" s="21" t="n"/>
      <c r="ZC14" s="21" t="n"/>
      <c r="ZD14" s="21" t="n"/>
      <c r="ZE14" s="21" t="n"/>
      <c r="ZF14" s="21" t="n"/>
      <c r="ZG14" s="21" t="n"/>
      <c r="ZH14" s="21" t="n"/>
      <c r="ZI14" s="21" t="n"/>
      <c r="ZJ14" s="21" t="n"/>
      <c r="ZK14" s="21" t="n"/>
      <c r="ZL14" s="21" t="n"/>
      <c r="ZM14" s="21" t="n"/>
      <c r="ZN14" s="21" t="n"/>
      <c r="ZO14" s="21" t="n"/>
      <c r="ZP14" s="21" t="n"/>
      <c r="ZQ14" s="21" t="n"/>
      <c r="ZR14" s="21" t="n"/>
      <c r="ZS14" s="21" t="n"/>
      <c r="ZT14" s="21" t="n"/>
      <c r="ZU14" s="21" t="n"/>
      <c r="ZV14" s="21" t="n"/>
      <c r="ZW14" s="21" t="n"/>
      <c r="ZX14" s="21" t="n"/>
      <c r="ZY14" s="21" t="n"/>
      <c r="ZZ14" s="21" t="n"/>
      <c r="AAA14" s="21" t="n"/>
      <c r="AAB14" s="21" t="n"/>
      <c r="AAC14" s="21" t="n"/>
      <c r="AAD14" s="21" t="n"/>
      <c r="AAE14" s="21" t="n"/>
      <c r="AAF14" s="21" t="n"/>
      <c r="AAG14" s="21" t="n"/>
      <c r="AAH14" s="21" t="n"/>
      <c r="AAI14" s="21" t="n"/>
      <c r="AAJ14" s="21" t="n"/>
      <c r="AAK14" s="21" t="n"/>
      <c r="AAL14" s="21" t="n"/>
      <c r="AAM14" s="21" t="n"/>
      <c r="AAN14" s="21" t="n"/>
      <c r="AAO14" s="21" t="n"/>
      <c r="AAP14" s="21" t="n"/>
      <c r="AAQ14" s="21" t="n"/>
      <c r="AAR14" s="21" t="n"/>
      <c r="AAS14" s="21" t="n"/>
      <c r="AAT14" s="21" t="n"/>
      <c r="AAU14" s="21" t="n"/>
      <c r="AAV14" s="21" t="n"/>
      <c r="AAW14" s="21" t="n"/>
      <c r="AAX14" s="21" t="n"/>
      <c r="AAY14" s="21" t="n"/>
      <c r="AAZ14" s="21" t="n"/>
      <c r="ABA14" s="21" t="n"/>
      <c r="ABB14" s="21" t="n"/>
      <c r="ABC14" s="21" t="n"/>
      <c r="ABD14" s="21" t="n"/>
      <c r="ABE14" s="21" t="n"/>
      <c r="ABF14" s="21" t="n"/>
      <c r="ABG14" s="21" t="n"/>
      <c r="ABH14" s="21" t="n"/>
      <c r="ABI14" s="21" t="n"/>
      <c r="ABJ14" s="21" t="n"/>
      <c r="ABK14" s="21" t="n"/>
      <c r="ABL14" s="21" t="n"/>
      <c r="ABM14" s="21" t="n"/>
      <c r="ABN14" s="21" t="n"/>
      <c r="ABO14" s="21" t="n"/>
      <c r="ABP14" s="21" t="n"/>
      <c r="ABQ14" s="21" t="n"/>
      <c r="ABR14" s="21" t="n"/>
      <c r="ABS14" s="21" t="n"/>
      <c r="ABT14" s="21" t="n"/>
      <c r="ABU14" s="21" t="n"/>
      <c r="ABV14" s="21" t="n"/>
      <c r="ABW14" s="21" t="n"/>
      <c r="ABX14" s="21" t="n"/>
      <c r="ABY14" s="21" t="n"/>
      <c r="ABZ14" s="21" t="n"/>
      <c r="ACA14" s="21" t="n"/>
      <c r="ACB14" s="21" t="n"/>
      <c r="ACC14" s="21" t="n"/>
      <c r="ACD14" s="21" t="n"/>
      <c r="ACE14" s="21" t="n"/>
      <c r="ACF14" s="21" t="n"/>
      <c r="ACG14" s="21" t="n"/>
      <c r="ACH14" s="21" t="n"/>
      <c r="ACI14" s="21" t="n"/>
      <c r="ACJ14" s="21" t="n"/>
      <c r="ACK14" s="21" t="n"/>
      <c r="ACL14" s="21" t="n"/>
      <c r="ACM14" s="21" t="n"/>
      <c r="ACN14" s="21" t="n"/>
      <c r="ACO14" s="21" t="n"/>
      <c r="ACP14" s="21" t="n"/>
      <c r="ACQ14" s="21" t="n"/>
      <c r="ACR14" s="21" t="n"/>
      <c r="ACS14" s="21" t="n"/>
      <c r="ACT14" s="21" t="n"/>
      <c r="ACU14" s="21" t="n"/>
      <c r="ACV14" s="21" t="n"/>
      <c r="ACW14" s="21" t="n"/>
      <c r="ACX14" s="21" t="n"/>
      <c r="ACY14" s="21" t="n"/>
      <c r="ACZ14" s="21" t="n"/>
      <c r="ADA14" s="21" t="n"/>
      <c r="ADB14" s="21" t="n"/>
      <c r="ADC14" s="21" t="n"/>
      <c r="ADD14" s="21" t="n"/>
      <c r="ADE14" s="21" t="n"/>
      <c r="ADF14" s="21" t="n"/>
      <c r="ADG14" s="21" t="n"/>
      <c r="ADH14" s="21" t="n"/>
      <c r="ADI14" s="21" t="n"/>
      <c r="ADJ14" s="21" t="n"/>
      <c r="ADK14" s="21" t="n"/>
      <c r="ADL14" s="21" t="n"/>
      <c r="ADM14" s="21" t="n"/>
      <c r="ADN14" s="21" t="n"/>
      <c r="ADO14" s="21" t="n"/>
      <c r="ADP14" s="21" t="n"/>
      <c r="ADQ14" s="21" t="n"/>
      <c r="ADR14" s="21" t="n"/>
      <c r="ADS14" s="21" t="n"/>
      <c r="ADT14" s="21" t="n"/>
      <c r="ADU14" s="21" t="n"/>
      <c r="ADV14" s="21" t="n"/>
      <c r="ADW14" s="21" t="n"/>
      <c r="ADX14" s="21" t="n"/>
      <c r="ADY14" s="21" t="n"/>
      <c r="ADZ14" s="21" t="n"/>
      <c r="AEA14" s="21" t="n"/>
      <c r="AEB14" s="21" t="n"/>
      <c r="AEC14" s="21" t="n"/>
      <c r="AED14" s="21" t="n"/>
      <c r="AEE14" s="21" t="n"/>
      <c r="AEF14" s="21" t="n"/>
      <c r="AEG14" s="21" t="n"/>
      <c r="AEH14" s="21" t="n"/>
      <c r="AEI14" s="21" t="n"/>
      <c r="AEJ14" s="21" t="n"/>
      <c r="AEK14" s="21" t="n"/>
      <c r="AEL14" s="21" t="n"/>
      <c r="AEM14" s="21" t="n"/>
      <c r="AEN14" s="21" t="n"/>
      <c r="AEO14" s="21" t="n"/>
      <c r="AEP14" s="21" t="n"/>
      <c r="AEQ14" s="21" t="n"/>
      <c r="AER14" s="21" t="n"/>
      <c r="AES14" s="21" t="n"/>
      <c r="AET14" s="21" t="n"/>
      <c r="AEU14" s="21" t="n"/>
      <c r="AEV14" s="21" t="n"/>
      <c r="AEW14" s="21" t="n"/>
      <c r="AEX14" s="21" t="n"/>
      <c r="AEY14" s="21" t="n"/>
      <c r="AEZ14" s="21" t="n"/>
      <c r="AFA14" s="21" t="n"/>
      <c r="AFB14" s="21" t="n"/>
      <c r="AFC14" s="21" t="n"/>
      <c r="AFD14" s="21" t="n"/>
      <c r="AFE14" s="21" t="n"/>
      <c r="AFF14" s="21" t="n"/>
      <c r="AFG14" s="21" t="n"/>
      <c r="AFH14" s="21" t="n"/>
      <c r="AFI14" s="21" t="n"/>
      <c r="AFJ14" s="21" t="n"/>
      <c r="AFK14" s="21" t="n"/>
      <c r="AFL14" s="21" t="n"/>
      <c r="AFM14" s="21" t="n"/>
      <c r="AFN14" s="21" t="n"/>
      <c r="AFO14" s="21" t="n"/>
      <c r="AFP14" s="21" t="n"/>
      <c r="AFQ14" s="21" t="n"/>
      <c r="AFR14" s="21" t="n"/>
      <c r="AFS14" s="21" t="n"/>
      <c r="AFT14" s="21" t="n"/>
      <c r="AFU14" s="21" t="n"/>
      <c r="AFV14" s="21" t="n"/>
      <c r="AFW14" s="21" t="n"/>
      <c r="AFX14" s="21" t="n"/>
      <c r="AFY14" s="21" t="n"/>
      <c r="AFZ14" s="21" t="n"/>
      <c r="AGA14" s="21" t="n"/>
      <c r="AGB14" s="21" t="n"/>
      <c r="AGC14" s="21" t="n"/>
      <c r="AGD14" s="21" t="n"/>
      <c r="AGE14" s="21" t="n"/>
      <c r="AGF14" s="21" t="n"/>
      <c r="AGG14" s="21" t="n"/>
      <c r="AGH14" s="21" t="n"/>
      <c r="AGI14" s="21" t="n"/>
      <c r="AGJ14" s="21" t="n"/>
      <c r="AGK14" s="21" t="n"/>
      <c r="AGL14" s="21" t="n"/>
      <c r="AGM14" s="21" t="n"/>
      <c r="AGN14" s="21" t="n"/>
      <c r="AGO14" s="21" t="n"/>
      <c r="AGP14" s="21" t="n"/>
      <c r="AGQ14" s="21" t="n"/>
      <c r="AGR14" s="21" t="n"/>
      <c r="AGS14" s="21" t="n"/>
      <c r="AGT14" s="21" t="n"/>
      <c r="AGU14" s="21" t="n"/>
      <c r="AGV14" s="21" t="n"/>
      <c r="AGW14" s="21" t="n"/>
      <c r="AGX14" s="21" t="n"/>
      <c r="AGY14" s="21" t="n"/>
      <c r="AGZ14" s="21" t="n"/>
      <c r="AHA14" s="21" t="n"/>
      <c r="AHB14" s="21" t="n"/>
      <c r="AHC14" s="21" t="n"/>
      <c r="AHD14" s="21" t="n"/>
      <c r="AHE14" s="21" t="n"/>
      <c r="AHF14" s="21" t="n"/>
      <c r="AHG14" s="21" t="n"/>
      <c r="AHH14" s="21" t="n"/>
      <c r="AHI14" s="21" t="n"/>
      <c r="AHJ14" s="21" t="n"/>
      <c r="AHK14" s="21" t="n"/>
      <c r="AHL14" s="21" t="n"/>
      <c r="AHM14" s="21" t="n"/>
      <c r="AHN14" s="21" t="n"/>
      <c r="AHO14" s="21" t="n"/>
      <c r="AHP14" s="21" t="n"/>
      <c r="AHQ14" s="21" t="n"/>
      <c r="AHR14" s="21" t="n"/>
      <c r="AHS14" s="21" t="n"/>
      <c r="AHT14" s="21" t="n"/>
      <c r="AHU14" s="21" t="n"/>
      <c r="AHV14" s="21" t="n"/>
      <c r="AHW14" s="21" t="n"/>
      <c r="AHX14" s="21" t="n"/>
      <c r="AHY14" s="21" t="n"/>
      <c r="AHZ14" s="21" t="n"/>
      <c r="AIA14" s="21" t="n"/>
      <c r="AIB14" s="21" t="n"/>
      <c r="AIC14" s="21" t="n"/>
      <c r="AID14" s="21" t="n"/>
      <c r="AIE14" s="21" t="n"/>
      <c r="AIF14" s="21" t="n"/>
      <c r="AIG14" s="21" t="n"/>
      <c r="AIH14" s="21" t="n"/>
      <c r="AII14" s="21" t="n"/>
      <c r="AIJ14" s="21" t="n"/>
      <c r="AIK14" s="21" t="n"/>
      <c r="AIL14" s="21" t="n"/>
      <c r="AIM14" s="21" t="n"/>
      <c r="AIN14" s="21" t="n"/>
      <c r="AIO14" s="21" t="n"/>
      <c r="AIP14" s="21" t="n"/>
      <c r="AIQ14" s="21" t="n"/>
      <c r="AIR14" s="21" t="n"/>
      <c r="AIS14" s="21" t="n"/>
      <c r="AIT14" s="21" t="n"/>
      <c r="AIU14" s="21" t="n"/>
      <c r="AIV14" s="21" t="n"/>
      <c r="AIW14" s="21" t="n"/>
      <c r="AIX14" s="21" t="n"/>
      <c r="AIY14" s="21" t="n"/>
      <c r="AIZ14" s="21" t="n"/>
      <c r="AJA14" s="21" t="n"/>
      <c r="AJB14" s="21" t="n"/>
      <c r="AJC14" s="21" t="n"/>
      <c r="AJD14" s="21" t="n"/>
      <c r="AJE14" s="21" t="n"/>
      <c r="AJF14" s="21" t="n"/>
      <c r="AJG14" s="21" t="n"/>
      <c r="AJH14" s="21" t="n"/>
      <c r="AJI14" s="21" t="n"/>
      <c r="AJJ14" s="21" t="n"/>
      <c r="AJK14" s="21" t="n"/>
      <c r="AJL14" s="21" t="n"/>
      <c r="AJM14" s="21" t="n"/>
      <c r="AJN14" s="21" t="n"/>
      <c r="AJO14" s="21" t="n"/>
      <c r="AJP14" s="21" t="n"/>
      <c r="AJQ14" s="21" t="n"/>
      <c r="AJR14" s="21" t="n"/>
      <c r="AJS14" s="21" t="n"/>
      <c r="AJT14" s="21" t="n"/>
      <c r="AJU14" s="21" t="n"/>
      <c r="AJV14" s="21" t="n"/>
      <c r="AJW14" s="21" t="n"/>
      <c r="AJX14" s="21" t="n"/>
      <c r="AJY14" s="21" t="n"/>
      <c r="AJZ14" s="21" t="n"/>
      <c r="AKA14" s="21" t="n"/>
      <c r="AKB14" s="21" t="n"/>
      <c r="AKC14" s="21" t="n"/>
      <c r="AKD14" s="21" t="n"/>
      <c r="AKE14" s="21" t="n"/>
      <c r="AKF14" s="21" t="n"/>
      <c r="AKG14" s="21" t="n"/>
      <c r="AKH14" s="21" t="n"/>
      <c r="AKI14" s="21" t="n"/>
      <c r="AKJ14" s="21" t="n"/>
      <c r="AKK14" s="21" t="n"/>
      <c r="AKL14" s="21" t="n"/>
      <c r="AKM14" s="21" t="n"/>
      <c r="AKN14" s="21" t="n"/>
      <c r="AKO14" s="21" t="n"/>
      <c r="AKP14" s="21" t="n"/>
      <c r="AKQ14" s="21" t="n"/>
      <c r="AKR14" s="21" t="n"/>
      <c r="AKS14" s="21" t="n"/>
      <c r="AKT14" s="21" t="n"/>
      <c r="AKU14" s="21" t="n"/>
      <c r="AKV14" s="21" t="n"/>
      <c r="AKW14" s="21" t="n"/>
      <c r="AKX14" s="21" t="n"/>
      <c r="AKY14" s="21" t="n"/>
      <c r="AKZ14" s="21" t="n"/>
      <c r="ALA14" s="21" t="n"/>
      <c r="ALB14" s="21" t="n"/>
      <c r="ALC14" s="21" t="n"/>
      <c r="ALD14" s="21" t="n"/>
      <c r="ALE14" s="21" t="n"/>
      <c r="ALF14" s="21" t="n"/>
      <c r="ALG14" s="21" t="n"/>
      <c r="ALH14" s="21" t="n"/>
      <c r="ALI14" s="21" t="n"/>
      <c r="ALJ14" s="21" t="n"/>
      <c r="ALK14" s="21" t="n"/>
      <c r="ALL14" s="21" t="n"/>
      <c r="ALM14" s="21" t="n"/>
      <c r="ALN14" s="21" t="n"/>
      <c r="ALO14" s="21" t="n"/>
      <c r="ALP14" s="21" t="n"/>
      <c r="ALQ14" s="21" t="n"/>
      <c r="ALR14" s="21" t="n"/>
      <c r="ALS14" s="21" t="n"/>
      <c r="ALT14" s="21" t="n"/>
      <c r="ALU14" s="21" t="n"/>
      <c r="ALV14" s="21" t="n"/>
      <c r="ALW14" s="21" t="n"/>
      <c r="ALX14" s="21" t="n"/>
      <c r="ALY14" s="21" t="n"/>
      <c r="ALZ14" s="21" t="n"/>
      <c r="AMA14" s="21" t="n"/>
      <c r="AMB14" s="21" t="n"/>
      <c r="AMC14" s="21" t="n"/>
      <c r="AMD14" s="21" t="n"/>
      <c r="AME14" s="21" t="n"/>
      <c r="AMF14" s="21" t="n"/>
      <c r="AMG14" s="21" t="n"/>
      <c r="AMH14" s="21" t="n"/>
      <c r="AMI14" s="21" t="n"/>
      <c r="AMJ14" s="21" t="n"/>
      <c r="AMK14" s="21" t="n"/>
      <c r="AML14" s="21" t="n"/>
      <c r="AMM14" s="21" t="n"/>
      <c r="AMN14" s="21" t="n"/>
      <c r="AMO14" s="21" t="n"/>
      <c r="AMP14" s="21" t="n"/>
      <c r="AMQ14" s="21" t="n"/>
      <c r="AMR14" s="21" t="n"/>
      <c r="AMS14" s="21" t="n"/>
      <c r="AMT14" s="21" t="n"/>
      <c r="AMU14" s="21" t="n"/>
      <c r="AMV14" s="21" t="n"/>
      <c r="AMW14" s="21" t="n"/>
      <c r="AMX14" s="21" t="n"/>
      <c r="AMY14" s="21" t="n"/>
      <c r="AMZ14" s="21" t="n"/>
      <c r="ANA14" s="21" t="n"/>
      <c r="ANB14" s="21" t="n"/>
      <c r="ANC14" s="21" t="n"/>
      <c r="AND14" s="21" t="n"/>
      <c r="ANE14" s="21" t="n"/>
      <c r="ANF14" s="21" t="n"/>
      <c r="ANG14" s="21" t="n"/>
      <c r="ANH14" s="21" t="n"/>
      <c r="ANI14" s="21" t="n"/>
      <c r="ANJ14" s="21" t="n"/>
      <c r="ANK14" s="21" t="n"/>
      <c r="ANL14" s="21" t="n"/>
      <c r="ANM14" s="21" t="n"/>
      <c r="ANN14" s="21" t="n"/>
      <c r="ANO14" s="21" t="n"/>
      <c r="ANP14" s="21" t="n"/>
      <c r="ANQ14" s="21" t="n"/>
      <c r="ANR14" s="21" t="n"/>
      <c r="ANS14" s="21" t="n"/>
      <c r="ANT14" s="21" t="n"/>
      <c r="ANU14" s="21" t="n"/>
      <c r="ANV14" s="21" t="n"/>
      <c r="ANW14" s="21" t="n"/>
      <c r="ANX14" s="21" t="n"/>
      <c r="ANY14" s="21" t="n"/>
      <c r="ANZ14" s="21" t="n"/>
      <c r="AOA14" s="21" t="n"/>
      <c r="AOB14" s="21" t="n"/>
      <c r="AOC14" s="21" t="n"/>
      <c r="AOD14" s="21" t="n"/>
      <c r="AOE14" s="21" t="n"/>
      <c r="AOF14" s="21" t="n"/>
      <c r="AOG14" s="21" t="n"/>
      <c r="AOH14" s="21" t="n"/>
      <c r="AOI14" s="21" t="n"/>
      <c r="AOJ14" s="21" t="n"/>
      <c r="AOK14" s="21" t="n"/>
      <c r="AOL14" s="21" t="n"/>
      <c r="AOM14" s="21" t="n"/>
      <c r="AON14" s="21" t="n"/>
      <c r="AOO14" s="21" t="n"/>
      <c r="AOP14" s="21" t="n"/>
      <c r="AOQ14" s="21" t="n"/>
      <c r="AOR14" s="21" t="n"/>
      <c r="AOS14" s="21" t="n"/>
      <c r="AOT14" s="21" t="n"/>
      <c r="AOU14" s="21" t="n"/>
      <c r="AOV14" s="21" t="n"/>
      <c r="AOW14" s="21" t="n"/>
      <c r="AOX14" s="21" t="n"/>
      <c r="AOY14" s="21" t="n"/>
      <c r="AOZ14" s="21" t="n"/>
      <c r="APA14" s="21" t="n"/>
      <c r="APB14" s="21" t="n"/>
      <c r="APC14" s="21" t="n"/>
      <c r="APD14" s="21" t="n"/>
      <c r="APE14" s="21" t="n"/>
      <c r="APF14" s="21" t="n"/>
      <c r="APG14" s="21" t="n"/>
      <c r="APH14" s="21" t="n"/>
      <c r="API14" s="21" t="n"/>
      <c r="APJ14" s="21" t="n"/>
      <c r="APK14" s="21" t="n"/>
      <c r="APL14" s="21" t="n"/>
      <c r="APM14" s="21" t="n"/>
      <c r="APN14" s="21" t="n"/>
      <c r="APO14" s="21" t="n"/>
      <c r="APP14" s="21" t="n"/>
      <c r="APQ14" s="21" t="n"/>
      <c r="APR14" s="21" t="n"/>
      <c r="APS14" s="21" t="n"/>
      <c r="APT14" s="21" t="n"/>
      <c r="APU14" s="21" t="n"/>
      <c r="APV14" s="21" t="n"/>
      <c r="APW14" s="21" t="n"/>
      <c r="APX14" s="21" t="n"/>
      <c r="APY14" s="21" t="n"/>
      <c r="APZ14" s="21" t="n"/>
      <c r="AQA14" s="21" t="n"/>
      <c r="AQB14" s="21" t="n"/>
      <c r="AQC14" s="21" t="n"/>
      <c r="AQD14" s="21" t="n"/>
      <c r="AQE14" s="21" t="n"/>
      <c r="AQF14" s="21" t="n"/>
      <c r="AQG14" s="21" t="n"/>
      <c r="AQH14" s="21" t="n"/>
      <c r="AQI14" s="21" t="n"/>
      <c r="AQJ14" s="21" t="n"/>
      <c r="AQK14" s="21" t="n"/>
      <c r="AQL14" s="21" t="n"/>
      <c r="AQM14" s="21" t="n"/>
      <c r="AQN14" s="21" t="n"/>
      <c r="AQO14" s="21" t="n"/>
      <c r="AQP14" s="21" t="n"/>
      <c r="AQQ14" s="21" t="n"/>
      <c r="AQR14" s="21" t="n"/>
      <c r="AQS14" s="21" t="n"/>
      <c r="AQT14" s="21" t="n"/>
      <c r="AQU14" s="21" t="n"/>
      <c r="AQV14" s="21" t="n"/>
      <c r="AQW14" s="21" t="n"/>
      <c r="AQX14" s="21" t="n"/>
      <c r="AQY14" s="21" t="n"/>
      <c r="AQZ14" s="21" t="n"/>
      <c r="ARA14" s="21" t="n"/>
      <c r="ARB14" s="21" t="n"/>
      <c r="ARC14" s="21" t="n"/>
      <c r="ARD14" s="21" t="n"/>
      <c r="ARE14" s="21" t="n"/>
      <c r="ARF14" s="21" t="n"/>
      <c r="ARG14" s="21" t="n"/>
      <c r="ARH14" s="21" t="n"/>
      <c r="ARI14" s="21" t="n"/>
      <c r="ARJ14" s="21" t="n"/>
      <c r="ARK14" s="21" t="n"/>
      <c r="ARL14" s="21" t="n"/>
      <c r="ARM14" s="21" t="n"/>
      <c r="ARN14" s="21" t="n"/>
      <c r="ARO14" s="21" t="n"/>
      <c r="ARP14" s="21" t="n"/>
      <c r="ARQ14" s="21" t="n"/>
      <c r="ARR14" s="21" t="n"/>
      <c r="ARS14" s="21" t="n"/>
      <c r="ART14" s="21" t="n"/>
      <c r="ARU14" s="21" t="n"/>
      <c r="ARV14" s="21" t="n"/>
      <c r="ARW14" s="21" t="n"/>
      <c r="ARX14" s="21" t="n"/>
      <c r="ARY14" s="21" t="n"/>
      <c r="ARZ14" s="21" t="n"/>
      <c r="ASA14" s="21" t="n"/>
      <c r="ASB14" s="21" t="n"/>
      <c r="ASC14" s="21" t="n"/>
      <c r="ASD14" s="21" t="n"/>
      <c r="ASE14" s="21" t="n"/>
      <c r="ASF14" s="21" t="n"/>
      <c r="ASG14" s="21" t="n"/>
      <c r="ASH14" s="21" t="n"/>
      <c r="ASI14" s="21" t="n"/>
      <c r="ASJ14" s="21" t="n"/>
      <c r="ASK14" s="21" t="n"/>
      <c r="ASL14" s="21" t="n"/>
      <c r="ASM14" s="21" t="n"/>
      <c r="ASN14" s="21" t="n"/>
      <c r="ASO14" s="21" t="n"/>
      <c r="ASP14" s="21" t="n"/>
      <c r="ASQ14" s="21" t="n"/>
      <c r="ASR14" s="21" t="n"/>
      <c r="ASS14" s="21" t="n"/>
      <c r="AST14" s="21" t="n"/>
      <c r="ASU14" s="21" t="n"/>
      <c r="ASV14" s="21" t="n"/>
      <c r="ASW14" s="21" t="n"/>
      <c r="ASX14" s="21" t="n"/>
      <c r="ASY14" s="21" t="n"/>
      <c r="ASZ14" s="21" t="n"/>
      <c r="ATA14" s="21" t="n"/>
      <c r="ATB14" s="21" t="n"/>
      <c r="ATC14" s="21" t="n"/>
      <c r="ATD14" s="21" t="n"/>
      <c r="ATE14" s="21" t="n"/>
      <c r="ATF14" s="21" t="n"/>
      <c r="ATG14" s="21" t="n"/>
      <c r="ATH14" s="21" t="n"/>
      <c r="ATI14" s="21" t="n"/>
      <c r="ATJ14" s="21" t="n"/>
      <c r="ATK14" s="21" t="n"/>
      <c r="ATL14" s="21" t="n"/>
      <c r="ATM14" s="21" t="n"/>
      <c r="ATN14" s="21" t="n"/>
      <c r="ATO14" s="21" t="n"/>
      <c r="ATP14" s="21" t="n"/>
      <c r="ATQ14" s="21" t="n"/>
      <c r="ATR14" s="21" t="n"/>
      <c r="ATS14" s="21" t="n"/>
      <c r="ATT14" s="21" t="n"/>
      <c r="ATU14" s="21" t="n"/>
      <c r="ATV14" s="21" t="n"/>
      <c r="ATW14" s="21" t="n"/>
      <c r="ATX14" s="21" t="n"/>
      <c r="ATY14" s="21" t="n"/>
      <c r="ATZ14" s="21" t="n"/>
      <c r="AUA14" s="21" t="n"/>
      <c r="AUB14" s="21" t="n"/>
      <c r="AUC14" s="21" t="n"/>
      <c r="AUD14" s="21" t="n"/>
      <c r="AUE14" s="21" t="n"/>
      <c r="AUF14" s="21" t="n"/>
      <c r="AUG14" s="21" t="n"/>
      <c r="AUH14" s="21" t="n"/>
      <c r="AUI14" s="21" t="n"/>
      <c r="AUJ14" s="21" t="n"/>
      <c r="AUK14" s="21" t="n"/>
      <c r="AUL14" s="21" t="n"/>
      <c r="AUM14" s="21" t="n"/>
      <c r="AUN14" s="21" t="n"/>
      <c r="AUO14" s="21" t="n"/>
      <c r="AUP14" s="21" t="n"/>
      <c r="AUQ14" s="21" t="n"/>
      <c r="AUR14" s="21" t="n"/>
      <c r="AUS14" s="21" t="n"/>
      <c r="AUT14" s="21" t="n"/>
      <c r="AUU14" s="21" t="n"/>
      <c r="AUV14" s="21" t="n"/>
      <c r="AUW14" s="21" t="n"/>
      <c r="AUX14" s="21" t="n"/>
      <c r="AUY14" s="21" t="n"/>
      <c r="AUZ14" s="21" t="n"/>
      <c r="AVA14" s="21" t="n"/>
      <c r="AVB14" s="21" t="n"/>
      <c r="AVC14" s="21" t="n"/>
      <c r="AVD14" s="21" t="n"/>
      <c r="AVE14" s="21" t="n"/>
      <c r="AVF14" s="21" t="n"/>
      <c r="AVG14" s="21" t="n"/>
      <c r="AVH14" s="21" t="n"/>
      <c r="AVI14" s="21" t="n"/>
      <c r="AVJ14" s="21" t="n"/>
      <c r="AVK14" s="21" t="n"/>
      <c r="AVL14" s="21" t="n"/>
      <c r="AVM14" s="21" t="n"/>
      <c r="AVN14" s="21" t="n"/>
      <c r="AVO14" s="21" t="n"/>
      <c r="AVP14" s="21" t="n"/>
      <c r="AVQ14" s="21" t="n"/>
      <c r="AVR14" s="21" t="n"/>
      <c r="AVS14" s="21" t="n"/>
      <c r="AVT14" s="21" t="n"/>
      <c r="AVU14" s="21" t="n"/>
      <c r="AVV14" s="21" t="n"/>
      <c r="AVW14" s="21" t="n"/>
      <c r="AVX14" s="21" t="n"/>
      <c r="AVY14" s="21" t="n"/>
      <c r="AVZ14" s="21" t="n"/>
      <c r="AWA14" s="21" t="n"/>
      <c r="AWB14" s="21" t="n"/>
      <c r="AWC14" s="21" t="n"/>
      <c r="AWD14" s="21" t="n"/>
      <c r="AWE14" s="21" t="n"/>
      <c r="AWF14" s="21" t="n"/>
      <c r="AWG14" s="21" t="n"/>
      <c r="AWH14" s="21" t="n"/>
      <c r="AWI14" s="21" t="n"/>
      <c r="AWJ14" s="21" t="n"/>
      <c r="AWK14" s="21" t="n"/>
      <c r="AWL14" s="21" t="n"/>
      <c r="AWM14" s="21" t="n"/>
      <c r="AWN14" s="21" t="n"/>
      <c r="AWO14" s="21" t="n"/>
      <c r="AWP14" s="21" t="n"/>
      <c r="AWQ14" s="21" t="n"/>
      <c r="AWR14" s="21" t="n"/>
      <c r="AWS14" s="21" t="n"/>
      <c r="AWT14" s="21" t="n"/>
      <c r="AWU14" s="21" t="n"/>
      <c r="AWV14" s="21" t="n"/>
      <c r="AWW14" s="21" t="n"/>
      <c r="AWX14" s="21" t="n"/>
      <c r="AWY14" s="21" t="n"/>
      <c r="AWZ14" s="21" t="n"/>
      <c r="AXA14" s="21" t="n"/>
      <c r="AXB14" s="21" t="n"/>
      <c r="AXC14" s="21" t="n"/>
      <c r="AXD14" s="21" t="n"/>
      <c r="AXE14" s="21" t="n"/>
      <c r="AXF14" s="21" t="n"/>
      <c r="AXG14" s="21" t="n"/>
      <c r="AXH14" s="21" t="n"/>
      <c r="AXI14" s="21" t="n"/>
      <c r="AXJ14" s="21" t="n"/>
      <c r="AXK14" s="21" t="n"/>
      <c r="AXL14" s="21" t="n"/>
      <c r="AXM14" s="21" t="n"/>
      <c r="AXN14" s="21" t="n"/>
      <c r="AXO14" s="21" t="n"/>
      <c r="AXP14" s="21" t="n"/>
      <c r="AXQ14" s="21" t="n"/>
      <c r="AXR14" s="21" t="n"/>
      <c r="AXS14" s="21" t="n"/>
      <c r="AXT14" s="21" t="n"/>
      <c r="AXU14" s="21" t="n"/>
      <c r="AXV14" s="21" t="n"/>
      <c r="AXW14" s="21" t="n"/>
      <c r="AXX14" s="21" t="n"/>
      <c r="AXY14" s="21" t="n"/>
      <c r="AXZ14" s="21" t="n"/>
      <c r="AYA14" s="21" t="n"/>
      <c r="AYB14" s="21" t="n"/>
      <c r="AYC14" s="21" t="n"/>
      <c r="AYD14" s="21" t="n"/>
      <c r="AYE14" s="21" t="n"/>
      <c r="AYF14" s="21" t="n"/>
      <c r="AYG14" s="21" t="n"/>
      <c r="AYH14" s="21" t="n"/>
      <c r="AYI14" s="21" t="n"/>
      <c r="AYJ14" s="21" t="n"/>
      <c r="AYK14" s="21" t="n"/>
      <c r="AYL14" s="21" t="n"/>
      <c r="AYM14" s="21" t="n"/>
      <c r="AYN14" s="21" t="n"/>
      <c r="AYO14" s="21" t="n"/>
      <c r="AYP14" s="21" t="n"/>
      <c r="AYQ14" s="21" t="n"/>
      <c r="AYR14" s="21" t="n"/>
      <c r="AYS14" s="21" t="n"/>
      <c r="AYT14" s="21" t="n"/>
      <c r="AYU14" s="21" t="n"/>
      <c r="AYV14" s="21" t="n"/>
      <c r="AYW14" s="21" t="n"/>
      <c r="AYX14" s="21" t="n"/>
      <c r="AYY14" s="21" t="n"/>
      <c r="AYZ14" s="21" t="n"/>
      <c r="AZA14" s="21" t="n"/>
      <c r="AZB14" s="21" t="n"/>
      <c r="AZC14" s="21" t="n"/>
      <c r="AZD14" s="21" t="n"/>
      <c r="AZE14" s="21" t="n"/>
      <c r="AZF14" s="21" t="n"/>
      <c r="AZG14" s="21" t="n"/>
      <c r="AZH14" s="21" t="n"/>
      <c r="AZI14" s="21" t="n"/>
      <c r="AZJ14" s="21" t="n"/>
      <c r="AZK14" s="21" t="n"/>
      <c r="AZL14" s="21" t="n"/>
      <c r="AZM14" s="21" t="n"/>
      <c r="AZN14" s="21" t="n"/>
      <c r="AZO14" s="21" t="n"/>
      <c r="AZP14" s="21" t="n"/>
      <c r="AZQ14" s="21" t="n"/>
      <c r="AZR14" s="21" t="n"/>
      <c r="AZS14" s="21" t="n"/>
      <c r="AZT14" s="21" t="n"/>
      <c r="AZU14" s="21" t="n"/>
      <c r="AZV14" s="21" t="n"/>
      <c r="AZW14" s="21" t="n"/>
      <c r="AZX14" s="21" t="n"/>
      <c r="AZY14" s="21" t="n"/>
      <c r="AZZ14" s="21" t="n"/>
      <c r="BAA14" s="21" t="n"/>
      <c r="BAB14" s="21" t="n"/>
      <c r="BAC14" s="21" t="n"/>
      <c r="BAD14" s="21" t="n"/>
      <c r="BAE14" s="21" t="n"/>
      <c r="BAF14" s="21" t="n"/>
      <c r="BAG14" s="21" t="n"/>
      <c r="BAH14" s="21" t="n"/>
      <c r="BAI14" s="21" t="n"/>
      <c r="BAJ14" s="21" t="n"/>
      <c r="BAK14" s="21" t="n"/>
      <c r="BAL14" s="21" t="n"/>
      <c r="BAM14" s="21" t="n"/>
      <c r="BAN14" s="21" t="n"/>
      <c r="BAO14" s="21" t="n"/>
      <c r="BAP14" s="21" t="n"/>
      <c r="BAQ14" s="21" t="n"/>
      <c r="BAR14" s="21" t="n"/>
      <c r="BAS14" s="21" t="n"/>
      <c r="BAT14" s="21" t="n"/>
      <c r="BAU14" s="21" t="n"/>
      <c r="BAV14" s="21" t="n"/>
      <c r="BAW14" s="21" t="n"/>
      <c r="BAX14" s="21" t="n"/>
      <c r="BAY14" s="21" t="n"/>
      <c r="BAZ14" s="21" t="n"/>
      <c r="BBA14" s="21" t="n"/>
      <c r="BBB14" s="21" t="n"/>
      <c r="BBC14" s="21" t="n"/>
      <c r="BBD14" s="21" t="n"/>
      <c r="BBE14" s="21" t="n"/>
      <c r="BBF14" s="21" t="n"/>
      <c r="BBG14" s="21" t="n"/>
      <c r="BBH14" s="21" t="n"/>
      <c r="BBI14" s="21" t="n"/>
      <c r="BBJ14" s="21" t="n"/>
      <c r="BBK14" s="21" t="n"/>
      <c r="BBL14" s="21" t="n"/>
      <c r="BBM14" s="21" t="n"/>
      <c r="BBN14" s="21" t="n"/>
      <c r="BBO14" s="21" t="n"/>
      <c r="BBP14" s="21" t="n"/>
      <c r="BBQ14" s="21" t="n"/>
      <c r="BBR14" s="21" t="n"/>
      <c r="BBS14" s="21" t="n"/>
      <c r="BBT14" s="21" t="n"/>
      <c r="BBU14" s="21" t="n"/>
      <c r="BBV14" s="21" t="n"/>
      <c r="BBW14" s="21" t="n"/>
      <c r="BBX14" s="21" t="n"/>
      <c r="BBY14" s="21" t="n"/>
      <c r="BBZ14" s="21" t="n"/>
      <c r="BCA14" s="21" t="n"/>
      <c r="BCB14" s="21" t="n"/>
      <c r="BCC14" s="21" t="n"/>
      <c r="BCD14" s="21" t="n"/>
      <c r="BCE14" s="21" t="n"/>
      <c r="BCF14" s="21" t="n"/>
      <c r="BCG14" s="21" t="n"/>
      <c r="BCH14" s="21" t="n"/>
      <c r="BCI14" s="21" t="n"/>
      <c r="BCJ14" s="21" t="n"/>
      <c r="BCK14" s="21" t="n"/>
      <c r="BCL14" s="21" t="n"/>
      <c r="BCM14" s="21" t="n"/>
      <c r="BCN14" s="21" t="n"/>
      <c r="BCO14" s="21" t="n"/>
      <c r="BCP14" s="21" t="n"/>
      <c r="BCQ14" s="21" t="n"/>
      <c r="BCR14" s="21" t="n"/>
      <c r="BCS14" s="21" t="n"/>
      <c r="BCT14" s="21" t="n"/>
      <c r="BCU14" s="21" t="n"/>
      <c r="BCV14" s="21" t="n"/>
      <c r="BCW14" s="21" t="n"/>
      <c r="BCX14" s="21" t="n"/>
      <c r="BCY14" s="21" t="n"/>
      <c r="BCZ14" s="21" t="n"/>
      <c r="BDA14" s="21" t="n"/>
      <c r="BDB14" s="21" t="n"/>
      <c r="BDC14" s="21" t="n"/>
      <c r="BDD14" s="21" t="n"/>
      <c r="BDE14" s="21" t="n"/>
      <c r="BDF14" s="21" t="n"/>
      <c r="BDG14" s="21" t="n"/>
      <c r="BDH14" s="21" t="n"/>
      <c r="BDI14" s="21" t="n"/>
      <c r="BDJ14" s="21" t="n"/>
      <c r="BDK14" s="21" t="n"/>
      <c r="BDL14" s="21" t="n"/>
      <c r="BDM14" s="21" t="n"/>
      <c r="BDN14" s="21" t="n"/>
      <c r="BDO14" s="21" t="n"/>
      <c r="BDP14" s="21" t="n"/>
      <c r="BDQ14" s="21" t="n"/>
      <c r="BDR14" s="21" t="n"/>
      <c r="BDS14" s="21" t="n"/>
      <c r="BDT14" s="21" t="n"/>
      <c r="BDU14" s="21" t="n"/>
      <c r="BDV14" s="21" t="n"/>
      <c r="BDW14" s="21" t="n"/>
      <c r="BDX14" s="21" t="n"/>
      <c r="BDY14" s="21" t="n"/>
      <c r="BDZ14" s="21" t="n"/>
      <c r="BEA14" s="21" t="n"/>
      <c r="BEB14" s="21" t="n"/>
      <c r="BEC14" s="21" t="n"/>
      <c r="BED14" s="21" t="n"/>
      <c r="BEE14" s="21" t="n"/>
      <c r="BEF14" s="21" t="n"/>
      <c r="BEG14" s="21" t="n"/>
      <c r="BEH14" s="21" t="n"/>
      <c r="BEI14" s="21" t="n"/>
      <c r="BEJ14" s="21" t="n"/>
      <c r="BEK14" s="21" t="n"/>
      <c r="BEL14" s="21" t="n"/>
      <c r="BEM14" s="21" t="n"/>
      <c r="BEN14" s="21" t="n"/>
      <c r="BEO14" s="21" t="n"/>
      <c r="BEP14" s="21" t="n"/>
      <c r="BEQ14" s="21" t="n"/>
      <c r="BER14" s="21" t="n"/>
      <c r="BES14" s="21" t="n"/>
      <c r="BET14" s="21" t="n"/>
      <c r="BEU14" s="21" t="n"/>
      <c r="BEV14" s="21" t="n"/>
      <c r="BEW14" s="21" t="n"/>
      <c r="BEX14" s="21" t="n"/>
      <c r="BEY14" s="21" t="n"/>
      <c r="BEZ14" s="21" t="n"/>
      <c r="BFA14" s="21" t="n"/>
      <c r="BFB14" s="21" t="n"/>
      <c r="BFC14" s="21" t="n"/>
      <c r="BFD14" s="21" t="n"/>
      <c r="BFE14" s="21" t="n"/>
      <c r="BFF14" s="21" t="n"/>
      <c r="BFG14" s="21" t="n"/>
      <c r="BFH14" s="21" t="n"/>
      <c r="BFI14" s="21" t="n"/>
      <c r="BFJ14" s="21" t="n"/>
      <c r="BFK14" s="21" t="n"/>
      <c r="BFL14" s="21" t="n"/>
      <c r="BFM14" s="21" t="n"/>
      <c r="BFN14" s="21" t="n"/>
      <c r="BFO14" s="21" t="n"/>
      <c r="BFP14" s="21" t="n"/>
      <c r="BFQ14" s="21" t="n"/>
      <c r="BFR14" s="21" t="n"/>
      <c r="BFS14" s="21" t="n"/>
      <c r="BFT14" s="21" t="n"/>
      <c r="BFU14" s="21" t="n"/>
      <c r="BFV14" s="21" t="n"/>
      <c r="BFW14" s="21" t="n"/>
      <c r="BFX14" s="21" t="n"/>
      <c r="BFY14" s="21" t="n"/>
      <c r="BFZ14" s="21" t="n"/>
      <c r="BGA14" s="21" t="n"/>
      <c r="BGB14" s="21" t="n"/>
      <c r="BGC14" s="21" t="n"/>
      <c r="BGD14" s="21" t="n"/>
      <c r="BGE14" s="21" t="n"/>
      <c r="BGF14" s="21" t="n"/>
      <c r="BGG14" s="21" t="n"/>
      <c r="BGH14" s="21" t="n"/>
      <c r="BGI14" s="21" t="n"/>
      <c r="BGJ14" s="21" t="n"/>
      <c r="BGK14" s="21" t="n"/>
      <c r="BGL14" s="21" t="n"/>
      <c r="BGM14" s="21" t="n"/>
      <c r="BGN14" s="21" t="n"/>
      <c r="BGO14" s="21" t="n"/>
      <c r="BGP14" s="21" t="n"/>
      <c r="BGQ14" s="21" t="n"/>
      <c r="BGR14" s="21" t="n"/>
      <c r="BGS14" s="21" t="n"/>
      <c r="BGT14" s="21" t="n"/>
      <c r="BGU14" s="21" t="n"/>
      <c r="BGV14" s="21" t="n"/>
      <c r="BGW14" s="21" t="n"/>
      <c r="BGX14" s="21" t="n"/>
      <c r="BGY14" s="21" t="n"/>
      <c r="BGZ14" s="21" t="n"/>
      <c r="BHA14" s="21" t="n"/>
      <c r="BHB14" s="21" t="n"/>
      <c r="BHC14" s="21" t="n"/>
      <c r="BHD14" s="21" t="n"/>
      <c r="BHE14" s="21" t="n"/>
      <c r="BHF14" s="21" t="n"/>
      <c r="BHG14" s="21" t="n"/>
      <c r="BHH14" s="21" t="n"/>
      <c r="BHI14" s="21" t="n"/>
      <c r="BHJ14" s="21" t="n"/>
      <c r="BHK14" s="21" t="n"/>
      <c r="BHL14" s="21" t="n"/>
      <c r="BHM14" s="21" t="n"/>
      <c r="BHN14" s="21" t="n"/>
      <c r="BHO14" s="21" t="n"/>
      <c r="BHP14" s="21" t="n"/>
      <c r="BHQ14" s="21" t="n"/>
      <c r="BHR14" s="21" t="n"/>
      <c r="BHS14" s="21" t="n"/>
      <c r="BHT14" s="21" t="n"/>
      <c r="BHU14" s="21" t="n"/>
      <c r="BHV14" s="21" t="n"/>
      <c r="BHW14" s="21" t="n"/>
      <c r="BHX14" s="21" t="n"/>
      <c r="BHY14" s="21" t="n"/>
      <c r="BHZ14" s="21" t="n"/>
      <c r="BIA14" s="21" t="n"/>
      <c r="BIB14" s="21" t="n"/>
      <c r="BIC14" s="21" t="n"/>
      <c r="BID14" s="21" t="n"/>
      <c r="BIE14" s="21" t="n"/>
      <c r="BIF14" s="21" t="n"/>
      <c r="BIG14" s="21" t="n"/>
      <c r="BIH14" s="21" t="n"/>
      <c r="BII14" s="21" t="n"/>
      <c r="BIJ14" s="21" t="n"/>
      <c r="BIK14" s="21" t="n"/>
      <c r="BIL14" s="21" t="n"/>
      <c r="BIM14" s="21" t="n"/>
      <c r="BIN14" s="21" t="n"/>
      <c r="BIO14" s="21" t="n"/>
      <c r="BIP14" s="21" t="n"/>
      <c r="BIQ14" s="21" t="n"/>
      <c r="BIR14" s="21" t="n"/>
      <c r="BIS14" s="21" t="n"/>
      <c r="BIT14" s="21" t="n"/>
      <c r="BIU14" s="21" t="n"/>
      <c r="BIV14" s="21" t="n"/>
      <c r="BIW14" s="21" t="n"/>
      <c r="BIX14" s="21" t="n"/>
      <c r="BIY14" s="21" t="n"/>
      <c r="BIZ14" s="21" t="n"/>
      <c r="BJA14" s="21" t="n"/>
      <c r="BJB14" s="21" t="n"/>
      <c r="BJC14" s="21" t="n"/>
      <c r="BJD14" s="21" t="n"/>
      <c r="BJE14" s="21" t="n"/>
      <c r="BJF14" s="21" t="n"/>
      <c r="BJG14" s="21" t="n"/>
      <c r="BJH14" s="21" t="n"/>
      <c r="BJI14" s="21" t="n"/>
      <c r="BJJ14" s="21" t="n"/>
      <c r="BJK14" s="21" t="n"/>
      <c r="BJL14" s="21" t="n"/>
      <c r="BJM14" s="21" t="n"/>
      <c r="BJN14" s="21" t="n"/>
      <c r="BJO14" s="21" t="n"/>
      <c r="BJP14" s="21" t="n"/>
      <c r="BJQ14" s="21" t="n"/>
      <c r="BJR14" s="21" t="n"/>
      <c r="BJS14" s="21" t="n"/>
      <c r="BJT14" s="21" t="n"/>
      <c r="BJU14" s="21" t="n"/>
      <c r="BJV14" s="21" t="n"/>
      <c r="BJW14" s="21" t="n"/>
      <c r="BJX14" s="21" t="n"/>
      <c r="BJY14" s="21" t="n"/>
      <c r="BJZ14" s="21" t="n"/>
      <c r="BKA14" s="21" t="n"/>
      <c r="BKB14" s="21" t="n"/>
      <c r="BKC14" s="21" t="n"/>
      <c r="BKD14" s="21" t="n"/>
      <c r="BKE14" s="21" t="n"/>
      <c r="BKF14" s="21" t="n"/>
      <c r="BKG14" s="21" t="n"/>
      <c r="BKH14" s="21" t="n"/>
      <c r="BKI14" s="21" t="n"/>
      <c r="BKJ14" s="21" t="n"/>
      <c r="BKK14" s="21" t="n"/>
      <c r="BKL14" s="21" t="n"/>
      <c r="BKM14" s="21" t="n"/>
      <c r="BKN14" s="21" t="n"/>
      <c r="BKO14" s="21" t="n"/>
      <c r="BKP14" s="21" t="n"/>
      <c r="BKQ14" s="21" t="n"/>
      <c r="BKR14" s="21" t="n"/>
      <c r="BKS14" s="21" t="n"/>
      <c r="BKT14" s="21" t="n"/>
      <c r="BKU14" s="21" t="n"/>
      <c r="BKV14" s="21" t="n"/>
      <c r="BKW14" s="21" t="n"/>
      <c r="BKX14" s="21" t="n"/>
      <c r="BKY14" s="21" t="n"/>
      <c r="BKZ14" s="21" t="n"/>
      <c r="BLA14" s="21" t="n"/>
      <c r="BLB14" s="21" t="n"/>
      <c r="BLC14" s="21" t="n"/>
      <c r="BLD14" s="21" t="n"/>
      <c r="BLE14" s="21" t="n"/>
      <c r="BLF14" s="21" t="n"/>
      <c r="BLG14" s="21" t="n"/>
      <c r="BLH14" s="21" t="n"/>
      <c r="BLI14" s="21" t="n"/>
      <c r="BLJ14" s="21" t="n"/>
      <c r="BLK14" s="21" t="n"/>
      <c r="BLL14" s="21" t="n"/>
      <c r="BLM14" s="21" t="n"/>
      <c r="BLN14" s="21" t="n"/>
      <c r="BLO14" s="21" t="n"/>
      <c r="BLP14" s="21" t="n"/>
      <c r="BLQ14" s="21" t="n"/>
      <c r="BLR14" s="21" t="n"/>
      <c r="BLS14" s="21" t="n"/>
      <c r="BLT14" s="21" t="n"/>
      <c r="BLU14" s="21" t="n"/>
      <c r="BLV14" s="21" t="n"/>
      <c r="BLW14" s="21" t="n"/>
      <c r="BLX14" s="21" t="n"/>
      <c r="BLY14" s="21" t="n"/>
      <c r="BLZ14" s="21" t="n"/>
      <c r="BMA14" s="21" t="n"/>
      <c r="BMB14" s="21" t="n"/>
      <c r="BMC14" s="21" t="n"/>
      <c r="BMD14" s="21" t="n"/>
      <c r="BME14" s="21" t="n"/>
      <c r="BMF14" s="21" t="n"/>
      <c r="BMG14" s="21" t="n"/>
      <c r="BMH14" s="21" t="n"/>
      <c r="BMI14" s="21" t="n"/>
      <c r="BMJ14" s="21" t="n"/>
      <c r="BMK14" s="21" t="n"/>
      <c r="BML14" s="21" t="n"/>
      <c r="BMM14" s="21" t="n"/>
      <c r="BMN14" s="21" t="n"/>
      <c r="BMO14" s="21" t="n"/>
      <c r="BMP14" s="21" t="n"/>
      <c r="BMQ14" s="21" t="n"/>
      <c r="BMR14" s="21" t="n"/>
      <c r="BMS14" s="21" t="n"/>
      <c r="BMT14" s="21" t="n"/>
      <c r="BMU14" s="21" t="n"/>
      <c r="BMV14" s="21" t="n"/>
      <c r="BMW14" s="21" t="n"/>
      <c r="BMX14" s="21" t="n"/>
      <c r="BMY14" s="21" t="n"/>
      <c r="BMZ14" s="21" t="n"/>
      <c r="BNA14" s="21" t="n"/>
      <c r="BNB14" s="21" t="n"/>
      <c r="BNC14" s="21" t="n"/>
      <c r="BND14" s="21" t="n"/>
      <c r="BNE14" s="21" t="n"/>
      <c r="BNF14" s="21" t="n"/>
      <c r="BNG14" s="21" t="n"/>
      <c r="BNH14" s="21" t="n"/>
      <c r="BNI14" s="21" t="n"/>
      <c r="BNJ14" s="21" t="n"/>
      <c r="BNK14" s="21" t="n"/>
      <c r="BNL14" s="21" t="n"/>
      <c r="BNM14" s="21" t="n"/>
      <c r="BNN14" s="21" t="n"/>
      <c r="BNO14" s="21" t="n"/>
      <c r="BNP14" s="21" t="n"/>
      <c r="BNQ14" s="21" t="n"/>
      <c r="BNR14" s="21" t="n"/>
      <c r="BNS14" s="21" t="n"/>
      <c r="BNT14" s="21" t="n"/>
      <c r="BNU14" s="21" t="n"/>
      <c r="BNV14" s="21" t="n"/>
      <c r="BNW14" s="21" t="n"/>
      <c r="BNX14" s="21" t="n"/>
      <c r="BNY14" s="21" t="n"/>
      <c r="BNZ14" s="21" t="n"/>
      <c r="BOA14" s="21" t="n"/>
      <c r="BOB14" s="21" t="n"/>
      <c r="BOC14" s="21" t="n"/>
      <c r="BOD14" s="21" t="n"/>
      <c r="BOE14" s="21" t="n"/>
      <c r="BOF14" s="21" t="n"/>
      <c r="BOG14" s="21" t="n"/>
      <c r="BOH14" s="21" t="n"/>
      <c r="BOI14" s="21" t="n"/>
      <c r="BOJ14" s="21" t="n"/>
      <c r="BOK14" s="21" t="n"/>
      <c r="BOL14" s="21" t="n"/>
      <c r="BOM14" s="21" t="n"/>
      <c r="BON14" s="21" t="n"/>
      <c r="BOO14" s="21" t="n"/>
      <c r="BOP14" s="21" t="n"/>
      <c r="BOQ14" s="21" t="n"/>
      <c r="BOR14" s="21" t="n"/>
      <c r="BOS14" s="21" t="n"/>
      <c r="BOT14" s="21" t="n"/>
      <c r="BOU14" s="21" t="n"/>
      <c r="BOV14" s="21" t="n"/>
      <c r="BOW14" s="21" t="n"/>
      <c r="BOX14" s="21" t="n"/>
      <c r="BOY14" s="21" t="n"/>
      <c r="BOZ14" s="21" t="n"/>
      <c r="BPA14" s="21" t="n"/>
      <c r="BPB14" s="21" t="n"/>
      <c r="BPC14" s="21" t="n"/>
      <c r="BPD14" s="21" t="n"/>
      <c r="BPE14" s="21" t="n"/>
      <c r="BPF14" s="21" t="n"/>
      <c r="BPG14" s="21" t="n"/>
      <c r="BPH14" s="21" t="n"/>
      <c r="BPI14" s="21" t="n"/>
      <c r="BPJ14" s="21" t="n"/>
      <c r="BPK14" s="21" t="n"/>
      <c r="BPL14" s="21" t="n"/>
      <c r="BPM14" s="21" t="n"/>
      <c r="BPN14" s="21" t="n"/>
      <c r="BPO14" s="21" t="n"/>
      <c r="BPP14" s="21" t="n"/>
      <c r="BPQ14" s="21" t="n"/>
      <c r="BPR14" s="21" t="n"/>
      <c r="BPS14" s="21" t="n"/>
      <c r="BPT14" s="21" t="n"/>
      <c r="BPU14" s="21" t="n"/>
      <c r="BPV14" s="21" t="n"/>
      <c r="BPW14" s="21" t="n"/>
      <c r="BPX14" s="21" t="n"/>
      <c r="BPY14" s="21" t="n"/>
      <c r="BPZ14" s="21" t="n"/>
      <c r="BQA14" s="21" t="n"/>
      <c r="BQB14" s="21" t="n"/>
      <c r="BQC14" s="21" t="n"/>
      <c r="BQD14" s="21" t="n"/>
      <c r="BQE14" s="21" t="n"/>
      <c r="BQF14" s="21" t="n"/>
      <c r="BQG14" s="21" t="n"/>
      <c r="BQH14" s="21" t="n"/>
      <c r="BQI14" s="21" t="n"/>
      <c r="BQJ14" s="21" t="n"/>
      <c r="BQK14" s="21" t="n"/>
      <c r="BQL14" s="21" t="n"/>
      <c r="BQM14" s="21" t="n"/>
      <c r="BQN14" s="21" t="n"/>
      <c r="BQO14" s="21" t="n"/>
      <c r="BQP14" s="21" t="n"/>
      <c r="BQQ14" s="21" t="n"/>
      <c r="BQR14" s="21" t="n"/>
      <c r="BQS14" s="21" t="n"/>
      <c r="BQT14" s="21" t="n"/>
      <c r="BQU14" s="21" t="n"/>
      <c r="BQV14" s="21" t="n"/>
      <c r="BQW14" s="21" t="n"/>
      <c r="BQX14" s="21" t="n"/>
      <c r="BQY14" s="21" t="n"/>
      <c r="BQZ14" s="21" t="n"/>
      <c r="BRA14" s="21" t="n"/>
      <c r="BRB14" s="21" t="n"/>
      <c r="BRC14" s="21" t="n"/>
      <c r="BRD14" s="21" t="n"/>
      <c r="BRE14" s="21" t="n"/>
      <c r="BRF14" s="21" t="n"/>
      <c r="BRG14" s="21" t="n"/>
      <c r="BRH14" s="21" t="n"/>
      <c r="BRI14" s="21" t="n"/>
      <c r="BRJ14" s="21" t="n"/>
      <c r="BRK14" s="21" t="n"/>
      <c r="BRL14" s="21" t="n"/>
      <c r="BRM14" s="21" t="n"/>
      <c r="BRN14" s="21" t="n"/>
      <c r="BRO14" s="21" t="n"/>
      <c r="BRP14" s="21" t="n"/>
      <c r="BRQ14" s="21" t="n"/>
      <c r="BRR14" s="21" t="n"/>
      <c r="BRS14" s="21" t="n"/>
      <c r="BRT14" s="21" t="n"/>
      <c r="BRU14" s="21" t="n"/>
      <c r="BRV14" s="21" t="n"/>
      <c r="BRW14" s="21" t="n"/>
      <c r="BRX14" s="21" t="n"/>
      <c r="BRY14" s="21" t="n"/>
      <c r="BRZ14" s="21" t="n"/>
      <c r="BSA14" s="21" t="n"/>
      <c r="BSB14" s="21" t="n"/>
      <c r="BSC14" s="21" t="n"/>
      <c r="BSD14" s="21" t="n"/>
      <c r="BSE14" s="21" t="n"/>
      <c r="BSF14" s="21" t="n"/>
      <c r="BSG14" s="21" t="n"/>
      <c r="BSH14" s="21" t="n"/>
      <c r="BSI14" s="21" t="n"/>
      <c r="BSJ14" s="21" t="n"/>
      <c r="BSK14" s="21" t="n"/>
      <c r="BSL14" s="21" t="n"/>
      <c r="BSM14" s="21" t="n"/>
      <c r="BSN14" s="21" t="n"/>
      <c r="BSO14" s="21" t="n"/>
      <c r="BSP14" s="21" t="n"/>
      <c r="BSQ14" s="21" t="n"/>
      <c r="BSR14" s="21" t="n"/>
      <c r="BSS14" s="21" t="n"/>
      <c r="BST14" s="21" t="n"/>
      <c r="BSU14" s="21" t="n"/>
      <c r="BSV14" s="21" t="n"/>
      <c r="BSW14" s="21" t="n"/>
      <c r="BSX14" s="21" t="n"/>
      <c r="BSY14" s="21" t="n"/>
      <c r="BSZ14" s="21" t="n"/>
      <c r="BTA14" s="21" t="n"/>
      <c r="BTB14" s="21" t="n"/>
      <c r="BTC14" s="21" t="n"/>
      <c r="BTD14" s="21" t="n"/>
      <c r="BTE14" s="21" t="n"/>
      <c r="BTF14" s="21" t="n"/>
      <c r="BTG14" s="21" t="n"/>
      <c r="BTH14" s="21" t="n"/>
      <c r="BTI14" s="21" t="n"/>
      <c r="BTJ14" s="21" t="n"/>
      <c r="BTK14" s="21" t="n"/>
      <c r="BTL14" s="21" t="n"/>
      <c r="BTM14" s="21" t="n"/>
      <c r="BTN14" s="21" t="n"/>
      <c r="BTO14" s="21" t="n"/>
      <c r="BTP14" s="21" t="n"/>
      <c r="BTQ14" s="21" t="n"/>
      <c r="BTR14" s="21" t="n"/>
      <c r="BTS14" s="21" t="n"/>
      <c r="BTT14" s="21" t="n"/>
      <c r="BTU14" s="21" t="n"/>
      <c r="BTV14" s="21" t="n"/>
      <c r="BTW14" s="21" t="n"/>
      <c r="BTX14" s="21" t="n"/>
      <c r="BTY14" s="21" t="n"/>
      <c r="BTZ14" s="21" t="n"/>
      <c r="BUA14" s="21" t="n"/>
      <c r="BUB14" s="21" t="n"/>
      <c r="BUC14" s="21" t="n"/>
      <c r="BUD14" s="21" t="n"/>
      <c r="BUE14" s="21" t="n"/>
      <c r="BUF14" s="21" t="n"/>
      <c r="BUG14" s="21" t="n"/>
      <c r="BUH14" s="21" t="n"/>
      <c r="BUI14" s="21" t="n"/>
      <c r="BUJ14" s="21" t="n"/>
      <c r="BUK14" s="21" t="n"/>
      <c r="BUL14" s="21" t="n"/>
      <c r="BUM14" s="21" t="n"/>
      <c r="BUN14" s="21" t="n"/>
      <c r="BUO14" s="21" t="n"/>
      <c r="BUP14" s="21" t="n"/>
      <c r="BUQ14" s="21" t="n"/>
      <c r="BUR14" s="21" t="n"/>
      <c r="BUS14" s="21" t="n"/>
      <c r="BUT14" s="21" t="n"/>
      <c r="BUU14" s="21" t="n"/>
      <c r="BUV14" s="21" t="n"/>
      <c r="BUW14" s="21" t="n"/>
      <c r="BUX14" s="21" t="n"/>
      <c r="BUY14" s="21" t="n"/>
      <c r="BUZ14" s="21" t="n"/>
      <c r="BVA14" s="21" t="n"/>
      <c r="BVB14" s="21" t="n"/>
      <c r="BVC14" s="21" t="n"/>
      <c r="BVD14" s="21" t="n"/>
      <c r="BVE14" s="21" t="n"/>
      <c r="BVF14" s="21" t="n"/>
      <c r="BVG14" s="21" t="n"/>
      <c r="BVH14" s="21" t="n"/>
      <c r="BVI14" s="21" t="n"/>
      <c r="BVJ14" s="21" t="n"/>
      <c r="BVK14" s="21" t="n"/>
      <c r="BVL14" s="21" t="n"/>
      <c r="BVM14" s="21" t="n"/>
      <c r="BVN14" s="21" t="n"/>
      <c r="BVO14" s="21" t="n"/>
      <c r="BVP14" s="21" t="n"/>
      <c r="BVQ14" s="21" t="n"/>
      <c r="BVR14" s="21" t="n"/>
      <c r="BVS14" s="21" t="n"/>
      <c r="BVT14" s="21" t="n"/>
      <c r="BVU14" s="21" t="n"/>
      <c r="BVV14" s="21" t="n"/>
      <c r="BVW14" s="21" t="n"/>
      <c r="BVX14" s="21" t="n"/>
      <c r="BVY14" s="21" t="n"/>
      <c r="BVZ14" s="21" t="n"/>
      <c r="BWA14" s="21" t="n"/>
      <c r="BWB14" s="21" t="n"/>
      <c r="BWC14" s="21" t="n"/>
      <c r="BWD14" s="21" t="n"/>
      <c r="BWE14" s="21" t="n"/>
      <c r="BWF14" s="21" t="n"/>
      <c r="BWG14" s="21" t="n"/>
      <c r="BWH14" s="21" t="n"/>
      <c r="BWI14" s="21" t="n"/>
      <c r="BWJ14" s="21" t="n"/>
      <c r="BWK14" s="21" t="n"/>
      <c r="BWL14" s="21" t="n"/>
      <c r="BWM14" s="21" t="n"/>
      <c r="BWN14" s="21" t="n"/>
      <c r="BWO14" s="21" t="n"/>
      <c r="BWP14" s="21" t="n"/>
      <c r="BWQ14" s="21" t="n"/>
      <c r="BWR14" s="21" t="n"/>
      <c r="BWS14" s="21" t="n"/>
      <c r="BWT14" s="21" t="n"/>
      <c r="BWU14" s="21" t="n"/>
      <c r="BWV14" s="21" t="n"/>
      <c r="BWW14" s="21" t="n"/>
      <c r="BWX14" s="21" t="n"/>
      <c r="BWY14" s="21" t="n"/>
      <c r="BWZ14" s="21" t="n"/>
      <c r="BXA14" s="21" t="n"/>
      <c r="BXB14" s="21" t="n"/>
      <c r="BXC14" s="21" t="n"/>
      <c r="BXD14" s="21" t="n"/>
      <c r="BXE14" s="21" t="n"/>
      <c r="BXF14" s="21" t="n"/>
      <c r="BXG14" s="21" t="n"/>
      <c r="BXH14" s="21" t="n"/>
      <c r="BXI14" s="21" t="n"/>
      <c r="BXJ14" s="21" t="n"/>
      <c r="BXK14" s="21" t="n"/>
      <c r="BXL14" s="21" t="n"/>
      <c r="BXM14" s="21" t="n"/>
      <c r="BXN14" s="21" t="n"/>
      <c r="BXO14" s="21" t="n"/>
      <c r="BXP14" s="21" t="n"/>
      <c r="BXQ14" s="21" t="n"/>
      <c r="BXR14" s="21" t="n"/>
      <c r="BXS14" s="21" t="n"/>
      <c r="BXT14" s="21" t="n"/>
      <c r="BXU14" s="21" t="n"/>
      <c r="BXV14" s="21" t="n"/>
      <c r="BXW14" s="21" t="n"/>
      <c r="BXX14" s="21" t="n"/>
      <c r="BXY14" s="21" t="n"/>
      <c r="BXZ14" s="21" t="n"/>
      <c r="BYA14" s="21" t="n"/>
      <c r="BYB14" s="21" t="n"/>
      <c r="BYC14" s="21" t="n"/>
      <c r="BYD14" s="21" t="n"/>
      <c r="BYE14" s="21" t="n"/>
      <c r="BYF14" s="21" t="n"/>
      <c r="BYG14" s="21" t="n"/>
      <c r="BYH14" s="21" t="n"/>
      <c r="BYI14" s="21" t="n"/>
      <c r="BYJ14" s="21" t="n"/>
      <c r="BYK14" s="21" t="n"/>
      <c r="BYL14" s="21" t="n"/>
      <c r="BYM14" s="21" t="n"/>
      <c r="BYN14" s="21" t="n"/>
      <c r="BYO14" s="21" t="n"/>
      <c r="BYP14" s="21" t="n"/>
      <c r="BYQ14" s="21" t="n"/>
      <c r="BYR14" s="21" t="n"/>
      <c r="BYS14" s="21" t="n"/>
      <c r="BYT14" s="21" t="n"/>
      <c r="BYU14" s="21" t="n"/>
      <c r="BYV14" s="21" t="n"/>
      <c r="BYW14" s="21" t="n"/>
      <c r="BYX14" s="21" t="n"/>
      <c r="BYY14" s="21" t="n"/>
      <c r="BYZ14" s="21" t="n"/>
      <c r="BZA14" s="21" t="n"/>
      <c r="BZB14" s="21" t="n"/>
      <c r="BZC14" s="21" t="n"/>
      <c r="BZD14" s="21" t="n"/>
      <c r="BZE14" s="21" t="n"/>
      <c r="BZF14" s="21" t="n"/>
      <c r="BZG14" s="21" t="n"/>
      <c r="BZH14" s="21" t="n"/>
      <c r="BZI14" s="21" t="n"/>
      <c r="BZJ14" s="21" t="n"/>
      <c r="BZK14" s="21" t="n"/>
      <c r="BZL14" s="21" t="n"/>
      <c r="BZM14" s="21" t="n"/>
      <c r="BZN14" s="21" t="n"/>
      <c r="BZO14" s="21" t="n"/>
      <c r="BZP14" s="21" t="n"/>
      <c r="BZQ14" s="21" t="n"/>
      <c r="BZR14" s="21" t="n"/>
      <c r="BZS14" s="21" t="n"/>
      <c r="BZT14" s="21" t="n"/>
      <c r="BZU14" s="21" t="n"/>
      <c r="BZV14" s="21" t="n"/>
      <c r="BZW14" s="21" t="n"/>
      <c r="BZX14" s="21" t="n"/>
      <c r="BZY14" s="21" t="n"/>
      <c r="BZZ14" s="21" t="n"/>
      <c r="CAA14" s="21" t="n"/>
      <c r="CAB14" s="21" t="n"/>
      <c r="CAC14" s="21" t="n"/>
      <c r="CAD14" s="21" t="n"/>
      <c r="CAE14" s="21" t="n"/>
      <c r="CAF14" s="21" t="n"/>
      <c r="CAG14" s="21" t="n"/>
      <c r="CAH14" s="21" t="n"/>
      <c r="CAI14" s="21" t="n"/>
      <c r="CAJ14" s="21" t="n"/>
      <c r="CAK14" s="21" t="n"/>
      <c r="CAL14" s="21" t="n"/>
      <c r="CAM14" s="21" t="n"/>
      <c r="CAN14" s="21" t="n"/>
      <c r="CAO14" s="21" t="n"/>
      <c r="CAP14" s="21" t="n"/>
      <c r="CAQ14" s="21" t="n"/>
      <c r="CAR14" s="21" t="n"/>
      <c r="CAS14" s="21" t="n"/>
      <c r="CAT14" s="21" t="n"/>
      <c r="CAU14" s="21" t="n"/>
      <c r="CAV14" s="21" t="n"/>
      <c r="CAW14" s="21" t="n"/>
      <c r="CAX14" s="21" t="n"/>
      <c r="CAY14" s="21" t="n"/>
      <c r="CAZ14" s="21" t="n"/>
      <c r="CBA14" s="21" t="n"/>
      <c r="CBB14" s="21" t="n"/>
      <c r="CBC14" s="21" t="n"/>
      <c r="CBD14" s="21" t="n"/>
      <c r="CBE14" s="21" t="n"/>
      <c r="CBF14" s="21" t="n"/>
      <c r="CBG14" s="21" t="n"/>
      <c r="CBH14" s="21" t="n"/>
      <c r="CBI14" s="21" t="n"/>
      <c r="CBJ14" s="21" t="n"/>
      <c r="CBK14" s="21" t="n"/>
      <c r="CBL14" s="21" t="n"/>
      <c r="CBM14" s="21" t="n"/>
      <c r="CBN14" s="21" t="n"/>
      <c r="CBO14" s="21" t="n"/>
      <c r="CBP14" s="21" t="n"/>
      <c r="CBQ14" s="21" t="n"/>
      <c r="CBR14" s="21" t="n"/>
      <c r="CBS14" s="21" t="n"/>
      <c r="CBT14" s="21" t="n"/>
      <c r="CBU14" s="21" t="n"/>
      <c r="CBV14" s="21" t="n"/>
      <c r="CBW14" s="21" t="n"/>
      <c r="CBX14" s="21" t="n"/>
      <c r="CBY14" s="21" t="n"/>
      <c r="CBZ14" s="21" t="n"/>
      <c r="CCA14" s="21" t="n"/>
      <c r="CCB14" s="21" t="n"/>
      <c r="CCC14" s="21" t="n"/>
      <c r="CCD14" s="21" t="n"/>
      <c r="CCE14" s="21" t="n"/>
      <c r="CCF14" s="21" t="n"/>
      <c r="CCG14" s="21" t="n"/>
      <c r="CCH14" s="21" t="n"/>
      <c r="CCI14" s="21" t="n"/>
      <c r="CCJ14" s="21" t="n"/>
      <c r="CCK14" s="21" t="n"/>
      <c r="CCL14" s="21" t="n"/>
      <c r="CCM14" s="21" t="n"/>
      <c r="CCN14" s="21" t="n"/>
      <c r="CCO14" s="21" t="n"/>
      <c r="CCP14" s="21" t="n"/>
      <c r="CCQ14" s="21" t="n"/>
      <c r="CCR14" s="21" t="n"/>
      <c r="CCS14" s="21" t="n"/>
      <c r="CCT14" s="21" t="n"/>
      <c r="CCU14" s="21" t="n"/>
      <c r="CCV14" s="21" t="n"/>
      <c r="CCW14" s="21" t="n"/>
      <c r="CCX14" s="21" t="n"/>
      <c r="CCY14" s="21" t="n"/>
      <c r="CCZ14" s="21" t="n"/>
      <c r="CDA14" s="21" t="n"/>
      <c r="CDB14" s="21" t="n"/>
      <c r="CDC14" s="21" t="n"/>
      <c r="CDD14" s="21" t="n"/>
      <c r="CDE14" s="21" t="n"/>
      <c r="CDF14" s="21" t="n"/>
      <c r="CDG14" s="21" t="n"/>
      <c r="CDH14" s="21" t="n"/>
      <c r="CDI14" s="21" t="n"/>
      <c r="CDJ14" s="21" t="n"/>
      <c r="CDK14" s="21" t="n"/>
      <c r="CDL14" s="21" t="n"/>
      <c r="CDM14" s="21" t="n"/>
      <c r="CDN14" s="21" t="n"/>
      <c r="CDO14" s="21" t="n"/>
      <c r="CDP14" s="21" t="n"/>
      <c r="CDQ14" s="21" t="n"/>
      <c r="CDR14" s="21" t="n"/>
      <c r="CDS14" s="21" t="n"/>
      <c r="CDT14" s="21" t="n"/>
      <c r="CDU14" s="21" t="n"/>
      <c r="CDV14" s="21" t="n"/>
      <c r="CDW14" s="21" t="n"/>
      <c r="CDX14" s="21" t="n"/>
      <c r="CDY14" s="21" t="n"/>
      <c r="CDZ14" s="21" t="n"/>
      <c r="CEA14" s="21" t="n"/>
      <c r="CEB14" s="21" t="n"/>
      <c r="CEC14" s="21" t="n"/>
      <c r="CED14" s="21" t="n"/>
      <c r="CEE14" s="21" t="n"/>
      <c r="CEF14" s="21" t="n"/>
      <c r="CEG14" s="21" t="n"/>
      <c r="CEH14" s="21" t="n"/>
      <c r="CEI14" s="21" t="n"/>
      <c r="CEJ14" s="21" t="n"/>
      <c r="CEK14" s="21" t="n"/>
      <c r="CEL14" s="21" t="n"/>
      <c r="CEM14" s="21" t="n"/>
      <c r="CEN14" s="21" t="n"/>
      <c r="CEO14" s="21" t="n"/>
      <c r="CEP14" s="21" t="n"/>
      <c r="CEQ14" s="21" t="n"/>
      <c r="CER14" s="21" t="n"/>
      <c r="CES14" s="21" t="n"/>
      <c r="CET14" s="21" t="n"/>
      <c r="CEU14" s="21" t="n"/>
      <c r="CEV14" s="21" t="n"/>
      <c r="CEW14" s="21" t="n"/>
      <c r="CEX14" s="21" t="n"/>
      <c r="CEY14" s="21" t="n"/>
      <c r="CEZ14" s="21" t="n"/>
      <c r="CFA14" s="21" t="n"/>
      <c r="CFB14" s="21" t="n"/>
      <c r="CFC14" s="21" t="n"/>
      <c r="CFD14" s="21" t="n"/>
      <c r="CFE14" s="21" t="n"/>
      <c r="CFF14" s="21" t="n"/>
      <c r="CFG14" s="21" t="n"/>
      <c r="CFH14" s="21" t="n"/>
      <c r="CFI14" s="21" t="n"/>
      <c r="CFJ14" s="21" t="n"/>
      <c r="CFK14" s="21" t="n"/>
      <c r="CFL14" s="21" t="n"/>
      <c r="CFM14" s="21" t="n"/>
      <c r="CFN14" s="21" t="n"/>
      <c r="CFO14" s="21" t="n"/>
      <c r="CFP14" s="21" t="n"/>
      <c r="CFQ14" s="21" t="n"/>
      <c r="CFR14" s="21" t="n"/>
      <c r="CFS14" s="21" t="n"/>
      <c r="CFT14" s="21" t="n"/>
      <c r="CFU14" s="21" t="n"/>
      <c r="CFV14" s="21" t="n"/>
      <c r="CFW14" s="21" t="n"/>
      <c r="CFX14" s="21" t="n"/>
      <c r="CFY14" s="21" t="n"/>
      <c r="CFZ14" s="21" t="n"/>
      <c r="CGA14" s="21" t="n"/>
      <c r="CGB14" s="21" t="n"/>
      <c r="CGC14" s="21" t="n"/>
      <c r="CGD14" s="21" t="n"/>
      <c r="CGE14" s="21" t="n"/>
      <c r="CGF14" s="21" t="n"/>
      <c r="CGG14" s="21" t="n"/>
      <c r="CGH14" s="21" t="n"/>
      <c r="CGI14" s="21" t="n"/>
      <c r="CGJ14" s="21" t="n"/>
      <c r="CGK14" s="21" t="n"/>
      <c r="CGL14" s="21" t="n"/>
      <c r="CGM14" s="21" t="n"/>
      <c r="CGN14" s="21" t="n"/>
      <c r="CGO14" s="21" t="n"/>
      <c r="CGP14" s="21" t="n"/>
      <c r="CGQ14" s="21" t="n"/>
      <c r="CGR14" s="21" t="n"/>
      <c r="CGS14" s="21" t="n"/>
      <c r="CGT14" s="21" t="n"/>
      <c r="CGU14" s="21" t="n"/>
      <c r="CGV14" s="21" t="n"/>
      <c r="CGW14" s="21" t="n"/>
      <c r="CGX14" s="21" t="n"/>
      <c r="CGY14" s="21" t="n"/>
      <c r="CGZ14" s="21" t="n"/>
      <c r="CHA14" s="21" t="n"/>
      <c r="CHB14" s="21" t="n"/>
      <c r="CHC14" s="21" t="n"/>
      <c r="CHD14" s="21" t="n"/>
      <c r="CHE14" s="21" t="n"/>
      <c r="CHF14" s="21" t="n"/>
      <c r="CHG14" s="21" t="n"/>
      <c r="CHH14" s="21" t="n"/>
      <c r="CHI14" s="21" t="n"/>
      <c r="CHJ14" s="21" t="n"/>
      <c r="CHK14" s="21" t="n"/>
      <c r="CHL14" s="21" t="n"/>
      <c r="CHM14" s="21" t="n"/>
      <c r="CHN14" s="21" t="n"/>
      <c r="CHO14" s="21" t="n"/>
      <c r="CHP14" s="21" t="n"/>
      <c r="CHQ14" s="21" t="n"/>
      <c r="CHR14" s="21" t="n"/>
      <c r="CHS14" s="21" t="n"/>
      <c r="CHT14" s="21" t="n"/>
      <c r="CHU14" s="21" t="n"/>
      <c r="CHV14" s="21" t="n"/>
      <c r="CHW14" s="21" t="n"/>
      <c r="CHX14" s="21" t="n"/>
      <c r="CHY14" s="21" t="n"/>
      <c r="CHZ14" s="21" t="n"/>
      <c r="CIA14" s="21" t="n"/>
      <c r="CIB14" s="21" t="n"/>
      <c r="CIC14" s="21" t="n"/>
      <c r="CID14" s="21" t="n"/>
      <c r="CIE14" s="21" t="n"/>
      <c r="CIF14" s="21" t="n"/>
      <c r="CIG14" s="21" t="n"/>
      <c r="CIH14" s="21" t="n"/>
      <c r="CII14" s="21" t="n"/>
      <c r="CIJ14" s="21" t="n"/>
      <c r="CIK14" s="21" t="n"/>
      <c r="CIL14" s="21" t="n"/>
      <c r="CIM14" s="21" t="n"/>
      <c r="CIN14" s="21" t="n"/>
      <c r="CIO14" s="21" t="n"/>
      <c r="CIP14" s="21" t="n"/>
      <c r="CIQ14" s="21" t="n"/>
      <c r="CIR14" s="21" t="n"/>
      <c r="CIS14" s="21" t="n"/>
      <c r="CIT14" s="21" t="n"/>
      <c r="CIU14" s="21" t="n"/>
      <c r="CIV14" s="21" t="n"/>
      <c r="CIW14" s="21" t="n"/>
      <c r="CIX14" s="21" t="n"/>
      <c r="CIY14" s="21" t="n"/>
      <c r="CIZ14" s="21" t="n"/>
      <c r="CJA14" s="21" t="n"/>
      <c r="CJB14" s="21" t="n"/>
      <c r="CJC14" s="21" t="n"/>
      <c r="CJD14" s="21" t="n"/>
      <c r="CJE14" s="21" t="n"/>
      <c r="CJF14" s="21" t="n"/>
      <c r="CJG14" s="21" t="n"/>
      <c r="CJH14" s="21" t="n"/>
      <c r="CJI14" s="21" t="n"/>
      <c r="CJJ14" s="21" t="n"/>
      <c r="CJK14" s="21" t="n"/>
      <c r="CJL14" s="21" t="n"/>
      <c r="CJM14" s="21" t="n"/>
      <c r="CJN14" s="21" t="n"/>
      <c r="CJO14" s="21" t="n"/>
      <c r="CJP14" s="21" t="n"/>
      <c r="CJQ14" s="21" t="n"/>
      <c r="CJR14" s="21" t="n"/>
      <c r="CJS14" s="21" t="n"/>
      <c r="CJT14" s="21" t="n"/>
      <c r="CJU14" s="21" t="n"/>
      <c r="CJV14" s="21" t="n"/>
      <c r="CJW14" s="21" t="n"/>
      <c r="CJX14" s="21" t="n"/>
      <c r="CJY14" s="21" t="n"/>
      <c r="CJZ14" s="21" t="n"/>
      <c r="CKA14" s="21" t="n"/>
      <c r="CKB14" s="21" t="n"/>
      <c r="CKC14" s="21" t="n"/>
      <c r="CKD14" s="21" t="n"/>
      <c r="CKE14" s="21" t="n"/>
      <c r="CKF14" s="21" t="n"/>
      <c r="CKG14" s="21" t="n"/>
      <c r="CKH14" s="21" t="n"/>
      <c r="CKI14" s="21" t="n"/>
      <c r="CKJ14" s="21" t="n"/>
      <c r="CKK14" s="21" t="n"/>
      <c r="CKL14" s="21" t="n"/>
      <c r="CKM14" s="21" t="n"/>
      <c r="CKN14" s="21" t="n"/>
      <c r="CKO14" s="21" t="n"/>
      <c r="CKP14" s="21" t="n"/>
      <c r="CKQ14" s="21" t="n"/>
      <c r="CKR14" s="21" t="n"/>
      <c r="CKS14" s="21" t="n"/>
      <c r="CKT14" s="21" t="n"/>
      <c r="CKU14" s="21" t="n"/>
      <c r="CKV14" s="21" t="n"/>
      <c r="CKW14" s="21" t="n"/>
      <c r="CKX14" s="21" t="n"/>
      <c r="CKY14" s="21" t="n"/>
      <c r="CKZ14" s="21" t="n"/>
      <c r="CLA14" s="21" t="n"/>
      <c r="CLB14" s="21" t="n"/>
      <c r="CLC14" s="21" t="n"/>
      <c r="CLD14" s="21" t="n"/>
      <c r="CLE14" s="21" t="n"/>
      <c r="CLF14" s="21" t="n"/>
      <c r="CLG14" s="21" t="n"/>
      <c r="CLH14" s="21" t="n"/>
      <c r="CLI14" s="21" t="n"/>
      <c r="CLJ14" s="21" t="n"/>
      <c r="CLK14" s="21" t="n"/>
      <c r="CLL14" s="21" t="n"/>
      <c r="CLM14" s="21" t="n"/>
      <c r="CLN14" s="21" t="n"/>
      <c r="CLO14" s="21" t="n"/>
      <c r="CLP14" s="21" t="n"/>
      <c r="CLQ14" s="21" t="n"/>
      <c r="CLR14" s="21" t="n"/>
      <c r="CLS14" s="21" t="n"/>
      <c r="CLT14" s="21" t="n"/>
      <c r="CLU14" s="21" t="n"/>
      <c r="CLV14" s="21" t="n"/>
      <c r="CLW14" s="21" t="n"/>
      <c r="CLX14" s="21" t="n"/>
      <c r="CLY14" s="21" t="n"/>
      <c r="CLZ14" s="21" t="n"/>
      <c r="CMA14" s="21" t="n"/>
      <c r="CMB14" s="21" t="n"/>
      <c r="CMC14" s="21" t="n"/>
      <c r="CMD14" s="21" t="n"/>
      <c r="CME14" s="21" t="n"/>
      <c r="CMF14" s="21" t="n"/>
      <c r="CMG14" s="21" t="n"/>
      <c r="CMH14" s="21" t="n"/>
      <c r="CMI14" s="21" t="n"/>
      <c r="CMJ14" s="21" t="n"/>
      <c r="CMK14" s="21" t="n"/>
      <c r="CML14" s="21" t="n"/>
      <c r="CMM14" s="21" t="n"/>
      <c r="CMN14" s="21" t="n"/>
      <c r="CMO14" s="21" t="n"/>
      <c r="CMP14" s="21" t="n"/>
      <c r="CMQ14" s="21" t="n"/>
      <c r="CMR14" s="21" t="n"/>
      <c r="CMS14" s="21" t="n"/>
      <c r="CMT14" s="21" t="n"/>
      <c r="CMU14" s="21" t="n"/>
      <c r="CMV14" s="21" t="n"/>
      <c r="CMW14" s="21" t="n"/>
      <c r="CMX14" s="21" t="n"/>
      <c r="CMY14" s="21" t="n"/>
      <c r="CMZ14" s="21" t="n"/>
      <c r="CNA14" s="21" t="n"/>
      <c r="CNB14" s="21" t="n"/>
      <c r="CNC14" s="21" t="n"/>
      <c r="CND14" s="21" t="n"/>
      <c r="CNE14" s="21" t="n"/>
      <c r="CNF14" s="21" t="n"/>
      <c r="CNG14" s="21" t="n"/>
      <c r="CNH14" s="21" t="n"/>
      <c r="CNI14" s="21" t="n"/>
      <c r="CNJ14" s="21" t="n"/>
      <c r="CNK14" s="21" t="n"/>
      <c r="CNL14" s="21" t="n"/>
      <c r="CNM14" s="21" t="n"/>
      <c r="CNN14" s="21" t="n"/>
      <c r="CNO14" s="21" t="n"/>
      <c r="CNP14" s="21" t="n"/>
      <c r="CNQ14" s="21" t="n"/>
      <c r="CNR14" s="21" t="n"/>
      <c r="CNS14" s="21" t="n"/>
      <c r="CNT14" s="21" t="n"/>
      <c r="CNU14" s="21" t="n"/>
      <c r="CNV14" s="21" t="n"/>
      <c r="CNW14" s="21" t="n"/>
      <c r="CNX14" s="21" t="n"/>
      <c r="CNY14" s="21" t="n"/>
      <c r="CNZ14" s="21" t="n"/>
      <c r="COA14" s="21" t="n"/>
      <c r="COB14" s="21" t="n"/>
      <c r="COC14" s="21" t="n"/>
      <c r="COD14" s="21" t="n"/>
      <c r="COE14" s="21" t="n"/>
      <c r="COF14" s="21" t="n"/>
      <c r="COG14" s="21" t="n"/>
      <c r="COH14" s="21" t="n"/>
      <c r="COI14" s="21" t="n"/>
      <c r="COJ14" s="21" t="n"/>
      <c r="COK14" s="21" t="n"/>
      <c r="COL14" s="21" t="n"/>
      <c r="COM14" s="21" t="n"/>
      <c r="CON14" s="21" t="n"/>
      <c r="COO14" s="21" t="n"/>
      <c r="COP14" s="21" t="n"/>
      <c r="COQ14" s="21" t="n"/>
      <c r="COR14" s="21" t="n"/>
      <c r="COS14" s="21" t="n"/>
      <c r="COT14" s="21" t="n"/>
      <c r="COU14" s="21" t="n"/>
      <c r="COV14" s="21" t="n"/>
      <c r="COW14" s="21" t="n"/>
      <c r="COX14" s="21" t="n"/>
      <c r="COY14" s="21" t="n"/>
      <c r="COZ14" s="21" t="n"/>
      <c r="CPA14" s="21" t="n"/>
      <c r="CPB14" s="21" t="n"/>
      <c r="CPC14" s="21" t="n"/>
      <c r="CPD14" s="21" t="n"/>
      <c r="CPE14" s="21" t="n"/>
      <c r="CPF14" s="21" t="n"/>
      <c r="CPG14" s="21" t="n"/>
      <c r="CPH14" s="21" t="n"/>
      <c r="CPI14" s="21" t="n"/>
      <c r="CPJ14" s="21" t="n"/>
      <c r="CPK14" s="21" t="n"/>
      <c r="CPL14" s="21" t="n"/>
      <c r="CPM14" s="21" t="n"/>
      <c r="CPN14" s="21" t="n"/>
      <c r="CPO14" s="21" t="n"/>
      <c r="CPP14" s="21" t="n"/>
      <c r="CPQ14" s="21" t="n"/>
      <c r="CPR14" s="21" t="n"/>
      <c r="CPS14" s="21" t="n"/>
      <c r="CPT14" s="21" t="n"/>
      <c r="CPU14" s="21" t="n"/>
      <c r="CPV14" s="21" t="n"/>
      <c r="CPW14" s="21" t="n"/>
      <c r="CPX14" s="21" t="n"/>
      <c r="CPY14" s="21" t="n"/>
      <c r="CPZ14" s="21" t="n"/>
      <c r="CQA14" s="21" t="n"/>
      <c r="CQB14" s="21" t="n"/>
      <c r="CQC14" s="21" t="n"/>
      <c r="CQD14" s="21" t="n"/>
      <c r="CQE14" s="21" t="n"/>
      <c r="CQF14" s="21" t="n"/>
      <c r="CQG14" s="21" t="n"/>
      <c r="CQH14" s="21" t="n"/>
      <c r="CQI14" s="21" t="n"/>
      <c r="CQJ14" s="21" t="n"/>
      <c r="CQK14" s="21" t="n"/>
      <c r="CQL14" s="21" t="n"/>
      <c r="CQM14" s="21" t="n"/>
      <c r="CQN14" s="21" t="n"/>
      <c r="CQO14" s="21" t="n"/>
      <c r="CQP14" s="21" t="n"/>
      <c r="CQQ14" s="21" t="n"/>
      <c r="CQR14" s="21" t="n"/>
      <c r="CQS14" s="21" t="n"/>
      <c r="CQT14" s="21" t="n"/>
      <c r="CQU14" s="21" t="n"/>
      <c r="CQV14" s="21" t="n"/>
      <c r="CQW14" s="21" t="n"/>
      <c r="CQX14" s="21" t="n"/>
      <c r="CQY14" s="21" t="n"/>
      <c r="CQZ14" s="21" t="n"/>
      <c r="CRA14" s="21" t="n"/>
      <c r="CRB14" s="21" t="n"/>
      <c r="CRC14" s="21" t="n"/>
      <c r="CRD14" s="21" t="n"/>
      <c r="CRE14" s="21" t="n"/>
      <c r="CRF14" s="21" t="n"/>
      <c r="CRG14" s="21" t="n"/>
      <c r="CRH14" s="21" t="n"/>
      <c r="CRI14" s="21" t="n"/>
      <c r="CRJ14" s="21" t="n"/>
      <c r="CRK14" s="21" t="n"/>
      <c r="CRL14" s="21" t="n"/>
      <c r="CRM14" s="21" t="n"/>
      <c r="CRN14" s="21" t="n"/>
      <c r="CRO14" s="21" t="n"/>
      <c r="CRP14" s="21" t="n"/>
      <c r="CRQ14" s="21" t="n"/>
      <c r="CRR14" s="21" t="n"/>
      <c r="CRS14" s="21" t="n"/>
      <c r="CRT14" s="21" t="n"/>
      <c r="CRU14" s="21" t="n"/>
      <c r="CRV14" s="21" t="n"/>
      <c r="CRW14" s="21" t="n"/>
      <c r="CRX14" s="21" t="n"/>
      <c r="CRY14" s="21" t="n"/>
      <c r="CRZ14" s="21" t="n"/>
      <c r="CSA14" s="21" t="n"/>
      <c r="CSB14" s="21" t="n"/>
      <c r="CSC14" s="21" t="n"/>
      <c r="CSD14" s="21" t="n"/>
      <c r="CSE14" s="21" t="n"/>
      <c r="CSF14" s="21" t="n"/>
      <c r="CSG14" s="21" t="n"/>
      <c r="CSH14" s="21" t="n"/>
      <c r="CSI14" s="21" t="n"/>
      <c r="CSJ14" s="21" t="n"/>
      <c r="CSK14" s="21" t="n"/>
      <c r="CSL14" s="21" t="n"/>
      <c r="CSM14" s="21" t="n"/>
      <c r="CSN14" s="21" t="n"/>
      <c r="CSO14" s="21" t="n"/>
      <c r="CSP14" s="21" t="n"/>
      <c r="CSQ14" s="21" t="n"/>
      <c r="CSR14" s="21" t="n"/>
      <c r="CSS14" s="21" t="n"/>
      <c r="CST14" s="21" t="n"/>
      <c r="CSU14" s="21" t="n"/>
      <c r="CSV14" s="21" t="n"/>
      <c r="CSW14" s="21" t="n"/>
      <c r="CSX14" s="21" t="n"/>
      <c r="CSY14" s="21" t="n"/>
      <c r="CSZ14" s="21" t="n"/>
      <c r="CTA14" s="21" t="n"/>
      <c r="CTB14" s="21" t="n"/>
      <c r="CTC14" s="21" t="n"/>
      <c r="CTD14" s="21" t="n"/>
      <c r="CTE14" s="21" t="n"/>
      <c r="CTF14" s="21" t="n"/>
      <c r="CTG14" s="21" t="n"/>
      <c r="CTH14" s="21" t="n"/>
      <c r="CTI14" s="21" t="n"/>
      <c r="CTJ14" s="21" t="n"/>
      <c r="CTK14" s="21" t="n"/>
      <c r="CTL14" s="21" t="n"/>
      <c r="CTM14" s="21" t="n"/>
      <c r="CTN14" s="21" t="n"/>
      <c r="CTO14" s="21" t="n"/>
      <c r="CTP14" s="21" t="n"/>
      <c r="CTQ14" s="21" t="n"/>
      <c r="CTR14" s="21" t="n"/>
      <c r="CTS14" s="21" t="n"/>
      <c r="CTT14" s="21" t="n"/>
      <c r="CTU14" s="21" t="n"/>
      <c r="CTV14" s="21" t="n"/>
      <c r="CTW14" s="21" t="n"/>
      <c r="CTX14" s="21" t="n"/>
      <c r="CTY14" s="21" t="n"/>
      <c r="CTZ14" s="21" t="n"/>
      <c r="CUA14" s="21" t="n"/>
      <c r="CUB14" s="21" t="n"/>
      <c r="CUC14" s="21" t="n"/>
      <c r="CUD14" s="21" t="n"/>
      <c r="CUE14" s="21" t="n"/>
      <c r="CUF14" s="21" t="n"/>
      <c r="CUG14" s="21" t="n"/>
      <c r="CUH14" s="21" t="n"/>
      <c r="CUI14" s="21" t="n"/>
      <c r="CUJ14" s="21" t="n"/>
      <c r="CUK14" s="21" t="n"/>
      <c r="CUL14" s="21" t="n"/>
      <c r="CUM14" s="21" t="n"/>
      <c r="CUN14" s="21" t="n"/>
      <c r="CUO14" s="21" t="n"/>
      <c r="CUP14" s="21" t="n"/>
      <c r="CUQ14" s="21" t="n"/>
      <c r="CUR14" s="21" t="n"/>
      <c r="CUS14" s="21" t="n"/>
      <c r="CUT14" s="21" t="n"/>
      <c r="CUU14" s="21" t="n"/>
      <c r="CUV14" s="21" t="n"/>
      <c r="CUW14" s="21" t="n"/>
      <c r="CUX14" s="21" t="n"/>
      <c r="CUY14" s="21" t="n"/>
      <c r="CUZ14" s="21" t="n"/>
      <c r="CVA14" s="21" t="n"/>
      <c r="CVB14" s="21" t="n"/>
      <c r="CVC14" s="21" t="n"/>
      <c r="CVD14" s="21" t="n"/>
      <c r="CVE14" s="21" t="n"/>
      <c r="CVF14" s="21" t="n"/>
      <c r="CVG14" s="21" t="n"/>
      <c r="CVH14" s="21" t="n"/>
      <c r="CVI14" s="21" t="n"/>
      <c r="CVJ14" s="21" t="n"/>
      <c r="CVK14" s="21" t="n"/>
      <c r="CVL14" s="21" t="n"/>
      <c r="CVM14" s="21" t="n"/>
      <c r="CVN14" s="21" t="n"/>
      <c r="CVO14" s="21" t="n"/>
      <c r="CVP14" s="21" t="n"/>
      <c r="CVQ14" s="21" t="n"/>
      <c r="CVR14" s="21" t="n"/>
      <c r="CVS14" s="21" t="n"/>
      <c r="CVT14" s="21" t="n"/>
      <c r="CVU14" s="21" t="n"/>
      <c r="CVV14" s="21" t="n"/>
      <c r="CVW14" s="21" t="n"/>
      <c r="CVX14" s="21" t="n"/>
      <c r="CVY14" s="21" t="n"/>
      <c r="CVZ14" s="21" t="n"/>
      <c r="CWA14" s="21" t="n"/>
      <c r="CWB14" s="21" t="n"/>
      <c r="CWC14" s="21" t="n"/>
      <c r="CWD14" s="21" t="n"/>
      <c r="CWE14" s="21" t="n"/>
      <c r="CWF14" s="21" t="n"/>
      <c r="CWG14" s="21" t="n"/>
      <c r="CWH14" s="21" t="n"/>
      <c r="CWI14" s="21" t="n"/>
      <c r="CWJ14" s="21" t="n"/>
      <c r="CWK14" s="21" t="n"/>
      <c r="CWL14" s="21" t="n"/>
      <c r="CWM14" s="21" t="n"/>
      <c r="CWN14" s="21" t="n"/>
      <c r="CWO14" s="21" t="n"/>
      <c r="CWP14" s="21" t="n"/>
      <c r="CWQ14" s="21" t="n"/>
      <c r="CWR14" s="21" t="n"/>
      <c r="CWS14" s="21" t="n"/>
      <c r="CWT14" s="21" t="n"/>
      <c r="CWU14" s="21" t="n"/>
      <c r="CWV14" s="21" t="n"/>
      <c r="CWW14" s="21" t="n"/>
      <c r="CWX14" s="21" t="n"/>
      <c r="CWY14" s="21" t="n"/>
      <c r="CWZ14" s="21" t="n"/>
      <c r="CXA14" s="21" t="n"/>
      <c r="CXB14" s="21" t="n"/>
      <c r="CXC14" s="21" t="n"/>
      <c r="CXD14" s="21" t="n"/>
      <c r="CXE14" s="21" t="n"/>
      <c r="CXF14" s="21" t="n"/>
      <c r="CXG14" s="21" t="n"/>
      <c r="CXH14" s="21" t="n"/>
      <c r="CXI14" s="21" t="n"/>
      <c r="CXJ14" s="21" t="n"/>
      <c r="CXK14" s="21" t="n"/>
      <c r="CXL14" s="21" t="n"/>
      <c r="CXM14" s="21" t="n"/>
      <c r="CXN14" s="21" t="n"/>
      <c r="CXO14" s="21" t="n"/>
      <c r="CXP14" s="21" t="n"/>
      <c r="CXQ14" s="21" t="n"/>
      <c r="CXR14" s="21" t="n"/>
      <c r="CXS14" s="21" t="n"/>
      <c r="CXT14" s="21" t="n"/>
      <c r="CXU14" s="21" t="n"/>
      <c r="CXV14" s="21" t="n"/>
      <c r="CXW14" s="21" t="n"/>
      <c r="CXX14" s="21" t="n"/>
      <c r="CXY14" s="21" t="n"/>
      <c r="CXZ14" s="21" t="n"/>
      <c r="CYA14" s="21" t="n"/>
      <c r="CYB14" s="21" t="n"/>
      <c r="CYC14" s="21" t="n"/>
      <c r="CYD14" s="21" t="n"/>
      <c r="CYE14" s="21" t="n"/>
      <c r="CYF14" s="21" t="n"/>
      <c r="CYG14" s="21" t="n"/>
      <c r="CYH14" s="21" t="n"/>
      <c r="CYI14" s="21" t="n"/>
      <c r="CYJ14" s="21" t="n"/>
      <c r="CYK14" s="21" t="n"/>
      <c r="CYL14" s="21" t="n"/>
      <c r="CYM14" s="21" t="n"/>
      <c r="CYN14" s="21" t="n"/>
      <c r="CYO14" s="21" t="n"/>
      <c r="CYP14" s="21" t="n"/>
      <c r="CYQ14" s="21" t="n"/>
      <c r="CYR14" s="21" t="n"/>
      <c r="CYS14" s="21" t="n"/>
      <c r="CYT14" s="21" t="n"/>
      <c r="CYU14" s="21" t="n"/>
      <c r="CYV14" s="21" t="n"/>
      <c r="CYW14" s="21" t="n"/>
      <c r="CYX14" s="21" t="n"/>
      <c r="CYY14" s="21" t="n"/>
      <c r="CYZ14" s="21" t="n"/>
      <c r="CZA14" s="21" t="n"/>
      <c r="CZB14" s="21" t="n"/>
      <c r="CZC14" s="21" t="n"/>
      <c r="CZD14" s="21" t="n"/>
      <c r="CZE14" s="21" t="n"/>
      <c r="CZF14" s="21" t="n"/>
      <c r="CZG14" s="21" t="n"/>
      <c r="CZH14" s="21" t="n"/>
      <c r="CZI14" s="21" t="n"/>
      <c r="CZJ14" s="21" t="n"/>
      <c r="CZK14" s="21" t="n"/>
      <c r="CZL14" s="21" t="n"/>
      <c r="CZM14" s="21" t="n"/>
      <c r="CZN14" s="21" t="n"/>
      <c r="CZO14" s="21" t="n"/>
      <c r="CZP14" s="21" t="n"/>
      <c r="CZQ14" s="21" t="n"/>
      <c r="CZR14" s="21" t="n"/>
      <c r="CZS14" s="21" t="n"/>
      <c r="CZT14" s="21" t="n"/>
      <c r="CZU14" s="21" t="n"/>
      <c r="CZV14" s="21" t="n"/>
      <c r="CZW14" s="21" t="n"/>
      <c r="CZX14" s="21" t="n"/>
      <c r="CZY14" s="21" t="n"/>
      <c r="CZZ14" s="21" t="n"/>
      <c r="DAA14" s="21" t="n"/>
      <c r="DAB14" s="21" t="n"/>
      <c r="DAC14" s="21" t="n"/>
      <c r="DAD14" s="21" t="n"/>
      <c r="DAE14" s="21" t="n"/>
      <c r="DAF14" s="21" t="n"/>
      <c r="DAG14" s="21" t="n"/>
      <c r="DAH14" s="21" t="n"/>
      <c r="DAI14" s="21" t="n"/>
      <c r="DAJ14" s="21" t="n"/>
      <c r="DAK14" s="21" t="n"/>
      <c r="DAL14" s="21" t="n"/>
      <c r="DAM14" s="21" t="n"/>
      <c r="DAN14" s="21" t="n"/>
      <c r="DAO14" s="21" t="n"/>
      <c r="DAP14" s="21" t="n"/>
      <c r="DAQ14" s="21" t="n"/>
      <c r="DAR14" s="21" t="n"/>
      <c r="DAS14" s="21" t="n"/>
      <c r="DAT14" s="21" t="n"/>
      <c r="DAU14" s="21" t="n"/>
      <c r="DAV14" s="21" t="n"/>
      <c r="DAW14" s="21" t="n"/>
      <c r="DAX14" s="21" t="n"/>
      <c r="DAY14" s="21" t="n"/>
      <c r="DAZ14" s="21" t="n"/>
      <c r="DBA14" s="21" t="n"/>
      <c r="DBB14" s="21" t="n"/>
      <c r="DBC14" s="21" t="n"/>
      <c r="DBD14" s="21" t="n"/>
      <c r="DBE14" s="21" t="n"/>
      <c r="DBF14" s="21" t="n"/>
      <c r="DBG14" s="21" t="n"/>
      <c r="DBH14" s="21" t="n"/>
      <c r="DBI14" s="21" t="n"/>
      <c r="DBJ14" s="21" t="n"/>
      <c r="DBK14" s="21" t="n"/>
      <c r="DBL14" s="21" t="n"/>
      <c r="DBM14" s="21" t="n"/>
      <c r="DBN14" s="21" t="n"/>
      <c r="DBO14" s="21" t="n"/>
      <c r="DBP14" s="21" t="n"/>
      <c r="DBQ14" s="21" t="n"/>
      <c r="DBR14" s="21" t="n"/>
      <c r="DBS14" s="21" t="n"/>
      <c r="DBT14" s="21" t="n"/>
      <c r="DBU14" s="21" t="n"/>
      <c r="DBV14" s="21" t="n"/>
      <c r="DBW14" s="21" t="n"/>
      <c r="DBX14" s="21" t="n"/>
      <c r="DBY14" s="21" t="n"/>
      <c r="DBZ14" s="21" t="n"/>
      <c r="DCA14" s="21" t="n"/>
      <c r="DCB14" s="21" t="n"/>
      <c r="DCC14" s="21" t="n"/>
      <c r="DCD14" s="21" t="n"/>
      <c r="DCE14" s="21" t="n"/>
      <c r="DCF14" s="21" t="n"/>
      <c r="DCG14" s="21" t="n"/>
      <c r="DCH14" s="21" t="n"/>
      <c r="DCI14" s="21" t="n"/>
      <c r="DCJ14" s="21" t="n"/>
      <c r="DCK14" s="21" t="n"/>
      <c r="DCL14" s="21" t="n"/>
      <c r="DCM14" s="21" t="n"/>
      <c r="DCN14" s="21" t="n"/>
      <c r="DCO14" s="21" t="n"/>
      <c r="DCP14" s="21" t="n"/>
      <c r="DCQ14" s="21" t="n"/>
      <c r="DCR14" s="21" t="n"/>
      <c r="DCS14" s="21" t="n"/>
      <c r="DCT14" s="21" t="n"/>
      <c r="DCU14" s="21" t="n"/>
      <c r="DCV14" s="21" t="n"/>
      <c r="DCW14" s="21" t="n"/>
      <c r="DCX14" s="21" t="n"/>
      <c r="DCY14" s="21" t="n"/>
      <c r="DCZ14" s="21" t="n"/>
      <c r="DDA14" s="21" t="n"/>
      <c r="DDB14" s="21" t="n"/>
      <c r="DDC14" s="21" t="n"/>
      <c r="DDD14" s="21" t="n"/>
      <c r="DDE14" s="21" t="n"/>
      <c r="DDF14" s="21" t="n"/>
      <c r="DDG14" s="21" t="n"/>
      <c r="DDH14" s="21" t="n"/>
      <c r="DDI14" s="21" t="n"/>
      <c r="DDJ14" s="21" t="n"/>
      <c r="DDK14" s="21" t="n"/>
      <c r="DDL14" s="21" t="n"/>
      <c r="DDM14" s="21" t="n"/>
      <c r="DDN14" s="21" t="n"/>
      <c r="DDO14" s="21" t="n"/>
      <c r="DDP14" s="21" t="n"/>
      <c r="DDQ14" s="21" t="n"/>
      <c r="DDR14" s="21" t="n"/>
      <c r="DDS14" s="21" t="n"/>
      <c r="DDT14" s="21" t="n"/>
      <c r="DDU14" s="21" t="n"/>
      <c r="DDV14" s="21" t="n"/>
      <c r="DDW14" s="21" t="n"/>
      <c r="DDX14" s="21" t="n"/>
      <c r="DDY14" s="21" t="n"/>
      <c r="DDZ14" s="21" t="n"/>
      <c r="DEA14" s="21" t="n"/>
      <c r="DEB14" s="21" t="n"/>
      <c r="DEC14" s="21" t="n"/>
      <c r="DED14" s="21" t="n"/>
      <c r="DEE14" s="21" t="n"/>
      <c r="DEF14" s="21" t="n"/>
      <c r="DEG14" s="21" t="n"/>
      <c r="DEH14" s="21" t="n"/>
      <c r="DEI14" s="21" t="n"/>
      <c r="DEJ14" s="21" t="n"/>
      <c r="DEK14" s="21" t="n"/>
      <c r="DEL14" s="21" t="n"/>
      <c r="DEM14" s="21" t="n"/>
      <c r="DEN14" s="21" t="n"/>
      <c r="DEO14" s="21" t="n"/>
      <c r="DEP14" s="21" t="n"/>
      <c r="DEQ14" s="21" t="n"/>
      <c r="DER14" s="21" t="n"/>
      <c r="DES14" s="21" t="n"/>
      <c r="DET14" s="21" t="n"/>
      <c r="DEU14" s="21" t="n"/>
      <c r="DEV14" s="21" t="n"/>
      <c r="DEW14" s="21" t="n"/>
      <c r="DEX14" s="21" t="n"/>
      <c r="DEY14" s="21" t="n"/>
      <c r="DEZ14" s="21" t="n"/>
      <c r="DFA14" s="21" t="n"/>
      <c r="DFB14" s="21" t="n"/>
      <c r="DFC14" s="21" t="n"/>
      <c r="DFD14" s="21" t="n"/>
      <c r="DFE14" s="21" t="n"/>
      <c r="DFF14" s="21" t="n"/>
      <c r="DFG14" s="21" t="n"/>
      <c r="DFH14" s="21" t="n"/>
      <c r="DFI14" s="21" t="n"/>
      <c r="DFJ14" s="21" t="n"/>
      <c r="DFK14" s="21" t="n"/>
      <c r="DFL14" s="21" t="n"/>
      <c r="DFM14" s="21" t="n"/>
      <c r="DFN14" s="21" t="n"/>
      <c r="DFO14" s="21" t="n"/>
      <c r="DFP14" s="21" t="n"/>
      <c r="DFQ14" s="21" t="n"/>
      <c r="DFR14" s="21" t="n"/>
      <c r="DFS14" s="21" t="n"/>
      <c r="DFT14" s="21" t="n"/>
      <c r="DFU14" s="21" t="n"/>
      <c r="DFV14" s="21" t="n"/>
      <c r="DFW14" s="21" t="n"/>
      <c r="DFX14" s="21" t="n"/>
      <c r="DFY14" s="21" t="n"/>
      <c r="DFZ14" s="21" t="n"/>
      <c r="DGA14" s="21" t="n"/>
      <c r="DGB14" s="21" t="n"/>
      <c r="DGC14" s="21" t="n"/>
      <c r="DGD14" s="21" t="n"/>
      <c r="DGE14" s="21" t="n"/>
      <c r="DGF14" s="21" t="n"/>
      <c r="DGG14" s="21" t="n"/>
      <c r="DGH14" s="21" t="n"/>
      <c r="DGI14" s="21" t="n"/>
      <c r="DGJ14" s="21" t="n"/>
      <c r="DGK14" s="21" t="n"/>
      <c r="DGL14" s="21" t="n"/>
      <c r="DGM14" s="21" t="n"/>
      <c r="DGN14" s="21" t="n"/>
      <c r="DGO14" s="21" t="n"/>
      <c r="DGP14" s="21" t="n"/>
      <c r="DGQ14" s="21" t="n"/>
      <c r="DGR14" s="21" t="n"/>
      <c r="DGS14" s="21" t="n"/>
      <c r="DGT14" s="21" t="n"/>
      <c r="DGU14" s="21" t="n"/>
      <c r="DGV14" s="21" t="n"/>
      <c r="DGW14" s="21" t="n"/>
      <c r="DGX14" s="21" t="n"/>
      <c r="DGY14" s="21" t="n"/>
      <c r="DGZ14" s="21" t="n"/>
      <c r="DHA14" s="21" t="n"/>
      <c r="DHB14" s="21" t="n"/>
      <c r="DHC14" s="21" t="n"/>
      <c r="DHD14" s="21" t="n"/>
      <c r="DHE14" s="21" t="n"/>
      <c r="DHF14" s="21" t="n"/>
      <c r="DHG14" s="21" t="n"/>
      <c r="DHH14" s="21" t="n"/>
      <c r="DHI14" s="21" t="n"/>
      <c r="DHJ14" s="21" t="n"/>
      <c r="DHK14" s="21" t="n"/>
      <c r="DHL14" s="21" t="n"/>
      <c r="DHM14" s="21" t="n"/>
      <c r="DHN14" s="21" t="n"/>
      <c r="DHO14" s="21" t="n"/>
      <c r="DHP14" s="21" t="n"/>
      <c r="DHQ14" s="21" t="n"/>
      <c r="DHR14" s="21" t="n"/>
      <c r="DHS14" s="21" t="n"/>
      <c r="DHT14" s="21" t="n"/>
      <c r="DHU14" s="21" t="n"/>
      <c r="DHV14" s="21" t="n"/>
      <c r="DHW14" s="21" t="n"/>
      <c r="DHX14" s="21" t="n"/>
      <c r="DHY14" s="21" t="n"/>
      <c r="DHZ14" s="21" t="n"/>
      <c r="DIA14" s="21" t="n"/>
      <c r="DIB14" s="21" t="n"/>
      <c r="DIC14" s="21" t="n"/>
      <c r="DID14" s="21" t="n"/>
      <c r="DIE14" s="21" t="n"/>
      <c r="DIF14" s="21" t="n"/>
      <c r="DIG14" s="21" t="n"/>
      <c r="DIH14" s="21" t="n"/>
      <c r="DII14" s="21" t="n"/>
      <c r="DIJ14" s="21" t="n"/>
      <c r="DIK14" s="21" t="n"/>
      <c r="DIL14" s="21" t="n"/>
      <c r="DIM14" s="21" t="n"/>
      <c r="DIN14" s="21" t="n"/>
      <c r="DIO14" s="21" t="n"/>
      <c r="DIP14" s="21" t="n"/>
      <c r="DIQ14" s="21" t="n"/>
      <c r="DIR14" s="21" t="n"/>
      <c r="DIS14" s="21" t="n"/>
      <c r="DIT14" s="21" t="n"/>
      <c r="DIU14" s="21" t="n"/>
      <c r="DIV14" s="21" t="n"/>
      <c r="DIW14" s="21" t="n"/>
      <c r="DIX14" s="21" t="n"/>
      <c r="DIY14" s="21" t="n"/>
      <c r="DIZ14" s="21" t="n"/>
      <c r="DJA14" s="21" t="n"/>
      <c r="DJB14" s="21" t="n"/>
      <c r="DJC14" s="21" t="n"/>
      <c r="DJD14" s="21" t="n"/>
      <c r="DJE14" s="21" t="n"/>
      <c r="DJF14" s="21" t="n"/>
      <c r="DJG14" s="21" t="n"/>
      <c r="DJH14" s="21" t="n"/>
      <c r="DJI14" s="21" t="n"/>
      <c r="DJJ14" s="21" t="n"/>
      <c r="DJK14" s="21" t="n"/>
      <c r="DJL14" s="21" t="n"/>
      <c r="DJM14" s="21" t="n"/>
      <c r="DJN14" s="21" t="n"/>
      <c r="DJO14" s="21" t="n"/>
      <c r="DJP14" s="21" t="n"/>
      <c r="DJQ14" s="21" t="n"/>
      <c r="DJR14" s="21" t="n"/>
      <c r="DJS14" s="21" t="n"/>
      <c r="DJT14" s="21" t="n"/>
      <c r="DJU14" s="21" t="n"/>
      <c r="DJV14" s="21" t="n"/>
      <c r="DJW14" s="21" t="n"/>
      <c r="DJX14" s="21" t="n"/>
      <c r="DJY14" s="21" t="n"/>
      <c r="DJZ14" s="21" t="n"/>
      <c r="DKA14" s="21" t="n"/>
      <c r="DKB14" s="21" t="n"/>
      <c r="DKC14" s="21" t="n"/>
      <c r="DKD14" s="21" t="n"/>
      <c r="DKE14" s="21" t="n"/>
      <c r="DKF14" s="21" t="n"/>
      <c r="DKG14" s="21" t="n"/>
      <c r="DKH14" s="21" t="n"/>
      <c r="DKI14" s="21" t="n"/>
      <c r="DKJ14" s="21" t="n"/>
      <c r="DKK14" s="21" t="n"/>
      <c r="DKL14" s="21" t="n"/>
      <c r="DKM14" s="21" t="n"/>
      <c r="DKN14" s="21" t="n"/>
      <c r="DKO14" s="21" t="n"/>
      <c r="DKP14" s="21" t="n"/>
      <c r="DKQ14" s="21" t="n"/>
      <c r="DKR14" s="21" t="n"/>
      <c r="DKS14" s="21" t="n"/>
      <c r="DKT14" s="21" t="n"/>
      <c r="DKU14" s="21" t="n"/>
      <c r="DKV14" s="21" t="n"/>
      <c r="DKW14" s="21" t="n"/>
      <c r="DKX14" s="21" t="n"/>
      <c r="DKY14" s="21" t="n"/>
      <c r="DKZ14" s="21" t="n"/>
      <c r="DLA14" s="21" t="n"/>
      <c r="DLB14" s="21" t="n"/>
      <c r="DLC14" s="21" t="n"/>
      <c r="DLD14" s="21" t="n"/>
      <c r="DLE14" s="21" t="n"/>
      <c r="DLF14" s="21" t="n"/>
      <c r="DLG14" s="21" t="n"/>
      <c r="DLH14" s="21" t="n"/>
      <c r="DLI14" s="21" t="n"/>
      <c r="DLJ14" s="21" t="n"/>
      <c r="DLK14" s="21" t="n"/>
      <c r="DLL14" s="21" t="n"/>
      <c r="DLM14" s="21" t="n"/>
      <c r="DLN14" s="21" t="n"/>
      <c r="DLO14" s="21" t="n"/>
      <c r="DLP14" s="21" t="n"/>
      <c r="DLQ14" s="21" t="n"/>
      <c r="DLR14" s="21" t="n"/>
      <c r="DLS14" s="21" t="n"/>
      <c r="DLT14" s="21" t="n"/>
      <c r="DLU14" s="21" t="n"/>
      <c r="DLV14" s="21" t="n"/>
      <c r="DLW14" s="21" t="n"/>
      <c r="DLX14" s="21" t="n"/>
      <c r="DLY14" s="21" t="n"/>
      <c r="DLZ14" s="21" t="n"/>
      <c r="DMA14" s="21" t="n"/>
      <c r="DMB14" s="21" t="n"/>
      <c r="DMC14" s="21" t="n"/>
      <c r="DMD14" s="21" t="n"/>
      <c r="DME14" s="21" t="n"/>
      <c r="DMF14" s="21" t="n"/>
      <c r="DMG14" s="21" t="n"/>
      <c r="DMH14" s="21" t="n"/>
      <c r="DMI14" s="21" t="n"/>
      <c r="DMJ14" s="21" t="n"/>
      <c r="DMK14" s="21" t="n"/>
      <c r="DML14" s="21" t="n"/>
      <c r="DMM14" s="21" t="n"/>
      <c r="DMN14" s="21" t="n"/>
      <c r="DMO14" s="21" t="n"/>
      <c r="DMP14" s="21" t="n"/>
      <c r="DMQ14" s="21" t="n"/>
      <c r="DMR14" s="21" t="n"/>
      <c r="DMS14" s="21" t="n"/>
      <c r="DMT14" s="21" t="n"/>
      <c r="DMU14" s="21" t="n"/>
      <c r="DMV14" s="21" t="n"/>
      <c r="DMW14" s="21" t="n"/>
      <c r="DMX14" s="21" t="n"/>
      <c r="DMY14" s="21" t="n"/>
      <c r="DMZ14" s="21" t="n"/>
      <c r="DNA14" s="21" t="n"/>
      <c r="DNB14" s="21" t="n"/>
      <c r="DNC14" s="21" t="n"/>
      <c r="DND14" s="21" t="n"/>
      <c r="DNE14" s="21" t="n"/>
      <c r="DNF14" s="21" t="n"/>
      <c r="DNG14" s="21" t="n"/>
      <c r="DNH14" s="21" t="n"/>
      <c r="DNI14" s="21" t="n"/>
      <c r="DNJ14" s="21" t="n"/>
      <c r="DNK14" s="21" t="n"/>
      <c r="DNL14" s="21" t="n"/>
      <c r="DNM14" s="21" t="n"/>
      <c r="DNN14" s="21" t="n"/>
      <c r="DNO14" s="21" t="n"/>
      <c r="DNP14" s="21" t="n"/>
      <c r="DNQ14" s="21" t="n"/>
      <c r="DNR14" s="21" t="n"/>
      <c r="DNS14" s="21" t="n"/>
      <c r="DNT14" s="21" t="n"/>
      <c r="DNU14" s="21" t="n"/>
      <c r="DNV14" s="21" t="n"/>
      <c r="DNW14" s="21" t="n"/>
      <c r="DNX14" s="21" t="n"/>
      <c r="DNY14" s="21" t="n"/>
      <c r="DNZ14" s="21" t="n"/>
      <c r="DOA14" s="21" t="n"/>
      <c r="DOB14" s="21" t="n"/>
      <c r="DOC14" s="21" t="n"/>
      <c r="DOD14" s="21" t="n"/>
      <c r="DOE14" s="21" t="n"/>
      <c r="DOF14" s="21" t="n"/>
      <c r="DOG14" s="21" t="n"/>
      <c r="DOH14" s="21" t="n"/>
      <c r="DOI14" s="21" t="n"/>
      <c r="DOJ14" s="21" t="n"/>
      <c r="DOK14" s="21" t="n"/>
      <c r="DOL14" s="21" t="n"/>
      <c r="DOM14" s="21" t="n"/>
      <c r="DON14" s="21" t="n"/>
      <c r="DOO14" s="21" t="n"/>
      <c r="DOP14" s="21" t="n"/>
      <c r="DOQ14" s="21" t="n"/>
      <c r="DOR14" s="21" t="n"/>
      <c r="DOS14" s="21" t="n"/>
      <c r="DOT14" s="21" t="n"/>
      <c r="DOU14" s="21" t="n"/>
      <c r="DOV14" s="21" t="n"/>
      <c r="DOW14" s="21" t="n"/>
      <c r="DOX14" s="21" t="n"/>
      <c r="DOY14" s="21" t="n"/>
      <c r="DOZ14" s="21" t="n"/>
      <c r="DPA14" s="21" t="n"/>
      <c r="DPB14" s="21" t="n"/>
      <c r="DPC14" s="21" t="n"/>
      <c r="DPD14" s="21" t="n"/>
      <c r="DPE14" s="21" t="n"/>
      <c r="DPF14" s="21" t="n"/>
      <c r="DPG14" s="21" t="n"/>
      <c r="DPH14" s="21" t="n"/>
      <c r="DPI14" s="21" t="n"/>
      <c r="DPJ14" s="21" t="n"/>
      <c r="DPK14" s="21" t="n"/>
      <c r="DPL14" s="21" t="n"/>
      <c r="DPM14" s="21" t="n"/>
      <c r="DPN14" s="21" t="n"/>
      <c r="DPO14" s="21" t="n"/>
      <c r="DPP14" s="21" t="n"/>
      <c r="DPQ14" s="21" t="n"/>
      <c r="DPR14" s="21" t="n"/>
      <c r="DPS14" s="21" t="n"/>
      <c r="DPT14" s="21" t="n"/>
      <c r="DPU14" s="21" t="n"/>
      <c r="DPV14" s="21" t="n"/>
      <c r="DPW14" s="21" t="n"/>
      <c r="DPX14" s="21" t="n"/>
      <c r="DPY14" s="21" t="n"/>
      <c r="DPZ14" s="21" t="n"/>
      <c r="DQA14" s="21" t="n"/>
      <c r="DQB14" s="21" t="n"/>
      <c r="DQC14" s="21" t="n"/>
      <c r="DQD14" s="21" t="n"/>
      <c r="DQE14" s="21" t="n"/>
      <c r="DQF14" s="21" t="n"/>
      <c r="DQG14" s="21" t="n"/>
      <c r="DQH14" s="21" t="n"/>
      <c r="DQI14" s="21" t="n"/>
      <c r="DQJ14" s="21" t="n"/>
      <c r="DQK14" s="21" t="n"/>
      <c r="DQL14" s="21" t="n"/>
      <c r="DQM14" s="21" t="n"/>
      <c r="DQN14" s="21" t="n"/>
      <c r="DQO14" s="21" t="n"/>
      <c r="DQP14" s="21" t="n"/>
      <c r="DQQ14" s="21" t="n"/>
      <c r="DQR14" s="21" t="n"/>
      <c r="DQS14" s="21" t="n"/>
      <c r="DQT14" s="21" t="n"/>
      <c r="DQU14" s="21" t="n"/>
      <c r="DQV14" s="21" t="n"/>
      <c r="DQW14" s="21" t="n"/>
      <c r="DQX14" s="21" t="n"/>
      <c r="DQY14" s="21" t="n"/>
      <c r="DQZ14" s="21" t="n"/>
      <c r="DRA14" s="21" t="n"/>
      <c r="DRB14" s="21" t="n"/>
      <c r="DRC14" s="21" t="n"/>
      <c r="DRD14" s="21" t="n"/>
      <c r="DRE14" s="21" t="n"/>
      <c r="DRF14" s="21" t="n"/>
      <c r="DRG14" s="21" t="n"/>
      <c r="DRH14" s="21" t="n"/>
      <c r="DRI14" s="21" t="n"/>
      <c r="DRJ14" s="21" t="n"/>
      <c r="DRK14" s="21" t="n"/>
      <c r="DRL14" s="21" t="n"/>
      <c r="DRM14" s="21" t="n"/>
      <c r="DRN14" s="21" t="n"/>
      <c r="DRO14" s="21" t="n"/>
      <c r="DRP14" s="21" t="n"/>
      <c r="DRQ14" s="21" t="n"/>
      <c r="DRR14" s="21" t="n"/>
      <c r="DRS14" s="21" t="n"/>
      <c r="DRT14" s="21" t="n"/>
      <c r="DRU14" s="21" t="n"/>
      <c r="DRV14" s="21" t="n"/>
      <c r="DRW14" s="21" t="n"/>
      <c r="DRX14" s="21" t="n"/>
      <c r="DRY14" s="21" t="n"/>
      <c r="DRZ14" s="21" t="n"/>
      <c r="DSA14" s="21" t="n"/>
      <c r="DSB14" s="21" t="n"/>
      <c r="DSC14" s="21" t="n"/>
      <c r="DSD14" s="21" t="n"/>
      <c r="DSE14" s="21" t="n"/>
      <c r="DSF14" s="21" t="n"/>
      <c r="DSG14" s="21" t="n"/>
      <c r="DSH14" s="21" t="n"/>
      <c r="DSI14" s="21" t="n"/>
      <c r="DSJ14" s="21" t="n"/>
      <c r="DSK14" s="21" t="n"/>
      <c r="DSL14" s="21" t="n"/>
      <c r="DSM14" s="21" t="n"/>
      <c r="DSN14" s="21" t="n"/>
      <c r="DSO14" s="21" t="n"/>
      <c r="DSP14" s="21" t="n"/>
      <c r="DSQ14" s="21" t="n"/>
      <c r="DSR14" s="21" t="n"/>
      <c r="DSS14" s="21" t="n"/>
      <c r="DST14" s="21" t="n"/>
      <c r="DSU14" s="21" t="n"/>
      <c r="DSV14" s="21" t="n"/>
      <c r="DSW14" s="21" t="n"/>
      <c r="DSX14" s="21" t="n"/>
      <c r="DSY14" s="21" t="n"/>
      <c r="DSZ14" s="21" t="n"/>
      <c r="DTA14" s="21" t="n"/>
      <c r="DTB14" s="21" t="n"/>
      <c r="DTC14" s="21" t="n"/>
      <c r="DTD14" s="21" t="n"/>
      <c r="DTE14" s="21" t="n"/>
      <c r="DTF14" s="21" t="n"/>
      <c r="DTG14" s="21" t="n"/>
      <c r="DTH14" s="21" t="n"/>
      <c r="DTI14" s="21" t="n"/>
      <c r="DTJ14" s="21" t="n"/>
      <c r="DTK14" s="21" t="n"/>
      <c r="DTL14" s="21" t="n"/>
      <c r="DTM14" s="21" t="n"/>
      <c r="DTN14" s="21" t="n"/>
      <c r="DTO14" s="21" t="n"/>
      <c r="DTP14" s="21" t="n"/>
      <c r="DTQ14" s="21" t="n"/>
      <c r="DTR14" s="21" t="n"/>
      <c r="DTS14" s="21" t="n"/>
      <c r="DTT14" s="21" t="n"/>
      <c r="DTU14" s="21" t="n"/>
      <c r="DTV14" s="21" t="n"/>
      <c r="DTW14" s="21" t="n"/>
      <c r="DTX14" s="21" t="n"/>
      <c r="DTY14" s="21" t="n"/>
      <c r="DTZ14" s="21" t="n"/>
      <c r="DUA14" s="21" t="n"/>
      <c r="DUB14" s="21" t="n"/>
      <c r="DUC14" s="21" t="n"/>
      <c r="DUD14" s="21" t="n"/>
      <c r="DUE14" s="21" t="n"/>
      <c r="DUF14" s="21" t="n"/>
      <c r="DUG14" s="21" t="n"/>
      <c r="DUH14" s="21" t="n"/>
      <c r="DUI14" s="21" t="n"/>
      <c r="DUJ14" s="21" t="n"/>
      <c r="DUK14" s="21" t="n"/>
      <c r="DUL14" s="21" t="n"/>
      <c r="DUM14" s="21" t="n"/>
      <c r="DUN14" s="21" t="n"/>
      <c r="DUO14" s="21" t="n"/>
      <c r="DUP14" s="21" t="n"/>
      <c r="DUQ14" s="21" t="n"/>
      <c r="DUR14" s="21" t="n"/>
      <c r="DUS14" s="21" t="n"/>
      <c r="DUT14" s="21" t="n"/>
      <c r="DUU14" s="21" t="n"/>
      <c r="DUV14" s="21" t="n"/>
      <c r="DUW14" s="21" t="n"/>
      <c r="DUX14" s="21" t="n"/>
      <c r="DUY14" s="21" t="n"/>
      <c r="DUZ14" s="21" t="n"/>
      <c r="DVA14" s="21" t="n"/>
      <c r="DVB14" s="21" t="n"/>
      <c r="DVC14" s="21" t="n"/>
      <c r="DVD14" s="21" t="n"/>
      <c r="DVE14" s="21" t="n"/>
      <c r="DVF14" s="21" t="n"/>
      <c r="DVG14" s="21" t="n"/>
      <c r="DVH14" s="21" t="n"/>
      <c r="DVI14" s="21" t="n"/>
      <c r="DVJ14" s="21" t="n"/>
      <c r="DVK14" s="21" t="n"/>
      <c r="DVL14" s="21" t="n"/>
      <c r="DVM14" s="21" t="n"/>
      <c r="DVN14" s="21" t="n"/>
      <c r="DVO14" s="21" t="n"/>
      <c r="DVP14" s="21" t="n"/>
      <c r="DVQ14" s="21" t="n"/>
      <c r="DVR14" s="21" t="n"/>
      <c r="DVS14" s="21" t="n"/>
      <c r="DVT14" s="21" t="n"/>
      <c r="DVU14" s="21" t="n"/>
      <c r="DVV14" s="21" t="n"/>
      <c r="DVW14" s="21" t="n"/>
      <c r="DVX14" s="21" t="n"/>
      <c r="DVY14" s="21" t="n"/>
      <c r="DVZ14" s="21" t="n"/>
      <c r="DWA14" s="21" t="n"/>
      <c r="DWB14" s="21" t="n"/>
      <c r="DWC14" s="21" t="n"/>
      <c r="DWD14" s="21" t="n"/>
      <c r="DWE14" s="21" t="n"/>
      <c r="DWF14" s="21" t="n"/>
      <c r="DWG14" s="21" t="n"/>
      <c r="DWH14" s="21" t="n"/>
      <c r="DWI14" s="21" t="n"/>
      <c r="DWJ14" s="21" t="n"/>
      <c r="DWK14" s="21" t="n"/>
      <c r="DWL14" s="21" t="n"/>
      <c r="DWM14" s="21" t="n"/>
      <c r="DWN14" s="21" t="n"/>
      <c r="DWO14" s="21" t="n"/>
      <c r="DWP14" s="21" t="n"/>
      <c r="DWQ14" s="21" t="n"/>
      <c r="DWR14" s="21" t="n"/>
      <c r="DWS14" s="21" t="n"/>
      <c r="DWT14" s="21" t="n"/>
      <c r="DWU14" s="21" t="n"/>
      <c r="DWV14" s="21" t="n"/>
      <c r="DWW14" s="21" t="n"/>
      <c r="DWX14" s="21" t="n"/>
      <c r="DWY14" s="21" t="n"/>
      <c r="DWZ14" s="21" t="n"/>
      <c r="DXA14" s="21" t="n"/>
      <c r="DXB14" s="21" t="n"/>
      <c r="DXC14" s="21" t="n"/>
      <c r="DXD14" s="21" t="n"/>
      <c r="DXE14" s="21" t="n"/>
      <c r="DXF14" s="21" t="n"/>
      <c r="DXG14" s="21" t="n"/>
      <c r="DXH14" s="21" t="n"/>
      <c r="DXI14" s="21" t="n"/>
      <c r="DXJ14" s="21" t="n"/>
      <c r="DXK14" s="21" t="n"/>
      <c r="DXL14" s="21" t="n"/>
      <c r="DXM14" s="21" t="n"/>
      <c r="DXN14" s="21" t="n"/>
      <c r="DXO14" s="21" t="n"/>
      <c r="DXP14" s="21" t="n"/>
      <c r="DXQ14" s="21" t="n"/>
      <c r="DXR14" s="21" t="n"/>
      <c r="DXS14" s="21" t="n"/>
      <c r="DXT14" s="21" t="n"/>
      <c r="DXU14" s="21" t="n"/>
      <c r="DXV14" s="21" t="n"/>
      <c r="DXW14" s="21" t="n"/>
      <c r="DXX14" s="21" t="n"/>
      <c r="DXY14" s="21" t="n"/>
      <c r="DXZ14" s="21" t="n"/>
      <c r="DYA14" s="21" t="n"/>
      <c r="DYB14" s="21" t="n"/>
      <c r="DYC14" s="21" t="n"/>
      <c r="DYD14" s="21" t="n"/>
      <c r="DYE14" s="21" t="n"/>
      <c r="DYF14" s="21" t="n"/>
      <c r="DYG14" s="21" t="n"/>
      <c r="DYH14" s="21" t="n"/>
      <c r="DYI14" s="21" t="n"/>
      <c r="DYJ14" s="21" t="n"/>
      <c r="DYK14" s="21" t="n"/>
      <c r="DYL14" s="21" t="n"/>
      <c r="DYM14" s="21" t="n"/>
      <c r="DYN14" s="21" t="n"/>
      <c r="DYO14" s="21" t="n"/>
      <c r="DYP14" s="21" t="n"/>
      <c r="DYQ14" s="21" t="n"/>
      <c r="DYR14" s="21" t="n"/>
      <c r="DYS14" s="21" t="n"/>
      <c r="DYT14" s="21" t="n"/>
      <c r="DYU14" s="21" t="n"/>
      <c r="DYV14" s="21" t="n"/>
      <c r="DYW14" s="21" t="n"/>
      <c r="DYX14" s="21" t="n"/>
      <c r="DYY14" s="21" t="n"/>
      <c r="DYZ14" s="21" t="n"/>
      <c r="DZA14" s="21" t="n"/>
      <c r="DZB14" s="21" t="n"/>
      <c r="DZC14" s="21" t="n"/>
      <c r="DZD14" s="21" t="n"/>
      <c r="DZE14" s="21" t="n"/>
      <c r="DZF14" s="21" t="n"/>
      <c r="DZG14" s="21" t="n"/>
      <c r="DZH14" s="21" t="n"/>
      <c r="DZI14" s="21" t="n"/>
      <c r="DZJ14" s="21" t="n"/>
      <c r="DZK14" s="21" t="n"/>
      <c r="DZL14" s="21" t="n"/>
      <c r="DZM14" s="21" t="n"/>
      <c r="DZN14" s="21" t="n"/>
      <c r="DZO14" s="21" t="n"/>
      <c r="DZP14" s="21" t="n"/>
      <c r="DZQ14" s="21" t="n"/>
      <c r="DZR14" s="21" t="n"/>
      <c r="DZS14" s="21" t="n"/>
      <c r="DZT14" s="21" t="n"/>
      <c r="DZU14" s="21" t="n"/>
      <c r="DZV14" s="21" t="n"/>
      <c r="DZW14" s="21" t="n"/>
      <c r="DZX14" s="21" t="n"/>
      <c r="DZY14" s="21" t="n"/>
      <c r="DZZ14" s="21" t="n"/>
      <c r="EAA14" s="21" t="n"/>
      <c r="EAB14" s="21" t="n"/>
      <c r="EAC14" s="21" t="n"/>
      <c r="EAD14" s="21" t="n"/>
      <c r="EAE14" s="21" t="n"/>
      <c r="EAF14" s="21" t="n"/>
      <c r="EAG14" s="21" t="n"/>
      <c r="EAH14" s="21" t="n"/>
      <c r="EAI14" s="21" t="n"/>
      <c r="EAJ14" s="21" t="n"/>
      <c r="EAK14" s="21" t="n"/>
      <c r="EAL14" s="21" t="n"/>
      <c r="EAM14" s="21" t="n"/>
      <c r="EAN14" s="21" t="n"/>
      <c r="EAO14" s="21" t="n"/>
      <c r="EAP14" s="21" t="n"/>
      <c r="EAQ14" s="21" t="n"/>
      <c r="EAR14" s="21" t="n"/>
      <c r="EAS14" s="21" t="n"/>
      <c r="EAT14" s="21" t="n"/>
      <c r="EAU14" s="21" t="n"/>
      <c r="EAV14" s="21" t="n"/>
      <c r="EAW14" s="21" t="n"/>
      <c r="EAX14" s="21" t="n"/>
      <c r="EAY14" s="21" t="n"/>
      <c r="EAZ14" s="21" t="n"/>
      <c r="EBA14" s="21" t="n"/>
      <c r="EBB14" s="21" t="n"/>
      <c r="EBC14" s="21" t="n"/>
      <c r="EBD14" s="21" t="n"/>
      <c r="EBE14" s="21" t="n"/>
      <c r="EBF14" s="21" t="n"/>
      <c r="EBG14" s="21" t="n"/>
      <c r="EBH14" s="21" t="n"/>
      <c r="EBI14" s="21" t="n"/>
      <c r="EBJ14" s="21" t="n"/>
      <c r="EBK14" s="21" t="n"/>
      <c r="EBL14" s="21" t="n"/>
      <c r="EBM14" s="21" t="n"/>
      <c r="EBN14" s="21" t="n"/>
      <c r="EBO14" s="21" t="n"/>
      <c r="EBP14" s="21" t="n"/>
      <c r="EBQ14" s="21" t="n"/>
      <c r="EBR14" s="21" t="n"/>
      <c r="EBS14" s="21" t="n"/>
      <c r="EBT14" s="21" t="n"/>
      <c r="EBU14" s="21" t="n"/>
      <c r="EBV14" s="21" t="n"/>
      <c r="EBW14" s="21" t="n"/>
      <c r="EBX14" s="21" t="n"/>
      <c r="EBY14" s="21" t="n"/>
      <c r="EBZ14" s="21" t="n"/>
      <c r="ECA14" s="21" t="n"/>
      <c r="ECB14" s="21" t="n"/>
      <c r="ECC14" s="21" t="n"/>
      <c r="ECD14" s="21" t="n"/>
      <c r="ECE14" s="21" t="n"/>
      <c r="ECF14" s="21" t="n"/>
      <c r="ECG14" s="21" t="n"/>
      <c r="ECH14" s="21" t="n"/>
      <c r="ECI14" s="21" t="n"/>
      <c r="ECJ14" s="21" t="n"/>
      <c r="ECK14" s="21" t="n"/>
      <c r="ECL14" s="21" t="n"/>
      <c r="ECM14" s="21" t="n"/>
      <c r="ECN14" s="21" t="n"/>
      <c r="ECO14" s="21" t="n"/>
      <c r="ECP14" s="21" t="n"/>
      <c r="ECQ14" s="21" t="n"/>
      <c r="ECR14" s="21" t="n"/>
      <c r="ECS14" s="21" t="n"/>
      <c r="ECT14" s="21" t="n"/>
      <c r="ECU14" s="21" t="n"/>
      <c r="ECV14" s="21" t="n"/>
      <c r="ECW14" s="21" t="n"/>
      <c r="ECX14" s="21" t="n"/>
      <c r="ECY14" s="21" t="n"/>
      <c r="ECZ14" s="21" t="n"/>
      <c r="EDA14" s="21" t="n"/>
      <c r="EDB14" s="21" t="n"/>
      <c r="EDC14" s="21" t="n"/>
      <c r="EDD14" s="21" t="n"/>
      <c r="EDE14" s="21" t="n"/>
      <c r="EDF14" s="21" t="n"/>
      <c r="EDG14" s="21" t="n"/>
      <c r="EDH14" s="21" t="n"/>
      <c r="EDI14" s="21" t="n"/>
      <c r="EDJ14" s="21" t="n"/>
      <c r="EDK14" s="21" t="n"/>
      <c r="EDL14" s="21" t="n"/>
      <c r="EDM14" s="21" t="n"/>
      <c r="EDN14" s="21" t="n"/>
      <c r="EDO14" s="21" t="n"/>
      <c r="EDP14" s="21" t="n"/>
      <c r="EDQ14" s="21" t="n"/>
      <c r="EDR14" s="21" t="n"/>
      <c r="EDS14" s="21" t="n"/>
      <c r="EDT14" s="21" t="n"/>
      <c r="EDU14" s="21" t="n"/>
      <c r="EDV14" s="21" t="n"/>
      <c r="EDW14" s="21" t="n"/>
      <c r="EDX14" s="21" t="n"/>
      <c r="EDY14" s="21" t="n"/>
      <c r="EDZ14" s="21" t="n"/>
      <c r="EEA14" s="21" t="n"/>
      <c r="EEB14" s="21" t="n"/>
      <c r="EEC14" s="21" t="n"/>
      <c r="EED14" s="21" t="n"/>
      <c r="EEE14" s="21" t="n"/>
      <c r="EEF14" s="21" t="n"/>
      <c r="EEG14" s="21" t="n"/>
      <c r="EEH14" s="21" t="n"/>
      <c r="EEI14" s="21" t="n"/>
      <c r="EEJ14" s="21" t="n"/>
      <c r="EEK14" s="21" t="n"/>
      <c r="EEL14" s="21" t="n"/>
      <c r="EEM14" s="21" t="n"/>
      <c r="EEN14" s="21" t="n"/>
      <c r="EEO14" s="21" t="n"/>
      <c r="EEP14" s="21" t="n"/>
      <c r="EEQ14" s="21" t="n"/>
      <c r="EER14" s="21" t="n"/>
      <c r="EES14" s="21" t="n"/>
      <c r="EET14" s="21" t="n"/>
      <c r="EEU14" s="21" t="n"/>
      <c r="EEV14" s="21" t="n"/>
      <c r="EEW14" s="21" t="n"/>
      <c r="EEX14" s="21" t="n"/>
      <c r="EEY14" s="21" t="n"/>
      <c r="EEZ14" s="21" t="n"/>
      <c r="EFA14" s="21" t="n"/>
      <c r="EFB14" s="21" t="n"/>
      <c r="EFC14" s="21" t="n"/>
      <c r="EFD14" s="21" t="n"/>
      <c r="EFE14" s="21" t="n"/>
      <c r="EFF14" s="21" t="n"/>
      <c r="EFG14" s="21" t="n"/>
      <c r="EFH14" s="21" t="n"/>
      <c r="EFI14" s="21" t="n"/>
      <c r="EFJ14" s="21" t="n"/>
      <c r="EFK14" s="21" t="n"/>
      <c r="EFL14" s="21" t="n"/>
      <c r="EFM14" s="21" t="n"/>
      <c r="EFN14" s="21" t="n"/>
      <c r="EFO14" s="21" t="n"/>
      <c r="EFP14" s="21" t="n"/>
      <c r="EFQ14" s="21" t="n"/>
      <c r="EFR14" s="21" t="n"/>
      <c r="EFS14" s="21" t="n"/>
      <c r="EFT14" s="21" t="n"/>
      <c r="EFU14" s="21" t="n"/>
      <c r="EFV14" s="21" t="n"/>
      <c r="EFW14" s="21" t="n"/>
      <c r="EFX14" s="21" t="n"/>
      <c r="EFY14" s="21" t="n"/>
      <c r="EFZ14" s="21" t="n"/>
      <c r="EGA14" s="21" t="n"/>
      <c r="EGB14" s="21" t="n"/>
      <c r="EGC14" s="21" t="n"/>
      <c r="EGD14" s="21" t="n"/>
      <c r="EGE14" s="21" t="n"/>
      <c r="EGF14" s="21" t="n"/>
      <c r="EGG14" s="21" t="n"/>
      <c r="EGH14" s="21" t="n"/>
      <c r="EGI14" s="21" t="n"/>
      <c r="EGJ14" s="21" t="n"/>
      <c r="EGK14" s="21" t="n"/>
      <c r="EGL14" s="21" t="n"/>
      <c r="EGM14" s="21" t="n"/>
      <c r="EGN14" s="21" t="n"/>
      <c r="EGO14" s="21" t="n"/>
      <c r="EGP14" s="21" t="n"/>
      <c r="EGQ14" s="21" t="n"/>
      <c r="EGR14" s="21" t="n"/>
      <c r="EGS14" s="21" t="n"/>
      <c r="EGT14" s="21" t="n"/>
      <c r="EGU14" s="21" t="n"/>
      <c r="EGV14" s="21" t="n"/>
      <c r="EGW14" s="21" t="n"/>
      <c r="EGX14" s="21" t="n"/>
      <c r="EGY14" s="21" t="n"/>
      <c r="EGZ14" s="21" t="n"/>
      <c r="EHA14" s="21" t="n"/>
      <c r="EHB14" s="21" t="n"/>
      <c r="EHC14" s="21" t="n"/>
      <c r="EHD14" s="21" t="n"/>
      <c r="EHE14" s="21" t="n"/>
      <c r="EHF14" s="21" t="n"/>
      <c r="EHG14" s="21" t="n"/>
      <c r="EHH14" s="21" t="n"/>
      <c r="EHI14" s="21" t="n"/>
      <c r="EHJ14" s="21" t="n"/>
      <c r="EHK14" s="21" t="n"/>
      <c r="EHL14" s="21" t="n"/>
      <c r="EHM14" s="21" t="n"/>
      <c r="EHN14" s="21" t="n"/>
      <c r="EHO14" s="21" t="n"/>
      <c r="EHP14" s="21" t="n"/>
      <c r="EHQ14" s="21" t="n"/>
      <c r="EHR14" s="21" t="n"/>
      <c r="EHS14" s="21" t="n"/>
      <c r="EHT14" s="21" t="n"/>
      <c r="EHU14" s="21" t="n"/>
      <c r="EHV14" s="21" t="n"/>
      <c r="EHW14" s="21" t="n"/>
      <c r="EHX14" s="21" t="n"/>
      <c r="EHY14" s="21" t="n"/>
      <c r="EHZ14" s="21" t="n"/>
      <c r="EIA14" s="21" t="n"/>
      <c r="EIB14" s="21" t="n"/>
      <c r="EIC14" s="21" t="n"/>
      <c r="EID14" s="21" t="n"/>
      <c r="EIE14" s="21" t="n"/>
      <c r="EIF14" s="21" t="n"/>
      <c r="EIG14" s="21" t="n"/>
      <c r="EIH14" s="21" t="n"/>
      <c r="EII14" s="21" t="n"/>
      <c r="EIJ14" s="21" t="n"/>
      <c r="EIK14" s="21" t="n"/>
      <c r="EIL14" s="21" t="n"/>
      <c r="EIM14" s="21" t="n"/>
      <c r="EIN14" s="21" t="n"/>
      <c r="EIO14" s="21" t="n"/>
      <c r="EIP14" s="21" t="n"/>
      <c r="EIQ14" s="21" t="n"/>
      <c r="EIR14" s="21" t="n"/>
      <c r="EIS14" s="21" t="n"/>
      <c r="EIT14" s="21" t="n"/>
      <c r="EIU14" s="21" t="n"/>
      <c r="EIV14" s="21" t="n"/>
      <c r="EIW14" s="21" t="n"/>
      <c r="EIX14" s="21" t="n"/>
      <c r="EIY14" s="21" t="n"/>
      <c r="EIZ14" s="21" t="n"/>
      <c r="EJA14" s="21" t="n"/>
      <c r="EJB14" s="21" t="n"/>
      <c r="EJC14" s="21" t="n"/>
      <c r="EJD14" s="21" t="n"/>
      <c r="EJE14" s="21" t="n"/>
      <c r="EJF14" s="21" t="n"/>
      <c r="EJG14" s="21" t="n"/>
      <c r="EJH14" s="21" t="n"/>
      <c r="EJI14" s="21" t="n"/>
      <c r="EJJ14" s="21" t="n"/>
      <c r="EJK14" s="21" t="n"/>
      <c r="EJL14" s="21" t="n"/>
      <c r="EJM14" s="21" t="n"/>
      <c r="EJN14" s="21" t="n"/>
      <c r="EJO14" s="21" t="n"/>
      <c r="EJP14" s="21" t="n"/>
      <c r="EJQ14" s="21" t="n"/>
      <c r="EJR14" s="21" t="n"/>
      <c r="EJS14" s="21" t="n"/>
      <c r="EJT14" s="21" t="n"/>
      <c r="EJU14" s="21" t="n"/>
      <c r="EJV14" s="21" t="n"/>
      <c r="EJW14" s="21" t="n"/>
      <c r="EJX14" s="21" t="n"/>
      <c r="EJY14" s="21" t="n"/>
      <c r="EJZ14" s="21" t="n"/>
      <c r="EKA14" s="21" t="n"/>
      <c r="EKB14" s="21" t="n"/>
      <c r="EKC14" s="21" t="n"/>
      <c r="EKD14" s="21" t="n"/>
      <c r="EKE14" s="21" t="n"/>
      <c r="EKF14" s="21" t="n"/>
      <c r="EKG14" s="21" t="n"/>
      <c r="EKH14" s="21" t="n"/>
      <c r="EKI14" s="21" t="n"/>
      <c r="EKJ14" s="21" t="n"/>
      <c r="EKK14" s="21" t="n"/>
      <c r="EKL14" s="21" t="n"/>
      <c r="EKM14" s="21" t="n"/>
      <c r="EKN14" s="21" t="n"/>
      <c r="EKO14" s="21" t="n"/>
      <c r="EKP14" s="21" t="n"/>
      <c r="EKQ14" s="21" t="n"/>
      <c r="EKR14" s="21" t="n"/>
      <c r="EKS14" s="21" t="n"/>
      <c r="EKT14" s="21" t="n"/>
      <c r="EKU14" s="21" t="n"/>
      <c r="EKV14" s="21" t="n"/>
      <c r="EKW14" s="21" t="n"/>
      <c r="EKX14" s="21" t="n"/>
      <c r="EKY14" s="21" t="n"/>
      <c r="EKZ14" s="21" t="n"/>
      <c r="ELA14" s="21" t="n"/>
      <c r="ELB14" s="21" t="n"/>
      <c r="ELC14" s="21" t="n"/>
      <c r="ELD14" s="21" t="n"/>
      <c r="ELE14" s="21" t="n"/>
      <c r="ELF14" s="21" t="n"/>
      <c r="ELG14" s="21" t="n"/>
      <c r="ELH14" s="21" t="n"/>
      <c r="ELI14" s="21" t="n"/>
      <c r="ELJ14" s="21" t="n"/>
      <c r="ELK14" s="21" t="n"/>
      <c r="ELL14" s="21" t="n"/>
      <c r="ELM14" s="21" t="n"/>
      <c r="ELN14" s="21" t="n"/>
      <c r="ELO14" s="21" t="n"/>
      <c r="ELP14" s="21" t="n"/>
      <c r="ELQ14" s="21" t="n"/>
      <c r="ELR14" s="21" t="n"/>
      <c r="ELS14" s="21" t="n"/>
      <c r="ELT14" s="21" t="n"/>
      <c r="ELU14" s="21" t="n"/>
      <c r="ELV14" s="21" t="n"/>
      <c r="ELW14" s="21" t="n"/>
      <c r="ELX14" s="21" t="n"/>
      <c r="ELY14" s="21" t="n"/>
      <c r="ELZ14" s="21" t="n"/>
      <c r="EMA14" s="21" t="n"/>
      <c r="EMB14" s="21" t="n"/>
      <c r="EMC14" s="21" t="n"/>
      <c r="EMD14" s="21" t="n"/>
      <c r="EME14" s="21" t="n"/>
      <c r="EMF14" s="21" t="n"/>
      <c r="EMG14" s="21" t="n"/>
      <c r="EMH14" s="21" t="n"/>
      <c r="EMI14" s="21" t="n"/>
      <c r="EMJ14" s="21" t="n"/>
      <c r="EMK14" s="21" t="n"/>
      <c r="EML14" s="21" t="n"/>
      <c r="EMM14" s="21" t="n"/>
      <c r="EMN14" s="21" t="n"/>
      <c r="EMO14" s="21" t="n"/>
      <c r="EMP14" s="21" t="n"/>
      <c r="EMQ14" s="21" t="n"/>
      <c r="EMR14" s="21" t="n"/>
      <c r="EMS14" s="21" t="n"/>
      <c r="EMT14" s="21" t="n"/>
      <c r="EMU14" s="21" t="n"/>
      <c r="EMV14" s="21" t="n"/>
      <c r="EMW14" s="21" t="n"/>
      <c r="EMX14" s="21" t="n"/>
      <c r="EMY14" s="21" t="n"/>
      <c r="EMZ14" s="21" t="n"/>
      <c r="ENA14" s="21" t="n"/>
      <c r="ENB14" s="21" t="n"/>
      <c r="ENC14" s="21" t="n"/>
      <c r="END14" s="21" t="n"/>
      <c r="ENE14" s="21" t="n"/>
      <c r="ENF14" s="21" t="n"/>
      <c r="ENG14" s="21" t="n"/>
      <c r="ENH14" s="21" t="n"/>
      <c r="ENI14" s="21" t="n"/>
      <c r="ENJ14" s="21" t="n"/>
      <c r="ENK14" s="21" t="n"/>
      <c r="ENL14" s="21" t="n"/>
      <c r="ENM14" s="21" t="n"/>
      <c r="ENN14" s="21" t="n"/>
      <c r="ENO14" s="21" t="n"/>
      <c r="ENP14" s="21" t="n"/>
      <c r="ENQ14" s="21" t="n"/>
      <c r="ENR14" s="21" t="n"/>
      <c r="ENS14" s="21" t="n"/>
      <c r="ENT14" s="21" t="n"/>
      <c r="ENU14" s="21" t="n"/>
      <c r="ENV14" s="21" t="n"/>
      <c r="ENW14" s="21" t="n"/>
      <c r="ENX14" s="21" t="n"/>
      <c r="ENY14" s="21" t="n"/>
      <c r="ENZ14" s="21" t="n"/>
      <c r="EOA14" s="21" t="n"/>
      <c r="EOB14" s="21" t="n"/>
      <c r="EOC14" s="21" t="n"/>
      <c r="EOD14" s="21" t="n"/>
      <c r="EOE14" s="21" t="n"/>
      <c r="EOF14" s="21" t="n"/>
      <c r="EOG14" s="21" t="n"/>
      <c r="EOH14" s="21" t="n"/>
      <c r="EOI14" s="21" t="n"/>
      <c r="EOJ14" s="21" t="n"/>
      <c r="EOK14" s="21" t="n"/>
      <c r="EOL14" s="21" t="n"/>
      <c r="EOM14" s="21" t="n"/>
      <c r="EON14" s="21" t="n"/>
      <c r="EOO14" s="21" t="n"/>
      <c r="EOP14" s="21" t="n"/>
      <c r="EOQ14" s="21" t="n"/>
      <c r="EOR14" s="21" t="n"/>
      <c r="EOS14" s="21" t="n"/>
      <c r="EOT14" s="21" t="n"/>
      <c r="EOU14" s="21" t="n"/>
      <c r="EOV14" s="21" t="n"/>
      <c r="EOW14" s="21" t="n"/>
      <c r="EOX14" s="21" t="n"/>
      <c r="EOY14" s="21" t="n"/>
      <c r="EOZ14" s="21" t="n"/>
      <c r="EPA14" s="21" t="n"/>
      <c r="EPB14" s="21" t="n"/>
      <c r="EPC14" s="21" t="n"/>
      <c r="EPD14" s="21" t="n"/>
      <c r="EPE14" s="21" t="n"/>
      <c r="EPF14" s="21" t="n"/>
      <c r="EPG14" s="21" t="n"/>
      <c r="EPH14" s="21" t="n"/>
      <c r="EPI14" s="21" t="n"/>
      <c r="EPJ14" s="21" t="n"/>
      <c r="EPK14" s="21" t="n"/>
      <c r="EPL14" s="21" t="n"/>
      <c r="EPM14" s="21" t="n"/>
      <c r="EPN14" s="21" t="n"/>
      <c r="EPO14" s="21" t="n"/>
      <c r="EPP14" s="21" t="n"/>
      <c r="EPQ14" s="21" t="n"/>
      <c r="EPR14" s="21" t="n"/>
      <c r="EPS14" s="21" t="n"/>
      <c r="EPT14" s="21" t="n"/>
      <c r="EPU14" s="21" t="n"/>
      <c r="EPV14" s="21" t="n"/>
      <c r="EPW14" s="21" t="n"/>
      <c r="EPX14" s="21" t="n"/>
      <c r="EPY14" s="21" t="n"/>
      <c r="EPZ14" s="21" t="n"/>
      <c r="EQA14" s="21" t="n"/>
      <c r="EQB14" s="21" t="n"/>
      <c r="EQC14" s="21" t="n"/>
      <c r="EQD14" s="21" t="n"/>
      <c r="EQE14" s="21" t="n"/>
      <c r="EQF14" s="21" t="n"/>
      <c r="EQG14" s="21" t="n"/>
      <c r="EQH14" s="21" t="n"/>
      <c r="EQI14" s="21" t="n"/>
      <c r="EQJ14" s="21" t="n"/>
      <c r="EQK14" s="21" t="n"/>
      <c r="EQL14" s="21" t="n"/>
      <c r="EQM14" s="21" t="n"/>
      <c r="EQN14" s="21" t="n"/>
      <c r="EQO14" s="21" t="n"/>
      <c r="EQP14" s="21" t="n"/>
      <c r="EQQ14" s="21" t="n"/>
      <c r="EQR14" s="21" t="n"/>
      <c r="EQS14" s="21" t="n"/>
      <c r="EQT14" s="21" t="n"/>
      <c r="EQU14" s="21" t="n"/>
      <c r="EQV14" s="21" t="n"/>
      <c r="EQW14" s="21" t="n"/>
      <c r="EQX14" s="21" t="n"/>
      <c r="EQY14" s="21" t="n"/>
      <c r="EQZ14" s="21" t="n"/>
      <c r="ERA14" s="21" t="n"/>
      <c r="ERB14" s="21" t="n"/>
      <c r="ERC14" s="21" t="n"/>
      <c r="ERD14" s="21" t="n"/>
      <c r="ERE14" s="21" t="n"/>
      <c r="ERF14" s="21" t="n"/>
      <c r="ERG14" s="21" t="n"/>
      <c r="ERH14" s="21" t="n"/>
      <c r="ERI14" s="21" t="n"/>
      <c r="ERJ14" s="21" t="n"/>
      <c r="ERK14" s="21" t="n"/>
      <c r="ERL14" s="21" t="n"/>
      <c r="ERM14" s="21" t="n"/>
      <c r="ERN14" s="21" t="n"/>
      <c r="ERO14" s="21" t="n"/>
      <c r="ERP14" s="21" t="n"/>
      <c r="ERQ14" s="21" t="n"/>
      <c r="ERR14" s="21" t="n"/>
      <c r="ERS14" s="21" t="n"/>
      <c r="ERT14" s="21" t="n"/>
      <c r="ERU14" s="21" t="n"/>
      <c r="ERV14" s="21" t="n"/>
      <c r="ERW14" s="21" t="n"/>
      <c r="ERX14" s="21" t="n"/>
      <c r="ERY14" s="21" t="n"/>
      <c r="ERZ14" s="21" t="n"/>
      <c r="ESA14" s="21" t="n"/>
      <c r="ESB14" s="21" t="n"/>
      <c r="ESC14" s="21" t="n"/>
      <c r="ESD14" s="21" t="n"/>
      <c r="ESE14" s="21" t="n"/>
      <c r="ESF14" s="21" t="n"/>
      <c r="ESG14" s="21" t="n"/>
      <c r="ESH14" s="21" t="n"/>
      <c r="ESI14" s="21" t="n"/>
      <c r="ESJ14" s="21" t="n"/>
      <c r="ESK14" s="21" t="n"/>
      <c r="ESL14" s="21" t="n"/>
      <c r="ESM14" s="21" t="n"/>
      <c r="ESN14" s="21" t="n"/>
      <c r="ESO14" s="21" t="n"/>
      <c r="ESP14" s="21" t="n"/>
      <c r="ESQ14" s="21" t="n"/>
      <c r="ESR14" s="21" t="n"/>
      <c r="ESS14" s="21" t="n"/>
      <c r="EST14" s="21" t="n"/>
      <c r="ESU14" s="21" t="n"/>
      <c r="ESV14" s="21" t="n"/>
      <c r="ESW14" s="21" t="n"/>
      <c r="ESX14" s="21" t="n"/>
      <c r="ESY14" s="21" t="n"/>
      <c r="ESZ14" s="21" t="n"/>
      <c r="ETA14" s="21" t="n"/>
      <c r="ETB14" s="21" t="n"/>
      <c r="ETC14" s="21" t="n"/>
      <c r="ETD14" s="21" t="n"/>
      <c r="ETE14" s="21" t="n"/>
      <c r="ETF14" s="21" t="n"/>
      <c r="ETG14" s="21" t="n"/>
      <c r="ETH14" s="21" t="n"/>
      <c r="ETI14" s="21" t="n"/>
      <c r="ETJ14" s="21" t="n"/>
      <c r="ETK14" s="21" t="n"/>
      <c r="ETL14" s="21" t="n"/>
      <c r="ETM14" s="21" t="n"/>
      <c r="ETN14" s="21" t="n"/>
      <c r="ETO14" s="21" t="n"/>
      <c r="ETP14" s="21" t="n"/>
      <c r="ETQ14" s="21" t="n"/>
      <c r="ETR14" s="21" t="n"/>
      <c r="ETS14" s="21" t="n"/>
      <c r="ETT14" s="21" t="n"/>
      <c r="ETU14" s="21" t="n"/>
      <c r="ETV14" s="21" t="n"/>
      <c r="ETW14" s="21" t="n"/>
      <c r="ETX14" s="21" t="n"/>
      <c r="ETY14" s="21" t="n"/>
      <c r="ETZ14" s="21" t="n"/>
      <c r="EUA14" s="21" t="n"/>
      <c r="EUB14" s="21" t="n"/>
      <c r="EUC14" s="21" t="n"/>
      <c r="EUD14" s="21" t="n"/>
      <c r="EUE14" s="21" t="n"/>
      <c r="EUF14" s="21" t="n"/>
      <c r="EUG14" s="21" t="n"/>
      <c r="EUH14" s="21" t="n"/>
      <c r="EUI14" s="21" t="n"/>
      <c r="EUJ14" s="21" t="n"/>
      <c r="EUK14" s="21" t="n"/>
      <c r="EUL14" s="21" t="n"/>
      <c r="EUM14" s="21" t="n"/>
      <c r="EUN14" s="21" t="n"/>
      <c r="EUO14" s="21" t="n"/>
      <c r="EUP14" s="21" t="n"/>
      <c r="EUQ14" s="21" t="n"/>
      <c r="EUR14" s="21" t="n"/>
      <c r="EUS14" s="21" t="n"/>
      <c r="EUT14" s="21" t="n"/>
      <c r="EUU14" s="21" t="n"/>
      <c r="EUV14" s="21" t="n"/>
      <c r="EUW14" s="21" t="n"/>
      <c r="EUX14" s="21" t="n"/>
      <c r="EUY14" s="21" t="n"/>
      <c r="EUZ14" s="21" t="n"/>
      <c r="EVA14" s="21" t="n"/>
      <c r="EVB14" s="21" t="n"/>
      <c r="EVC14" s="21" t="n"/>
      <c r="EVD14" s="21" t="n"/>
      <c r="EVE14" s="21" t="n"/>
      <c r="EVF14" s="21" t="n"/>
      <c r="EVG14" s="21" t="n"/>
      <c r="EVH14" s="21" t="n"/>
      <c r="EVI14" s="21" t="n"/>
      <c r="EVJ14" s="21" t="n"/>
      <c r="EVK14" s="21" t="n"/>
      <c r="EVL14" s="21" t="n"/>
      <c r="EVM14" s="21" t="n"/>
      <c r="EVN14" s="21" t="n"/>
      <c r="EVO14" s="21" t="n"/>
      <c r="EVP14" s="21" t="n"/>
      <c r="EVQ14" s="21" t="n"/>
      <c r="EVR14" s="21" t="n"/>
      <c r="EVS14" s="21" t="n"/>
      <c r="EVT14" s="21" t="n"/>
      <c r="EVU14" s="21" t="n"/>
      <c r="EVV14" s="21" t="n"/>
      <c r="EVW14" s="21" t="n"/>
      <c r="EVX14" s="21" t="n"/>
      <c r="EVY14" s="21" t="n"/>
      <c r="EVZ14" s="21" t="n"/>
      <c r="EWA14" s="21" t="n"/>
      <c r="EWB14" s="21" t="n"/>
      <c r="EWC14" s="21" t="n"/>
      <c r="EWD14" s="21" t="n"/>
      <c r="EWE14" s="21" t="n"/>
      <c r="EWF14" s="21" t="n"/>
      <c r="EWG14" s="21" t="n"/>
      <c r="EWH14" s="21" t="n"/>
      <c r="EWI14" s="21" t="n"/>
      <c r="EWJ14" s="21" t="n"/>
      <c r="EWK14" s="21" t="n"/>
      <c r="EWL14" s="21" t="n"/>
      <c r="EWM14" s="21" t="n"/>
      <c r="EWN14" s="21" t="n"/>
      <c r="EWO14" s="21" t="n"/>
      <c r="EWP14" s="21" t="n"/>
      <c r="EWQ14" s="21" t="n"/>
      <c r="EWR14" s="21" t="n"/>
      <c r="EWS14" s="21" t="n"/>
      <c r="EWT14" s="21" t="n"/>
      <c r="EWU14" s="21" t="n"/>
      <c r="EWV14" s="21" t="n"/>
      <c r="EWW14" s="21" t="n"/>
      <c r="EWX14" s="21" t="n"/>
      <c r="EWY14" s="21" t="n"/>
      <c r="EWZ14" s="21" t="n"/>
      <c r="EXA14" s="21" t="n"/>
      <c r="EXB14" s="21" t="n"/>
      <c r="EXC14" s="21" t="n"/>
      <c r="EXD14" s="21" t="n"/>
      <c r="EXE14" s="21" t="n"/>
      <c r="EXF14" s="21" t="n"/>
      <c r="EXG14" s="21" t="n"/>
      <c r="EXH14" s="21" t="n"/>
      <c r="EXI14" s="21" t="n"/>
      <c r="EXJ14" s="21" t="n"/>
      <c r="EXK14" s="21" t="n"/>
      <c r="EXL14" s="21" t="n"/>
      <c r="EXM14" s="21" t="n"/>
      <c r="EXN14" s="21" t="n"/>
      <c r="EXO14" s="21" t="n"/>
      <c r="EXP14" s="21" t="n"/>
      <c r="EXQ14" s="21" t="n"/>
      <c r="EXR14" s="21" t="n"/>
      <c r="EXS14" s="21" t="n"/>
      <c r="EXT14" s="21" t="n"/>
      <c r="EXU14" s="21" t="n"/>
      <c r="EXV14" s="21" t="n"/>
      <c r="EXW14" s="21" t="n"/>
      <c r="EXX14" s="21" t="n"/>
      <c r="EXY14" s="21" t="n"/>
      <c r="EXZ14" s="21" t="n"/>
      <c r="EYA14" s="21" t="n"/>
      <c r="EYB14" s="21" t="n"/>
      <c r="EYC14" s="21" t="n"/>
      <c r="EYD14" s="21" t="n"/>
      <c r="EYE14" s="21" t="n"/>
      <c r="EYF14" s="21" t="n"/>
      <c r="EYG14" s="21" t="n"/>
      <c r="EYH14" s="21" t="n"/>
      <c r="EYI14" s="21" t="n"/>
      <c r="EYJ14" s="21" t="n"/>
      <c r="EYK14" s="21" t="n"/>
      <c r="EYL14" s="21" t="n"/>
      <c r="EYM14" s="21" t="n"/>
      <c r="EYN14" s="21" t="n"/>
      <c r="EYO14" s="21" t="n"/>
      <c r="EYP14" s="21" t="n"/>
      <c r="EYQ14" s="21" t="n"/>
      <c r="EYR14" s="21" t="n"/>
      <c r="EYS14" s="21" t="n"/>
      <c r="EYT14" s="21" t="n"/>
      <c r="EYU14" s="21" t="n"/>
      <c r="EYV14" s="21" t="n"/>
      <c r="EYW14" s="21" t="n"/>
      <c r="EYX14" s="21" t="n"/>
      <c r="EYY14" s="21" t="n"/>
      <c r="EYZ14" s="21" t="n"/>
      <c r="EZA14" s="21" t="n"/>
      <c r="EZB14" s="21" t="n"/>
      <c r="EZC14" s="21" t="n"/>
      <c r="EZD14" s="21" t="n"/>
      <c r="EZE14" s="21" t="n"/>
      <c r="EZF14" s="21" t="n"/>
      <c r="EZG14" s="21" t="n"/>
      <c r="EZH14" s="21" t="n"/>
      <c r="EZI14" s="21" t="n"/>
      <c r="EZJ14" s="21" t="n"/>
      <c r="EZK14" s="21" t="n"/>
      <c r="EZL14" s="21" t="n"/>
      <c r="EZM14" s="21" t="n"/>
      <c r="EZN14" s="21" t="n"/>
      <c r="EZO14" s="21" t="n"/>
      <c r="EZP14" s="21" t="n"/>
      <c r="EZQ14" s="21" t="n"/>
      <c r="EZR14" s="21" t="n"/>
      <c r="EZS14" s="21" t="n"/>
      <c r="EZT14" s="21" t="n"/>
      <c r="EZU14" s="21" t="n"/>
      <c r="EZV14" s="21" t="n"/>
      <c r="EZW14" s="21" t="n"/>
      <c r="EZX14" s="21" t="n"/>
      <c r="EZY14" s="21" t="n"/>
      <c r="EZZ14" s="21" t="n"/>
      <c r="FAA14" s="21" t="n"/>
      <c r="FAB14" s="21" t="n"/>
      <c r="FAC14" s="21" t="n"/>
      <c r="FAD14" s="21" t="n"/>
      <c r="FAE14" s="21" t="n"/>
      <c r="FAF14" s="21" t="n"/>
      <c r="FAG14" s="21" t="n"/>
      <c r="FAH14" s="21" t="n"/>
      <c r="FAI14" s="21" t="n"/>
      <c r="FAJ14" s="21" t="n"/>
      <c r="FAK14" s="21" t="n"/>
      <c r="FAL14" s="21" t="n"/>
      <c r="FAM14" s="21" t="n"/>
      <c r="FAN14" s="21" t="n"/>
      <c r="FAO14" s="21" t="n"/>
      <c r="FAP14" s="21" t="n"/>
      <c r="FAQ14" s="21" t="n"/>
      <c r="FAR14" s="21" t="n"/>
      <c r="FAS14" s="21" t="n"/>
      <c r="FAT14" s="21" t="n"/>
      <c r="FAU14" s="21" t="n"/>
      <c r="FAV14" s="21" t="n"/>
      <c r="FAW14" s="21" t="n"/>
      <c r="FAX14" s="21" t="n"/>
      <c r="FAY14" s="21" t="n"/>
      <c r="FAZ14" s="21" t="n"/>
      <c r="FBA14" s="21" t="n"/>
      <c r="FBB14" s="21" t="n"/>
      <c r="FBC14" s="21" t="n"/>
      <c r="FBD14" s="21" t="n"/>
      <c r="FBE14" s="21" t="n"/>
      <c r="FBF14" s="21" t="n"/>
      <c r="FBG14" s="21" t="n"/>
      <c r="FBH14" s="21" t="n"/>
      <c r="FBI14" s="21" t="n"/>
      <c r="FBJ14" s="21" t="n"/>
      <c r="FBK14" s="21" t="n"/>
      <c r="FBL14" s="21" t="n"/>
      <c r="FBM14" s="21" t="n"/>
      <c r="FBN14" s="21" t="n"/>
      <c r="FBO14" s="21" t="n"/>
      <c r="FBP14" s="21" t="n"/>
      <c r="FBQ14" s="21" t="n"/>
      <c r="FBR14" s="21" t="n"/>
      <c r="FBS14" s="21" t="n"/>
      <c r="FBT14" s="21" t="n"/>
      <c r="FBU14" s="21" t="n"/>
      <c r="FBV14" s="21" t="n"/>
      <c r="FBW14" s="21" t="n"/>
      <c r="FBX14" s="21" t="n"/>
      <c r="FBY14" s="21" t="n"/>
      <c r="FBZ14" s="21" t="n"/>
      <c r="FCA14" s="21" t="n"/>
      <c r="FCB14" s="21" t="n"/>
      <c r="FCC14" s="21" t="n"/>
      <c r="FCD14" s="21" t="n"/>
      <c r="FCE14" s="21" t="n"/>
      <c r="FCF14" s="21" t="n"/>
      <c r="FCG14" s="21" t="n"/>
      <c r="FCH14" s="21" t="n"/>
      <c r="FCI14" s="21" t="n"/>
      <c r="FCJ14" s="21" t="n"/>
      <c r="FCK14" s="21" t="n"/>
      <c r="FCL14" s="21" t="n"/>
      <c r="FCM14" s="21" t="n"/>
      <c r="FCN14" s="21" t="n"/>
      <c r="FCO14" s="21" t="n"/>
      <c r="FCP14" s="21" t="n"/>
      <c r="FCQ14" s="21" t="n"/>
      <c r="FCR14" s="21" t="n"/>
      <c r="FCS14" s="21" t="n"/>
      <c r="FCT14" s="21" t="n"/>
      <c r="FCU14" s="21" t="n"/>
      <c r="FCV14" s="21" t="n"/>
      <c r="FCW14" s="21" t="n"/>
      <c r="FCX14" s="21" t="n"/>
      <c r="FCY14" s="21" t="n"/>
      <c r="FCZ14" s="21" t="n"/>
      <c r="FDA14" s="21" t="n"/>
      <c r="FDB14" s="21" t="n"/>
      <c r="FDC14" s="21" t="n"/>
      <c r="FDD14" s="21" t="n"/>
      <c r="FDE14" s="21" t="n"/>
      <c r="FDF14" s="21" t="n"/>
      <c r="FDG14" s="21" t="n"/>
      <c r="FDH14" s="21" t="n"/>
      <c r="FDI14" s="21" t="n"/>
      <c r="FDJ14" s="21" t="n"/>
      <c r="FDK14" s="21" t="n"/>
      <c r="FDL14" s="21" t="n"/>
      <c r="FDM14" s="21" t="n"/>
      <c r="FDN14" s="21" t="n"/>
      <c r="FDO14" s="21" t="n"/>
      <c r="FDP14" s="21" t="n"/>
      <c r="FDQ14" s="21" t="n"/>
      <c r="FDR14" s="21" t="n"/>
      <c r="FDS14" s="21" t="n"/>
      <c r="FDT14" s="21" t="n"/>
      <c r="FDU14" s="21" t="n"/>
      <c r="FDV14" s="21" t="n"/>
      <c r="FDW14" s="21" t="n"/>
      <c r="FDX14" s="21" t="n"/>
      <c r="FDY14" s="21" t="n"/>
      <c r="FDZ14" s="21" t="n"/>
      <c r="FEA14" s="21" t="n"/>
      <c r="FEB14" s="21" t="n"/>
      <c r="FEC14" s="21" t="n"/>
      <c r="FED14" s="21" t="n"/>
      <c r="FEE14" s="21" t="n"/>
      <c r="FEF14" s="21" t="n"/>
      <c r="FEG14" s="21" t="n"/>
      <c r="FEH14" s="21" t="n"/>
      <c r="FEI14" s="21" t="n"/>
      <c r="FEJ14" s="21" t="n"/>
      <c r="FEK14" s="21" t="n"/>
      <c r="FEL14" s="21" t="n"/>
      <c r="FEM14" s="21" t="n"/>
      <c r="FEN14" s="21" t="n"/>
      <c r="FEO14" s="21" t="n"/>
      <c r="FEP14" s="21" t="n"/>
      <c r="FEQ14" s="21" t="n"/>
      <c r="FER14" s="21" t="n"/>
      <c r="FES14" s="21" t="n"/>
      <c r="FET14" s="21" t="n"/>
      <c r="FEU14" s="21" t="n"/>
      <c r="FEV14" s="21" t="n"/>
      <c r="FEW14" s="21" t="n"/>
      <c r="FEX14" s="21" t="n"/>
      <c r="FEY14" s="21" t="n"/>
      <c r="FEZ14" s="21" t="n"/>
      <c r="FFA14" s="21" t="n"/>
      <c r="FFB14" s="21" t="n"/>
      <c r="FFC14" s="21" t="n"/>
      <c r="FFD14" s="21" t="n"/>
      <c r="FFE14" s="21" t="n"/>
      <c r="FFF14" s="21" t="n"/>
      <c r="FFG14" s="21" t="n"/>
      <c r="FFH14" s="21" t="n"/>
      <c r="FFI14" s="21" t="n"/>
      <c r="FFJ14" s="21" t="n"/>
      <c r="FFK14" s="21" t="n"/>
      <c r="FFL14" s="21" t="n"/>
      <c r="FFM14" s="21" t="n"/>
      <c r="FFN14" s="21" t="n"/>
      <c r="FFO14" s="21" t="n"/>
      <c r="FFP14" s="21" t="n"/>
      <c r="FFQ14" s="21" t="n"/>
      <c r="FFR14" s="21" t="n"/>
      <c r="FFS14" s="21" t="n"/>
      <c r="FFT14" s="21" t="n"/>
      <c r="FFU14" s="21" t="n"/>
      <c r="FFV14" s="21" t="n"/>
      <c r="FFW14" s="21" t="n"/>
      <c r="FFX14" s="21" t="n"/>
      <c r="FFY14" s="21" t="n"/>
      <c r="FFZ14" s="21" t="n"/>
      <c r="FGA14" s="21" t="n"/>
      <c r="FGB14" s="21" t="n"/>
      <c r="FGC14" s="21" t="n"/>
      <c r="FGD14" s="21" t="n"/>
      <c r="FGE14" s="21" t="n"/>
      <c r="FGF14" s="21" t="n"/>
      <c r="FGG14" s="21" t="n"/>
      <c r="FGH14" s="21" t="n"/>
      <c r="FGI14" s="21" t="n"/>
      <c r="FGJ14" s="21" t="n"/>
      <c r="FGK14" s="21" t="n"/>
      <c r="FGL14" s="21" t="n"/>
      <c r="FGM14" s="21" t="n"/>
      <c r="FGN14" s="21" t="n"/>
      <c r="FGO14" s="21" t="n"/>
      <c r="FGP14" s="21" t="n"/>
      <c r="FGQ14" s="21" t="n"/>
      <c r="FGR14" s="21" t="n"/>
      <c r="FGS14" s="21" t="n"/>
      <c r="FGT14" s="21" t="n"/>
      <c r="FGU14" s="21" t="n"/>
      <c r="FGV14" s="21" t="n"/>
      <c r="FGW14" s="21" t="n"/>
      <c r="FGX14" s="21" t="n"/>
      <c r="FGY14" s="21" t="n"/>
      <c r="FGZ14" s="21" t="n"/>
      <c r="FHA14" s="21" t="n"/>
      <c r="FHB14" s="21" t="n"/>
      <c r="FHC14" s="21" t="n"/>
      <c r="FHD14" s="21" t="n"/>
      <c r="FHE14" s="21" t="n"/>
      <c r="FHF14" s="21" t="n"/>
      <c r="FHG14" s="21" t="n"/>
      <c r="FHH14" s="21" t="n"/>
      <c r="FHI14" s="21" t="n"/>
      <c r="FHJ14" s="21" t="n"/>
      <c r="FHK14" s="21" t="n"/>
      <c r="FHL14" s="21" t="n"/>
      <c r="FHM14" s="21" t="n"/>
      <c r="FHN14" s="21" t="n"/>
      <c r="FHO14" s="21" t="n"/>
      <c r="FHP14" s="21" t="n"/>
      <c r="FHQ14" s="21" t="n"/>
      <c r="FHR14" s="21" t="n"/>
      <c r="FHS14" s="21" t="n"/>
      <c r="FHT14" s="21" t="n"/>
      <c r="FHU14" s="21" t="n"/>
      <c r="FHV14" s="21" t="n"/>
      <c r="FHW14" s="21" t="n"/>
      <c r="FHX14" s="21" t="n"/>
      <c r="FHY14" s="21" t="n"/>
      <c r="FHZ14" s="21" t="n"/>
      <c r="FIA14" s="21" t="n"/>
      <c r="FIB14" s="21" t="n"/>
      <c r="FIC14" s="21" t="n"/>
      <c r="FID14" s="21" t="n"/>
      <c r="FIE14" s="21" t="n"/>
      <c r="FIF14" s="21" t="n"/>
      <c r="FIG14" s="21" t="n"/>
      <c r="FIH14" s="21" t="n"/>
      <c r="FII14" s="21" t="n"/>
      <c r="FIJ14" s="21" t="n"/>
      <c r="FIK14" s="21" t="n"/>
      <c r="FIL14" s="21" t="n"/>
      <c r="FIM14" s="21" t="n"/>
      <c r="FIN14" s="21" t="n"/>
      <c r="FIO14" s="21" t="n"/>
      <c r="FIP14" s="21" t="n"/>
      <c r="FIQ14" s="21" t="n"/>
      <c r="FIR14" s="21" t="n"/>
      <c r="FIS14" s="21" t="n"/>
      <c r="FIT14" s="21" t="n"/>
      <c r="FIU14" s="21" t="n"/>
      <c r="FIV14" s="21" t="n"/>
      <c r="FIW14" s="21" t="n"/>
      <c r="FIX14" s="21" t="n"/>
      <c r="FIY14" s="21" t="n"/>
      <c r="FIZ14" s="21" t="n"/>
      <c r="FJA14" s="21" t="n"/>
      <c r="FJB14" s="21" t="n"/>
      <c r="FJC14" s="21" t="n"/>
      <c r="FJD14" s="21" t="n"/>
      <c r="FJE14" s="21" t="n"/>
      <c r="FJF14" s="21" t="n"/>
      <c r="FJG14" s="21" t="n"/>
      <c r="FJH14" s="21" t="n"/>
      <c r="FJI14" s="21" t="n"/>
      <c r="FJJ14" s="21" t="n"/>
      <c r="FJK14" s="21" t="n"/>
      <c r="FJL14" s="21" t="n"/>
      <c r="FJM14" s="21" t="n"/>
      <c r="FJN14" s="21" t="n"/>
      <c r="FJO14" s="21" t="n"/>
      <c r="FJP14" s="21" t="n"/>
      <c r="FJQ14" s="21" t="n"/>
      <c r="FJR14" s="21" t="n"/>
      <c r="FJS14" s="21" t="n"/>
      <c r="FJT14" s="21" t="n"/>
      <c r="FJU14" s="21" t="n"/>
      <c r="FJV14" s="21" t="n"/>
      <c r="FJW14" s="21" t="n"/>
      <c r="FJX14" s="21" t="n"/>
      <c r="FJY14" s="21" t="n"/>
      <c r="FJZ14" s="21" t="n"/>
      <c r="FKA14" s="21" t="n"/>
      <c r="FKB14" s="21" t="n"/>
      <c r="FKC14" s="21" t="n"/>
      <c r="FKD14" s="21" t="n"/>
      <c r="FKE14" s="21" t="n"/>
      <c r="FKF14" s="21" t="n"/>
      <c r="FKG14" s="21" t="n"/>
      <c r="FKH14" s="21" t="n"/>
      <c r="FKI14" s="21" t="n"/>
      <c r="FKJ14" s="21" t="n"/>
      <c r="FKK14" s="21" t="n"/>
      <c r="FKL14" s="21" t="n"/>
      <c r="FKM14" s="21" t="n"/>
      <c r="FKN14" s="21" t="n"/>
      <c r="FKO14" s="21" t="n"/>
      <c r="FKP14" s="21" t="n"/>
      <c r="FKQ14" s="21" t="n"/>
      <c r="FKR14" s="21" t="n"/>
      <c r="FKS14" s="21" t="n"/>
      <c r="FKT14" s="21" t="n"/>
      <c r="FKU14" s="21" t="n"/>
      <c r="FKV14" s="21" t="n"/>
      <c r="FKW14" s="21" t="n"/>
      <c r="FKX14" s="21" t="n"/>
      <c r="FKY14" s="21" t="n"/>
      <c r="FKZ14" s="21" t="n"/>
      <c r="FLA14" s="21" t="n"/>
      <c r="FLB14" s="21" t="n"/>
      <c r="FLC14" s="21" t="n"/>
      <c r="FLD14" s="21" t="n"/>
      <c r="FLE14" s="21" t="n"/>
      <c r="FLF14" s="21" t="n"/>
      <c r="FLG14" s="21" t="n"/>
      <c r="FLH14" s="21" t="n"/>
      <c r="FLI14" s="21" t="n"/>
      <c r="FLJ14" s="21" t="n"/>
      <c r="FLK14" s="21" t="n"/>
      <c r="FLL14" s="21" t="n"/>
      <c r="FLM14" s="21" t="n"/>
      <c r="FLN14" s="21" t="n"/>
      <c r="FLO14" s="21" t="n"/>
      <c r="FLP14" s="21" t="n"/>
      <c r="FLQ14" s="21" t="n"/>
      <c r="FLR14" s="21" t="n"/>
      <c r="FLS14" s="21" t="n"/>
      <c r="FLT14" s="21" t="n"/>
      <c r="FLU14" s="21" t="n"/>
      <c r="FLV14" s="21" t="n"/>
      <c r="FLW14" s="21" t="n"/>
      <c r="FLX14" s="21" t="n"/>
      <c r="FLY14" s="21" t="n"/>
      <c r="FLZ14" s="21" t="n"/>
      <c r="FMA14" s="21" t="n"/>
      <c r="FMB14" s="21" t="n"/>
      <c r="FMC14" s="21" t="n"/>
      <c r="FMD14" s="21" t="n"/>
      <c r="FME14" s="21" t="n"/>
      <c r="FMF14" s="21" t="n"/>
      <c r="FMG14" s="21" t="n"/>
      <c r="FMH14" s="21" t="n"/>
      <c r="FMI14" s="21" t="n"/>
      <c r="FMJ14" s="21" t="n"/>
      <c r="FMK14" s="21" t="n"/>
      <c r="FML14" s="21" t="n"/>
      <c r="FMM14" s="21" t="n"/>
      <c r="FMN14" s="21" t="n"/>
      <c r="FMO14" s="21" t="n"/>
      <c r="FMP14" s="21" t="n"/>
      <c r="FMQ14" s="21" t="n"/>
      <c r="FMR14" s="21" t="n"/>
      <c r="FMS14" s="21" t="n"/>
      <c r="FMT14" s="21" t="n"/>
      <c r="FMU14" s="21" t="n"/>
      <c r="FMV14" s="21" t="n"/>
      <c r="FMW14" s="21" t="n"/>
      <c r="FMX14" s="21" t="n"/>
      <c r="FMY14" s="21" t="n"/>
      <c r="FMZ14" s="21" t="n"/>
      <c r="FNA14" s="21" t="n"/>
      <c r="FNB14" s="21" t="n"/>
      <c r="FNC14" s="21" t="n"/>
      <c r="FND14" s="21" t="n"/>
      <c r="FNE14" s="21" t="n"/>
      <c r="FNF14" s="21" t="n"/>
      <c r="FNG14" s="21" t="n"/>
      <c r="FNH14" s="21" t="n"/>
      <c r="FNI14" s="21" t="n"/>
      <c r="FNJ14" s="21" t="n"/>
      <c r="FNK14" s="21" t="n"/>
      <c r="FNL14" s="21" t="n"/>
      <c r="FNM14" s="21" t="n"/>
      <c r="FNN14" s="21" t="n"/>
      <c r="FNO14" s="21" t="n"/>
      <c r="FNP14" s="21" t="n"/>
      <c r="FNQ14" s="21" t="n"/>
      <c r="FNR14" s="21" t="n"/>
      <c r="FNS14" s="21" t="n"/>
      <c r="FNT14" s="21" t="n"/>
      <c r="FNU14" s="21" t="n"/>
      <c r="FNV14" s="21" t="n"/>
      <c r="FNW14" s="21" t="n"/>
      <c r="FNX14" s="21" t="n"/>
      <c r="FNY14" s="21" t="n"/>
      <c r="FNZ14" s="21" t="n"/>
      <c r="FOA14" s="21" t="n"/>
      <c r="FOB14" s="21" t="n"/>
      <c r="FOC14" s="21" t="n"/>
      <c r="FOD14" s="21" t="n"/>
      <c r="FOE14" s="21" t="n"/>
      <c r="FOF14" s="21" t="n"/>
      <c r="FOG14" s="21" t="n"/>
      <c r="FOH14" s="21" t="n"/>
      <c r="FOI14" s="21" t="n"/>
      <c r="FOJ14" s="21" t="n"/>
      <c r="FOK14" s="21" t="n"/>
      <c r="FOL14" s="21" t="n"/>
      <c r="FOM14" s="21" t="n"/>
      <c r="FON14" s="21" t="n"/>
      <c r="FOO14" s="21" t="n"/>
      <c r="FOP14" s="21" t="n"/>
      <c r="FOQ14" s="21" t="n"/>
      <c r="FOR14" s="21" t="n"/>
      <c r="FOS14" s="21" t="n"/>
      <c r="FOT14" s="21" t="n"/>
      <c r="FOU14" s="21" t="n"/>
      <c r="FOV14" s="21" t="n"/>
      <c r="FOW14" s="21" t="n"/>
      <c r="FOX14" s="21" t="n"/>
      <c r="FOY14" s="21" t="n"/>
      <c r="FOZ14" s="21" t="n"/>
      <c r="FPA14" s="21" t="n"/>
      <c r="FPB14" s="21" t="n"/>
      <c r="FPC14" s="21" t="n"/>
      <c r="FPD14" s="21" t="n"/>
      <c r="FPE14" s="21" t="n"/>
      <c r="FPF14" s="21" t="n"/>
      <c r="FPG14" s="21" t="n"/>
      <c r="FPH14" s="21" t="n"/>
      <c r="FPI14" s="21" t="n"/>
      <c r="FPJ14" s="21" t="n"/>
      <c r="FPK14" s="21" t="n"/>
      <c r="FPL14" s="21" t="n"/>
      <c r="FPM14" s="21" t="n"/>
      <c r="FPN14" s="21" t="n"/>
      <c r="FPO14" s="21" t="n"/>
      <c r="FPP14" s="21" t="n"/>
      <c r="FPQ14" s="21" t="n"/>
      <c r="FPR14" s="21" t="n"/>
      <c r="FPS14" s="21" t="n"/>
      <c r="FPT14" s="21" t="n"/>
      <c r="FPU14" s="21" t="n"/>
      <c r="FPV14" s="21" t="n"/>
      <c r="FPW14" s="21" t="n"/>
      <c r="FPX14" s="21" t="n"/>
      <c r="FPY14" s="21" t="n"/>
      <c r="FPZ14" s="21" t="n"/>
      <c r="FQA14" s="21" t="n"/>
      <c r="FQB14" s="21" t="n"/>
      <c r="FQC14" s="21" t="n"/>
      <c r="FQD14" s="21" t="n"/>
      <c r="FQE14" s="21" t="n"/>
      <c r="FQF14" s="21" t="n"/>
      <c r="FQG14" s="21" t="n"/>
      <c r="FQH14" s="21" t="n"/>
      <c r="FQI14" s="21" t="n"/>
      <c r="FQJ14" s="21" t="n"/>
      <c r="FQK14" s="21" t="n"/>
      <c r="FQL14" s="21" t="n"/>
      <c r="FQM14" s="21" t="n"/>
      <c r="FQN14" s="21" t="n"/>
      <c r="FQO14" s="21" t="n"/>
      <c r="FQP14" s="21" t="n"/>
      <c r="FQQ14" s="21" t="n"/>
      <c r="FQR14" s="21" t="n"/>
      <c r="FQS14" s="21" t="n"/>
      <c r="FQT14" s="21" t="n"/>
      <c r="FQU14" s="21" t="n"/>
      <c r="FQV14" s="21" t="n"/>
      <c r="FQW14" s="21" t="n"/>
      <c r="FQX14" s="21" t="n"/>
      <c r="FQY14" s="21" t="n"/>
      <c r="FQZ14" s="21" t="n"/>
      <c r="FRA14" s="21" t="n"/>
      <c r="FRB14" s="21" t="n"/>
      <c r="FRC14" s="21" t="n"/>
      <c r="FRD14" s="21" t="n"/>
      <c r="FRE14" s="21" t="n"/>
      <c r="FRF14" s="21" t="n"/>
      <c r="FRG14" s="21" t="n"/>
      <c r="FRH14" s="21" t="n"/>
      <c r="FRI14" s="21" t="n"/>
      <c r="FRJ14" s="21" t="n"/>
      <c r="FRK14" s="21" t="n"/>
      <c r="FRL14" s="21" t="n"/>
      <c r="FRM14" s="21" t="n"/>
      <c r="FRN14" s="21" t="n"/>
      <c r="FRO14" s="21" t="n"/>
      <c r="FRP14" s="21" t="n"/>
      <c r="FRQ14" s="21" t="n"/>
      <c r="FRR14" s="21" t="n"/>
      <c r="FRS14" s="21" t="n"/>
      <c r="FRT14" s="21" t="n"/>
      <c r="FRU14" s="21" t="n"/>
      <c r="FRV14" s="21" t="n"/>
      <c r="FRW14" s="21" t="n"/>
      <c r="FRX14" s="21" t="n"/>
      <c r="FRY14" s="21" t="n"/>
      <c r="FRZ14" s="21" t="n"/>
      <c r="FSA14" s="21" t="n"/>
      <c r="FSB14" s="21" t="n"/>
      <c r="FSC14" s="21" t="n"/>
      <c r="FSD14" s="21" t="n"/>
      <c r="FSE14" s="21" t="n"/>
      <c r="FSF14" s="21" t="n"/>
      <c r="FSG14" s="21" t="n"/>
      <c r="FSH14" s="21" t="n"/>
      <c r="FSI14" s="21" t="n"/>
      <c r="FSJ14" s="21" t="n"/>
      <c r="FSK14" s="21" t="n"/>
      <c r="FSL14" s="21" t="n"/>
      <c r="FSM14" s="21" t="n"/>
      <c r="FSN14" s="21" t="n"/>
      <c r="FSO14" s="21" t="n"/>
      <c r="FSP14" s="21" t="n"/>
      <c r="FSQ14" s="21" t="n"/>
      <c r="FSR14" s="21" t="n"/>
      <c r="FSS14" s="21" t="n"/>
      <c r="FST14" s="21" t="n"/>
      <c r="FSU14" s="21" t="n"/>
      <c r="FSV14" s="21" t="n"/>
      <c r="FSW14" s="21" t="n"/>
      <c r="FSX14" s="21" t="n"/>
      <c r="FSY14" s="21" t="n"/>
      <c r="FSZ14" s="21" t="n"/>
      <c r="FTA14" s="21" t="n"/>
      <c r="FTB14" s="21" t="n"/>
      <c r="FTC14" s="21" t="n"/>
      <c r="FTD14" s="21" t="n"/>
      <c r="FTE14" s="21" t="n"/>
      <c r="FTF14" s="21" t="n"/>
      <c r="FTG14" s="21" t="n"/>
      <c r="FTH14" s="21" t="n"/>
      <c r="FTI14" s="21" t="n"/>
      <c r="FTJ14" s="21" t="n"/>
      <c r="FTK14" s="21" t="n"/>
      <c r="FTL14" s="21" t="n"/>
      <c r="FTM14" s="21" t="n"/>
      <c r="FTN14" s="21" t="n"/>
      <c r="FTO14" s="21" t="n"/>
      <c r="FTP14" s="21" t="n"/>
      <c r="FTQ14" s="21" t="n"/>
      <c r="FTR14" s="21" t="n"/>
      <c r="FTS14" s="21" t="n"/>
      <c r="FTT14" s="21" t="n"/>
      <c r="FTU14" s="21" t="n"/>
      <c r="FTV14" s="21" t="n"/>
      <c r="FTW14" s="21" t="n"/>
      <c r="FTX14" s="21" t="n"/>
      <c r="FTY14" s="21" t="n"/>
      <c r="FTZ14" s="21" t="n"/>
      <c r="FUA14" s="21" t="n"/>
      <c r="FUB14" s="21" t="n"/>
      <c r="FUC14" s="21" t="n"/>
      <c r="FUD14" s="21" t="n"/>
      <c r="FUE14" s="21" t="n"/>
      <c r="FUF14" s="21" t="n"/>
      <c r="FUG14" s="21" t="n"/>
      <c r="FUH14" s="21" t="n"/>
      <c r="FUI14" s="21" t="n"/>
      <c r="FUJ14" s="21" t="n"/>
      <c r="FUK14" s="21" t="n"/>
      <c r="FUL14" s="21" t="n"/>
      <c r="FUM14" s="21" t="n"/>
      <c r="FUN14" s="21" t="n"/>
      <c r="FUO14" s="21" t="n"/>
      <c r="FUP14" s="21" t="n"/>
      <c r="FUQ14" s="21" t="n"/>
      <c r="FUR14" s="21" t="n"/>
      <c r="FUS14" s="21" t="n"/>
      <c r="FUT14" s="21" t="n"/>
      <c r="FUU14" s="21" t="n"/>
      <c r="FUV14" s="21" t="n"/>
      <c r="FUW14" s="21" t="n"/>
      <c r="FUX14" s="21" t="n"/>
      <c r="FUY14" s="21" t="n"/>
      <c r="FUZ14" s="21" t="n"/>
      <c r="FVA14" s="21" t="n"/>
      <c r="FVB14" s="21" t="n"/>
      <c r="FVC14" s="21" t="n"/>
      <c r="FVD14" s="21" t="n"/>
      <c r="FVE14" s="21" t="n"/>
      <c r="FVF14" s="21" t="n"/>
      <c r="FVG14" s="21" t="n"/>
      <c r="FVH14" s="21" t="n"/>
      <c r="FVI14" s="21" t="n"/>
      <c r="FVJ14" s="21" t="n"/>
      <c r="FVK14" s="21" t="n"/>
      <c r="FVL14" s="21" t="n"/>
      <c r="FVM14" s="21" t="n"/>
      <c r="FVN14" s="21" t="n"/>
      <c r="FVO14" s="21" t="n"/>
      <c r="FVP14" s="21" t="n"/>
      <c r="FVQ14" s="21" t="n"/>
      <c r="FVR14" s="21" t="n"/>
      <c r="FVS14" s="21" t="n"/>
      <c r="FVT14" s="21" t="n"/>
      <c r="FVU14" s="21" t="n"/>
      <c r="FVV14" s="21" t="n"/>
      <c r="FVW14" s="21" t="n"/>
      <c r="FVX14" s="21" t="n"/>
      <c r="FVY14" s="21" t="n"/>
      <c r="FVZ14" s="21" t="n"/>
      <c r="FWA14" s="21" t="n"/>
      <c r="FWB14" s="21" t="n"/>
      <c r="FWC14" s="21" t="n"/>
      <c r="FWD14" s="21" t="n"/>
      <c r="FWE14" s="21" t="n"/>
      <c r="FWF14" s="21" t="n"/>
      <c r="FWG14" s="21" t="n"/>
      <c r="FWH14" s="21" t="n"/>
      <c r="FWI14" s="21" t="n"/>
      <c r="FWJ14" s="21" t="n"/>
      <c r="FWK14" s="21" t="n"/>
      <c r="FWL14" s="21" t="n"/>
      <c r="FWM14" s="21" t="n"/>
      <c r="FWN14" s="21" t="n"/>
      <c r="FWO14" s="21" t="n"/>
      <c r="FWP14" s="21" t="n"/>
      <c r="FWQ14" s="21" t="n"/>
      <c r="FWR14" s="21" t="n"/>
      <c r="FWS14" s="21" t="n"/>
      <c r="FWT14" s="21" t="n"/>
      <c r="FWU14" s="21" t="n"/>
      <c r="FWV14" s="21" t="n"/>
      <c r="FWW14" s="21" t="n"/>
      <c r="FWX14" s="21" t="n"/>
      <c r="FWY14" s="21" t="n"/>
      <c r="FWZ14" s="21" t="n"/>
      <c r="FXA14" s="21" t="n"/>
      <c r="FXB14" s="21" t="n"/>
      <c r="FXC14" s="21" t="n"/>
      <c r="FXD14" s="21" t="n"/>
      <c r="FXE14" s="21" t="n"/>
      <c r="FXF14" s="21" t="n"/>
      <c r="FXG14" s="21" t="n"/>
      <c r="FXH14" s="21" t="n"/>
      <c r="FXI14" s="21" t="n"/>
      <c r="FXJ14" s="21" t="n"/>
      <c r="FXK14" s="21" t="n"/>
      <c r="FXL14" s="21" t="n"/>
      <c r="FXM14" s="21" t="n"/>
      <c r="FXN14" s="21" t="n"/>
      <c r="FXO14" s="21" t="n"/>
      <c r="FXP14" s="21" t="n"/>
      <c r="FXQ14" s="21" t="n"/>
      <c r="FXR14" s="21" t="n"/>
      <c r="FXS14" s="21" t="n"/>
      <c r="FXT14" s="21" t="n"/>
      <c r="FXU14" s="21" t="n"/>
      <c r="FXV14" s="21" t="n"/>
      <c r="FXW14" s="21" t="n"/>
      <c r="FXX14" s="21" t="n"/>
      <c r="FXY14" s="21" t="n"/>
      <c r="FXZ14" s="21" t="n"/>
      <c r="FYA14" s="21" t="n"/>
      <c r="FYB14" s="21" t="n"/>
      <c r="FYC14" s="21" t="n"/>
      <c r="FYD14" s="21" t="n"/>
      <c r="FYE14" s="21" t="n"/>
      <c r="FYF14" s="21" t="n"/>
      <c r="FYG14" s="21" t="n"/>
      <c r="FYH14" s="21" t="n"/>
      <c r="FYI14" s="21" t="n"/>
      <c r="FYJ14" s="21" t="n"/>
      <c r="FYK14" s="21" t="n"/>
      <c r="FYL14" s="21" t="n"/>
      <c r="FYM14" s="21" t="n"/>
      <c r="FYN14" s="21" t="n"/>
      <c r="FYO14" s="21" t="n"/>
      <c r="FYP14" s="21" t="n"/>
      <c r="FYQ14" s="21" t="n"/>
      <c r="FYR14" s="21" t="n"/>
      <c r="FYS14" s="21" t="n"/>
      <c r="FYT14" s="21" t="n"/>
      <c r="FYU14" s="21" t="n"/>
      <c r="FYV14" s="21" t="n"/>
      <c r="FYW14" s="21" t="n"/>
      <c r="FYX14" s="21" t="n"/>
      <c r="FYY14" s="21" t="n"/>
      <c r="FYZ14" s="21" t="n"/>
      <c r="FZA14" s="21" t="n"/>
      <c r="FZB14" s="21" t="n"/>
      <c r="FZC14" s="21" t="n"/>
      <c r="FZD14" s="21" t="n"/>
      <c r="FZE14" s="21" t="n"/>
      <c r="FZF14" s="21" t="n"/>
      <c r="FZG14" s="21" t="n"/>
      <c r="FZH14" s="21" t="n"/>
      <c r="FZI14" s="21" t="n"/>
      <c r="FZJ14" s="21" t="n"/>
      <c r="FZK14" s="21" t="n"/>
      <c r="FZL14" s="21" t="n"/>
      <c r="FZM14" s="21" t="n"/>
      <c r="FZN14" s="21" t="n"/>
      <c r="FZO14" s="21" t="n"/>
      <c r="FZP14" s="21" t="n"/>
      <c r="FZQ14" s="21" t="n"/>
      <c r="FZR14" s="21" t="n"/>
      <c r="FZS14" s="21" t="n"/>
      <c r="FZT14" s="21" t="n"/>
      <c r="FZU14" s="21" t="n"/>
      <c r="FZV14" s="21" t="n"/>
      <c r="FZW14" s="21" t="n"/>
      <c r="FZX14" s="21" t="n"/>
      <c r="FZY14" s="21" t="n"/>
      <c r="FZZ14" s="21" t="n"/>
      <c r="GAA14" s="21" t="n"/>
      <c r="GAB14" s="21" t="n"/>
      <c r="GAC14" s="21" t="n"/>
      <c r="GAD14" s="21" t="n"/>
      <c r="GAE14" s="21" t="n"/>
      <c r="GAF14" s="21" t="n"/>
      <c r="GAG14" s="21" t="n"/>
      <c r="GAH14" s="21" t="n"/>
      <c r="GAI14" s="21" t="n"/>
      <c r="GAJ14" s="21" t="n"/>
      <c r="GAK14" s="21" t="n"/>
      <c r="GAL14" s="21" t="n"/>
      <c r="GAM14" s="21" t="n"/>
      <c r="GAN14" s="21" t="n"/>
      <c r="GAO14" s="21" t="n"/>
      <c r="GAP14" s="21" t="n"/>
      <c r="GAQ14" s="21" t="n"/>
      <c r="GAR14" s="21" t="n"/>
      <c r="GAS14" s="21" t="n"/>
      <c r="GAT14" s="21" t="n"/>
      <c r="GAU14" s="21" t="n"/>
      <c r="GAV14" s="21" t="n"/>
      <c r="GAW14" s="21" t="n"/>
      <c r="GAX14" s="21" t="n"/>
      <c r="GAY14" s="21" t="n"/>
      <c r="GAZ14" s="21" t="n"/>
      <c r="GBA14" s="21" t="n"/>
      <c r="GBB14" s="21" t="n"/>
      <c r="GBC14" s="21" t="n"/>
      <c r="GBD14" s="21" t="n"/>
      <c r="GBE14" s="21" t="n"/>
      <c r="GBF14" s="21" t="n"/>
      <c r="GBG14" s="21" t="n"/>
      <c r="GBH14" s="21" t="n"/>
      <c r="GBI14" s="21" t="n"/>
      <c r="GBJ14" s="21" t="n"/>
      <c r="GBK14" s="21" t="n"/>
      <c r="GBL14" s="21" t="n"/>
      <c r="GBM14" s="21" t="n"/>
      <c r="GBN14" s="21" t="n"/>
      <c r="GBO14" s="21" t="n"/>
      <c r="GBP14" s="21" t="n"/>
      <c r="GBQ14" s="21" t="n"/>
      <c r="GBR14" s="21" t="n"/>
      <c r="GBS14" s="21" t="n"/>
      <c r="GBT14" s="21" t="n"/>
      <c r="GBU14" s="21" t="n"/>
      <c r="GBV14" s="21" t="n"/>
      <c r="GBW14" s="21" t="n"/>
      <c r="GBX14" s="21" t="n"/>
      <c r="GBY14" s="21" t="n"/>
      <c r="GBZ14" s="21" t="n"/>
      <c r="GCA14" s="21" t="n"/>
      <c r="GCB14" s="21" t="n"/>
      <c r="GCC14" s="21" t="n"/>
      <c r="GCD14" s="21" t="n"/>
      <c r="GCE14" s="21" t="n"/>
      <c r="GCF14" s="21" t="n"/>
      <c r="GCG14" s="21" t="n"/>
      <c r="GCH14" s="21" t="n"/>
      <c r="GCI14" s="21" t="n"/>
      <c r="GCJ14" s="21" t="n"/>
      <c r="GCK14" s="21" t="n"/>
      <c r="GCL14" s="21" t="n"/>
      <c r="GCM14" s="21" t="n"/>
      <c r="GCN14" s="21" t="n"/>
      <c r="GCO14" s="21" t="n"/>
      <c r="GCP14" s="21" t="n"/>
      <c r="GCQ14" s="21" t="n"/>
      <c r="GCR14" s="21" t="n"/>
      <c r="GCS14" s="21" t="n"/>
      <c r="GCT14" s="21" t="n"/>
      <c r="GCU14" s="21" t="n"/>
      <c r="GCV14" s="21" t="n"/>
      <c r="GCW14" s="21" t="n"/>
      <c r="GCX14" s="21" t="n"/>
      <c r="GCY14" s="21" t="n"/>
      <c r="GCZ14" s="21" t="n"/>
      <c r="GDA14" s="21" t="n"/>
      <c r="GDB14" s="21" t="n"/>
      <c r="GDC14" s="21" t="n"/>
      <c r="GDD14" s="21" t="n"/>
      <c r="GDE14" s="21" t="n"/>
      <c r="GDF14" s="21" t="n"/>
      <c r="GDG14" s="21" t="n"/>
      <c r="GDH14" s="21" t="n"/>
      <c r="GDI14" s="21" t="n"/>
      <c r="GDJ14" s="21" t="n"/>
      <c r="GDK14" s="21" t="n"/>
      <c r="GDL14" s="21" t="n"/>
      <c r="GDM14" s="21" t="n"/>
      <c r="GDN14" s="21" t="n"/>
      <c r="GDO14" s="21" t="n"/>
      <c r="GDP14" s="21" t="n"/>
      <c r="GDQ14" s="21" t="n"/>
      <c r="GDR14" s="21" t="n"/>
      <c r="GDS14" s="21" t="n"/>
      <c r="GDT14" s="21" t="n"/>
      <c r="GDU14" s="21" t="n"/>
      <c r="GDV14" s="21" t="n"/>
      <c r="GDW14" s="21" t="n"/>
      <c r="GDX14" s="21" t="n"/>
      <c r="GDY14" s="21" t="n"/>
      <c r="GDZ14" s="21" t="n"/>
      <c r="GEA14" s="21" t="n"/>
      <c r="GEB14" s="21" t="n"/>
      <c r="GEC14" s="21" t="n"/>
      <c r="GED14" s="21" t="n"/>
      <c r="GEE14" s="21" t="n"/>
      <c r="GEF14" s="21" t="n"/>
      <c r="GEG14" s="21" t="n"/>
      <c r="GEH14" s="21" t="n"/>
      <c r="GEI14" s="21" t="n"/>
      <c r="GEJ14" s="21" t="n"/>
      <c r="GEK14" s="21" t="n"/>
      <c r="GEL14" s="21" t="n"/>
      <c r="GEM14" s="21" t="n"/>
      <c r="GEN14" s="21" t="n"/>
      <c r="GEO14" s="21" t="n"/>
      <c r="GEP14" s="21" t="n"/>
      <c r="GEQ14" s="21" t="n"/>
      <c r="GER14" s="21" t="n"/>
      <c r="GES14" s="21" t="n"/>
      <c r="GET14" s="21" t="n"/>
      <c r="GEU14" s="21" t="n"/>
      <c r="GEV14" s="21" t="n"/>
      <c r="GEW14" s="21" t="n"/>
      <c r="GEX14" s="21" t="n"/>
      <c r="GEY14" s="21" t="n"/>
      <c r="GEZ14" s="21" t="n"/>
      <c r="GFA14" s="21" t="n"/>
      <c r="GFB14" s="21" t="n"/>
      <c r="GFC14" s="21" t="n"/>
      <c r="GFD14" s="21" t="n"/>
      <c r="GFE14" s="21" t="n"/>
      <c r="GFF14" s="21" t="n"/>
      <c r="GFG14" s="21" t="n"/>
      <c r="GFH14" s="21" t="n"/>
      <c r="GFI14" s="21" t="n"/>
      <c r="GFJ14" s="21" t="n"/>
      <c r="GFK14" s="21" t="n"/>
      <c r="GFL14" s="21" t="n"/>
      <c r="GFM14" s="21" t="n"/>
      <c r="GFN14" s="21" t="n"/>
      <c r="GFO14" s="21" t="n"/>
      <c r="GFP14" s="21" t="n"/>
      <c r="GFQ14" s="21" t="n"/>
      <c r="GFR14" s="21" t="n"/>
      <c r="GFS14" s="21" t="n"/>
      <c r="GFT14" s="21" t="n"/>
      <c r="GFU14" s="21" t="n"/>
      <c r="GFV14" s="21" t="n"/>
      <c r="GFW14" s="21" t="n"/>
      <c r="GFX14" s="21" t="n"/>
      <c r="GFY14" s="21" t="n"/>
      <c r="GFZ14" s="21" t="n"/>
      <c r="GGA14" s="21" t="n"/>
      <c r="GGB14" s="21" t="n"/>
      <c r="GGC14" s="21" t="n"/>
      <c r="GGD14" s="21" t="n"/>
      <c r="GGE14" s="21" t="n"/>
      <c r="GGF14" s="21" t="n"/>
      <c r="GGG14" s="21" t="n"/>
      <c r="GGH14" s="21" t="n"/>
      <c r="GGI14" s="21" t="n"/>
      <c r="GGJ14" s="21" t="n"/>
      <c r="GGK14" s="21" t="n"/>
      <c r="GGL14" s="21" t="n"/>
      <c r="GGM14" s="21" t="n"/>
      <c r="GGN14" s="21" t="n"/>
      <c r="GGO14" s="21" t="n"/>
      <c r="GGP14" s="21" t="n"/>
      <c r="GGQ14" s="21" t="n"/>
      <c r="GGR14" s="21" t="n"/>
      <c r="GGS14" s="21" t="n"/>
      <c r="GGT14" s="21" t="n"/>
      <c r="GGU14" s="21" t="n"/>
      <c r="GGV14" s="21" t="n"/>
      <c r="GGW14" s="21" t="n"/>
      <c r="GGX14" s="21" t="n"/>
      <c r="GGY14" s="21" t="n"/>
      <c r="GGZ14" s="21" t="n"/>
      <c r="GHA14" s="21" t="n"/>
      <c r="GHB14" s="21" t="n"/>
      <c r="GHC14" s="21" t="n"/>
      <c r="GHD14" s="21" t="n"/>
      <c r="GHE14" s="21" t="n"/>
      <c r="GHF14" s="21" t="n"/>
      <c r="GHG14" s="21" t="n"/>
      <c r="GHH14" s="21" t="n"/>
      <c r="GHI14" s="21" t="n"/>
      <c r="GHJ14" s="21" t="n"/>
      <c r="GHK14" s="21" t="n"/>
      <c r="GHL14" s="21" t="n"/>
      <c r="GHM14" s="21" t="n"/>
      <c r="GHN14" s="21" t="n"/>
      <c r="GHO14" s="21" t="n"/>
      <c r="GHP14" s="21" t="n"/>
      <c r="GHQ14" s="21" t="n"/>
      <c r="GHR14" s="21" t="n"/>
      <c r="GHS14" s="21" t="n"/>
      <c r="GHT14" s="21" t="n"/>
      <c r="GHU14" s="21" t="n"/>
      <c r="GHV14" s="21" t="n"/>
      <c r="GHW14" s="21" t="n"/>
      <c r="GHX14" s="21" t="n"/>
      <c r="GHY14" s="21" t="n"/>
      <c r="GHZ14" s="21" t="n"/>
      <c r="GIA14" s="21" t="n"/>
      <c r="GIB14" s="21" t="n"/>
      <c r="GIC14" s="21" t="n"/>
      <c r="GID14" s="21" t="n"/>
      <c r="GIE14" s="21" t="n"/>
      <c r="GIF14" s="21" t="n"/>
      <c r="GIG14" s="21" t="n"/>
      <c r="GIH14" s="21" t="n"/>
      <c r="GII14" s="21" t="n"/>
      <c r="GIJ14" s="21" t="n"/>
      <c r="GIK14" s="21" t="n"/>
      <c r="GIL14" s="21" t="n"/>
      <c r="GIM14" s="21" t="n"/>
      <c r="GIN14" s="21" t="n"/>
      <c r="GIO14" s="21" t="n"/>
      <c r="GIP14" s="21" t="n"/>
      <c r="GIQ14" s="21" t="n"/>
      <c r="GIR14" s="21" t="n"/>
      <c r="GIS14" s="21" t="n"/>
      <c r="GIT14" s="21" t="n"/>
      <c r="GIU14" s="21" t="n"/>
      <c r="GIV14" s="21" t="n"/>
      <c r="GIW14" s="21" t="n"/>
      <c r="GIX14" s="21" t="n"/>
      <c r="GIY14" s="21" t="n"/>
      <c r="GIZ14" s="21" t="n"/>
      <c r="GJA14" s="21" t="n"/>
      <c r="GJB14" s="21" t="n"/>
      <c r="GJC14" s="21" t="n"/>
      <c r="GJD14" s="21" t="n"/>
      <c r="GJE14" s="21" t="n"/>
      <c r="GJF14" s="21" t="n"/>
      <c r="GJG14" s="21" t="n"/>
      <c r="GJH14" s="21" t="n"/>
      <c r="GJI14" s="21" t="n"/>
      <c r="GJJ14" s="21" t="n"/>
      <c r="GJK14" s="21" t="n"/>
      <c r="GJL14" s="21" t="n"/>
      <c r="GJM14" s="21" t="n"/>
      <c r="GJN14" s="21" t="n"/>
      <c r="GJO14" s="21" t="n"/>
      <c r="GJP14" s="21" t="n"/>
      <c r="GJQ14" s="21" t="n"/>
      <c r="GJR14" s="21" t="n"/>
      <c r="GJS14" s="21" t="n"/>
      <c r="GJT14" s="21" t="n"/>
      <c r="GJU14" s="21" t="n"/>
      <c r="GJV14" s="21" t="n"/>
      <c r="GJW14" s="21" t="n"/>
      <c r="GJX14" s="21" t="n"/>
      <c r="GJY14" s="21" t="n"/>
      <c r="GJZ14" s="21" t="n"/>
      <c r="GKA14" s="21" t="n"/>
      <c r="GKB14" s="21" t="n"/>
      <c r="GKC14" s="21" t="n"/>
      <c r="GKD14" s="21" t="n"/>
      <c r="GKE14" s="21" t="n"/>
      <c r="GKF14" s="21" t="n"/>
      <c r="GKG14" s="21" t="n"/>
      <c r="GKH14" s="21" t="n"/>
      <c r="GKI14" s="21" t="n"/>
      <c r="GKJ14" s="21" t="n"/>
      <c r="GKK14" s="21" t="n"/>
      <c r="GKL14" s="21" t="n"/>
      <c r="GKM14" s="21" t="n"/>
      <c r="GKN14" s="21" t="n"/>
      <c r="GKO14" s="21" t="n"/>
      <c r="GKP14" s="21" t="n"/>
      <c r="GKQ14" s="21" t="n"/>
      <c r="GKR14" s="21" t="n"/>
      <c r="GKS14" s="21" t="n"/>
      <c r="GKT14" s="21" t="n"/>
      <c r="GKU14" s="21" t="n"/>
      <c r="GKV14" s="21" t="n"/>
      <c r="GKW14" s="21" t="n"/>
      <c r="GKX14" s="21" t="n"/>
      <c r="GKY14" s="21" t="n"/>
      <c r="GKZ14" s="21" t="n"/>
      <c r="GLA14" s="21" t="n"/>
      <c r="GLB14" s="21" t="n"/>
      <c r="GLC14" s="21" t="n"/>
      <c r="GLD14" s="21" t="n"/>
      <c r="GLE14" s="21" t="n"/>
      <c r="GLF14" s="21" t="n"/>
      <c r="GLG14" s="21" t="n"/>
      <c r="GLH14" s="21" t="n"/>
      <c r="GLI14" s="21" t="n"/>
      <c r="GLJ14" s="21" t="n"/>
      <c r="GLK14" s="21" t="n"/>
      <c r="GLL14" s="21" t="n"/>
      <c r="GLM14" s="21" t="n"/>
      <c r="GLN14" s="21" t="n"/>
      <c r="GLO14" s="21" t="n"/>
      <c r="GLP14" s="21" t="n"/>
      <c r="GLQ14" s="21" t="n"/>
      <c r="GLR14" s="21" t="n"/>
      <c r="GLS14" s="21" t="n"/>
      <c r="GLT14" s="21" t="n"/>
      <c r="GLU14" s="21" t="n"/>
      <c r="GLV14" s="21" t="n"/>
      <c r="GLW14" s="21" t="n"/>
      <c r="GLX14" s="21" t="n"/>
      <c r="GLY14" s="21" t="n"/>
      <c r="GLZ14" s="21" t="n"/>
      <c r="GMA14" s="21" t="n"/>
      <c r="GMB14" s="21" t="n"/>
      <c r="GMC14" s="21" t="n"/>
      <c r="GMD14" s="21" t="n"/>
      <c r="GME14" s="21" t="n"/>
      <c r="GMF14" s="21" t="n"/>
      <c r="GMG14" s="21" t="n"/>
      <c r="GMH14" s="21" t="n"/>
      <c r="GMI14" s="21" t="n"/>
      <c r="GMJ14" s="21" t="n"/>
      <c r="GMK14" s="21" t="n"/>
      <c r="GML14" s="21" t="n"/>
      <c r="GMM14" s="21" t="n"/>
      <c r="GMN14" s="21" t="n"/>
      <c r="GMO14" s="21" t="n"/>
      <c r="GMP14" s="21" t="n"/>
      <c r="GMQ14" s="21" t="n"/>
      <c r="GMR14" s="21" t="n"/>
      <c r="GMS14" s="21" t="n"/>
      <c r="GMT14" s="21" t="n"/>
      <c r="GMU14" s="21" t="n"/>
      <c r="GMV14" s="21" t="n"/>
      <c r="GMW14" s="21" t="n"/>
      <c r="GMX14" s="21" t="n"/>
      <c r="GMY14" s="21" t="n"/>
      <c r="GMZ14" s="21" t="n"/>
      <c r="GNA14" s="21" t="n"/>
      <c r="GNB14" s="21" t="n"/>
      <c r="GNC14" s="21" t="n"/>
      <c r="GND14" s="21" t="n"/>
      <c r="GNE14" s="21" t="n"/>
      <c r="GNF14" s="21" t="n"/>
      <c r="GNG14" s="21" t="n"/>
      <c r="GNH14" s="21" t="n"/>
      <c r="GNI14" s="21" t="n"/>
      <c r="GNJ14" s="21" t="n"/>
      <c r="GNK14" s="21" t="n"/>
      <c r="GNL14" s="21" t="n"/>
      <c r="GNM14" s="21" t="n"/>
      <c r="GNN14" s="21" t="n"/>
      <c r="GNO14" s="21" t="n"/>
      <c r="GNP14" s="21" t="n"/>
      <c r="GNQ14" s="21" t="n"/>
      <c r="GNR14" s="21" t="n"/>
      <c r="GNS14" s="21" t="n"/>
      <c r="GNT14" s="21" t="n"/>
      <c r="GNU14" s="21" t="n"/>
      <c r="GNV14" s="21" t="n"/>
      <c r="GNW14" s="21" t="n"/>
      <c r="GNX14" s="21" t="n"/>
      <c r="GNY14" s="21" t="n"/>
      <c r="GNZ14" s="21" t="n"/>
      <c r="GOA14" s="21" t="n"/>
      <c r="GOB14" s="21" t="n"/>
      <c r="GOC14" s="21" t="n"/>
      <c r="GOD14" s="21" t="n"/>
      <c r="GOE14" s="21" t="n"/>
      <c r="GOF14" s="21" t="n"/>
      <c r="GOG14" s="21" t="n"/>
      <c r="GOH14" s="21" t="n"/>
      <c r="GOI14" s="21" t="n"/>
      <c r="GOJ14" s="21" t="n"/>
      <c r="GOK14" s="21" t="n"/>
      <c r="GOL14" s="21" t="n"/>
      <c r="GOM14" s="21" t="n"/>
      <c r="GON14" s="21" t="n"/>
      <c r="GOO14" s="21" t="n"/>
      <c r="GOP14" s="21" t="n"/>
      <c r="GOQ14" s="21" t="n"/>
      <c r="GOR14" s="21" t="n"/>
      <c r="GOS14" s="21" t="n"/>
      <c r="GOT14" s="21" t="n"/>
      <c r="GOU14" s="21" t="n"/>
      <c r="GOV14" s="21" t="n"/>
      <c r="GOW14" s="21" t="n"/>
      <c r="GOX14" s="21" t="n"/>
      <c r="GOY14" s="21" t="n"/>
      <c r="GOZ14" s="21" t="n"/>
      <c r="GPA14" s="21" t="n"/>
      <c r="GPB14" s="21" t="n"/>
      <c r="GPC14" s="21" t="n"/>
      <c r="GPD14" s="21" t="n"/>
      <c r="GPE14" s="21" t="n"/>
      <c r="GPF14" s="21" t="n"/>
      <c r="GPG14" s="21" t="n"/>
      <c r="GPH14" s="21" t="n"/>
      <c r="GPI14" s="21" t="n"/>
      <c r="GPJ14" s="21" t="n"/>
      <c r="GPK14" s="21" t="n"/>
      <c r="GPL14" s="21" t="n"/>
      <c r="GPM14" s="21" t="n"/>
      <c r="GPN14" s="21" t="n"/>
      <c r="GPO14" s="21" t="n"/>
      <c r="GPP14" s="21" t="n"/>
      <c r="GPQ14" s="21" t="n"/>
      <c r="GPR14" s="21" t="n"/>
      <c r="GPS14" s="21" t="n"/>
      <c r="GPT14" s="21" t="n"/>
      <c r="GPU14" s="21" t="n"/>
      <c r="GPV14" s="21" t="n"/>
      <c r="GPW14" s="21" t="n"/>
      <c r="GPX14" s="21" t="n"/>
      <c r="GPY14" s="21" t="n"/>
      <c r="GPZ14" s="21" t="n"/>
      <c r="GQA14" s="21" t="n"/>
      <c r="GQB14" s="21" t="n"/>
      <c r="GQC14" s="21" t="n"/>
      <c r="GQD14" s="21" t="n"/>
      <c r="GQE14" s="21" t="n"/>
      <c r="GQF14" s="21" t="n"/>
      <c r="GQG14" s="21" t="n"/>
      <c r="GQH14" s="21" t="n"/>
      <c r="GQI14" s="21" t="n"/>
      <c r="GQJ14" s="21" t="n"/>
      <c r="GQK14" s="21" t="n"/>
      <c r="GQL14" s="21" t="n"/>
      <c r="GQM14" s="21" t="n"/>
      <c r="GQN14" s="21" t="n"/>
      <c r="GQO14" s="21" t="n"/>
      <c r="GQP14" s="21" t="n"/>
      <c r="GQQ14" s="21" t="n"/>
      <c r="GQR14" s="21" t="n"/>
      <c r="GQS14" s="21" t="n"/>
      <c r="GQT14" s="21" t="n"/>
      <c r="GQU14" s="21" t="n"/>
      <c r="GQV14" s="21" t="n"/>
      <c r="GQW14" s="21" t="n"/>
      <c r="GQX14" s="21" t="n"/>
      <c r="GQY14" s="21" t="n"/>
      <c r="GQZ14" s="21" t="n"/>
      <c r="GRA14" s="21" t="n"/>
      <c r="GRB14" s="21" t="n"/>
      <c r="GRC14" s="21" t="n"/>
      <c r="GRD14" s="21" t="n"/>
      <c r="GRE14" s="21" t="n"/>
      <c r="GRF14" s="21" t="n"/>
      <c r="GRG14" s="21" t="n"/>
      <c r="GRH14" s="21" t="n"/>
      <c r="GRI14" s="21" t="n"/>
      <c r="GRJ14" s="21" t="n"/>
      <c r="GRK14" s="21" t="n"/>
      <c r="GRL14" s="21" t="n"/>
      <c r="GRM14" s="21" t="n"/>
      <c r="GRN14" s="21" t="n"/>
      <c r="GRO14" s="21" t="n"/>
      <c r="GRP14" s="21" t="n"/>
      <c r="GRQ14" s="21" t="n"/>
      <c r="GRR14" s="21" t="n"/>
      <c r="GRS14" s="21" t="n"/>
      <c r="GRT14" s="21" t="n"/>
      <c r="GRU14" s="21" t="n"/>
      <c r="GRV14" s="21" t="n"/>
      <c r="GRW14" s="21" t="n"/>
      <c r="GRX14" s="21" t="n"/>
      <c r="GRY14" s="21" t="n"/>
      <c r="GRZ14" s="21" t="n"/>
      <c r="GSA14" s="21" t="n"/>
      <c r="GSB14" s="21" t="n"/>
      <c r="GSC14" s="21" t="n"/>
      <c r="GSD14" s="21" t="n"/>
      <c r="GSE14" s="21" t="n"/>
      <c r="GSF14" s="21" t="n"/>
      <c r="GSG14" s="21" t="n"/>
      <c r="GSH14" s="21" t="n"/>
      <c r="GSI14" s="21" t="n"/>
      <c r="GSJ14" s="21" t="n"/>
      <c r="GSK14" s="21" t="n"/>
      <c r="GSL14" s="21" t="n"/>
      <c r="GSM14" s="21" t="n"/>
      <c r="GSN14" s="21" t="n"/>
      <c r="GSO14" s="21" t="n"/>
      <c r="GSP14" s="21" t="n"/>
      <c r="GSQ14" s="21" t="n"/>
      <c r="GSR14" s="21" t="n"/>
      <c r="GSS14" s="21" t="n"/>
      <c r="GST14" s="21" t="n"/>
      <c r="GSU14" s="21" t="n"/>
      <c r="GSV14" s="21" t="n"/>
      <c r="GSW14" s="21" t="n"/>
      <c r="GSX14" s="21" t="n"/>
      <c r="GSY14" s="21" t="n"/>
      <c r="GSZ14" s="21" t="n"/>
      <c r="GTA14" s="21" t="n"/>
      <c r="GTB14" s="21" t="n"/>
      <c r="GTC14" s="21" t="n"/>
      <c r="GTD14" s="21" t="n"/>
      <c r="GTE14" s="21" t="n"/>
      <c r="GTF14" s="21" t="n"/>
      <c r="GTG14" s="21" t="n"/>
      <c r="GTH14" s="21" t="n"/>
      <c r="GTI14" s="21" t="n"/>
      <c r="GTJ14" s="21" t="n"/>
      <c r="GTK14" s="21" t="n"/>
      <c r="GTL14" s="21" t="n"/>
      <c r="GTM14" s="21" t="n"/>
      <c r="GTN14" s="21" t="n"/>
      <c r="GTO14" s="21" t="n"/>
      <c r="GTP14" s="21" t="n"/>
      <c r="GTQ14" s="21" t="n"/>
      <c r="GTR14" s="21" t="n"/>
      <c r="GTS14" s="21" t="n"/>
      <c r="GTT14" s="21" t="n"/>
      <c r="GTU14" s="21" t="n"/>
      <c r="GTV14" s="21" t="n"/>
      <c r="GTW14" s="21" t="n"/>
      <c r="GTX14" s="21" t="n"/>
      <c r="GTY14" s="21" t="n"/>
      <c r="GTZ14" s="21" t="n"/>
      <c r="GUA14" s="21" t="n"/>
      <c r="GUB14" s="21" t="n"/>
      <c r="GUC14" s="21" t="n"/>
      <c r="GUD14" s="21" t="n"/>
      <c r="GUE14" s="21" t="n"/>
      <c r="GUF14" s="21" t="n"/>
      <c r="GUG14" s="21" t="n"/>
      <c r="GUH14" s="21" t="n"/>
      <c r="GUI14" s="21" t="n"/>
      <c r="GUJ14" s="21" t="n"/>
      <c r="GUK14" s="21" t="n"/>
      <c r="GUL14" s="21" t="n"/>
      <c r="GUM14" s="21" t="n"/>
      <c r="GUN14" s="21" t="n"/>
      <c r="GUO14" s="21" t="n"/>
      <c r="GUP14" s="21" t="n"/>
      <c r="GUQ14" s="21" t="n"/>
      <c r="GUR14" s="21" t="n"/>
      <c r="GUS14" s="21" t="n"/>
      <c r="GUT14" s="21" t="n"/>
      <c r="GUU14" s="21" t="n"/>
      <c r="GUV14" s="21" t="n"/>
      <c r="GUW14" s="21" t="n"/>
      <c r="GUX14" s="21" t="n"/>
      <c r="GUY14" s="21" t="n"/>
      <c r="GUZ14" s="21" t="n"/>
      <c r="GVA14" s="21" t="n"/>
      <c r="GVB14" s="21" t="n"/>
      <c r="GVC14" s="21" t="n"/>
      <c r="GVD14" s="21" t="n"/>
      <c r="GVE14" s="21" t="n"/>
      <c r="GVF14" s="21" t="n"/>
      <c r="GVG14" s="21" t="n"/>
      <c r="GVH14" s="21" t="n"/>
      <c r="GVI14" s="21" t="n"/>
      <c r="GVJ14" s="21" t="n"/>
      <c r="GVK14" s="21" t="n"/>
      <c r="GVL14" s="21" t="n"/>
      <c r="GVM14" s="21" t="n"/>
      <c r="GVN14" s="21" t="n"/>
      <c r="GVO14" s="21" t="n"/>
      <c r="GVP14" s="21" t="n"/>
      <c r="GVQ14" s="21" t="n"/>
      <c r="GVR14" s="21" t="n"/>
      <c r="GVS14" s="21" t="n"/>
      <c r="GVT14" s="21" t="n"/>
      <c r="GVU14" s="21" t="n"/>
      <c r="GVV14" s="21" t="n"/>
      <c r="GVW14" s="21" t="n"/>
      <c r="GVX14" s="21" t="n"/>
      <c r="GVY14" s="21" t="n"/>
      <c r="GVZ14" s="21" t="n"/>
      <c r="GWA14" s="21" t="n"/>
      <c r="GWB14" s="21" t="n"/>
      <c r="GWC14" s="21" t="n"/>
      <c r="GWD14" s="21" t="n"/>
      <c r="GWE14" s="21" t="n"/>
      <c r="GWF14" s="21" t="n"/>
      <c r="GWG14" s="21" t="n"/>
      <c r="GWH14" s="21" t="n"/>
      <c r="GWI14" s="21" t="n"/>
      <c r="GWJ14" s="21" t="n"/>
      <c r="GWK14" s="21" t="n"/>
      <c r="GWL14" s="21" t="n"/>
      <c r="GWM14" s="21" t="n"/>
      <c r="GWN14" s="21" t="n"/>
      <c r="GWO14" s="21" t="n"/>
      <c r="GWP14" s="21" t="n"/>
      <c r="GWQ14" s="21" t="n"/>
      <c r="GWR14" s="21" t="n"/>
      <c r="GWS14" s="21" t="n"/>
      <c r="GWT14" s="21" t="n"/>
      <c r="GWU14" s="21" t="n"/>
      <c r="GWV14" s="21" t="n"/>
      <c r="GWW14" s="21" t="n"/>
      <c r="GWX14" s="21" t="n"/>
      <c r="GWY14" s="21" t="n"/>
      <c r="GWZ14" s="21" t="n"/>
      <c r="GXA14" s="21" t="n"/>
      <c r="GXB14" s="21" t="n"/>
      <c r="GXC14" s="21" t="n"/>
      <c r="GXD14" s="21" t="n"/>
      <c r="GXE14" s="21" t="n"/>
      <c r="GXF14" s="21" t="n"/>
      <c r="GXG14" s="21" t="n"/>
      <c r="GXH14" s="21" t="n"/>
      <c r="GXI14" s="21" t="n"/>
      <c r="GXJ14" s="21" t="n"/>
      <c r="GXK14" s="21" t="n"/>
      <c r="GXL14" s="21" t="n"/>
      <c r="GXM14" s="21" t="n"/>
      <c r="GXN14" s="21" t="n"/>
      <c r="GXO14" s="21" t="n"/>
      <c r="GXP14" s="21" t="n"/>
      <c r="GXQ14" s="21" t="n"/>
      <c r="GXR14" s="21" t="n"/>
      <c r="GXS14" s="21" t="n"/>
      <c r="GXT14" s="21" t="n"/>
      <c r="GXU14" s="21" t="n"/>
      <c r="GXV14" s="21" t="n"/>
      <c r="GXW14" s="21" t="n"/>
      <c r="GXX14" s="21" t="n"/>
      <c r="GXY14" s="21" t="n"/>
      <c r="GXZ14" s="21" t="n"/>
      <c r="GYA14" s="21" t="n"/>
      <c r="GYB14" s="21" t="n"/>
      <c r="GYC14" s="21" t="n"/>
      <c r="GYD14" s="21" t="n"/>
      <c r="GYE14" s="21" t="n"/>
      <c r="GYF14" s="21" t="n"/>
      <c r="GYG14" s="21" t="n"/>
      <c r="GYH14" s="21" t="n"/>
      <c r="GYI14" s="21" t="n"/>
      <c r="GYJ14" s="21" t="n"/>
      <c r="GYK14" s="21" t="n"/>
      <c r="GYL14" s="21" t="n"/>
      <c r="GYM14" s="21" t="n"/>
      <c r="GYN14" s="21" t="n"/>
      <c r="GYO14" s="21" t="n"/>
      <c r="GYP14" s="21" t="n"/>
      <c r="GYQ14" s="21" t="n"/>
      <c r="GYR14" s="21" t="n"/>
      <c r="GYS14" s="21" t="n"/>
      <c r="GYT14" s="21" t="n"/>
      <c r="GYU14" s="21" t="n"/>
      <c r="GYV14" s="21" t="n"/>
      <c r="GYW14" s="21" t="n"/>
      <c r="GYX14" s="21" t="n"/>
      <c r="GYY14" s="21" t="n"/>
      <c r="GYZ14" s="21" t="n"/>
      <c r="GZA14" s="21" t="n"/>
      <c r="GZB14" s="21" t="n"/>
      <c r="GZC14" s="21" t="n"/>
      <c r="GZD14" s="21" t="n"/>
      <c r="GZE14" s="21" t="n"/>
      <c r="GZF14" s="21" t="n"/>
      <c r="GZG14" s="21" t="n"/>
      <c r="GZH14" s="21" t="n"/>
      <c r="GZI14" s="21" t="n"/>
      <c r="GZJ14" s="21" t="n"/>
      <c r="GZK14" s="21" t="n"/>
      <c r="GZL14" s="21" t="n"/>
      <c r="GZM14" s="21" t="n"/>
      <c r="GZN14" s="21" t="n"/>
      <c r="GZO14" s="21" t="n"/>
      <c r="GZP14" s="21" t="n"/>
      <c r="GZQ14" s="21" t="n"/>
      <c r="GZR14" s="21" t="n"/>
      <c r="GZS14" s="21" t="n"/>
      <c r="GZT14" s="21" t="n"/>
      <c r="GZU14" s="21" t="n"/>
      <c r="GZV14" s="21" t="n"/>
      <c r="GZW14" s="21" t="n"/>
      <c r="GZX14" s="21" t="n"/>
      <c r="GZY14" s="21" t="n"/>
      <c r="GZZ14" s="21" t="n"/>
      <c r="HAA14" s="21" t="n"/>
      <c r="HAB14" s="21" t="n"/>
      <c r="HAC14" s="21" t="n"/>
      <c r="HAD14" s="21" t="n"/>
      <c r="HAE14" s="21" t="n"/>
      <c r="HAF14" s="21" t="n"/>
      <c r="HAG14" s="21" t="n"/>
      <c r="HAH14" s="21" t="n"/>
      <c r="HAI14" s="21" t="n"/>
      <c r="HAJ14" s="21" t="n"/>
      <c r="HAK14" s="21" t="n"/>
      <c r="HAL14" s="21" t="n"/>
      <c r="HAM14" s="21" t="n"/>
      <c r="HAN14" s="21" t="n"/>
      <c r="HAO14" s="21" t="n"/>
      <c r="HAP14" s="21" t="n"/>
      <c r="HAQ14" s="21" t="n"/>
      <c r="HAR14" s="21" t="n"/>
      <c r="HAS14" s="21" t="n"/>
      <c r="HAT14" s="21" t="n"/>
      <c r="HAU14" s="21" t="n"/>
      <c r="HAV14" s="21" t="n"/>
      <c r="HAW14" s="21" t="n"/>
      <c r="HAX14" s="21" t="n"/>
      <c r="HAY14" s="21" t="n"/>
      <c r="HAZ14" s="21" t="n"/>
      <c r="HBA14" s="21" t="n"/>
      <c r="HBB14" s="21" t="n"/>
      <c r="HBC14" s="21" t="n"/>
      <c r="HBD14" s="21" t="n"/>
      <c r="HBE14" s="21" t="n"/>
      <c r="HBF14" s="21" t="n"/>
      <c r="HBG14" s="21" t="n"/>
      <c r="HBH14" s="21" t="n"/>
      <c r="HBI14" s="21" t="n"/>
      <c r="HBJ14" s="21" t="n"/>
      <c r="HBK14" s="21" t="n"/>
      <c r="HBL14" s="21" t="n"/>
      <c r="HBM14" s="21" t="n"/>
      <c r="HBN14" s="21" t="n"/>
      <c r="HBO14" s="21" t="n"/>
      <c r="HBP14" s="21" t="n"/>
      <c r="HBQ14" s="21" t="n"/>
      <c r="HBR14" s="21" t="n"/>
      <c r="HBS14" s="21" t="n"/>
      <c r="HBT14" s="21" t="n"/>
      <c r="HBU14" s="21" t="n"/>
      <c r="HBV14" s="21" t="n"/>
      <c r="HBW14" s="21" t="n"/>
      <c r="HBX14" s="21" t="n"/>
      <c r="HBY14" s="21" t="n"/>
      <c r="HBZ14" s="21" t="n"/>
      <c r="HCA14" s="21" t="n"/>
      <c r="HCB14" s="21" t="n"/>
      <c r="HCC14" s="21" t="n"/>
      <c r="HCD14" s="21" t="n"/>
      <c r="HCE14" s="21" t="n"/>
      <c r="HCF14" s="21" t="n"/>
      <c r="HCG14" s="21" t="n"/>
      <c r="HCH14" s="21" t="n"/>
      <c r="HCI14" s="21" t="n"/>
      <c r="HCJ14" s="21" t="n"/>
      <c r="HCK14" s="21" t="n"/>
      <c r="HCL14" s="21" t="n"/>
      <c r="HCM14" s="21" t="n"/>
      <c r="HCN14" s="21" t="n"/>
      <c r="HCO14" s="21" t="n"/>
      <c r="HCP14" s="21" t="n"/>
      <c r="HCQ14" s="21" t="n"/>
      <c r="HCR14" s="21" t="n"/>
      <c r="HCS14" s="21" t="n"/>
      <c r="HCT14" s="21" t="n"/>
      <c r="HCU14" s="21" t="n"/>
      <c r="HCV14" s="21" t="n"/>
      <c r="HCW14" s="21" t="n"/>
      <c r="HCX14" s="21" t="n"/>
      <c r="HCY14" s="21" t="n"/>
      <c r="HCZ14" s="21" t="n"/>
      <c r="HDA14" s="21" t="n"/>
      <c r="HDB14" s="21" t="n"/>
      <c r="HDC14" s="21" t="n"/>
      <c r="HDD14" s="21" t="n"/>
      <c r="HDE14" s="21" t="n"/>
      <c r="HDF14" s="21" t="n"/>
      <c r="HDG14" s="21" t="n"/>
      <c r="HDH14" s="21" t="n"/>
      <c r="HDI14" s="21" t="n"/>
      <c r="HDJ14" s="21" t="n"/>
      <c r="HDK14" s="21" t="n"/>
      <c r="HDL14" s="21" t="n"/>
      <c r="HDM14" s="21" t="n"/>
      <c r="HDN14" s="21" t="n"/>
      <c r="HDO14" s="21" t="n"/>
      <c r="HDP14" s="21" t="n"/>
      <c r="HDQ14" s="21" t="n"/>
      <c r="HDR14" s="21" t="n"/>
      <c r="HDS14" s="21" t="n"/>
      <c r="HDT14" s="21" t="n"/>
      <c r="HDU14" s="21" t="n"/>
      <c r="HDV14" s="21" t="n"/>
      <c r="HDW14" s="21" t="n"/>
      <c r="HDX14" s="21" t="n"/>
      <c r="HDY14" s="21" t="n"/>
      <c r="HDZ14" s="21" t="n"/>
      <c r="HEA14" s="21" t="n"/>
      <c r="HEB14" s="21" t="n"/>
      <c r="HEC14" s="21" t="n"/>
      <c r="HED14" s="21" t="n"/>
      <c r="HEE14" s="21" t="n"/>
      <c r="HEF14" s="21" t="n"/>
      <c r="HEG14" s="21" t="n"/>
      <c r="HEH14" s="21" t="n"/>
      <c r="HEI14" s="21" t="n"/>
      <c r="HEJ14" s="21" t="n"/>
      <c r="HEK14" s="21" t="n"/>
      <c r="HEL14" s="21" t="n"/>
      <c r="HEM14" s="21" t="n"/>
      <c r="HEN14" s="21" t="n"/>
      <c r="HEO14" s="21" t="n"/>
      <c r="HEP14" s="21" t="n"/>
      <c r="HEQ14" s="21" t="n"/>
      <c r="HER14" s="21" t="n"/>
      <c r="HES14" s="21" t="n"/>
      <c r="HET14" s="21" t="n"/>
      <c r="HEU14" s="21" t="n"/>
      <c r="HEV14" s="21" t="n"/>
      <c r="HEW14" s="21" t="n"/>
      <c r="HEX14" s="21" t="n"/>
      <c r="HEY14" s="21" t="n"/>
      <c r="HEZ14" s="21" t="n"/>
      <c r="HFA14" s="21" t="n"/>
      <c r="HFB14" s="21" t="n"/>
      <c r="HFC14" s="21" t="n"/>
      <c r="HFD14" s="21" t="n"/>
      <c r="HFE14" s="21" t="n"/>
      <c r="HFF14" s="21" t="n"/>
      <c r="HFG14" s="21" t="n"/>
      <c r="HFH14" s="21" t="n"/>
      <c r="HFI14" s="21" t="n"/>
      <c r="HFJ14" s="21" t="n"/>
      <c r="HFK14" s="21" t="n"/>
      <c r="HFL14" s="21" t="n"/>
      <c r="HFM14" s="21" t="n"/>
      <c r="HFN14" s="21" t="n"/>
      <c r="HFO14" s="21" t="n"/>
      <c r="HFP14" s="21" t="n"/>
      <c r="HFQ14" s="21" t="n"/>
      <c r="HFR14" s="21" t="n"/>
      <c r="HFS14" s="21" t="n"/>
      <c r="HFT14" s="21" t="n"/>
      <c r="HFU14" s="21" t="n"/>
      <c r="HFV14" s="21" t="n"/>
      <c r="HFW14" s="21" t="n"/>
      <c r="HFX14" s="21" t="n"/>
      <c r="HFY14" s="21" t="n"/>
      <c r="HFZ14" s="21" t="n"/>
      <c r="HGA14" s="21" t="n"/>
      <c r="HGB14" s="21" t="n"/>
      <c r="HGC14" s="21" t="n"/>
      <c r="HGD14" s="21" t="n"/>
      <c r="HGE14" s="21" t="n"/>
      <c r="HGF14" s="21" t="n"/>
      <c r="HGG14" s="21" t="n"/>
      <c r="HGH14" s="21" t="n"/>
      <c r="HGI14" s="21" t="n"/>
      <c r="HGJ14" s="21" t="n"/>
      <c r="HGK14" s="21" t="n"/>
      <c r="HGL14" s="21" t="n"/>
      <c r="HGM14" s="21" t="n"/>
      <c r="HGN14" s="21" t="n"/>
      <c r="HGO14" s="21" t="n"/>
      <c r="HGP14" s="21" t="n"/>
      <c r="HGQ14" s="21" t="n"/>
      <c r="HGR14" s="21" t="n"/>
      <c r="HGS14" s="21" t="n"/>
      <c r="HGT14" s="21" t="n"/>
      <c r="HGU14" s="21" t="n"/>
      <c r="HGV14" s="21" t="n"/>
      <c r="HGW14" s="21" t="n"/>
      <c r="HGX14" s="21" t="n"/>
      <c r="HGY14" s="21" t="n"/>
      <c r="HGZ14" s="21" t="n"/>
      <c r="HHA14" s="21" t="n"/>
      <c r="HHB14" s="21" t="n"/>
      <c r="HHC14" s="21" t="n"/>
      <c r="HHD14" s="21" t="n"/>
      <c r="HHE14" s="21" t="n"/>
      <c r="HHF14" s="21" t="n"/>
      <c r="HHG14" s="21" t="n"/>
      <c r="HHH14" s="21" t="n"/>
      <c r="HHI14" s="21" t="n"/>
      <c r="HHJ14" s="21" t="n"/>
      <c r="HHK14" s="21" t="n"/>
      <c r="HHL14" s="21" t="n"/>
      <c r="HHM14" s="21" t="n"/>
      <c r="HHN14" s="21" t="n"/>
      <c r="HHO14" s="21" t="n"/>
      <c r="HHP14" s="21" t="n"/>
      <c r="HHQ14" s="21" t="n"/>
      <c r="HHR14" s="21" t="n"/>
      <c r="HHS14" s="21" t="n"/>
      <c r="HHT14" s="21" t="n"/>
      <c r="HHU14" s="21" t="n"/>
      <c r="HHV14" s="21" t="n"/>
      <c r="HHW14" s="21" t="n"/>
      <c r="HHX14" s="21" t="n"/>
      <c r="HHY14" s="21" t="n"/>
      <c r="HHZ14" s="21" t="n"/>
      <c r="HIA14" s="21" t="n"/>
      <c r="HIB14" s="21" t="n"/>
      <c r="HIC14" s="21" t="n"/>
      <c r="HID14" s="21" t="n"/>
      <c r="HIE14" s="21" t="n"/>
      <c r="HIF14" s="21" t="n"/>
      <c r="HIG14" s="21" t="n"/>
      <c r="HIH14" s="21" t="n"/>
      <c r="HII14" s="21" t="n"/>
      <c r="HIJ14" s="21" t="n"/>
      <c r="HIK14" s="21" t="n"/>
      <c r="HIL14" s="21" t="n"/>
      <c r="HIM14" s="21" t="n"/>
      <c r="HIN14" s="21" t="n"/>
      <c r="HIO14" s="21" t="n"/>
      <c r="HIP14" s="21" t="n"/>
      <c r="HIQ14" s="21" t="n"/>
      <c r="HIR14" s="21" t="n"/>
      <c r="HIS14" s="21" t="n"/>
      <c r="HIT14" s="21" t="n"/>
      <c r="HIU14" s="21" t="n"/>
      <c r="HIV14" s="21" t="n"/>
      <c r="HIW14" s="21" t="n"/>
      <c r="HIX14" s="21" t="n"/>
      <c r="HIY14" s="21" t="n"/>
      <c r="HIZ14" s="21" t="n"/>
      <c r="HJA14" s="21" t="n"/>
      <c r="HJB14" s="21" t="n"/>
      <c r="HJC14" s="21" t="n"/>
      <c r="HJD14" s="21" t="n"/>
      <c r="HJE14" s="21" t="n"/>
      <c r="HJF14" s="21" t="n"/>
      <c r="HJG14" s="21" t="n"/>
      <c r="HJH14" s="21" t="n"/>
      <c r="HJI14" s="21" t="n"/>
      <c r="HJJ14" s="21" t="n"/>
      <c r="HJK14" s="21" t="n"/>
      <c r="HJL14" s="21" t="n"/>
      <c r="HJM14" s="21" t="n"/>
      <c r="HJN14" s="21" t="n"/>
      <c r="HJO14" s="21" t="n"/>
      <c r="HJP14" s="21" t="n"/>
      <c r="HJQ14" s="21" t="n"/>
      <c r="HJR14" s="21" t="n"/>
      <c r="HJS14" s="21" t="n"/>
      <c r="HJT14" s="21" t="n"/>
      <c r="HJU14" s="21" t="n"/>
      <c r="HJV14" s="21" t="n"/>
      <c r="HJW14" s="21" t="n"/>
      <c r="HJX14" s="21" t="n"/>
      <c r="HJY14" s="21" t="n"/>
      <c r="HJZ14" s="21" t="n"/>
      <c r="HKA14" s="21" t="n"/>
      <c r="HKB14" s="21" t="n"/>
      <c r="HKC14" s="21" t="n"/>
      <c r="HKD14" s="21" t="n"/>
      <c r="HKE14" s="21" t="n"/>
      <c r="HKF14" s="21" t="n"/>
      <c r="HKG14" s="21" t="n"/>
      <c r="HKH14" s="21" t="n"/>
      <c r="HKI14" s="21" t="n"/>
      <c r="HKJ14" s="21" t="n"/>
      <c r="HKK14" s="21" t="n"/>
      <c r="HKL14" s="21" t="n"/>
      <c r="HKM14" s="21" t="n"/>
      <c r="HKN14" s="21" t="n"/>
      <c r="HKO14" s="21" t="n"/>
      <c r="HKP14" s="21" t="n"/>
      <c r="HKQ14" s="21" t="n"/>
      <c r="HKR14" s="21" t="n"/>
      <c r="HKS14" s="21" t="n"/>
      <c r="HKT14" s="21" t="n"/>
      <c r="HKU14" s="21" t="n"/>
      <c r="HKV14" s="21" t="n"/>
      <c r="HKW14" s="21" t="n"/>
      <c r="HKX14" s="21" t="n"/>
      <c r="HKY14" s="21" t="n"/>
      <c r="HKZ14" s="21" t="n"/>
      <c r="HLA14" s="21" t="n"/>
      <c r="HLB14" s="21" t="n"/>
      <c r="HLC14" s="21" t="n"/>
      <c r="HLD14" s="21" t="n"/>
      <c r="HLE14" s="21" t="n"/>
      <c r="HLF14" s="21" t="n"/>
      <c r="HLG14" s="21" t="n"/>
      <c r="HLH14" s="21" t="n"/>
      <c r="HLI14" s="21" t="n"/>
      <c r="HLJ14" s="21" t="n"/>
      <c r="HLK14" s="21" t="n"/>
      <c r="HLL14" s="21" t="n"/>
      <c r="HLM14" s="21" t="n"/>
      <c r="HLN14" s="21" t="n"/>
      <c r="HLO14" s="21" t="n"/>
      <c r="HLP14" s="21" t="n"/>
      <c r="HLQ14" s="21" t="n"/>
      <c r="HLR14" s="21" t="n"/>
      <c r="HLS14" s="21" t="n"/>
      <c r="HLT14" s="21" t="n"/>
      <c r="HLU14" s="21" t="n"/>
      <c r="HLV14" s="21" t="n"/>
      <c r="HLW14" s="21" t="n"/>
      <c r="HLX14" s="21" t="n"/>
      <c r="HLY14" s="21" t="n"/>
      <c r="HLZ14" s="21" t="n"/>
      <c r="HMA14" s="21" t="n"/>
      <c r="HMB14" s="21" t="n"/>
      <c r="HMC14" s="21" t="n"/>
      <c r="HMD14" s="21" t="n"/>
      <c r="HME14" s="21" t="n"/>
      <c r="HMF14" s="21" t="n"/>
      <c r="HMG14" s="21" t="n"/>
      <c r="HMH14" s="21" t="n"/>
      <c r="HMI14" s="21" t="n"/>
      <c r="HMJ14" s="21" t="n"/>
      <c r="HMK14" s="21" t="n"/>
      <c r="HML14" s="21" t="n"/>
      <c r="HMM14" s="21" t="n"/>
      <c r="HMN14" s="21" t="n"/>
      <c r="HMO14" s="21" t="n"/>
      <c r="HMP14" s="21" t="n"/>
      <c r="HMQ14" s="21" t="n"/>
      <c r="HMR14" s="21" t="n"/>
      <c r="HMS14" s="21" t="n"/>
      <c r="HMT14" s="21" t="n"/>
      <c r="HMU14" s="21" t="n"/>
      <c r="HMV14" s="21" t="n"/>
      <c r="HMW14" s="21" t="n"/>
      <c r="HMX14" s="21" t="n"/>
      <c r="HMY14" s="21" t="n"/>
      <c r="HMZ14" s="21" t="n"/>
      <c r="HNA14" s="21" t="n"/>
      <c r="HNB14" s="21" t="n"/>
      <c r="HNC14" s="21" t="n"/>
      <c r="HND14" s="21" t="n"/>
      <c r="HNE14" s="21" t="n"/>
      <c r="HNF14" s="21" t="n"/>
      <c r="HNG14" s="21" t="n"/>
      <c r="HNH14" s="21" t="n"/>
      <c r="HNI14" s="21" t="n"/>
      <c r="HNJ14" s="21" t="n"/>
      <c r="HNK14" s="21" t="n"/>
      <c r="HNL14" s="21" t="n"/>
      <c r="HNM14" s="21" t="n"/>
      <c r="HNN14" s="21" t="n"/>
      <c r="HNO14" s="21" t="n"/>
      <c r="HNP14" s="21" t="n"/>
      <c r="HNQ14" s="21" t="n"/>
      <c r="HNR14" s="21" t="n"/>
      <c r="HNS14" s="21" t="n"/>
      <c r="HNT14" s="21" t="n"/>
      <c r="HNU14" s="21" t="n"/>
      <c r="HNV14" s="21" t="n"/>
      <c r="HNW14" s="21" t="n"/>
      <c r="HNX14" s="21" t="n"/>
      <c r="HNY14" s="21" t="n"/>
      <c r="HNZ14" s="21" t="n"/>
      <c r="HOA14" s="21" t="n"/>
      <c r="HOB14" s="21" t="n"/>
      <c r="HOC14" s="21" t="n"/>
      <c r="HOD14" s="21" t="n"/>
      <c r="HOE14" s="21" t="n"/>
      <c r="HOF14" s="21" t="n"/>
      <c r="HOG14" s="21" t="n"/>
      <c r="HOH14" s="21" t="n"/>
      <c r="HOI14" s="21" t="n"/>
      <c r="HOJ14" s="21" t="n"/>
      <c r="HOK14" s="21" t="n"/>
      <c r="HOL14" s="21" t="n"/>
      <c r="HOM14" s="21" t="n"/>
      <c r="HON14" s="21" t="n"/>
      <c r="HOO14" s="21" t="n"/>
      <c r="HOP14" s="21" t="n"/>
      <c r="HOQ14" s="21" t="n"/>
      <c r="HOR14" s="21" t="n"/>
      <c r="HOS14" s="21" t="n"/>
      <c r="HOT14" s="21" t="n"/>
      <c r="HOU14" s="21" t="n"/>
      <c r="HOV14" s="21" t="n"/>
      <c r="HOW14" s="21" t="n"/>
      <c r="HOX14" s="21" t="n"/>
      <c r="HOY14" s="21" t="n"/>
      <c r="HOZ14" s="21" t="n"/>
      <c r="HPA14" s="21" t="n"/>
      <c r="HPB14" s="21" t="n"/>
      <c r="HPC14" s="21" t="n"/>
      <c r="HPD14" s="21" t="n"/>
      <c r="HPE14" s="21" t="n"/>
      <c r="HPF14" s="21" t="n"/>
      <c r="HPG14" s="21" t="n"/>
      <c r="HPH14" s="21" t="n"/>
      <c r="HPI14" s="21" t="n"/>
      <c r="HPJ14" s="21" t="n"/>
      <c r="HPK14" s="21" t="n"/>
      <c r="HPL14" s="21" t="n"/>
      <c r="HPM14" s="21" t="n"/>
      <c r="HPN14" s="21" t="n"/>
      <c r="HPO14" s="21" t="n"/>
      <c r="HPP14" s="21" t="n"/>
      <c r="HPQ14" s="21" t="n"/>
      <c r="HPR14" s="21" t="n"/>
      <c r="HPS14" s="21" t="n"/>
      <c r="HPT14" s="21" t="n"/>
      <c r="HPU14" s="21" t="n"/>
      <c r="HPV14" s="21" t="n"/>
      <c r="HPW14" s="21" t="n"/>
      <c r="HPX14" s="21" t="n"/>
      <c r="HPY14" s="21" t="n"/>
      <c r="HPZ14" s="21" t="n"/>
      <c r="HQA14" s="21" t="n"/>
      <c r="HQB14" s="21" t="n"/>
      <c r="HQC14" s="21" t="n"/>
      <c r="HQD14" s="21" t="n"/>
      <c r="HQE14" s="21" t="n"/>
      <c r="HQF14" s="21" t="n"/>
      <c r="HQG14" s="21" t="n"/>
      <c r="HQH14" s="21" t="n"/>
      <c r="HQI14" s="21" t="n"/>
      <c r="HQJ14" s="21" t="n"/>
      <c r="HQK14" s="21" t="n"/>
      <c r="HQL14" s="21" t="n"/>
      <c r="HQM14" s="21" t="n"/>
      <c r="HQN14" s="21" t="n"/>
      <c r="HQO14" s="21" t="n"/>
      <c r="HQP14" s="21" t="n"/>
      <c r="HQQ14" s="21" t="n"/>
      <c r="HQR14" s="21" t="n"/>
      <c r="HQS14" s="21" t="n"/>
      <c r="HQT14" s="21" t="n"/>
      <c r="HQU14" s="21" t="n"/>
      <c r="HQV14" s="21" t="n"/>
      <c r="HQW14" s="21" t="n"/>
      <c r="HQX14" s="21" t="n"/>
      <c r="HQY14" s="21" t="n"/>
      <c r="HQZ14" s="21" t="n"/>
      <c r="HRA14" s="21" t="n"/>
      <c r="HRB14" s="21" t="n"/>
      <c r="HRC14" s="21" t="n"/>
      <c r="HRD14" s="21" t="n"/>
      <c r="HRE14" s="21" t="n"/>
      <c r="HRF14" s="21" t="n"/>
      <c r="HRG14" s="21" t="n"/>
      <c r="HRH14" s="21" t="n"/>
      <c r="HRI14" s="21" t="n"/>
      <c r="HRJ14" s="21" t="n"/>
      <c r="HRK14" s="21" t="n"/>
      <c r="HRL14" s="21" t="n"/>
      <c r="HRM14" s="21" t="n"/>
      <c r="HRN14" s="21" t="n"/>
      <c r="HRO14" s="21" t="n"/>
      <c r="HRP14" s="21" t="n"/>
      <c r="HRQ14" s="21" t="n"/>
      <c r="HRR14" s="21" t="n"/>
      <c r="HRS14" s="21" t="n"/>
      <c r="HRT14" s="21" t="n"/>
      <c r="HRU14" s="21" t="n"/>
      <c r="HRV14" s="21" t="n"/>
      <c r="HRW14" s="21" t="n"/>
      <c r="HRX14" s="21" t="n"/>
      <c r="HRY14" s="21" t="n"/>
      <c r="HRZ14" s="21" t="n"/>
      <c r="HSA14" s="21" t="n"/>
      <c r="HSB14" s="21" t="n"/>
      <c r="HSC14" s="21" t="n"/>
      <c r="HSD14" s="21" t="n"/>
      <c r="HSE14" s="21" t="n"/>
      <c r="HSF14" s="21" t="n"/>
      <c r="HSG14" s="21" t="n"/>
      <c r="HSH14" s="21" t="n"/>
      <c r="HSI14" s="21" t="n"/>
      <c r="HSJ14" s="21" t="n"/>
      <c r="HSK14" s="21" t="n"/>
      <c r="HSL14" s="21" t="n"/>
      <c r="HSM14" s="21" t="n"/>
      <c r="HSN14" s="21" t="n"/>
      <c r="HSO14" s="21" t="n"/>
      <c r="HSP14" s="21" t="n"/>
      <c r="HSQ14" s="21" t="n"/>
      <c r="HSR14" s="21" t="n"/>
      <c r="HSS14" s="21" t="n"/>
      <c r="HST14" s="21" t="n"/>
      <c r="HSU14" s="21" t="n"/>
      <c r="HSV14" s="21" t="n"/>
      <c r="HSW14" s="21" t="n"/>
      <c r="HSX14" s="21" t="n"/>
      <c r="HSY14" s="21" t="n"/>
      <c r="HSZ14" s="21" t="n"/>
      <c r="HTA14" s="21" t="n"/>
      <c r="HTB14" s="21" t="n"/>
      <c r="HTC14" s="21" t="n"/>
      <c r="HTD14" s="21" t="n"/>
      <c r="HTE14" s="21" t="n"/>
      <c r="HTF14" s="21" t="n"/>
      <c r="HTG14" s="21" t="n"/>
      <c r="HTH14" s="21" t="n"/>
      <c r="HTI14" s="21" t="n"/>
      <c r="HTJ14" s="21" t="n"/>
      <c r="HTK14" s="21" t="n"/>
      <c r="HTL14" s="21" t="n"/>
      <c r="HTM14" s="21" t="n"/>
      <c r="HTN14" s="21" t="n"/>
      <c r="HTO14" s="21" t="n"/>
      <c r="HTP14" s="21" t="n"/>
      <c r="HTQ14" s="21" t="n"/>
      <c r="HTR14" s="21" t="n"/>
      <c r="HTS14" s="21" t="n"/>
      <c r="HTT14" s="21" t="n"/>
      <c r="HTU14" s="21" t="n"/>
      <c r="HTV14" s="21" t="n"/>
      <c r="HTW14" s="21" t="n"/>
      <c r="HTX14" s="21" t="n"/>
      <c r="HTY14" s="21" t="n"/>
      <c r="HTZ14" s="21" t="n"/>
      <c r="HUA14" s="21" t="n"/>
      <c r="HUB14" s="21" t="n"/>
      <c r="HUC14" s="21" t="n"/>
      <c r="HUD14" s="21" t="n"/>
      <c r="HUE14" s="21" t="n"/>
      <c r="HUF14" s="21" t="n"/>
      <c r="HUG14" s="21" t="n"/>
      <c r="HUH14" s="21" t="n"/>
      <c r="HUI14" s="21" t="n"/>
      <c r="HUJ14" s="21" t="n"/>
      <c r="HUK14" s="21" t="n"/>
      <c r="HUL14" s="21" t="n"/>
      <c r="HUM14" s="21" t="n"/>
      <c r="HUN14" s="21" t="n"/>
      <c r="HUO14" s="21" t="n"/>
      <c r="HUP14" s="21" t="n"/>
      <c r="HUQ14" s="21" t="n"/>
      <c r="HUR14" s="21" t="n"/>
      <c r="HUS14" s="21" t="n"/>
      <c r="HUT14" s="21" t="n"/>
      <c r="HUU14" s="21" t="n"/>
      <c r="HUV14" s="21" t="n"/>
      <c r="HUW14" s="21" t="n"/>
      <c r="HUX14" s="21" t="n"/>
      <c r="HUY14" s="21" t="n"/>
      <c r="HUZ14" s="21" t="n"/>
      <c r="HVA14" s="21" t="n"/>
      <c r="HVB14" s="21" t="n"/>
      <c r="HVC14" s="21" t="n"/>
      <c r="HVD14" s="21" t="n"/>
      <c r="HVE14" s="21" t="n"/>
      <c r="HVF14" s="21" t="n"/>
      <c r="HVG14" s="21" t="n"/>
      <c r="HVH14" s="21" t="n"/>
      <c r="HVI14" s="21" t="n"/>
      <c r="HVJ14" s="21" t="n"/>
      <c r="HVK14" s="21" t="n"/>
      <c r="HVL14" s="21" t="n"/>
      <c r="HVM14" s="21" t="n"/>
      <c r="HVN14" s="21" t="n"/>
      <c r="HVO14" s="21" t="n"/>
      <c r="HVP14" s="21" t="n"/>
      <c r="HVQ14" s="21" t="n"/>
      <c r="HVR14" s="21" t="n"/>
      <c r="HVS14" s="21" t="n"/>
      <c r="HVT14" s="21" t="n"/>
      <c r="HVU14" s="21" t="n"/>
      <c r="HVV14" s="21" t="n"/>
      <c r="HVW14" s="21" t="n"/>
      <c r="HVX14" s="21" t="n"/>
      <c r="HVY14" s="21" t="n"/>
      <c r="HVZ14" s="21" t="n"/>
      <c r="HWA14" s="21" t="n"/>
      <c r="HWB14" s="21" t="n"/>
      <c r="HWC14" s="21" t="n"/>
      <c r="HWD14" s="21" t="n"/>
      <c r="HWE14" s="21" t="n"/>
      <c r="HWF14" s="21" t="n"/>
      <c r="HWG14" s="21" t="n"/>
      <c r="HWH14" s="21" t="n"/>
      <c r="HWI14" s="21" t="n"/>
      <c r="HWJ14" s="21" t="n"/>
      <c r="HWK14" s="21" t="n"/>
      <c r="HWL14" s="21" t="n"/>
      <c r="HWM14" s="21" t="n"/>
      <c r="HWN14" s="21" t="n"/>
      <c r="HWO14" s="21" t="n"/>
      <c r="HWP14" s="21" t="n"/>
      <c r="HWQ14" s="21" t="n"/>
      <c r="HWR14" s="21" t="n"/>
      <c r="HWS14" s="21" t="n"/>
      <c r="HWT14" s="21" t="n"/>
      <c r="HWU14" s="21" t="n"/>
      <c r="HWV14" s="21" t="n"/>
      <c r="HWW14" s="21" t="n"/>
      <c r="HWX14" s="21" t="n"/>
      <c r="HWY14" s="21" t="n"/>
      <c r="HWZ14" s="21" t="n"/>
      <c r="HXA14" s="21" t="n"/>
      <c r="HXB14" s="21" t="n"/>
      <c r="HXC14" s="21" t="n"/>
      <c r="HXD14" s="21" t="n"/>
      <c r="HXE14" s="21" t="n"/>
      <c r="HXF14" s="21" t="n"/>
      <c r="HXG14" s="21" t="n"/>
      <c r="HXH14" s="21" t="n"/>
      <c r="HXI14" s="21" t="n"/>
      <c r="HXJ14" s="21" t="n"/>
      <c r="HXK14" s="21" t="n"/>
      <c r="HXL14" s="21" t="n"/>
      <c r="HXM14" s="21" t="n"/>
      <c r="HXN14" s="21" t="n"/>
      <c r="HXO14" s="21" t="n"/>
      <c r="HXP14" s="21" t="n"/>
      <c r="HXQ14" s="21" t="n"/>
      <c r="HXR14" s="21" t="n"/>
      <c r="HXS14" s="21" t="n"/>
      <c r="HXT14" s="21" t="n"/>
      <c r="HXU14" s="21" t="n"/>
      <c r="HXV14" s="21" t="n"/>
      <c r="HXW14" s="21" t="n"/>
      <c r="HXX14" s="21" t="n"/>
      <c r="HXY14" s="21" t="n"/>
      <c r="HXZ14" s="21" t="n"/>
      <c r="HYA14" s="21" t="n"/>
      <c r="HYB14" s="21" t="n"/>
      <c r="HYC14" s="21" t="n"/>
      <c r="HYD14" s="21" t="n"/>
      <c r="HYE14" s="21" t="n"/>
      <c r="HYF14" s="21" t="n"/>
      <c r="HYG14" s="21" t="n"/>
      <c r="HYH14" s="21" t="n"/>
      <c r="HYI14" s="21" t="n"/>
      <c r="HYJ14" s="21" t="n"/>
      <c r="HYK14" s="21" t="n"/>
      <c r="HYL14" s="21" t="n"/>
      <c r="HYM14" s="21" t="n"/>
      <c r="HYN14" s="21" t="n"/>
      <c r="HYO14" s="21" t="n"/>
      <c r="HYP14" s="21" t="n"/>
      <c r="HYQ14" s="21" t="n"/>
      <c r="HYR14" s="21" t="n"/>
      <c r="HYS14" s="21" t="n"/>
      <c r="HYT14" s="21" t="n"/>
      <c r="HYU14" s="21" t="n"/>
      <c r="HYV14" s="21" t="n"/>
      <c r="HYW14" s="21" t="n"/>
      <c r="HYX14" s="21" t="n"/>
      <c r="HYY14" s="21" t="n"/>
      <c r="HYZ14" s="21" t="n"/>
      <c r="HZA14" s="21" t="n"/>
      <c r="HZB14" s="21" t="n"/>
      <c r="HZC14" s="21" t="n"/>
      <c r="HZD14" s="21" t="n"/>
      <c r="HZE14" s="21" t="n"/>
      <c r="HZF14" s="21" t="n"/>
      <c r="HZG14" s="21" t="n"/>
      <c r="HZH14" s="21" t="n"/>
      <c r="HZI14" s="21" t="n"/>
      <c r="HZJ14" s="21" t="n"/>
      <c r="HZK14" s="21" t="n"/>
      <c r="HZL14" s="21" t="n"/>
      <c r="HZM14" s="21" t="n"/>
      <c r="HZN14" s="21" t="n"/>
      <c r="HZO14" s="21" t="n"/>
      <c r="HZP14" s="21" t="n"/>
      <c r="HZQ14" s="21" t="n"/>
      <c r="HZR14" s="21" t="n"/>
      <c r="HZS14" s="21" t="n"/>
      <c r="HZT14" s="21" t="n"/>
      <c r="HZU14" s="21" t="n"/>
      <c r="HZV14" s="21" t="n"/>
      <c r="HZW14" s="21" t="n"/>
      <c r="HZX14" s="21" t="n"/>
      <c r="HZY14" s="21" t="n"/>
      <c r="HZZ14" s="21" t="n"/>
      <c r="IAA14" s="21" t="n"/>
      <c r="IAB14" s="21" t="n"/>
      <c r="IAC14" s="21" t="n"/>
      <c r="IAD14" s="21" t="n"/>
      <c r="IAE14" s="21" t="n"/>
      <c r="IAF14" s="21" t="n"/>
      <c r="IAG14" s="21" t="n"/>
      <c r="IAH14" s="21" t="n"/>
      <c r="IAI14" s="21" t="n"/>
      <c r="IAJ14" s="21" t="n"/>
      <c r="IAK14" s="21" t="n"/>
      <c r="IAL14" s="21" t="n"/>
      <c r="IAM14" s="21" t="n"/>
      <c r="IAN14" s="21" t="n"/>
      <c r="IAO14" s="21" t="n"/>
      <c r="IAP14" s="21" t="n"/>
      <c r="IAQ14" s="21" t="n"/>
      <c r="IAR14" s="21" t="n"/>
      <c r="IAS14" s="21" t="n"/>
      <c r="IAT14" s="21" t="n"/>
      <c r="IAU14" s="21" t="n"/>
      <c r="IAV14" s="21" t="n"/>
      <c r="IAW14" s="21" t="n"/>
      <c r="IAX14" s="21" t="n"/>
      <c r="IAY14" s="21" t="n"/>
      <c r="IAZ14" s="21" t="n"/>
      <c r="IBA14" s="21" t="n"/>
      <c r="IBB14" s="21" t="n"/>
      <c r="IBC14" s="21" t="n"/>
      <c r="IBD14" s="21" t="n"/>
      <c r="IBE14" s="21" t="n"/>
      <c r="IBF14" s="21" t="n"/>
      <c r="IBG14" s="21" t="n"/>
      <c r="IBH14" s="21" t="n"/>
      <c r="IBI14" s="21" t="n"/>
      <c r="IBJ14" s="21" t="n"/>
      <c r="IBK14" s="21" t="n"/>
      <c r="IBL14" s="21" t="n"/>
      <c r="IBM14" s="21" t="n"/>
      <c r="IBN14" s="21" t="n"/>
      <c r="IBO14" s="21" t="n"/>
      <c r="IBP14" s="21" t="n"/>
      <c r="IBQ14" s="21" t="n"/>
      <c r="IBR14" s="21" t="n"/>
      <c r="IBS14" s="21" t="n"/>
      <c r="IBT14" s="21" t="n"/>
      <c r="IBU14" s="21" t="n"/>
      <c r="IBV14" s="21" t="n"/>
      <c r="IBW14" s="21" t="n"/>
      <c r="IBX14" s="21" t="n"/>
      <c r="IBY14" s="21" t="n"/>
      <c r="IBZ14" s="21" t="n"/>
      <c r="ICA14" s="21" t="n"/>
      <c r="ICB14" s="21" t="n"/>
      <c r="ICC14" s="21" t="n"/>
      <c r="ICD14" s="21" t="n"/>
      <c r="ICE14" s="21" t="n"/>
      <c r="ICF14" s="21" t="n"/>
      <c r="ICG14" s="21" t="n"/>
      <c r="ICH14" s="21" t="n"/>
      <c r="ICI14" s="21" t="n"/>
      <c r="ICJ14" s="21" t="n"/>
      <c r="ICK14" s="21" t="n"/>
      <c r="ICL14" s="21" t="n"/>
      <c r="ICM14" s="21" t="n"/>
      <c r="ICN14" s="21" t="n"/>
      <c r="ICO14" s="21" t="n"/>
      <c r="ICP14" s="21" t="n"/>
      <c r="ICQ14" s="21" t="n"/>
      <c r="ICR14" s="21" t="n"/>
      <c r="ICS14" s="21" t="n"/>
      <c r="ICT14" s="21" t="n"/>
      <c r="ICU14" s="21" t="n"/>
      <c r="ICV14" s="21" t="n"/>
      <c r="ICW14" s="21" t="n"/>
      <c r="ICX14" s="21" t="n"/>
      <c r="ICY14" s="21" t="n"/>
      <c r="ICZ14" s="21" t="n"/>
      <c r="IDA14" s="21" t="n"/>
      <c r="IDB14" s="21" t="n"/>
      <c r="IDC14" s="21" t="n"/>
      <c r="IDD14" s="21" t="n"/>
      <c r="IDE14" s="21" t="n"/>
      <c r="IDF14" s="21" t="n"/>
      <c r="IDG14" s="21" t="n"/>
      <c r="IDH14" s="21" t="n"/>
      <c r="IDI14" s="21" t="n"/>
      <c r="IDJ14" s="21" t="n"/>
      <c r="IDK14" s="21" t="n"/>
      <c r="IDL14" s="21" t="n"/>
      <c r="IDM14" s="21" t="n"/>
      <c r="IDN14" s="21" t="n"/>
      <c r="IDO14" s="21" t="n"/>
      <c r="IDP14" s="21" t="n"/>
      <c r="IDQ14" s="21" t="n"/>
      <c r="IDR14" s="21" t="n"/>
      <c r="IDS14" s="21" t="n"/>
      <c r="IDT14" s="21" t="n"/>
      <c r="IDU14" s="21" t="n"/>
      <c r="IDV14" s="21" t="n"/>
      <c r="IDW14" s="21" t="n"/>
      <c r="IDX14" s="21" t="n"/>
      <c r="IDY14" s="21" t="n"/>
      <c r="IDZ14" s="21" t="n"/>
      <c r="IEA14" s="21" t="n"/>
      <c r="IEB14" s="21" t="n"/>
      <c r="IEC14" s="21" t="n"/>
      <c r="IED14" s="21" t="n"/>
      <c r="IEE14" s="21" t="n"/>
      <c r="IEF14" s="21" t="n"/>
      <c r="IEG14" s="21" t="n"/>
      <c r="IEH14" s="21" t="n"/>
      <c r="IEI14" s="21" t="n"/>
      <c r="IEJ14" s="21" t="n"/>
      <c r="IEK14" s="21" t="n"/>
      <c r="IEL14" s="21" t="n"/>
      <c r="IEM14" s="21" t="n"/>
      <c r="IEN14" s="21" t="n"/>
      <c r="IEO14" s="21" t="n"/>
      <c r="IEP14" s="21" t="n"/>
      <c r="IEQ14" s="21" t="n"/>
      <c r="IER14" s="21" t="n"/>
      <c r="IES14" s="21" t="n"/>
      <c r="IET14" s="21" t="n"/>
      <c r="IEU14" s="21" t="n"/>
      <c r="IEV14" s="21" t="n"/>
      <c r="IEW14" s="21" t="n"/>
      <c r="IEX14" s="21" t="n"/>
      <c r="IEY14" s="21" t="n"/>
      <c r="IEZ14" s="21" t="n"/>
      <c r="IFA14" s="21" t="n"/>
      <c r="IFB14" s="21" t="n"/>
      <c r="IFC14" s="21" t="n"/>
      <c r="IFD14" s="21" t="n"/>
      <c r="IFE14" s="21" t="n"/>
      <c r="IFF14" s="21" t="n"/>
      <c r="IFG14" s="21" t="n"/>
      <c r="IFH14" s="21" t="n"/>
      <c r="IFI14" s="21" t="n"/>
      <c r="IFJ14" s="21" t="n"/>
      <c r="IFK14" s="21" t="n"/>
      <c r="IFL14" s="21" t="n"/>
      <c r="IFM14" s="21" t="n"/>
      <c r="IFN14" s="21" t="n"/>
      <c r="IFO14" s="21" t="n"/>
      <c r="IFP14" s="21" t="n"/>
      <c r="IFQ14" s="21" t="n"/>
      <c r="IFR14" s="21" t="n"/>
      <c r="IFS14" s="21" t="n"/>
      <c r="IFT14" s="21" t="n"/>
      <c r="IFU14" s="21" t="n"/>
      <c r="IFV14" s="21" t="n"/>
      <c r="IFW14" s="21" t="n"/>
      <c r="IFX14" s="21" t="n"/>
      <c r="IFY14" s="21" t="n"/>
      <c r="IFZ14" s="21" t="n"/>
      <c r="IGA14" s="21" t="n"/>
      <c r="IGB14" s="21" t="n"/>
      <c r="IGC14" s="21" t="n"/>
      <c r="IGD14" s="21" t="n"/>
      <c r="IGE14" s="21" t="n"/>
      <c r="IGF14" s="21" t="n"/>
      <c r="IGG14" s="21" t="n"/>
      <c r="IGH14" s="21" t="n"/>
      <c r="IGI14" s="21" t="n"/>
      <c r="IGJ14" s="21" t="n"/>
      <c r="IGK14" s="21" t="n"/>
      <c r="IGL14" s="21" t="n"/>
      <c r="IGM14" s="21" t="n"/>
      <c r="IGN14" s="21" t="n"/>
      <c r="IGO14" s="21" t="n"/>
      <c r="IGP14" s="21" t="n"/>
      <c r="IGQ14" s="21" t="n"/>
      <c r="IGR14" s="21" t="n"/>
      <c r="IGS14" s="21" t="n"/>
      <c r="IGT14" s="21" t="n"/>
      <c r="IGU14" s="21" t="n"/>
      <c r="IGV14" s="21" t="n"/>
      <c r="IGW14" s="21" t="n"/>
      <c r="IGX14" s="21" t="n"/>
      <c r="IGY14" s="21" t="n"/>
      <c r="IGZ14" s="21" t="n"/>
      <c r="IHA14" s="21" t="n"/>
      <c r="IHB14" s="21" t="n"/>
      <c r="IHC14" s="21" t="n"/>
      <c r="IHD14" s="21" t="n"/>
      <c r="IHE14" s="21" t="n"/>
      <c r="IHF14" s="21" t="n"/>
      <c r="IHG14" s="21" t="n"/>
      <c r="IHH14" s="21" t="n"/>
      <c r="IHI14" s="21" t="n"/>
      <c r="IHJ14" s="21" t="n"/>
      <c r="IHK14" s="21" t="n"/>
      <c r="IHL14" s="21" t="n"/>
      <c r="IHM14" s="21" t="n"/>
      <c r="IHN14" s="21" t="n"/>
      <c r="IHO14" s="21" t="n"/>
      <c r="IHP14" s="21" t="n"/>
      <c r="IHQ14" s="21" t="n"/>
      <c r="IHR14" s="21" t="n"/>
      <c r="IHS14" s="21" t="n"/>
      <c r="IHT14" s="21" t="n"/>
      <c r="IHU14" s="21" t="n"/>
      <c r="IHV14" s="21" t="n"/>
      <c r="IHW14" s="21" t="n"/>
      <c r="IHX14" s="21" t="n"/>
      <c r="IHY14" s="21" t="n"/>
      <c r="IHZ14" s="21" t="n"/>
      <c r="IIA14" s="21" t="n"/>
      <c r="IIB14" s="21" t="n"/>
      <c r="IIC14" s="21" t="n"/>
      <c r="IID14" s="21" t="n"/>
      <c r="IIE14" s="21" t="n"/>
      <c r="IIF14" s="21" t="n"/>
      <c r="IIG14" s="21" t="n"/>
      <c r="IIH14" s="21" t="n"/>
      <c r="III14" s="21" t="n"/>
      <c r="IIJ14" s="21" t="n"/>
      <c r="IIK14" s="21" t="n"/>
      <c r="IIL14" s="21" t="n"/>
      <c r="IIM14" s="21" t="n"/>
      <c r="IIN14" s="21" t="n"/>
      <c r="IIO14" s="21" t="n"/>
      <c r="IIP14" s="21" t="n"/>
      <c r="IIQ14" s="21" t="n"/>
      <c r="IIR14" s="21" t="n"/>
      <c r="IIS14" s="21" t="n"/>
      <c r="IIT14" s="21" t="n"/>
      <c r="IIU14" s="21" t="n"/>
      <c r="IIV14" s="21" t="n"/>
      <c r="IIW14" s="21" t="n"/>
      <c r="IIX14" s="21" t="n"/>
      <c r="IIY14" s="21" t="n"/>
      <c r="IIZ14" s="21" t="n"/>
      <c r="IJA14" s="21" t="n"/>
      <c r="IJB14" s="21" t="n"/>
      <c r="IJC14" s="21" t="n"/>
      <c r="IJD14" s="21" t="n"/>
      <c r="IJE14" s="21" t="n"/>
      <c r="IJF14" s="21" t="n"/>
      <c r="IJG14" s="21" t="n"/>
      <c r="IJH14" s="21" t="n"/>
      <c r="IJI14" s="21" t="n"/>
      <c r="IJJ14" s="21" t="n"/>
      <c r="IJK14" s="21" t="n"/>
      <c r="IJL14" s="21" t="n"/>
      <c r="IJM14" s="21" t="n"/>
      <c r="IJN14" s="21" t="n"/>
      <c r="IJO14" s="21" t="n"/>
      <c r="IJP14" s="21" t="n"/>
      <c r="IJQ14" s="21" t="n"/>
      <c r="IJR14" s="21" t="n"/>
      <c r="IJS14" s="21" t="n"/>
      <c r="IJT14" s="21" t="n"/>
      <c r="IJU14" s="21" t="n"/>
      <c r="IJV14" s="21" t="n"/>
      <c r="IJW14" s="21" t="n"/>
      <c r="IJX14" s="21" t="n"/>
      <c r="IJY14" s="21" t="n"/>
      <c r="IJZ14" s="21" t="n"/>
      <c r="IKA14" s="21" t="n"/>
      <c r="IKB14" s="21" t="n"/>
      <c r="IKC14" s="21" t="n"/>
      <c r="IKD14" s="21" t="n"/>
      <c r="IKE14" s="21" t="n"/>
      <c r="IKF14" s="21" t="n"/>
      <c r="IKG14" s="21" t="n"/>
      <c r="IKH14" s="21" t="n"/>
      <c r="IKI14" s="21" t="n"/>
      <c r="IKJ14" s="21" t="n"/>
      <c r="IKK14" s="21" t="n"/>
      <c r="IKL14" s="21" t="n"/>
      <c r="IKM14" s="21" t="n"/>
      <c r="IKN14" s="21" t="n"/>
      <c r="IKO14" s="21" t="n"/>
      <c r="IKP14" s="21" t="n"/>
      <c r="IKQ14" s="21" t="n"/>
      <c r="IKR14" s="21" t="n"/>
      <c r="IKS14" s="21" t="n"/>
      <c r="IKT14" s="21" t="n"/>
      <c r="IKU14" s="21" t="n"/>
      <c r="IKV14" s="21" t="n"/>
      <c r="IKW14" s="21" t="n"/>
      <c r="IKX14" s="21" t="n"/>
      <c r="IKY14" s="21" t="n"/>
      <c r="IKZ14" s="21" t="n"/>
      <c r="ILA14" s="21" t="n"/>
      <c r="ILB14" s="21" t="n"/>
      <c r="ILC14" s="21" t="n"/>
      <c r="ILD14" s="21" t="n"/>
      <c r="ILE14" s="21" t="n"/>
      <c r="ILF14" s="21" t="n"/>
      <c r="ILG14" s="21" t="n"/>
      <c r="ILH14" s="21" t="n"/>
      <c r="ILI14" s="21" t="n"/>
      <c r="ILJ14" s="21" t="n"/>
      <c r="ILK14" s="21" t="n"/>
      <c r="ILL14" s="21" t="n"/>
      <c r="ILM14" s="21" t="n"/>
      <c r="ILN14" s="21" t="n"/>
      <c r="ILO14" s="21" t="n"/>
      <c r="ILP14" s="21" t="n"/>
      <c r="ILQ14" s="21" t="n"/>
      <c r="ILR14" s="21" t="n"/>
      <c r="ILS14" s="21" t="n"/>
      <c r="ILT14" s="21" t="n"/>
      <c r="ILU14" s="21" t="n"/>
      <c r="ILV14" s="21" t="n"/>
      <c r="ILW14" s="21" t="n"/>
      <c r="ILX14" s="21" t="n"/>
      <c r="ILY14" s="21" t="n"/>
      <c r="ILZ14" s="21" t="n"/>
      <c r="IMA14" s="21" t="n"/>
      <c r="IMB14" s="21" t="n"/>
      <c r="IMC14" s="21" t="n"/>
      <c r="IMD14" s="21" t="n"/>
      <c r="IME14" s="21" t="n"/>
      <c r="IMF14" s="21" t="n"/>
      <c r="IMG14" s="21" t="n"/>
      <c r="IMH14" s="21" t="n"/>
      <c r="IMI14" s="21" t="n"/>
      <c r="IMJ14" s="21" t="n"/>
      <c r="IMK14" s="21" t="n"/>
      <c r="IML14" s="21" t="n"/>
      <c r="IMM14" s="21" t="n"/>
      <c r="IMN14" s="21" t="n"/>
      <c r="IMO14" s="21" t="n"/>
      <c r="IMP14" s="21" t="n"/>
      <c r="IMQ14" s="21" t="n"/>
      <c r="IMR14" s="21" t="n"/>
      <c r="IMS14" s="21" t="n"/>
      <c r="IMT14" s="21" t="n"/>
      <c r="IMU14" s="21" t="n"/>
      <c r="IMV14" s="21" t="n"/>
      <c r="IMW14" s="21" t="n"/>
      <c r="IMX14" s="21" t="n"/>
      <c r="IMY14" s="21" t="n"/>
      <c r="IMZ14" s="21" t="n"/>
      <c r="INA14" s="21" t="n"/>
      <c r="INB14" s="21" t="n"/>
      <c r="INC14" s="21" t="n"/>
      <c r="IND14" s="21" t="n"/>
      <c r="INE14" s="21" t="n"/>
      <c r="INF14" s="21" t="n"/>
      <c r="ING14" s="21" t="n"/>
      <c r="INH14" s="21" t="n"/>
      <c r="INI14" s="21" t="n"/>
      <c r="INJ14" s="21" t="n"/>
      <c r="INK14" s="21" t="n"/>
      <c r="INL14" s="21" t="n"/>
      <c r="INM14" s="21" t="n"/>
      <c r="INN14" s="21" t="n"/>
      <c r="INO14" s="21" t="n"/>
      <c r="INP14" s="21" t="n"/>
      <c r="INQ14" s="21" t="n"/>
      <c r="INR14" s="21" t="n"/>
      <c r="INS14" s="21" t="n"/>
      <c r="INT14" s="21" t="n"/>
      <c r="INU14" s="21" t="n"/>
      <c r="INV14" s="21" t="n"/>
      <c r="INW14" s="21" t="n"/>
      <c r="INX14" s="21" t="n"/>
      <c r="INY14" s="21" t="n"/>
      <c r="INZ14" s="21" t="n"/>
      <c r="IOA14" s="21" t="n"/>
      <c r="IOB14" s="21" t="n"/>
      <c r="IOC14" s="21" t="n"/>
      <c r="IOD14" s="21" t="n"/>
      <c r="IOE14" s="21" t="n"/>
      <c r="IOF14" s="21" t="n"/>
      <c r="IOG14" s="21" t="n"/>
      <c r="IOH14" s="21" t="n"/>
      <c r="IOI14" s="21" t="n"/>
      <c r="IOJ14" s="21" t="n"/>
      <c r="IOK14" s="21" t="n"/>
      <c r="IOL14" s="21" t="n"/>
      <c r="IOM14" s="21" t="n"/>
      <c r="ION14" s="21" t="n"/>
      <c r="IOO14" s="21" t="n"/>
      <c r="IOP14" s="21" t="n"/>
      <c r="IOQ14" s="21" t="n"/>
      <c r="IOR14" s="21" t="n"/>
      <c r="IOS14" s="21" t="n"/>
      <c r="IOT14" s="21" t="n"/>
      <c r="IOU14" s="21" t="n"/>
      <c r="IOV14" s="21" t="n"/>
      <c r="IOW14" s="21" t="n"/>
      <c r="IOX14" s="21" t="n"/>
      <c r="IOY14" s="21" t="n"/>
      <c r="IOZ14" s="21" t="n"/>
      <c r="IPA14" s="21" t="n"/>
      <c r="IPB14" s="21" t="n"/>
      <c r="IPC14" s="21" t="n"/>
      <c r="IPD14" s="21" t="n"/>
      <c r="IPE14" s="21" t="n"/>
      <c r="IPF14" s="21" t="n"/>
      <c r="IPG14" s="21" t="n"/>
      <c r="IPH14" s="21" t="n"/>
      <c r="IPI14" s="21" t="n"/>
      <c r="IPJ14" s="21" t="n"/>
      <c r="IPK14" s="21" t="n"/>
      <c r="IPL14" s="21" t="n"/>
      <c r="IPM14" s="21" t="n"/>
      <c r="IPN14" s="21" t="n"/>
      <c r="IPO14" s="21" t="n"/>
      <c r="IPP14" s="21" t="n"/>
      <c r="IPQ14" s="21" t="n"/>
      <c r="IPR14" s="21" t="n"/>
      <c r="IPS14" s="21" t="n"/>
      <c r="IPT14" s="21" t="n"/>
      <c r="IPU14" s="21" t="n"/>
      <c r="IPV14" s="21" t="n"/>
      <c r="IPW14" s="21" t="n"/>
      <c r="IPX14" s="21" t="n"/>
      <c r="IPY14" s="21" t="n"/>
      <c r="IPZ14" s="21" t="n"/>
      <c r="IQA14" s="21" t="n"/>
      <c r="IQB14" s="21" t="n"/>
      <c r="IQC14" s="21" t="n"/>
      <c r="IQD14" s="21" t="n"/>
      <c r="IQE14" s="21" t="n"/>
      <c r="IQF14" s="21" t="n"/>
      <c r="IQG14" s="21" t="n"/>
      <c r="IQH14" s="21" t="n"/>
      <c r="IQI14" s="21" t="n"/>
      <c r="IQJ14" s="21" t="n"/>
      <c r="IQK14" s="21" t="n"/>
      <c r="IQL14" s="21" t="n"/>
      <c r="IQM14" s="21" t="n"/>
      <c r="IQN14" s="21" t="n"/>
      <c r="IQO14" s="21" t="n"/>
      <c r="IQP14" s="21" t="n"/>
      <c r="IQQ14" s="21" t="n"/>
      <c r="IQR14" s="21" t="n"/>
      <c r="IQS14" s="21" t="n"/>
      <c r="IQT14" s="21" t="n"/>
      <c r="IQU14" s="21" t="n"/>
      <c r="IQV14" s="21" t="n"/>
      <c r="IQW14" s="21" t="n"/>
      <c r="IQX14" s="21" t="n"/>
      <c r="IQY14" s="21" t="n"/>
      <c r="IQZ14" s="21" t="n"/>
      <c r="IRA14" s="21" t="n"/>
      <c r="IRB14" s="21" t="n"/>
      <c r="IRC14" s="21" t="n"/>
      <c r="IRD14" s="21" t="n"/>
      <c r="IRE14" s="21" t="n"/>
      <c r="IRF14" s="21" t="n"/>
      <c r="IRG14" s="21" t="n"/>
      <c r="IRH14" s="21" t="n"/>
      <c r="IRI14" s="21" t="n"/>
      <c r="IRJ14" s="21" t="n"/>
      <c r="IRK14" s="21" t="n"/>
      <c r="IRL14" s="21" t="n"/>
      <c r="IRM14" s="21" t="n"/>
      <c r="IRN14" s="21" t="n"/>
      <c r="IRO14" s="21" t="n"/>
      <c r="IRP14" s="21" t="n"/>
      <c r="IRQ14" s="21" t="n"/>
      <c r="IRR14" s="21" t="n"/>
      <c r="IRS14" s="21" t="n"/>
      <c r="IRT14" s="21" t="n"/>
      <c r="IRU14" s="21" t="n"/>
      <c r="IRV14" s="21" t="n"/>
      <c r="IRW14" s="21" t="n"/>
      <c r="IRX14" s="21" t="n"/>
      <c r="IRY14" s="21" t="n"/>
      <c r="IRZ14" s="21" t="n"/>
      <c r="ISA14" s="21" t="n"/>
      <c r="ISB14" s="21" t="n"/>
      <c r="ISC14" s="21" t="n"/>
      <c r="ISD14" s="21" t="n"/>
      <c r="ISE14" s="21" t="n"/>
      <c r="ISF14" s="21" t="n"/>
      <c r="ISG14" s="21" t="n"/>
      <c r="ISH14" s="21" t="n"/>
      <c r="ISI14" s="21" t="n"/>
      <c r="ISJ14" s="21" t="n"/>
      <c r="ISK14" s="21" t="n"/>
      <c r="ISL14" s="21" t="n"/>
      <c r="ISM14" s="21" t="n"/>
      <c r="ISN14" s="21" t="n"/>
      <c r="ISO14" s="21" t="n"/>
      <c r="ISP14" s="21" t="n"/>
      <c r="ISQ14" s="21" t="n"/>
      <c r="ISR14" s="21" t="n"/>
      <c r="ISS14" s="21" t="n"/>
      <c r="IST14" s="21" t="n"/>
      <c r="ISU14" s="21" t="n"/>
      <c r="ISV14" s="21" t="n"/>
      <c r="ISW14" s="21" t="n"/>
      <c r="ISX14" s="21" t="n"/>
      <c r="ISY14" s="21" t="n"/>
      <c r="ISZ14" s="21" t="n"/>
      <c r="ITA14" s="21" t="n"/>
      <c r="ITB14" s="21" t="n"/>
      <c r="ITC14" s="21" t="n"/>
      <c r="ITD14" s="21" t="n"/>
      <c r="ITE14" s="21" t="n"/>
      <c r="ITF14" s="21" t="n"/>
      <c r="ITG14" s="21" t="n"/>
      <c r="ITH14" s="21" t="n"/>
      <c r="ITI14" s="21" t="n"/>
      <c r="ITJ14" s="21" t="n"/>
      <c r="ITK14" s="21" t="n"/>
      <c r="ITL14" s="21" t="n"/>
      <c r="ITM14" s="21" t="n"/>
      <c r="ITN14" s="21" t="n"/>
      <c r="ITO14" s="21" t="n"/>
      <c r="ITP14" s="21" t="n"/>
      <c r="ITQ14" s="21" t="n"/>
      <c r="ITR14" s="21" t="n"/>
      <c r="ITS14" s="21" t="n"/>
      <c r="ITT14" s="21" t="n"/>
      <c r="ITU14" s="21" t="n"/>
      <c r="ITV14" s="21" t="n"/>
      <c r="ITW14" s="21" t="n"/>
      <c r="ITX14" s="21" t="n"/>
      <c r="ITY14" s="21" t="n"/>
      <c r="ITZ14" s="21" t="n"/>
      <c r="IUA14" s="21" t="n"/>
      <c r="IUB14" s="21" t="n"/>
      <c r="IUC14" s="21" t="n"/>
      <c r="IUD14" s="21" t="n"/>
      <c r="IUE14" s="21" t="n"/>
      <c r="IUF14" s="21" t="n"/>
      <c r="IUG14" s="21" t="n"/>
      <c r="IUH14" s="21" t="n"/>
      <c r="IUI14" s="21" t="n"/>
      <c r="IUJ14" s="21" t="n"/>
      <c r="IUK14" s="21" t="n"/>
      <c r="IUL14" s="21" t="n"/>
      <c r="IUM14" s="21" t="n"/>
      <c r="IUN14" s="21" t="n"/>
      <c r="IUO14" s="21" t="n"/>
      <c r="IUP14" s="21" t="n"/>
      <c r="IUQ14" s="21" t="n"/>
      <c r="IUR14" s="21" t="n"/>
      <c r="IUS14" s="21" t="n"/>
      <c r="IUT14" s="21" t="n"/>
      <c r="IUU14" s="21" t="n"/>
      <c r="IUV14" s="21" t="n"/>
      <c r="IUW14" s="21" t="n"/>
      <c r="IUX14" s="21" t="n"/>
      <c r="IUY14" s="21" t="n"/>
      <c r="IUZ14" s="21" t="n"/>
      <c r="IVA14" s="21" t="n"/>
      <c r="IVB14" s="21" t="n"/>
      <c r="IVC14" s="21" t="n"/>
      <c r="IVD14" s="21" t="n"/>
      <c r="IVE14" s="21" t="n"/>
      <c r="IVF14" s="21" t="n"/>
      <c r="IVG14" s="21" t="n"/>
      <c r="IVH14" s="21" t="n"/>
      <c r="IVI14" s="21" t="n"/>
      <c r="IVJ14" s="21" t="n"/>
      <c r="IVK14" s="21" t="n"/>
      <c r="IVL14" s="21" t="n"/>
      <c r="IVM14" s="21" t="n"/>
      <c r="IVN14" s="21" t="n"/>
      <c r="IVO14" s="21" t="n"/>
      <c r="IVP14" s="21" t="n"/>
      <c r="IVQ14" s="21" t="n"/>
      <c r="IVR14" s="21" t="n"/>
      <c r="IVS14" s="21" t="n"/>
      <c r="IVT14" s="21" t="n"/>
      <c r="IVU14" s="21" t="n"/>
      <c r="IVV14" s="21" t="n"/>
      <c r="IVW14" s="21" t="n"/>
      <c r="IVX14" s="21" t="n"/>
      <c r="IVY14" s="21" t="n"/>
      <c r="IVZ14" s="21" t="n"/>
      <c r="IWA14" s="21" t="n"/>
      <c r="IWB14" s="21" t="n"/>
      <c r="IWC14" s="21" t="n"/>
      <c r="IWD14" s="21" t="n"/>
      <c r="IWE14" s="21" t="n"/>
      <c r="IWF14" s="21" t="n"/>
      <c r="IWG14" s="21" t="n"/>
      <c r="IWH14" s="21" t="n"/>
      <c r="IWI14" s="21" t="n"/>
      <c r="IWJ14" s="21" t="n"/>
      <c r="IWK14" s="21" t="n"/>
      <c r="IWL14" s="21" t="n"/>
      <c r="IWM14" s="21" t="n"/>
      <c r="IWN14" s="21" t="n"/>
      <c r="IWO14" s="21" t="n"/>
      <c r="IWP14" s="21" t="n"/>
      <c r="IWQ14" s="21" t="n"/>
      <c r="IWR14" s="21" t="n"/>
      <c r="IWS14" s="21" t="n"/>
      <c r="IWT14" s="21" t="n"/>
      <c r="IWU14" s="21" t="n"/>
      <c r="IWV14" s="21" t="n"/>
      <c r="IWW14" s="21" t="n"/>
      <c r="IWX14" s="21" t="n"/>
      <c r="IWY14" s="21" t="n"/>
      <c r="IWZ14" s="21" t="n"/>
      <c r="IXA14" s="21" t="n"/>
      <c r="IXB14" s="21" t="n"/>
      <c r="IXC14" s="21" t="n"/>
      <c r="IXD14" s="21" t="n"/>
      <c r="IXE14" s="21" t="n"/>
      <c r="IXF14" s="21" t="n"/>
      <c r="IXG14" s="21" t="n"/>
      <c r="IXH14" s="21" t="n"/>
      <c r="IXI14" s="21" t="n"/>
      <c r="IXJ14" s="21" t="n"/>
      <c r="IXK14" s="21" t="n"/>
      <c r="IXL14" s="21" t="n"/>
      <c r="IXM14" s="21" t="n"/>
      <c r="IXN14" s="21" t="n"/>
      <c r="IXO14" s="21" t="n"/>
      <c r="IXP14" s="21" t="n"/>
      <c r="IXQ14" s="21" t="n"/>
      <c r="IXR14" s="21" t="n"/>
      <c r="IXS14" s="21" t="n"/>
      <c r="IXT14" s="21" t="n"/>
      <c r="IXU14" s="21" t="n"/>
      <c r="IXV14" s="21" t="n"/>
      <c r="IXW14" s="21" t="n"/>
      <c r="IXX14" s="21" t="n"/>
      <c r="IXY14" s="21" t="n"/>
      <c r="IXZ14" s="21" t="n"/>
      <c r="IYA14" s="21" t="n"/>
      <c r="IYB14" s="21" t="n"/>
      <c r="IYC14" s="21" t="n"/>
      <c r="IYD14" s="21" t="n"/>
      <c r="IYE14" s="21" t="n"/>
      <c r="IYF14" s="21" t="n"/>
      <c r="IYG14" s="21" t="n"/>
      <c r="IYH14" s="21" t="n"/>
      <c r="IYI14" s="21" t="n"/>
      <c r="IYJ14" s="21" t="n"/>
      <c r="IYK14" s="21" t="n"/>
      <c r="IYL14" s="21" t="n"/>
      <c r="IYM14" s="21" t="n"/>
      <c r="IYN14" s="21" t="n"/>
      <c r="IYO14" s="21" t="n"/>
      <c r="IYP14" s="21" t="n"/>
      <c r="IYQ14" s="21" t="n"/>
      <c r="IYR14" s="21" t="n"/>
      <c r="IYS14" s="21" t="n"/>
      <c r="IYT14" s="21" t="n"/>
      <c r="IYU14" s="21" t="n"/>
      <c r="IYV14" s="21" t="n"/>
      <c r="IYW14" s="21" t="n"/>
      <c r="IYX14" s="21" t="n"/>
      <c r="IYY14" s="21" t="n"/>
      <c r="IYZ14" s="21" t="n"/>
      <c r="IZA14" s="21" t="n"/>
      <c r="IZB14" s="21" t="n"/>
      <c r="IZC14" s="21" t="n"/>
      <c r="IZD14" s="21" t="n"/>
      <c r="IZE14" s="21" t="n"/>
      <c r="IZF14" s="21" t="n"/>
      <c r="IZG14" s="21" t="n"/>
      <c r="IZH14" s="21" t="n"/>
      <c r="IZI14" s="21" t="n"/>
      <c r="IZJ14" s="21" t="n"/>
      <c r="IZK14" s="21" t="n"/>
      <c r="IZL14" s="21" t="n"/>
      <c r="IZM14" s="21" t="n"/>
      <c r="IZN14" s="21" t="n"/>
      <c r="IZO14" s="21" t="n"/>
      <c r="IZP14" s="21" t="n"/>
      <c r="IZQ14" s="21" t="n"/>
      <c r="IZR14" s="21" t="n"/>
      <c r="IZS14" s="21" t="n"/>
      <c r="IZT14" s="21" t="n"/>
      <c r="IZU14" s="21" t="n"/>
      <c r="IZV14" s="21" t="n"/>
      <c r="IZW14" s="21" t="n"/>
      <c r="IZX14" s="21" t="n"/>
      <c r="IZY14" s="21" t="n"/>
      <c r="IZZ14" s="21" t="n"/>
      <c r="JAA14" s="21" t="n"/>
      <c r="JAB14" s="21" t="n"/>
      <c r="JAC14" s="21" t="n"/>
      <c r="JAD14" s="21" t="n"/>
      <c r="JAE14" s="21" t="n"/>
      <c r="JAF14" s="21" t="n"/>
      <c r="JAG14" s="21" t="n"/>
      <c r="JAH14" s="21" t="n"/>
      <c r="JAI14" s="21" t="n"/>
      <c r="JAJ14" s="21" t="n"/>
      <c r="JAK14" s="21" t="n"/>
      <c r="JAL14" s="21" t="n"/>
      <c r="JAM14" s="21" t="n"/>
      <c r="JAN14" s="21" t="n"/>
      <c r="JAO14" s="21" t="n"/>
      <c r="JAP14" s="21" t="n"/>
      <c r="JAQ14" s="21" t="n"/>
      <c r="JAR14" s="21" t="n"/>
      <c r="JAS14" s="21" t="n"/>
      <c r="JAT14" s="21" t="n"/>
      <c r="JAU14" s="21" t="n"/>
      <c r="JAV14" s="21" t="n"/>
      <c r="JAW14" s="21" t="n"/>
      <c r="JAX14" s="21" t="n"/>
      <c r="JAY14" s="21" t="n"/>
      <c r="JAZ14" s="21" t="n"/>
      <c r="JBA14" s="21" t="n"/>
      <c r="JBB14" s="21" t="n"/>
      <c r="JBC14" s="21" t="n"/>
      <c r="JBD14" s="21" t="n"/>
      <c r="JBE14" s="21" t="n"/>
      <c r="JBF14" s="21" t="n"/>
      <c r="JBG14" s="21" t="n"/>
      <c r="JBH14" s="21" t="n"/>
      <c r="JBI14" s="21" t="n"/>
      <c r="JBJ14" s="21" t="n"/>
      <c r="JBK14" s="21" t="n"/>
      <c r="JBL14" s="21" t="n"/>
      <c r="JBM14" s="21" t="n"/>
      <c r="JBN14" s="21" t="n"/>
      <c r="JBO14" s="21" t="n"/>
      <c r="JBP14" s="21" t="n"/>
      <c r="JBQ14" s="21" t="n"/>
      <c r="JBR14" s="21" t="n"/>
      <c r="JBS14" s="21" t="n"/>
      <c r="JBT14" s="21" t="n"/>
      <c r="JBU14" s="21" t="n"/>
      <c r="JBV14" s="21" t="n"/>
      <c r="JBW14" s="21" t="n"/>
      <c r="JBX14" s="21" t="n"/>
      <c r="JBY14" s="21" t="n"/>
      <c r="JBZ14" s="21" t="n"/>
      <c r="JCA14" s="21" t="n"/>
      <c r="JCB14" s="21" t="n"/>
      <c r="JCC14" s="21" t="n"/>
      <c r="JCD14" s="21" t="n"/>
      <c r="JCE14" s="21" t="n"/>
      <c r="JCF14" s="21" t="n"/>
      <c r="JCG14" s="21" t="n"/>
      <c r="JCH14" s="21" t="n"/>
      <c r="JCI14" s="21" t="n"/>
      <c r="JCJ14" s="21" t="n"/>
      <c r="JCK14" s="21" t="n"/>
      <c r="JCL14" s="21" t="n"/>
      <c r="JCM14" s="21" t="n"/>
      <c r="JCN14" s="21" t="n"/>
      <c r="JCO14" s="21" t="n"/>
      <c r="JCP14" s="21" t="n"/>
      <c r="JCQ14" s="21" t="n"/>
      <c r="JCR14" s="21" t="n"/>
      <c r="JCS14" s="21" t="n"/>
      <c r="JCT14" s="21" t="n"/>
      <c r="JCU14" s="21" t="n"/>
      <c r="JCV14" s="21" t="n"/>
      <c r="JCW14" s="21" t="n"/>
      <c r="JCX14" s="21" t="n"/>
      <c r="JCY14" s="21" t="n"/>
      <c r="JCZ14" s="21" t="n"/>
      <c r="JDA14" s="21" t="n"/>
      <c r="JDB14" s="21" t="n"/>
      <c r="JDC14" s="21" t="n"/>
      <c r="JDD14" s="21" t="n"/>
      <c r="JDE14" s="21" t="n"/>
      <c r="JDF14" s="21" t="n"/>
      <c r="JDG14" s="21" t="n"/>
      <c r="JDH14" s="21" t="n"/>
      <c r="JDI14" s="21" t="n"/>
      <c r="JDJ14" s="21" t="n"/>
      <c r="JDK14" s="21" t="n"/>
      <c r="JDL14" s="21" t="n"/>
      <c r="JDM14" s="21" t="n"/>
      <c r="JDN14" s="21" t="n"/>
      <c r="JDO14" s="21" t="n"/>
      <c r="JDP14" s="21" t="n"/>
      <c r="JDQ14" s="21" t="n"/>
      <c r="JDR14" s="21" t="n"/>
      <c r="JDS14" s="21" t="n"/>
      <c r="JDT14" s="21" t="n"/>
      <c r="JDU14" s="21" t="n"/>
      <c r="JDV14" s="21" t="n"/>
      <c r="JDW14" s="21" t="n"/>
      <c r="JDX14" s="21" t="n"/>
      <c r="JDY14" s="21" t="n"/>
      <c r="JDZ14" s="21" t="n"/>
      <c r="JEA14" s="21" t="n"/>
      <c r="JEB14" s="21" t="n"/>
      <c r="JEC14" s="21" t="n"/>
      <c r="JED14" s="21" t="n"/>
      <c r="JEE14" s="21" t="n"/>
      <c r="JEF14" s="21" t="n"/>
      <c r="JEG14" s="21" t="n"/>
      <c r="JEH14" s="21" t="n"/>
      <c r="JEI14" s="21" t="n"/>
      <c r="JEJ14" s="21" t="n"/>
      <c r="JEK14" s="21" t="n"/>
      <c r="JEL14" s="21" t="n"/>
      <c r="JEM14" s="21" t="n"/>
      <c r="JEN14" s="21" t="n"/>
      <c r="JEO14" s="21" t="n"/>
      <c r="JEP14" s="21" t="n"/>
      <c r="JEQ14" s="21" t="n"/>
      <c r="JER14" s="21" t="n"/>
      <c r="JES14" s="21" t="n"/>
      <c r="JET14" s="21" t="n"/>
      <c r="JEU14" s="21" t="n"/>
      <c r="JEV14" s="21" t="n"/>
      <c r="JEW14" s="21" t="n"/>
      <c r="JEX14" s="21" t="n"/>
      <c r="JEY14" s="21" t="n"/>
      <c r="JEZ14" s="21" t="n"/>
      <c r="JFA14" s="21" t="n"/>
      <c r="JFB14" s="21" t="n"/>
      <c r="JFC14" s="21" t="n"/>
      <c r="JFD14" s="21" t="n"/>
      <c r="JFE14" s="21" t="n"/>
      <c r="JFF14" s="21" t="n"/>
      <c r="JFG14" s="21" t="n"/>
      <c r="JFH14" s="21" t="n"/>
      <c r="JFI14" s="21" t="n"/>
      <c r="JFJ14" s="21" t="n"/>
      <c r="JFK14" s="21" t="n"/>
      <c r="JFL14" s="21" t="n"/>
      <c r="JFM14" s="21" t="n"/>
      <c r="JFN14" s="21" t="n"/>
      <c r="JFO14" s="21" t="n"/>
      <c r="JFP14" s="21" t="n"/>
      <c r="JFQ14" s="21" t="n"/>
      <c r="JFR14" s="21" t="n"/>
      <c r="JFS14" s="21" t="n"/>
      <c r="JFT14" s="21" t="n"/>
      <c r="JFU14" s="21" t="n"/>
      <c r="JFV14" s="21" t="n"/>
      <c r="JFW14" s="21" t="n"/>
      <c r="JFX14" s="21" t="n"/>
      <c r="JFY14" s="21" t="n"/>
      <c r="JFZ14" s="21" t="n"/>
      <c r="JGA14" s="21" t="n"/>
      <c r="JGB14" s="21" t="n"/>
      <c r="JGC14" s="21" t="n"/>
      <c r="JGD14" s="21" t="n"/>
      <c r="JGE14" s="21" t="n"/>
      <c r="JGF14" s="21" t="n"/>
      <c r="JGG14" s="21" t="n"/>
      <c r="JGH14" s="21" t="n"/>
      <c r="JGI14" s="21" t="n"/>
      <c r="JGJ14" s="21" t="n"/>
      <c r="JGK14" s="21" t="n"/>
      <c r="JGL14" s="21" t="n"/>
      <c r="JGM14" s="21" t="n"/>
      <c r="JGN14" s="21" t="n"/>
      <c r="JGO14" s="21" t="n"/>
      <c r="JGP14" s="21" t="n"/>
      <c r="JGQ14" s="21" t="n"/>
      <c r="JGR14" s="21" t="n"/>
      <c r="JGS14" s="21" t="n"/>
      <c r="JGT14" s="21" t="n"/>
      <c r="JGU14" s="21" t="n"/>
      <c r="JGV14" s="21" t="n"/>
      <c r="JGW14" s="21" t="n"/>
      <c r="JGX14" s="21" t="n"/>
      <c r="JGY14" s="21" t="n"/>
      <c r="JGZ14" s="21" t="n"/>
      <c r="JHA14" s="21" t="n"/>
      <c r="JHB14" s="21" t="n"/>
      <c r="JHC14" s="21" t="n"/>
      <c r="JHD14" s="21" t="n"/>
      <c r="JHE14" s="21" t="n"/>
      <c r="JHF14" s="21" t="n"/>
      <c r="JHG14" s="21" t="n"/>
      <c r="JHH14" s="21" t="n"/>
      <c r="JHI14" s="21" t="n"/>
      <c r="JHJ14" s="21" t="n"/>
      <c r="JHK14" s="21" t="n"/>
      <c r="JHL14" s="21" t="n"/>
      <c r="JHM14" s="21" t="n"/>
      <c r="JHN14" s="21" t="n"/>
      <c r="JHO14" s="21" t="n"/>
      <c r="JHP14" s="21" t="n"/>
      <c r="JHQ14" s="21" t="n"/>
      <c r="JHR14" s="21" t="n"/>
      <c r="JHS14" s="21" t="n"/>
      <c r="JHT14" s="21" t="n"/>
      <c r="JHU14" s="21" t="n"/>
      <c r="JHV14" s="21" t="n"/>
      <c r="JHW14" s="21" t="n"/>
      <c r="JHX14" s="21" t="n"/>
      <c r="JHY14" s="21" t="n"/>
      <c r="JHZ14" s="21" t="n"/>
      <c r="JIA14" s="21" t="n"/>
      <c r="JIB14" s="21" t="n"/>
      <c r="JIC14" s="21" t="n"/>
      <c r="JID14" s="21" t="n"/>
      <c r="JIE14" s="21" t="n"/>
      <c r="JIF14" s="21" t="n"/>
      <c r="JIG14" s="21" t="n"/>
      <c r="JIH14" s="21" t="n"/>
      <c r="JII14" s="21" t="n"/>
      <c r="JIJ14" s="21" t="n"/>
      <c r="JIK14" s="21" t="n"/>
      <c r="JIL14" s="21" t="n"/>
      <c r="JIM14" s="21" t="n"/>
      <c r="JIN14" s="21" t="n"/>
      <c r="JIO14" s="21" t="n"/>
      <c r="JIP14" s="21" t="n"/>
      <c r="JIQ14" s="21" t="n"/>
      <c r="JIR14" s="21" t="n"/>
      <c r="JIS14" s="21" t="n"/>
      <c r="JIT14" s="21" t="n"/>
      <c r="JIU14" s="21" t="n"/>
      <c r="JIV14" s="21" t="n"/>
      <c r="JIW14" s="21" t="n"/>
      <c r="JIX14" s="21" t="n"/>
      <c r="JIY14" s="21" t="n"/>
      <c r="JIZ14" s="21" t="n"/>
      <c r="JJA14" s="21" t="n"/>
      <c r="JJB14" s="21" t="n"/>
      <c r="JJC14" s="21" t="n"/>
      <c r="JJD14" s="21" t="n"/>
      <c r="JJE14" s="21" t="n"/>
      <c r="JJF14" s="21" t="n"/>
      <c r="JJG14" s="21" t="n"/>
      <c r="JJH14" s="21" t="n"/>
      <c r="JJI14" s="21" t="n"/>
      <c r="JJJ14" s="21" t="n"/>
      <c r="JJK14" s="21" t="n"/>
      <c r="JJL14" s="21" t="n"/>
      <c r="JJM14" s="21" t="n"/>
      <c r="JJN14" s="21" t="n"/>
      <c r="JJO14" s="21" t="n"/>
      <c r="JJP14" s="21" t="n"/>
      <c r="JJQ14" s="21" t="n"/>
      <c r="JJR14" s="21" t="n"/>
      <c r="JJS14" s="21" t="n"/>
      <c r="JJT14" s="21" t="n"/>
      <c r="JJU14" s="21" t="n"/>
      <c r="JJV14" s="21" t="n"/>
      <c r="JJW14" s="21" t="n"/>
      <c r="JJX14" s="21" t="n"/>
      <c r="JJY14" s="21" t="n"/>
      <c r="JJZ14" s="21" t="n"/>
      <c r="JKA14" s="21" t="n"/>
      <c r="JKB14" s="21" t="n"/>
      <c r="JKC14" s="21" t="n"/>
      <c r="JKD14" s="21" t="n"/>
      <c r="JKE14" s="21" t="n"/>
      <c r="JKF14" s="21" t="n"/>
      <c r="JKG14" s="21" t="n"/>
      <c r="JKH14" s="21" t="n"/>
      <c r="JKI14" s="21" t="n"/>
      <c r="JKJ14" s="21" t="n"/>
      <c r="JKK14" s="21" t="n"/>
      <c r="JKL14" s="21" t="n"/>
      <c r="JKM14" s="21" t="n"/>
      <c r="JKN14" s="21" t="n"/>
      <c r="JKO14" s="21" t="n"/>
      <c r="JKP14" s="21" t="n"/>
      <c r="JKQ14" s="21" t="n"/>
      <c r="JKR14" s="21" t="n"/>
      <c r="JKS14" s="21" t="n"/>
      <c r="JKT14" s="21" t="n"/>
      <c r="JKU14" s="21" t="n"/>
      <c r="JKV14" s="21" t="n"/>
      <c r="JKW14" s="21" t="n"/>
      <c r="JKX14" s="21" t="n"/>
      <c r="JKY14" s="21" t="n"/>
      <c r="JKZ14" s="21" t="n"/>
      <c r="JLA14" s="21" t="n"/>
      <c r="JLB14" s="21" t="n"/>
      <c r="JLC14" s="21" t="n"/>
      <c r="JLD14" s="21" t="n"/>
      <c r="JLE14" s="21" t="n"/>
      <c r="JLF14" s="21" t="n"/>
      <c r="JLG14" s="21" t="n"/>
      <c r="JLH14" s="21" t="n"/>
      <c r="JLI14" s="21" t="n"/>
      <c r="JLJ14" s="21" t="n"/>
      <c r="JLK14" s="21" t="n"/>
      <c r="JLL14" s="21" t="n"/>
      <c r="JLM14" s="21" t="n"/>
      <c r="JLN14" s="21" t="n"/>
      <c r="JLO14" s="21" t="n"/>
      <c r="JLP14" s="21" t="n"/>
      <c r="JLQ14" s="21" t="n"/>
      <c r="JLR14" s="21" t="n"/>
      <c r="JLS14" s="21" t="n"/>
      <c r="JLT14" s="21" t="n"/>
      <c r="JLU14" s="21" t="n"/>
      <c r="JLV14" s="21" t="n"/>
      <c r="JLW14" s="21" t="n"/>
      <c r="JLX14" s="21" t="n"/>
      <c r="JLY14" s="21" t="n"/>
      <c r="JLZ14" s="21" t="n"/>
      <c r="JMA14" s="21" t="n"/>
      <c r="JMB14" s="21" t="n"/>
      <c r="JMC14" s="21" t="n"/>
      <c r="JMD14" s="21" t="n"/>
      <c r="JME14" s="21" t="n"/>
      <c r="JMF14" s="21" t="n"/>
      <c r="JMG14" s="21" t="n"/>
      <c r="JMH14" s="21" t="n"/>
      <c r="JMI14" s="21" t="n"/>
      <c r="JMJ14" s="21" t="n"/>
      <c r="JMK14" s="21" t="n"/>
      <c r="JML14" s="21" t="n"/>
      <c r="JMM14" s="21" t="n"/>
      <c r="JMN14" s="21" t="n"/>
      <c r="JMO14" s="21" t="n"/>
      <c r="JMP14" s="21" t="n"/>
      <c r="JMQ14" s="21" t="n"/>
      <c r="JMR14" s="21" t="n"/>
      <c r="JMS14" s="21" t="n"/>
      <c r="JMT14" s="21" t="n"/>
      <c r="JMU14" s="21" t="n"/>
      <c r="JMV14" s="21" t="n"/>
      <c r="JMW14" s="21" t="n"/>
      <c r="JMX14" s="21" t="n"/>
      <c r="JMY14" s="21" t="n"/>
      <c r="JMZ14" s="21" t="n"/>
      <c r="JNA14" s="21" t="n"/>
      <c r="JNB14" s="21" t="n"/>
      <c r="JNC14" s="21" t="n"/>
      <c r="JND14" s="21" t="n"/>
      <c r="JNE14" s="21" t="n"/>
      <c r="JNF14" s="21" t="n"/>
      <c r="JNG14" s="21" t="n"/>
      <c r="JNH14" s="21" t="n"/>
      <c r="JNI14" s="21" t="n"/>
      <c r="JNJ14" s="21" t="n"/>
      <c r="JNK14" s="21" t="n"/>
      <c r="JNL14" s="21" t="n"/>
      <c r="JNM14" s="21" t="n"/>
      <c r="JNN14" s="21" t="n"/>
      <c r="JNO14" s="21" t="n"/>
      <c r="JNP14" s="21" t="n"/>
      <c r="JNQ14" s="21" t="n"/>
      <c r="JNR14" s="21" t="n"/>
      <c r="JNS14" s="21" t="n"/>
      <c r="JNT14" s="21" t="n"/>
      <c r="JNU14" s="21" t="n"/>
      <c r="JNV14" s="21" t="n"/>
      <c r="JNW14" s="21" t="n"/>
      <c r="JNX14" s="21" t="n"/>
      <c r="JNY14" s="21" t="n"/>
      <c r="JNZ14" s="21" t="n"/>
      <c r="JOA14" s="21" t="n"/>
      <c r="JOB14" s="21" t="n"/>
      <c r="JOC14" s="21" t="n"/>
      <c r="JOD14" s="21" t="n"/>
      <c r="JOE14" s="21" t="n"/>
      <c r="JOF14" s="21" t="n"/>
      <c r="JOG14" s="21" t="n"/>
      <c r="JOH14" s="21" t="n"/>
      <c r="JOI14" s="21" t="n"/>
      <c r="JOJ14" s="21" t="n"/>
      <c r="JOK14" s="21" t="n"/>
      <c r="JOL14" s="21" t="n"/>
      <c r="JOM14" s="21" t="n"/>
      <c r="JON14" s="21" t="n"/>
      <c r="JOO14" s="21" t="n"/>
      <c r="JOP14" s="21" t="n"/>
      <c r="JOQ14" s="21" t="n"/>
      <c r="JOR14" s="21" t="n"/>
      <c r="JOS14" s="21" t="n"/>
      <c r="JOT14" s="21" t="n"/>
      <c r="JOU14" s="21" t="n"/>
      <c r="JOV14" s="21" t="n"/>
      <c r="JOW14" s="21" t="n"/>
      <c r="JOX14" s="21" t="n"/>
      <c r="JOY14" s="21" t="n"/>
      <c r="JOZ14" s="21" t="n"/>
      <c r="JPA14" s="21" t="n"/>
      <c r="JPB14" s="21" t="n"/>
      <c r="JPC14" s="21" t="n"/>
      <c r="JPD14" s="21" t="n"/>
      <c r="JPE14" s="21" t="n"/>
      <c r="JPF14" s="21" t="n"/>
      <c r="JPG14" s="21" t="n"/>
      <c r="JPH14" s="21" t="n"/>
      <c r="JPI14" s="21" t="n"/>
      <c r="JPJ14" s="21" t="n"/>
      <c r="JPK14" s="21" t="n"/>
      <c r="JPL14" s="21" t="n"/>
      <c r="JPM14" s="21" t="n"/>
      <c r="JPN14" s="21" t="n"/>
      <c r="JPO14" s="21" t="n"/>
      <c r="JPP14" s="21" t="n"/>
      <c r="JPQ14" s="21" t="n"/>
      <c r="JPR14" s="21" t="n"/>
      <c r="JPS14" s="21" t="n"/>
      <c r="JPT14" s="21" t="n"/>
      <c r="JPU14" s="21" t="n"/>
      <c r="JPV14" s="21" t="n"/>
      <c r="JPW14" s="21" t="n"/>
      <c r="JPX14" s="21" t="n"/>
      <c r="JPY14" s="21" t="n"/>
      <c r="JPZ14" s="21" t="n"/>
      <c r="JQA14" s="21" t="n"/>
      <c r="JQB14" s="21" t="n"/>
      <c r="JQC14" s="21" t="n"/>
      <c r="JQD14" s="21" t="n"/>
      <c r="JQE14" s="21" t="n"/>
      <c r="JQF14" s="21" t="n"/>
      <c r="JQG14" s="21" t="n"/>
      <c r="JQH14" s="21" t="n"/>
      <c r="JQI14" s="21" t="n"/>
      <c r="JQJ14" s="21" t="n"/>
      <c r="JQK14" s="21" t="n"/>
      <c r="JQL14" s="21" t="n"/>
      <c r="JQM14" s="21" t="n"/>
      <c r="JQN14" s="21" t="n"/>
      <c r="JQO14" s="21" t="n"/>
      <c r="JQP14" s="21" t="n"/>
      <c r="JQQ14" s="21" t="n"/>
      <c r="JQR14" s="21" t="n"/>
      <c r="JQS14" s="21" t="n"/>
      <c r="JQT14" s="21" t="n"/>
      <c r="JQU14" s="21" t="n"/>
      <c r="JQV14" s="21" t="n"/>
      <c r="JQW14" s="21" t="n"/>
      <c r="JQX14" s="21" t="n"/>
      <c r="JQY14" s="21" t="n"/>
      <c r="JQZ14" s="21" t="n"/>
      <c r="JRA14" s="21" t="n"/>
      <c r="JRB14" s="21" t="n"/>
      <c r="JRC14" s="21" t="n"/>
      <c r="JRD14" s="21" t="n"/>
      <c r="JRE14" s="21" t="n"/>
      <c r="JRF14" s="21" t="n"/>
      <c r="JRG14" s="21" t="n"/>
      <c r="JRH14" s="21" t="n"/>
      <c r="JRI14" s="21" t="n"/>
      <c r="JRJ14" s="21" t="n"/>
      <c r="JRK14" s="21" t="n"/>
      <c r="JRL14" s="21" t="n"/>
      <c r="JRM14" s="21" t="n"/>
      <c r="JRN14" s="21" t="n"/>
      <c r="JRO14" s="21" t="n"/>
      <c r="JRP14" s="21" t="n"/>
      <c r="JRQ14" s="21" t="n"/>
      <c r="JRR14" s="21" t="n"/>
      <c r="JRS14" s="21" t="n"/>
      <c r="JRT14" s="21" t="n"/>
      <c r="JRU14" s="21" t="n"/>
      <c r="JRV14" s="21" t="n"/>
      <c r="JRW14" s="21" t="n"/>
      <c r="JRX14" s="21" t="n"/>
      <c r="JRY14" s="21" t="n"/>
      <c r="JRZ14" s="21" t="n"/>
      <c r="JSA14" s="21" t="n"/>
      <c r="JSB14" s="21" t="n"/>
      <c r="JSC14" s="21" t="n"/>
      <c r="JSD14" s="21" t="n"/>
      <c r="JSE14" s="21" t="n"/>
      <c r="JSF14" s="21" t="n"/>
      <c r="JSG14" s="21" t="n"/>
      <c r="JSH14" s="21" t="n"/>
      <c r="JSI14" s="21" t="n"/>
      <c r="JSJ14" s="21" t="n"/>
      <c r="JSK14" s="21" t="n"/>
      <c r="JSL14" s="21" t="n"/>
      <c r="JSM14" s="21" t="n"/>
      <c r="JSN14" s="21" t="n"/>
      <c r="JSO14" s="21" t="n"/>
      <c r="JSP14" s="21" t="n"/>
      <c r="JSQ14" s="21" t="n"/>
      <c r="JSR14" s="21" t="n"/>
      <c r="JSS14" s="21" t="n"/>
      <c r="JST14" s="21" t="n"/>
      <c r="JSU14" s="21" t="n"/>
      <c r="JSV14" s="21" t="n"/>
      <c r="JSW14" s="21" t="n"/>
      <c r="JSX14" s="21" t="n"/>
      <c r="JSY14" s="21" t="n"/>
      <c r="JSZ14" s="21" t="n"/>
      <c r="JTA14" s="21" t="n"/>
      <c r="JTB14" s="21" t="n"/>
      <c r="JTC14" s="21" t="n"/>
      <c r="JTD14" s="21" t="n"/>
      <c r="JTE14" s="21" t="n"/>
      <c r="JTF14" s="21" t="n"/>
      <c r="JTG14" s="21" t="n"/>
      <c r="JTH14" s="21" t="n"/>
      <c r="JTI14" s="21" t="n"/>
      <c r="JTJ14" s="21" t="n"/>
      <c r="JTK14" s="21" t="n"/>
      <c r="JTL14" s="21" t="n"/>
      <c r="JTM14" s="21" t="n"/>
      <c r="JTN14" s="21" t="n"/>
      <c r="JTO14" s="21" t="n"/>
      <c r="JTP14" s="21" t="n"/>
      <c r="JTQ14" s="21" t="n"/>
      <c r="JTR14" s="21" t="n"/>
      <c r="JTS14" s="21" t="n"/>
      <c r="JTT14" s="21" t="n"/>
      <c r="JTU14" s="21" t="n"/>
      <c r="JTV14" s="21" t="n"/>
      <c r="JTW14" s="21" t="n"/>
      <c r="JTX14" s="21" t="n"/>
      <c r="JTY14" s="21" t="n"/>
      <c r="JTZ14" s="21" t="n"/>
      <c r="JUA14" s="21" t="n"/>
      <c r="JUB14" s="21" t="n"/>
      <c r="JUC14" s="21" t="n"/>
      <c r="JUD14" s="21" t="n"/>
      <c r="JUE14" s="21" t="n"/>
      <c r="JUF14" s="21" t="n"/>
      <c r="JUG14" s="21" t="n"/>
      <c r="JUH14" s="21" t="n"/>
      <c r="JUI14" s="21" t="n"/>
      <c r="JUJ14" s="21" t="n"/>
      <c r="JUK14" s="21" t="n"/>
      <c r="JUL14" s="21" t="n"/>
      <c r="JUM14" s="21" t="n"/>
      <c r="JUN14" s="21" t="n"/>
      <c r="JUO14" s="21" t="n"/>
      <c r="JUP14" s="21" t="n"/>
      <c r="JUQ14" s="21" t="n"/>
      <c r="JUR14" s="21" t="n"/>
      <c r="JUS14" s="21" t="n"/>
      <c r="JUT14" s="21" t="n"/>
      <c r="JUU14" s="21" t="n"/>
      <c r="JUV14" s="21" t="n"/>
      <c r="JUW14" s="21" t="n"/>
      <c r="JUX14" s="21" t="n"/>
      <c r="JUY14" s="21" t="n"/>
      <c r="JUZ14" s="21" t="n"/>
      <c r="JVA14" s="21" t="n"/>
      <c r="JVB14" s="21" t="n"/>
      <c r="JVC14" s="21" t="n"/>
      <c r="JVD14" s="21" t="n"/>
      <c r="JVE14" s="21" t="n"/>
      <c r="JVF14" s="21" t="n"/>
      <c r="JVG14" s="21" t="n"/>
      <c r="JVH14" s="21" t="n"/>
      <c r="JVI14" s="21" t="n"/>
      <c r="JVJ14" s="21" t="n"/>
      <c r="JVK14" s="21" t="n"/>
      <c r="JVL14" s="21" t="n"/>
      <c r="JVM14" s="21" t="n"/>
      <c r="JVN14" s="21" t="n"/>
      <c r="JVO14" s="21" t="n"/>
      <c r="JVP14" s="21" t="n"/>
      <c r="JVQ14" s="21" t="n"/>
      <c r="JVR14" s="21" t="n"/>
      <c r="JVS14" s="21" t="n"/>
      <c r="JVT14" s="21" t="n"/>
      <c r="JVU14" s="21" t="n"/>
      <c r="JVV14" s="21" t="n"/>
      <c r="JVW14" s="21" t="n"/>
      <c r="JVX14" s="21" t="n"/>
      <c r="JVY14" s="21" t="n"/>
      <c r="JVZ14" s="21" t="n"/>
      <c r="JWA14" s="21" t="n"/>
      <c r="JWB14" s="21" t="n"/>
      <c r="JWC14" s="21" t="n"/>
      <c r="JWD14" s="21" t="n"/>
      <c r="JWE14" s="21" t="n"/>
      <c r="JWF14" s="21" t="n"/>
      <c r="JWG14" s="21" t="n"/>
      <c r="JWH14" s="21" t="n"/>
      <c r="JWI14" s="21" t="n"/>
      <c r="JWJ14" s="21" t="n"/>
      <c r="JWK14" s="21" t="n"/>
      <c r="JWL14" s="21" t="n"/>
      <c r="JWM14" s="21" t="n"/>
      <c r="JWN14" s="21" t="n"/>
      <c r="JWO14" s="21" t="n"/>
      <c r="JWP14" s="21" t="n"/>
      <c r="JWQ14" s="21" t="n"/>
      <c r="JWR14" s="21" t="n"/>
      <c r="JWS14" s="21" t="n"/>
      <c r="JWT14" s="21" t="n"/>
      <c r="JWU14" s="21" t="n"/>
      <c r="JWV14" s="21" t="n"/>
      <c r="JWW14" s="21" t="n"/>
      <c r="JWX14" s="21" t="n"/>
      <c r="JWY14" s="21" t="n"/>
      <c r="JWZ14" s="21" t="n"/>
      <c r="JXA14" s="21" t="n"/>
      <c r="JXB14" s="21" t="n"/>
      <c r="JXC14" s="21" t="n"/>
      <c r="JXD14" s="21" t="n"/>
      <c r="JXE14" s="21" t="n"/>
      <c r="JXF14" s="21" t="n"/>
      <c r="JXG14" s="21" t="n"/>
      <c r="JXH14" s="21" t="n"/>
      <c r="JXI14" s="21" t="n"/>
      <c r="JXJ14" s="21" t="n"/>
      <c r="JXK14" s="21" t="n"/>
      <c r="JXL14" s="21" t="n"/>
      <c r="JXM14" s="21" t="n"/>
      <c r="JXN14" s="21" t="n"/>
      <c r="JXO14" s="21" t="n"/>
      <c r="JXP14" s="21" t="n"/>
      <c r="JXQ14" s="21" t="n"/>
      <c r="JXR14" s="21" t="n"/>
      <c r="JXS14" s="21" t="n"/>
      <c r="JXT14" s="21" t="n"/>
      <c r="JXU14" s="21" t="n"/>
      <c r="JXV14" s="21" t="n"/>
      <c r="JXW14" s="21" t="n"/>
      <c r="JXX14" s="21" t="n"/>
      <c r="JXY14" s="21" t="n"/>
      <c r="JXZ14" s="21" t="n"/>
      <c r="JYA14" s="21" t="n"/>
      <c r="JYB14" s="21" t="n"/>
      <c r="JYC14" s="21" t="n"/>
      <c r="JYD14" s="21" t="n"/>
      <c r="JYE14" s="21" t="n"/>
      <c r="JYF14" s="21" t="n"/>
      <c r="JYG14" s="21" t="n"/>
      <c r="JYH14" s="21" t="n"/>
      <c r="JYI14" s="21" t="n"/>
      <c r="JYJ14" s="21" t="n"/>
      <c r="JYK14" s="21" t="n"/>
      <c r="JYL14" s="21" t="n"/>
      <c r="JYM14" s="21" t="n"/>
      <c r="JYN14" s="21" t="n"/>
      <c r="JYO14" s="21" t="n"/>
      <c r="JYP14" s="21" t="n"/>
      <c r="JYQ14" s="21" t="n"/>
      <c r="JYR14" s="21" t="n"/>
      <c r="JYS14" s="21" t="n"/>
      <c r="JYT14" s="21" t="n"/>
      <c r="JYU14" s="21" t="n"/>
      <c r="JYV14" s="21" t="n"/>
      <c r="JYW14" s="21" t="n"/>
      <c r="JYX14" s="21" t="n"/>
      <c r="JYY14" s="21" t="n"/>
      <c r="JYZ14" s="21" t="n"/>
      <c r="JZA14" s="21" t="n"/>
      <c r="JZB14" s="21" t="n"/>
      <c r="JZC14" s="21" t="n"/>
      <c r="JZD14" s="21" t="n"/>
      <c r="JZE14" s="21" t="n"/>
      <c r="JZF14" s="21" t="n"/>
      <c r="JZG14" s="21" t="n"/>
      <c r="JZH14" s="21" t="n"/>
      <c r="JZI14" s="21" t="n"/>
      <c r="JZJ14" s="21" t="n"/>
      <c r="JZK14" s="21" t="n"/>
      <c r="JZL14" s="21" t="n"/>
      <c r="JZM14" s="21" t="n"/>
      <c r="JZN14" s="21" t="n"/>
      <c r="JZO14" s="21" t="n"/>
      <c r="JZP14" s="21" t="n"/>
      <c r="JZQ14" s="21" t="n"/>
      <c r="JZR14" s="21" t="n"/>
      <c r="JZS14" s="21" t="n"/>
      <c r="JZT14" s="21" t="n"/>
      <c r="JZU14" s="21" t="n"/>
      <c r="JZV14" s="21" t="n"/>
      <c r="JZW14" s="21" t="n"/>
      <c r="JZX14" s="21" t="n"/>
      <c r="JZY14" s="21" t="n"/>
      <c r="JZZ14" s="21" t="n"/>
      <c r="KAA14" s="21" t="n"/>
      <c r="KAB14" s="21" t="n"/>
      <c r="KAC14" s="21" t="n"/>
      <c r="KAD14" s="21" t="n"/>
      <c r="KAE14" s="21" t="n"/>
      <c r="KAF14" s="21" t="n"/>
      <c r="KAG14" s="21" t="n"/>
      <c r="KAH14" s="21" t="n"/>
      <c r="KAI14" s="21" t="n"/>
      <c r="KAJ14" s="21" t="n"/>
      <c r="KAK14" s="21" t="n"/>
      <c r="KAL14" s="21" t="n"/>
      <c r="KAM14" s="21" t="n"/>
      <c r="KAN14" s="21" t="n"/>
      <c r="KAO14" s="21" t="n"/>
      <c r="KAP14" s="21" t="n"/>
      <c r="KAQ14" s="21" t="n"/>
      <c r="KAR14" s="21" t="n"/>
      <c r="KAS14" s="21" t="n"/>
      <c r="KAT14" s="21" t="n"/>
      <c r="KAU14" s="21" t="n"/>
      <c r="KAV14" s="21" t="n"/>
      <c r="KAW14" s="21" t="n"/>
      <c r="KAX14" s="21" t="n"/>
      <c r="KAY14" s="21" t="n"/>
      <c r="KAZ14" s="21" t="n"/>
      <c r="KBA14" s="21" t="n"/>
      <c r="KBB14" s="21" t="n"/>
      <c r="KBC14" s="21" t="n"/>
      <c r="KBD14" s="21" t="n"/>
      <c r="KBE14" s="21" t="n"/>
      <c r="KBF14" s="21" t="n"/>
      <c r="KBG14" s="21" t="n"/>
      <c r="KBH14" s="21" t="n"/>
      <c r="KBI14" s="21" t="n"/>
      <c r="KBJ14" s="21" t="n"/>
      <c r="KBK14" s="21" t="n"/>
      <c r="KBL14" s="21" t="n"/>
      <c r="KBM14" s="21" t="n"/>
      <c r="KBN14" s="21" t="n"/>
      <c r="KBO14" s="21" t="n"/>
      <c r="KBP14" s="21" t="n"/>
      <c r="KBQ14" s="21" t="n"/>
      <c r="KBR14" s="21" t="n"/>
      <c r="KBS14" s="21" t="n"/>
      <c r="KBT14" s="21" t="n"/>
      <c r="KBU14" s="21" t="n"/>
      <c r="KBV14" s="21" t="n"/>
      <c r="KBW14" s="21" t="n"/>
      <c r="KBX14" s="21" t="n"/>
      <c r="KBY14" s="21" t="n"/>
      <c r="KBZ14" s="21" t="n"/>
      <c r="KCA14" s="21" t="n"/>
      <c r="KCB14" s="21" t="n"/>
      <c r="KCC14" s="21" t="n"/>
      <c r="KCD14" s="21" t="n"/>
      <c r="KCE14" s="21" t="n"/>
      <c r="KCF14" s="21" t="n"/>
      <c r="KCG14" s="21" t="n"/>
      <c r="KCH14" s="21" t="n"/>
      <c r="KCI14" s="21" t="n"/>
      <c r="KCJ14" s="21" t="n"/>
      <c r="KCK14" s="21" t="n"/>
      <c r="KCL14" s="21" t="n"/>
      <c r="KCM14" s="21" t="n"/>
      <c r="KCN14" s="21" t="n"/>
      <c r="KCO14" s="21" t="n"/>
      <c r="KCP14" s="21" t="n"/>
      <c r="KCQ14" s="21" t="n"/>
      <c r="KCR14" s="21" t="n"/>
      <c r="KCS14" s="21" t="n"/>
      <c r="KCT14" s="21" t="n"/>
      <c r="KCU14" s="21" t="n"/>
      <c r="KCV14" s="21" t="n"/>
      <c r="KCW14" s="21" t="n"/>
      <c r="KCX14" s="21" t="n"/>
      <c r="KCY14" s="21" t="n"/>
      <c r="KCZ14" s="21" t="n"/>
      <c r="KDA14" s="21" t="n"/>
      <c r="KDB14" s="21" t="n"/>
      <c r="KDC14" s="21" t="n"/>
      <c r="KDD14" s="21" t="n"/>
      <c r="KDE14" s="21" t="n"/>
      <c r="KDF14" s="21" t="n"/>
      <c r="KDG14" s="21" t="n"/>
      <c r="KDH14" s="21" t="n"/>
      <c r="KDI14" s="21" t="n"/>
      <c r="KDJ14" s="21" t="n"/>
      <c r="KDK14" s="21" t="n"/>
      <c r="KDL14" s="21" t="n"/>
      <c r="KDM14" s="21" t="n"/>
      <c r="KDN14" s="21" t="n"/>
      <c r="KDO14" s="21" t="n"/>
      <c r="KDP14" s="21" t="n"/>
      <c r="KDQ14" s="21" t="n"/>
      <c r="KDR14" s="21" t="n"/>
      <c r="KDS14" s="21" t="n"/>
      <c r="KDT14" s="21" t="n"/>
      <c r="KDU14" s="21" t="n"/>
      <c r="KDV14" s="21" t="n"/>
      <c r="KDW14" s="21" t="n"/>
      <c r="KDX14" s="21" t="n"/>
      <c r="KDY14" s="21" t="n"/>
      <c r="KDZ14" s="21" t="n"/>
      <c r="KEA14" s="21" t="n"/>
      <c r="KEB14" s="21" t="n"/>
      <c r="KEC14" s="21" t="n"/>
      <c r="KED14" s="21" t="n"/>
      <c r="KEE14" s="21" t="n"/>
      <c r="KEF14" s="21" t="n"/>
      <c r="KEG14" s="21" t="n"/>
      <c r="KEH14" s="21" t="n"/>
      <c r="KEI14" s="21" t="n"/>
      <c r="KEJ14" s="21" t="n"/>
      <c r="KEK14" s="21" t="n"/>
      <c r="KEL14" s="21" t="n"/>
      <c r="KEM14" s="21" t="n"/>
      <c r="KEN14" s="21" t="n"/>
      <c r="KEO14" s="21" t="n"/>
      <c r="KEP14" s="21" t="n"/>
      <c r="KEQ14" s="21" t="n"/>
      <c r="KER14" s="21" t="n"/>
      <c r="KES14" s="21" t="n"/>
      <c r="KET14" s="21" t="n"/>
      <c r="KEU14" s="21" t="n"/>
      <c r="KEV14" s="21" t="n"/>
      <c r="KEW14" s="21" t="n"/>
      <c r="KEX14" s="21" t="n"/>
      <c r="KEY14" s="21" t="n"/>
      <c r="KEZ14" s="21" t="n"/>
      <c r="KFA14" s="21" t="n"/>
      <c r="KFB14" s="21" t="n"/>
      <c r="KFC14" s="21" t="n"/>
      <c r="KFD14" s="21" t="n"/>
      <c r="KFE14" s="21" t="n"/>
      <c r="KFF14" s="21" t="n"/>
      <c r="KFG14" s="21" t="n"/>
      <c r="KFH14" s="21" t="n"/>
      <c r="KFI14" s="21" t="n"/>
      <c r="KFJ14" s="21" t="n"/>
      <c r="KFK14" s="21" t="n"/>
      <c r="KFL14" s="21" t="n"/>
      <c r="KFM14" s="21" t="n"/>
      <c r="KFN14" s="21" t="n"/>
      <c r="KFO14" s="21" t="n"/>
      <c r="KFP14" s="21" t="n"/>
      <c r="KFQ14" s="21" t="n"/>
      <c r="KFR14" s="21" t="n"/>
      <c r="KFS14" s="21" t="n"/>
      <c r="KFT14" s="21" t="n"/>
      <c r="KFU14" s="21" t="n"/>
      <c r="KFV14" s="21" t="n"/>
      <c r="KFW14" s="21" t="n"/>
      <c r="KFX14" s="21" t="n"/>
      <c r="KFY14" s="21" t="n"/>
      <c r="KFZ14" s="21" t="n"/>
      <c r="KGA14" s="21" t="n"/>
      <c r="KGB14" s="21" t="n"/>
      <c r="KGC14" s="21" t="n"/>
      <c r="KGD14" s="21" t="n"/>
      <c r="KGE14" s="21" t="n"/>
      <c r="KGF14" s="21" t="n"/>
      <c r="KGG14" s="21" t="n"/>
      <c r="KGH14" s="21" t="n"/>
      <c r="KGI14" s="21" t="n"/>
      <c r="KGJ14" s="21" t="n"/>
      <c r="KGK14" s="21" t="n"/>
      <c r="KGL14" s="21" t="n"/>
      <c r="KGM14" s="21" t="n"/>
      <c r="KGN14" s="21" t="n"/>
      <c r="KGO14" s="21" t="n"/>
      <c r="KGP14" s="21" t="n"/>
      <c r="KGQ14" s="21" t="n"/>
      <c r="KGR14" s="21" t="n"/>
      <c r="KGS14" s="21" t="n"/>
      <c r="KGT14" s="21" t="n"/>
      <c r="KGU14" s="21" t="n"/>
      <c r="KGV14" s="21" t="n"/>
      <c r="KGW14" s="21" t="n"/>
      <c r="KGX14" s="21" t="n"/>
      <c r="KGY14" s="21" t="n"/>
      <c r="KGZ14" s="21" t="n"/>
      <c r="KHA14" s="21" t="n"/>
      <c r="KHB14" s="21" t="n"/>
      <c r="KHC14" s="21" t="n"/>
      <c r="KHD14" s="21" t="n"/>
      <c r="KHE14" s="21" t="n"/>
      <c r="KHF14" s="21" t="n"/>
      <c r="KHG14" s="21" t="n"/>
      <c r="KHH14" s="21" t="n"/>
      <c r="KHI14" s="21" t="n"/>
      <c r="KHJ14" s="21" t="n"/>
      <c r="KHK14" s="21" t="n"/>
      <c r="KHL14" s="21" t="n"/>
      <c r="KHM14" s="21" t="n"/>
      <c r="KHN14" s="21" t="n"/>
      <c r="KHO14" s="21" t="n"/>
      <c r="KHP14" s="21" t="n"/>
      <c r="KHQ14" s="21" t="n"/>
      <c r="KHR14" s="21" t="n"/>
      <c r="KHS14" s="21" t="n"/>
      <c r="KHT14" s="21" t="n"/>
      <c r="KHU14" s="21" t="n"/>
      <c r="KHV14" s="21" t="n"/>
      <c r="KHW14" s="21" t="n"/>
      <c r="KHX14" s="21" t="n"/>
      <c r="KHY14" s="21" t="n"/>
      <c r="KHZ14" s="21" t="n"/>
      <c r="KIA14" s="21" t="n"/>
      <c r="KIB14" s="21" t="n"/>
      <c r="KIC14" s="21" t="n"/>
      <c r="KID14" s="21" t="n"/>
      <c r="KIE14" s="21" t="n"/>
      <c r="KIF14" s="21" t="n"/>
      <c r="KIG14" s="21" t="n"/>
      <c r="KIH14" s="21" t="n"/>
      <c r="KII14" s="21" t="n"/>
      <c r="KIJ14" s="21" t="n"/>
      <c r="KIK14" s="21" t="n"/>
      <c r="KIL14" s="21" t="n"/>
      <c r="KIM14" s="21" t="n"/>
      <c r="KIN14" s="21" t="n"/>
      <c r="KIO14" s="21" t="n"/>
      <c r="KIP14" s="21" t="n"/>
      <c r="KIQ14" s="21" t="n"/>
      <c r="KIR14" s="21" t="n"/>
      <c r="KIS14" s="21" t="n"/>
      <c r="KIT14" s="21" t="n"/>
      <c r="KIU14" s="21" t="n"/>
      <c r="KIV14" s="21" t="n"/>
      <c r="KIW14" s="21" t="n"/>
      <c r="KIX14" s="21" t="n"/>
      <c r="KIY14" s="21" t="n"/>
      <c r="KIZ14" s="21" t="n"/>
      <c r="KJA14" s="21" t="n"/>
      <c r="KJB14" s="21" t="n"/>
      <c r="KJC14" s="21" t="n"/>
      <c r="KJD14" s="21" t="n"/>
      <c r="KJE14" s="21" t="n"/>
      <c r="KJF14" s="21" t="n"/>
      <c r="KJG14" s="21" t="n"/>
      <c r="KJH14" s="21" t="n"/>
      <c r="KJI14" s="21" t="n"/>
      <c r="KJJ14" s="21" t="n"/>
      <c r="KJK14" s="21" t="n"/>
      <c r="KJL14" s="21" t="n"/>
      <c r="KJM14" s="21" t="n"/>
      <c r="KJN14" s="21" t="n"/>
      <c r="KJO14" s="21" t="n"/>
      <c r="KJP14" s="21" t="n"/>
      <c r="KJQ14" s="21" t="n"/>
      <c r="KJR14" s="21" t="n"/>
      <c r="KJS14" s="21" t="n"/>
      <c r="KJT14" s="21" t="n"/>
      <c r="KJU14" s="21" t="n"/>
      <c r="KJV14" s="21" t="n"/>
      <c r="KJW14" s="21" t="n"/>
      <c r="KJX14" s="21" t="n"/>
      <c r="KJY14" s="21" t="n"/>
      <c r="KJZ14" s="21" t="n"/>
      <c r="KKA14" s="21" t="n"/>
      <c r="KKB14" s="21" t="n"/>
      <c r="KKC14" s="21" t="n"/>
      <c r="KKD14" s="21" t="n"/>
      <c r="KKE14" s="21" t="n"/>
      <c r="KKF14" s="21" t="n"/>
      <c r="KKG14" s="21" t="n"/>
      <c r="KKH14" s="21" t="n"/>
      <c r="KKI14" s="21" t="n"/>
      <c r="KKJ14" s="21" t="n"/>
      <c r="KKK14" s="21" t="n"/>
      <c r="KKL14" s="21" t="n"/>
      <c r="KKM14" s="21" t="n"/>
      <c r="KKN14" s="21" t="n"/>
      <c r="KKO14" s="21" t="n"/>
      <c r="KKP14" s="21" t="n"/>
      <c r="KKQ14" s="21" t="n"/>
      <c r="KKR14" s="21" t="n"/>
      <c r="KKS14" s="21" t="n"/>
      <c r="KKT14" s="21" t="n"/>
      <c r="KKU14" s="21" t="n"/>
      <c r="KKV14" s="21" t="n"/>
      <c r="KKW14" s="21" t="n"/>
      <c r="KKX14" s="21" t="n"/>
      <c r="KKY14" s="21" t="n"/>
      <c r="KKZ14" s="21" t="n"/>
      <c r="KLA14" s="21" t="n"/>
      <c r="KLB14" s="21" t="n"/>
      <c r="KLC14" s="21" t="n"/>
      <c r="KLD14" s="21" t="n"/>
      <c r="KLE14" s="21" t="n"/>
      <c r="KLF14" s="21" t="n"/>
      <c r="KLG14" s="21" t="n"/>
      <c r="KLH14" s="21" t="n"/>
      <c r="KLI14" s="21" t="n"/>
      <c r="KLJ14" s="21" t="n"/>
      <c r="KLK14" s="21" t="n"/>
      <c r="KLL14" s="21" t="n"/>
      <c r="KLM14" s="21" t="n"/>
      <c r="KLN14" s="21" t="n"/>
      <c r="KLO14" s="21" t="n"/>
      <c r="KLP14" s="21" t="n"/>
      <c r="KLQ14" s="21" t="n"/>
      <c r="KLR14" s="21" t="n"/>
      <c r="KLS14" s="21" t="n"/>
      <c r="KLT14" s="21" t="n"/>
      <c r="KLU14" s="21" t="n"/>
      <c r="KLV14" s="21" t="n"/>
      <c r="KLW14" s="21" t="n"/>
      <c r="KLX14" s="21" t="n"/>
      <c r="KLY14" s="21" t="n"/>
      <c r="KLZ14" s="21" t="n"/>
      <c r="KMA14" s="21" t="n"/>
      <c r="KMB14" s="21" t="n"/>
      <c r="KMC14" s="21" t="n"/>
      <c r="KMD14" s="21" t="n"/>
      <c r="KME14" s="21" t="n"/>
      <c r="KMF14" s="21" t="n"/>
      <c r="KMG14" s="21" t="n"/>
      <c r="KMH14" s="21" t="n"/>
      <c r="KMI14" s="21" t="n"/>
      <c r="KMJ14" s="21" t="n"/>
      <c r="KMK14" s="21" t="n"/>
      <c r="KML14" s="21" t="n"/>
      <c r="KMM14" s="21" t="n"/>
      <c r="KMN14" s="21" t="n"/>
      <c r="KMO14" s="21" t="n"/>
      <c r="KMP14" s="21" t="n"/>
      <c r="KMQ14" s="21" t="n"/>
      <c r="KMR14" s="21" t="n"/>
      <c r="KMS14" s="21" t="n"/>
      <c r="KMT14" s="21" t="n"/>
      <c r="KMU14" s="21" t="n"/>
      <c r="KMV14" s="21" t="n"/>
      <c r="KMW14" s="21" t="n"/>
      <c r="KMX14" s="21" t="n"/>
      <c r="KMY14" s="21" t="n"/>
      <c r="KMZ14" s="21" t="n"/>
      <c r="KNA14" s="21" t="n"/>
      <c r="KNB14" s="21" t="n"/>
      <c r="KNC14" s="21" t="n"/>
      <c r="KND14" s="21" t="n"/>
      <c r="KNE14" s="21" t="n"/>
      <c r="KNF14" s="21" t="n"/>
      <c r="KNG14" s="21" t="n"/>
      <c r="KNH14" s="21" t="n"/>
      <c r="KNI14" s="21" t="n"/>
      <c r="KNJ14" s="21" t="n"/>
      <c r="KNK14" s="21" t="n"/>
      <c r="KNL14" s="21" t="n"/>
      <c r="KNM14" s="21" t="n"/>
      <c r="KNN14" s="21" t="n"/>
      <c r="KNO14" s="21" t="n"/>
      <c r="KNP14" s="21" t="n"/>
      <c r="KNQ14" s="21" t="n"/>
      <c r="KNR14" s="21" t="n"/>
      <c r="KNS14" s="21" t="n"/>
      <c r="KNT14" s="21" t="n"/>
      <c r="KNU14" s="21" t="n"/>
      <c r="KNV14" s="21" t="n"/>
      <c r="KNW14" s="21" t="n"/>
      <c r="KNX14" s="21" t="n"/>
      <c r="KNY14" s="21" t="n"/>
      <c r="KNZ14" s="21" t="n"/>
      <c r="KOA14" s="21" t="n"/>
      <c r="KOB14" s="21" t="n"/>
      <c r="KOC14" s="21" t="n"/>
      <c r="KOD14" s="21" t="n"/>
      <c r="KOE14" s="21" t="n"/>
      <c r="KOF14" s="21" t="n"/>
      <c r="KOG14" s="21" t="n"/>
      <c r="KOH14" s="21" t="n"/>
      <c r="KOI14" s="21" t="n"/>
      <c r="KOJ14" s="21" t="n"/>
      <c r="KOK14" s="21" t="n"/>
      <c r="KOL14" s="21" t="n"/>
      <c r="KOM14" s="21" t="n"/>
      <c r="KON14" s="21" t="n"/>
      <c r="KOO14" s="21" t="n"/>
      <c r="KOP14" s="21" t="n"/>
      <c r="KOQ14" s="21" t="n"/>
      <c r="KOR14" s="21" t="n"/>
      <c r="KOS14" s="21" t="n"/>
      <c r="KOT14" s="21" t="n"/>
      <c r="KOU14" s="21" t="n"/>
      <c r="KOV14" s="21" t="n"/>
      <c r="KOW14" s="21" t="n"/>
      <c r="KOX14" s="21" t="n"/>
      <c r="KOY14" s="21" t="n"/>
      <c r="KOZ14" s="21" t="n"/>
      <c r="KPA14" s="21" t="n"/>
      <c r="KPB14" s="21" t="n"/>
      <c r="KPC14" s="21" t="n"/>
      <c r="KPD14" s="21" t="n"/>
      <c r="KPE14" s="21" t="n"/>
      <c r="KPF14" s="21" t="n"/>
      <c r="KPG14" s="21" t="n"/>
      <c r="KPH14" s="21" t="n"/>
      <c r="KPI14" s="21" t="n"/>
      <c r="KPJ14" s="21" t="n"/>
      <c r="KPK14" s="21" t="n"/>
      <c r="KPL14" s="21" t="n"/>
      <c r="KPM14" s="21" t="n"/>
      <c r="KPN14" s="21" t="n"/>
      <c r="KPO14" s="21" t="n"/>
      <c r="KPP14" s="21" t="n"/>
      <c r="KPQ14" s="21" t="n"/>
      <c r="KPR14" s="21" t="n"/>
      <c r="KPS14" s="21" t="n"/>
      <c r="KPT14" s="21" t="n"/>
      <c r="KPU14" s="21" t="n"/>
      <c r="KPV14" s="21" t="n"/>
      <c r="KPW14" s="21" t="n"/>
      <c r="KPX14" s="21" t="n"/>
      <c r="KPY14" s="21" t="n"/>
      <c r="KPZ14" s="21" t="n"/>
      <c r="KQA14" s="21" t="n"/>
      <c r="KQB14" s="21" t="n"/>
      <c r="KQC14" s="21" t="n"/>
      <c r="KQD14" s="21" t="n"/>
      <c r="KQE14" s="21" t="n"/>
      <c r="KQF14" s="21" t="n"/>
      <c r="KQG14" s="21" t="n"/>
      <c r="KQH14" s="21" t="n"/>
      <c r="KQI14" s="21" t="n"/>
      <c r="KQJ14" s="21" t="n"/>
      <c r="KQK14" s="21" t="n"/>
      <c r="KQL14" s="21" t="n"/>
      <c r="KQM14" s="21" t="n"/>
      <c r="KQN14" s="21" t="n"/>
      <c r="KQO14" s="21" t="n"/>
      <c r="KQP14" s="21" t="n"/>
      <c r="KQQ14" s="21" t="n"/>
      <c r="KQR14" s="21" t="n"/>
      <c r="KQS14" s="21" t="n"/>
      <c r="KQT14" s="21" t="n"/>
      <c r="KQU14" s="21" t="n"/>
      <c r="KQV14" s="21" t="n"/>
      <c r="KQW14" s="21" t="n"/>
      <c r="KQX14" s="21" t="n"/>
      <c r="KQY14" s="21" t="n"/>
      <c r="KQZ14" s="21" t="n"/>
      <c r="KRA14" s="21" t="n"/>
      <c r="KRB14" s="21" t="n"/>
      <c r="KRC14" s="21" t="n"/>
      <c r="KRD14" s="21" t="n"/>
      <c r="KRE14" s="21" t="n"/>
      <c r="KRF14" s="21" t="n"/>
      <c r="KRG14" s="21" t="n"/>
      <c r="KRH14" s="21" t="n"/>
      <c r="KRI14" s="21" t="n"/>
      <c r="KRJ14" s="21" t="n"/>
      <c r="KRK14" s="21" t="n"/>
      <c r="KRL14" s="21" t="n"/>
      <c r="KRM14" s="21" t="n"/>
      <c r="KRN14" s="21" t="n"/>
      <c r="KRO14" s="21" t="n"/>
      <c r="KRP14" s="21" t="n"/>
      <c r="KRQ14" s="21" t="n"/>
      <c r="KRR14" s="21" t="n"/>
      <c r="KRS14" s="21" t="n"/>
      <c r="KRT14" s="21" t="n"/>
      <c r="KRU14" s="21" t="n"/>
      <c r="KRV14" s="21" t="n"/>
      <c r="KRW14" s="21" t="n"/>
      <c r="KRX14" s="21" t="n"/>
      <c r="KRY14" s="21" t="n"/>
      <c r="KRZ14" s="21" t="n"/>
      <c r="KSA14" s="21" t="n"/>
      <c r="KSB14" s="21" t="n"/>
      <c r="KSC14" s="21" t="n"/>
      <c r="KSD14" s="21" t="n"/>
      <c r="KSE14" s="21" t="n"/>
      <c r="KSF14" s="21" t="n"/>
      <c r="KSG14" s="21" t="n"/>
      <c r="KSH14" s="21" t="n"/>
      <c r="KSI14" s="21" t="n"/>
      <c r="KSJ14" s="21" t="n"/>
      <c r="KSK14" s="21" t="n"/>
      <c r="KSL14" s="21" t="n"/>
      <c r="KSM14" s="21" t="n"/>
      <c r="KSN14" s="21" t="n"/>
      <c r="KSO14" s="21" t="n"/>
      <c r="KSP14" s="21" t="n"/>
      <c r="KSQ14" s="21" t="n"/>
      <c r="KSR14" s="21" t="n"/>
      <c r="KSS14" s="21" t="n"/>
      <c r="KST14" s="21" t="n"/>
      <c r="KSU14" s="21" t="n"/>
      <c r="KSV14" s="21" t="n"/>
      <c r="KSW14" s="21" t="n"/>
      <c r="KSX14" s="21" t="n"/>
      <c r="KSY14" s="21" t="n"/>
      <c r="KSZ14" s="21" t="n"/>
      <c r="KTA14" s="21" t="n"/>
      <c r="KTB14" s="21" t="n"/>
      <c r="KTC14" s="21" t="n"/>
      <c r="KTD14" s="21" t="n"/>
      <c r="KTE14" s="21" t="n"/>
      <c r="KTF14" s="21" t="n"/>
      <c r="KTG14" s="21" t="n"/>
      <c r="KTH14" s="21" t="n"/>
      <c r="KTI14" s="21" t="n"/>
      <c r="KTJ14" s="21" t="n"/>
      <c r="KTK14" s="21" t="n"/>
      <c r="KTL14" s="21" t="n"/>
      <c r="KTM14" s="21" t="n"/>
      <c r="KTN14" s="21" t="n"/>
      <c r="KTO14" s="21" t="n"/>
      <c r="KTP14" s="21" t="n"/>
      <c r="KTQ14" s="21" t="n"/>
      <c r="KTR14" s="21" t="n"/>
      <c r="KTS14" s="21" t="n"/>
      <c r="KTT14" s="21" t="n"/>
      <c r="KTU14" s="21" t="n"/>
      <c r="KTV14" s="21" t="n"/>
      <c r="KTW14" s="21" t="n"/>
      <c r="KTX14" s="21" t="n"/>
      <c r="KTY14" s="21" t="n"/>
      <c r="KTZ14" s="21" t="n"/>
      <c r="KUA14" s="21" t="n"/>
      <c r="KUB14" s="21" t="n"/>
      <c r="KUC14" s="21" t="n"/>
      <c r="KUD14" s="21" t="n"/>
      <c r="KUE14" s="21" t="n"/>
      <c r="KUF14" s="21" t="n"/>
      <c r="KUG14" s="21" t="n"/>
      <c r="KUH14" s="21" t="n"/>
      <c r="KUI14" s="21" t="n"/>
      <c r="KUJ14" s="21" t="n"/>
      <c r="KUK14" s="21" t="n"/>
      <c r="KUL14" s="21" t="n"/>
      <c r="KUM14" s="21" t="n"/>
      <c r="KUN14" s="21" t="n"/>
      <c r="KUO14" s="21" t="n"/>
      <c r="KUP14" s="21" t="n"/>
      <c r="KUQ14" s="21" t="n"/>
      <c r="KUR14" s="21" t="n"/>
      <c r="KUS14" s="21" t="n"/>
      <c r="KUT14" s="21" t="n"/>
      <c r="KUU14" s="21" t="n"/>
      <c r="KUV14" s="21" t="n"/>
      <c r="KUW14" s="21" t="n"/>
      <c r="KUX14" s="21" t="n"/>
      <c r="KUY14" s="21" t="n"/>
      <c r="KUZ14" s="21" t="n"/>
      <c r="KVA14" s="21" t="n"/>
      <c r="KVB14" s="21" t="n"/>
      <c r="KVC14" s="21" t="n"/>
      <c r="KVD14" s="21" t="n"/>
      <c r="KVE14" s="21" t="n"/>
      <c r="KVF14" s="21" t="n"/>
      <c r="KVG14" s="21" t="n"/>
      <c r="KVH14" s="21" t="n"/>
      <c r="KVI14" s="21" t="n"/>
      <c r="KVJ14" s="21" t="n"/>
      <c r="KVK14" s="21" t="n"/>
      <c r="KVL14" s="21" t="n"/>
      <c r="KVM14" s="21" t="n"/>
      <c r="KVN14" s="21" t="n"/>
      <c r="KVO14" s="21" t="n"/>
      <c r="KVP14" s="21" t="n"/>
      <c r="KVQ14" s="21" t="n"/>
      <c r="KVR14" s="21" t="n"/>
      <c r="KVS14" s="21" t="n"/>
      <c r="KVT14" s="21" t="n"/>
      <c r="KVU14" s="21" t="n"/>
      <c r="KVV14" s="21" t="n"/>
      <c r="KVW14" s="21" t="n"/>
      <c r="KVX14" s="21" t="n"/>
      <c r="KVY14" s="21" t="n"/>
      <c r="KVZ14" s="21" t="n"/>
      <c r="KWA14" s="21" t="n"/>
      <c r="KWB14" s="21" t="n"/>
      <c r="KWC14" s="21" t="n"/>
      <c r="KWD14" s="21" t="n"/>
      <c r="KWE14" s="21" t="n"/>
      <c r="KWF14" s="21" t="n"/>
      <c r="KWG14" s="21" t="n"/>
      <c r="KWH14" s="21" t="n"/>
      <c r="KWI14" s="21" t="n"/>
      <c r="KWJ14" s="21" t="n"/>
      <c r="KWK14" s="21" t="n"/>
      <c r="KWL14" s="21" t="n"/>
      <c r="KWM14" s="21" t="n"/>
      <c r="KWN14" s="21" t="n"/>
      <c r="KWO14" s="21" t="n"/>
      <c r="KWP14" s="21" t="n"/>
      <c r="KWQ14" s="21" t="n"/>
      <c r="KWR14" s="21" t="n"/>
      <c r="KWS14" s="21" t="n"/>
      <c r="KWT14" s="21" t="n"/>
      <c r="KWU14" s="21" t="n"/>
      <c r="KWV14" s="21" t="n"/>
      <c r="KWW14" s="21" t="n"/>
      <c r="KWX14" s="21" t="n"/>
      <c r="KWY14" s="21" t="n"/>
      <c r="KWZ14" s="21" t="n"/>
      <c r="KXA14" s="21" t="n"/>
      <c r="KXB14" s="21" t="n"/>
      <c r="KXC14" s="21" t="n"/>
      <c r="KXD14" s="21" t="n"/>
      <c r="KXE14" s="21" t="n"/>
      <c r="KXF14" s="21" t="n"/>
      <c r="KXG14" s="21" t="n"/>
      <c r="KXH14" s="21" t="n"/>
      <c r="KXI14" s="21" t="n"/>
      <c r="KXJ14" s="21" t="n"/>
      <c r="KXK14" s="21" t="n"/>
      <c r="KXL14" s="21" t="n"/>
      <c r="KXM14" s="21" t="n"/>
      <c r="KXN14" s="21" t="n"/>
      <c r="KXO14" s="21" t="n"/>
      <c r="KXP14" s="21" t="n"/>
      <c r="KXQ14" s="21" t="n"/>
      <c r="KXR14" s="21" t="n"/>
      <c r="KXS14" s="21" t="n"/>
      <c r="KXT14" s="21" t="n"/>
      <c r="KXU14" s="21" t="n"/>
      <c r="KXV14" s="21" t="n"/>
      <c r="KXW14" s="21" t="n"/>
      <c r="KXX14" s="21" t="n"/>
      <c r="KXY14" s="21" t="n"/>
      <c r="KXZ14" s="21" t="n"/>
      <c r="KYA14" s="21" t="n"/>
      <c r="KYB14" s="21" t="n"/>
      <c r="KYC14" s="21" t="n"/>
      <c r="KYD14" s="21" t="n"/>
      <c r="KYE14" s="21" t="n"/>
      <c r="KYF14" s="21" t="n"/>
      <c r="KYG14" s="21" t="n"/>
      <c r="KYH14" s="21" t="n"/>
      <c r="KYI14" s="21" t="n"/>
      <c r="KYJ14" s="21" t="n"/>
      <c r="KYK14" s="21" t="n"/>
      <c r="KYL14" s="21" t="n"/>
      <c r="KYM14" s="21" t="n"/>
      <c r="KYN14" s="21" t="n"/>
      <c r="KYO14" s="21" t="n"/>
      <c r="KYP14" s="21" t="n"/>
      <c r="KYQ14" s="21" t="n"/>
      <c r="KYR14" s="21" t="n"/>
      <c r="KYS14" s="21" t="n"/>
      <c r="KYT14" s="21" t="n"/>
      <c r="KYU14" s="21" t="n"/>
      <c r="KYV14" s="21" t="n"/>
      <c r="KYW14" s="21" t="n"/>
      <c r="KYX14" s="21" t="n"/>
      <c r="KYY14" s="21" t="n"/>
      <c r="KYZ14" s="21" t="n"/>
      <c r="KZA14" s="21" t="n"/>
      <c r="KZB14" s="21" t="n"/>
      <c r="KZC14" s="21" t="n"/>
      <c r="KZD14" s="21" t="n"/>
      <c r="KZE14" s="21" t="n"/>
      <c r="KZF14" s="21" t="n"/>
      <c r="KZG14" s="21" t="n"/>
      <c r="KZH14" s="21" t="n"/>
      <c r="KZI14" s="21" t="n"/>
      <c r="KZJ14" s="21" t="n"/>
      <c r="KZK14" s="21" t="n"/>
      <c r="KZL14" s="21" t="n"/>
      <c r="KZM14" s="21" t="n"/>
      <c r="KZN14" s="21" t="n"/>
      <c r="KZO14" s="21" t="n"/>
      <c r="KZP14" s="21" t="n"/>
      <c r="KZQ14" s="21" t="n"/>
      <c r="KZR14" s="21" t="n"/>
      <c r="KZS14" s="21" t="n"/>
      <c r="KZT14" s="21" t="n"/>
      <c r="KZU14" s="21" t="n"/>
      <c r="KZV14" s="21" t="n"/>
      <c r="KZW14" s="21" t="n"/>
      <c r="KZX14" s="21" t="n"/>
      <c r="KZY14" s="21" t="n"/>
      <c r="KZZ14" s="21" t="n"/>
      <c r="LAA14" s="21" t="n"/>
      <c r="LAB14" s="21" t="n"/>
      <c r="LAC14" s="21" t="n"/>
      <c r="LAD14" s="21" t="n"/>
      <c r="LAE14" s="21" t="n"/>
      <c r="LAF14" s="21" t="n"/>
      <c r="LAG14" s="21" t="n"/>
      <c r="LAH14" s="21" t="n"/>
      <c r="LAI14" s="21" t="n"/>
      <c r="LAJ14" s="21" t="n"/>
      <c r="LAK14" s="21" t="n"/>
      <c r="LAL14" s="21" t="n"/>
      <c r="LAM14" s="21" t="n"/>
      <c r="LAN14" s="21" t="n"/>
      <c r="LAO14" s="21" t="n"/>
      <c r="LAP14" s="21" t="n"/>
      <c r="LAQ14" s="21" t="n"/>
      <c r="LAR14" s="21" t="n"/>
      <c r="LAS14" s="21" t="n"/>
      <c r="LAT14" s="21" t="n"/>
      <c r="LAU14" s="21" t="n"/>
      <c r="LAV14" s="21" t="n"/>
      <c r="LAW14" s="21" t="n"/>
      <c r="LAX14" s="21" t="n"/>
      <c r="LAY14" s="21" t="n"/>
      <c r="LAZ14" s="21" t="n"/>
      <c r="LBA14" s="21" t="n"/>
      <c r="LBB14" s="21" t="n"/>
      <c r="LBC14" s="21" t="n"/>
      <c r="LBD14" s="21" t="n"/>
      <c r="LBE14" s="21" t="n"/>
      <c r="LBF14" s="21" t="n"/>
      <c r="LBG14" s="21" t="n"/>
      <c r="LBH14" s="21" t="n"/>
      <c r="LBI14" s="21" t="n"/>
      <c r="LBJ14" s="21" t="n"/>
      <c r="LBK14" s="21" t="n"/>
      <c r="LBL14" s="21" t="n"/>
      <c r="LBM14" s="21" t="n"/>
      <c r="LBN14" s="21" t="n"/>
      <c r="LBO14" s="21" t="n"/>
      <c r="LBP14" s="21" t="n"/>
      <c r="LBQ14" s="21" t="n"/>
      <c r="LBR14" s="21" t="n"/>
      <c r="LBS14" s="21" t="n"/>
      <c r="LBT14" s="21" t="n"/>
      <c r="LBU14" s="21" t="n"/>
      <c r="LBV14" s="21" t="n"/>
      <c r="LBW14" s="21" t="n"/>
      <c r="LBX14" s="21" t="n"/>
      <c r="LBY14" s="21" t="n"/>
      <c r="LBZ14" s="21" t="n"/>
      <c r="LCA14" s="21" t="n"/>
      <c r="LCB14" s="21" t="n"/>
      <c r="LCC14" s="21" t="n"/>
      <c r="LCD14" s="21" t="n"/>
      <c r="LCE14" s="21" t="n"/>
      <c r="LCF14" s="21" t="n"/>
      <c r="LCG14" s="21" t="n"/>
      <c r="LCH14" s="21" t="n"/>
      <c r="LCI14" s="21" t="n"/>
      <c r="LCJ14" s="21" t="n"/>
      <c r="LCK14" s="21" t="n"/>
      <c r="LCL14" s="21" t="n"/>
      <c r="LCM14" s="21" t="n"/>
      <c r="LCN14" s="21" t="n"/>
      <c r="LCO14" s="21" t="n"/>
      <c r="LCP14" s="21" t="n"/>
      <c r="LCQ14" s="21" t="n"/>
      <c r="LCR14" s="21" t="n"/>
      <c r="LCS14" s="21" t="n"/>
      <c r="LCT14" s="21" t="n"/>
      <c r="LCU14" s="21" t="n"/>
      <c r="LCV14" s="21" t="n"/>
      <c r="LCW14" s="21" t="n"/>
      <c r="LCX14" s="21" t="n"/>
      <c r="LCY14" s="21" t="n"/>
      <c r="LCZ14" s="21" t="n"/>
      <c r="LDA14" s="21" t="n"/>
      <c r="LDB14" s="21" t="n"/>
      <c r="LDC14" s="21" t="n"/>
      <c r="LDD14" s="21" t="n"/>
      <c r="LDE14" s="21" t="n"/>
      <c r="LDF14" s="21" t="n"/>
      <c r="LDG14" s="21" t="n"/>
      <c r="LDH14" s="21" t="n"/>
      <c r="LDI14" s="21" t="n"/>
      <c r="LDJ14" s="21" t="n"/>
      <c r="LDK14" s="21" t="n"/>
      <c r="LDL14" s="21" t="n"/>
      <c r="LDM14" s="21" t="n"/>
      <c r="LDN14" s="21" t="n"/>
      <c r="LDO14" s="21" t="n"/>
      <c r="LDP14" s="21" t="n"/>
      <c r="LDQ14" s="21" t="n"/>
      <c r="LDR14" s="21" t="n"/>
      <c r="LDS14" s="21" t="n"/>
      <c r="LDT14" s="21" t="n"/>
      <c r="LDU14" s="21" t="n"/>
      <c r="LDV14" s="21" t="n"/>
      <c r="LDW14" s="21" t="n"/>
      <c r="LDX14" s="21" t="n"/>
      <c r="LDY14" s="21" t="n"/>
      <c r="LDZ14" s="21" t="n"/>
      <c r="LEA14" s="21" t="n"/>
      <c r="LEB14" s="21" t="n"/>
      <c r="LEC14" s="21" t="n"/>
      <c r="LED14" s="21" t="n"/>
      <c r="LEE14" s="21" t="n"/>
      <c r="LEF14" s="21" t="n"/>
      <c r="LEG14" s="21" t="n"/>
      <c r="LEH14" s="21" t="n"/>
      <c r="LEI14" s="21" t="n"/>
      <c r="LEJ14" s="21" t="n"/>
      <c r="LEK14" s="21" t="n"/>
      <c r="LEL14" s="21" t="n"/>
      <c r="LEM14" s="21" t="n"/>
      <c r="LEN14" s="21" t="n"/>
      <c r="LEO14" s="21" t="n"/>
      <c r="LEP14" s="21" t="n"/>
      <c r="LEQ14" s="21" t="n"/>
      <c r="LER14" s="21" t="n"/>
      <c r="LES14" s="21" t="n"/>
      <c r="LET14" s="21" t="n"/>
      <c r="LEU14" s="21" t="n"/>
      <c r="LEV14" s="21" t="n"/>
      <c r="LEW14" s="21" t="n"/>
      <c r="LEX14" s="21" t="n"/>
      <c r="LEY14" s="21" t="n"/>
      <c r="LEZ14" s="21" t="n"/>
      <c r="LFA14" s="21" t="n"/>
      <c r="LFB14" s="21" t="n"/>
      <c r="LFC14" s="21" t="n"/>
      <c r="LFD14" s="21" t="n"/>
      <c r="LFE14" s="21" t="n"/>
      <c r="LFF14" s="21" t="n"/>
      <c r="LFG14" s="21" t="n"/>
      <c r="LFH14" s="21" t="n"/>
      <c r="LFI14" s="21" t="n"/>
      <c r="LFJ14" s="21" t="n"/>
      <c r="LFK14" s="21" t="n"/>
      <c r="LFL14" s="21" t="n"/>
      <c r="LFM14" s="21" t="n"/>
      <c r="LFN14" s="21" t="n"/>
      <c r="LFO14" s="21" t="n"/>
      <c r="LFP14" s="21" t="n"/>
      <c r="LFQ14" s="21" t="n"/>
      <c r="LFR14" s="21" t="n"/>
      <c r="LFS14" s="21" t="n"/>
      <c r="LFT14" s="21" t="n"/>
      <c r="LFU14" s="21" t="n"/>
      <c r="LFV14" s="21" t="n"/>
      <c r="LFW14" s="21" t="n"/>
      <c r="LFX14" s="21" t="n"/>
      <c r="LFY14" s="21" t="n"/>
      <c r="LFZ14" s="21" t="n"/>
      <c r="LGA14" s="21" t="n"/>
      <c r="LGB14" s="21" t="n"/>
      <c r="LGC14" s="21" t="n"/>
      <c r="LGD14" s="21" t="n"/>
      <c r="LGE14" s="21" t="n"/>
      <c r="LGF14" s="21" t="n"/>
      <c r="LGG14" s="21" t="n"/>
      <c r="LGH14" s="21" t="n"/>
      <c r="LGI14" s="21" t="n"/>
      <c r="LGJ14" s="21" t="n"/>
      <c r="LGK14" s="21" t="n"/>
      <c r="LGL14" s="21" t="n"/>
      <c r="LGM14" s="21" t="n"/>
      <c r="LGN14" s="21" t="n"/>
      <c r="LGO14" s="21" t="n"/>
      <c r="LGP14" s="21" t="n"/>
      <c r="LGQ14" s="21" t="n"/>
      <c r="LGR14" s="21" t="n"/>
      <c r="LGS14" s="21" t="n"/>
      <c r="LGT14" s="21" t="n"/>
      <c r="LGU14" s="21" t="n"/>
      <c r="LGV14" s="21" t="n"/>
      <c r="LGW14" s="21" t="n"/>
      <c r="LGX14" s="21" t="n"/>
      <c r="LGY14" s="21" t="n"/>
      <c r="LGZ14" s="21" t="n"/>
      <c r="LHA14" s="21" t="n"/>
      <c r="LHB14" s="21" t="n"/>
      <c r="LHC14" s="21" t="n"/>
      <c r="LHD14" s="21" t="n"/>
      <c r="LHE14" s="21" t="n"/>
      <c r="LHF14" s="21" t="n"/>
      <c r="LHG14" s="21" t="n"/>
      <c r="LHH14" s="21" t="n"/>
      <c r="LHI14" s="21" t="n"/>
      <c r="LHJ14" s="21" t="n"/>
      <c r="LHK14" s="21" t="n"/>
      <c r="LHL14" s="21" t="n"/>
      <c r="LHM14" s="21" t="n"/>
      <c r="LHN14" s="21" t="n"/>
      <c r="LHO14" s="21" t="n"/>
      <c r="LHP14" s="21" t="n"/>
      <c r="LHQ14" s="21" t="n"/>
      <c r="LHR14" s="21" t="n"/>
      <c r="LHS14" s="21" t="n"/>
      <c r="LHT14" s="21" t="n"/>
      <c r="LHU14" s="21" t="n"/>
      <c r="LHV14" s="21" t="n"/>
      <c r="LHW14" s="21" t="n"/>
      <c r="LHX14" s="21" t="n"/>
      <c r="LHY14" s="21" t="n"/>
      <c r="LHZ14" s="21" t="n"/>
      <c r="LIA14" s="21" t="n"/>
      <c r="LIB14" s="21" t="n"/>
      <c r="LIC14" s="21" t="n"/>
      <c r="LID14" s="21" t="n"/>
      <c r="LIE14" s="21" t="n"/>
      <c r="LIF14" s="21" t="n"/>
      <c r="LIG14" s="21" t="n"/>
      <c r="LIH14" s="21" t="n"/>
      <c r="LII14" s="21" t="n"/>
      <c r="LIJ14" s="21" t="n"/>
      <c r="LIK14" s="21" t="n"/>
      <c r="LIL14" s="21" t="n"/>
      <c r="LIM14" s="21" t="n"/>
      <c r="LIN14" s="21" t="n"/>
      <c r="LIO14" s="21" t="n"/>
      <c r="LIP14" s="21" t="n"/>
      <c r="LIQ14" s="21" t="n"/>
      <c r="LIR14" s="21" t="n"/>
      <c r="LIS14" s="21" t="n"/>
      <c r="LIT14" s="21" t="n"/>
      <c r="LIU14" s="21" t="n"/>
      <c r="LIV14" s="21" t="n"/>
      <c r="LIW14" s="21" t="n"/>
      <c r="LIX14" s="21" t="n"/>
      <c r="LIY14" s="21" t="n"/>
      <c r="LIZ14" s="21" t="n"/>
      <c r="LJA14" s="21" t="n"/>
      <c r="LJB14" s="21" t="n"/>
      <c r="LJC14" s="21" t="n"/>
      <c r="LJD14" s="21" t="n"/>
      <c r="LJE14" s="21" t="n"/>
      <c r="LJF14" s="21" t="n"/>
      <c r="LJG14" s="21" t="n"/>
      <c r="LJH14" s="21" t="n"/>
      <c r="LJI14" s="21" t="n"/>
      <c r="LJJ14" s="21" t="n"/>
      <c r="LJK14" s="21" t="n"/>
      <c r="LJL14" s="21" t="n"/>
      <c r="LJM14" s="21" t="n"/>
      <c r="LJN14" s="21" t="n"/>
      <c r="LJO14" s="21" t="n"/>
      <c r="LJP14" s="21" t="n"/>
      <c r="LJQ14" s="21" t="n"/>
      <c r="LJR14" s="21" t="n"/>
      <c r="LJS14" s="21" t="n"/>
      <c r="LJT14" s="21" t="n"/>
      <c r="LJU14" s="21" t="n"/>
      <c r="LJV14" s="21" t="n"/>
      <c r="LJW14" s="21" t="n"/>
      <c r="LJX14" s="21" t="n"/>
      <c r="LJY14" s="21" t="n"/>
      <c r="LJZ14" s="21" t="n"/>
      <c r="LKA14" s="21" t="n"/>
      <c r="LKB14" s="21" t="n"/>
      <c r="LKC14" s="21" t="n"/>
      <c r="LKD14" s="21" t="n"/>
      <c r="LKE14" s="21" t="n"/>
      <c r="LKF14" s="21" t="n"/>
      <c r="LKG14" s="21" t="n"/>
      <c r="LKH14" s="21" t="n"/>
      <c r="LKI14" s="21" t="n"/>
      <c r="LKJ14" s="21" t="n"/>
      <c r="LKK14" s="21" t="n"/>
      <c r="LKL14" s="21" t="n"/>
      <c r="LKM14" s="21" t="n"/>
      <c r="LKN14" s="21" t="n"/>
      <c r="LKO14" s="21" t="n"/>
      <c r="LKP14" s="21" t="n"/>
      <c r="LKQ14" s="21" t="n"/>
      <c r="LKR14" s="21" t="n"/>
      <c r="LKS14" s="21" t="n"/>
      <c r="LKT14" s="21" t="n"/>
      <c r="LKU14" s="21" t="n"/>
      <c r="LKV14" s="21" t="n"/>
      <c r="LKW14" s="21" t="n"/>
      <c r="LKX14" s="21" t="n"/>
      <c r="LKY14" s="21" t="n"/>
      <c r="LKZ14" s="21" t="n"/>
      <c r="LLA14" s="21" t="n"/>
      <c r="LLB14" s="21" t="n"/>
      <c r="LLC14" s="21" t="n"/>
      <c r="LLD14" s="21" t="n"/>
      <c r="LLE14" s="21" t="n"/>
      <c r="LLF14" s="21" t="n"/>
      <c r="LLG14" s="21" t="n"/>
      <c r="LLH14" s="21" t="n"/>
      <c r="LLI14" s="21" t="n"/>
      <c r="LLJ14" s="21" t="n"/>
      <c r="LLK14" s="21" t="n"/>
      <c r="LLL14" s="21" t="n"/>
      <c r="LLM14" s="21" t="n"/>
      <c r="LLN14" s="21" t="n"/>
      <c r="LLO14" s="21" t="n"/>
      <c r="LLP14" s="21" t="n"/>
      <c r="LLQ14" s="21" t="n"/>
      <c r="LLR14" s="21" t="n"/>
      <c r="LLS14" s="21" t="n"/>
      <c r="LLT14" s="21" t="n"/>
      <c r="LLU14" s="21" t="n"/>
      <c r="LLV14" s="21" t="n"/>
      <c r="LLW14" s="21" t="n"/>
      <c r="LLX14" s="21" t="n"/>
      <c r="LLY14" s="21" t="n"/>
      <c r="LLZ14" s="21" t="n"/>
      <c r="LMA14" s="21" t="n"/>
      <c r="LMB14" s="21" t="n"/>
      <c r="LMC14" s="21" t="n"/>
      <c r="LMD14" s="21" t="n"/>
      <c r="LME14" s="21" t="n"/>
      <c r="LMF14" s="21" t="n"/>
      <c r="LMG14" s="21" t="n"/>
      <c r="LMH14" s="21" t="n"/>
      <c r="LMI14" s="21" t="n"/>
      <c r="LMJ14" s="21" t="n"/>
      <c r="LMK14" s="21" t="n"/>
      <c r="LML14" s="21" t="n"/>
      <c r="LMM14" s="21" t="n"/>
      <c r="LMN14" s="21" t="n"/>
      <c r="LMO14" s="21" t="n"/>
      <c r="LMP14" s="21" t="n"/>
      <c r="LMQ14" s="21" t="n"/>
      <c r="LMR14" s="21" t="n"/>
      <c r="LMS14" s="21" t="n"/>
      <c r="LMT14" s="21" t="n"/>
      <c r="LMU14" s="21" t="n"/>
      <c r="LMV14" s="21" t="n"/>
      <c r="LMW14" s="21" t="n"/>
      <c r="LMX14" s="21" t="n"/>
      <c r="LMY14" s="21" t="n"/>
      <c r="LMZ14" s="21" t="n"/>
      <c r="LNA14" s="21" t="n"/>
      <c r="LNB14" s="21" t="n"/>
      <c r="LNC14" s="21" t="n"/>
      <c r="LND14" s="21" t="n"/>
      <c r="LNE14" s="21" t="n"/>
      <c r="LNF14" s="21" t="n"/>
      <c r="LNG14" s="21" t="n"/>
      <c r="LNH14" s="21" t="n"/>
      <c r="LNI14" s="21" t="n"/>
      <c r="LNJ14" s="21" t="n"/>
      <c r="LNK14" s="21" t="n"/>
      <c r="LNL14" s="21" t="n"/>
      <c r="LNM14" s="21" t="n"/>
      <c r="LNN14" s="21" t="n"/>
      <c r="LNO14" s="21" t="n"/>
      <c r="LNP14" s="21" t="n"/>
      <c r="LNQ14" s="21" t="n"/>
      <c r="LNR14" s="21" t="n"/>
      <c r="LNS14" s="21" t="n"/>
      <c r="LNT14" s="21" t="n"/>
      <c r="LNU14" s="21" t="n"/>
      <c r="LNV14" s="21" t="n"/>
      <c r="LNW14" s="21" t="n"/>
      <c r="LNX14" s="21" t="n"/>
      <c r="LNY14" s="21" t="n"/>
      <c r="LNZ14" s="21" t="n"/>
      <c r="LOA14" s="21" t="n"/>
      <c r="LOB14" s="21" t="n"/>
      <c r="LOC14" s="21" t="n"/>
      <c r="LOD14" s="21" t="n"/>
      <c r="LOE14" s="21" t="n"/>
      <c r="LOF14" s="21" t="n"/>
      <c r="LOG14" s="21" t="n"/>
      <c r="LOH14" s="21" t="n"/>
      <c r="LOI14" s="21" t="n"/>
      <c r="LOJ14" s="21" t="n"/>
      <c r="LOK14" s="21" t="n"/>
      <c r="LOL14" s="21" t="n"/>
      <c r="LOM14" s="21" t="n"/>
      <c r="LON14" s="21" t="n"/>
      <c r="LOO14" s="21" t="n"/>
      <c r="LOP14" s="21" t="n"/>
      <c r="LOQ14" s="21" t="n"/>
      <c r="LOR14" s="21" t="n"/>
      <c r="LOS14" s="21" t="n"/>
      <c r="LOT14" s="21" t="n"/>
      <c r="LOU14" s="21" t="n"/>
      <c r="LOV14" s="21" t="n"/>
      <c r="LOW14" s="21" t="n"/>
      <c r="LOX14" s="21" t="n"/>
      <c r="LOY14" s="21" t="n"/>
      <c r="LOZ14" s="21" t="n"/>
      <c r="LPA14" s="21" t="n"/>
      <c r="LPB14" s="21" t="n"/>
      <c r="LPC14" s="21" t="n"/>
      <c r="LPD14" s="21" t="n"/>
      <c r="LPE14" s="21" t="n"/>
      <c r="LPF14" s="21" t="n"/>
      <c r="LPG14" s="21" t="n"/>
      <c r="LPH14" s="21" t="n"/>
      <c r="LPI14" s="21" t="n"/>
      <c r="LPJ14" s="21" t="n"/>
      <c r="LPK14" s="21" t="n"/>
      <c r="LPL14" s="21" t="n"/>
      <c r="LPM14" s="21" t="n"/>
      <c r="LPN14" s="21" t="n"/>
      <c r="LPO14" s="21" t="n"/>
      <c r="LPP14" s="21" t="n"/>
      <c r="LPQ14" s="21" t="n"/>
      <c r="LPR14" s="21" t="n"/>
      <c r="LPS14" s="21" t="n"/>
      <c r="LPT14" s="21" t="n"/>
      <c r="LPU14" s="21" t="n"/>
      <c r="LPV14" s="21" t="n"/>
      <c r="LPW14" s="21" t="n"/>
      <c r="LPX14" s="21" t="n"/>
      <c r="LPY14" s="21" t="n"/>
      <c r="LPZ14" s="21" t="n"/>
      <c r="LQA14" s="21" t="n"/>
      <c r="LQB14" s="21" t="n"/>
      <c r="LQC14" s="21" t="n"/>
      <c r="LQD14" s="21" t="n"/>
      <c r="LQE14" s="21" t="n"/>
      <c r="LQF14" s="21" t="n"/>
      <c r="LQG14" s="21" t="n"/>
      <c r="LQH14" s="21" t="n"/>
      <c r="LQI14" s="21" t="n"/>
      <c r="LQJ14" s="21" t="n"/>
      <c r="LQK14" s="21" t="n"/>
      <c r="LQL14" s="21" t="n"/>
      <c r="LQM14" s="21" t="n"/>
      <c r="LQN14" s="21" t="n"/>
      <c r="LQO14" s="21" t="n"/>
      <c r="LQP14" s="21" t="n"/>
      <c r="LQQ14" s="21" t="n"/>
      <c r="LQR14" s="21" t="n"/>
      <c r="LQS14" s="21" t="n"/>
      <c r="LQT14" s="21" t="n"/>
      <c r="LQU14" s="21" t="n"/>
      <c r="LQV14" s="21" t="n"/>
      <c r="LQW14" s="21" t="n"/>
      <c r="LQX14" s="21" t="n"/>
      <c r="LQY14" s="21" t="n"/>
      <c r="LQZ14" s="21" t="n"/>
      <c r="LRA14" s="21" t="n"/>
      <c r="LRB14" s="21" t="n"/>
      <c r="LRC14" s="21" t="n"/>
      <c r="LRD14" s="21" t="n"/>
      <c r="LRE14" s="21" t="n"/>
      <c r="LRF14" s="21" t="n"/>
      <c r="LRG14" s="21" t="n"/>
      <c r="LRH14" s="21" t="n"/>
      <c r="LRI14" s="21" t="n"/>
      <c r="LRJ14" s="21" t="n"/>
      <c r="LRK14" s="21" t="n"/>
      <c r="LRL14" s="21" t="n"/>
      <c r="LRM14" s="21" t="n"/>
      <c r="LRN14" s="21" t="n"/>
      <c r="LRO14" s="21" t="n"/>
      <c r="LRP14" s="21" t="n"/>
      <c r="LRQ14" s="21" t="n"/>
      <c r="LRR14" s="21" t="n"/>
      <c r="LRS14" s="21" t="n"/>
      <c r="LRT14" s="21" t="n"/>
      <c r="LRU14" s="21" t="n"/>
      <c r="LRV14" s="21" t="n"/>
      <c r="LRW14" s="21" t="n"/>
      <c r="LRX14" s="21" t="n"/>
      <c r="LRY14" s="21" t="n"/>
      <c r="LRZ14" s="21" t="n"/>
      <c r="LSA14" s="21" t="n"/>
      <c r="LSB14" s="21" t="n"/>
      <c r="LSC14" s="21" t="n"/>
      <c r="LSD14" s="21" t="n"/>
      <c r="LSE14" s="21" t="n"/>
      <c r="LSF14" s="21" t="n"/>
      <c r="LSG14" s="21" t="n"/>
      <c r="LSH14" s="21" t="n"/>
      <c r="LSI14" s="21" t="n"/>
      <c r="LSJ14" s="21" t="n"/>
      <c r="LSK14" s="21" t="n"/>
      <c r="LSL14" s="21" t="n"/>
      <c r="LSM14" s="21" t="n"/>
      <c r="LSN14" s="21" t="n"/>
      <c r="LSO14" s="21" t="n"/>
      <c r="LSP14" s="21" t="n"/>
      <c r="LSQ14" s="21" t="n"/>
      <c r="LSR14" s="21" t="n"/>
      <c r="LSS14" s="21" t="n"/>
      <c r="LST14" s="21" t="n"/>
      <c r="LSU14" s="21" t="n"/>
      <c r="LSV14" s="21" t="n"/>
      <c r="LSW14" s="21" t="n"/>
      <c r="LSX14" s="21" t="n"/>
      <c r="LSY14" s="21" t="n"/>
      <c r="LSZ14" s="21" t="n"/>
      <c r="LTA14" s="21" t="n"/>
      <c r="LTB14" s="21" t="n"/>
      <c r="LTC14" s="21" t="n"/>
      <c r="LTD14" s="21" t="n"/>
      <c r="LTE14" s="21" t="n"/>
      <c r="LTF14" s="21" t="n"/>
      <c r="LTG14" s="21" t="n"/>
      <c r="LTH14" s="21" t="n"/>
      <c r="LTI14" s="21" t="n"/>
      <c r="LTJ14" s="21" t="n"/>
      <c r="LTK14" s="21" t="n"/>
      <c r="LTL14" s="21" t="n"/>
      <c r="LTM14" s="21" t="n"/>
      <c r="LTN14" s="21" t="n"/>
      <c r="LTO14" s="21" t="n"/>
      <c r="LTP14" s="21" t="n"/>
      <c r="LTQ14" s="21" t="n"/>
      <c r="LTR14" s="21" t="n"/>
      <c r="LTS14" s="21" t="n"/>
      <c r="LTT14" s="21" t="n"/>
      <c r="LTU14" s="21" t="n"/>
      <c r="LTV14" s="21" t="n"/>
      <c r="LTW14" s="21" t="n"/>
      <c r="LTX14" s="21" t="n"/>
      <c r="LTY14" s="21" t="n"/>
      <c r="LTZ14" s="21" t="n"/>
      <c r="LUA14" s="21" t="n"/>
      <c r="LUB14" s="21" t="n"/>
      <c r="LUC14" s="21" t="n"/>
      <c r="LUD14" s="21" t="n"/>
      <c r="LUE14" s="21" t="n"/>
      <c r="LUF14" s="21" t="n"/>
      <c r="LUG14" s="21" t="n"/>
      <c r="LUH14" s="21" t="n"/>
      <c r="LUI14" s="21" t="n"/>
      <c r="LUJ14" s="21" t="n"/>
      <c r="LUK14" s="21" t="n"/>
      <c r="LUL14" s="21" t="n"/>
      <c r="LUM14" s="21" t="n"/>
      <c r="LUN14" s="21" t="n"/>
      <c r="LUO14" s="21" t="n"/>
      <c r="LUP14" s="21" t="n"/>
      <c r="LUQ14" s="21" t="n"/>
      <c r="LUR14" s="21" t="n"/>
      <c r="LUS14" s="21" t="n"/>
      <c r="LUT14" s="21" t="n"/>
      <c r="LUU14" s="21" t="n"/>
      <c r="LUV14" s="21" t="n"/>
      <c r="LUW14" s="21" t="n"/>
      <c r="LUX14" s="21" t="n"/>
      <c r="LUY14" s="21" t="n"/>
      <c r="LUZ14" s="21" t="n"/>
      <c r="LVA14" s="21" t="n"/>
      <c r="LVB14" s="21" t="n"/>
      <c r="LVC14" s="21" t="n"/>
      <c r="LVD14" s="21" t="n"/>
      <c r="LVE14" s="21" t="n"/>
      <c r="LVF14" s="21" t="n"/>
      <c r="LVG14" s="21" t="n"/>
      <c r="LVH14" s="21" t="n"/>
      <c r="LVI14" s="21" t="n"/>
      <c r="LVJ14" s="21" t="n"/>
      <c r="LVK14" s="21" t="n"/>
      <c r="LVL14" s="21" t="n"/>
      <c r="LVM14" s="21" t="n"/>
      <c r="LVN14" s="21" t="n"/>
      <c r="LVO14" s="21" t="n"/>
      <c r="LVP14" s="21" t="n"/>
      <c r="LVQ14" s="21" t="n"/>
      <c r="LVR14" s="21" t="n"/>
      <c r="LVS14" s="21" t="n"/>
      <c r="LVT14" s="21" t="n"/>
      <c r="LVU14" s="21" t="n"/>
      <c r="LVV14" s="21" t="n"/>
      <c r="LVW14" s="21" t="n"/>
      <c r="LVX14" s="21" t="n"/>
      <c r="LVY14" s="21" t="n"/>
      <c r="LVZ14" s="21" t="n"/>
      <c r="LWA14" s="21" t="n"/>
      <c r="LWB14" s="21" t="n"/>
      <c r="LWC14" s="21" t="n"/>
      <c r="LWD14" s="21" t="n"/>
      <c r="LWE14" s="21" t="n"/>
      <c r="LWF14" s="21" t="n"/>
      <c r="LWG14" s="21" t="n"/>
      <c r="LWH14" s="21" t="n"/>
      <c r="LWI14" s="21" t="n"/>
      <c r="LWJ14" s="21" t="n"/>
      <c r="LWK14" s="21" t="n"/>
      <c r="LWL14" s="21" t="n"/>
      <c r="LWM14" s="21" t="n"/>
      <c r="LWN14" s="21" t="n"/>
      <c r="LWO14" s="21" t="n"/>
      <c r="LWP14" s="21" t="n"/>
      <c r="LWQ14" s="21" t="n"/>
      <c r="LWR14" s="21" t="n"/>
      <c r="LWS14" s="21" t="n"/>
      <c r="LWT14" s="21" t="n"/>
      <c r="LWU14" s="21" t="n"/>
      <c r="LWV14" s="21" t="n"/>
      <c r="LWW14" s="21" t="n"/>
      <c r="LWX14" s="21" t="n"/>
      <c r="LWY14" s="21" t="n"/>
      <c r="LWZ14" s="21" t="n"/>
      <c r="LXA14" s="21" t="n"/>
      <c r="LXB14" s="21" t="n"/>
      <c r="LXC14" s="21" t="n"/>
      <c r="LXD14" s="21" t="n"/>
      <c r="LXE14" s="21" t="n"/>
      <c r="LXF14" s="21" t="n"/>
      <c r="LXG14" s="21" t="n"/>
      <c r="LXH14" s="21" t="n"/>
      <c r="LXI14" s="21" t="n"/>
      <c r="LXJ14" s="21" t="n"/>
      <c r="LXK14" s="21" t="n"/>
      <c r="LXL14" s="21" t="n"/>
      <c r="LXM14" s="21" t="n"/>
      <c r="LXN14" s="21" t="n"/>
      <c r="LXO14" s="21" t="n"/>
      <c r="LXP14" s="21" t="n"/>
      <c r="LXQ14" s="21" t="n"/>
      <c r="LXR14" s="21" t="n"/>
      <c r="LXS14" s="21" t="n"/>
      <c r="LXT14" s="21" t="n"/>
      <c r="LXU14" s="21" t="n"/>
      <c r="LXV14" s="21" t="n"/>
      <c r="LXW14" s="21" t="n"/>
      <c r="LXX14" s="21" t="n"/>
      <c r="LXY14" s="21" t="n"/>
      <c r="LXZ14" s="21" t="n"/>
      <c r="LYA14" s="21" t="n"/>
      <c r="LYB14" s="21" t="n"/>
      <c r="LYC14" s="21" t="n"/>
      <c r="LYD14" s="21" t="n"/>
      <c r="LYE14" s="21" t="n"/>
      <c r="LYF14" s="21" t="n"/>
      <c r="LYG14" s="21" t="n"/>
      <c r="LYH14" s="21" t="n"/>
      <c r="LYI14" s="21" t="n"/>
      <c r="LYJ14" s="21" t="n"/>
      <c r="LYK14" s="21" t="n"/>
      <c r="LYL14" s="21" t="n"/>
      <c r="LYM14" s="21" t="n"/>
      <c r="LYN14" s="21" t="n"/>
      <c r="LYO14" s="21" t="n"/>
      <c r="LYP14" s="21" t="n"/>
      <c r="LYQ14" s="21" t="n"/>
      <c r="LYR14" s="21" t="n"/>
      <c r="LYS14" s="21" t="n"/>
      <c r="LYT14" s="21" t="n"/>
      <c r="LYU14" s="21" t="n"/>
      <c r="LYV14" s="21" t="n"/>
      <c r="LYW14" s="21" t="n"/>
      <c r="LYX14" s="21" t="n"/>
      <c r="LYY14" s="21" t="n"/>
      <c r="LYZ14" s="21" t="n"/>
      <c r="LZA14" s="21" t="n"/>
      <c r="LZB14" s="21" t="n"/>
      <c r="LZC14" s="21" t="n"/>
      <c r="LZD14" s="21" t="n"/>
      <c r="LZE14" s="21" t="n"/>
      <c r="LZF14" s="21" t="n"/>
      <c r="LZG14" s="21" t="n"/>
      <c r="LZH14" s="21" t="n"/>
      <c r="LZI14" s="21" t="n"/>
      <c r="LZJ14" s="21" t="n"/>
      <c r="LZK14" s="21" t="n"/>
      <c r="LZL14" s="21" t="n"/>
      <c r="LZM14" s="21" t="n"/>
      <c r="LZN14" s="21" t="n"/>
      <c r="LZO14" s="21" t="n"/>
      <c r="LZP14" s="21" t="n"/>
      <c r="LZQ14" s="21" t="n"/>
      <c r="LZR14" s="21" t="n"/>
      <c r="LZS14" s="21" t="n"/>
      <c r="LZT14" s="21" t="n"/>
      <c r="LZU14" s="21" t="n"/>
      <c r="LZV14" s="21" t="n"/>
      <c r="LZW14" s="21" t="n"/>
      <c r="LZX14" s="21" t="n"/>
      <c r="LZY14" s="21" t="n"/>
      <c r="LZZ14" s="21" t="n"/>
      <c r="MAA14" s="21" t="n"/>
      <c r="MAB14" s="21" t="n"/>
      <c r="MAC14" s="21" t="n"/>
      <c r="MAD14" s="21" t="n"/>
      <c r="MAE14" s="21" t="n"/>
      <c r="MAF14" s="21" t="n"/>
      <c r="MAG14" s="21" t="n"/>
      <c r="MAH14" s="21" t="n"/>
      <c r="MAI14" s="21" t="n"/>
      <c r="MAJ14" s="21" t="n"/>
      <c r="MAK14" s="21" t="n"/>
      <c r="MAL14" s="21" t="n"/>
      <c r="MAM14" s="21" t="n"/>
      <c r="MAN14" s="21" t="n"/>
      <c r="MAO14" s="21" t="n"/>
      <c r="MAP14" s="21" t="n"/>
      <c r="MAQ14" s="21" t="n"/>
      <c r="MAR14" s="21" t="n"/>
      <c r="MAS14" s="21" t="n"/>
      <c r="MAT14" s="21" t="n"/>
      <c r="MAU14" s="21" t="n"/>
      <c r="MAV14" s="21" t="n"/>
      <c r="MAW14" s="21" t="n"/>
      <c r="MAX14" s="21" t="n"/>
      <c r="MAY14" s="21" t="n"/>
      <c r="MAZ14" s="21" t="n"/>
      <c r="MBA14" s="21" t="n"/>
      <c r="MBB14" s="21" t="n"/>
      <c r="MBC14" s="21" t="n"/>
      <c r="MBD14" s="21" t="n"/>
      <c r="MBE14" s="21" t="n"/>
      <c r="MBF14" s="21" t="n"/>
      <c r="MBG14" s="21" t="n"/>
      <c r="MBH14" s="21" t="n"/>
      <c r="MBI14" s="21" t="n"/>
      <c r="MBJ14" s="21" t="n"/>
      <c r="MBK14" s="21" t="n"/>
      <c r="MBL14" s="21" t="n"/>
      <c r="MBM14" s="21" t="n"/>
      <c r="MBN14" s="21" t="n"/>
      <c r="MBO14" s="21" t="n"/>
      <c r="MBP14" s="21" t="n"/>
      <c r="MBQ14" s="21" t="n"/>
      <c r="MBR14" s="21" t="n"/>
      <c r="MBS14" s="21" t="n"/>
      <c r="MBT14" s="21" t="n"/>
      <c r="MBU14" s="21" t="n"/>
      <c r="MBV14" s="21" t="n"/>
      <c r="MBW14" s="21" t="n"/>
      <c r="MBX14" s="21" t="n"/>
      <c r="MBY14" s="21" t="n"/>
      <c r="MBZ14" s="21" t="n"/>
      <c r="MCA14" s="21" t="n"/>
      <c r="MCB14" s="21" t="n"/>
      <c r="MCC14" s="21" t="n"/>
      <c r="MCD14" s="21" t="n"/>
      <c r="MCE14" s="21" t="n"/>
      <c r="MCF14" s="21" t="n"/>
      <c r="MCG14" s="21" t="n"/>
      <c r="MCH14" s="21" t="n"/>
      <c r="MCI14" s="21" t="n"/>
      <c r="MCJ14" s="21" t="n"/>
      <c r="MCK14" s="21" t="n"/>
      <c r="MCL14" s="21" t="n"/>
      <c r="MCM14" s="21" t="n"/>
      <c r="MCN14" s="21" t="n"/>
      <c r="MCO14" s="21" t="n"/>
      <c r="MCP14" s="21" t="n"/>
      <c r="MCQ14" s="21" t="n"/>
      <c r="MCR14" s="21" t="n"/>
      <c r="MCS14" s="21" t="n"/>
      <c r="MCT14" s="21" t="n"/>
      <c r="MCU14" s="21" t="n"/>
      <c r="MCV14" s="21" t="n"/>
      <c r="MCW14" s="21" t="n"/>
      <c r="MCX14" s="21" t="n"/>
      <c r="MCY14" s="21" t="n"/>
      <c r="MCZ14" s="21" t="n"/>
      <c r="MDA14" s="21" t="n"/>
      <c r="MDB14" s="21" t="n"/>
      <c r="MDC14" s="21" t="n"/>
      <c r="MDD14" s="21" t="n"/>
      <c r="MDE14" s="21" t="n"/>
      <c r="MDF14" s="21" t="n"/>
      <c r="MDG14" s="21" t="n"/>
      <c r="MDH14" s="21" t="n"/>
      <c r="MDI14" s="21" t="n"/>
      <c r="MDJ14" s="21" t="n"/>
      <c r="MDK14" s="21" t="n"/>
      <c r="MDL14" s="21" t="n"/>
      <c r="MDM14" s="21" t="n"/>
      <c r="MDN14" s="21" t="n"/>
      <c r="MDO14" s="21" t="n"/>
      <c r="MDP14" s="21" t="n"/>
      <c r="MDQ14" s="21" t="n"/>
      <c r="MDR14" s="21" t="n"/>
      <c r="MDS14" s="21" t="n"/>
      <c r="MDT14" s="21" t="n"/>
      <c r="MDU14" s="21" t="n"/>
      <c r="MDV14" s="21" t="n"/>
      <c r="MDW14" s="21" t="n"/>
      <c r="MDX14" s="21" t="n"/>
      <c r="MDY14" s="21" t="n"/>
      <c r="MDZ14" s="21" t="n"/>
      <c r="MEA14" s="21" t="n"/>
      <c r="MEB14" s="21" t="n"/>
      <c r="MEC14" s="21" t="n"/>
      <c r="MED14" s="21" t="n"/>
      <c r="MEE14" s="21" t="n"/>
      <c r="MEF14" s="21" t="n"/>
      <c r="MEG14" s="21" t="n"/>
      <c r="MEH14" s="21" t="n"/>
      <c r="MEI14" s="21" t="n"/>
      <c r="MEJ14" s="21" t="n"/>
      <c r="MEK14" s="21" t="n"/>
      <c r="MEL14" s="21" t="n"/>
      <c r="MEM14" s="21" t="n"/>
      <c r="MEN14" s="21" t="n"/>
      <c r="MEO14" s="21" t="n"/>
      <c r="MEP14" s="21" t="n"/>
      <c r="MEQ14" s="21" t="n"/>
      <c r="MER14" s="21" t="n"/>
      <c r="MES14" s="21" t="n"/>
      <c r="MET14" s="21" t="n"/>
      <c r="MEU14" s="21" t="n"/>
      <c r="MEV14" s="21" t="n"/>
      <c r="MEW14" s="21" t="n"/>
      <c r="MEX14" s="21" t="n"/>
      <c r="MEY14" s="21" t="n"/>
      <c r="MEZ14" s="21" t="n"/>
      <c r="MFA14" s="21" t="n"/>
      <c r="MFB14" s="21" t="n"/>
      <c r="MFC14" s="21" t="n"/>
      <c r="MFD14" s="21" t="n"/>
      <c r="MFE14" s="21" t="n"/>
      <c r="MFF14" s="21" t="n"/>
      <c r="MFG14" s="21" t="n"/>
      <c r="MFH14" s="21" t="n"/>
      <c r="MFI14" s="21" t="n"/>
      <c r="MFJ14" s="21" t="n"/>
      <c r="MFK14" s="21" t="n"/>
      <c r="MFL14" s="21" t="n"/>
      <c r="MFM14" s="21" t="n"/>
      <c r="MFN14" s="21" t="n"/>
      <c r="MFO14" s="21" t="n"/>
      <c r="MFP14" s="21" t="n"/>
      <c r="MFQ14" s="21" t="n"/>
      <c r="MFR14" s="21" t="n"/>
      <c r="MFS14" s="21" t="n"/>
      <c r="MFT14" s="21" t="n"/>
      <c r="MFU14" s="21" t="n"/>
      <c r="MFV14" s="21" t="n"/>
      <c r="MFW14" s="21" t="n"/>
      <c r="MFX14" s="21" t="n"/>
      <c r="MFY14" s="21" t="n"/>
      <c r="MFZ14" s="21" t="n"/>
      <c r="MGA14" s="21" t="n"/>
      <c r="MGB14" s="21" t="n"/>
      <c r="MGC14" s="21" t="n"/>
      <c r="MGD14" s="21" t="n"/>
      <c r="MGE14" s="21" t="n"/>
      <c r="MGF14" s="21" t="n"/>
      <c r="MGG14" s="21" t="n"/>
      <c r="MGH14" s="21" t="n"/>
      <c r="MGI14" s="21" t="n"/>
      <c r="MGJ14" s="21" t="n"/>
      <c r="MGK14" s="21" t="n"/>
      <c r="MGL14" s="21" t="n"/>
      <c r="MGM14" s="21" t="n"/>
      <c r="MGN14" s="21" t="n"/>
      <c r="MGO14" s="21" t="n"/>
      <c r="MGP14" s="21" t="n"/>
      <c r="MGQ14" s="21" t="n"/>
      <c r="MGR14" s="21" t="n"/>
      <c r="MGS14" s="21" t="n"/>
      <c r="MGT14" s="21" t="n"/>
      <c r="MGU14" s="21" t="n"/>
      <c r="MGV14" s="21" t="n"/>
      <c r="MGW14" s="21" t="n"/>
      <c r="MGX14" s="21" t="n"/>
      <c r="MGY14" s="21" t="n"/>
      <c r="MGZ14" s="21" t="n"/>
      <c r="MHA14" s="21" t="n"/>
      <c r="MHB14" s="21" t="n"/>
      <c r="MHC14" s="21" t="n"/>
      <c r="MHD14" s="21" t="n"/>
      <c r="MHE14" s="21" t="n"/>
      <c r="MHF14" s="21" t="n"/>
      <c r="MHG14" s="21" t="n"/>
      <c r="MHH14" s="21" t="n"/>
      <c r="MHI14" s="21" t="n"/>
      <c r="MHJ14" s="21" t="n"/>
      <c r="MHK14" s="21" t="n"/>
      <c r="MHL14" s="21" t="n"/>
      <c r="MHM14" s="21" t="n"/>
      <c r="MHN14" s="21" t="n"/>
      <c r="MHO14" s="21" t="n"/>
      <c r="MHP14" s="21" t="n"/>
      <c r="MHQ14" s="21" t="n"/>
      <c r="MHR14" s="21" t="n"/>
      <c r="MHS14" s="21" t="n"/>
      <c r="MHT14" s="21" t="n"/>
      <c r="MHU14" s="21" t="n"/>
      <c r="MHV14" s="21" t="n"/>
      <c r="MHW14" s="21" t="n"/>
      <c r="MHX14" s="21" t="n"/>
      <c r="MHY14" s="21" t="n"/>
      <c r="MHZ14" s="21" t="n"/>
      <c r="MIA14" s="21" t="n"/>
      <c r="MIB14" s="21" t="n"/>
      <c r="MIC14" s="21" t="n"/>
      <c r="MID14" s="21" t="n"/>
      <c r="MIE14" s="21" t="n"/>
      <c r="MIF14" s="21" t="n"/>
      <c r="MIG14" s="21" t="n"/>
      <c r="MIH14" s="21" t="n"/>
      <c r="MII14" s="21" t="n"/>
      <c r="MIJ14" s="21" t="n"/>
      <c r="MIK14" s="21" t="n"/>
      <c r="MIL14" s="21" t="n"/>
      <c r="MIM14" s="21" t="n"/>
      <c r="MIN14" s="21" t="n"/>
      <c r="MIO14" s="21" t="n"/>
      <c r="MIP14" s="21" t="n"/>
      <c r="MIQ14" s="21" t="n"/>
      <c r="MIR14" s="21" t="n"/>
      <c r="MIS14" s="21" t="n"/>
      <c r="MIT14" s="21" t="n"/>
      <c r="MIU14" s="21" t="n"/>
      <c r="MIV14" s="21" t="n"/>
      <c r="MIW14" s="21" t="n"/>
      <c r="MIX14" s="21" t="n"/>
      <c r="MIY14" s="21" t="n"/>
      <c r="MIZ14" s="21" t="n"/>
      <c r="MJA14" s="21" t="n"/>
      <c r="MJB14" s="21" t="n"/>
      <c r="MJC14" s="21" t="n"/>
      <c r="MJD14" s="21" t="n"/>
      <c r="MJE14" s="21" t="n"/>
      <c r="MJF14" s="21" t="n"/>
      <c r="MJG14" s="21" t="n"/>
      <c r="MJH14" s="21" t="n"/>
      <c r="MJI14" s="21" t="n"/>
      <c r="MJJ14" s="21" t="n"/>
      <c r="MJK14" s="21" t="n"/>
      <c r="MJL14" s="21" t="n"/>
      <c r="MJM14" s="21" t="n"/>
      <c r="MJN14" s="21" t="n"/>
      <c r="MJO14" s="21" t="n"/>
      <c r="MJP14" s="21" t="n"/>
      <c r="MJQ14" s="21" t="n"/>
      <c r="MJR14" s="21" t="n"/>
      <c r="MJS14" s="21" t="n"/>
      <c r="MJT14" s="21" t="n"/>
      <c r="MJU14" s="21" t="n"/>
      <c r="MJV14" s="21" t="n"/>
      <c r="MJW14" s="21" t="n"/>
      <c r="MJX14" s="21" t="n"/>
      <c r="MJY14" s="21" t="n"/>
      <c r="MJZ14" s="21" t="n"/>
      <c r="MKA14" s="21" t="n"/>
      <c r="MKB14" s="21" t="n"/>
      <c r="MKC14" s="21" t="n"/>
      <c r="MKD14" s="21" t="n"/>
      <c r="MKE14" s="21" t="n"/>
      <c r="MKF14" s="21" t="n"/>
      <c r="MKG14" s="21" t="n"/>
      <c r="MKH14" s="21" t="n"/>
      <c r="MKI14" s="21" t="n"/>
      <c r="MKJ14" s="21" t="n"/>
      <c r="MKK14" s="21" t="n"/>
      <c r="MKL14" s="21" t="n"/>
      <c r="MKM14" s="21" t="n"/>
      <c r="MKN14" s="21" t="n"/>
      <c r="MKO14" s="21" t="n"/>
      <c r="MKP14" s="21" t="n"/>
      <c r="MKQ14" s="21" t="n"/>
      <c r="MKR14" s="21" t="n"/>
      <c r="MKS14" s="21" t="n"/>
      <c r="MKT14" s="21" t="n"/>
      <c r="MKU14" s="21" t="n"/>
      <c r="MKV14" s="21" t="n"/>
      <c r="MKW14" s="21" t="n"/>
      <c r="MKX14" s="21" t="n"/>
      <c r="MKY14" s="21" t="n"/>
      <c r="MKZ14" s="21" t="n"/>
      <c r="MLA14" s="21" t="n"/>
      <c r="MLB14" s="21" t="n"/>
      <c r="MLC14" s="21" t="n"/>
      <c r="MLD14" s="21" t="n"/>
      <c r="MLE14" s="21" t="n"/>
      <c r="MLF14" s="21" t="n"/>
      <c r="MLG14" s="21" t="n"/>
      <c r="MLH14" s="21" t="n"/>
      <c r="MLI14" s="21" t="n"/>
      <c r="MLJ14" s="21" t="n"/>
      <c r="MLK14" s="21" t="n"/>
      <c r="MLL14" s="21" t="n"/>
      <c r="MLM14" s="21" t="n"/>
      <c r="MLN14" s="21" t="n"/>
      <c r="MLO14" s="21" t="n"/>
      <c r="MLP14" s="21" t="n"/>
      <c r="MLQ14" s="21" t="n"/>
      <c r="MLR14" s="21" t="n"/>
      <c r="MLS14" s="21" t="n"/>
      <c r="MLT14" s="21" t="n"/>
      <c r="MLU14" s="21" t="n"/>
      <c r="MLV14" s="21" t="n"/>
      <c r="MLW14" s="21" t="n"/>
      <c r="MLX14" s="21" t="n"/>
      <c r="MLY14" s="21" t="n"/>
      <c r="MLZ14" s="21" t="n"/>
      <c r="MMA14" s="21" t="n"/>
      <c r="MMB14" s="21" t="n"/>
      <c r="MMC14" s="21" t="n"/>
      <c r="MMD14" s="21" t="n"/>
      <c r="MME14" s="21" t="n"/>
      <c r="MMF14" s="21" t="n"/>
      <c r="MMG14" s="21" t="n"/>
      <c r="MMH14" s="21" t="n"/>
      <c r="MMI14" s="21" t="n"/>
      <c r="MMJ14" s="21" t="n"/>
      <c r="MMK14" s="21" t="n"/>
      <c r="MML14" s="21" t="n"/>
      <c r="MMM14" s="21" t="n"/>
      <c r="MMN14" s="21" t="n"/>
      <c r="MMO14" s="21" t="n"/>
      <c r="MMP14" s="21" t="n"/>
      <c r="MMQ14" s="21" t="n"/>
      <c r="MMR14" s="21" t="n"/>
      <c r="MMS14" s="21" t="n"/>
      <c r="MMT14" s="21" t="n"/>
      <c r="MMU14" s="21" t="n"/>
      <c r="MMV14" s="21" t="n"/>
      <c r="MMW14" s="21" t="n"/>
      <c r="MMX14" s="21" t="n"/>
      <c r="MMY14" s="21" t="n"/>
      <c r="MMZ14" s="21" t="n"/>
      <c r="MNA14" s="21" t="n"/>
      <c r="MNB14" s="21" t="n"/>
      <c r="MNC14" s="21" t="n"/>
      <c r="MND14" s="21" t="n"/>
      <c r="MNE14" s="21" t="n"/>
      <c r="MNF14" s="21" t="n"/>
      <c r="MNG14" s="21" t="n"/>
      <c r="MNH14" s="21" t="n"/>
      <c r="MNI14" s="21" t="n"/>
      <c r="MNJ14" s="21" t="n"/>
      <c r="MNK14" s="21" t="n"/>
      <c r="MNL14" s="21" t="n"/>
      <c r="MNM14" s="21" t="n"/>
      <c r="MNN14" s="21" t="n"/>
      <c r="MNO14" s="21" t="n"/>
      <c r="MNP14" s="21" t="n"/>
      <c r="MNQ14" s="21" t="n"/>
      <c r="MNR14" s="21" t="n"/>
      <c r="MNS14" s="21" t="n"/>
      <c r="MNT14" s="21" t="n"/>
      <c r="MNU14" s="21" t="n"/>
      <c r="MNV14" s="21" t="n"/>
      <c r="MNW14" s="21" t="n"/>
      <c r="MNX14" s="21" t="n"/>
      <c r="MNY14" s="21" t="n"/>
      <c r="MNZ14" s="21" t="n"/>
      <c r="MOA14" s="21" t="n"/>
      <c r="MOB14" s="21" t="n"/>
      <c r="MOC14" s="21" t="n"/>
      <c r="MOD14" s="21" t="n"/>
      <c r="MOE14" s="21" t="n"/>
      <c r="MOF14" s="21" t="n"/>
      <c r="MOG14" s="21" t="n"/>
      <c r="MOH14" s="21" t="n"/>
      <c r="MOI14" s="21" t="n"/>
      <c r="MOJ14" s="21" t="n"/>
      <c r="MOK14" s="21" t="n"/>
      <c r="MOL14" s="21" t="n"/>
      <c r="MOM14" s="21" t="n"/>
      <c r="MON14" s="21" t="n"/>
      <c r="MOO14" s="21" t="n"/>
      <c r="MOP14" s="21" t="n"/>
      <c r="MOQ14" s="21" t="n"/>
      <c r="MOR14" s="21" t="n"/>
      <c r="MOS14" s="21" t="n"/>
      <c r="MOT14" s="21" t="n"/>
      <c r="MOU14" s="21" t="n"/>
      <c r="MOV14" s="21" t="n"/>
      <c r="MOW14" s="21" t="n"/>
      <c r="MOX14" s="21" t="n"/>
      <c r="MOY14" s="21" t="n"/>
      <c r="MOZ14" s="21" t="n"/>
      <c r="MPA14" s="21" t="n"/>
      <c r="MPB14" s="21" t="n"/>
      <c r="MPC14" s="21" t="n"/>
      <c r="MPD14" s="21" t="n"/>
      <c r="MPE14" s="21" t="n"/>
      <c r="MPF14" s="21" t="n"/>
      <c r="MPG14" s="21" t="n"/>
      <c r="MPH14" s="21" t="n"/>
      <c r="MPI14" s="21" t="n"/>
      <c r="MPJ14" s="21" t="n"/>
      <c r="MPK14" s="21" t="n"/>
      <c r="MPL14" s="21" t="n"/>
      <c r="MPM14" s="21" t="n"/>
      <c r="MPN14" s="21" t="n"/>
      <c r="MPO14" s="21" t="n"/>
      <c r="MPP14" s="21" t="n"/>
      <c r="MPQ14" s="21" t="n"/>
      <c r="MPR14" s="21" t="n"/>
      <c r="MPS14" s="21" t="n"/>
      <c r="MPT14" s="21" t="n"/>
      <c r="MPU14" s="21" t="n"/>
      <c r="MPV14" s="21" t="n"/>
      <c r="MPW14" s="21" t="n"/>
      <c r="MPX14" s="21" t="n"/>
      <c r="MPY14" s="21" t="n"/>
      <c r="MPZ14" s="21" t="n"/>
      <c r="MQA14" s="21" t="n"/>
      <c r="MQB14" s="21" t="n"/>
      <c r="MQC14" s="21" t="n"/>
      <c r="MQD14" s="21" t="n"/>
      <c r="MQE14" s="21" t="n"/>
      <c r="MQF14" s="21" t="n"/>
      <c r="MQG14" s="21" t="n"/>
      <c r="MQH14" s="21" t="n"/>
      <c r="MQI14" s="21" t="n"/>
      <c r="MQJ14" s="21" t="n"/>
      <c r="MQK14" s="21" t="n"/>
      <c r="MQL14" s="21" t="n"/>
      <c r="MQM14" s="21" t="n"/>
      <c r="MQN14" s="21" t="n"/>
      <c r="MQO14" s="21" t="n"/>
      <c r="MQP14" s="21" t="n"/>
      <c r="MQQ14" s="21" t="n"/>
      <c r="MQR14" s="21" t="n"/>
      <c r="MQS14" s="21" t="n"/>
      <c r="MQT14" s="21" t="n"/>
      <c r="MQU14" s="21" t="n"/>
      <c r="MQV14" s="21" t="n"/>
      <c r="MQW14" s="21" t="n"/>
      <c r="MQX14" s="21" t="n"/>
      <c r="MQY14" s="21" t="n"/>
      <c r="MQZ14" s="21" t="n"/>
      <c r="MRA14" s="21" t="n"/>
      <c r="MRB14" s="21" t="n"/>
      <c r="MRC14" s="21" t="n"/>
      <c r="MRD14" s="21" t="n"/>
      <c r="MRE14" s="21" t="n"/>
      <c r="MRF14" s="21" t="n"/>
      <c r="MRG14" s="21" t="n"/>
      <c r="MRH14" s="21" t="n"/>
      <c r="MRI14" s="21" t="n"/>
      <c r="MRJ14" s="21" t="n"/>
      <c r="MRK14" s="21" t="n"/>
      <c r="MRL14" s="21" t="n"/>
      <c r="MRM14" s="21" t="n"/>
      <c r="MRN14" s="21" t="n"/>
      <c r="MRO14" s="21" t="n"/>
      <c r="MRP14" s="21" t="n"/>
      <c r="MRQ14" s="21" t="n"/>
      <c r="MRR14" s="21" t="n"/>
      <c r="MRS14" s="21" t="n"/>
      <c r="MRT14" s="21" t="n"/>
      <c r="MRU14" s="21" t="n"/>
      <c r="MRV14" s="21" t="n"/>
      <c r="MRW14" s="21" t="n"/>
      <c r="MRX14" s="21" t="n"/>
      <c r="MRY14" s="21" t="n"/>
      <c r="MRZ14" s="21" t="n"/>
      <c r="MSA14" s="21" t="n"/>
      <c r="MSB14" s="21" t="n"/>
      <c r="MSC14" s="21" t="n"/>
      <c r="MSD14" s="21" t="n"/>
      <c r="MSE14" s="21" t="n"/>
      <c r="MSF14" s="21" t="n"/>
      <c r="MSG14" s="21" t="n"/>
      <c r="MSH14" s="21" t="n"/>
      <c r="MSI14" s="21" t="n"/>
      <c r="MSJ14" s="21" t="n"/>
      <c r="MSK14" s="21" t="n"/>
      <c r="MSL14" s="21" t="n"/>
      <c r="MSM14" s="21" t="n"/>
      <c r="MSN14" s="21" t="n"/>
      <c r="MSO14" s="21" t="n"/>
      <c r="MSP14" s="21" t="n"/>
      <c r="MSQ14" s="21" t="n"/>
      <c r="MSR14" s="21" t="n"/>
      <c r="MSS14" s="21" t="n"/>
      <c r="MST14" s="21" t="n"/>
      <c r="MSU14" s="21" t="n"/>
      <c r="MSV14" s="21" t="n"/>
      <c r="MSW14" s="21" t="n"/>
      <c r="MSX14" s="21" t="n"/>
      <c r="MSY14" s="21" t="n"/>
      <c r="MSZ14" s="21" t="n"/>
      <c r="MTA14" s="21" t="n"/>
      <c r="MTB14" s="21" t="n"/>
      <c r="MTC14" s="21" t="n"/>
      <c r="MTD14" s="21" t="n"/>
      <c r="MTE14" s="21" t="n"/>
      <c r="MTF14" s="21" t="n"/>
      <c r="MTG14" s="21" t="n"/>
      <c r="MTH14" s="21" t="n"/>
      <c r="MTI14" s="21" t="n"/>
      <c r="MTJ14" s="21" t="n"/>
      <c r="MTK14" s="21" t="n"/>
      <c r="MTL14" s="21" t="n"/>
      <c r="MTM14" s="21" t="n"/>
      <c r="MTN14" s="21" t="n"/>
      <c r="MTO14" s="21" t="n"/>
      <c r="MTP14" s="21" t="n"/>
      <c r="MTQ14" s="21" t="n"/>
      <c r="MTR14" s="21" t="n"/>
      <c r="MTS14" s="21" t="n"/>
      <c r="MTT14" s="21" t="n"/>
      <c r="MTU14" s="21" t="n"/>
      <c r="MTV14" s="21" t="n"/>
      <c r="MTW14" s="21" t="n"/>
      <c r="MTX14" s="21" t="n"/>
      <c r="MTY14" s="21" t="n"/>
      <c r="MTZ14" s="21" t="n"/>
      <c r="MUA14" s="21" t="n"/>
      <c r="MUB14" s="21" t="n"/>
      <c r="MUC14" s="21" t="n"/>
      <c r="MUD14" s="21" t="n"/>
      <c r="MUE14" s="21" t="n"/>
      <c r="MUF14" s="21" t="n"/>
      <c r="MUG14" s="21" t="n"/>
      <c r="MUH14" s="21" t="n"/>
      <c r="MUI14" s="21" t="n"/>
      <c r="MUJ14" s="21" t="n"/>
      <c r="MUK14" s="21" t="n"/>
      <c r="MUL14" s="21" t="n"/>
      <c r="MUM14" s="21" t="n"/>
      <c r="MUN14" s="21" t="n"/>
      <c r="MUO14" s="21" t="n"/>
      <c r="MUP14" s="21" t="n"/>
      <c r="MUQ14" s="21" t="n"/>
      <c r="MUR14" s="21" t="n"/>
      <c r="MUS14" s="21" t="n"/>
      <c r="MUT14" s="21" t="n"/>
      <c r="MUU14" s="21" t="n"/>
      <c r="MUV14" s="21" t="n"/>
      <c r="MUW14" s="21" t="n"/>
      <c r="MUX14" s="21" t="n"/>
      <c r="MUY14" s="21" t="n"/>
      <c r="MUZ14" s="21" t="n"/>
      <c r="MVA14" s="21" t="n"/>
      <c r="MVB14" s="21" t="n"/>
      <c r="MVC14" s="21" t="n"/>
      <c r="MVD14" s="21" t="n"/>
      <c r="MVE14" s="21" t="n"/>
      <c r="MVF14" s="21" t="n"/>
      <c r="MVG14" s="21" t="n"/>
      <c r="MVH14" s="21" t="n"/>
      <c r="MVI14" s="21" t="n"/>
      <c r="MVJ14" s="21" t="n"/>
      <c r="MVK14" s="21" t="n"/>
      <c r="MVL14" s="21" t="n"/>
      <c r="MVM14" s="21" t="n"/>
      <c r="MVN14" s="21" t="n"/>
      <c r="MVO14" s="21" t="n"/>
      <c r="MVP14" s="21" t="n"/>
      <c r="MVQ14" s="21" t="n"/>
      <c r="MVR14" s="21" t="n"/>
      <c r="MVS14" s="21" t="n"/>
      <c r="MVT14" s="21" t="n"/>
      <c r="MVU14" s="21" t="n"/>
      <c r="MVV14" s="21" t="n"/>
      <c r="MVW14" s="21" t="n"/>
      <c r="MVX14" s="21" t="n"/>
      <c r="MVY14" s="21" t="n"/>
      <c r="MVZ14" s="21" t="n"/>
      <c r="MWA14" s="21" t="n"/>
      <c r="MWB14" s="21" t="n"/>
      <c r="MWC14" s="21" t="n"/>
      <c r="MWD14" s="21" t="n"/>
      <c r="MWE14" s="21" t="n"/>
      <c r="MWF14" s="21" t="n"/>
      <c r="MWG14" s="21" t="n"/>
      <c r="MWH14" s="21" t="n"/>
      <c r="MWI14" s="21" t="n"/>
      <c r="MWJ14" s="21" t="n"/>
      <c r="MWK14" s="21" t="n"/>
      <c r="MWL14" s="21" t="n"/>
      <c r="MWM14" s="21" t="n"/>
      <c r="MWN14" s="21" t="n"/>
      <c r="MWO14" s="21" t="n"/>
      <c r="MWP14" s="21" t="n"/>
      <c r="MWQ14" s="21" t="n"/>
      <c r="MWR14" s="21" t="n"/>
      <c r="MWS14" s="21" t="n"/>
      <c r="MWT14" s="21" t="n"/>
      <c r="MWU14" s="21" t="n"/>
      <c r="MWV14" s="21" t="n"/>
      <c r="MWW14" s="21" t="n"/>
      <c r="MWX14" s="21" t="n"/>
      <c r="MWY14" s="21" t="n"/>
      <c r="MWZ14" s="21" t="n"/>
      <c r="MXA14" s="21" t="n"/>
      <c r="MXB14" s="21" t="n"/>
      <c r="MXC14" s="21" t="n"/>
      <c r="MXD14" s="21" t="n"/>
      <c r="MXE14" s="21" t="n"/>
      <c r="MXF14" s="21" t="n"/>
      <c r="MXG14" s="21" t="n"/>
      <c r="MXH14" s="21" t="n"/>
      <c r="MXI14" s="21" t="n"/>
      <c r="MXJ14" s="21" t="n"/>
      <c r="MXK14" s="21" t="n"/>
      <c r="MXL14" s="21" t="n"/>
      <c r="MXM14" s="21" t="n"/>
      <c r="MXN14" s="21" t="n"/>
      <c r="MXO14" s="21" t="n"/>
      <c r="MXP14" s="21" t="n"/>
      <c r="MXQ14" s="21" t="n"/>
      <c r="MXR14" s="21" t="n"/>
      <c r="MXS14" s="21" t="n"/>
      <c r="MXT14" s="21" t="n"/>
      <c r="MXU14" s="21" t="n"/>
      <c r="MXV14" s="21" t="n"/>
      <c r="MXW14" s="21" t="n"/>
      <c r="MXX14" s="21" t="n"/>
      <c r="MXY14" s="21" t="n"/>
      <c r="MXZ14" s="21" t="n"/>
      <c r="MYA14" s="21" t="n"/>
      <c r="MYB14" s="21" t="n"/>
      <c r="MYC14" s="21" t="n"/>
      <c r="MYD14" s="21" t="n"/>
      <c r="MYE14" s="21" t="n"/>
      <c r="MYF14" s="21" t="n"/>
      <c r="MYG14" s="21" t="n"/>
      <c r="MYH14" s="21" t="n"/>
      <c r="MYI14" s="21" t="n"/>
      <c r="MYJ14" s="21" t="n"/>
      <c r="MYK14" s="21" t="n"/>
      <c r="MYL14" s="21" t="n"/>
      <c r="MYM14" s="21" t="n"/>
      <c r="MYN14" s="21" t="n"/>
      <c r="MYO14" s="21" t="n"/>
      <c r="MYP14" s="21" t="n"/>
      <c r="MYQ14" s="21" t="n"/>
      <c r="MYR14" s="21" t="n"/>
      <c r="MYS14" s="21" t="n"/>
      <c r="MYT14" s="21" t="n"/>
      <c r="MYU14" s="21" t="n"/>
      <c r="MYV14" s="21" t="n"/>
      <c r="MYW14" s="21" t="n"/>
      <c r="MYX14" s="21" t="n"/>
      <c r="MYY14" s="21" t="n"/>
      <c r="MYZ14" s="21" t="n"/>
      <c r="MZA14" s="21" t="n"/>
      <c r="MZB14" s="21" t="n"/>
      <c r="MZC14" s="21" t="n"/>
      <c r="MZD14" s="21" t="n"/>
      <c r="MZE14" s="21" t="n"/>
      <c r="MZF14" s="21" t="n"/>
      <c r="MZG14" s="21" t="n"/>
      <c r="MZH14" s="21" t="n"/>
      <c r="MZI14" s="21" t="n"/>
      <c r="MZJ14" s="21" t="n"/>
      <c r="MZK14" s="21" t="n"/>
      <c r="MZL14" s="21" t="n"/>
      <c r="MZM14" s="21" t="n"/>
      <c r="MZN14" s="21" t="n"/>
      <c r="MZO14" s="21" t="n"/>
      <c r="MZP14" s="21" t="n"/>
      <c r="MZQ14" s="21" t="n"/>
      <c r="MZR14" s="21" t="n"/>
      <c r="MZS14" s="21" t="n"/>
      <c r="MZT14" s="21" t="n"/>
      <c r="MZU14" s="21" t="n"/>
      <c r="MZV14" s="21" t="n"/>
      <c r="MZW14" s="21" t="n"/>
      <c r="MZX14" s="21" t="n"/>
      <c r="MZY14" s="21" t="n"/>
      <c r="MZZ14" s="21" t="n"/>
      <c r="NAA14" s="21" t="n"/>
      <c r="NAB14" s="21" t="n"/>
      <c r="NAC14" s="21" t="n"/>
      <c r="NAD14" s="21" t="n"/>
      <c r="NAE14" s="21" t="n"/>
      <c r="NAF14" s="21" t="n"/>
      <c r="NAG14" s="21" t="n"/>
      <c r="NAH14" s="21" t="n"/>
      <c r="NAI14" s="21" t="n"/>
      <c r="NAJ14" s="21" t="n"/>
      <c r="NAK14" s="21" t="n"/>
      <c r="NAL14" s="21" t="n"/>
      <c r="NAM14" s="21" t="n"/>
      <c r="NAN14" s="21" t="n"/>
      <c r="NAO14" s="21" t="n"/>
      <c r="NAP14" s="21" t="n"/>
      <c r="NAQ14" s="21" t="n"/>
      <c r="NAR14" s="21" t="n"/>
      <c r="NAS14" s="21" t="n"/>
      <c r="NAT14" s="21" t="n"/>
      <c r="NAU14" s="21" t="n"/>
      <c r="NAV14" s="21" t="n"/>
      <c r="NAW14" s="21" t="n"/>
      <c r="NAX14" s="21" t="n"/>
      <c r="NAY14" s="21" t="n"/>
      <c r="NAZ14" s="21" t="n"/>
      <c r="NBA14" s="21" t="n"/>
      <c r="NBB14" s="21" t="n"/>
      <c r="NBC14" s="21" t="n"/>
      <c r="NBD14" s="21" t="n"/>
      <c r="NBE14" s="21" t="n"/>
      <c r="NBF14" s="21" t="n"/>
      <c r="NBG14" s="21" t="n"/>
      <c r="NBH14" s="21" t="n"/>
      <c r="NBI14" s="21" t="n"/>
      <c r="NBJ14" s="21" t="n"/>
      <c r="NBK14" s="21" t="n"/>
      <c r="NBL14" s="21" t="n"/>
      <c r="NBM14" s="21" t="n"/>
      <c r="NBN14" s="21" t="n"/>
      <c r="NBO14" s="21" t="n"/>
      <c r="NBP14" s="21" t="n"/>
      <c r="NBQ14" s="21" t="n"/>
      <c r="NBR14" s="21" t="n"/>
      <c r="NBS14" s="21" t="n"/>
      <c r="NBT14" s="21" t="n"/>
      <c r="NBU14" s="21" t="n"/>
      <c r="NBV14" s="21" t="n"/>
      <c r="NBW14" s="21" t="n"/>
      <c r="NBX14" s="21" t="n"/>
      <c r="NBY14" s="21" t="n"/>
      <c r="NBZ14" s="21" t="n"/>
      <c r="NCA14" s="21" t="n"/>
      <c r="NCB14" s="21" t="n"/>
      <c r="NCC14" s="21" t="n"/>
      <c r="NCD14" s="21" t="n"/>
      <c r="NCE14" s="21" t="n"/>
      <c r="NCF14" s="21" t="n"/>
      <c r="NCG14" s="21" t="n"/>
      <c r="NCH14" s="21" t="n"/>
      <c r="NCI14" s="21" t="n"/>
      <c r="NCJ14" s="21" t="n"/>
      <c r="NCK14" s="21" t="n"/>
      <c r="NCL14" s="21" t="n"/>
      <c r="NCM14" s="21" t="n"/>
      <c r="NCN14" s="21" t="n"/>
      <c r="NCO14" s="21" t="n"/>
      <c r="NCP14" s="21" t="n"/>
      <c r="NCQ14" s="21" t="n"/>
      <c r="NCR14" s="21" t="n"/>
      <c r="NCS14" s="21" t="n"/>
      <c r="NCT14" s="21" t="n"/>
      <c r="NCU14" s="21" t="n"/>
      <c r="NCV14" s="21" t="n"/>
      <c r="NCW14" s="21" t="n"/>
      <c r="NCX14" s="21" t="n"/>
      <c r="NCY14" s="21" t="n"/>
      <c r="NCZ14" s="21" t="n"/>
      <c r="NDA14" s="21" t="n"/>
      <c r="NDB14" s="21" t="n"/>
      <c r="NDC14" s="21" t="n"/>
      <c r="NDD14" s="21" t="n"/>
      <c r="NDE14" s="21" t="n"/>
      <c r="NDF14" s="21" t="n"/>
      <c r="NDG14" s="21" t="n"/>
      <c r="NDH14" s="21" t="n"/>
      <c r="NDI14" s="21" t="n"/>
      <c r="NDJ14" s="21" t="n"/>
      <c r="NDK14" s="21" t="n"/>
      <c r="NDL14" s="21" t="n"/>
      <c r="NDM14" s="21" t="n"/>
      <c r="NDN14" s="21" t="n"/>
      <c r="NDO14" s="21" t="n"/>
      <c r="NDP14" s="21" t="n"/>
      <c r="NDQ14" s="21" t="n"/>
      <c r="NDR14" s="21" t="n"/>
      <c r="NDS14" s="21" t="n"/>
      <c r="NDT14" s="21" t="n"/>
      <c r="NDU14" s="21" t="n"/>
      <c r="NDV14" s="21" t="n"/>
      <c r="NDW14" s="21" t="n"/>
      <c r="NDX14" s="21" t="n"/>
      <c r="NDY14" s="21" t="n"/>
      <c r="NDZ14" s="21" t="n"/>
      <c r="NEA14" s="21" t="n"/>
      <c r="NEB14" s="21" t="n"/>
      <c r="NEC14" s="21" t="n"/>
      <c r="NED14" s="21" t="n"/>
      <c r="NEE14" s="21" t="n"/>
      <c r="NEF14" s="21" t="n"/>
      <c r="NEG14" s="21" t="n"/>
      <c r="NEH14" s="21" t="n"/>
      <c r="NEI14" s="21" t="n"/>
      <c r="NEJ14" s="21" t="n"/>
      <c r="NEK14" s="21" t="n"/>
      <c r="NEL14" s="21" t="n"/>
      <c r="NEM14" s="21" t="n"/>
      <c r="NEN14" s="21" t="n"/>
      <c r="NEO14" s="21" t="n"/>
      <c r="NEP14" s="21" t="n"/>
      <c r="NEQ14" s="21" t="n"/>
      <c r="NER14" s="21" t="n"/>
      <c r="NES14" s="21" t="n"/>
      <c r="NET14" s="21" t="n"/>
      <c r="NEU14" s="21" t="n"/>
      <c r="NEV14" s="21" t="n"/>
      <c r="NEW14" s="21" t="n"/>
      <c r="NEX14" s="21" t="n"/>
      <c r="NEY14" s="21" t="n"/>
      <c r="NEZ14" s="21" t="n"/>
      <c r="NFA14" s="21" t="n"/>
      <c r="NFB14" s="21" t="n"/>
      <c r="NFC14" s="21" t="n"/>
      <c r="NFD14" s="21" t="n"/>
      <c r="NFE14" s="21" t="n"/>
      <c r="NFF14" s="21" t="n"/>
      <c r="NFG14" s="21" t="n"/>
      <c r="NFH14" s="21" t="n"/>
      <c r="NFI14" s="21" t="n"/>
      <c r="NFJ14" s="21" t="n"/>
      <c r="NFK14" s="21" t="n"/>
      <c r="NFL14" s="21" t="n"/>
      <c r="NFM14" s="21" t="n"/>
      <c r="NFN14" s="21" t="n"/>
      <c r="NFO14" s="21" t="n"/>
      <c r="NFP14" s="21" t="n"/>
      <c r="NFQ14" s="21" t="n"/>
      <c r="NFR14" s="21" t="n"/>
      <c r="NFS14" s="21" t="n"/>
      <c r="NFT14" s="21" t="n"/>
      <c r="NFU14" s="21" t="n"/>
      <c r="NFV14" s="21" t="n"/>
      <c r="NFW14" s="21" t="n"/>
      <c r="NFX14" s="21" t="n"/>
      <c r="NFY14" s="21" t="n"/>
      <c r="NFZ14" s="21" t="n"/>
      <c r="NGA14" s="21" t="n"/>
      <c r="NGB14" s="21" t="n"/>
      <c r="NGC14" s="21" t="n"/>
      <c r="NGD14" s="21" t="n"/>
      <c r="NGE14" s="21" t="n"/>
      <c r="NGF14" s="21" t="n"/>
      <c r="NGG14" s="21" t="n"/>
      <c r="NGH14" s="21" t="n"/>
      <c r="NGI14" s="21" t="n"/>
      <c r="NGJ14" s="21" t="n"/>
      <c r="NGK14" s="21" t="n"/>
      <c r="NGL14" s="21" t="n"/>
      <c r="NGM14" s="21" t="n"/>
      <c r="NGN14" s="21" t="n"/>
      <c r="NGO14" s="21" t="n"/>
      <c r="NGP14" s="21" t="n"/>
      <c r="NGQ14" s="21" t="n"/>
      <c r="NGR14" s="21" t="n"/>
      <c r="NGS14" s="21" t="n"/>
      <c r="NGT14" s="21" t="n"/>
      <c r="NGU14" s="21" t="n"/>
      <c r="NGV14" s="21" t="n"/>
      <c r="NGW14" s="21" t="n"/>
      <c r="NGX14" s="21" t="n"/>
      <c r="NGY14" s="21" t="n"/>
      <c r="NGZ14" s="21" t="n"/>
      <c r="NHA14" s="21" t="n"/>
      <c r="NHB14" s="21" t="n"/>
      <c r="NHC14" s="21" t="n"/>
      <c r="NHD14" s="21" t="n"/>
      <c r="NHE14" s="21" t="n"/>
      <c r="NHF14" s="21" t="n"/>
      <c r="NHG14" s="21" t="n"/>
      <c r="NHH14" s="21" t="n"/>
      <c r="NHI14" s="21" t="n"/>
      <c r="NHJ14" s="21" t="n"/>
      <c r="NHK14" s="21" t="n"/>
      <c r="NHL14" s="21" t="n"/>
      <c r="NHM14" s="21" t="n"/>
      <c r="NHN14" s="21" t="n"/>
      <c r="NHO14" s="21" t="n"/>
      <c r="NHP14" s="21" t="n"/>
      <c r="NHQ14" s="21" t="n"/>
      <c r="NHR14" s="21" t="n"/>
      <c r="NHS14" s="21" t="n"/>
      <c r="NHT14" s="21" t="n"/>
      <c r="NHU14" s="21" t="n"/>
      <c r="NHV14" s="21" t="n"/>
      <c r="NHW14" s="21" t="n"/>
      <c r="NHX14" s="21" t="n"/>
      <c r="NHY14" s="21" t="n"/>
      <c r="NHZ14" s="21" t="n"/>
      <c r="NIA14" s="21" t="n"/>
      <c r="NIB14" s="21" t="n"/>
      <c r="NIC14" s="21" t="n"/>
      <c r="NID14" s="21" t="n"/>
      <c r="NIE14" s="21" t="n"/>
      <c r="NIF14" s="21" t="n"/>
      <c r="NIG14" s="21" t="n"/>
      <c r="NIH14" s="21" t="n"/>
      <c r="NII14" s="21" t="n"/>
      <c r="NIJ14" s="21" t="n"/>
      <c r="NIK14" s="21" t="n"/>
      <c r="NIL14" s="21" t="n"/>
      <c r="NIM14" s="21" t="n"/>
      <c r="NIN14" s="21" t="n"/>
      <c r="NIO14" s="21" t="n"/>
      <c r="NIP14" s="21" t="n"/>
      <c r="NIQ14" s="21" t="n"/>
      <c r="NIR14" s="21" t="n"/>
      <c r="NIS14" s="21" t="n"/>
      <c r="NIT14" s="21" t="n"/>
      <c r="NIU14" s="21" t="n"/>
      <c r="NIV14" s="21" t="n"/>
      <c r="NIW14" s="21" t="n"/>
      <c r="NIX14" s="21" t="n"/>
      <c r="NIY14" s="21" t="n"/>
      <c r="NIZ14" s="21" t="n"/>
      <c r="NJA14" s="21" t="n"/>
      <c r="NJB14" s="21" t="n"/>
      <c r="NJC14" s="21" t="n"/>
      <c r="NJD14" s="21" t="n"/>
      <c r="NJE14" s="21" t="n"/>
      <c r="NJF14" s="21" t="n"/>
      <c r="NJG14" s="21" t="n"/>
      <c r="NJH14" s="21" t="n"/>
      <c r="NJI14" s="21" t="n"/>
      <c r="NJJ14" s="21" t="n"/>
      <c r="NJK14" s="21" t="n"/>
      <c r="NJL14" s="21" t="n"/>
      <c r="NJM14" s="21" t="n"/>
      <c r="NJN14" s="21" t="n"/>
      <c r="NJO14" s="21" t="n"/>
      <c r="NJP14" s="21" t="n"/>
      <c r="NJQ14" s="21" t="n"/>
      <c r="NJR14" s="21" t="n"/>
      <c r="NJS14" s="21" t="n"/>
      <c r="NJT14" s="21" t="n"/>
      <c r="NJU14" s="21" t="n"/>
      <c r="NJV14" s="21" t="n"/>
      <c r="NJW14" s="21" t="n"/>
      <c r="NJX14" s="21" t="n"/>
      <c r="NJY14" s="21" t="n"/>
      <c r="NJZ14" s="21" t="n"/>
      <c r="NKA14" s="21" t="n"/>
      <c r="NKB14" s="21" t="n"/>
      <c r="NKC14" s="21" t="n"/>
      <c r="NKD14" s="21" t="n"/>
      <c r="NKE14" s="21" t="n"/>
      <c r="NKF14" s="21" t="n"/>
      <c r="NKG14" s="21" t="n"/>
      <c r="NKH14" s="21" t="n"/>
      <c r="NKI14" s="21" t="n"/>
      <c r="NKJ14" s="21" t="n"/>
      <c r="NKK14" s="21" t="n"/>
      <c r="NKL14" s="21" t="n"/>
      <c r="NKM14" s="21" t="n"/>
      <c r="NKN14" s="21" t="n"/>
      <c r="NKO14" s="21" t="n"/>
      <c r="NKP14" s="21" t="n"/>
      <c r="NKQ14" s="21" t="n"/>
      <c r="NKR14" s="21" t="n"/>
      <c r="NKS14" s="21" t="n"/>
      <c r="NKT14" s="21" t="n"/>
      <c r="NKU14" s="21" t="n"/>
      <c r="NKV14" s="21" t="n"/>
      <c r="NKW14" s="21" t="n"/>
      <c r="NKX14" s="21" t="n"/>
      <c r="NKY14" s="21" t="n"/>
      <c r="NKZ14" s="21" t="n"/>
      <c r="NLA14" s="21" t="n"/>
      <c r="NLB14" s="21" t="n"/>
      <c r="NLC14" s="21" t="n"/>
      <c r="NLD14" s="21" t="n"/>
      <c r="NLE14" s="21" t="n"/>
      <c r="NLF14" s="21" t="n"/>
      <c r="NLG14" s="21" t="n"/>
      <c r="NLH14" s="21" t="n"/>
      <c r="NLI14" s="21" t="n"/>
      <c r="NLJ14" s="21" t="n"/>
      <c r="NLK14" s="21" t="n"/>
      <c r="NLL14" s="21" t="n"/>
      <c r="NLM14" s="21" t="n"/>
      <c r="NLN14" s="21" t="n"/>
      <c r="NLO14" s="21" t="n"/>
      <c r="NLP14" s="21" t="n"/>
      <c r="NLQ14" s="21" t="n"/>
      <c r="NLR14" s="21" t="n"/>
      <c r="NLS14" s="21" t="n"/>
      <c r="NLT14" s="21" t="n"/>
      <c r="NLU14" s="21" t="n"/>
      <c r="NLV14" s="21" t="n"/>
      <c r="NLW14" s="21" t="n"/>
      <c r="NLX14" s="21" t="n"/>
      <c r="NLY14" s="21" t="n"/>
      <c r="NLZ14" s="21" t="n"/>
      <c r="NMA14" s="21" t="n"/>
      <c r="NMB14" s="21" t="n"/>
      <c r="NMC14" s="21" t="n"/>
      <c r="NMD14" s="21" t="n"/>
      <c r="NME14" s="21" t="n"/>
      <c r="NMF14" s="21" t="n"/>
      <c r="NMG14" s="21" t="n"/>
      <c r="NMH14" s="21" t="n"/>
      <c r="NMI14" s="21" t="n"/>
      <c r="NMJ14" s="21" t="n"/>
      <c r="NMK14" s="21" t="n"/>
      <c r="NML14" s="21" t="n"/>
      <c r="NMM14" s="21" t="n"/>
      <c r="NMN14" s="21" t="n"/>
      <c r="NMO14" s="21" t="n"/>
      <c r="NMP14" s="21" t="n"/>
      <c r="NMQ14" s="21" t="n"/>
      <c r="NMR14" s="21" t="n"/>
      <c r="NMS14" s="21" t="n"/>
      <c r="NMT14" s="21" t="n"/>
      <c r="NMU14" s="21" t="n"/>
      <c r="NMV14" s="21" t="n"/>
      <c r="NMW14" s="21" t="n"/>
      <c r="NMX14" s="21" t="n"/>
      <c r="NMY14" s="21" t="n"/>
      <c r="NMZ14" s="21" t="n"/>
      <c r="NNA14" s="21" t="n"/>
      <c r="NNB14" s="21" t="n"/>
      <c r="NNC14" s="21" t="n"/>
      <c r="NND14" s="21" t="n"/>
      <c r="NNE14" s="21" t="n"/>
      <c r="NNF14" s="21" t="n"/>
      <c r="NNG14" s="21" t="n"/>
      <c r="NNH14" s="21" t="n"/>
      <c r="NNI14" s="21" t="n"/>
      <c r="NNJ14" s="21" t="n"/>
      <c r="NNK14" s="21" t="n"/>
      <c r="NNL14" s="21" t="n"/>
      <c r="NNM14" s="21" t="n"/>
      <c r="NNN14" s="21" t="n"/>
      <c r="NNO14" s="21" t="n"/>
      <c r="NNP14" s="21" t="n"/>
      <c r="NNQ14" s="21" t="n"/>
      <c r="NNR14" s="21" t="n"/>
      <c r="NNS14" s="21" t="n"/>
      <c r="NNT14" s="21" t="n"/>
      <c r="NNU14" s="21" t="n"/>
      <c r="NNV14" s="21" t="n"/>
      <c r="NNW14" s="21" t="n"/>
      <c r="NNX14" s="21" t="n"/>
      <c r="NNY14" s="21" t="n"/>
      <c r="NNZ14" s="21" t="n"/>
      <c r="NOA14" s="21" t="n"/>
      <c r="NOB14" s="21" t="n"/>
      <c r="NOC14" s="21" t="n"/>
      <c r="NOD14" s="21" t="n"/>
      <c r="NOE14" s="21" t="n"/>
      <c r="NOF14" s="21" t="n"/>
      <c r="NOG14" s="21" t="n"/>
      <c r="NOH14" s="21" t="n"/>
      <c r="NOI14" s="21" t="n"/>
      <c r="NOJ14" s="21" t="n"/>
      <c r="NOK14" s="21" t="n"/>
      <c r="NOL14" s="21" t="n"/>
      <c r="NOM14" s="21" t="n"/>
      <c r="NON14" s="21" t="n"/>
      <c r="NOO14" s="21" t="n"/>
      <c r="NOP14" s="21" t="n"/>
      <c r="NOQ14" s="21" t="n"/>
      <c r="NOR14" s="21" t="n"/>
      <c r="NOS14" s="21" t="n"/>
      <c r="NOT14" s="21" t="n"/>
      <c r="NOU14" s="21" t="n"/>
      <c r="NOV14" s="21" t="n"/>
      <c r="NOW14" s="21" t="n"/>
      <c r="NOX14" s="21" t="n"/>
      <c r="NOY14" s="21" t="n"/>
      <c r="NOZ14" s="21" t="n"/>
      <c r="NPA14" s="21" t="n"/>
      <c r="NPB14" s="21" t="n"/>
      <c r="NPC14" s="21" t="n"/>
      <c r="NPD14" s="21" t="n"/>
      <c r="NPE14" s="21" t="n"/>
      <c r="NPF14" s="21" t="n"/>
      <c r="NPG14" s="21" t="n"/>
      <c r="NPH14" s="21" t="n"/>
      <c r="NPI14" s="21" t="n"/>
      <c r="NPJ14" s="21" t="n"/>
      <c r="NPK14" s="21" t="n"/>
      <c r="NPL14" s="21" t="n"/>
      <c r="NPM14" s="21" t="n"/>
      <c r="NPN14" s="21" t="n"/>
      <c r="NPO14" s="21" t="n"/>
      <c r="NPP14" s="21" t="n"/>
      <c r="NPQ14" s="21" t="n"/>
      <c r="NPR14" s="21" t="n"/>
      <c r="NPS14" s="21" t="n"/>
      <c r="NPT14" s="21" t="n"/>
      <c r="NPU14" s="21" t="n"/>
      <c r="NPV14" s="21" t="n"/>
      <c r="NPW14" s="21" t="n"/>
      <c r="NPX14" s="21" t="n"/>
      <c r="NPY14" s="21" t="n"/>
      <c r="NPZ14" s="21" t="n"/>
      <c r="NQA14" s="21" t="n"/>
      <c r="NQB14" s="21" t="n"/>
      <c r="NQC14" s="21" t="n"/>
      <c r="NQD14" s="21" t="n"/>
      <c r="NQE14" s="21" t="n"/>
      <c r="NQF14" s="21" t="n"/>
      <c r="NQG14" s="21" t="n"/>
      <c r="NQH14" s="21" t="n"/>
      <c r="NQI14" s="21" t="n"/>
      <c r="NQJ14" s="21" t="n"/>
      <c r="NQK14" s="21" t="n"/>
      <c r="NQL14" s="21" t="n"/>
      <c r="NQM14" s="21" t="n"/>
      <c r="NQN14" s="21" t="n"/>
      <c r="NQO14" s="21" t="n"/>
      <c r="NQP14" s="21" t="n"/>
      <c r="NQQ14" s="21" t="n"/>
      <c r="NQR14" s="21" t="n"/>
      <c r="NQS14" s="21" t="n"/>
      <c r="NQT14" s="21" t="n"/>
      <c r="NQU14" s="21" t="n"/>
      <c r="NQV14" s="21" t="n"/>
      <c r="NQW14" s="21" t="n"/>
      <c r="NQX14" s="21" t="n"/>
      <c r="NQY14" s="21" t="n"/>
      <c r="NQZ14" s="21" t="n"/>
      <c r="NRA14" s="21" t="n"/>
      <c r="NRB14" s="21" t="n"/>
      <c r="NRC14" s="21" t="n"/>
      <c r="NRD14" s="21" t="n"/>
      <c r="NRE14" s="21" t="n"/>
      <c r="NRF14" s="21" t="n"/>
      <c r="NRG14" s="21" t="n"/>
      <c r="NRH14" s="21" t="n"/>
      <c r="NRI14" s="21" t="n"/>
      <c r="NRJ14" s="21" t="n"/>
      <c r="NRK14" s="21" t="n"/>
      <c r="NRL14" s="21" t="n"/>
      <c r="NRM14" s="21" t="n"/>
      <c r="NRN14" s="21" t="n"/>
      <c r="NRO14" s="21" t="n"/>
      <c r="NRP14" s="21" t="n"/>
      <c r="NRQ14" s="21" t="n"/>
      <c r="NRR14" s="21" t="n"/>
      <c r="NRS14" s="21" t="n"/>
      <c r="NRT14" s="21" t="n"/>
      <c r="NRU14" s="21" t="n"/>
      <c r="NRV14" s="21" t="n"/>
      <c r="NRW14" s="21" t="n"/>
      <c r="NRX14" s="21" t="n"/>
      <c r="NRY14" s="21" t="n"/>
      <c r="NRZ14" s="21" t="n"/>
      <c r="NSA14" s="21" t="n"/>
      <c r="NSB14" s="21" t="n"/>
      <c r="NSC14" s="21" t="n"/>
      <c r="NSD14" s="21" t="n"/>
      <c r="NSE14" s="21" t="n"/>
      <c r="NSF14" s="21" t="n"/>
      <c r="NSG14" s="21" t="n"/>
      <c r="NSH14" s="21" t="n"/>
      <c r="NSI14" s="21" t="n"/>
      <c r="NSJ14" s="21" t="n"/>
      <c r="NSK14" s="21" t="n"/>
      <c r="NSL14" s="21" t="n"/>
      <c r="NSM14" s="21" t="n"/>
      <c r="NSN14" s="21" t="n"/>
      <c r="NSO14" s="21" t="n"/>
      <c r="NSP14" s="21" t="n"/>
      <c r="NSQ14" s="21" t="n"/>
      <c r="NSR14" s="21" t="n"/>
      <c r="NSS14" s="21" t="n"/>
      <c r="NST14" s="21" t="n"/>
      <c r="NSU14" s="21" t="n"/>
      <c r="NSV14" s="21" t="n"/>
      <c r="NSW14" s="21" t="n"/>
      <c r="NSX14" s="21" t="n"/>
      <c r="NSY14" s="21" t="n"/>
      <c r="NSZ14" s="21" t="n"/>
      <c r="NTA14" s="21" t="n"/>
      <c r="NTB14" s="21" t="n"/>
      <c r="NTC14" s="21" t="n"/>
      <c r="NTD14" s="21" t="n"/>
      <c r="NTE14" s="21" t="n"/>
      <c r="NTF14" s="21" t="n"/>
      <c r="NTG14" s="21" t="n"/>
      <c r="NTH14" s="21" t="n"/>
      <c r="NTI14" s="21" t="n"/>
      <c r="NTJ14" s="21" t="n"/>
      <c r="NTK14" s="21" t="n"/>
      <c r="NTL14" s="21" t="n"/>
      <c r="NTM14" s="21" t="n"/>
      <c r="NTN14" s="21" t="n"/>
      <c r="NTO14" s="21" t="n"/>
      <c r="NTP14" s="21" t="n"/>
      <c r="NTQ14" s="21" t="n"/>
      <c r="NTR14" s="21" t="n"/>
      <c r="NTS14" s="21" t="n"/>
      <c r="NTT14" s="21" t="n"/>
      <c r="NTU14" s="21" t="n"/>
      <c r="NTV14" s="21" t="n"/>
      <c r="NTW14" s="21" t="n"/>
      <c r="NTX14" s="21" t="n"/>
      <c r="NTY14" s="21" t="n"/>
      <c r="NTZ14" s="21" t="n"/>
      <c r="NUA14" s="21" t="n"/>
      <c r="NUB14" s="21" t="n"/>
      <c r="NUC14" s="21" t="n"/>
      <c r="NUD14" s="21" t="n"/>
      <c r="NUE14" s="21" t="n"/>
      <c r="NUF14" s="21" t="n"/>
      <c r="NUG14" s="21" t="n"/>
      <c r="NUH14" s="21" t="n"/>
      <c r="NUI14" s="21" t="n"/>
      <c r="NUJ14" s="21" t="n"/>
      <c r="NUK14" s="21" t="n"/>
      <c r="NUL14" s="21" t="n"/>
      <c r="NUM14" s="21" t="n"/>
      <c r="NUN14" s="21" t="n"/>
      <c r="NUO14" s="21" t="n"/>
      <c r="NUP14" s="21" t="n"/>
      <c r="NUQ14" s="21" t="n"/>
      <c r="NUR14" s="21" t="n"/>
      <c r="NUS14" s="21" t="n"/>
      <c r="NUT14" s="21" t="n"/>
      <c r="NUU14" s="21" t="n"/>
      <c r="NUV14" s="21" t="n"/>
      <c r="NUW14" s="21" t="n"/>
      <c r="NUX14" s="21" t="n"/>
      <c r="NUY14" s="21" t="n"/>
      <c r="NUZ14" s="21" t="n"/>
      <c r="NVA14" s="21" t="n"/>
      <c r="NVB14" s="21" t="n"/>
      <c r="NVC14" s="21" t="n"/>
      <c r="NVD14" s="21" t="n"/>
      <c r="NVE14" s="21" t="n"/>
      <c r="NVF14" s="21" t="n"/>
      <c r="NVG14" s="21" t="n"/>
      <c r="NVH14" s="21" t="n"/>
      <c r="NVI14" s="21" t="n"/>
      <c r="NVJ14" s="21" t="n"/>
      <c r="NVK14" s="21" t="n"/>
      <c r="NVL14" s="21" t="n"/>
      <c r="NVM14" s="21" t="n"/>
      <c r="NVN14" s="21" t="n"/>
      <c r="NVO14" s="21" t="n"/>
      <c r="NVP14" s="21" t="n"/>
      <c r="NVQ14" s="21" t="n"/>
      <c r="NVR14" s="21" t="n"/>
      <c r="NVS14" s="21" t="n"/>
      <c r="NVT14" s="21" t="n"/>
      <c r="NVU14" s="21" t="n"/>
      <c r="NVV14" s="21" t="n"/>
      <c r="NVW14" s="21" t="n"/>
      <c r="NVX14" s="21" t="n"/>
      <c r="NVY14" s="21" t="n"/>
      <c r="NVZ14" s="21" t="n"/>
      <c r="NWA14" s="21" t="n"/>
      <c r="NWB14" s="21" t="n"/>
      <c r="NWC14" s="21" t="n"/>
      <c r="NWD14" s="21" t="n"/>
      <c r="NWE14" s="21" t="n"/>
      <c r="NWF14" s="21" t="n"/>
      <c r="NWG14" s="21" t="n"/>
      <c r="NWH14" s="21" t="n"/>
      <c r="NWI14" s="21" t="n"/>
      <c r="NWJ14" s="21" t="n"/>
      <c r="NWK14" s="21" t="n"/>
      <c r="NWL14" s="21" t="n"/>
      <c r="NWM14" s="21" t="n"/>
      <c r="NWN14" s="21" t="n"/>
      <c r="NWO14" s="21" t="n"/>
      <c r="NWP14" s="21" t="n"/>
      <c r="NWQ14" s="21" t="n"/>
      <c r="NWR14" s="21" t="n"/>
      <c r="NWS14" s="21" t="n"/>
      <c r="NWT14" s="21" t="n"/>
      <c r="NWU14" s="21" t="n"/>
      <c r="NWV14" s="21" t="n"/>
      <c r="NWW14" s="21" t="n"/>
      <c r="NWX14" s="21" t="n"/>
      <c r="NWY14" s="21" t="n"/>
      <c r="NWZ14" s="21" t="n"/>
      <c r="NXA14" s="21" t="n"/>
      <c r="NXB14" s="21" t="n"/>
      <c r="NXC14" s="21" t="n"/>
      <c r="NXD14" s="21" t="n"/>
      <c r="NXE14" s="21" t="n"/>
      <c r="NXF14" s="21" t="n"/>
      <c r="NXG14" s="21" t="n"/>
      <c r="NXH14" s="21" t="n"/>
      <c r="NXI14" s="21" t="n"/>
      <c r="NXJ14" s="21" t="n"/>
      <c r="NXK14" s="21" t="n"/>
      <c r="NXL14" s="21" t="n"/>
      <c r="NXM14" s="21" t="n"/>
      <c r="NXN14" s="21" t="n"/>
      <c r="NXO14" s="21" t="n"/>
      <c r="NXP14" s="21" t="n"/>
      <c r="NXQ14" s="21" t="n"/>
      <c r="NXR14" s="21" t="n"/>
      <c r="NXS14" s="21" t="n"/>
      <c r="NXT14" s="21" t="n"/>
      <c r="NXU14" s="21" t="n"/>
      <c r="NXV14" s="21" t="n"/>
      <c r="NXW14" s="21" t="n"/>
      <c r="NXX14" s="21" t="n"/>
      <c r="NXY14" s="21" t="n"/>
      <c r="NXZ14" s="21" t="n"/>
      <c r="NYA14" s="21" t="n"/>
      <c r="NYB14" s="21" t="n"/>
      <c r="NYC14" s="21" t="n"/>
      <c r="NYD14" s="21" t="n"/>
      <c r="NYE14" s="21" t="n"/>
      <c r="NYF14" s="21" t="n"/>
      <c r="NYG14" s="21" t="n"/>
      <c r="NYH14" s="21" t="n"/>
      <c r="NYI14" s="21" t="n"/>
      <c r="NYJ14" s="21" t="n"/>
      <c r="NYK14" s="21" t="n"/>
      <c r="NYL14" s="21" t="n"/>
      <c r="NYM14" s="21" t="n"/>
      <c r="NYN14" s="21" t="n"/>
      <c r="NYO14" s="21" t="n"/>
      <c r="NYP14" s="21" t="n"/>
      <c r="NYQ14" s="21" t="n"/>
      <c r="NYR14" s="21" t="n"/>
      <c r="NYS14" s="21" t="n"/>
      <c r="NYT14" s="21" t="n"/>
      <c r="NYU14" s="21" t="n"/>
      <c r="NYV14" s="21" t="n"/>
      <c r="NYW14" s="21" t="n"/>
      <c r="NYX14" s="21" t="n"/>
      <c r="NYY14" s="21" t="n"/>
      <c r="NYZ14" s="21" t="n"/>
      <c r="NZA14" s="21" t="n"/>
      <c r="NZB14" s="21" t="n"/>
      <c r="NZC14" s="21" t="n"/>
      <c r="NZD14" s="21" t="n"/>
      <c r="NZE14" s="21" t="n"/>
      <c r="NZF14" s="21" t="n"/>
      <c r="NZG14" s="21" t="n"/>
      <c r="NZH14" s="21" t="n"/>
      <c r="NZI14" s="21" t="n"/>
      <c r="NZJ14" s="21" t="n"/>
      <c r="NZK14" s="21" t="n"/>
      <c r="NZL14" s="21" t="n"/>
      <c r="NZM14" s="21" t="n"/>
      <c r="NZN14" s="21" t="n"/>
      <c r="NZO14" s="21" t="n"/>
      <c r="NZP14" s="21" t="n"/>
      <c r="NZQ14" s="21" t="n"/>
      <c r="NZR14" s="21" t="n"/>
      <c r="NZS14" s="21" t="n"/>
      <c r="NZT14" s="21" t="n"/>
      <c r="NZU14" s="21" t="n"/>
      <c r="NZV14" s="21" t="n"/>
      <c r="NZW14" s="21" t="n"/>
      <c r="NZX14" s="21" t="n"/>
      <c r="NZY14" s="21" t="n"/>
      <c r="NZZ14" s="21" t="n"/>
      <c r="OAA14" s="21" t="n"/>
      <c r="OAB14" s="21" t="n"/>
      <c r="OAC14" s="21" t="n"/>
      <c r="OAD14" s="21" t="n"/>
      <c r="OAE14" s="21" t="n"/>
      <c r="OAF14" s="21" t="n"/>
      <c r="OAG14" s="21" t="n"/>
      <c r="OAH14" s="21" t="n"/>
      <c r="OAI14" s="21" t="n"/>
      <c r="OAJ14" s="21" t="n"/>
      <c r="OAK14" s="21" t="n"/>
      <c r="OAL14" s="21" t="n"/>
      <c r="OAM14" s="21" t="n"/>
      <c r="OAN14" s="21" t="n"/>
      <c r="OAO14" s="21" t="n"/>
      <c r="OAP14" s="21" t="n"/>
      <c r="OAQ14" s="21" t="n"/>
      <c r="OAR14" s="21" t="n"/>
      <c r="OAS14" s="21" t="n"/>
      <c r="OAT14" s="21" t="n"/>
      <c r="OAU14" s="21" t="n"/>
      <c r="OAV14" s="21" t="n"/>
      <c r="OAW14" s="21" t="n"/>
      <c r="OAX14" s="21" t="n"/>
      <c r="OAY14" s="21" t="n"/>
      <c r="OAZ14" s="21" t="n"/>
      <c r="OBA14" s="21" t="n"/>
      <c r="OBB14" s="21" t="n"/>
      <c r="OBC14" s="21" t="n"/>
      <c r="OBD14" s="21" t="n"/>
      <c r="OBE14" s="21" t="n"/>
      <c r="OBF14" s="21" t="n"/>
      <c r="OBG14" s="21" t="n"/>
      <c r="OBH14" s="21" t="n"/>
      <c r="OBI14" s="21" t="n"/>
      <c r="OBJ14" s="21" t="n"/>
      <c r="OBK14" s="21" t="n"/>
      <c r="OBL14" s="21" t="n"/>
      <c r="OBM14" s="21" t="n"/>
      <c r="OBN14" s="21" t="n"/>
      <c r="OBO14" s="21" t="n"/>
      <c r="OBP14" s="21" t="n"/>
      <c r="OBQ14" s="21" t="n"/>
      <c r="OBR14" s="21" t="n"/>
      <c r="OBS14" s="21" t="n"/>
      <c r="OBT14" s="21" t="n"/>
      <c r="OBU14" s="21" t="n"/>
      <c r="OBV14" s="21" t="n"/>
      <c r="OBW14" s="21" t="n"/>
      <c r="OBX14" s="21" t="n"/>
      <c r="OBY14" s="21" t="n"/>
      <c r="OBZ14" s="21" t="n"/>
      <c r="OCA14" s="21" t="n"/>
      <c r="OCB14" s="21" t="n"/>
      <c r="OCC14" s="21" t="n"/>
      <c r="OCD14" s="21" t="n"/>
      <c r="OCE14" s="21" t="n"/>
      <c r="OCF14" s="21" t="n"/>
      <c r="OCG14" s="21" t="n"/>
      <c r="OCH14" s="21" t="n"/>
      <c r="OCI14" s="21" t="n"/>
      <c r="OCJ14" s="21" t="n"/>
      <c r="OCK14" s="21" t="n"/>
      <c r="OCL14" s="21" t="n"/>
      <c r="OCM14" s="21" t="n"/>
      <c r="OCN14" s="21" t="n"/>
      <c r="OCO14" s="21" t="n"/>
      <c r="OCP14" s="21" t="n"/>
      <c r="OCQ14" s="21" t="n"/>
      <c r="OCR14" s="21" t="n"/>
      <c r="OCS14" s="21" t="n"/>
      <c r="OCT14" s="21" t="n"/>
      <c r="OCU14" s="21" t="n"/>
      <c r="OCV14" s="21" t="n"/>
      <c r="OCW14" s="21" t="n"/>
      <c r="OCX14" s="21" t="n"/>
      <c r="OCY14" s="21" t="n"/>
      <c r="OCZ14" s="21" t="n"/>
      <c r="ODA14" s="21" t="n"/>
      <c r="ODB14" s="21" t="n"/>
      <c r="ODC14" s="21" t="n"/>
      <c r="ODD14" s="21" t="n"/>
      <c r="ODE14" s="21" t="n"/>
      <c r="ODF14" s="21" t="n"/>
      <c r="ODG14" s="21" t="n"/>
      <c r="ODH14" s="21" t="n"/>
      <c r="ODI14" s="21" t="n"/>
      <c r="ODJ14" s="21" t="n"/>
      <c r="ODK14" s="21" t="n"/>
      <c r="ODL14" s="21" t="n"/>
      <c r="ODM14" s="21" t="n"/>
      <c r="ODN14" s="21" t="n"/>
      <c r="ODO14" s="21" t="n"/>
      <c r="ODP14" s="21" t="n"/>
      <c r="ODQ14" s="21" t="n"/>
      <c r="ODR14" s="21" t="n"/>
      <c r="ODS14" s="21" t="n"/>
      <c r="ODT14" s="21" t="n"/>
      <c r="ODU14" s="21" t="n"/>
      <c r="ODV14" s="21" t="n"/>
      <c r="ODW14" s="21" t="n"/>
      <c r="ODX14" s="21" t="n"/>
      <c r="ODY14" s="21" t="n"/>
      <c r="ODZ14" s="21" t="n"/>
      <c r="OEA14" s="21" t="n"/>
      <c r="OEB14" s="21" t="n"/>
      <c r="OEC14" s="21" t="n"/>
      <c r="OED14" s="21" t="n"/>
      <c r="OEE14" s="21" t="n"/>
      <c r="OEF14" s="21" t="n"/>
      <c r="OEG14" s="21" t="n"/>
      <c r="OEH14" s="21" t="n"/>
      <c r="OEI14" s="21" t="n"/>
      <c r="OEJ14" s="21" t="n"/>
      <c r="OEK14" s="21" t="n"/>
      <c r="OEL14" s="21" t="n"/>
      <c r="OEM14" s="21" t="n"/>
      <c r="OEN14" s="21" t="n"/>
      <c r="OEO14" s="21" t="n"/>
      <c r="OEP14" s="21" t="n"/>
      <c r="OEQ14" s="21" t="n"/>
      <c r="OER14" s="21" t="n"/>
      <c r="OES14" s="21" t="n"/>
      <c r="OET14" s="21" t="n"/>
      <c r="OEU14" s="21" t="n"/>
      <c r="OEV14" s="21" t="n"/>
      <c r="OEW14" s="21" t="n"/>
      <c r="OEX14" s="21" t="n"/>
      <c r="OEY14" s="21" t="n"/>
      <c r="OEZ14" s="21" t="n"/>
      <c r="OFA14" s="21" t="n"/>
      <c r="OFB14" s="21" t="n"/>
      <c r="OFC14" s="21" t="n"/>
      <c r="OFD14" s="21" t="n"/>
      <c r="OFE14" s="21" t="n"/>
      <c r="OFF14" s="21" t="n"/>
      <c r="OFG14" s="21" t="n"/>
      <c r="OFH14" s="21" t="n"/>
      <c r="OFI14" s="21" t="n"/>
      <c r="OFJ14" s="21" t="n"/>
      <c r="OFK14" s="21" t="n"/>
      <c r="OFL14" s="21" t="n"/>
      <c r="OFM14" s="21" t="n"/>
      <c r="OFN14" s="21" t="n"/>
      <c r="OFO14" s="21" t="n"/>
      <c r="OFP14" s="21" t="n"/>
      <c r="OFQ14" s="21" t="n"/>
      <c r="OFR14" s="21" t="n"/>
      <c r="OFS14" s="21" t="n"/>
      <c r="OFT14" s="21" t="n"/>
      <c r="OFU14" s="21" t="n"/>
      <c r="OFV14" s="21" t="n"/>
      <c r="OFW14" s="21" t="n"/>
      <c r="OFX14" s="21" t="n"/>
      <c r="OFY14" s="21" t="n"/>
      <c r="OFZ14" s="21" t="n"/>
      <c r="OGA14" s="21" t="n"/>
      <c r="OGB14" s="21" t="n"/>
      <c r="OGC14" s="21" t="n"/>
      <c r="OGD14" s="21" t="n"/>
      <c r="OGE14" s="21" t="n"/>
      <c r="OGF14" s="21" t="n"/>
      <c r="OGG14" s="21" t="n"/>
      <c r="OGH14" s="21" t="n"/>
      <c r="OGI14" s="21" t="n"/>
      <c r="OGJ14" s="21" t="n"/>
      <c r="OGK14" s="21" t="n"/>
      <c r="OGL14" s="21" t="n"/>
      <c r="OGM14" s="21" t="n"/>
      <c r="OGN14" s="21" t="n"/>
      <c r="OGO14" s="21" t="n"/>
      <c r="OGP14" s="21" t="n"/>
      <c r="OGQ14" s="21" t="n"/>
      <c r="OGR14" s="21" t="n"/>
      <c r="OGS14" s="21" t="n"/>
      <c r="OGT14" s="21" t="n"/>
      <c r="OGU14" s="21" t="n"/>
      <c r="OGV14" s="21" t="n"/>
      <c r="OGW14" s="21" t="n"/>
      <c r="OGX14" s="21" t="n"/>
      <c r="OGY14" s="21" t="n"/>
      <c r="OGZ14" s="21" t="n"/>
      <c r="OHA14" s="21" t="n"/>
      <c r="OHB14" s="21" t="n"/>
      <c r="OHC14" s="21" t="n"/>
      <c r="OHD14" s="21" t="n"/>
      <c r="OHE14" s="21" t="n"/>
      <c r="OHF14" s="21" t="n"/>
      <c r="OHG14" s="21" t="n"/>
      <c r="OHH14" s="21" t="n"/>
      <c r="OHI14" s="21" t="n"/>
      <c r="OHJ14" s="21" t="n"/>
      <c r="OHK14" s="21" t="n"/>
      <c r="OHL14" s="21" t="n"/>
      <c r="OHM14" s="21" t="n"/>
      <c r="OHN14" s="21" t="n"/>
      <c r="OHO14" s="21" t="n"/>
      <c r="OHP14" s="21" t="n"/>
      <c r="OHQ14" s="21" t="n"/>
      <c r="OHR14" s="21" t="n"/>
      <c r="OHS14" s="21" t="n"/>
      <c r="OHT14" s="21" t="n"/>
      <c r="OHU14" s="21" t="n"/>
      <c r="OHV14" s="21" t="n"/>
      <c r="OHW14" s="21" t="n"/>
      <c r="OHX14" s="21" t="n"/>
      <c r="OHY14" s="21" t="n"/>
      <c r="OHZ14" s="21" t="n"/>
      <c r="OIA14" s="21" t="n"/>
      <c r="OIB14" s="21" t="n"/>
      <c r="OIC14" s="21" t="n"/>
      <c r="OID14" s="21" t="n"/>
      <c r="OIE14" s="21" t="n"/>
      <c r="OIF14" s="21" t="n"/>
      <c r="OIG14" s="21" t="n"/>
      <c r="OIH14" s="21" t="n"/>
      <c r="OII14" s="21" t="n"/>
      <c r="OIJ14" s="21" t="n"/>
      <c r="OIK14" s="21" t="n"/>
      <c r="OIL14" s="21" t="n"/>
      <c r="OIM14" s="21" t="n"/>
      <c r="OIN14" s="21" t="n"/>
      <c r="OIO14" s="21" t="n"/>
      <c r="OIP14" s="21" t="n"/>
      <c r="OIQ14" s="21" t="n"/>
      <c r="OIR14" s="21" t="n"/>
      <c r="OIS14" s="21" t="n"/>
      <c r="OIT14" s="21" t="n"/>
      <c r="OIU14" s="21" t="n"/>
      <c r="OIV14" s="21" t="n"/>
      <c r="OIW14" s="21" t="n"/>
      <c r="OIX14" s="21" t="n"/>
      <c r="OIY14" s="21" t="n"/>
      <c r="OIZ14" s="21" t="n"/>
      <c r="OJA14" s="21" t="n"/>
      <c r="OJB14" s="21" t="n"/>
      <c r="OJC14" s="21" t="n"/>
      <c r="OJD14" s="21" t="n"/>
      <c r="OJE14" s="21" t="n"/>
      <c r="OJF14" s="21" t="n"/>
      <c r="OJG14" s="21" t="n"/>
      <c r="OJH14" s="21" t="n"/>
      <c r="OJI14" s="21" t="n"/>
      <c r="OJJ14" s="21" t="n"/>
      <c r="OJK14" s="21" t="n"/>
      <c r="OJL14" s="21" t="n"/>
      <c r="OJM14" s="21" t="n"/>
      <c r="OJN14" s="21" t="n"/>
      <c r="OJO14" s="21" t="n"/>
      <c r="OJP14" s="21" t="n"/>
      <c r="OJQ14" s="21" t="n"/>
      <c r="OJR14" s="21" t="n"/>
      <c r="OJS14" s="21" t="n"/>
      <c r="OJT14" s="21" t="n"/>
      <c r="OJU14" s="21" t="n"/>
      <c r="OJV14" s="21" t="n"/>
      <c r="OJW14" s="21" t="n"/>
      <c r="OJX14" s="21" t="n"/>
      <c r="OJY14" s="21" t="n"/>
      <c r="OJZ14" s="21" t="n"/>
      <c r="OKA14" s="21" t="n"/>
      <c r="OKB14" s="21" t="n"/>
      <c r="OKC14" s="21" t="n"/>
      <c r="OKD14" s="21" t="n"/>
      <c r="OKE14" s="21" t="n"/>
      <c r="OKF14" s="21" t="n"/>
      <c r="OKG14" s="21" t="n"/>
      <c r="OKH14" s="21" t="n"/>
      <c r="OKI14" s="21" t="n"/>
      <c r="OKJ14" s="21" t="n"/>
      <c r="OKK14" s="21" t="n"/>
      <c r="OKL14" s="21" t="n"/>
      <c r="OKM14" s="21" t="n"/>
      <c r="OKN14" s="21" t="n"/>
      <c r="OKO14" s="21" t="n"/>
      <c r="OKP14" s="21" t="n"/>
      <c r="OKQ14" s="21" t="n"/>
      <c r="OKR14" s="21" t="n"/>
      <c r="OKS14" s="21" t="n"/>
      <c r="OKT14" s="21" t="n"/>
      <c r="OKU14" s="21" t="n"/>
      <c r="OKV14" s="21" t="n"/>
      <c r="OKW14" s="21" t="n"/>
      <c r="OKX14" s="21" t="n"/>
      <c r="OKY14" s="21" t="n"/>
      <c r="OKZ14" s="21" t="n"/>
      <c r="OLA14" s="21" t="n"/>
      <c r="OLB14" s="21" t="n"/>
      <c r="OLC14" s="21" t="n"/>
      <c r="OLD14" s="21" t="n"/>
      <c r="OLE14" s="21" t="n"/>
      <c r="OLF14" s="21" t="n"/>
      <c r="OLG14" s="21" t="n"/>
      <c r="OLH14" s="21" t="n"/>
      <c r="OLI14" s="21" t="n"/>
      <c r="OLJ14" s="21" t="n"/>
      <c r="OLK14" s="21" t="n"/>
      <c r="OLL14" s="21" t="n"/>
      <c r="OLM14" s="21" t="n"/>
      <c r="OLN14" s="21" t="n"/>
      <c r="OLO14" s="21" t="n"/>
      <c r="OLP14" s="21" t="n"/>
      <c r="OLQ14" s="21" t="n"/>
      <c r="OLR14" s="21" t="n"/>
      <c r="OLS14" s="21" t="n"/>
      <c r="OLT14" s="21" t="n"/>
      <c r="OLU14" s="21" t="n"/>
      <c r="OLV14" s="21" t="n"/>
      <c r="OLW14" s="21" t="n"/>
      <c r="OLX14" s="21" t="n"/>
      <c r="OLY14" s="21" t="n"/>
      <c r="OLZ14" s="21" t="n"/>
      <c r="OMA14" s="21" t="n"/>
      <c r="OMB14" s="21" t="n"/>
      <c r="OMC14" s="21" t="n"/>
      <c r="OMD14" s="21" t="n"/>
      <c r="OME14" s="21" t="n"/>
      <c r="OMF14" s="21" t="n"/>
      <c r="OMG14" s="21" t="n"/>
      <c r="OMH14" s="21" t="n"/>
      <c r="OMI14" s="21" t="n"/>
      <c r="OMJ14" s="21" t="n"/>
      <c r="OMK14" s="21" t="n"/>
      <c r="OML14" s="21" t="n"/>
      <c r="OMM14" s="21" t="n"/>
      <c r="OMN14" s="21" t="n"/>
      <c r="OMO14" s="21" t="n"/>
      <c r="OMP14" s="21" t="n"/>
      <c r="OMQ14" s="21" t="n"/>
      <c r="OMR14" s="21" t="n"/>
      <c r="OMS14" s="21" t="n"/>
      <c r="OMT14" s="21" t="n"/>
      <c r="OMU14" s="21" t="n"/>
      <c r="OMV14" s="21" t="n"/>
      <c r="OMW14" s="21" t="n"/>
      <c r="OMX14" s="21" t="n"/>
      <c r="OMY14" s="21" t="n"/>
      <c r="OMZ14" s="21" t="n"/>
      <c r="ONA14" s="21" t="n"/>
      <c r="ONB14" s="21" t="n"/>
      <c r="ONC14" s="21" t="n"/>
      <c r="OND14" s="21" t="n"/>
      <c r="ONE14" s="21" t="n"/>
      <c r="ONF14" s="21" t="n"/>
      <c r="ONG14" s="21" t="n"/>
      <c r="ONH14" s="21" t="n"/>
      <c r="ONI14" s="21" t="n"/>
      <c r="ONJ14" s="21" t="n"/>
      <c r="ONK14" s="21" t="n"/>
      <c r="ONL14" s="21" t="n"/>
      <c r="ONM14" s="21" t="n"/>
      <c r="ONN14" s="21" t="n"/>
      <c r="ONO14" s="21" t="n"/>
      <c r="ONP14" s="21" t="n"/>
      <c r="ONQ14" s="21" t="n"/>
      <c r="ONR14" s="21" t="n"/>
      <c r="ONS14" s="21" t="n"/>
      <c r="ONT14" s="21" t="n"/>
      <c r="ONU14" s="21" t="n"/>
      <c r="ONV14" s="21" t="n"/>
      <c r="ONW14" s="21" t="n"/>
      <c r="ONX14" s="21" t="n"/>
      <c r="ONY14" s="21" t="n"/>
      <c r="ONZ14" s="21" t="n"/>
      <c r="OOA14" s="21" t="n"/>
      <c r="OOB14" s="21" t="n"/>
      <c r="OOC14" s="21" t="n"/>
      <c r="OOD14" s="21" t="n"/>
      <c r="OOE14" s="21" t="n"/>
      <c r="OOF14" s="21" t="n"/>
      <c r="OOG14" s="21" t="n"/>
      <c r="OOH14" s="21" t="n"/>
      <c r="OOI14" s="21" t="n"/>
      <c r="OOJ14" s="21" t="n"/>
      <c r="OOK14" s="21" t="n"/>
      <c r="OOL14" s="21" t="n"/>
      <c r="OOM14" s="21" t="n"/>
      <c r="OON14" s="21" t="n"/>
      <c r="OOO14" s="21" t="n"/>
      <c r="OOP14" s="21" t="n"/>
      <c r="OOQ14" s="21" t="n"/>
      <c r="OOR14" s="21" t="n"/>
      <c r="OOS14" s="21" t="n"/>
      <c r="OOT14" s="21" t="n"/>
      <c r="OOU14" s="21" t="n"/>
      <c r="OOV14" s="21" t="n"/>
      <c r="OOW14" s="21" t="n"/>
      <c r="OOX14" s="21" t="n"/>
      <c r="OOY14" s="21" t="n"/>
      <c r="OOZ14" s="21" t="n"/>
      <c r="OPA14" s="21" t="n"/>
      <c r="OPB14" s="21" t="n"/>
      <c r="OPC14" s="21" t="n"/>
      <c r="OPD14" s="21" t="n"/>
      <c r="OPE14" s="21" t="n"/>
      <c r="OPF14" s="21" t="n"/>
      <c r="OPG14" s="21" t="n"/>
      <c r="OPH14" s="21" t="n"/>
      <c r="OPI14" s="21" t="n"/>
      <c r="OPJ14" s="21" t="n"/>
      <c r="OPK14" s="21" t="n"/>
      <c r="OPL14" s="21" t="n"/>
      <c r="OPM14" s="21" t="n"/>
      <c r="OPN14" s="21" t="n"/>
      <c r="OPO14" s="21" t="n"/>
      <c r="OPP14" s="21" t="n"/>
      <c r="OPQ14" s="21" t="n"/>
      <c r="OPR14" s="21" t="n"/>
      <c r="OPS14" s="21" t="n"/>
      <c r="OPT14" s="21" t="n"/>
      <c r="OPU14" s="21" t="n"/>
      <c r="OPV14" s="21" t="n"/>
      <c r="OPW14" s="21" t="n"/>
      <c r="OPX14" s="21" t="n"/>
      <c r="OPY14" s="21" t="n"/>
      <c r="OPZ14" s="21" t="n"/>
      <c r="OQA14" s="21" t="n"/>
      <c r="OQB14" s="21" t="n"/>
      <c r="OQC14" s="21" t="n"/>
      <c r="OQD14" s="21" t="n"/>
      <c r="OQE14" s="21" t="n"/>
      <c r="OQF14" s="21" t="n"/>
      <c r="OQG14" s="21" t="n"/>
      <c r="OQH14" s="21" t="n"/>
      <c r="OQI14" s="21" t="n"/>
      <c r="OQJ14" s="21" t="n"/>
      <c r="OQK14" s="21" t="n"/>
      <c r="OQL14" s="21" t="n"/>
      <c r="OQM14" s="21" t="n"/>
      <c r="OQN14" s="21" t="n"/>
      <c r="OQO14" s="21" t="n"/>
      <c r="OQP14" s="21" t="n"/>
      <c r="OQQ14" s="21" t="n"/>
      <c r="OQR14" s="21" t="n"/>
      <c r="OQS14" s="21" t="n"/>
      <c r="OQT14" s="21" t="n"/>
      <c r="OQU14" s="21" t="n"/>
      <c r="OQV14" s="21" t="n"/>
      <c r="OQW14" s="21" t="n"/>
      <c r="OQX14" s="21" t="n"/>
      <c r="OQY14" s="21" t="n"/>
      <c r="OQZ14" s="21" t="n"/>
      <c r="ORA14" s="21" t="n"/>
      <c r="ORB14" s="21" t="n"/>
      <c r="ORC14" s="21" t="n"/>
      <c r="ORD14" s="21" t="n"/>
      <c r="ORE14" s="21" t="n"/>
      <c r="ORF14" s="21" t="n"/>
      <c r="ORG14" s="21" t="n"/>
      <c r="ORH14" s="21" t="n"/>
      <c r="ORI14" s="21" t="n"/>
      <c r="ORJ14" s="21" t="n"/>
      <c r="ORK14" s="21" t="n"/>
      <c r="ORL14" s="21" t="n"/>
      <c r="ORM14" s="21" t="n"/>
      <c r="ORN14" s="21" t="n"/>
      <c r="ORO14" s="21" t="n"/>
      <c r="ORP14" s="21" t="n"/>
      <c r="ORQ14" s="21" t="n"/>
      <c r="ORR14" s="21" t="n"/>
      <c r="ORS14" s="21" t="n"/>
      <c r="ORT14" s="21" t="n"/>
      <c r="ORU14" s="21" t="n"/>
      <c r="ORV14" s="21" t="n"/>
      <c r="ORW14" s="21" t="n"/>
      <c r="ORX14" s="21" t="n"/>
      <c r="ORY14" s="21" t="n"/>
      <c r="ORZ14" s="21" t="n"/>
      <c r="OSA14" s="21" t="n"/>
      <c r="OSB14" s="21" t="n"/>
      <c r="OSC14" s="21" t="n"/>
      <c r="OSD14" s="21" t="n"/>
      <c r="OSE14" s="21" t="n"/>
      <c r="OSF14" s="21" t="n"/>
      <c r="OSG14" s="21" t="n"/>
      <c r="OSH14" s="21" t="n"/>
      <c r="OSI14" s="21" t="n"/>
      <c r="OSJ14" s="21" t="n"/>
      <c r="OSK14" s="21" t="n"/>
      <c r="OSL14" s="21" t="n"/>
      <c r="OSM14" s="21" t="n"/>
      <c r="OSN14" s="21" t="n"/>
      <c r="OSO14" s="21" t="n"/>
      <c r="OSP14" s="21" t="n"/>
      <c r="OSQ14" s="21" t="n"/>
      <c r="OSR14" s="21" t="n"/>
      <c r="OSS14" s="21" t="n"/>
      <c r="OST14" s="21" t="n"/>
      <c r="OSU14" s="21" t="n"/>
      <c r="OSV14" s="21" t="n"/>
      <c r="OSW14" s="21" t="n"/>
      <c r="OSX14" s="21" t="n"/>
      <c r="OSY14" s="21" t="n"/>
      <c r="OSZ14" s="21" t="n"/>
      <c r="OTA14" s="21" t="n"/>
      <c r="OTB14" s="21" t="n"/>
      <c r="OTC14" s="21" t="n"/>
      <c r="OTD14" s="21" t="n"/>
      <c r="OTE14" s="21" t="n"/>
      <c r="OTF14" s="21" t="n"/>
      <c r="OTG14" s="21" t="n"/>
      <c r="OTH14" s="21" t="n"/>
      <c r="OTI14" s="21" t="n"/>
      <c r="OTJ14" s="21" t="n"/>
      <c r="OTK14" s="21" t="n"/>
      <c r="OTL14" s="21" t="n"/>
      <c r="OTM14" s="21" t="n"/>
      <c r="OTN14" s="21" t="n"/>
      <c r="OTO14" s="21" t="n"/>
      <c r="OTP14" s="21" t="n"/>
      <c r="OTQ14" s="21" t="n"/>
      <c r="OTR14" s="21" t="n"/>
      <c r="OTS14" s="21" t="n"/>
      <c r="OTT14" s="21" t="n"/>
      <c r="OTU14" s="21" t="n"/>
      <c r="OTV14" s="21" t="n"/>
      <c r="OTW14" s="21" t="n"/>
      <c r="OTX14" s="21" t="n"/>
      <c r="OTY14" s="21" t="n"/>
      <c r="OTZ14" s="21" t="n"/>
      <c r="OUA14" s="21" t="n"/>
      <c r="OUB14" s="21" t="n"/>
      <c r="OUC14" s="21" t="n"/>
      <c r="OUD14" s="21" t="n"/>
      <c r="OUE14" s="21" t="n"/>
      <c r="OUF14" s="21" t="n"/>
      <c r="OUG14" s="21" t="n"/>
      <c r="OUH14" s="21" t="n"/>
      <c r="OUI14" s="21" t="n"/>
      <c r="OUJ14" s="21" t="n"/>
      <c r="OUK14" s="21" t="n"/>
      <c r="OUL14" s="21" t="n"/>
      <c r="OUM14" s="21" t="n"/>
      <c r="OUN14" s="21" t="n"/>
      <c r="OUO14" s="21" t="n"/>
      <c r="OUP14" s="21" t="n"/>
      <c r="OUQ14" s="21" t="n"/>
      <c r="OUR14" s="21" t="n"/>
      <c r="OUS14" s="21" t="n"/>
      <c r="OUT14" s="21" t="n"/>
      <c r="OUU14" s="21" t="n"/>
      <c r="OUV14" s="21" t="n"/>
      <c r="OUW14" s="21" t="n"/>
      <c r="OUX14" s="21" t="n"/>
      <c r="OUY14" s="21" t="n"/>
      <c r="OUZ14" s="21" t="n"/>
      <c r="OVA14" s="21" t="n"/>
      <c r="OVB14" s="21" t="n"/>
      <c r="OVC14" s="21" t="n"/>
      <c r="OVD14" s="21" t="n"/>
      <c r="OVE14" s="21" t="n"/>
      <c r="OVF14" s="21" t="n"/>
      <c r="OVG14" s="21" t="n"/>
      <c r="OVH14" s="21" t="n"/>
      <c r="OVI14" s="21" t="n"/>
      <c r="OVJ14" s="21" t="n"/>
      <c r="OVK14" s="21" t="n"/>
      <c r="OVL14" s="21" t="n"/>
      <c r="OVM14" s="21" t="n"/>
      <c r="OVN14" s="21" t="n"/>
      <c r="OVO14" s="21" t="n"/>
      <c r="OVP14" s="21" t="n"/>
      <c r="OVQ14" s="21" t="n"/>
      <c r="OVR14" s="21" t="n"/>
      <c r="OVS14" s="21" t="n"/>
      <c r="OVT14" s="21" t="n"/>
      <c r="OVU14" s="21" t="n"/>
      <c r="OVV14" s="21" t="n"/>
      <c r="OVW14" s="21" t="n"/>
      <c r="OVX14" s="21" t="n"/>
      <c r="OVY14" s="21" t="n"/>
      <c r="OVZ14" s="21" t="n"/>
      <c r="OWA14" s="21" t="n"/>
      <c r="OWB14" s="21" t="n"/>
      <c r="OWC14" s="21" t="n"/>
      <c r="OWD14" s="21" t="n"/>
      <c r="OWE14" s="21" t="n"/>
      <c r="OWF14" s="21" t="n"/>
      <c r="OWG14" s="21" t="n"/>
      <c r="OWH14" s="21" t="n"/>
      <c r="OWI14" s="21" t="n"/>
      <c r="OWJ14" s="21" t="n"/>
      <c r="OWK14" s="21" t="n"/>
      <c r="OWL14" s="21" t="n"/>
      <c r="OWM14" s="21" t="n"/>
      <c r="OWN14" s="21" t="n"/>
      <c r="OWO14" s="21" t="n"/>
      <c r="OWP14" s="21" t="n"/>
      <c r="OWQ14" s="21" t="n"/>
      <c r="OWR14" s="21" t="n"/>
      <c r="OWS14" s="21" t="n"/>
      <c r="OWT14" s="21" t="n"/>
      <c r="OWU14" s="21" t="n"/>
      <c r="OWV14" s="21" t="n"/>
      <c r="OWW14" s="21" t="n"/>
      <c r="OWX14" s="21" t="n"/>
      <c r="OWY14" s="21" t="n"/>
      <c r="OWZ14" s="21" t="n"/>
      <c r="OXA14" s="21" t="n"/>
      <c r="OXB14" s="21" t="n"/>
      <c r="OXC14" s="21" t="n"/>
      <c r="OXD14" s="21" t="n"/>
      <c r="OXE14" s="21" t="n"/>
      <c r="OXF14" s="21" t="n"/>
      <c r="OXG14" s="21" t="n"/>
      <c r="OXH14" s="21" t="n"/>
      <c r="OXI14" s="21" t="n"/>
      <c r="OXJ14" s="21" t="n"/>
      <c r="OXK14" s="21" t="n"/>
      <c r="OXL14" s="21" t="n"/>
      <c r="OXM14" s="21" t="n"/>
      <c r="OXN14" s="21" t="n"/>
      <c r="OXO14" s="21" t="n"/>
      <c r="OXP14" s="21" t="n"/>
      <c r="OXQ14" s="21" t="n"/>
      <c r="OXR14" s="21" t="n"/>
      <c r="OXS14" s="21" t="n"/>
      <c r="OXT14" s="21" t="n"/>
      <c r="OXU14" s="21" t="n"/>
      <c r="OXV14" s="21" t="n"/>
      <c r="OXW14" s="21" t="n"/>
      <c r="OXX14" s="21" t="n"/>
      <c r="OXY14" s="21" t="n"/>
      <c r="OXZ14" s="21" t="n"/>
      <c r="OYA14" s="21" t="n"/>
      <c r="OYB14" s="21" t="n"/>
      <c r="OYC14" s="21" t="n"/>
      <c r="OYD14" s="21" t="n"/>
      <c r="OYE14" s="21" t="n"/>
      <c r="OYF14" s="21" t="n"/>
      <c r="OYG14" s="21" t="n"/>
      <c r="OYH14" s="21" t="n"/>
      <c r="OYI14" s="21" t="n"/>
      <c r="OYJ14" s="21" t="n"/>
      <c r="OYK14" s="21" t="n"/>
      <c r="OYL14" s="21" t="n"/>
      <c r="OYM14" s="21" t="n"/>
      <c r="OYN14" s="21" t="n"/>
      <c r="OYO14" s="21" t="n"/>
      <c r="OYP14" s="21" t="n"/>
      <c r="OYQ14" s="21" t="n"/>
      <c r="OYR14" s="21" t="n"/>
      <c r="OYS14" s="21" t="n"/>
      <c r="OYT14" s="21" t="n"/>
      <c r="OYU14" s="21" t="n"/>
      <c r="OYV14" s="21" t="n"/>
      <c r="OYW14" s="21" t="n"/>
      <c r="OYX14" s="21" t="n"/>
      <c r="OYY14" s="21" t="n"/>
      <c r="OYZ14" s="21" t="n"/>
      <c r="OZA14" s="21" t="n"/>
      <c r="OZB14" s="21" t="n"/>
      <c r="OZC14" s="21" t="n"/>
      <c r="OZD14" s="21" t="n"/>
      <c r="OZE14" s="21" t="n"/>
      <c r="OZF14" s="21" t="n"/>
      <c r="OZG14" s="21" t="n"/>
      <c r="OZH14" s="21" t="n"/>
      <c r="OZI14" s="21" t="n"/>
      <c r="OZJ14" s="21" t="n"/>
      <c r="OZK14" s="21" t="n"/>
      <c r="OZL14" s="21" t="n"/>
      <c r="OZM14" s="21" t="n"/>
      <c r="OZN14" s="21" t="n"/>
      <c r="OZO14" s="21" t="n"/>
      <c r="OZP14" s="21" t="n"/>
      <c r="OZQ14" s="21" t="n"/>
      <c r="OZR14" s="21" t="n"/>
      <c r="OZS14" s="21" t="n"/>
      <c r="OZT14" s="21" t="n"/>
      <c r="OZU14" s="21" t="n"/>
      <c r="OZV14" s="21" t="n"/>
      <c r="OZW14" s="21" t="n"/>
      <c r="OZX14" s="21" t="n"/>
      <c r="OZY14" s="21" t="n"/>
      <c r="OZZ14" s="21" t="n"/>
      <c r="PAA14" s="21" t="n"/>
      <c r="PAB14" s="21" t="n"/>
      <c r="PAC14" s="21" t="n"/>
      <c r="PAD14" s="21" t="n"/>
      <c r="PAE14" s="21" t="n"/>
      <c r="PAF14" s="21" t="n"/>
      <c r="PAG14" s="21" t="n"/>
      <c r="PAH14" s="21" t="n"/>
      <c r="PAI14" s="21" t="n"/>
      <c r="PAJ14" s="21" t="n"/>
      <c r="PAK14" s="21" t="n"/>
      <c r="PAL14" s="21" t="n"/>
      <c r="PAM14" s="21" t="n"/>
      <c r="PAN14" s="21" t="n"/>
      <c r="PAO14" s="21" t="n"/>
      <c r="PAP14" s="21" t="n"/>
      <c r="PAQ14" s="21" t="n"/>
      <c r="PAR14" s="21" t="n"/>
      <c r="PAS14" s="21" t="n"/>
      <c r="PAT14" s="21" t="n"/>
      <c r="PAU14" s="21" t="n"/>
      <c r="PAV14" s="21" t="n"/>
      <c r="PAW14" s="21" t="n"/>
      <c r="PAX14" s="21" t="n"/>
      <c r="PAY14" s="21" t="n"/>
      <c r="PAZ14" s="21" t="n"/>
      <c r="PBA14" s="21" t="n"/>
      <c r="PBB14" s="21" t="n"/>
      <c r="PBC14" s="21" t="n"/>
      <c r="PBD14" s="21" t="n"/>
      <c r="PBE14" s="21" t="n"/>
      <c r="PBF14" s="21" t="n"/>
      <c r="PBG14" s="21" t="n"/>
      <c r="PBH14" s="21" t="n"/>
      <c r="PBI14" s="21" t="n"/>
      <c r="PBJ14" s="21" t="n"/>
      <c r="PBK14" s="21" t="n"/>
      <c r="PBL14" s="21" t="n"/>
      <c r="PBM14" s="21" t="n"/>
      <c r="PBN14" s="21" t="n"/>
      <c r="PBO14" s="21" t="n"/>
      <c r="PBP14" s="21" t="n"/>
      <c r="PBQ14" s="21" t="n"/>
      <c r="PBR14" s="21" t="n"/>
      <c r="PBS14" s="21" t="n"/>
      <c r="PBT14" s="21" t="n"/>
      <c r="PBU14" s="21" t="n"/>
      <c r="PBV14" s="21" t="n"/>
      <c r="PBW14" s="21" t="n"/>
      <c r="PBX14" s="21" t="n"/>
      <c r="PBY14" s="21" t="n"/>
      <c r="PBZ14" s="21" t="n"/>
      <c r="PCA14" s="21" t="n"/>
      <c r="PCB14" s="21" t="n"/>
      <c r="PCC14" s="21" t="n"/>
      <c r="PCD14" s="21" t="n"/>
      <c r="PCE14" s="21" t="n"/>
      <c r="PCF14" s="21" t="n"/>
      <c r="PCG14" s="21" t="n"/>
      <c r="PCH14" s="21" t="n"/>
      <c r="PCI14" s="21" t="n"/>
      <c r="PCJ14" s="21" t="n"/>
      <c r="PCK14" s="21" t="n"/>
      <c r="PCL14" s="21" t="n"/>
      <c r="PCM14" s="21" t="n"/>
      <c r="PCN14" s="21" t="n"/>
      <c r="PCO14" s="21" t="n"/>
      <c r="PCP14" s="21" t="n"/>
      <c r="PCQ14" s="21" t="n"/>
      <c r="PCR14" s="21" t="n"/>
      <c r="PCS14" s="21" t="n"/>
      <c r="PCT14" s="21" t="n"/>
      <c r="PCU14" s="21" t="n"/>
      <c r="PCV14" s="21" t="n"/>
      <c r="PCW14" s="21" t="n"/>
      <c r="PCX14" s="21" t="n"/>
      <c r="PCY14" s="21" t="n"/>
      <c r="PCZ14" s="21" t="n"/>
      <c r="PDA14" s="21" t="n"/>
      <c r="PDB14" s="21" t="n"/>
      <c r="PDC14" s="21" t="n"/>
      <c r="PDD14" s="21" t="n"/>
      <c r="PDE14" s="21" t="n"/>
      <c r="PDF14" s="21" t="n"/>
      <c r="PDG14" s="21" t="n"/>
      <c r="PDH14" s="21" t="n"/>
      <c r="PDI14" s="21" t="n"/>
      <c r="PDJ14" s="21" t="n"/>
      <c r="PDK14" s="21" t="n"/>
      <c r="PDL14" s="21" t="n"/>
      <c r="PDM14" s="21" t="n"/>
      <c r="PDN14" s="21" t="n"/>
      <c r="PDO14" s="21" t="n"/>
      <c r="PDP14" s="21" t="n"/>
      <c r="PDQ14" s="21" t="n"/>
      <c r="PDR14" s="21" t="n"/>
      <c r="PDS14" s="21" t="n"/>
      <c r="PDT14" s="21" t="n"/>
      <c r="PDU14" s="21" t="n"/>
      <c r="PDV14" s="21" t="n"/>
      <c r="PDW14" s="21" t="n"/>
      <c r="PDX14" s="21" t="n"/>
      <c r="PDY14" s="21" t="n"/>
      <c r="PDZ14" s="21" t="n"/>
      <c r="PEA14" s="21" t="n"/>
      <c r="PEB14" s="21" t="n"/>
      <c r="PEC14" s="21" t="n"/>
      <c r="PED14" s="21" t="n"/>
      <c r="PEE14" s="21" t="n"/>
      <c r="PEF14" s="21" t="n"/>
      <c r="PEG14" s="21" t="n"/>
      <c r="PEH14" s="21" t="n"/>
      <c r="PEI14" s="21" t="n"/>
      <c r="PEJ14" s="21" t="n"/>
      <c r="PEK14" s="21" t="n"/>
      <c r="PEL14" s="21" t="n"/>
      <c r="PEM14" s="21" t="n"/>
      <c r="PEN14" s="21" t="n"/>
      <c r="PEO14" s="21" t="n"/>
      <c r="PEP14" s="21" t="n"/>
      <c r="PEQ14" s="21" t="n"/>
      <c r="PER14" s="21" t="n"/>
      <c r="PES14" s="21" t="n"/>
      <c r="PET14" s="21" t="n"/>
      <c r="PEU14" s="21" t="n"/>
      <c r="PEV14" s="21" t="n"/>
      <c r="PEW14" s="21" t="n"/>
      <c r="PEX14" s="21" t="n"/>
      <c r="PEY14" s="21" t="n"/>
      <c r="PEZ14" s="21" t="n"/>
      <c r="PFA14" s="21" t="n"/>
      <c r="PFB14" s="21" t="n"/>
      <c r="PFC14" s="21" t="n"/>
      <c r="PFD14" s="21" t="n"/>
      <c r="PFE14" s="21" t="n"/>
      <c r="PFF14" s="21" t="n"/>
      <c r="PFG14" s="21" t="n"/>
      <c r="PFH14" s="21" t="n"/>
      <c r="PFI14" s="21" t="n"/>
      <c r="PFJ14" s="21" t="n"/>
      <c r="PFK14" s="21" t="n"/>
      <c r="PFL14" s="21" t="n"/>
      <c r="PFM14" s="21" t="n"/>
      <c r="PFN14" s="21" t="n"/>
      <c r="PFO14" s="21" t="n"/>
      <c r="PFP14" s="21" t="n"/>
      <c r="PFQ14" s="21" t="n"/>
      <c r="PFR14" s="21" t="n"/>
      <c r="PFS14" s="21" t="n"/>
      <c r="PFT14" s="21" t="n"/>
      <c r="PFU14" s="21" t="n"/>
      <c r="PFV14" s="21" t="n"/>
      <c r="PFW14" s="21" t="n"/>
      <c r="PFX14" s="21" t="n"/>
      <c r="PFY14" s="21" t="n"/>
      <c r="PFZ14" s="21" t="n"/>
      <c r="PGA14" s="21" t="n"/>
      <c r="PGB14" s="21" t="n"/>
      <c r="PGC14" s="21" t="n"/>
      <c r="PGD14" s="21" t="n"/>
      <c r="PGE14" s="21" t="n"/>
      <c r="PGF14" s="21" t="n"/>
      <c r="PGG14" s="21" t="n"/>
      <c r="PGH14" s="21" t="n"/>
      <c r="PGI14" s="21" t="n"/>
      <c r="PGJ14" s="21" t="n"/>
      <c r="PGK14" s="21" t="n"/>
      <c r="PGL14" s="21" t="n"/>
      <c r="PGM14" s="21" t="n"/>
      <c r="PGN14" s="21" t="n"/>
      <c r="PGO14" s="21" t="n"/>
      <c r="PGP14" s="21" t="n"/>
      <c r="PGQ14" s="21" t="n"/>
      <c r="PGR14" s="21" t="n"/>
      <c r="PGS14" s="21" t="n"/>
      <c r="PGT14" s="21" t="n"/>
      <c r="PGU14" s="21" t="n"/>
      <c r="PGV14" s="21" t="n"/>
      <c r="PGW14" s="21" t="n"/>
      <c r="PGX14" s="21" t="n"/>
      <c r="PGY14" s="21" t="n"/>
      <c r="PGZ14" s="21" t="n"/>
      <c r="PHA14" s="21" t="n"/>
      <c r="PHB14" s="21" t="n"/>
      <c r="PHC14" s="21" t="n"/>
      <c r="PHD14" s="21" t="n"/>
      <c r="PHE14" s="21" t="n"/>
      <c r="PHF14" s="21" t="n"/>
      <c r="PHG14" s="21" t="n"/>
      <c r="PHH14" s="21" t="n"/>
      <c r="PHI14" s="21" t="n"/>
      <c r="PHJ14" s="21" t="n"/>
      <c r="PHK14" s="21" t="n"/>
      <c r="PHL14" s="21" t="n"/>
      <c r="PHM14" s="21" t="n"/>
      <c r="PHN14" s="21" t="n"/>
      <c r="PHO14" s="21" t="n"/>
      <c r="PHP14" s="21" t="n"/>
      <c r="PHQ14" s="21" t="n"/>
      <c r="PHR14" s="21" t="n"/>
      <c r="PHS14" s="21" t="n"/>
      <c r="PHT14" s="21" t="n"/>
      <c r="PHU14" s="21" t="n"/>
      <c r="PHV14" s="21" t="n"/>
      <c r="PHW14" s="21" t="n"/>
      <c r="PHX14" s="21" t="n"/>
      <c r="PHY14" s="21" t="n"/>
      <c r="PHZ14" s="21" t="n"/>
      <c r="PIA14" s="21" t="n"/>
      <c r="PIB14" s="21" t="n"/>
      <c r="PIC14" s="21" t="n"/>
      <c r="PID14" s="21" t="n"/>
      <c r="PIE14" s="21" t="n"/>
      <c r="PIF14" s="21" t="n"/>
      <c r="PIG14" s="21" t="n"/>
      <c r="PIH14" s="21" t="n"/>
      <c r="PII14" s="21" t="n"/>
      <c r="PIJ14" s="21" t="n"/>
      <c r="PIK14" s="21" t="n"/>
      <c r="PIL14" s="21" t="n"/>
      <c r="PIM14" s="21" t="n"/>
      <c r="PIN14" s="21" t="n"/>
      <c r="PIO14" s="21" t="n"/>
      <c r="PIP14" s="21" t="n"/>
      <c r="PIQ14" s="21" t="n"/>
      <c r="PIR14" s="21" t="n"/>
      <c r="PIS14" s="21" t="n"/>
      <c r="PIT14" s="21" t="n"/>
      <c r="PIU14" s="21" t="n"/>
      <c r="PIV14" s="21" t="n"/>
      <c r="PIW14" s="21" t="n"/>
      <c r="PIX14" s="21" t="n"/>
      <c r="PIY14" s="21" t="n"/>
      <c r="PIZ14" s="21" t="n"/>
      <c r="PJA14" s="21" t="n"/>
      <c r="PJB14" s="21" t="n"/>
      <c r="PJC14" s="21" t="n"/>
      <c r="PJD14" s="21" t="n"/>
      <c r="PJE14" s="21" t="n"/>
      <c r="PJF14" s="21" t="n"/>
      <c r="PJG14" s="21" t="n"/>
      <c r="PJH14" s="21" t="n"/>
      <c r="PJI14" s="21" t="n"/>
      <c r="PJJ14" s="21" t="n"/>
      <c r="PJK14" s="21" t="n"/>
      <c r="PJL14" s="21" t="n"/>
      <c r="PJM14" s="21" t="n"/>
      <c r="PJN14" s="21" t="n"/>
      <c r="PJO14" s="21" t="n"/>
      <c r="PJP14" s="21" t="n"/>
      <c r="PJQ14" s="21" t="n"/>
      <c r="PJR14" s="21" t="n"/>
      <c r="PJS14" s="21" t="n"/>
      <c r="PJT14" s="21" t="n"/>
      <c r="PJU14" s="21" t="n"/>
      <c r="PJV14" s="21" t="n"/>
      <c r="PJW14" s="21" t="n"/>
      <c r="PJX14" s="21" t="n"/>
      <c r="PJY14" s="21" t="n"/>
      <c r="PJZ14" s="21" t="n"/>
      <c r="PKA14" s="21" t="n"/>
      <c r="PKB14" s="21" t="n"/>
      <c r="PKC14" s="21" t="n"/>
      <c r="PKD14" s="21" t="n"/>
      <c r="PKE14" s="21" t="n"/>
      <c r="PKF14" s="21" t="n"/>
      <c r="PKG14" s="21" t="n"/>
      <c r="PKH14" s="21" t="n"/>
      <c r="PKI14" s="21" t="n"/>
      <c r="PKJ14" s="21" t="n"/>
      <c r="PKK14" s="21" t="n"/>
      <c r="PKL14" s="21" t="n"/>
      <c r="PKM14" s="21" t="n"/>
      <c r="PKN14" s="21" t="n"/>
      <c r="PKO14" s="21" t="n"/>
      <c r="PKP14" s="21" t="n"/>
      <c r="PKQ14" s="21" t="n"/>
      <c r="PKR14" s="21" t="n"/>
      <c r="PKS14" s="21" t="n"/>
      <c r="PKT14" s="21" t="n"/>
      <c r="PKU14" s="21" t="n"/>
      <c r="PKV14" s="21" t="n"/>
      <c r="PKW14" s="21" t="n"/>
      <c r="PKX14" s="21" t="n"/>
      <c r="PKY14" s="21" t="n"/>
      <c r="PKZ14" s="21" t="n"/>
      <c r="PLA14" s="21" t="n"/>
      <c r="PLB14" s="21" t="n"/>
      <c r="PLC14" s="21" t="n"/>
      <c r="PLD14" s="21" t="n"/>
      <c r="PLE14" s="21" t="n"/>
      <c r="PLF14" s="21" t="n"/>
      <c r="PLG14" s="21" t="n"/>
      <c r="PLH14" s="21" t="n"/>
      <c r="PLI14" s="21" t="n"/>
      <c r="PLJ14" s="21" t="n"/>
      <c r="PLK14" s="21" t="n"/>
      <c r="PLL14" s="21" t="n"/>
      <c r="PLM14" s="21" t="n"/>
      <c r="PLN14" s="21" t="n"/>
      <c r="PLO14" s="21" t="n"/>
      <c r="PLP14" s="21" t="n"/>
      <c r="PLQ14" s="21" t="n"/>
      <c r="PLR14" s="21" t="n"/>
      <c r="PLS14" s="21" t="n"/>
      <c r="PLT14" s="21" t="n"/>
      <c r="PLU14" s="21" t="n"/>
      <c r="PLV14" s="21" t="n"/>
      <c r="PLW14" s="21" t="n"/>
      <c r="PLX14" s="21" t="n"/>
      <c r="PLY14" s="21" t="n"/>
      <c r="PLZ14" s="21" t="n"/>
      <c r="PMA14" s="21" t="n"/>
      <c r="PMB14" s="21" t="n"/>
      <c r="PMC14" s="21" t="n"/>
      <c r="PMD14" s="21" t="n"/>
      <c r="PME14" s="21" t="n"/>
      <c r="PMF14" s="21" t="n"/>
      <c r="PMG14" s="21" t="n"/>
      <c r="PMH14" s="21" t="n"/>
      <c r="PMI14" s="21" t="n"/>
      <c r="PMJ14" s="21" t="n"/>
      <c r="PMK14" s="21" t="n"/>
      <c r="PML14" s="21" t="n"/>
      <c r="PMM14" s="21" t="n"/>
      <c r="PMN14" s="21" t="n"/>
      <c r="PMO14" s="21" t="n"/>
      <c r="PMP14" s="21" t="n"/>
      <c r="PMQ14" s="21" t="n"/>
      <c r="PMR14" s="21" t="n"/>
      <c r="PMS14" s="21" t="n"/>
      <c r="PMT14" s="21" t="n"/>
      <c r="PMU14" s="21" t="n"/>
      <c r="PMV14" s="21" t="n"/>
      <c r="PMW14" s="21" t="n"/>
      <c r="PMX14" s="21" t="n"/>
      <c r="PMY14" s="21" t="n"/>
      <c r="PMZ14" s="21" t="n"/>
      <c r="PNA14" s="21" t="n"/>
      <c r="PNB14" s="21" t="n"/>
      <c r="PNC14" s="21" t="n"/>
      <c r="PND14" s="21" t="n"/>
      <c r="PNE14" s="21" t="n"/>
      <c r="PNF14" s="21" t="n"/>
      <c r="PNG14" s="21" t="n"/>
      <c r="PNH14" s="21" t="n"/>
      <c r="PNI14" s="21" t="n"/>
      <c r="PNJ14" s="21" t="n"/>
      <c r="PNK14" s="21" t="n"/>
      <c r="PNL14" s="21" t="n"/>
      <c r="PNM14" s="21" t="n"/>
      <c r="PNN14" s="21" t="n"/>
      <c r="PNO14" s="21" t="n"/>
      <c r="PNP14" s="21" t="n"/>
      <c r="PNQ14" s="21" t="n"/>
      <c r="PNR14" s="21" t="n"/>
      <c r="PNS14" s="21" t="n"/>
      <c r="PNT14" s="21" t="n"/>
      <c r="PNU14" s="21" t="n"/>
      <c r="PNV14" s="21" t="n"/>
      <c r="PNW14" s="21" t="n"/>
      <c r="PNX14" s="21" t="n"/>
      <c r="PNY14" s="21" t="n"/>
      <c r="PNZ14" s="21" t="n"/>
      <c r="POA14" s="21" t="n"/>
      <c r="POB14" s="21" t="n"/>
      <c r="POC14" s="21" t="n"/>
      <c r="POD14" s="21" t="n"/>
      <c r="POE14" s="21" t="n"/>
      <c r="POF14" s="21" t="n"/>
      <c r="POG14" s="21" t="n"/>
      <c r="POH14" s="21" t="n"/>
      <c r="POI14" s="21" t="n"/>
      <c r="POJ14" s="21" t="n"/>
      <c r="POK14" s="21" t="n"/>
      <c r="POL14" s="21" t="n"/>
      <c r="POM14" s="21" t="n"/>
      <c r="PON14" s="21" t="n"/>
      <c r="POO14" s="21" t="n"/>
      <c r="POP14" s="21" t="n"/>
      <c r="POQ14" s="21" t="n"/>
      <c r="POR14" s="21" t="n"/>
      <c r="POS14" s="21" t="n"/>
      <c r="POT14" s="21" t="n"/>
      <c r="POU14" s="21" t="n"/>
      <c r="POV14" s="21" t="n"/>
      <c r="POW14" s="21" t="n"/>
      <c r="POX14" s="21" t="n"/>
      <c r="POY14" s="21" t="n"/>
      <c r="POZ14" s="21" t="n"/>
      <c r="PPA14" s="21" t="n"/>
      <c r="PPB14" s="21" t="n"/>
      <c r="PPC14" s="21" t="n"/>
      <c r="PPD14" s="21" t="n"/>
      <c r="PPE14" s="21" t="n"/>
      <c r="PPF14" s="21" t="n"/>
      <c r="PPG14" s="21" t="n"/>
      <c r="PPH14" s="21" t="n"/>
      <c r="PPI14" s="21" t="n"/>
      <c r="PPJ14" s="21" t="n"/>
      <c r="PPK14" s="21" t="n"/>
      <c r="PPL14" s="21" t="n"/>
      <c r="PPM14" s="21" t="n"/>
      <c r="PPN14" s="21" t="n"/>
      <c r="PPO14" s="21" t="n"/>
      <c r="PPP14" s="21" t="n"/>
      <c r="PPQ14" s="21" t="n"/>
      <c r="PPR14" s="21" t="n"/>
      <c r="PPS14" s="21" t="n"/>
      <c r="PPT14" s="21" t="n"/>
      <c r="PPU14" s="21" t="n"/>
      <c r="PPV14" s="21" t="n"/>
      <c r="PPW14" s="21" t="n"/>
      <c r="PPX14" s="21" t="n"/>
      <c r="PPY14" s="21" t="n"/>
      <c r="PPZ14" s="21" t="n"/>
      <c r="PQA14" s="21" t="n"/>
      <c r="PQB14" s="21" t="n"/>
      <c r="PQC14" s="21" t="n"/>
      <c r="PQD14" s="21" t="n"/>
      <c r="PQE14" s="21" t="n"/>
      <c r="PQF14" s="21" t="n"/>
      <c r="PQG14" s="21" t="n"/>
      <c r="PQH14" s="21" t="n"/>
      <c r="PQI14" s="21" t="n"/>
      <c r="PQJ14" s="21" t="n"/>
      <c r="PQK14" s="21" t="n"/>
      <c r="PQL14" s="21" t="n"/>
      <c r="PQM14" s="21" t="n"/>
      <c r="PQN14" s="21" t="n"/>
      <c r="PQO14" s="21" t="n"/>
      <c r="PQP14" s="21" t="n"/>
      <c r="PQQ14" s="21" t="n"/>
      <c r="PQR14" s="21" t="n"/>
      <c r="PQS14" s="21" t="n"/>
      <c r="PQT14" s="21" t="n"/>
      <c r="PQU14" s="21" t="n"/>
      <c r="PQV14" s="21" t="n"/>
      <c r="PQW14" s="21" t="n"/>
      <c r="PQX14" s="21" t="n"/>
      <c r="PQY14" s="21" t="n"/>
      <c r="PQZ14" s="21" t="n"/>
      <c r="PRA14" s="21" t="n"/>
      <c r="PRB14" s="21" t="n"/>
      <c r="PRC14" s="21" t="n"/>
      <c r="PRD14" s="21" t="n"/>
      <c r="PRE14" s="21" t="n"/>
      <c r="PRF14" s="21" t="n"/>
      <c r="PRG14" s="21" t="n"/>
      <c r="PRH14" s="21" t="n"/>
      <c r="PRI14" s="21" t="n"/>
      <c r="PRJ14" s="21" t="n"/>
      <c r="PRK14" s="21" t="n"/>
      <c r="PRL14" s="21" t="n"/>
      <c r="PRM14" s="21" t="n"/>
      <c r="PRN14" s="21" t="n"/>
      <c r="PRO14" s="21" t="n"/>
      <c r="PRP14" s="21" t="n"/>
      <c r="PRQ14" s="21" t="n"/>
      <c r="PRR14" s="21" t="n"/>
      <c r="PRS14" s="21" t="n"/>
      <c r="PRT14" s="21" t="n"/>
      <c r="PRU14" s="21" t="n"/>
      <c r="PRV14" s="21" t="n"/>
      <c r="PRW14" s="21" t="n"/>
      <c r="PRX14" s="21" t="n"/>
      <c r="PRY14" s="21" t="n"/>
      <c r="PRZ14" s="21" t="n"/>
      <c r="PSA14" s="21" t="n"/>
      <c r="PSB14" s="21" t="n"/>
      <c r="PSC14" s="21" t="n"/>
      <c r="PSD14" s="21" t="n"/>
      <c r="PSE14" s="21" t="n"/>
      <c r="PSF14" s="21" t="n"/>
      <c r="PSG14" s="21" t="n"/>
      <c r="PSH14" s="21" t="n"/>
      <c r="PSI14" s="21" t="n"/>
      <c r="PSJ14" s="21" t="n"/>
      <c r="PSK14" s="21" t="n"/>
      <c r="PSL14" s="21" t="n"/>
      <c r="PSM14" s="21" t="n"/>
      <c r="PSN14" s="21" t="n"/>
      <c r="PSO14" s="21" t="n"/>
      <c r="PSP14" s="21" t="n"/>
      <c r="PSQ14" s="21" t="n"/>
      <c r="PSR14" s="21" t="n"/>
      <c r="PSS14" s="21" t="n"/>
      <c r="PST14" s="21" t="n"/>
      <c r="PSU14" s="21" t="n"/>
      <c r="PSV14" s="21" t="n"/>
      <c r="PSW14" s="21" t="n"/>
      <c r="PSX14" s="21" t="n"/>
      <c r="PSY14" s="21" t="n"/>
      <c r="PSZ14" s="21" t="n"/>
      <c r="PTA14" s="21" t="n"/>
      <c r="PTB14" s="21" t="n"/>
      <c r="PTC14" s="21" t="n"/>
      <c r="PTD14" s="21" t="n"/>
      <c r="PTE14" s="21" t="n"/>
      <c r="PTF14" s="21" t="n"/>
      <c r="PTG14" s="21" t="n"/>
      <c r="PTH14" s="21" t="n"/>
      <c r="PTI14" s="21" t="n"/>
      <c r="PTJ14" s="21" t="n"/>
      <c r="PTK14" s="21" t="n"/>
      <c r="PTL14" s="21" t="n"/>
      <c r="PTM14" s="21" t="n"/>
      <c r="PTN14" s="21" t="n"/>
      <c r="PTO14" s="21" t="n"/>
      <c r="PTP14" s="21" t="n"/>
      <c r="PTQ14" s="21" t="n"/>
      <c r="PTR14" s="21" t="n"/>
      <c r="PTS14" s="21" t="n"/>
      <c r="PTT14" s="21" t="n"/>
      <c r="PTU14" s="21" t="n"/>
      <c r="PTV14" s="21" t="n"/>
      <c r="PTW14" s="21" t="n"/>
      <c r="PTX14" s="21" t="n"/>
      <c r="PTY14" s="21" t="n"/>
      <c r="PTZ14" s="21" t="n"/>
      <c r="PUA14" s="21" t="n"/>
      <c r="PUB14" s="21" t="n"/>
      <c r="PUC14" s="21" t="n"/>
      <c r="PUD14" s="21" t="n"/>
      <c r="PUE14" s="21" t="n"/>
      <c r="PUF14" s="21" t="n"/>
      <c r="PUG14" s="21" t="n"/>
      <c r="PUH14" s="21" t="n"/>
      <c r="PUI14" s="21" t="n"/>
      <c r="PUJ14" s="21" t="n"/>
      <c r="PUK14" s="21" t="n"/>
      <c r="PUL14" s="21" t="n"/>
      <c r="PUM14" s="21" t="n"/>
      <c r="PUN14" s="21" t="n"/>
      <c r="PUO14" s="21" t="n"/>
      <c r="PUP14" s="21" t="n"/>
      <c r="PUQ14" s="21" t="n"/>
      <c r="PUR14" s="21" t="n"/>
      <c r="PUS14" s="21" t="n"/>
      <c r="PUT14" s="21" t="n"/>
      <c r="PUU14" s="21" t="n"/>
      <c r="PUV14" s="21" t="n"/>
      <c r="PUW14" s="21" t="n"/>
      <c r="PUX14" s="21" t="n"/>
      <c r="PUY14" s="21" t="n"/>
      <c r="PUZ14" s="21" t="n"/>
      <c r="PVA14" s="21" t="n"/>
      <c r="PVB14" s="21" t="n"/>
      <c r="PVC14" s="21" t="n"/>
      <c r="PVD14" s="21" t="n"/>
      <c r="PVE14" s="21" t="n"/>
      <c r="PVF14" s="21" t="n"/>
      <c r="PVG14" s="21" t="n"/>
      <c r="PVH14" s="21" t="n"/>
      <c r="PVI14" s="21" t="n"/>
      <c r="PVJ14" s="21" t="n"/>
      <c r="PVK14" s="21" t="n"/>
      <c r="PVL14" s="21" t="n"/>
      <c r="PVM14" s="21" t="n"/>
      <c r="PVN14" s="21" t="n"/>
      <c r="PVO14" s="21" t="n"/>
      <c r="PVP14" s="21" t="n"/>
      <c r="PVQ14" s="21" t="n"/>
      <c r="PVR14" s="21" t="n"/>
      <c r="PVS14" s="21" t="n"/>
      <c r="PVT14" s="21" t="n"/>
      <c r="PVU14" s="21" t="n"/>
      <c r="PVV14" s="21" t="n"/>
      <c r="PVW14" s="21" t="n"/>
      <c r="PVX14" s="21" t="n"/>
      <c r="PVY14" s="21" t="n"/>
      <c r="PVZ14" s="21" t="n"/>
      <c r="PWA14" s="21" t="n"/>
      <c r="PWB14" s="21" t="n"/>
      <c r="PWC14" s="21" t="n"/>
      <c r="PWD14" s="21" t="n"/>
      <c r="PWE14" s="21" t="n"/>
      <c r="PWF14" s="21" t="n"/>
      <c r="PWG14" s="21" t="n"/>
      <c r="PWH14" s="21" t="n"/>
      <c r="PWI14" s="21" t="n"/>
      <c r="PWJ14" s="21" t="n"/>
      <c r="PWK14" s="21" t="n"/>
      <c r="PWL14" s="21" t="n"/>
      <c r="PWM14" s="21" t="n"/>
      <c r="PWN14" s="21" t="n"/>
      <c r="PWO14" s="21" t="n"/>
      <c r="PWP14" s="21" t="n"/>
      <c r="PWQ14" s="21" t="n"/>
      <c r="PWR14" s="21" t="n"/>
      <c r="PWS14" s="21" t="n"/>
      <c r="PWT14" s="21" t="n"/>
      <c r="PWU14" s="21" t="n"/>
      <c r="PWV14" s="21" t="n"/>
      <c r="PWW14" s="21" t="n"/>
      <c r="PWX14" s="21" t="n"/>
      <c r="PWY14" s="21" t="n"/>
      <c r="PWZ14" s="21" t="n"/>
      <c r="PXA14" s="21" t="n"/>
      <c r="PXB14" s="21" t="n"/>
      <c r="PXC14" s="21" t="n"/>
      <c r="PXD14" s="21" t="n"/>
      <c r="PXE14" s="21" t="n"/>
      <c r="PXF14" s="21" t="n"/>
      <c r="PXG14" s="21" t="n"/>
      <c r="PXH14" s="21" t="n"/>
      <c r="PXI14" s="21" t="n"/>
      <c r="PXJ14" s="21" t="n"/>
      <c r="PXK14" s="21" t="n"/>
      <c r="PXL14" s="21" t="n"/>
      <c r="PXM14" s="21" t="n"/>
      <c r="PXN14" s="21" t="n"/>
      <c r="PXO14" s="21" t="n"/>
      <c r="PXP14" s="21" t="n"/>
      <c r="PXQ14" s="21" t="n"/>
      <c r="PXR14" s="21" t="n"/>
      <c r="PXS14" s="21" t="n"/>
      <c r="PXT14" s="21" t="n"/>
      <c r="PXU14" s="21" t="n"/>
      <c r="PXV14" s="21" t="n"/>
      <c r="PXW14" s="21" t="n"/>
      <c r="PXX14" s="21" t="n"/>
      <c r="PXY14" s="21" t="n"/>
      <c r="PXZ14" s="21" t="n"/>
      <c r="PYA14" s="21" t="n"/>
      <c r="PYB14" s="21" t="n"/>
      <c r="PYC14" s="21" t="n"/>
      <c r="PYD14" s="21" t="n"/>
      <c r="PYE14" s="21" t="n"/>
      <c r="PYF14" s="21" t="n"/>
      <c r="PYG14" s="21" t="n"/>
      <c r="PYH14" s="21" t="n"/>
      <c r="PYI14" s="21" t="n"/>
      <c r="PYJ14" s="21" t="n"/>
      <c r="PYK14" s="21" t="n"/>
      <c r="PYL14" s="21" t="n"/>
      <c r="PYM14" s="21" t="n"/>
      <c r="PYN14" s="21" t="n"/>
      <c r="PYO14" s="21" t="n"/>
      <c r="PYP14" s="21" t="n"/>
      <c r="PYQ14" s="21" t="n"/>
      <c r="PYR14" s="21" t="n"/>
      <c r="PYS14" s="21" t="n"/>
      <c r="PYT14" s="21" t="n"/>
      <c r="PYU14" s="21" t="n"/>
      <c r="PYV14" s="21" t="n"/>
      <c r="PYW14" s="21" t="n"/>
      <c r="PYX14" s="21" t="n"/>
      <c r="PYY14" s="21" t="n"/>
      <c r="PYZ14" s="21" t="n"/>
      <c r="PZA14" s="21" t="n"/>
      <c r="PZB14" s="21" t="n"/>
      <c r="PZC14" s="21" t="n"/>
      <c r="PZD14" s="21" t="n"/>
      <c r="PZE14" s="21" t="n"/>
      <c r="PZF14" s="21" t="n"/>
      <c r="PZG14" s="21" t="n"/>
      <c r="PZH14" s="21" t="n"/>
      <c r="PZI14" s="21" t="n"/>
      <c r="PZJ14" s="21" t="n"/>
      <c r="PZK14" s="21" t="n"/>
      <c r="PZL14" s="21" t="n"/>
      <c r="PZM14" s="21" t="n"/>
      <c r="PZN14" s="21" t="n"/>
      <c r="PZO14" s="21" t="n"/>
      <c r="PZP14" s="21" t="n"/>
      <c r="PZQ14" s="21" t="n"/>
      <c r="PZR14" s="21" t="n"/>
      <c r="PZS14" s="21" t="n"/>
      <c r="PZT14" s="21" t="n"/>
      <c r="PZU14" s="21" t="n"/>
      <c r="PZV14" s="21" t="n"/>
      <c r="PZW14" s="21" t="n"/>
      <c r="PZX14" s="21" t="n"/>
      <c r="PZY14" s="21" t="n"/>
      <c r="PZZ14" s="21" t="n"/>
      <c r="QAA14" s="21" t="n"/>
      <c r="QAB14" s="21" t="n"/>
      <c r="QAC14" s="21" t="n"/>
      <c r="QAD14" s="21" t="n"/>
      <c r="QAE14" s="21" t="n"/>
      <c r="QAF14" s="21" t="n"/>
      <c r="QAG14" s="21" t="n"/>
      <c r="QAH14" s="21" t="n"/>
      <c r="QAI14" s="21" t="n"/>
      <c r="QAJ14" s="21" t="n"/>
      <c r="QAK14" s="21" t="n"/>
      <c r="QAL14" s="21" t="n"/>
      <c r="QAM14" s="21" t="n"/>
      <c r="QAN14" s="21" t="n"/>
      <c r="QAO14" s="21" t="n"/>
      <c r="QAP14" s="21" t="n"/>
      <c r="QAQ14" s="21" t="n"/>
      <c r="QAR14" s="21" t="n"/>
      <c r="QAS14" s="21" t="n"/>
      <c r="QAT14" s="21" t="n"/>
      <c r="QAU14" s="21" t="n"/>
      <c r="QAV14" s="21" t="n"/>
      <c r="QAW14" s="21" t="n"/>
      <c r="QAX14" s="21" t="n"/>
      <c r="QAY14" s="21" t="n"/>
      <c r="QAZ14" s="21" t="n"/>
      <c r="QBA14" s="21" t="n"/>
      <c r="QBB14" s="21" t="n"/>
      <c r="QBC14" s="21" t="n"/>
      <c r="QBD14" s="21" t="n"/>
      <c r="QBE14" s="21" t="n"/>
      <c r="QBF14" s="21" t="n"/>
      <c r="QBG14" s="21" t="n"/>
      <c r="QBH14" s="21" t="n"/>
      <c r="QBI14" s="21" t="n"/>
      <c r="QBJ14" s="21" t="n"/>
      <c r="QBK14" s="21" t="n"/>
      <c r="QBL14" s="21" t="n"/>
      <c r="QBM14" s="21" t="n"/>
      <c r="QBN14" s="21" t="n"/>
      <c r="QBO14" s="21" t="n"/>
      <c r="QBP14" s="21" t="n"/>
      <c r="QBQ14" s="21" t="n"/>
      <c r="QBR14" s="21" t="n"/>
      <c r="QBS14" s="21" t="n"/>
      <c r="QBT14" s="21" t="n"/>
      <c r="QBU14" s="21" t="n"/>
      <c r="QBV14" s="21" t="n"/>
      <c r="QBW14" s="21" t="n"/>
      <c r="QBX14" s="21" t="n"/>
      <c r="QBY14" s="21" t="n"/>
      <c r="QBZ14" s="21" t="n"/>
      <c r="QCA14" s="21" t="n"/>
      <c r="QCB14" s="21" t="n"/>
      <c r="QCC14" s="21" t="n"/>
      <c r="QCD14" s="21" t="n"/>
      <c r="QCE14" s="21" t="n"/>
      <c r="QCF14" s="21" t="n"/>
      <c r="QCG14" s="21" t="n"/>
      <c r="QCH14" s="21" t="n"/>
      <c r="QCI14" s="21" t="n"/>
      <c r="QCJ14" s="21" t="n"/>
      <c r="QCK14" s="21" t="n"/>
      <c r="QCL14" s="21" t="n"/>
      <c r="QCM14" s="21" t="n"/>
      <c r="QCN14" s="21" t="n"/>
      <c r="QCO14" s="21" t="n"/>
      <c r="QCP14" s="21" t="n"/>
      <c r="QCQ14" s="21" t="n"/>
      <c r="QCR14" s="21" t="n"/>
      <c r="QCS14" s="21" t="n"/>
      <c r="QCT14" s="21" t="n"/>
      <c r="QCU14" s="21" t="n"/>
      <c r="QCV14" s="21" t="n"/>
      <c r="QCW14" s="21" t="n"/>
      <c r="QCX14" s="21" t="n"/>
      <c r="QCY14" s="21" t="n"/>
      <c r="QCZ14" s="21" t="n"/>
      <c r="QDA14" s="21" t="n"/>
      <c r="QDB14" s="21" t="n"/>
      <c r="QDC14" s="21" t="n"/>
      <c r="QDD14" s="21" t="n"/>
      <c r="QDE14" s="21" t="n"/>
      <c r="QDF14" s="21" t="n"/>
      <c r="QDG14" s="21" t="n"/>
      <c r="QDH14" s="21" t="n"/>
      <c r="QDI14" s="21" t="n"/>
      <c r="QDJ14" s="21" t="n"/>
      <c r="QDK14" s="21" t="n"/>
      <c r="QDL14" s="21" t="n"/>
      <c r="QDM14" s="21" t="n"/>
      <c r="QDN14" s="21" t="n"/>
      <c r="QDO14" s="21" t="n"/>
      <c r="QDP14" s="21" t="n"/>
      <c r="QDQ14" s="21" t="n"/>
      <c r="QDR14" s="21" t="n"/>
      <c r="QDS14" s="21" t="n"/>
      <c r="QDT14" s="21" t="n"/>
      <c r="QDU14" s="21" t="n"/>
      <c r="QDV14" s="21" t="n"/>
      <c r="QDW14" s="21" t="n"/>
      <c r="QDX14" s="21" t="n"/>
      <c r="QDY14" s="21" t="n"/>
      <c r="QDZ14" s="21" t="n"/>
      <c r="QEA14" s="21" t="n"/>
      <c r="QEB14" s="21" t="n"/>
      <c r="QEC14" s="21" t="n"/>
      <c r="QED14" s="21" t="n"/>
      <c r="QEE14" s="21" t="n"/>
      <c r="QEF14" s="21" t="n"/>
      <c r="QEG14" s="21" t="n"/>
      <c r="QEH14" s="21" t="n"/>
      <c r="QEI14" s="21" t="n"/>
      <c r="QEJ14" s="21" t="n"/>
      <c r="QEK14" s="21" t="n"/>
      <c r="QEL14" s="21" t="n"/>
      <c r="QEM14" s="21" t="n"/>
      <c r="QEN14" s="21" t="n"/>
      <c r="QEO14" s="21" t="n"/>
      <c r="QEP14" s="21" t="n"/>
      <c r="QEQ14" s="21" t="n"/>
      <c r="QER14" s="21" t="n"/>
      <c r="QES14" s="21" t="n"/>
      <c r="QET14" s="21" t="n"/>
      <c r="QEU14" s="21" t="n"/>
      <c r="QEV14" s="21" t="n"/>
      <c r="QEW14" s="21" t="n"/>
      <c r="QEX14" s="21" t="n"/>
      <c r="QEY14" s="21" t="n"/>
      <c r="QEZ14" s="21" t="n"/>
      <c r="QFA14" s="21" t="n"/>
      <c r="QFB14" s="21" t="n"/>
      <c r="QFC14" s="21" t="n"/>
      <c r="QFD14" s="21" t="n"/>
      <c r="QFE14" s="21" t="n"/>
      <c r="QFF14" s="21" t="n"/>
      <c r="QFG14" s="21" t="n"/>
      <c r="QFH14" s="21" t="n"/>
      <c r="QFI14" s="21" t="n"/>
      <c r="QFJ14" s="21" t="n"/>
      <c r="QFK14" s="21" t="n"/>
      <c r="QFL14" s="21" t="n"/>
      <c r="QFM14" s="21" t="n"/>
      <c r="QFN14" s="21" t="n"/>
      <c r="QFO14" s="21" t="n"/>
      <c r="QFP14" s="21" t="n"/>
      <c r="QFQ14" s="21" t="n"/>
      <c r="QFR14" s="21" t="n"/>
      <c r="QFS14" s="21" t="n"/>
      <c r="QFT14" s="21" t="n"/>
      <c r="QFU14" s="21" t="n"/>
      <c r="QFV14" s="21" t="n"/>
      <c r="QFW14" s="21" t="n"/>
      <c r="QFX14" s="21" t="n"/>
      <c r="QFY14" s="21" t="n"/>
      <c r="QFZ14" s="21" t="n"/>
      <c r="QGA14" s="21" t="n"/>
      <c r="QGB14" s="21" t="n"/>
      <c r="QGC14" s="21" t="n"/>
      <c r="QGD14" s="21" t="n"/>
      <c r="QGE14" s="21" t="n"/>
      <c r="QGF14" s="21" t="n"/>
      <c r="QGG14" s="21" t="n"/>
      <c r="QGH14" s="21" t="n"/>
      <c r="QGI14" s="21" t="n"/>
      <c r="QGJ14" s="21" t="n"/>
      <c r="QGK14" s="21" t="n"/>
      <c r="QGL14" s="21" t="n"/>
      <c r="QGM14" s="21" t="n"/>
      <c r="QGN14" s="21" t="n"/>
      <c r="QGO14" s="21" t="n"/>
      <c r="QGP14" s="21" t="n"/>
      <c r="QGQ14" s="21" t="n"/>
      <c r="QGR14" s="21" t="n"/>
      <c r="QGS14" s="21" t="n"/>
      <c r="QGT14" s="21" t="n"/>
      <c r="QGU14" s="21" t="n"/>
      <c r="QGV14" s="21" t="n"/>
      <c r="QGW14" s="21" t="n"/>
      <c r="QGX14" s="21" t="n"/>
      <c r="QGY14" s="21" t="n"/>
      <c r="QGZ14" s="21" t="n"/>
      <c r="QHA14" s="21" t="n"/>
      <c r="QHB14" s="21" t="n"/>
      <c r="QHC14" s="21" t="n"/>
      <c r="QHD14" s="21" t="n"/>
      <c r="QHE14" s="21" t="n"/>
      <c r="QHF14" s="21" t="n"/>
      <c r="QHG14" s="21" t="n"/>
      <c r="QHH14" s="21" t="n"/>
      <c r="QHI14" s="21" t="n"/>
      <c r="QHJ14" s="21" t="n"/>
      <c r="QHK14" s="21" t="n"/>
      <c r="QHL14" s="21" t="n"/>
      <c r="QHM14" s="21" t="n"/>
      <c r="QHN14" s="21" t="n"/>
      <c r="QHO14" s="21" t="n"/>
      <c r="QHP14" s="21" t="n"/>
      <c r="QHQ14" s="21" t="n"/>
      <c r="QHR14" s="21" t="n"/>
      <c r="QHS14" s="21" t="n"/>
      <c r="QHT14" s="21" t="n"/>
      <c r="QHU14" s="21" t="n"/>
      <c r="QHV14" s="21" t="n"/>
      <c r="QHW14" s="21" t="n"/>
      <c r="QHX14" s="21" t="n"/>
      <c r="QHY14" s="21" t="n"/>
      <c r="QHZ14" s="21" t="n"/>
      <c r="QIA14" s="21" t="n"/>
      <c r="QIB14" s="21" t="n"/>
      <c r="QIC14" s="21" t="n"/>
      <c r="QID14" s="21" t="n"/>
      <c r="QIE14" s="21" t="n"/>
      <c r="QIF14" s="21" t="n"/>
      <c r="QIG14" s="21" t="n"/>
      <c r="QIH14" s="21" t="n"/>
      <c r="QII14" s="21" t="n"/>
      <c r="QIJ14" s="21" t="n"/>
      <c r="QIK14" s="21" t="n"/>
      <c r="QIL14" s="21" t="n"/>
      <c r="QIM14" s="21" t="n"/>
      <c r="QIN14" s="21" t="n"/>
      <c r="QIO14" s="21" t="n"/>
      <c r="QIP14" s="21" t="n"/>
      <c r="QIQ14" s="21" t="n"/>
      <c r="QIR14" s="21" t="n"/>
      <c r="QIS14" s="21" t="n"/>
      <c r="QIT14" s="21" t="n"/>
      <c r="QIU14" s="21" t="n"/>
      <c r="QIV14" s="21" t="n"/>
      <c r="QIW14" s="21" t="n"/>
      <c r="QIX14" s="21" t="n"/>
      <c r="QIY14" s="21" t="n"/>
      <c r="QIZ14" s="21" t="n"/>
      <c r="QJA14" s="21" t="n"/>
      <c r="QJB14" s="21" t="n"/>
      <c r="QJC14" s="21" t="n"/>
      <c r="QJD14" s="21" t="n"/>
      <c r="QJE14" s="21" t="n"/>
      <c r="QJF14" s="21" t="n"/>
      <c r="QJG14" s="21" t="n"/>
      <c r="QJH14" s="21" t="n"/>
      <c r="QJI14" s="21" t="n"/>
      <c r="QJJ14" s="21" t="n"/>
      <c r="QJK14" s="21" t="n"/>
      <c r="QJL14" s="21" t="n"/>
      <c r="QJM14" s="21" t="n"/>
      <c r="QJN14" s="21" t="n"/>
      <c r="QJO14" s="21" t="n"/>
      <c r="QJP14" s="21" t="n"/>
      <c r="QJQ14" s="21" t="n"/>
      <c r="QJR14" s="21" t="n"/>
      <c r="QJS14" s="21" t="n"/>
      <c r="QJT14" s="21" t="n"/>
      <c r="QJU14" s="21" t="n"/>
      <c r="QJV14" s="21" t="n"/>
      <c r="QJW14" s="21" t="n"/>
      <c r="QJX14" s="21" t="n"/>
      <c r="QJY14" s="21" t="n"/>
      <c r="QJZ14" s="21" t="n"/>
      <c r="QKA14" s="21" t="n"/>
      <c r="QKB14" s="21" t="n"/>
      <c r="QKC14" s="21" t="n"/>
      <c r="QKD14" s="21" t="n"/>
      <c r="QKE14" s="21" t="n"/>
      <c r="QKF14" s="21" t="n"/>
      <c r="QKG14" s="21" t="n"/>
      <c r="QKH14" s="21" t="n"/>
      <c r="QKI14" s="21" t="n"/>
      <c r="QKJ14" s="21" t="n"/>
      <c r="QKK14" s="21" t="n"/>
      <c r="QKL14" s="21" t="n"/>
      <c r="QKM14" s="21" t="n"/>
      <c r="QKN14" s="21" t="n"/>
      <c r="QKO14" s="21" t="n"/>
      <c r="QKP14" s="21" t="n"/>
      <c r="QKQ14" s="21" t="n"/>
      <c r="QKR14" s="21" t="n"/>
      <c r="QKS14" s="21" t="n"/>
      <c r="QKT14" s="21" t="n"/>
      <c r="QKU14" s="21" t="n"/>
      <c r="QKV14" s="21" t="n"/>
      <c r="QKW14" s="21" t="n"/>
      <c r="QKX14" s="21" t="n"/>
      <c r="QKY14" s="21" t="n"/>
      <c r="QKZ14" s="21" t="n"/>
      <c r="QLA14" s="21" t="n"/>
      <c r="QLB14" s="21" t="n"/>
      <c r="QLC14" s="21" t="n"/>
      <c r="QLD14" s="21" t="n"/>
      <c r="QLE14" s="21" t="n"/>
      <c r="QLF14" s="21" t="n"/>
      <c r="QLG14" s="21" t="n"/>
      <c r="QLH14" s="21" t="n"/>
      <c r="QLI14" s="21" t="n"/>
      <c r="QLJ14" s="21" t="n"/>
      <c r="QLK14" s="21" t="n"/>
      <c r="QLL14" s="21" t="n"/>
      <c r="QLM14" s="21" t="n"/>
      <c r="QLN14" s="21" t="n"/>
      <c r="QLO14" s="21" t="n"/>
      <c r="QLP14" s="21" t="n"/>
      <c r="QLQ14" s="21" t="n"/>
      <c r="QLR14" s="21" t="n"/>
      <c r="QLS14" s="21" t="n"/>
      <c r="QLT14" s="21" t="n"/>
      <c r="QLU14" s="21" t="n"/>
      <c r="QLV14" s="21" t="n"/>
      <c r="QLW14" s="21" t="n"/>
      <c r="QLX14" s="21" t="n"/>
      <c r="QLY14" s="21" t="n"/>
      <c r="QLZ14" s="21" t="n"/>
      <c r="QMA14" s="21" t="n"/>
      <c r="QMB14" s="21" t="n"/>
      <c r="QMC14" s="21" t="n"/>
      <c r="QMD14" s="21" t="n"/>
      <c r="QME14" s="21" t="n"/>
      <c r="QMF14" s="21" t="n"/>
      <c r="QMG14" s="21" t="n"/>
      <c r="QMH14" s="21" t="n"/>
      <c r="QMI14" s="21" t="n"/>
      <c r="QMJ14" s="21" t="n"/>
      <c r="QMK14" s="21" t="n"/>
      <c r="QML14" s="21" t="n"/>
      <c r="QMM14" s="21" t="n"/>
      <c r="QMN14" s="21" t="n"/>
      <c r="QMO14" s="21" t="n"/>
      <c r="QMP14" s="21" t="n"/>
      <c r="QMQ14" s="21" t="n"/>
      <c r="QMR14" s="21" t="n"/>
      <c r="QMS14" s="21" t="n"/>
      <c r="QMT14" s="21" t="n"/>
      <c r="QMU14" s="21" t="n"/>
      <c r="QMV14" s="21" t="n"/>
      <c r="QMW14" s="21" t="n"/>
      <c r="QMX14" s="21" t="n"/>
      <c r="QMY14" s="21" t="n"/>
      <c r="QMZ14" s="21" t="n"/>
      <c r="QNA14" s="21" t="n"/>
      <c r="QNB14" s="21" t="n"/>
      <c r="QNC14" s="21" t="n"/>
      <c r="QND14" s="21" t="n"/>
      <c r="QNE14" s="21" t="n"/>
      <c r="QNF14" s="21" t="n"/>
      <c r="QNG14" s="21" t="n"/>
      <c r="QNH14" s="21" t="n"/>
      <c r="QNI14" s="21" t="n"/>
      <c r="QNJ14" s="21" t="n"/>
      <c r="QNK14" s="21" t="n"/>
      <c r="QNL14" s="21" t="n"/>
      <c r="QNM14" s="21" t="n"/>
      <c r="QNN14" s="21" t="n"/>
      <c r="QNO14" s="21" t="n"/>
      <c r="QNP14" s="21" t="n"/>
      <c r="QNQ14" s="21" t="n"/>
      <c r="QNR14" s="21" t="n"/>
      <c r="QNS14" s="21" t="n"/>
      <c r="QNT14" s="21" t="n"/>
      <c r="QNU14" s="21" t="n"/>
      <c r="QNV14" s="21" t="n"/>
      <c r="QNW14" s="21" t="n"/>
      <c r="QNX14" s="21" t="n"/>
      <c r="QNY14" s="21" t="n"/>
      <c r="QNZ14" s="21" t="n"/>
      <c r="QOA14" s="21" t="n"/>
      <c r="QOB14" s="21" t="n"/>
      <c r="QOC14" s="21" t="n"/>
      <c r="QOD14" s="21" t="n"/>
      <c r="QOE14" s="21" t="n"/>
      <c r="QOF14" s="21" t="n"/>
      <c r="QOG14" s="21" t="n"/>
      <c r="QOH14" s="21" t="n"/>
      <c r="QOI14" s="21" t="n"/>
      <c r="QOJ14" s="21" t="n"/>
      <c r="QOK14" s="21" t="n"/>
      <c r="QOL14" s="21" t="n"/>
      <c r="QOM14" s="21" t="n"/>
      <c r="QON14" s="21" t="n"/>
      <c r="QOO14" s="21" t="n"/>
      <c r="QOP14" s="21" t="n"/>
      <c r="QOQ14" s="21" t="n"/>
      <c r="QOR14" s="21" t="n"/>
      <c r="QOS14" s="21" t="n"/>
      <c r="QOT14" s="21" t="n"/>
      <c r="QOU14" s="21" t="n"/>
      <c r="QOV14" s="21" t="n"/>
      <c r="QOW14" s="21" t="n"/>
      <c r="QOX14" s="21" t="n"/>
      <c r="QOY14" s="21" t="n"/>
      <c r="QOZ14" s="21" t="n"/>
      <c r="QPA14" s="21" t="n"/>
      <c r="QPB14" s="21" t="n"/>
      <c r="QPC14" s="21" t="n"/>
      <c r="QPD14" s="21" t="n"/>
      <c r="QPE14" s="21" t="n"/>
      <c r="QPF14" s="21" t="n"/>
      <c r="QPG14" s="21" t="n"/>
      <c r="QPH14" s="21" t="n"/>
      <c r="QPI14" s="21" t="n"/>
      <c r="QPJ14" s="21" t="n"/>
      <c r="QPK14" s="21" t="n"/>
      <c r="QPL14" s="21" t="n"/>
      <c r="QPM14" s="21" t="n"/>
      <c r="QPN14" s="21" t="n"/>
      <c r="QPO14" s="21" t="n"/>
      <c r="QPP14" s="21" t="n"/>
      <c r="QPQ14" s="21" t="n"/>
      <c r="QPR14" s="21" t="n"/>
      <c r="QPS14" s="21" t="n"/>
      <c r="QPT14" s="21" t="n"/>
      <c r="QPU14" s="21" t="n"/>
      <c r="QPV14" s="21" t="n"/>
      <c r="QPW14" s="21" t="n"/>
      <c r="QPX14" s="21" t="n"/>
      <c r="QPY14" s="21" t="n"/>
      <c r="QPZ14" s="21" t="n"/>
      <c r="QQA14" s="21" t="n"/>
      <c r="QQB14" s="21" t="n"/>
      <c r="QQC14" s="21" t="n"/>
      <c r="QQD14" s="21" t="n"/>
      <c r="QQE14" s="21" t="n"/>
      <c r="QQF14" s="21" t="n"/>
      <c r="QQG14" s="21" t="n"/>
      <c r="QQH14" s="21" t="n"/>
      <c r="QQI14" s="21" t="n"/>
      <c r="QQJ14" s="21" t="n"/>
      <c r="QQK14" s="21" t="n"/>
      <c r="QQL14" s="21" t="n"/>
      <c r="QQM14" s="21" t="n"/>
      <c r="QQN14" s="21" t="n"/>
      <c r="QQO14" s="21" t="n"/>
      <c r="QQP14" s="21" t="n"/>
      <c r="QQQ14" s="21" t="n"/>
      <c r="QQR14" s="21" t="n"/>
      <c r="QQS14" s="21" t="n"/>
      <c r="QQT14" s="21" t="n"/>
      <c r="QQU14" s="21" t="n"/>
      <c r="QQV14" s="21" t="n"/>
      <c r="QQW14" s="21" t="n"/>
      <c r="QQX14" s="21" t="n"/>
      <c r="QQY14" s="21" t="n"/>
      <c r="QQZ14" s="21" t="n"/>
      <c r="QRA14" s="21" t="n"/>
      <c r="QRB14" s="21" t="n"/>
      <c r="QRC14" s="21" t="n"/>
      <c r="QRD14" s="21" t="n"/>
      <c r="QRE14" s="21" t="n"/>
      <c r="QRF14" s="21" t="n"/>
      <c r="QRG14" s="21" t="n"/>
      <c r="QRH14" s="21" t="n"/>
      <c r="QRI14" s="21" t="n"/>
      <c r="QRJ14" s="21" t="n"/>
      <c r="QRK14" s="21" t="n"/>
      <c r="QRL14" s="21" t="n"/>
      <c r="QRM14" s="21" t="n"/>
      <c r="QRN14" s="21" t="n"/>
      <c r="QRO14" s="21" t="n"/>
      <c r="QRP14" s="21" t="n"/>
      <c r="QRQ14" s="21" t="n"/>
      <c r="QRR14" s="21" t="n"/>
      <c r="QRS14" s="21" t="n"/>
      <c r="QRT14" s="21" t="n"/>
      <c r="QRU14" s="21" t="n"/>
      <c r="QRV14" s="21" t="n"/>
      <c r="QRW14" s="21" t="n"/>
      <c r="QRX14" s="21" t="n"/>
      <c r="QRY14" s="21" t="n"/>
      <c r="QRZ14" s="21" t="n"/>
      <c r="QSA14" s="21" t="n"/>
      <c r="QSB14" s="21" t="n"/>
      <c r="QSC14" s="21" t="n"/>
      <c r="QSD14" s="21" t="n"/>
      <c r="QSE14" s="21" t="n"/>
      <c r="QSF14" s="21" t="n"/>
      <c r="QSG14" s="21" t="n"/>
      <c r="QSH14" s="21" t="n"/>
      <c r="QSI14" s="21" t="n"/>
      <c r="QSJ14" s="21" t="n"/>
      <c r="QSK14" s="21" t="n"/>
      <c r="QSL14" s="21" t="n"/>
      <c r="QSM14" s="21" t="n"/>
      <c r="QSN14" s="21" t="n"/>
      <c r="QSO14" s="21" t="n"/>
      <c r="QSP14" s="21" t="n"/>
      <c r="QSQ14" s="21" t="n"/>
      <c r="QSR14" s="21" t="n"/>
      <c r="QSS14" s="21" t="n"/>
      <c r="QST14" s="21" t="n"/>
      <c r="QSU14" s="21" t="n"/>
      <c r="QSV14" s="21" t="n"/>
      <c r="QSW14" s="21" t="n"/>
      <c r="QSX14" s="21" t="n"/>
      <c r="QSY14" s="21" t="n"/>
      <c r="QSZ14" s="21" t="n"/>
      <c r="QTA14" s="21" t="n"/>
      <c r="QTB14" s="21" t="n"/>
      <c r="QTC14" s="21" t="n"/>
      <c r="QTD14" s="21" t="n"/>
      <c r="QTE14" s="21" t="n"/>
      <c r="QTF14" s="21" t="n"/>
      <c r="QTG14" s="21" t="n"/>
      <c r="QTH14" s="21" t="n"/>
      <c r="QTI14" s="21" t="n"/>
      <c r="QTJ14" s="21" t="n"/>
      <c r="QTK14" s="21" t="n"/>
      <c r="QTL14" s="21" t="n"/>
      <c r="QTM14" s="21" t="n"/>
      <c r="QTN14" s="21" t="n"/>
      <c r="QTO14" s="21" t="n"/>
      <c r="QTP14" s="21" t="n"/>
      <c r="QTQ14" s="21" t="n"/>
      <c r="QTR14" s="21" t="n"/>
      <c r="QTS14" s="21" t="n"/>
      <c r="QTT14" s="21" t="n"/>
      <c r="QTU14" s="21" t="n"/>
      <c r="QTV14" s="21" t="n"/>
      <c r="QTW14" s="21" t="n"/>
      <c r="QTX14" s="21" t="n"/>
      <c r="QTY14" s="21" t="n"/>
      <c r="QTZ14" s="21" t="n"/>
      <c r="QUA14" s="21" t="n"/>
      <c r="QUB14" s="21" t="n"/>
      <c r="QUC14" s="21" t="n"/>
      <c r="QUD14" s="21" t="n"/>
      <c r="QUE14" s="21" t="n"/>
      <c r="QUF14" s="21" t="n"/>
      <c r="QUG14" s="21" t="n"/>
      <c r="QUH14" s="21" t="n"/>
      <c r="QUI14" s="21" t="n"/>
      <c r="QUJ14" s="21" t="n"/>
      <c r="QUK14" s="21" t="n"/>
      <c r="QUL14" s="21" t="n"/>
      <c r="QUM14" s="21" t="n"/>
      <c r="QUN14" s="21" t="n"/>
      <c r="QUO14" s="21" t="n"/>
      <c r="QUP14" s="21" t="n"/>
      <c r="QUQ14" s="21" t="n"/>
      <c r="QUR14" s="21" t="n"/>
      <c r="QUS14" s="21" t="n"/>
      <c r="QUT14" s="21" t="n"/>
      <c r="QUU14" s="21" t="n"/>
      <c r="QUV14" s="21" t="n"/>
      <c r="QUW14" s="21" t="n"/>
      <c r="QUX14" s="21" t="n"/>
      <c r="QUY14" s="21" t="n"/>
      <c r="QUZ14" s="21" t="n"/>
      <c r="QVA14" s="21" t="n"/>
      <c r="QVB14" s="21" t="n"/>
      <c r="QVC14" s="21" t="n"/>
      <c r="QVD14" s="21" t="n"/>
      <c r="QVE14" s="21" t="n"/>
      <c r="QVF14" s="21" t="n"/>
      <c r="QVG14" s="21" t="n"/>
      <c r="QVH14" s="21" t="n"/>
      <c r="QVI14" s="21" t="n"/>
      <c r="QVJ14" s="21" t="n"/>
      <c r="QVK14" s="21" t="n"/>
      <c r="QVL14" s="21" t="n"/>
      <c r="QVM14" s="21" t="n"/>
      <c r="QVN14" s="21" t="n"/>
      <c r="QVO14" s="21" t="n"/>
      <c r="QVP14" s="21" t="n"/>
      <c r="QVQ14" s="21" t="n"/>
      <c r="QVR14" s="21" t="n"/>
      <c r="QVS14" s="21" t="n"/>
      <c r="QVT14" s="21" t="n"/>
      <c r="QVU14" s="21" t="n"/>
      <c r="QVV14" s="21" t="n"/>
      <c r="QVW14" s="21" t="n"/>
      <c r="QVX14" s="21" t="n"/>
      <c r="QVY14" s="21" t="n"/>
      <c r="QVZ14" s="21" t="n"/>
      <c r="QWA14" s="21" t="n"/>
      <c r="QWB14" s="21" t="n"/>
      <c r="QWC14" s="21" t="n"/>
      <c r="QWD14" s="21" t="n"/>
      <c r="QWE14" s="21" t="n"/>
      <c r="QWF14" s="21" t="n"/>
      <c r="QWG14" s="21" t="n"/>
      <c r="QWH14" s="21" t="n"/>
      <c r="QWI14" s="21" t="n"/>
      <c r="QWJ14" s="21" t="n"/>
      <c r="QWK14" s="21" t="n"/>
      <c r="QWL14" s="21" t="n"/>
      <c r="QWM14" s="21" t="n"/>
      <c r="QWN14" s="21" t="n"/>
      <c r="QWO14" s="21" t="n"/>
      <c r="QWP14" s="21" t="n"/>
      <c r="QWQ14" s="21" t="n"/>
      <c r="QWR14" s="21" t="n"/>
      <c r="QWS14" s="21" t="n"/>
      <c r="QWT14" s="21" t="n"/>
      <c r="QWU14" s="21" t="n"/>
      <c r="QWV14" s="21" t="n"/>
      <c r="QWW14" s="21" t="n"/>
      <c r="QWX14" s="21" t="n"/>
      <c r="QWY14" s="21" t="n"/>
      <c r="QWZ14" s="21" t="n"/>
      <c r="QXA14" s="21" t="n"/>
      <c r="QXB14" s="21" t="n"/>
      <c r="QXC14" s="21" t="n"/>
      <c r="QXD14" s="21" t="n"/>
      <c r="QXE14" s="21" t="n"/>
      <c r="QXF14" s="21" t="n"/>
      <c r="QXG14" s="21" t="n"/>
      <c r="QXH14" s="21" t="n"/>
      <c r="QXI14" s="21" t="n"/>
      <c r="QXJ14" s="21" t="n"/>
      <c r="QXK14" s="21" t="n"/>
      <c r="QXL14" s="21" t="n"/>
      <c r="QXM14" s="21" t="n"/>
      <c r="QXN14" s="21" t="n"/>
      <c r="QXO14" s="21" t="n"/>
      <c r="QXP14" s="21" t="n"/>
      <c r="QXQ14" s="21" t="n"/>
      <c r="QXR14" s="21" t="n"/>
      <c r="QXS14" s="21" t="n"/>
      <c r="QXT14" s="21" t="n"/>
      <c r="QXU14" s="21" t="n"/>
      <c r="QXV14" s="21" t="n"/>
      <c r="QXW14" s="21" t="n"/>
      <c r="QXX14" s="21" t="n"/>
      <c r="QXY14" s="21" t="n"/>
      <c r="QXZ14" s="21" t="n"/>
      <c r="QYA14" s="21" t="n"/>
      <c r="QYB14" s="21" t="n"/>
      <c r="QYC14" s="21" t="n"/>
      <c r="QYD14" s="21" t="n"/>
      <c r="QYE14" s="21" t="n"/>
      <c r="QYF14" s="21" t="n"/>
      <c r="QYG14" s="21" t="n"/>
      <c r="QYH14" s="21" t="n"/>
      <c r="QYI14" s="21" t="n"/>
      <c r="QYJ14" s="21" t="n"/>
      <c r="QYK14" s="21" t="n"/>
      <c r="QYL14" s="21" t="n"/>
      <c r="QYM14" s="21" t="n"/>
      <c r="QYN14" s="21" t="n"/>
      <c r="QYO14" s="21" t="n"/>
      <c r="QYP14" s="21" t="n"/>
      <c r="QYQ14" s="21" t="n"/>
      <c r="QYR14" s="21" t="n"/>
      <c r="QYS14" s="21" t="n"/>
      <c r="QYT14" s="21" t="n"/>
      <c r="QYU14" s="21" t="n"/>
      <c r="QYV14" s="21" t="n"/>
      <c r="QYW14" s="21" t="n"/>
      <c r="QYX14" s="21" t="n"/>
      <c r="QYY14" s="21" t="n"/>
      <c r="QYZ14" s="21" t="n"/>
      <c r="QZA14" s="21" t="n"/>
      <c r="QZB14" s="21" t="n"/>
      <c r="QZC14" s="21" t="n"/>
      <c r="QZD14" s="21" t="n"/>
      <c r="QZE14" s="21" t="n"/>
      <c r="QZF14" s="21" t="n"/>
      <c r="QZG14" s="21" t="n"/>
      <c r="QZH14" s="21" t="n"/>
      <c r="QZI14" s="21" t="n"/>
      <c r="QZJ14" s="21" t="n"/>
      <c r="QZK14" s="21" t="n"/>
      <c r="QZL14" s="21" t="n"/>
      <c r="QZM14" s="21" t="n"/>
      <c r="QZN14" s="21" t="n"/>
      <c r="QZO14" s="21" t="n"/>
      <c r="QZP14" s="21" t="n"/>
      <c r="QZQ14" s="21" t="n"/>
      <c r="QZR14" s="21" t="n"/>
      <c r="QZS14" s="21" t="n"/>
      <c r="QZT14" s="21" t="n"/>
      <c r="QZU14" s="21" t="n"/>
      <c r="QZV14" s="21" t="n"/>
      <c r="QZW14" s="21" t="n"/>
      <c r="QZX14" s="21" t="n"/>
      <c r="QZY14" s="21" t="n"/>
      <c r="QZZ14" s="21" t="n"/>
      <c r="RAA14" s="21" t="n"/>
      <c r="RAB14" s="21" t="n"/>
      <c r="RAC14" s="21" t="n"/>
      <c r="RAD14" s="21" t="n"/>
      <c r="RAE14" s="21" t="n"/>
      <c r="RAF14" s="21" t="n"/>
      <c r="RAG14" s="21" t="n"/>
      <c r="RAH14" s="21" t="n"/>
      <c r="RAI14" s="21" t="n"/>
      <c r="RAJ14" s="21" t="n"/>
      <c r="RAK14" s="21" t="n"/>
      <c r="RAL14" s="21" t="n"/>
      <c r="RAM14" s="21" t="n"/>
      <c r="RAN14" s="21" t="n"/>
      <c r="RAO14" s="21" t="n"/>
      <c r="RAP14" s="21" t="n"/>
      <c r="RAQ14" s="21" t="n"/>
      <c r="RAR14" s="21" t="n"/>
      <c r="RAS14" s="21" t="n"/>
      <c r="RAT14" s="21" t="n"/>
      <c r="RAU14" s="21" t="n"/>
      <c r="RAV14" s="21" t="n"/>
      <c r="RAW14" s="21" t="n"/>
      <c r="RAX14" s="21" t="n"/>
      <c r="RAY14" s="21" t="n"/>
      <c r="RAZ14" s="21" t="n"/>
      <c r="RBA14" s="21" t="n"/>
      <c r="RBB14" s="21" t="n"/>
      <c r="RBC14" s="21" t="n"/>
      <c r="RBD14" s="21" t="n"/>
      <c r="RBE14" s="21" t="n"/>
      <c r="RBF14" s="21" t="n"/>
      <c r="RBG14" s="21" t="n"/>
      <c r="RBH14" s="21" t="n"/>
      <c r="RBI14" s="21" t="n"/>
      <c r="RBJ14" s="21" t="n"/>
      <c r="RBK14" s="21" t="n"/>
      <c r="RBL14" s="21" t="n"/>
      <c r="RBM14" s="21" t="n"/>
      <c r="RBN14" s="21" t="n"/>
      <c r="RBO14" s="21" t="n"/>
      <c r="RBP14" s="21" t="n"/>
      <c r="RBQ14" s="21" t="n"/>
      <c r="RBR14" s="21" t="n"/>
      <c r="RBS14" s="21" t="n"/>
      <c r="RBT14" s="21" t="n"/>
      <c r="RBU14" s="21" t="n"/>
      <c r="RBV14" s="21" t="n"/>
      <c r="RBW14" s="21" t="n"/>
      <c r="RBX14" s="21" t="n"/>
      <c r="RBY14" s="21" t="n"/>
      <c r="RBZ14" s="21" t="n"/>
      <c r="RCA14" s="21" t="n"/>
      <c r="RCB14" s="21" t="n"/>
      <c r="RCC14" s="21" t="n"/>
      <c r="RCD14" s="21" t="n"/>
      <c r="RCE14" s="21" t="n"/>
      <c r="RCF14" s="21" t="n"/>
      <c r="RCG14" s="21" t="n"/>
      <c r="RCH14" s="21" t="n"/>
      <c r="RCI14" s="21" t="n"/>
      <c r="RCJ14" s="21" t="n"/>
      <c r="RCK14" s="21" t="n"/>
      <c r="RCL14" s="21" t="n"/>
      <c r="RCM14" s="21" t="n"/>
      <c r="RCN14" s="21" t="n"/>
      <c r="RCO14" s="21" t="n"/>
      <c r="RCP14" s="21" t="n"/>
      <c r="RCQ14" s="21" t="n"/>
      <c r="RCR14" s="21" t="n"/>
      <c r="RCS14" s="21" t="n"/>
      <c r="RCT14" s="21" t="n"/>
      <c r="RCU14" s="21" t="n"/>
      <c r="RCV14" s="21" t="n"/>
      <c r="RCW14" s="21" t="n"/>
      <c r="RCX14" s="21" t="n"/>
      <c r="RCY14" s="21" t="n"/>
      <c r="RCZ14" s="21" t="n"/>
      <c r="RDA14" s="21" t="n"/>
      <c r="RDB14" s="21" t="n"/>
      <c r="RDC14" s="21" t="n"/>
      <c r="RDD14" s="21" t="n"/>
      <c r="RDE14" s="21" t="n"/>
      <c r="RDF14" s="21" t="n"/>
      <c r="RDG14" s="21" t="n"/>
      <c r="RDH14" s="21" t="n"/>
      <c r="RDI14" s="21" t="n"/>
      <c r="RDJ14" s="21" t="n"/>
      <c r="RDK14" s="21" t="n"/>
      <c r="RDL14" s="21" t="n"/>
      <c r="RDM14" s="21" t="n"/>
      <c r="RDN14" s="21" t="n"/>
      <c r="RDO14" s="21" t="n"/>
      <c r="RDP14" s="21" t="n"/>
      <c r="RDQ14" s="21" t="n"/>
      <c r="RDR14" s="21" t="n"/>
      <c r="RDS14" s="21" t="n"/>
      <c r="RDT14" s="21" t="n"/>
      <c r="RDU14" s="21" t="n"/>
      <c r="RDV14" s="21" t="n"/>
      <c r="RDW14" s="21" t="n"/>
      <c r="RDX14" s="21" t="n"/>
      <c r="RDY14" s="21" t="n"/>
      <c r="RDZ14" s="21" t="n"/>
      <c r="REA14" s="21" t="n"/>
      <c r="REB14" s="21" t="n"/>
      <c r="REC14" s="21" t="n"/>
      <c r="RED14" s="21" t="n"/>
      <c r="REE14" s="21" t="n"/>
      <c r="REF14" s="21" t="n"/>
      <c r="REG14" s="21" t="n"/>
      <c r="REH14" s="21" t="n"/>
      <c r="REI14" s="21" t="n"/>
      <c r="REJ14" s="21" t="n"/>
      <c r="REK14" s="21" t="n"/>
      <c r="REL14" s="21" t="n"/>
      <c r="REM14" s="21" t="n"/>
      <c r="REN14" s="21" t="n"/>
      <c r="REO14" s="21" t="n"/>
      <c r="REP14" s="21" t="n"/>
      <c r="REQ14" s="21" t="n"/>
      <c r="RER14" s="21" t="n"/>
      <c r="RES14" s="21" t="n"/>
      <c r="RET14" s="21" t="n"/>
      <c r="REU14" s="21" t="n"/>
      <c r="REV14" s="21" t="n"/>
      <c r="REW14" s="21" t="n"/>
      <c r="REX14" s="21" t="n"/>
      <c r="REY14" s="21" t="n"/>
      <c r="REZ14" s="21" t="n"/>
      <c r="RFA14" s="21" t="n"/>
      <c r="RFB14" s="21" t="n"/>
      <c r="RFC14" s="21" t="n"/>
      <c r="RFD14" s="21" t="n"/>
      <c r="RFE14" s="21" t="n"/>
      <c r="RFF14" s="21" t="n"/>
      <c r="RFG14" s="21" t="n"/>
      <c r="RFH14" s="21" t="n"/>
      <c r="RFI14" s="21" t="n"/>
      <c r="RFJ14" s="21" t="n"/>
      <c r="RFK14" s="21" t="n"/>
      <c r="RFL14" s="21" t="n"/>
      <c r="RFM14" s="21" t="n"/>
      <c r="RFN14" s="21" t="n"/>
      <c r="RFO14" s="21" t="n"/>
      <c r="RFP14" s="21" t="n"/>
      <c r="RFQ14" s="21" t="n"/>
      <c r="RFR14" s="21" t="n"/>
      <c r="RFS14" s="21" t="n"/>
      <c r="RFT14" s="21" t="n"/>
      <c r="RFU14" s="21" t="n"/>
      <c r="RFV14" s="21" t="n"/>
      <c r="RFW14" s="21" t="n"/>
      <c r="RFX14" s="21" t="n"/>
      <c r="RFY14" s="21" t="n"/>
      <c r="RFZ14" s="21" t="n"/>
      <c r="RGA14" s="21" t="n"/>
      <c r="RGB14" s="21" t="n"/>
      <c r="RGC14" s="21" t="n"/>
      <c r="RGD14" s="21" t="n"/>
      <c r="RGE14" s="21" t="n"/>
      <c r="RGF14" s="21" t="n"/>
      <c r="RGG14" s="21" t="n"/>
      <c r="RGH14" s="21" t="n"/>
      <c r="RGI14" s="21" t="n"/>
      <c r="RGJ14" s="21" t="n"/>
      <c r="RGK14" s="21" t="n"/>
      <c r="RGL14" s="21" t="n"/>
      <c r="RGM14" s="21" t="n"/>
      <c r="RGN14" s="21" t="n"/>
      <c r="RGO14" s="21" t="n"/>
      <c r="RGP14" s="21" t="n"/>
      <c r="RGQ14" s="21" t="n"/>
      <c r="RGR14" s="21" t="n"/>
      <c r="RGS14" s="21" t="n"/>
      <c r="RGT14" s="21" t="n"/>
      <c r="RGU14" s="21" t="n"/>
      <c r="RGV14" s="21" t="n"/>
      <c r="RGW14" s="21" t="n"/>
      <c r="RGX14" s="21" t="n"/>
      <c r="RGY14" s="21" t="n"/>
      <c r="RGZ14" s="21" t="n"/>
      <c r="RHA14" s="21" t="n"/>
      <c r="RHB14" s="21" t="n"/>
      <c r="RHC14" s="21" t="n"/>
      <c r="RHD14" s="21" t="n"/>
      <c r="RHE14" s="21" t="n"/>
      <c r="RHF14" s="21" t="n"/>
      <c r="RHG14" s="21" t="n"/>
      <c r="RHH14" s="21" t="n"/>
      <c r="RHI14" s="21" t="n"/>
      <c r="RHJ14" s="21" t="n"/>
      <c r="RHK14" s="21" t="n"/>
      <c r="RHL14" s="21" t="n"/>
      <c r="RHM14" s="21" t="n"/>
      <c r="RHN14" s="21" t="n"/>
      <c r="RHO14" s="21" t="n"/>
      <c r="RHP14" s="21" t="n"/>
      <c r="RHQ14" s="21" t="n"/>
      <c r="RHR14" s="21" t="n"/>
      <c r="RHS14" s="21" t="n"/>
      <c r="RHT14" s="21" t="n"/>
      <c r="RHU14" s="21" t="n"/>
      <c r="RHV14" s="21" t="n"/>
      <c r="RHW14" s="21" t="n"/>
      <c r="RHX14" s="21" t="n"/>
      <c r="RHY14" s="21" t="n"/>
      <c r="RHZ14" s="21" t="n"/>
      <c r="RIA14" s="21" t="n"/>
      <c r="RIB14" s="21" t="n"/>
      <c r="RIC14" s="21" t="n"/>
      <c r="RID14" s="21" t="n"/>
      <c r="RIE14" s="21" t="n"/>
      <c r="RIF14" s="21" t="n"/>
      <c r="RIG14" s="21" t="n"/>
      <c r="RIH14" s="21" t="n"/>
      <c r="RII14" s="21" t="n"/>
      <c r="RIJ14" s="21" t="n"/>
      <c r="RIK14" s="21" t="n"/>
      <c r="RIL14" s="21" t="n"/>
      <c r="RIM14" s="21" t="n"/>
      <c r="RIN14" s="21" t="n"/>
      <c r="RIO14" s="21" t="n"/>
      <c r="RIP14" s="21" t="n"/>
      <c r="RIQ14" s="21" t="n"/>
      <c r="RIR14" s="21" t="n"/>
      <c r="RIS14" s="21" t="n"/>
      <c r="RIT14" s="21" t="n"/>
      <c r="RIU14" s="21" t="n"/>
      <c r="RIV14" s="21" t="n"/>
      <c r="RIW14" s="21" t="n"/>
      <c r="RIX14" s="21" t="n"/>
      <c r="RIY14" s="21" t="n"/>
      <c r="RIZ14" s="21" t="n"/>
      <c r="RJA14" s="21" t="n"/>
      <c r="RJB14" s="21" t="n"/>
      <c r="RJC14" s="21" t="n"/>
      <c r="RJD14" s="21" t="n"/>
      <c r="RJE14" s="21" t="n"/>
      <c r="RJF14" s="21" t="n"/>
      <c r="RJG14" s="21" t="n"/>
      <c r="RJH14" s="21" t="n"/>
      <c r="RJI14" s="21" t="n"/>
      <c r="RJJ14" s="21" t="n"/>
      <c r="RJK14" s="21" t="n"/>
      <c r="RJL14" s="21" t="n"/>
      <c r="RJM14" s="21" t="n"/>
      <c r="RJN14" s="21" t="n"/>
      <c r="RJO14" s="21" t="n"/>
      <c r="RJP14" s="21" t="n"/>
      <c r="RJQ14" s="21" t="n"/>
      <c r="RJR14" s="21" t="n"/>
      <c r="RJS14" s="21" t="n"/>
      <c r="RJT14" s="21" t="n"/>
      <c r="RJU14" s="21" t="n"/>
      <c r="RJV14" s="21" t="n"/>
      <c r="RJW14" s="21" t="n"/>
      <c r="RJX14" s="21" t="n"/>
      <c r="RJY14" s="21" t="n"/>
      <c r="RJZ14" s="21" t="n"/>
      <c r="RKA14" s="21" t="n"/>
      <c r="RKB14" s="21" t="n"/>
      <c r="RKC14" s="21" t="n"/>
      <c r="RKD14" s="21" t="n"/>
      <c r="RKE14" s="21" t="n"/>
      <c r="RKF14" s="21" t="n"/>
      <c r="RKG14" s="21" t="n"/>
      <c r="RKH14" s="21" t="n"/>
      <c r="RKI14" s="21" t="n"/>
      <c r="RKJ14" s="21" t="n"/>
      <c r="RKK14" s="21" t="n"/>
      <c r="RKL14" s="21" t="n"/>
      <c r="RKM14" s="21" t="n"/>
      <c r="RKN14" s="21" t="n"/>
      <c r="RKO14" s="21" t="n"/>
      <c r="RKP14" s="21" t="n"/>
      <c r="RKQ14" s="21" t="n"/>
      <c r="RKR14" s="21" t="n"/>
      <c r="RKS14" s="21" t="n"/>
      <c r="RKT14" s="21" t="n"/>
      <c r="RKU14" s="21" t="n"/>
      <c r="RKV14" s="21" t="n"/>
      <c r="RKW14" s="21" t="n"/>
      <c r="RKX14" s="21" t="n"/>
      <c r="RKY14" s="21" t="n"/>
      <c r="RKZ14" s="21" t="n"/>
      <c r="RLA14" s="21" t="n"/>
      <c r="RLB14" s="21" t="n"/>
      <c r="RLC14" s="21" t="n"/>
      <c r="RLD14" s="21" t="n"/>
      <c r="RLE14" s="21" t="n"/>
      <c r="RLF14" s="21" t="n"/>
      <c r="RLG14" s="21" t="n"/>
      <c r="RLH14" s="21" t="n"/>
      <c r="RLI14" s="21" t="n"/>
      <c r="RLJ14" s="21" t="n"/>
      <c r="RLK14" s="21" t="n"/>
      <c r="RLL14" s="21" t="n"/>
      <c r="RLM14" s="21" t="n"/>
      <c r="RLN14" s="21" t="n"/>
      <c r="RLO14" s="21" t="n"/>
      <c r="RLP14" s="21" t="n"/>
      <c r="RLQ14" s="21" t="n"/>
      <c r="RLR14" s="21" t="n"/>
      <c r="RLS14" s="21" t="n"/>
      <c r="RLT14" s="21" t="n"/>
      <c r="RLU14" s="21" t="n"/>
      <c r="RLV14" s="21" t="n"/>
      <c r="RLW14" s="21" t="n"/>
      <c r="RLX14" s="21" t="n"/>
      <c r="RLY14" s="21" t="n"/>
      <c r="RLZ14" s="21" t="n"/>
      <c r="RMA14" s="21" t="n"/>
      <c r="RMB14" s="21" t="n"/>
      <c r="RMC14" s="21" t="n"/>
      <c r="RMD14" s="21" t="n"/>
      <c r="RME14" s="21" t="n"/>
      <c r="RMF14" s="21" t="n"/>
      <c r="RMG14" s="21" t="n"/>
      <c r="RMH14" s="21" t="n"/>
      <c r="RMI14" s="21" t="n"/>
      <c r="RMJ14" s="21" t="n"/>
      <c r="RMK14" s="21" t="n"/>
      <c r="RML14" s="21" t="n"/>
      <c r="RMM14" s="21" t="n"/>
      <c r="RMN14" s="21" t="n"/>
      <c r="RMO14" s="21" t="n"/>
      <c r="RMP14" s="21" t="n"/>
      <c r="RMQ14" s="21" t="n"/>
      <c r="RMR14" s="21" t="n"/>
      <c r="RMS14" s="21" t="n"/>
      <c r="RMT14" s="21" t="n"/>
      <c r="RMU14" s="21" t="n"/>
      <c r="RMV14" s="21" t="n"/>
      <c r="RMW14" s="21" t="n"/>
      <c r="RMX14" s="21" t="n"/>
      <c r="RMY14" s="21" t="n"/>
      <c r="RMZ14" s="21" t="n"/>
      <c r="RNA14" s="21" t="n"/>
      <c r="RNB14" s="21" t="n"/>
      <c r="RNC14" s="21" t="n"/>
      <c r="RND14" s="21" t="n"/>
      <c r="RNE14" s="21" t="n"/>
      <c r="RNF14" s="21" t="n"/>
      <c r="RNG14" s="21" t="n"/>
      <c r="RNH14" s="21" t="n"/>
      <c r="RNI14" s="21" t="n"/>
      <c r="RNJ14" s="21" t="n"/>
      <c r="RNK14" s="21" t="n"/>
      <c r="RNL14" s="21" t="n"/>
      <c r="RNM14" s="21" t="n"/>
      <c r="RNN14" s="21" t="n"/>
      <c r="RNO14" s="21" t="n"/>
      <c r="RNP14" s="21" t="n"/>
      <c r="RNQ14" s="21" t="n"/>
      <c r="RNR14" s="21" t="n"/>
      <c r="RNS14" s="21" t="n"/>
      <c r="RNT14" s="21" t="n"/>
      <c r="RNU14" s="21" t="n"/>
      <c r="RNV14" s="21" t="n"/>
      <c r="RNW14" s="21" t="n"/>
      <c r="RNX14" s="21" t="n"/>
      <c r="RNY14" s="21" t="n"/>
      <c r="RNZ14" s="21" t="n"/>
      <c r="ROA14" s="21" t="n"/>
      <c r="ROB14" s="21" t="n"/>
      <c r="ROC14" s="21" t="n"/>
      <c r="ROD14" s="21" t="n"/>
      <c r="ROE14" s="21" t="n"/>
      <c r="ROF14" s="21" t="n"/>
      <c r="ROG14" s="21" t="n"/>
      <c r="ROH14" s="21" t="n"/>
      <c r="ROI14" s="21" t="n"/>
      <c r="ROJ14" s="21" t="n"/>
      <c r="ROK14" s="21" t="n"/>
      <c r="ROL14" s="21" t="n"/>
      <c r="ROM14" s="21" t="n"/>
      <c r="RON14" s="21" t="n"/>
      <c r="ROO14" s="21" t="n"/>
      <c r="ROP14" s="21" t="n"/>
      <c r="ROQ14" s="21" t="n"/>
      <c r="ROR14" s="21" t="n"/>
      <c r="ROS14" s="21" t="n"/>
      <c r="ROT14" s="21" t="n"/>
      <c r="ROU14" s="21" t="n"/>
      <c r="ROV14" s="21" t="n"/>
      <c r="ROW14" s="21" t="n"/>
      <c r="ROX14" s="21" t="n"/>
      <c r="ROY14" s="21" t="n"/>
      <c r="ROZ14" s="21" t="n"/>
      <c r="RPA14" s="21" t="n"/>
      <c r="RPB14" s="21" t="n"/>
      <c r="RPC14" s="21" t="n"/>
      <c r="RPD14" s="21" t="n"/>
      <c r="RPE14" s="21" t="n"/>
      <c r="RPF14" s="21" t="n"/>
      <c r="RPG14" s="21" t="n"/>
      <c r="RPH14" s="21" t="n"/>
      <c r="RPI14" s="21" t="n"/>
      <c r="RPJ14" s="21" t="n"/>
      <c r="RPK14" s="21" t="n"/>
      <c r="RPL14" s="21" t="n"/>
      <c r="RPM14" s="21" t="n"/>
      <c r="RPN14" s="21" t="n"/>
      <c r="RPO14" s="21" t="n"/>
      <c r="RPP14" s="21" t="n"/>
      <c r="RPQ14" s="21" t="n"/>
      <c r="RPR14" s="21" t="n"/>
      <c r="RPS14" s="21" t="n"/>
      <c r="RPT14" s="21" t="n"/>
      <c r="RPU14" s="21" t="n"/>
      <c r="RPV14" s="21" t="n"/>
      <c r="RPW14" s="21" t="n"/>
      <c r="RPX14" s="21" t="n"/>
      <c r="RPY14" s="21" t="n"/>
      <c r="RPZ14" s="21" t="n"/>
      <c r="RQA14" s="21" t="n"/>
      <c r="RQB14" s="21" t="n"/>
      <c r="RQC14" s="21" t="n"/>
      <c r="RQD14" s="21" t="n"/>
      <c r="RQE14" s="21" t="n"/>
      <c r="RQF14" s="21" t="n"/>
      <c r="RQG14" s="21" t="n"/>
      <c r="RQH14" s="21" t="n"/>
      <c r="RQI14" s="21" t="n"/>
      <c r="RQJ14" s="21" t="n"/>
      <c r="RQK14" s="21" t="n"/>
      <c r="RQL14" s="21" t="n"/>
      <c r="RQM14" s="21" t="n"/>
      <c r="RQN14" s="21" t="n"/>
      <c r="RQO14" s="21" t="n"/>
      <c r="RQP14" s="21" t="n"/>
      <c r="RQQ14" s="21" t="n"/>
      <c r="RQR14" s="21" t="n"/>
      <c r="RQS14" s="21" t="n"/>
      <c r="RQT14" s="21" t="n"/>
      <c r="RQU14" s="21" t="n"/>
      <c r="RQV14" s="21" t="n"/>
      <c r="RQW14" s="21" t="n"/>
      <c r="RQX14" s="21" t="n"/>
      <c r="RQY14" s="21" t="n"/>
      <c r="RQZ14" s="21" t="n"/>
      <c r="RRA14" s="21" t="n"/>
      <c r="RRB14" s="21" t="n"/>
      <c r="RRC14" s="21" t="n"/>
      <c r="RRD14" s="21" t="n"/>
      <c r="RRE14" s="21" t="n"/>
      <c r="RRF14" s="21" t="n"/>
      <c r="RRG14" s="21" t="n"/>
      <c r="RRH14" s="21" t="n"/>
      <c r="RRI14" s="21" t="n"/>
      <c r="RRJ14" s="21" t="n"/>
      <c r="RRK14" s="21" t="n"/>
      <c r="RRL14" s="21" t="n"/>
      <c r="RRM14" s="21" t="n"/>
      <c r="RRN14" s="21" t="n"/>
      <c r="RRO14" s="21" t="n"/>
      <c r="RRP14" s="21" t="n"/>
      <c r="RRQ14" s="21" t="n"/>
      <c r="RRR14" s="21" t="n"/>
      <c r="RRS14" s="21" t="n"/>
      <c r="RRT14" s="21" t="n"/>
      <c r="RRU14" s="21" t="n"/>
      <c r="RRV14" s="21" t="n"/>
      <c r="RRW14" s="21" t="n"/>
      <c r="RRX14" s="21" t="n"/>
      <c r="RRY14" s="21" t="n"/>
      <c r="RRZ14" s="21" t="n"/>
      <c r="RSA14" s="21" t="n"/>
      <c r="RSB14" s="21" t="n"/>
      <c r="RSC14" s="21" t="n"/>
      <c r="RSD14" s="21" t="n"/>
      <c r="RSE14" s="21" t="n"/>
      <c r="RSF14" s="21" t="n"/>
      <c r="RSG14" s="21" t="n"/>
      <c r="RSH14" s="21" t="n"/>
      <c r="RSI14" s="21" t="n"/>
      <c r="RSJ14" s="21" t="n"/>
      <c r="RSK14" s="21" t="n"/>
      <c r="RSL14" s="21" t="n"/>
      <c r="RSM14" s="21" t="n"/>
      <c r="RSN14" s="21" t="n"/>
      <c r="RSO14" s="21" t="n"/>
      <c r="RSP14" s="21" t="n"/>
      <c r="RSQ14" s="21" t="n"/>
      <c r="RSR14" s="21" t="n"/>
      <c r="RSS14" s="21" t="n"/>
      <c r="RST14" s="21" t="n"/>
      <c r="RSU14" s="21" t="n"/>
      <c r="RSV14" s="21" t="n"/>
      <c r="RSW14" s="21" t="n"/>
      <c r="RSX14" s="21" t="n"/>
      <c r="RSY14" s="21" t="n"/>
      <c r="RSZ14" s="21" t="n"/>
      <c r="RTA14" s="21" t="n"/>
      <c r="RTB14" s="21" t="n"/>
      <c r="RTC14" s="21" t="n"/>
      <c r="RTD14" s="21" t="n"/>
      <c r="RTE14" s="21" t="n"/>
      <c r="RTF14" s="21" t="n"/>
      <c r="RTG14" s="21" t="n"/>
      <c r="RTH14" s="21" t="n"/>
      <c r="RTI14" s="21" t="n"/>
      <c r="RTJ14" s="21" t="n"/>
      <c r="RTK14" s="21" t="n"/>
      <c r="RTL14" s="21" t="n"/>
      <c r="RTM14" s="21" t="n"/>
      <c r="RTN14" s="21" t="n"/>
      <c r="RTO14" s="21" t="n"/>
      <c r="RTP14" s="21" t="n"/>
      <c r="RTQ14" s="21" t="n"/>
      <c r="RTR14" s="21" t="n"/>
      <c r="RTS14" s="21" t="n"/>
      <c r="RTT14" s="21" t="n"/>
      <c r="RTU14" s="21" t="n"/>
      <c r="RTV14" s="21" t="n"/>
      <c r="RTW14" s="21" t="n"/>
      <c r="RTX14" s="21" t="n"/>
      <c r="RTY14" s="21" t="n"/>
      <c r="RTZ14" s="21" t="n"/>
      <c r="RUA14" s="21" t="n"/>
      <c r="RUB14" s="21" t="n"/>
      <c r="RUC14" s="21" t="n"/>
      <c r="RUD14" s="21" t="n"/>
      <c r="RUE14" s="21" t="n"/>
      <c r="RUF14" s="21" t="n"/>
      <c r="RUG14" s="21" t="n"/>
      <c r="RUH14" s="21" t="n"/>
      <c r="RUI14" s="21" t="n"/>
      <c r="RUJ14" s="21" t="n"/>
      <c r="RUK14" s="21" t="n"/>
      <c r="RUL14" s="21" t="n"/>
      <c r="RUM14" s="21" t="n"/>
      <c r="RUN14" s="21" t="n"/>
      <c r="RUO14" s="21" t="n"/>
      <c r="RUP14" s="21" t="n"/>
      <c r="RUQ14" s="21" t="n"/>
      <c r="RUR14" s="21" t="n"/>
      <c r="RUS14" s="21" t="n"/>
      <c r="RUT14" s="21" t="n"/>
      <c r="RUU14" s="21" t="n"/>
      <c r="RUV14" s="21" t="n"/>
      <c r="RUW14" s="21" t="n"/>
      <c r="RUX14" s="21" t="n"/>
      <c r="RUY14" s="21" t="n"/>
      <c r="RUZ14" s="21" t="n"/>
      <c r="RVA14" s="21" t="n"/>
      <c r="RVB14" s="21" t="n"/>
      <c r="RVC14" s="21" t="n"/>
      <c r="RVD14" s="21" t="n"/>
      <c r="RVE14" s="21" t="n"/>
      <c r="RVF14" s="21" t="n"/>
      <c r="RVG14" s="21" t="n"/>
      <c r="RVH14" s="21" t="n"/>
      <c r="RVI14" s="21" t="n"/>
      <c r="RVJ14" s="21" t="n"/>
      <c r="RVK14" s="21" t="n"/>
      <c r="RVL14" s="21" t="n"/>
      <c r="RVM14" s="21" t="n"/>
      <c r="RVN14" s="21" t="n"/>
      <c r="RVO14" s="21" t="n"/>
      <c r="RVP14" s="21" t="n"/>
      <c r="RVQ14" s="21" t="n"/>
      <c r="RVR14" s="21" t="n"/>
      <c r="RVS14" s="21" t="n"/>
      <c r="RVT14" s="21" t="n"/>
      <c r="RVU14" s="21" t="n"/>
      <c r="RVV14" s="21" t="n"/>
      <c r="RVW14" s="21" t="n"/>
      <c r="RVX14" s="21" t="n"/>
      <c r="RVY14" s="21" t="n"/>
      <c r="RVZ14" s="21" t="n"/>
      <c r="RWA14" s="21" t="n"/>
      <c r="RWB14" s="21" t="n"/>
      <c r="RWC14" s="21" t="n"/>
      <c r="RWD14" s="21" t="n"/>
      <c r="RWE14" s="21" t="n"/>
      <c r="RWF14" s="21" t="n"/>
      <c r="RWG14" s="21" t="n"/>
      <c r="RWH14" s="21" t="n"/>
      <c r="RWI14" s="21" t="n"/>
      <c r="RWJ14" s="21" t="n"/>
      <c r="RWK14" s="21" t="n"/>
      <c r="RWL14" s="21" t="n"/>
      <c r="RWM14" s="21" t="n"/>
      <c r="RWN14" s="21" t="n"/>
      <c r="RWO14" s="21" t="n"/>
      <c r="RWP14" s="21" t="n"/>
      <c r="RWQ14" s="21" t="n"/>
      <c r="RWR14" s="21" t="n"/>
      <c r="RWS14" s="21" t="n"/>
      <c r="RWT14" s="21" t="n"/>
      <c r="RWU14" s="21" t="n"/>
      <c r="RWV14" s="21" t="n"/>
      <c r="RWW14" s="21" t="n"/>
      <c r="RWX14" s="21" t="n"/>
      <c r="RWY14" s="21" t="n"/>
      <c r="RWZ14" s="21" t="n"/>
      <c r="RXA14" s="21" t="n"/>
      <c r="RXB14" s="21" t="n"/>
      <c r="RXC14" s="21" t="n"/>
      <c r="RXD14" s="21" t="n"/>
      <c r="RXE14" s="21" t="n"/>
      <c r="RXF14" s="21" t="n"/>
      <c r="RXG14" s="21" t="n"/>
      <c r="RXH14" s="21" t="n"/>
      <c r="RXI14" s="21" t="n"/>
      <c r="RXJ14" s="21" t="n"/>
      <c r="RXK14" s="21" t="n"/>
      <c r="RXL14" s="21" t="n"/>
      <c r="RXM14" s="21" t="n"/>
      <c r="RXN14" s="21" t="n"/>
      <c r="RXO14" s="21" t="n"/>
      <c r="RXP14" s="21" t="n"/>
      <c r="RXQ14" s="21" t="n"/>
      <c r="RXR14" s="21" t="n"/>
      <c r="RXS14" s="21" t="n"/>
      <c r="RXT14" s="21" t="n"/>
      <c r="RXU14" s="21" t="n"/>
      <c r="RXV14" s="21" t="n"/>
      <c r="RXW14" s="21" t="n"/>
      <c r="RXX14" s="21" t="n"/>
      <c r="RXY14" s="21" t="n"/>
      <c r="RXZ14" s="21" t="n"/>
      <c r="RYA14" s="21" t="n"/>
      <c r="RYB14" s="21" t="n"/>
      <c r="RYC14" s="21" t="n"/>
      <c r="RYD14" s="21" t="n"/>
      <c r="RYE14" s="21" t="n"/>
      <c r="RYF14" s="21" t="n"/>
      <c r="RYG14" s="21" t="n"/>
      <c r="RYH14" s="21" t="n"/>
      <c r="RYI14" s="21" t="n"/>
      <c r="RYJ14" s="21" t="n"/>
      <c r="RYK14" s="21" t="n"/>
      <c r="RYL14" s="21" t="n"/>
      <c r="RYM14" s="21" t="n"/>
      <c r="RYN14" s="21" t="n"/>
      <c r="RYO14" s="21" t="n"/>
      <c r="RYP14" s="21" t="n"/>
      <c r="RYQ14" s="21" t="n"/>
      <c r="RYR14" s="21" t="n"/>
      <c r="RYS14" s="21" t="n"/>
      <c r="RYT14" s="21" t="n"/>
      <c r="RYU14" s="21" t="n"/>
      <c r="RYV14" s="21" t="n"/>
      <c r="RYW14" s="21" t="n"/>
      <c r="RYX14" s="21" t="n"/>
      <c r="RYY14" s="21" t="n"/>
      <c r="RYZ14" s="21" t="n"/>
      <c r="RZA14" s="21" t="n"/>
      <c r="RZB14" s="21" t="n"/>
      <c r="RZC14" s="21" t="n"/>
      <c r="RZD14" s="21" t="n"/>
      <c r="RZE14" s="21" t="n"/>
      <c r="RZF14" s="21" t="n"/>
      <c r="RZG14" s="21" t="n"/>
      <c r="RZH14" s="21" t="n"/>
      <c r="RZI14" s="21" t="n"/>
      <c r="RZJ14" s="21" t="n"/>
      <c r="RZK14" s="21" t="n"/>
      <c r="RZL14" s="21" t="n"/>
      <c r="RZM14" s="21" t="n"/>
      <c r="RZN14" s="21" t="n"/>
      <c r="RZO14" s="21" t="n"/>
      <c r="RZP14" s="21" t="n"/>
      <c r="RZQ14" s="21" t="n"/>
      <c r="RZR14" s="21" t="n"/>
      <c r="RZS14" s="21" t="n"/>
      <c r="RZT14" s="21" t="n"/>
      <c r="RZU14" s="21" t="n"/>
      <c r="RZV14" s="21" t="n"/>
      <c r="RZW14" s="21" t="n"/>
      <c r="RZX14" s="21" t="n"/>
      <c r="RZY14" s="21" t="n"/>
      <c r="RZZ14" s="21" t="n"/>
      <c r="SAA14" s="21" t="n"/>
      <c r="SAB14" s="21" t="n"/>
      <c r="SAC14" s="21" t="n"/>
      <c r="SAD14" s="21" t="n"/>
      <c r="SAE14" s="21" t="n"/>
      <c r="SAF14" s="21" t="n"/>
      <c r="SAG14" s="21" t="n"/>
      <c r="SAH14" s="21" t="n"/>
      <c r="SAI14" s="21" t="n"/>
      <c r="SAJ14" s="21" t="n"/>
      <c r="SAK14" s="21" t="n"/>
      <c r="SAL14" s="21" t="n"/>
      <c r="SAM14" s="21" t="n"/>
      <c r="SAN14" s="21" t="n"/>
      <c r="SAO14" s="21" t="n"/>
      <c r="SAP14" s="21" t="n"/>
      <c r="SAQ14" s="21" t="n"/>
      <c r="SAR14" s="21" t="n"/>
      <c r="SAS14" s="21" t="n"/>
      <c r="SAT14" s="21" t="n"/>
      <c r="SAU14" s="21" t="n"/>
      <c r="SAV14" s="21" t="n"/>
      <c r="SAW14" s="21" t="n"/>
      <c r="SAX14" s="21" t="n"/>
      <c r="SAY14" s="21" t="n"/>
      <c r="SAZ14" s="21" t="n"/>
      <c r="SBA14" s="21" t="n"/>
      <c r="SBB14" s="21" t="n"/>
      <c r="SBC14" s="21" t="n"/>
      <c r="SBD14" s="21" t="n"/>
      <c r="SBE14" s="21" t="n"/>
      <c r="SBF14" s="21" t="n"/>
      <c r="SBG14" s="21" t="n"/>
      <c r="SBH14" s="21" t="n"/>
      <c r="SBI14" s="21" t="n"/>
      <c r="SBJ14" s="21" t="n"/>
      <c r="SBK14" s="21" t="n"/>
      <c r="SBL14" s="21" t="n"/>
      <c r="SBM14" s="21" t="n"/>
      <c r="SBN14" s="21" t="n"/>
      <c r="SBO14" s="21" t="n"/>
      <c r="SBP14" s="21" t="n"/>
      <c r="SBQ14" s="21" t="n"/>
      <c r="SBR14" s="21" t="n"/>
      <c r="SBS14" s="21" t="n"/>
      <c r="SBT14" s="21" t="n"/>
      <c r="SBU14" s="21" t="n"/>
      <c r="SBV14" s="21" t="n"/>
      <c r="SBW14" s="21" t="n"/>
      <c r="SBX14" s="21" t="n"/>
      <c r="SBY14" s="21" t="n"/>
      <c r="SBZ14" s="21" t="n"/>
      <c r="SCA14" s="21" t="n"/>
      <c r="SCB14" s="21" t="n"/>
      <c r="SCC14" s="21" t="n"/>
      <c r="SCD14" s="21" t="n"/>
      <c r="SCE14" s="21" t="n"/>
      <c r="SCF14" s="21" t="n"/>
      <c r="SCG14" s="21" t="n"/>
      <c r="SCH14" s="21" t="n"/>
      <c r="SCI14" s="21" t="n"/>
      <c r="SCJ14" s="21" t="n"/>
      <c r="SCK14" s="21" t="n"/>
      <c r="SCL14" s="21" t="n"/>
      <c r="SCM14" s="21" t="n"/>
      <c r="SCN14" s="21" t="n"/>
      <c r="SCO14" s="21" t="n"/>
      <c r="SCP14" s="21" t="n"/>
      <c r="SCQ14" s="21" t="n"/>
      <c r="SCR14" s="21" t="n"/>
      <c r="SCS14" s="21" t="n"/>
      <c r="SCT14" s="21" t="n"/>
      <c r="SCU14" s="21" t="n"/>
      <c r="SCV14" s="21" t="n"/>
      <c r="SCW14" s="21" t="n"/>
      <c r="SCX14" s="21" t="n"/>
      <c r="SCY14" s="21" t="n"/>
      <c r="SCZ14" s="21" t="n"/>
      <c r="SDA14" s="21" t="n"/>
      <c r="SDB14" s="21" t="n"/>
      <c r="SDC14" s="21" t="n"/>
      <c r="SDD14" s="21" t="n"/>
      <c r="SDE14" s="21" t="n"/>
      <c r="SDF14" s="21" t="n"/>
      <c r="SDG14" s="21" t="n"/>
      <c r="SDH14" s="21" t="n"/>
      <c r="SDI14" s="21" t="n"/>
      <c r="SDJ14" s="21" t="n"/>
      <c r="SDK14" s="21" t="n"/>
      <c r="SDL14" s="21" t="n"/>
      <c r="SDM14" s="21" t="n"/>
      <c r="SDN14" s="21" t="n"/>
      <c r="SDO14" s="21" t="n"/>
      <c r="SDP14" s="21" t="n"/>
      <c r="SDQ14" s="21" t="n"/>
      <c r="SDR14" s="21" t="n"/>
      <c r="SDS14" s="21" t="n"/>
      <c r="SDT14" s="21" t="n"/>
      <c r="SDU14" s="21" t="n"/>
      <c r="SDV14" s="21" t="n"/>
      <c r="SDW14" s="21" t="n"/>
      <c r="SDX14" s="21" t="n"/>
      <c r="SDY14" s="21" t="n"/>
      <c r="SDZ14" s="21" t="n"/>
      <c r="SEA14" s="21" t="n"/>
      <c r="SEB14" s="21" t="n"/>
      <c r="SEC14" s="21" t="n"/>
      <c r="SED14" s="21" t="n"/>
      <c r="SEE14" s="21" t="n"/>
      <c r="SEF14" s="21" t="n"/>
      <c r="SEG14" s="21" t="n"/>
      <c r="SEH14" s="21" t="n"/>
      <c r="SEI14" s="21" t="n"/>
      <c r="SEJ14" s="21" t="n"/>
      <c r="SEK14" s="21" t="n"/>
      <c r="SEL14" s="21" t="n"/>
      <c r="SEM14" s="21" t="n"/>
      <c r="SEN14" s="21" t="n"/>
      <c r="SEO14" s="21" t="n"/>
      <c r="SEP14" s="21" t="n"/>
      <c r="SEQ14" s="21" t="n"/>
      <c r="SER14" s="21" t="n"/>
      <c r="SES14" s="21" t="n"/>
      <c r="SET14" s="21" t="n"/>
      <c r="SEU14" s="21" t="n"/>
      <c r="SEV14" s="21" t="n"/>
      <c r="SEW14" s="21" t="n"/>
      <c r="SEX14" s="21" t="n"/>
      <c r="SEY14" s="21" t="n"/>
      <c r="SEZ14" s="21" t="n"/>
      <c r="SFA14" s="21" t="n"/>
      <c r="SFB14" s="21" t="n"/>
      <c r="SFC14" s="21" t="n"/>
      <c r="SFD14" s="21" t="n"/>
      <c r="SFE14" s="21" t="n"/>
      <c r="SFF14" s="21" t="n"/>
      <c r="SFG14" s="21" t="n"/>
      <c r="SFH14" s="21" t="n"/>
      <c r="SFI14" s="21" t="n"/>
      <c r="SFJ14" s="21" t="n"/>
      <c r="SFK14" s="21" t="n"/>
      <c r="SFL14" s="21" t="n"/>
      <c r="SFM14" s="21" t="n"/>
      <c r="SFN14" s="21" t="n"/>
      <c r="SFO14" s="21" t="n"/>
      <c r="SFP14" s="21" t="n"/>
      <c r="SFQ14" s="21" t="n"/>
      <c r="SFR14" s="21" t="n"/>
      <c r="SFS14" s="21" t="n"/>
      <c r="SFT14" s="21" t="n"/>
      <c r="SFU14" s="21" t="n"/>
      <c r="SFV14" s="21" t="n"/>
      <c r="SFW14" s="21" t="n"/>
      <c r="SFX14" s="21" t="n"/>
      <c r="SFY14" s="21" t="n"/>
      <c r="SFZ14" s="21" t="n"/>
      <c r="SGA14" s="21" t="n"/>
      <c r="SGB14" s="21" t="n"/>
      <c r="SGC14" s="21" t="n"/>
      <c r="SGD14" s="21" t="n"/>
      <c r="SGE14" s="21" t="n"/>
      <c r="SGF14" s="21" t="n"/>
      <c r="SGG14" s="21" t="n"/>
      <c r="SGH14" s="21" t="n"/>
      <c r="SGI14" s="21" t="n"/>
      <c r="SGJ14" s="21" t="n"/>
      <c r="SGK14" s="21" t="n"/>
      <c r="SGL14" s="21" t="n"/>
      <c r="SGM14" s="21" t="n"/>
      <c r="SGN14" s="21" t="n"/>
      <c r="SGO14" s="21" t="n"/>
      <c r="SGP14" s="21" t="n"/>
      <c r="SGQ14" s="21" t="n"/>
      <c r="SGR14" s="21" t="n"/>
      <c r="SGS14" s="21" t="n"/>
      <c r="SGT14" s="21" t="n"/>
      <c r="SGU14" s="21" t="n"/>
      <c r="SGV14" s="21" t="n"/>
      <c r="SGW14" s="21" t="n"/>
      <c r="SGX14" s="21" t="n"/>
      <c r="SGY14" s="21" t="n"/>
      <c r="SGZ14" s="21" t="n"/>
      <c r="SHA14" s="21" t="n"/>
      <c r="SHB14" s="21" t="n"/>
      <c r="SHC14" s="21" t="n"/>
      <c r="SHD14" s="21" t="n"/>
      <c r="SHE14" s="21" t="n"/>
      <c r="SHF14" s="21" t="n"/>
      <c r="SHG14" s="21" t="n"/>
      <c r="SHH14" s="21" t="n"/>
      <c r="SHI14" s="21" t="n"/>
      <c r="SHJ14" s="21" t="n"/>
      <c r="SHK14" s="21" t="n"/>
      <c r="SHL14" s="21" t="n"/>
      <c r="SHM14" s="21" t="n"/>
      <c r="SHN14" s="21" t="n"/>
      <c r="SHO14" s="21" t="n"/>
      <c r="SHP14" s="21" t="n"/>
      <c r="SHQ14" s="21" t="n"/>
      <c r="SHR14" s="21" t="n"/>
      <c r="SHS14" s="21" t="n"/>
      <c r="SHT14" s="21" t="n"/>
      <c r="SHU14" s="21" t="n"/>
      <c r="SHV14" s="21" t="n"/>
      <c r="SHW14" s="21" t="n"/>
      <c r="SHX14" s="21" t="n"/>
      <c r="SHY14" s="21" t="n"/>
      <c r="SHZ14" s="21" t="n"/>
      <c r="SIA14" s="21" t="n"/>
      <c r="SIB14" s="21" t="n"/>
      <c r="SIC14" s="21" t="n"/>
      <c r="SID14" s="21" t="n"/>
      <c r="SIE14" s="21" t="n"/>
      <c r="SIF14" s="21" t="n"/>
      <c r="SIG14" s="21" t="n"/>
      <c r="SIH14" s="21" t="n"/>
      <c r="SII14" s="21" t="n"/>
      <c r="SIJ14" s="21" t="n"/>
      <c r="SIK14" s="21" t="n"/>
      <c r="SIL14" s="21" t="n"/>
      <c r="SIM14" s="21" t="n"/>
      <c r="SIN14" s="21" t="n"/>
      <c r="SIO14" s="21" t="n"/>
      <c r="SIP14" s="21" t="n"/>
      <c r="SIQ14" s="21" t="n"/>
      <c r="SIR14" s="21" t="n"/>
      <c r="SIS14" s="21" t="n"/>
      <c r="SIT14" s="21" t="n"/>
      <c r="SIU14" s="21" t="n"/>
      <c r="SIV14" s="21" t="n"/>
      <c r="SIW14" s="21" t="n"/>
      <c r="SIX14" s="21" t="n"/>
      <c r="SIY14" s="21" t="n"/>
      <c r="SIZ14" s="21" t="n"/>
      <c r="SJA14" s="21" t="n"/>
      <c r="SJB14" s="21" t="n"/>
      <c r="SJC14" s="21" t="n"/>
      <c r="SJD14" s="21" t="n"/>
      <c r="SJE14" s="21" t="n"/>
      <c r="SJF14" s="21" t="n"/>
      <c r="SJG14" s="21" t="n"/>
      <c r="SJH14" s="21" t="n"/>
      <c r="SJI14" s="21" t="n"/>
      <c r="SJJ14" s="21" t="n"/>
      <c r="SJK14" s="21" t="n"/>
      <c r="SJL14" s="21" t="n"/>
      <c r="SJM14" s="21" t="n"/>
      <c r="SJN14" s="21" t="n"/>
      <c r="SJO14" s="21" t="n"/>
      <c r="SJP14" s="21" t="n"/>
      <c r="SJQ14" s="21" t="n"/>
      <c r="SJR14" s="21" t="n"/>
      <c r="SJS14" s="21" t="n"/>
      <c r="SJT14" s="21" t="n"/>
      <c r="SJU14" s="21" t="n"/>
      <c r="SJV14" s="21" t="n"/>
      <c r="SJW14" s="21" t="n"/>
      <c r="SJX14" s="21" t="n"/>
      <c r="SJY14" s="21" t="n"/>
      <c r="SJZ14" s="21" t="n"/>
      <c r="SKA14" s="21" t="n"/>
      <c r="SKB14" s="21" t="n"/>
      <c r="SKC14" s="21" t="n"/>
      <c r="SKD14" s="21" t="n"/>
      <c r="SKE14" s="21" t="n"/>
      <c r="SKF14" s="21" t="n"/>
      <c r="SKG14" s="21" t="n"/>
      <c r="SKH14" s="21" t="n"/>
      <c r="SKI14" s="21" t="n"/>
      <c r="SKJ14" s="21" t="n"/>
      <c r="SKK14" s="21" t="n"/>
      <c r="SKL14" s="21" t="n"/>
      <c r="SKM14" s="21" t="n"/>
      <c r="SKN14" s="21" t="n"/>
      <c r="SKO14" s="21" t="n"/>
      <c r="SKP14" s="21" t="n"/>
      <c r="SKQ14" s="21" t="n"/>
      <c r="SKR14" s="21" t="n"/>
      <c r="SKS14" s="21" t="n"/>
      <c r="SKT14" s="21" t="n"/>
      <c r="SKU14" s="21" t="n"/>
      <c r="SKV14" s="21" t="n"/>
      <c r="SKW14" s="21" t="n"/>
      <c r="SKX14" s="21" t="n"/>
      <c r="SKY14" s="21" t="n"/>
      <c r="SKZ14" s="21" t="n"/>
      <c r="SLA14" s="21" t="n"/>
      <c r="SLB14" s="21" t="n"/>
      <c r="SLC14" s="21" t="n"/>
      <c r="SLD14" s="21" t="n"/>
      <c r="SLE14" s="21" t="n"/>
      <c r="SLF14" s="21" t="n"/>
      <c r="SLG14" s="21" t="n"/>
      <c r="SLH14" s="21" t="n"/>
      <c r="SLI14" s="21" t="n"/>
      <c r="SLJ14" s="21" t="n"/>
      <c r="SLK14" s="21" t="n"/>
      <c r="SLL14" s="21" t="n"/>
      <c r="SLM14" s="21" t="n"/>
      <c r="SLN14" s="21" t="n"/>
      <c r="SLO14" s="21" t="n"/>
      <c r="SLP14" s="21" t="n"/>
      <c r="SLQ14" s="21" t="n"/>
      <c r="SLR14" s="21" t="n"/>
      <c r="SLS14" s="21" t="n"/>
      <c r="SLT14" s="21" t="n"/>
      <c r="SLU14" s="21" t="n"/>
      <c r="SLV14" s="21" t="n"/>
      <c r="SLW14" s="21" t="n"/>
      <c r="SLX14" s="21" t="n"/>
      <c r="SLY14" s="21" t="n"/>
      <c r="SLZ14" s="21" t="n"/>
      <c r="SMA14" s="21" t="n"/>
      <c r="SMB14" s="21" t="n"/>
      <c r="SMC14" s="21" t="n"/>
      <c r="SMD14" s="21" t="n"/>
      <c r="SME14" s="21" t="n"/>
      <c r="SMF14" s="21" t="n"/>
      <c r="SMG14" s="21" t="n"/>
      <c r="SMH14" s="21" t="n"/>
      <c r="SMI14" s="21" t="n"/>
      <c r="SMJ14" s="21" t="n"/>
      <c r="SMK14" s="21" t="n"/>
      <c r="SML14" s="21" t="n"/>
      <c r="SMM14" s="21" t="n"/>
      <c r="SMN14" s="21" t="n"/>
      <c r="SMO14" s="21" t="n"/>
      <c r="SMP14" s="21" t="n"/>
      <c r="SMQ14" s="21" t="n"/>
      <c r="SMR14" s="21" t="n"/>
      <c r="SMS14" s="21" t="n"/>
      <c r="SMT14" s="21" t="n"/>
      <c r="SMU14" s="21" t="n"/>
      <c r="SMV14" s="21" t="n"/>
      <c r="SMW14" s="21" t="n"/>
      <c r="SMX14" s="21" t="n"/>
      <c r="SMY14" s="21" t="n"/>
      <c r="SMZ14" s="21" t="n"/>
      <c r="SNA14" s="21" t="n"/>
      <c r="SNB14" s="21" t="n"/>
      <c r="SNC14" s="21" t="n"/>
      <c r="SND14" s="21" t="n"/>
      <c r="SNE14" s="21" t="n"/>
      <c r="SNF14" s="21" t="n"/>
      <c r="SNG14" s="21" t="n"/>
      <c r="SNH14" s="21" t="n"/>
      <c r="SNI14" s="21" t="n"/>
      <c r="SNJ14" s="21" t="n"/>
      <c r="SNK14" s="21" t="n"/>
      <c r="SNL14" s="21" t="n"/>
      <c r="SNM14" s="21" t="n"/>
      <c r="SNN14" s="21" t="n"/>
      <c r="SNO14" s="21" t="n"/>
      <c r="SNP14" s="21" t="n"/>
      <c r="SNQ14" s="21" t="n"/>
      <c r="SNR14" s="21" t="n"/>
      <c r="SNS14" s="21" t="n"/>
      <c r="SNT14" s="21" t="n"/>
      <c r="SNU14" s="21" t="n"/>
      <c r="SNV14" s="21" t="n"/>
      <c r="SNW14" s="21" t="n"/>
      <c r="SNX14" s="21" t="n"/>
      <c r="SNY14" s="21" t="n"/>
      <c r="SNZ14" s="21" t="n"/>
      <c r="SOA14" s="21" t="n"/>
      <c r="SOB14" s="21" t="n"/>
      <c r="SOC14" s="21" t="n"/>
      <c r="SOD14" s="21" t="n"/>
      <c r="SOE14" s="21" t="n"/>
      <c r="SOF14" s="21" t="n"/>
      <c r="SOG14" s="21" t="n"/>
      <c r="SOH14" s="21" t="n"/>
      <c r="SOI14" s="21" t="n"/>
      <c r="SOJ14" s="21" t="n"/>
      <c r="SOK14" s="21" t="n"/>
      <c r="SOL14" s="21" t="n"/>
      <c r="SOM14" s="21" t="n"/>
      <c r="SON14" s="21" t="n"/>
      <c r="SOO14" s="21" t="n"/>
      <c r="SOP14" s="21" t="n"/>
      <c r="SOQ14" s="21" t="n"/>
      <c r="SOR14" s="21" t="n"/>
      <c r="SOS14" s="21" t="n"/>
      <c r="SOT14" s="21" t="n"/>
      <c r="SOU14" s="21" t="n"/>
      <c r="SOV14" s="21" t="n"/>
      <c r="SOW14" s="21" t="n"/>
      <c r="SOX14" s="21" t="n"/>
      <c r="SOY14" s="21" t="n"/>
      <c r="SOZ14" s="21" t="n"/>
      <c r="SPA14" s="21" t="n"/>
      <c r="SPB14" s="21" t="n"/>
      <c r="SPC14" s="21" t="n"/>
      <c r="SPD14" s="21" t="n"/>
      <c r="SPE14" s="21" t="n"/>
      <c r="SPF14" s="21" t="n"/>
      <c r="SPG14" s="21" t="n"/>
      <c r="SPH14" s="21" t="n"/>
      <c r="SPI14" s="21" t="n"/>
      <c r="SPJ14" s="21" t="n"/>
      <c r="SPK14" s="21" t="n"/>
      <c r="SPL14" s="21" t="n"/>
      <c r="SPM14" s="21" t="n"/>
      <c r="SPN14" s="21" t="n"/>
      <c r="SPO14" s="21" t="n"/>
      <c r="SPP14" s="21" t="n"/>
      <c r="SPQ14" s="21" t="n"/>
      <c r="SPR14" s="21" t="n"/>
      <c r="SPS14" s="21" t="n"/>
      <c r="SPT14" s="21" t="n"/>
      <c r="SPU14" s="21" t="n"/>
      <c r="SPV14" s="21" t="n"/>
      <c r="SPW14" s="21" t="n"/>
      <c r="SPX14" s="21" t="n"/>
      <c r="SPY14" s="21" t="n"/>
      <c r="SPZ14" s="21" t="n"/>
      <c r="SQA14" s="21" t="n"/>
      <c r="SQB14" s="21" t="n"/>
      <c r="SQC14" s="21" t="n"/>
      <c r="SQD14" s="21" t="n"/>
      <c r="SQE14" s="21" t="n"/>
      <c r="SQF14" s="21" t="n"/>
      <c r="SQG14" s="21" t="n"/>
      <c r="SQH14" s="21" t="n"/>
      <c r="SQI14" s="21" t="n"/>
      <c r="SQJ14" s="21" t="n"/>
      <c r="SQK14" s="21" t="n"/>
      <c r="SQL14" s="21" t="n"/>
      <c r="SQM14" s="21" t="n"/>
      <c r="SQN14" s="21" t="n"/>
      <c r="SQO14" s="21" t="n"/>
      <c r="SQP14" s="21" t="n"/>
      <c r="SQQ14" s="21" t="n"/>
      <c r="SQR14" s="21" t="n"/>
      <c r="SQS14" s="21" t="n"/>
      <c r="SQT14" s="21" t="n"/>
      <c r="SQU14" s="21" t="n"/>
      <c r="SQV14" s="21" t="n"/>
      <c r="SQW14" s="21" t="n"/>
      <c r="SQX14" s="21" t="n"/>
      <c r="SQY14" s="21" t="n"/>
      <c r="SQZ14" s="21" t="n"/>
      <c r="SRA14" s="21" t="n"/>
      <c r="SRB14" s="21" t="n"/>
      <c r="SRC14" s="21" t="n"/>
      <c r="SRD14" s="21" t="n"/>
      <c r="SRE14" s="21" t="n"/>
      <c r="SRF14" s="21" t="n"/>
      <c r="SRG14" s="21" t="n"/>
      <c r="SRH14" s="21" t="n"/>
      <c r="SRI14" s="21" t="n"/>
      <c r="SRJ14" s="21" t="n"/>
      <c r="SRK14" s="21" t="n"/>
      <c r="SRL14" s="21" t="n"/>
      <c r="SRM14" s="21" t="n"/>
      <c r="SRN14" s="21" t="n"/>
      <c r="SRO14" s="21" t="n"/>
      <c r="SRP14" s="21" t="n"/>
      <c r="SRQ14" s="21" t="n"/>
      <c r="SRR14" s="21" t="n"/>
      <c r="SRS14" s="21" t="n"/>
      <c r="SRT14" s="21" t="n"/>
      <c r="SRU14" s="21" t="n"/>
      <c r="SRV14" s="21" t="n"/>
      <c r="SRW14" s="21" t="n"/>
      <c r="SRX14" s="21" t="n"/>
      <c r="SRY14" s="21" t="n"/>
      <c r="SRZ14" s="21" t="n"/>
      <c r="SSA14" s="21" t="n"/>
      <c r="SSB14" s="21" t="n"/>
      <c r="SSC14" s="21" t="n"/>
      <c r="SSD14" s="21" t="n"/>
      <c r="SSE14" s="21" t="n"/>
      <c r="SSF14" s="21" t="n"/>
      <c r="SSG14" s="21" t="n"/>
      <c r="SSH14" s="21" t="n"/>
      <c r="SSI14" s="21" t="n"/>
      <c r="SSJ14" s="21" t="n"/>
      <c r="SSK14" s="21" t="n"/>
      <c r="SSL14" s="21" t="n"/>
      <c r="SSM14" s="21" t="n"/>
      <c r="SSN14" s="21" t="n"/>
      <c r="SSO14" s="21" t="n"/>
      <c r="SSP14" s="21" t="n"/>
      <c r="SSQ14" s="21" t="n"/>
      <c r="SSR14" s="21" t="n"/>
      <c r="SSS14" s="21" t="n"/>
      <c r="SST14" s="21" t="n"/>
      <c r="SSU14" s="21" t="n"/>
      <c r="SSV14" s="21" t="n"/>
      <c r="SSW14" s="21" t="n"/>
      <c r="SSX14" s="21" t="n"/>
      <c r="SSY14" s="21" t="n"/>
      <c r="SSZ14" s="21" t="n"/>
      <c r="STA14" s="21" t="n"/>
      <c r="STB14" s="21" t="n"/>
      <c r="STC14" s="21" t="n"/>
      <c r="STD14" s="21" t="n"/>
      <c r="STE14" s="21" t="n"/>
      <c r="STF14" s="21" t="n"/>
      <c r="STG14" s="21" t="n"/>
      <c r="STH14" s="21" t="n"/>
      <c r="STI14" s="21" t="n"/>
      <c r="STJ14" s="21" t="n"/>
      <c r="STK14" s="21" t="n"/>
      <c r="STL14" s="21" t="n"/>
      <c r="STM14" s="21" t="n"/>
      <c r="STN14" s="21" t="n"/>
      <c r="STO14" s="21" t="n"/>
      <c r="STP14" s="21" t="n"/>
      <c r="STQ14" s="21" t="n"/>
      <c r="STR14" s="21" t="n"/>
      <c r="STS14" s="21" t="n"/>
      <c r="STT14" s="21" t="n"/>
      <c r="STU14" s="21" t="n"/>
      <c r="STV14" s="21" t="n"/>
      <c r="STW14" s="21" t="n"/>
      <c r="STX14" s="21" t="n"/>
      <c r="STY14" s="21" t="n"/>
      <c r="STZ14" s="21" t="n"/>
      <c r="SUA14" s="21" t="n"/>
      <c r="SUB14" s="21" t="n"/>
      <c r="SUC14" s="21" t="n"/>
      <c r="SUD14" s="21" t="n"/>
      <c r="SUE14" s="21" t="n"/>
      <c r="SUF14" s="21" t="n"/>
      <c r="SUG14" s="21" t="n"/>
      <c r="SUH14" s="21" t="n"/>
      <c r="SUI14" s="21" t="n"/>
      <c r="SUJ14" s="21" t="n"/>
      <c r="SUK14" s="21" t="n"/>
      <c r="SUL14" s="21" t="n"/>
      <c r="SUM14" s="21" t="n"/>
      <c r="SUN14" s="21" t="n"/>
      <c r="SUO14" s="21" t="n"/>
      <c r="SUP14" s="21" t="n"/>
      <c r="SUQ14" s="21" t="n"/>
      <c r="SUR14" s="21" t="n"/>
      <c r="SUS14" s="21" t="n"/>
      <c r="SUT14" s="21" t="n"/>
      <c r="SUU14" s="21" t="n"/>
      <c r="SUV14" s="21" t="n"/>
      <c r="SUW14" s="21" t="n"/>
      <c r="SUX14" s="21" t="n"/>
      <c r="SUY14" s="21" t="n"/>
      <c r="SUZ14" s="21" t="n"/>
      <c r="SVA14" s="21" t="n"/>
      <c r="SVB14" s="21" t="n"/>
      <c r="SVC14" s="21" t="n"/>
      <c r="SVD14" s="21" t="n"/>
      <c r="SVE14" s="21" t="n"/>
      <c r="SVF14" s="21" t="n"/>
      <c r="SVG14" s="21" t="n"/>
      <c r="SVH14" s="21" t="n"/>
      <c r="SVI14" s="21" t="n"/>
      <c r="SVJ14" s="21" t="n"/>
      <c r="SVK14" s="21" t="n"/>
      <c r="SVL14" s="21" t="n"/>
      <c r="SVM14" s="21" t="n"/>
      <c r="SVN14" s="21" t="n"/>
      <c r="SVO14" s="21" t="n"/>
      <c r="SVP14" s="21" t="n"/>
      <c r="SVQ14" s="21" t="n"/>
      <c r="SVR14" s="21" t="n"/>
      <c r="SVS14" s="21" t="n"/>
      <c r="SVT14" s="21" t="n"/>
      <c r="SVU14" s="21" t="n"/>
      <c r="SVV14" s="21" t="n"/>
      <c r="SVW14" s="21" t="n"/>
      <c r="SVX14" s="21" t="n"/>
      <c r="SVY14" s="21" t="n"/>
      <c r="SVZ14" s="21" t="n"/>
      <c r="SWA14" s="21" t="n"/>
      <c r="SWB14" s="21" t="n"/>
      <c r="SWC14" s="21" t="n"/>
      <c r="SWD14" s="21" t="n"/>
      <c r="SWE14" s="21" t="n"/>
      <c r="SWF14" s="21" t="n"/>
      <c r="SWG14" s="21" t="n"/>
      <c r="SWH14" s="21" t="n"/>
      <c r="SWI14" s="21" t="n"/>
      <c r="SWJ14" s="21" t="n"/>
      <c r="SWK14" s="21" t="n"/>
      <c r="SWL14" s="21" t="n"/>
      <c r="SWM14" s="21" t="n"/>
      <c r="SWN14" s="21" t="n"/>
      <c r="SWO14" s="21" t="n"/>
      <c r="SWP14" s="21" t="n"/>
      <c r="SWQ14" s="21" t="n"/>
      <c r="SWR14" s="21" t="n"/>
      <c r="SWS14" s="21" t="n"/>
      <c r="SWT14" s="21" t="n"/>
      <c r="SWU14" s="21" t="n"/>
      <c r="SWV14" s="21" t="n"/>
      <c r="SWW14" s="21" t="n"/>
      <c r="SWX14" s="21" t="n"/>
      <c r="SWY14" s="21" t="n"/>
      <c r="SWZ14" s="21" t="n"/>
      <c r="SXA14" s="21" t="n"/>
      <c r="SXB14" s="21" t="n"/>
      <c r="SXC14" s="21" t="n"/>
      <c r="SXD14" s="21" t="n"/>
      <c r="SXE14" s="21" t="n"/>
      <c r="SXF14" s="21" t="n"/>
      <c r="SXG14" s="21" t="n"/>
      <c r="SXH14" s="21" t="n"/>
      <c r="SXI14" s="21" t="n"/>
      <c r="SXJ14" s="21" t="n"/>
      <c r="SXK14" s="21" t="n"/>
      <c r="SXL14" s="21" t="n"/>
      <c r="SXM14" s="21" t="n"/>
      <c r="SXN14" s="21" t="n"/>
      <c r="SXO14" s="21" t="n"/>
      <c r="SXP14" s="21" t="n"/>
      <c r="SXQ14" s="21" t="n"/>
      <c r="SXR14" s="21" t="n"/>
      <c r="SXS14" s="21" t="n"/>
      <c r="SXT14" s="21" t="n"/>
      <c r="SXU14" s="21" t="n"/>
      <c r="SXV14" s="21" t="n"/>
      <c r="SXW14" s="21" t="n"/>
      <c r="SXX14" s="21" t="n"/>
      <c r="SXY14" s="21" t="n"/>
      <c r="SXZ14" s="21" t="n"/>
      <c r="SYA14" s="21" t="n"/>
      <c r="SYB14" s="21" t="n"/>
      <c r="SYC14" s="21" t="n"/>
      <c r="SYD14" s="21" t="n"/>
      <c r="SYE14" s="21" t="n"/>
      <c r="SYF14" s="21" t="n"/>
      <c r="SYG14" s="21" t="n"/>
      <c r="SYH14" s="21" t="n"/>
      <c r="SYI14" s="21" t="n"/>
      <c r="SYJ14" s="21" t="n"/>
      <c r="SYK14" s="21" t="n"/>
      <c r="SYL14" s="21" t="n"/>
      <c r="SYM14" s="21" t="n"/>
      <c r="SYN14" s="21" t="n"/>
      <c r="SYO14" s="21" t="n"/>
      <c r="SYP14" s="21" t="n"/>
      <c r="SYQ14" s="21" t="n"/>
      <c r="SYR14" s="21" t="n"/>
      <c r="SYS14" s="21" t="n"/>
      <c r="SYT14" s="21" t="n"/>
      <c r="SYU14" s="21" t="n"/>
      <c r="SYV14" s="21" t="n"/>
      <c r="SYW14" s="21" t="n"/>
      <c r="SYX14" s="21" t="n"/>
      <c r="SYY14" s="21" t="n"/>
      <c r="SYZ14" s="21" t="n"/>
      <c r="SZA14" s="21" t="n"/>
      <c r="SZB14" s="21" t="n"/>
      <c r="SZC14" s="21" t="n"/>
      <c r="SZD14" s="21" t="n"/>
      <c r="SZE14" s="21" t="n"/>
      <c r="SZF14" s="21" t="n"/>
      <c r="SZG14" s="21" t="n"/>
      <c r="SZH14" s="21" t="n"/>
      <c r="SZI14" s="21" t="n"/>
      <c r="SZJ14" s="21" t="n"/>
      <c r="SZK14" s="21" t="n"/>
      <c r="SZL14" s="21" t="n"/>
      <c r="SZM14" s="21" t="n"/>
      <c r="SZN14" s="21" t="n"/>
      <c r="SZO14" s="21" t="n"/>
      <c r="SZP14" s="21" t="n"/>
      <c r="SZQ14" s="21" t="n"/>
      <c r="SZR14" s="21" t="n"/>
      <c r="SZS14" s="21" t="n"/>
      <c r="SZT14" s="21" t="n"/>
      <c r="SZU14" s="21" t="n"/>
      <c r="SZV14" s="21" t="n"/>
      <c r="SZW14" s="21" t="n"/>
      <c r="SZX14" s="21" t="n"/>
      <c r="SZY14" s="21" t="n"/>
      <c r="SZZ14" s="21" t="n"/>
      <c r="TAA14" s="21" t="n"/>
      <c r="TAB14" s="21" t="n"/>
      <c r="TAC14" s="21" t="n"/>
      <c r="TAD14" s="21" t="n"/>
      <c r="TAE14" s="21" t="n"/>
      <c r="TAF14" s="21" t="n"/>
      <c r="TAG14" s="21" t="n"/>
      <c r="TAH14" s="21" t="n"/>
      <c r="TAI14" s="21" t="n"/>
      <c r="TAJ14" s="21" t="n"/>
      <c r="TAK14" s="21" t="n"/>
      <c r="TAL14" s="21" t="n"/>
      <c r="TAM14" s="21" t="n"/>
      <c r="TAN14" s="21" t="n"/>
      <c r="TAO14" s="21" t="n"/>
      <c r="TAP14" s="21" t="n"/>
      <c r="TAQ14" s="21" t="n"/>
      <c r="TAR14" s="21" t="n"/>
      <c r="TAS14" s="21" t="n"/>
      <c r="TAT14" s="21" t="n"/>
      <c r="TAU14" s="21" t="n"/>
      <c r="TAV14" s="21" t="n"/>
      <c r="TAW14" s="21" t="n"/>
      <c r="TAX14" s="21" t="n"/>
      <c r="TAY14" s="21" t="n"/>
      <c r="TAZ14" s="21" t="n"/>
      <c r="TBA14" s="21" t="n"/>
      <c r="TBB14" s="21" t="n"/>
      <c r="TBC14" s="21" t="n"/>
      <c r="TBD14" s="21" t="n"/>
      <c r="TBE14" s="21" t="n"/>
      <c r="TBF14" s="21" t="n"/>
      <c r="TBG14" s="21" t="n"/>
      <c r="TBH14" s="21" t="n"/>
      <c r="TBI14" s="21" t="n"/>
      <c r="TBJ14" s="21" t="n"/>
      <c r="TBK14" s="21" t="n"/>
      <c r="TBL14" s="21" t="n"/>
      <c r="TBM14" s="21" t="n"/>
      <c r="TBN14" s="21" t="n"/>
      <c r="TBO14" s="21" t="n"/>
      <c r="TBP14" s="21" t="n"/>
      <c r="TBQ14" s="21" t="n"/>
      <c r="TBR14" s="21" t="n"/>
      <c r="TBS14" s="21" t="n"/>
      <c r="TBT14" s="21" t="n"/>
      <c r="TBU14" s="21" t="n"/>
      <c r="TBV14" s="21" t="n"/>
      <c r="TBW14" s="21" t="n"/>
      <c r="TBX14" s="21" t="n"/>
      <c r="TBY14" s="21" t="n"/>
      <c r="TBZ14" s="21" t="n"/>
      <c r="TCA14" s="21" t="n"/>
      <c r="TCB14" s="21" t="n"/>
      <c r="TCC14" s="21" t="n"/>
      <c r="TCD14" s="21" t="n"/>
      <c r="TCE14" s="21" t="n"/>
      <c r="TCF14" s="21" t="n"/>
      <c r="TCG14" s="21" t="n"/>
      <c r="TCH14" s="21" t="n"/>
      <c r="TCI14" s="21" t="n"/>
      <c r="TCJ14" s="21" t="n"/>
      <c r="TCK14" s="21" t="n"/>
      <c r="TCL14" s="21" t="n"/>
      <c r="TCM14" s="21" t="n"/>
      <c r="TCN14" s="21" t="n"/>
      <c r="TCO14" s="21" t="n"/>
      <c r="TCP14" s="21" t="n"/>
      <c r="TCQ14" s="21" t="n"/>
      <c r="TCR14" s="21" t="n"/>
      <c r="TCS14" s="21" t="n"/>
      <c r="TCT14" s="21" t="n"/>
      <c r="TCU14" s="21" t="n"/>
      <c r="TCV14" s="21" t="n"/>
      <c r="TCW14" s="21" t="n"/>
      <c r="TCX14" s="21" t="n"/>
      <c r="TCY14" s="21" t="n"/>
      <c r="TCZ14" s="21" t="n"/>
      <c r="TDA14" s="21" t="n"/>
      <c r="TDB14" s="21" t="n"/>
      <c r="TDC14" s="21" t="n"/>
      <c r="TDD14" s="21" t="n"/>
      <c r="TDE14" s="21" t="n"/>
      <c r="TDF14" s="21" t="n"/>
      <c r="TDG14" s="21" t="n"/>
      <c r="TDH14" s="21" t="n"/>
      <c r="TDI14" s="21" t="n"/>
      <c r="TDJ14" s="21" t="n"/>
      <c r="TDK14" s="21" t="n"/>
      <c r="TDL14" s="21" t="n"/>
      <c r="TDM14" s="21" t="n"/>
      <c r="TDN14" s="21" t="n"/>
      <c r="TDO14" s="21" t="n"/>
      <c r="TDP14" s="21" t="n"/>
      <c r="TDQ14" s="21" t="n"/>
      <c r="TDR14" s="21" t="n"/>
      <c r="TDS14" s="21" t="n"/>
      <c r="TDT14" s="21" t="n"/>
      <c r="TDU14" s="21" t="n"/>
      <c r="TDV14" s="21" t="n"/>
      <c r="TDW14" s="21" t="n"/>
      <c r="TDX14" s="21" t="n"/>
      <c r="TDY14" s="21" t="n"/>
      <c r="TDZ14" s="21" t="n"/>
      <c r="TEA14" s="21" t="n"/>
      <c r="TEB14" s="21" t="n"/>
      <c r="TEC14" s="21" t="n"/>
      <c r="TED14" s="21" t="n"/>
      <c r="TEE14" s="21" t="n"/>
      <c r="TEF14" s="21" t="n"/>
      <c r="TEG14" s="21" t="n"/>
      <c r="TEH14" s="21" t="n"/>
      <c r="TEI14" s="21" t="n"/>
      <c r="TEJ14" s="21" t="n"/>
      <c r="TEK14" s="21" t="n"/>
      <c r="TEL14" s="21" t="n"/>
      <c r="TEM14" s="21" t="n"/>
      <c r="TEN14" s="21" t="n"/>
      <c r="TEO14" s="21" t="n"/>
      <c r="TEP14" s="21" t="n"/>
      <c r="TEQ14" s="21" t="n"/>
      <c r="TER14" s="21" t="n"/>
      <c r="TES14" s="21" t="n"/>
      <c r="TET14" s="21" t="n"/>
      <c r="TEU14" s="21" t="n"/>
      <c r="TEV14" s="21" t="n"/>
      <c r="TEW14" s="21" t="n"/>
      <c r="TEX14" s="21" t="n"/>
      <c r="TEY14" s="21" t="n"/>
      <c r="TEZ14" s="21" t="n"/>
      <c r="TFA14" s="21" t="n"/>
      <c r="TFB14" s="21" t="n"/>
      <c r="TFC14" s="21" t="n"/>
      <c r="TFD14" s="21" t="n"/>
      <c r="TFE14" s="21" t="n"/>
      <c r="TFF14" s="21" t="n"/>
      <c r="TFG14" s="21" t="n"/>
      <c r="TFH14" s="21" t="n"/>
      <c r="TFI14" s="21" t="n"/>
      <c r="TFJ14" s="21" t="n"/>
      <c r="TFK14" s="21" t="n"/>
      <c r="TFL14" s="21" t="n"/>
      <c r="TFM14" s="21" t="n"/>
      <c r="TFN14" s="21" t="n"/>
      <c r="TFO14" s="21" t="n"/>
      <c r="TFP14" s="21" t="n"/>
      <c r="TFQ14" s="21" t="n"/>
      <c r="TFR14" s="21" t="n"/>
      <c r="TFS14" s="21" t="n"/>
      <c r="TFT14" s="21" t="n"/>
      <c r="TFU14" s="21" t="n"/>
      <c r="TFV14" s="21" t="n"/>
      <c r="TFW14" s="21" t="n"/>
      <c r="TFX14" s="21" t="n"/>
      <c r="TFY14" s="21" t="n"/>
      <c r="TFZ14" s="21" t="n"/>
      <c r="TGA14" s="21" t="n"/>
      <c r="TGB14" s="21" t="n"/>
      <c r="TGC14" s="21" t="n"/>
      <c r="TGD14" s="21" t="n"/>
      <c r="TGE14" s="21" t="n"/>
      <c r="TGF14" s="21" t="n"/>
      <c r="TGG14" s="21" t="n"/>
      <c r="TGH14" s="21" t="n"/>
      <c r="TGI14" s="21" t="n"/>
      <c r="TGJ14" s="21" t="n"/>
      <c r="TGK14" s="21" t="n"/>
      <c r="TGL14" s="21" t="n"/>
      <c r="TGM14" s="21" t="n"/>
      <c r="TGN14" s="21" t="n"/>
      <c r="TGO14" s="21" t="n"/>
      <c r="TGP14" s="21" t="n"/>
      <c r="TGQ14" s="21" t="n"/>
      <c r="TGR14" s="21" t="n"/>
      <c r="TGS14" s="21" t="n"/>
      <c r="TGT14" s="21" t="n"/>
      <c r="TGU14" s="21" t="n"/>
      <c r="TGV14" s="21" t="n"/>
      <c r="TGW14" s="21" t="n"/>
      <c r="TGX14" s="21" t="n"/>
      <c r="TGY14" s="21" t="n"/>
      <c r="TGZ14" s="21" t="n"/>
      <c r="THA14" s="21" t="n"/>
      <c r="THB14" s="21" t="n"/>
      <c r="THC14" s="21" t="n"/>
      <c r="THD14" s="21" t="n"/>
      <c r="THE14" s="21" t="n"/>
      <c r="THF14" s="21" t="n"/>
      <c r="THG14" s="21" t="n"/>
      <c r="THH14" s="21" t="n"/>
      <c r="THI14" s="21" t="n"/>
      <c r="THJ14" s="21" t="n"/>
      <c r="THK14" s="21" t="n"/>
      <c r="THL14" s="21" t="n"/>
      <c r="THM14" s="21" t="n"/>
      <c r="THN14" s="21" t="n"/>
      <c r="THO14" s="21" t="n"/>
      <c r="THP14" s="21" t="n"/>
      <c r="THQ14" s="21" t="n"/>
      <c r="THR14" s="21" t="n"/>
      <c r="THS14" s="21" t="n"/>
      <c r="THT14" s="21" t="n"/>
      <c r="THU14" s="21" t="n"/>
      <c r="THV14" s="21" t="n"/>
      <c r="THW14" s="21" t="n"/>
      <c r="THX14" s="21" t="n"/>
      <c r="THY14" s="21" t="n"/>
      <c r="THZ14" s="21" t="n"/>
      <c r="TIA14" s="21" t="n"/>
      <c r="TIB14" s="21" t="n"/>
      <c r="TIC14" s="21" t="n"/>
      <c r="TID14" s="21" t="n"/>
      <c r="TIE14" s="21" t="n"/>
      <c r="TIF14" s="21" t="n"/>
      <c r="TIG14" s="21" t="n"/>
      <c r="TIH14" s="21" t="n"/>
      <c r="TII14" s="21" t="n"/>
      <c r="TIJ14" s="21" t="n"/>
      <c r="TIK14" s="21" t="n"/>
      <c r="TIL14" s="21" t="n"/>
      <c r="TIM14" s="21" t="n"/>
      <c r="TIN14" s="21" t="n"/>
      <c r="TIO14" s="21" t="n"/>
      <c r="TIP14" s="21" t="n"/>
      <c r="TIQ14" s="21" t="n"/>
      <c r="TIR14" s="21" t="n"/>
      <c r="TIS14" s="21" t="n"/>
      <c r="TIT14" s="21" t="n"/>
      <c r="TIU14" s="21" t="n"/>
      <c r="TIV14" s="21" t="n"/>
      <c r="TIW14" s="21" t="n"/>
      <c r="TIX14" s="21" t="n"/>
      <c r="TIY14" s="21" t="n"/>
      <c r="TIZ14" s="21" t="n"/>
      <c r="TJA14" s="21" t="n"/>
      <c r="TJB14" s="21" t="n"/>
      <c r="TJC14" s="21" t="n"/>
      <c r="TJD14" s="21" t="n"/>
      <c r="TJE14" s="21" t="n"/>
      <c r="TJF14" s="21" t="n"/>
      <c r="TJG14" s="21" t="n"/>
      <c r="TJH14" s="21" t="n"/>
      <c r="TJI14" s="21" t="n"/>
      <c r="TJJ14" s="21" t="n"/>
      <c r="TJK14" s="21" t="n"/>
      <c r="TJL14" s="21" t="n"/>
      <c r="TJM14" s="21" t="n"/>
      <c r="TJN14" s="21" t="n"/>
      <c r="TJO14" s="21" t="n"/>
      <c r="TJP14" s="21" t="n"/>
      <c r="TJQ14" s="21" t="n"/>
      <c r="TJR14" s="21" t="n"/>
      <c r="TJS14" s="21" t="n"/>
      <c r="TJT14" s="21" t="n"/>
      <c r="TJU14" s="21" t="n"/>
      <c r="TJV14" s="21" t="n"/>
      <c r="TJW14" s="21" t="n"/>
      <c r="TJX14" s="21" t="n"/>
      <c r="TJY14" s="21" t="n"/>
      <c r="TJZ14" s="21" t="n"/>
      <c r="TKA14" s="21" t="n"/>
      <c r="TKB14" s="21" t="n"/>
      <c r="TKC14" s="21" t="n"/>
      <c r="TKD14" s="21" t="n"/>
      <c r="TKE14" s="21" t="n"/>
      <c r="TKF14" s="21" t="n"/>
      <c r="TKG14" s="21" t="n"/>
      <c r="TKH14" s="21" t="n"/>
      <c r="TKI14" s="21" t="n"/>
      <c r="TKJ14" s="21" t="n"/>
      <c r="TKK14" s="21" t="n"/>
      <c r="TKL14" s="21" t="n"/>
      <c r="TKM14" s="21" t="n"/>
      <c r="TKN14" s="21" t="n"/>
      <c r="TKO14" s="21" t="n"/>
      <c r="TKP14" s="21" t="n"/>
      <c r="TKQ14" s="21" t="n"/>
      <c r="TKR14" s="21" t="n"/>
      <c r="TKS14" s="21" t="n"/>
      <c r="TKT14" s="21" t="n"/>
      <c r="TKU14" s="21" t="n"/>
      <c r="TKV14" s="21" t="n"/>
      <c r="TKW14" s="21" t="n"/>
      <c r="TKX14" s="21" t="n"/>
      <c r="TKY14" s="21" t="n"/>
      <c r="TKZ14" s="21" t="n"/>
      <c r="TLA14" s="21" t="n"/>
      <c r="TLB14" s="21" t="n"/>
      <c r="TLC14" s="21" t="n"/>
      <c r="TLD14" s="21" t="n"/>
      <c r="TLE14" s="21" t="n"/>
      <c r="TLF14" s="21" t="n"/>
      <c r="TLG14" s="21" t="n"/>
      <c r="TLH14" s="21" t="n"/>
      <c r="TLI14" s="21" t="n"/>
      <c r="TLJ14" s="21" t="n"/>
      <c r="TLK14" s="21" t="n"/>
      <c r="TLL14" s="21" t="n"/>
      <c r="TLM14" s="21" t="n"/>
      <c r="TLN14" s="21" t="n"/>
      <c r="TLO14" s="21" t="n"/>
      <c r="TLP14" s="21" t="n"/>
      <c r="TLQ14" s="21" t="n"/>
      <c r="TLR14" s="21" t="n"/>
      <c r="TLS14" s="21" t="n"/>
      <c r="TLT14" s="21" t="n"/>
      <c r="TLU14" s="21" t="n"/>
      <c r="TLV14" s="21" t="n"/>
      <c r="TLW14" s="21" t="n"/>
      <c r="TLX14" s="21" t="n"/>
      <c r="TLY14" s="21" t="n"/>
      <c r="TLZ14" s="21" t="n"/>
      <c r="TMA14" s="21" t="n"/>
      <c r="TMB14" s="21" t="n"/>
      <c r="TMC14" s="21" t="n"/>
      <c r="TMD14" s="21" t="n"/>
      <c r="TME14" s="21" t="n"/>
      <c r="TMF14" s="21" t="n"/>
      <c r="TMG14" s="21" t="n"/>
      <c r="TMH14" s="21" t="n"/>
      <c r="TMI14" s="21" t="n"/>
      <c r="TMJ14" s="21" t="n"/>
      <c r="TMK14" s="21" t="n"/>
      <c r="TML14" s="21" t="n"/>
      <c r="TMM14" s="21" t="n"/>
      <c r="TMN14" s="21" t="n"/>
      <c r="TMO14" s="21" t="n"/>
      <c r="TMP14" s="21" t="n"/>
      <c r="TMQ14" s="21" t="n"/>
      <c r="TMR14" s="21" t="n"/>
      <c r="TMS14" s="21" t="n"/>
      <c r="TMT14" s="21" t="n"/>
      <c r="TMU14" s="21" t="n"/>
      <c r="TMV14" s="21" t="n"/>
      <c r="TMW14" s="21" t="n"/>
      <c r="TMX14" s="21" t="n"/>
      <c r="TMY14" s="21" t="n"/>
      <c r="TMZ14" s="21" t="n"/>
      <c r="TNA14" s="21" t="n"/>
      <c r="TNB14" s="21" t="n"/>
      <c r="TNC14" s="21" t="n"/>
      <c r="TND14" s="21" t="n"/>
      <c r="TNE14" s="21" t="n"/>
      <c r="TNF14" s="21" t="n"/>
      <c r="TNG14" s="21" t="n"/>
      <c r="TNH14" s="21" t="n"/>
      <c r="TNI14" s="21" t="n"/>
      <c r="TNJ14" s="21" t="n"/>
      <c r="TNK14" s="21" t="n"/>
      <c r="TNL14" s="21" t="n"/>
      <c r="TNM14" s="21" t="n"/>
      <c r="TNN14" s="21" t="n"/>
      <c r="TNO14" s="21" t="n"/>
      <c r="TNP14" s="21" t="n"/>
      <c r="TNQ14" s="21" t="n"/>
      <c r="TNR14" s="21" t="n"/>
      <c r="TNS14" s="21" t="n"/>
      <c r="TNT14" s="21" t="n"/>
      <c r="TNU14" s="21" t="n"/>
      <c r="TNV14" s="21" t="n"/>
      <c r="TNW14" s="21" t="n"/>
      <c r="TNX14" s="21" t="n"/>
      <c r="TNY14" s="21" t="n"/>
      <c r="TNZ14" s="21" t="n"/>
      <c r="TOA14" s="21" t="n"/>
      <c r="TOB14" s="21" t="n"/>
      <c r="TOC14" s="21" t="n"/>
      <c r="TOD14" s="21" t="n"/>
      <c r="TOE14" s="21" t="n"/>
      <c r="TOF14" s="21" t="n"/>
      <c r="TOG14" s="21" t="n"/>
      <c r="TOH14" s="21" t="n"/>
      <c r="TOI14" s="21" t="n"/>
      <c r="TOJ14" s="21" t="n"/>
      <c r="TOK14" s="21" t="n"/>
      <c r="TOL14" s="21" t="n"/>
      <c r="TOM14" s="21" t="n"/>
      <c r="TON14" s="21" t="n"/>
      <c r="TOO14" s="21" t="n"/>
      <c r="TOP14" s="21" t="n"/>
      <c r="TOQ14" s="21" t="n"/>
      <c r="TOR14" s="21" t="n"/>
      <c r="TOS14" s="21" t="n"/>
      <c r="TOT14" s="21" t="n"/>
      <c r="TOU14" s="21" t="n"/>
      <c r="TOV14" s="21" t="n"/>
      <c r="TOW14" s="21" t="n"/>
      <c r="TOX14" s="21" t="n"/>
      <c r="TOY14" s="21" t="n"/>
      <c r="TOZ14" s="21" t="n"/>
      <c r="TPA14" s="21" t="n"/>
      <c r="TPB14" s="21" t="n"/>
      <c r="TPC14" s="21" t="n"/>
      <c r="TPD14" s="21" t="n"/>
      <c r="TPE14" s="21" t="n"/>
      <c r="TPF14" s="21" t="n"/>
      <c r="TPG14" s="21" t="n"/>
      <c r="TPH14" s="21" t="n"/>
      <c r="TPI14" s="21" t="n"/>
      <c r="TPJ14" s="21" t="n"/>
      <c r="TPK14" s="21" t="n"/>
      <c r="TPL14" s="21" t="n"/>
      <c r="TPM14" s="21" t="n"/>
      <c r="TPN14" s="21" t="n"/>
      <c r="TPO14" s="21" t="n"/>
      <c r="TPP14" s="21" t="n"/>
      <c r="TPQ14" s="21" t="n"/>
      <c r="TPR14" s="21" t="n"/>
      <c r="TPS14" s="21" t="n"/>
      <c r="TPT14" s="21" t="n"/>
      <c r="TPU14" s="21" t="n"/>
      <c r="TPV14" s="21" t="n"/>
      <c r="TPW14" s="21" t="n"/>
      <c r="TPX14" s="21" t="n"/>
      <c r="TPY14" s="21" t="n"/>
      <c r="TPZ14" s="21" t="n"/>
      <c r="TQA14" s="21" t="n"/>
      <c r="TQB14" s="21" t="n"/>
      <c r="TQC14" s="21" t="n"/>
      <c r="TQD14" s="21" t="n"/>
      <c r="TQE14" s="21" t="n"/>
      <c r="TQF14" s="21" t="n"/>
      <c r="TQG14" s="21" t="n"/>
      <c r="TQH14" s="21" t="n"/>
      <c r="TQI14" s="21" t="n"/>
      <c r="TQJ14" s="21" t="n"/>
      <c r="TQK14" s="21" t="n"/>
      <c r="TQL14" s="21" t="n"/>
      <c r="TQM14" s="21" t="n"/>
      <c r="TQN14" s="21" t="n"/>
      <c r="TQO14" s="21" t="n"/>
      <c r="TQP14" s="21" t="n"/>
      <c r="TQQ14" s="21" t="n"/>
      <c r="TQR14" s="21" t="n"/>
      <c r="TQS14" s="21" t="n"/>
      <c r="TQT14" s="21" t="n"/>
      <c r="TQU14" s="21" t="n"/>
      <c r="TQV14" s="21" t="n"/>
      <c r="TQW14" s="21" t="n"/>
      <c r="TQX14" s="21" t="n"/>
      <c r="TQY14" s="21" t="n"/>
      <c r="TQZ14" s="21" t="n"/>
      <c r="TRA14" s="21" t="n"/>
      <c r="TRB14" s="21" t="n"/>
      <c r="TRC14" s="21" t="n"/>
      <c r="TRD14" s="21" t="n"/>
      <c r="TRE14" s="21" t="n"/>
      <c r="TRF14" s="21" t="n"/>
      <c r="TRG14" s="21" t="n"/>
      <c r="TRH14" s="21" t="n"/>
      <c r="TRI14" s="21" t="n"/>
      <c r="TRJ14" s="21" t="n"/>
      <c r="TRK14" s="21" t="n"/>
      <c r="TRL14" s="21" t="n"/>
      <c r="TRM14" s="21" t="n"/>
      <c r="TRN14" s="21" t="n"/>
      <c r="TRO14" s="21" t="n"/>
      <c r="TRP14" s="21" t="n"/>
      <c r="TRQ14" s="21" t="n"/>
      <c r="TRR14" s="21" t="n"/>
      <c r="TRS14" s="21" t="n"/>
      <c r="TRT14" s="21" t="n"/>
      <c r="TRU14" s="21" t="n"/>
      <c r="TRV14" s="21" t="n"/>
      <c r="TRW14" s="21" t="n"/>
      <c r="TRX14" s="21" t="n"/>
      <c r="TRY14" s="21" t="n"/>
      <c r="TRZ14" s="21" t="n"/>
      <c r="TSA14" s="21" t="n"/>
      <c r="TSB14" s="21" t="n"/>
      <c r="TSC14" s="21" t="n"/>
      <c r="TSD14" s="21" t="n"/>
      <c r="TSE14" s="21" t="n"/>
      <c r="TSF14" s="21" t="n"/>
      <c r="TSG14" s="21" t="n"/>
      <c r="TSH14" s="21" t="n"/>
      <c r="TSI14" s="21" t="n"/>
      <c r="TSJ14" s="21" t="n"/>
      <c r="TSK14" s="21" t="n"/>
      <c r="TSL14" s="21" t="n"/>
      <c r="TSM14" s="21" t="n"/>
      <c r="TSN14" s="21" t="n"/>
      <c r="TSO14" s="21" t="n"/>
      <c r="TSP14" s="21" t="n"/>
      <c r="TSQ14" s="21" t="n"/>
      <c r="TSR14" s="21" t="n"/>
      <c r="TSS14" s="21" t="n"/>
      <c r="TST14" s="21" t="n"/>
      <c r="TSU14" s="21" t="n"/>
      <c r="TSV14" s="21" t="n"/>
      <c r="TSW14" s="21" t="n"/>
      <c r="TSX14" s="21" t="n"/>
      <c r="TSY14" s="21" t="n"/>
      <c r="TSZ14" s="21" t="n"/>
      <c r="TTA14" s="21" t="n"/>
      <c r="TTB14" s="21" t="n"/>
      <c r="TTC14" s="21" t="n"/>
      <c r="TTD14" s="21" t="n"/>
      <c r="TTE14" s="21" t="n"/>
      <c r="TTF14" s="21" t="n"/>
      <c r="TTG14" s="21" t="n"/>
      <c r="TTH14" s="21" t="n"/>
      <c r="TTI14" s="21" t="n"/>
      <c r="TTJ14" s="21" t="n"/>
      <c r="TTK14" s="21" t="n"/>
      <c r="TTL14" s="21" t="n"/>
      <c r="TTM14" s="21" t="n"/>
      <c r="TTN14" s="21" t="n"/>
      <c r="TTO14" s="21" t="n"/>
      <c r="TTP14" s="21" t="n"/>
      <c r="TTQ14" s="21" t="n"/>
      <c r="TTR14" s="21" t="n"/>
      <c r="TTS14" s="21" t="n"/>
      <c r="TTT14" s="21" t="n"/>
      <c r="TTU14" s="21" t="n"/>
      <c r="TTV14" s="21" t="n"/>
      <c r="TTW14" s="21" t="n"/>
      <c r="TTX14" s="21" t="n"/>
      <c r="TTY14" s="21" t="n"/>
      <c r="TTZ14" s="21" t="n"/>
      <c r="TUA14" s="21" t="n"/>
      <c r="TUB14" s="21" t="n"/>
      <c r="TUC14" s="21" t="n"/>
      <c r="TUD14" s="21" t="n"/>
      <c r="TUE14" s="21" t="n"/>
      <c r="TUF14" s="21" t="n"/>
      <c r="TUG14" s="21" t="n"/>
      <c r="TUH14" s="21" t="n"/>
      <c r="TUI14" s="21" t="n"/>
      <c r="TUJ14" s="21" t="n"/>
      <c r="TUK14" s="21" t="n"/>
      <c r="TUL14" s="21" t="n"/>
      <c r="TUM14" s="21" t="n"/>
      <c r="TUN14" s="21" t="n"/>
      <c r="TUO14" s="21" t="n"/>
      <c r="TUP14" s="21" t="n"/>
      <c r="TUQ14" s="21" t="n"/>
      <c r="TUR14" s="21" t="n"/>
      <c r="TUS14" s="21" t="n"/>
      <c r="TUT14" s="21" t="n"/>
      <c r="TUU14" s="21" t="n"/>
      <c r="TUV14" s="21" t="n"/>
      <c r="TUW14" s="21" t="n"/>
      <c r="TUX14" s="21" t="n"/>
      <c r="TUY14" s="21" t="n"/>
      <c r="TUZ14" s="21" t="n"/>
      <c r="TVA14" s="21" t="n"/>
      <c r="TVB14" s="21" t="n"/>
      <c r="TVC14" s="21" t="n"/>
      <c r="TVD14" s="21" t="n"/>
      <c r="TVE14" s="21" t="n"/>
      <c r="TVF14" s="21" t="n"/>
      <c r="TVG14" s="21" t="n"/>
      <c r="TVH14" s="21" t="n"/>
      <c r="TVI14" s="21" t="n"/>
      <c r="TVJ14" s="21" t="n"/>
      <c r="TVK14" s="21" t="n"/>
      <c r="TVL14" s="21" t="n"/>
      <c r="TVM14" s="21" t="n"/>
      <c r="TVN14" s="21" t="n"/>
      <c r="TVO14" s="21" t="n"/>
      <c r="TVP14" s="21" t="n"/>
      <c r="TVQ14" s="21" t="n"/>
      <c r="TVR14" s="21" t="n"/>
      <c r="TVS14" s="21" t="n"/>
      <c r="TVT14" s="21" t="n"/>
      <c r="TVU14" s="21" t="n"/>
      <c r="TVV14" s="21" t="n"/>
      <c r="TVW14" s="21" t="n"/>
      <c r="TVX14" s="21" t="n"/>
      <c r="TVY14" s="21" t="n"/>
      <c r="TVZ14" s="21" t="n"/>
      <c r="TWA14" s="21" t="n"/>
      <c r="TWB14" s="21" t="n"/>
      <c r="TWC14" s="21" t="n"/>
      <c r="TWD14" s="21" t="n"/>
      <c r="TWE14" s="21" t="n"/>
      <c r="TWF14" s="21" t="n"/>
      <c r="TWG14" s="21" t="n"/>
      <c r="TWH14" s="21" t="n"/>
      <c r="TWI14" s="21" t="n"/>
      <c r="TWJ14" s="21" t="n"/>
      <c r="TWK14" s="21" t="n"/>
      <c r="TWL14" s="21" t="n"/>
      <c r="TWM14" s="21" t="n"/>
      <c r="TWN14" s="21" t="n"/>
      <c r="TWO14" s="21" t="n"/>
      <c r="TWP14" s="21" t="n"/>
      <c r="TWQ14" s="21" t="n"/>
      <c r="TWR14" s="21" t="n"/>
      <c r="TWS14" s="21" t="n"/>
      <c r="TWT14" s="21" t="n"/>
      <c r="TWU14" s="21" t="n"/>
      <c r="TWV14" s="21" t="n"/>
      <c r="TWW14" s="21" t="n"/>
      <c r="TWX14" s="21" t="n"/>
      <c r="TWY14" s="21" t="n"/>
      <c r="TWZ14" s="21" t="n"/>
      <c r="TXA14" s="21" t="n"/>
      <c r="TXB14" s="21" t="n"/>
      <c r="TXC14" s="21" t="n"/>
      <c r="TXD14" s="21" t="n"/>
      <c r="TXE14" s="21" t="n"/>
      <c r="TXF14" s="21" t="n"/>
      <c r="TXG14" s="21" t="n"/>
      <c r="TXH14" s="21" t="n"/>
      <c r="TXI14" s="21" t="n"/>
      <c r="TXJ14" s="21" t="n"/>
      <c r="TXK14" s="21" t="n"/>
      <c r="TXL14" s="21" t="n"/>
      <c r="TXM14" s="21" t="n"/>
      <c r="TXN14" s="21" t="n"/>
      <c r="TXO14" s="21" t="n"/>
      <c r="TXP14" s="21" t="n"/>
      <c r="TXQ14" s="21" t="n"/>
      <c r="TXR14" s="21" t="n"/>
      <c r="TXS14" s="21" t="n"/>
      <c r="TXT14" s="21" t="n"/>
      <c r="TXU14" s="21" t="n"/>
      <c r="TXV14" s="21" t="n"/>
      <c r="TXW14" s="21" t="n"/>
      <c r="TXX14" s="21" t="n"/>
      <c r="TXY14" s="21" t="n"/>
      <c r="TXZ14" s="21" t="n"/>
      <c r="TYA14" s="21" t="n"/>
      <c r="TYB14" s="21" t="n"/>
      <c r="TYC14" s="21" t="n"/>
      <c r="TYD14" s="21" t="n"/>
      <c r="TYE14" s="21" t="n"/>
      <c r="TYF14" s="21" t="n"/>
      <c r="TYG14" s="21" t="n"/>
      <c r="TYH14" s="21" t="n"/>
      <c r="TYI14" s="21" t="n"/>
      <c r="TYJ14" s="21" t="n"/>
      <c r="TYK14" s="21" t="n"/>
      <c r="TYL14" s="21" t="n"/>
      <c r="TYM14" s="21" t="n"/>
      <c r="TYN14" s="21" t="n"/>
      <c r="TYO14" s="21" t="n"/>
      <c r="TYP14" s="21" t="n"/>
      <c r="TYQ14" s="21" t="n"/>
      <c r="TYR14" s="21" t="n"/>
      <c r="TYS14" s="21" t="n"/>
      <c r="TYT14" s="21" t="n"/>
      <c r="TYU14" s="21" t="n"/>
      <c r="TYV14" s="21" t="n"/>
      <c r="TYW14" s="21" t="n"/>
      <c r="TYX14" s="21" t="n"/>
      <c r="TYY14" s="21" t="n"/>
      <c r="TYZ14" s="21" t="n"/>
      <c r="TZA14" s="21" t="n"/>
      <c r="TZB14" s="21" t="n"/>
      <c r="TZC14" s="21" t="n"/>
      <c r="TZD14" s="21" t="n"/>
      <c r="TZE14" s="21" t="n"/>
      <c r="TZF14" s="21" t="n"/>
      <c r="TZG14" s="21" t="n"/>
      <c r="TZH14" s="21" t="n"/>
      <c r="TZI14" s="21" t="n"/>
      <c r="TZJ14" s="21" t="n"/>
      <c r="TZK14" s="21" t="n"/>
      <c r="TZL14" s="21" t="n"/>
      <c r="TZM14" s="21" t="n"/>
      <c r="TZN14" s="21" t="n"/>
      <c r="TZO14" s="21" t="n"/>
      <c r="TZP14" s="21" t="n"/>
      <c r="TZQ14" s="21" t="n"/>
      <c r="TZR14" s="21" t="n"/>
      <c r="TZS14" s="21" t="n"/>
      <c r="TZT14" s="21" t="n"/>
      <c r="TZU14" s="21" t="n"/>
      <c r="TZV14" s="21" t="n"/>
      <c r="TZW14" s="21" t="n"/>
      <c r="TZX14" s="21" t="n"/>
      <c r="TZY14" s="21" t="n"/>
      <c r="TZZ14" s="21" t="n"/>
      <c r="UAA14" s="21" t="n"/>
      <c r="UAB14" s="21" t="n"/>
      <c r="UAC14" s="21" t="n"/>
      <c r="UAD14" s="21" t="n"/>
      <c r="UAE14" s="21" t="n"/>
      <c r="UAF14" s="21" t="n"/>
      <c r="UAG14" s="21" t="n"/>
      <c r="UAH14" s="21" t="n"/>
      <c r="UAI14" s="21" t="n"/>
      <c r="UAJ14" s="21" t="n"/>
      <c r="UAK14" s="21" t="n"/>
      <c r="UAL14" s="21" t="n"/>
      <c r="UAM14" s="21" t="n"/>
      <c r="UAN14" s="21" t="n"/>
      <c r="UAO14" s="21" t="n"/>
      <c r="UAP14" s="21" t="n"/>
      <c r="UAQ14" s="21" t="n"/>
      <c r="UAR14" s="21" t="n"/>
      <c r="UAS14" s="21" t="n"/>
      <c r="UAT14" s="21" t="n"/>
      <c r="UAU14" s="21" t="n"/>
      <c r="UAV14" s="21" t="n"/>
      <c r="UAW14" s="21" t="n"/>
      <c r="UAX14" s="21" t="n"/>
      <c r="UAY14" s="21" t="n"/>
      <c r="UAZ14" s="21" t="n"/>
      <c r="UBA14" s="21" t="n"/>
      <c r="UBB14" s="21" t="n"/>
      <c r="UBC14" s="21" t="n"/>
      <c r="UBD14" s="21" t="n"/>
      <c r="UBE14" s="21" t="n"/>
      <c r="UBF14" s="21" t="n"/>
      <c r="UBG14" s="21" t="n"/>
      <c r="UBH14" s="21" t="n"/>
      <c r="UBI14" s="21" t="n"/>
      <c r="UBJ14" s="21" t="n"/>
      <c r="UBK14" s="21" t="n"/>
      <c r="UBL14" s="21" t="n"/>
      <c r="UBM14" s="21" t="n"/>
      <c r="UBN14" s="21" t="n"/>
      <c r="UBO14" s="21" t="n"/>
      <c r="UBP14" s="21" t="n"/>
      <c r="UBQ14" s="21" t="n"/>
      <c r="UBR14" s="21" t="n"/>
      <c r="UBS14" s="21" t="n"/>
      <c r="UBT14" s="21" t="n"/>
      <c r="UBU14" s="21" t="n"/>
      <c r="UBV14" s="21" t="n"/>
      <c r="UBW14" s="21" t="n"/>
      <c r="UBX14" s="21" t="n"/>
      <c r="UBY14" s="21" t="n"/>
      <c r="UBZ14" s="21" t="n"/>
      <c r="UCA14" s="21" t="n"/>
      <c r="UCB14" s="21" t="n"/>
      <c r="UCC14" s="21" t="n"/>
      <c r="UCD14" s="21" t="n"/>
      <c r="UCE14" s="21" t="n"/>
      <c r="UCF14" s="21" t="n"/>
      <c r="UCG14" s="21" t="n"/>
      <c r="UCH14" s="21" t="n"/>
      <c r="UCI14" s="21" t="n"/>
      <c r="UCJ14" s="21" t="n"/>
      <c r="UCK14" s="21" t="n"/>
      <c r="UCL14" s="21" t="n"/>
      <c r="UCM14" s="21" t="n"/>
      <c r="UCN14" s="21" t="n"/>
      <c r="UCO14" s="21" t="n"/>
      <c r="UCP14" s="21" t="n"/>
      <c r="UCQ14" s="21" t="n"/>
      <c r="UCR14" s="21" t="n"/>
      <c r="UCS14" s="21" t="n"/>
      <c r="UCT14" s="21" t="n"/>
      <c r="UCU14" s="21" t="n"/>
      <c r="UCV14" s="21" t="n"/>
      <c r="UCW14" s="21" t="n"/>
      <c r="UCX14" s="21" t="n"/>
      <c r="UCY14" s="21" t="n"/>
      <c r="UCZ14" s="21" t="n"/>
      <c r="UDA14" s="21" t="n"/>
      <c r="UDB14" s="21" t="n"/>
      <c r="UDC14" s="21" t="n"/>
      <c r="UDD14" s="21" t="n"/>
      <c r="UDE14" s="21" t="n"/>
      <c r="UDF14" s="21" t="n"/>
      <c r="UDG14" s="21" t="n"/>
      <c r="UDH14" s="21" t="n"/>
      <c r="UDI14" s="21" t="n"/>
      <c r="UDJ14" s="21" t="n"/>
      <c r="UDK14" s="21" t="n"/>
      <c r="UDL14" s="21" t="n"/>
      <c r="UDM14" s="21" t="n"/>
      <c r="UDN14" s="21" t="n"/>
      <c r="UDO14" s="21" t="n"/>
      <c r="UDP14" s="21" t="n"/>
      <c r="UDQ14" s="21" t="n"/>
      <c r="UDR14" s="21" t="n"/>
      <c r="UDS14" s="21" t="n"/>
      <c r="UDT14" s="21" t="n"/>
      <c r="UDU14" s="21" t="n"/>
      <c r="UDV14" s="21" t="n"/>
      <c r="UDW14" s="21" t="n"/>
      <c r="UDX14" s="21" t="n"/>
      <c r="UDY14" s="21" t="n"/>
      <c r="UDZ14" s="21" t="n"/>
      <c r="UEA14" s="21" t="n"/>
      <c r="UEB14" s="21" t="n"/>
      <c r="UEC14" s="21" t="n"/>
      <c r="UED14" s="21" t="n"/>
      <c r="UEE14" s="21" t="n"/>
      <c r="UEF14" s="21" t="n"/>
      <c r="UEG14" s="21" t="n"/>
      <c r="UEH14" s="21" t="n"/>
      <c r="UEI14" s="21" t="n"/>
      <c r="UEJ14" s="21" t="n"/>
      <c r="UEK14" s="21" t="n"/>
      <c r="UEL14" s="21" t="n"/>
      <c r="UEM14" s="21" t="n"/>
      <c r="UEN14" s="21" t="n"/>
      <c r="UEO14" s="21" t="n"/>
      <c r="UEP14" s="21" t="n"/>
      <c r="UEQ14" s="21" t="n"/>
      <c r="UER14" s="21" t="n"/>
      <c r="UES14" s="21" t="n"/>
      <c r="UET14" s="21" t="n"/>
      <c r="UEU14" s="21" t="n"/>
      <c r="UEV14" s="21" t="n"/>
      <c r="UEW14" s="21" t="n"/>
      <c r="UEX14" s="21" t="n"/>
      <c r="UEY14" s="21" t="n"/>
      <c r="UEZ14" s="21" t="n"/>
      <c r="UFA14" s="21" t="n"/>
      <c r="UFB14" s="21" t="n"/>
      <c r="UFC14" s="21" t="n"/>
      <c r="UFD14" s="21" t="n"/>
      <c r="UFE14" s="21" t="n"/>
      <c r="UFF14" s="21" t="n"/>
      <c r="UFG14" s="21" t="n"/>
      <c r="UFH14" s="21" t="n"/>
      <c r="UFI14" s="21" t="n"/>
      <c r="UFJ14" s="21" t="n"/>
      <c r="UFK14" s="21" t="n"/>
      <c r="UFL14" s="21" t="n"/>
      <c r="UFM14" s="21" t="n"/>
      <c r="UFN14" s="21" t="n"/>
      <c r="UFO14" s="21" t="n"/>
      <c r="UFP14" s="21" t="n"/>
      <c r="UFQ14" s="21" t="n"/>
      <c r="UFR14" s="21" t="n"/>
      <c r="UFS14" s="21" t="n"/>
      <c r="UFT14" s="21" t="n"/>
      <c r="UFU14" s="21" t="n"/>
      <c r="UFV14" s="21" t="n"/>
      <c r="UFW14" s="21" t="n"/>
      <c r="UFX14" s="21" t="n"/>
      <c r="UFY14" s="21" t="n"/>
      <c r="UFZ14" s="21" t="n"/>
      <c r="UGA14" s="21" t="n"/>
      <c r="UGB14" s="21" t="n"/>
      <c r="UGC14" s="21" t="n"/>
      <c r="UGD14" s="21" t="n"/>
      <c r="UGE14" s="21" t="n"/>
      <c r="UGF14" s="21" t="n"/>
      <c r="UGG14" s="21" t="n"/>
      <c r="UGH14" s="21" t="n"/>
      <c r="UGI14" s="21" t="n"/>
      <c r="UGJ14" s="21" t="n"/>
      <c r="UGK14" s="21" t="n"/>
      <c r="UGL14" s="21" t="n"/>
      <c r="UGM14" s="21" t="n"/>
      <c r="UGN14" s="21" t="n"/>
      <c r="UGO14" s="21" t="n"/>
      <c r="UGP14" s="21" t="n"/>
      <c r="UGQ14" s="21" t="n"/>
      <c r="UGR14" s="21" t="n"/>
      <c r="UGS14" s="21" t="n"/>
      <c r="UGT14" s="21" t="n"/>
      <c r="UGU14" s="21" t="n"/>
      <c r="UGV14" s="21" t="n"/>
      <c r="UGW14" s="21" t="n"/>
      <c r="UGX14" s="21" t="n"/>
      <c r="UGY14" s="21" t="n"/>
      <c r="UGZ14" s="21" t="n"/>
      <c r="UHA14" s="21" t="n"/>
      <c r="UHB14" s="21" t="n"/>
      <c r="UHC14" s="21" t="n"/>
      <c r="UHD14" s="21" t="n"/>
      <c r="UHE14" s="21" t="n"/>
      <c r="UHF14" s="21" t="n"/>
      <c r="UHG14" s="21" t="n"/>
      <c r="UHH14" s="21" t="n"/>
      <c r="UHI14" s="21" t="n"/>
      <c r="UHJ14" s="21" t="n"/>
      <c r="UHK14" s="21" t="n"/>
      <c r="UHL14" s="21" t="n"/>
      <c r="UHM14" s="21" t="n"/>
      <c r="UHN14" s="21" t="n"/>
      <c r="UHO14" s="21" t="n"/>
      <c r="UHP14" s="21" t="n"/>
      <c r="UHQ14" s="21" t="n"/>
      <c r="UHR14" s="21" t="n"/>
      <c r="UHS14" s="21" t="n"/>
      <c r="UHT14" s="21" t="n"/>
      <c r="UHU14" s="21" t="n"/>
      <c r="UHV14" s="21" t="n"/>
      <c r="UHW14" s="21" t="n"/>
      <c r="UHX14" s="21" t="n"/>
      <c r="UHY14" s="21" t="n"/>
      <c r="UHZ14" s="21" t="n"/>
      <c r="UIA14" s="21" t="n"/>
      <c r="UIB14" s="21" t="n"/>
      <c r="UIC14" s="21" t="n"/>
      <c r="UID14" s="21" t="n"/>
      <c r="UIE14" s="21" t="n"/>
      <c r="UIF14" s="21" t="n"/>
      <c r="UIG14" s="21" t="n"/>
      <c r="UIH14" s="21" t="n"/>
      <c r="UII14" s="21" t="n"/>
      <c r="UIJ14" s="21" t="n"/>
      <c r="UIK14" s="21" t="n"/>
      <c r="UIL14" s="21" t="n"/>
      <c r="UIM14" s="21" t="n"/>
      <c r="UIN14" s="21" t="n"/>
      <c r="UIO14" s="21" t="n"/>
      <c r="UIP14" s="21" t="n"/>
      <c r="UIQ14" s="21" t="n"/>
      <c r="UIR14" s="21" t="n"/>
      <c r="UIS14" s="21" t="n"/>
      <c r="UIT14" s="21" t="n"/>
      <c r="UIU14" s="21" t="n"/>
      <c r="UIV14" s="21" t="n"/>
      <c r="UIW14" s="21" t="n"/>
      <c r="UIX14" s="21" t="n"/>
      <c r="UIY14" s="21" t="n"/>
      <c r="UIZ14" s="21" t="n"/>
      <c r="UJA14" s="21" t="n"/>
      <c r="UJB14" s="21" t="n"/>
      <c r="UJC14" s="21" t="n"/>
      <c r="UJD14" s="21" t="n"/>
      <c r="UJE14" s="21" t="n"/>
      <c r="UJF14" s="21" t="n"/>
      <c r="UJG14" s="21" t="n"/>
      <c r="UJH14" s="21" t="n"/>
      <c r="UJI14" s="21" t="n"/>
      <c r="UJJ14" s="21" t="n"/>
      <c r="UJK14" s="21" t="n"/>
      <c r="UJL14" s="21" t="n"/>
      <c r="UJM14" s="21" t="n"/>
      <c r="UJN14" s="21" t="n"/>
      <c r="UJO14" s="21" t="n"/>
      <c r="UJP14" s="21" t="n"/>
      <c r="UJQ14" s="21" t="n"/>
      <c r="UJR14" s="21" t="n"/>
      <c r="UJS14" s="21" t="n"/>
      <c r="UJT14" s="21" t="n"/>
      <c r="UJU14" s="21" t="n"/>
      <c r="UJV14" s="21" t="n"/>
      <c r="UJW14" s="21" t="n"/>
      <c r="UJX14" s="21" t="n"/>
      <c r="UJY14" s="21" t="n"/>
      <c r="UJZ14" s="21" t="n"/>
      <c r="UKA14" s="21" t="n"/>
      <c r="UKB14" s="21" t="n"/>
      <c r="UKC14" s="21" t="n"/>
      <c r="UKD14" s="21" t="n"/>
      <c r="UKE14" s="21" t="n"/>
      <c r="UKF14" s="21" t="n"/>
      <c r="UKG14" s="21" t="n"/>
      <c r="UKH14" s="21" t="n"/>
      <c r="UKI14" s="21" t="n"/>
      <c r="UKJ14" s="21" t="n"/>
      <c r="UKK14" s="21" t="n"/>
      <c r="UKL14" s="21" t="n"/>
      <c r="UKM14" s="21" t="n"/>
      <c r="UKN14" s="21" t="n"/>
      <c r="UKO14" s="21" t="n"/>
      <c r="UKP14" s="21" t="n"/>
      <c r="UKQ14" s="21" t="n"/>
      <c r="UKR14" s="21" t="n"/>
      <c r="UKS14" s="21" t="n"/>
      <c r="UKT14" s="21" t="n"/>
      <c r="UKU14" s="21" t="n"/>
      <c r="UKV14" s="21" t="n"/>
      <c r="UKW14" s="21" t="n"/>
      <c r="UKX14" s="21" t="n"/>
      <c r="UKY14" s="21" t="n"/>
      <c r="UKZ14" s="21" t="n"/>
      <c r="ULA14" s="21" t="n"/>
      <c r="ULB14" s="21" t="n"/>
      <c r="ULC14" s="21" t="n"/>
      <c r="ULD14" s="21" t="n"/>
      <c r="ULE14" s="21" t="n"/>
      <c r="ULF14" s="21" t="n"/>
      <c r="ULG14" s="21" t="n"/>
      <c r="ULH14" s="21" t="n"/>
      <c r="ULI14" s="21" t="n"/>
      <c r="ULJ14" s="21" t="n"/>
      <c r="ULK14" s="21" t="n"/>
      <c r="ULL14" s="21" t="n"/>
      <c r="ULM14" s="21" t="n"/>
      <c r="ULN14" s="21" t="n"/>
      <c r="ULO14" s="21" t="n"/>
      <c r="ULP14" s="21" t="n"/>
      <c r="ULQ14" s="21" t="n"/>
      <c r="ULR14" s="21" t="n"/>
      <c r="ULS14" s="21" t="n"/>
      <c r="ULT14" s="21" t="n"/>
      <c r="ULU14" s="21" t="n"/>
      <c r="ULV14" s="21" t="n"/>
      <c r="ULW14" s="21" t="n"/>
      <c r="ULX14" s="21" t="n"/>
      <c r="ULY14" s="21" t="n"/>
      <c r="ULZ14" s="21" t="n"/>
      <c r="UMA14" s="21" t="n"/>
      <c r="UMB14" s="21" t="n"/>
      <c r="UMC14" s="21" t="n"/>
      <c r="UMD14" s="21" t="n"/>
      <c r="UME14" s="21" t="n"/>
      <c r="UMF14" s="21" t="n"/>
      <c r="UMG14" s="21" t="n"/>
      <c r="UMH14" s="21" t="n"/>
      <c r="UMI14" s="21" t="n"/>
      <c r="UMJ14" s="21" t="n"/>
      <c r="UMK14" s="21" t="n"/>
      <c r="UML14" s="21" t="n"/>
      <c r="UMM14" s="21" t="n"/>
      <c r="UMN14" s="21" t="n"/>
      <c r="UMO14" s="21" t="n"/>
      <c r="UMP14" s="21" t="n"/>
      <c r="UMQ14" s="21" t="n"/>
      <c r="UMR14" s="21" t="n"/>
      <c r="UMS14" s="21" t="n"/>
      <c r="UMT14" s="21" t="n"/>
      <c r="UMU14" s="21" t="n"/>
      <c r="UMV14" s="21" t="n"/>
      <c r="UMW14" s="21" t="n"/>
      <c r="UMX14" s="21" t="n"/>
      <c r="UMY14" s="21" t="n"/>
      <c r="UMZ14" s="21" t="n"/>
      <c r="UNA14" s="21" t="n"/>
      <c r="UNB14" s="21" t="n"/>
      <c r="UNC14" s="21" t="n"/>
      <c r="UND14" s="21" t="n"/>
      <c r="UNE14" s="21" t="n"/>
      <c r="UNF14" s="21" t="n"/>
      <c r="UNG14" s="21" t="n"/>
      <c r="UNH14" s="21" t="n"/>
      <c r="UNI14" s="21" t="n"/>
      <c r="UNJ14" s="21" t="n"/>
      <c r="UNK14" s="21" t="n"/>
      <c r="UNL14" s="21" t="n"/>
      <c r="UNM14" s="21" t="n"/>
      <c r="UNN14" s="21" t="n"/>
      <c r="UNO14" s="21" t="n"/>
      <c r="UNP14" s="21" t="n"/>
      <c r="UNQ14" s="21" t="n"/>
      <c r="UNR14" s="21" t="n"/>
      <c r="UNS14" s="21" t="n"/>
      <c r="UNT14" s="21" t="n"/>
      <c r="UNU14" s="21" t="n"/>
      <c r="UNV14" s="21" t="n"/>
      <c r="UNW14" s="21" t="n"/>
      <c r="UNX14" s="21" t="n"/>
      <c r="UNY14" s="21" t="n"/>
      <c r="UNZ14" s="21" t="n"/>
      <c r="UOA14" s="21" t="n"/>
      <c r="UOB14" s="21" t="n"/>
      <c r="UOC14" s="21" t="n"/>
      <c r="UOD14" s="21" t="n"/>
      <c r="UOE14" s="21" t="n"/>
      <c r="UOF14" s="21" t="n"/>
      <c r="UOG14" s="21" t="n"/>
      <c r="UOH14" s="21" t="n"/>
      <c r="UOI14" s="21" t="n"/>
      <c r="UOJ14" s="21" t="n"/>
      <c r="UOK14" s="21" t="n"/>
      <c r="UOL14" s="21" t="n"/>
      <c r="UOM14" s="21" t="n"/>
      <c r="UON14" s="21" t="n"/>
      <c r="UOO14" s="21" t="n"/>
      <c r="UOP14" s="21" t="n"/>
      <c r="UOQ14" s="21" t="n"/>
      <c r="UOR14" s="21" t="n"/>
      <c r="UOS14" s="21" t="n"/>
      <c r="UOT14" s="21" t="n"/>
      <c r="UOU14" s="21" t="n"/>
      <c r="UOV14" s="21" t="n"/>
      <c r="UOW14" s="21" t="n"/>
      <c r="UOX14" s="21" t="n"/>
      <c r="UOY14" s="21" t="n"/>
      <c r="UOZ14" s="21" t="n"/>
      <c r="UPA14" s="21" t="n"/>
      <c r="UPB14" s="21" t="n"/>
      <c r="UPC14" s="21" t="n"/>
      <c r="UPD14" s="21" t="n"/>
      <c r="UPE14" s="21" t="n"/>
      <c r="UPF14" s="21" t="n"/>
      <c r="UPG14" s="21" t="n"/>
      <c r="UPH14" s="21" t="n"/>
      <c r="UPI14" s="21" t="n"/>
      <c r="UPJ14" s="21" t="n"/>
      <c r="UPK14" s="21" t="n"/>
      <c r="UPL14" s="21" t="n"/>
      <c r="UPM14" s="21" t="n"/>
      <c r="UPN14" s="21" t="n"/>
      <c r="UPO14" s="21" t="n"/>
      <c r="UPP14" s="21" t="n"/>
      <c r="UPQ14" s="21" t="n"/>
      <c r="UPR14" s="21" t="n"/>
      <c r="UPS14" s="21" t="n"/>
      <c r="UPT14" s="21" t="n"/>
      <c r="UPU14" s="21" t="n"/>
      <c r="UPV14" s="21" t="n"/>
      <c r="UPW14" s="21" t="n"/>
      <c r="UPX14" s="21" t="n"/>
      <c r="UPY14" s="21" t="n"/>
      <c r="UPZ14" s="21" t="n"/>
      <c r="UQA14" s="21" t="n"/>
      <c r="UQB14" s="21" t="n"/>
      <c r="UQC14" s="21" t="n"/>
      <c r="UQD14" s="21" t="n"/>
      <c r="UQE14" s="21" t="n"/>
      <c r="UQF14" s="21" t="n"/>
      <c r="UQG14" s="21" t="n"/>
      <c r="UQH14" s="21" t="n"/>
      <c r="UQI14" s="21" t="n"/>
      <c r="UQJ14" s="21" t="n"/>
      <c r="UQK14" s="21" t="n"/>
      <c r="UQL14" s="21" t="n"/>
      <c r="UQM14" s="21" t="n"/>
      <c r="UQN14" s="21" t="n"/>
      <c r="UQO14" s="21" t="n"/>
      <c r="UQP14" s="21" t="n"/>
      <c r="UQQ14" s="21" t="n"/>
      <c r="UQR14" s="21" t="n"/>
      <c r="UQS14" s="21" t="n"/>
      <c r="UQT14" s="21" t="n"/>
      <c r="UQU14" s="21" t="n"/>
      <c r="UQV14" s="21" t="n"/>
      <c r="UQW14" s="21" t="n"/>
      <c r="UQX14" s="21" t="n"/>
      <c r="UQY14" s="21" t="n"/>
      <c r="UQZ14" s="21" t="n"/>
      <c r="URA14" s="21" t="n"/>
      <c r="URB14" s="21" t="n"/>
      <c r="URC14" s="21" t="n"/>
      <c r="URD14" s="21" t="n"/>
      <c r="URE14" s="21" t="n"/>
      <c r="URF14" s="21" t="n"/>
      <c r="URG14" s="21" t="n"/>
      <c r="URH14" s="21" t="n"/>
      <c r="URI14" s="21" t="n"/>
      <c r="URJ14" s="21" t="n"/>
      <c r="URK14" s="21" t="n"/>
      <c r="URL14" s="21" t="n"/>
      <c r="URM14" s="21" t="n"/>
      <c r="URN14" s="21" t="n"/>
      <c r="URO14" s="21" t="n"/>
      <c r="URP14" s="21" t="n"/>
      <c r="URQ14" s="21" t="n"/>
      <c r="URR14" s="21" t="n"/>
      <c r="URS14" s="21" t="n"/>
      <c r="URT14" s="21" t="n"/>
      <c r="URU14" s="21" t="n"/>
      <c r="URV14" s="21" t="n"/>
      <c r="URW14" s="21" t="n"/>
      <c r="URX14" s="21" t="n"/>
      <c r="URY14" s="21" t="n"/>
      <c r="URZ14" s="21" t="n"/>
      <c r="USA14" s="21" t="n"/>
      <c r="USB14" s="21" t="n"/>
      <c r="USC14" s="21" t="n"/>
      <c r="USD14" s="21" t="n"/>
      <c r="USE14" s="21" t="n"/>
      <c r="USF14" s="21" t="n"/>
      <c r="USG14" s="21" t="n"/>
      <c r="USH14" s="21" t="n"/>
      <c r="USI14" s="21" t="n"/>
      <c r="USJ14" s="21" t="n"/>
      <c r="USK14" s="21" t="n"/>
      <c r="USL14" s="21" t="n"/>
      <c r="USM14" s="21" t="n"/>
      <c r="USN14" s="21" t="n"/>
      <c r="USO14" s="21" t="n"/>
      <c r="USP14" s="21" t="n"/>
      <c r="USQ14" s="21" t="n"/>
      <c r="USR14" s="21" t="n"/>
      <c r="USS14" s="21" t="n"/>
      <c r="UST14" s="21" t="n"/>
      <c r="USU14" s="21" t="n"/>
      <c r="USV14" s="21" t="n"/>
      <c r="USW14" s="21" t="n"/>
      <c r="USX14" s="21" t="n"/>
      <c r="USY14" s="21" t="n"/>
      <c r="USZ14" s="21" t="n"/>
      <c r="UTA14" s="21" t="n"/>
      <c r="UTB14" s="21" t="n"/>
      <c r="UTC14" s="21" t="n"/>
      <c r="UTD14" s="21" t="n"/>
      <c r="UTE14" s="21" t="n"/>
      <c r="UTF14" s="21" t="n"/>
      <c r="UTG14" s="21" t="n"/>
      <c r="UTH14" s="21" t="n"/>
      <c r="UTI14" s="21" t="n"/>
      <c r="UTJ14" s="21" t="n"/>
      <c r="UTK14" s="21" t="n"/>
      <c r="UTL14" s="21" t="n"/>
      <c r="UTM14" s="21" t="n"/>
      <c r="UTN14" s="21" t="n"/>
      <c r="UTO14" s="21" t="n"/>
      <c r="UTP14" s="21" t="n"/>
      <c r="UTQ14" s="21" t="n"/>
      <c r="UTR14" s="21" t="n"/>
      <c r="UTS14" s="21" t="n"/>
      <c r="UTT14" s="21" t="n"/>
      <c r="UTU14" s="21" t="n"/>
      <c r="UTV14" s="21" t="n"/>
      <c r="UTW14" s="21" t="n"/>
      <c r="UTX14" s="21" t="n"/>
      <c r="UTY14" s="21" t="n"/>
      <c r="UTZ14" s="21" t="n"/>
      <c r="UUA14" s="21" t="n"/>
      <c r="UUB14" s="21" t="n"/>
      <c r="UUC14" s="21" t="n"/>
      <c r="UUD14" s="21" t="n"/>
      <c r="UUE14" s="21" t="n"/>
      <c r="UUF14" s="21" t="n"/>
      <c r="UUG14" s="21" t="n"/>
      <c r="UUH14" s="21" t="n"/>
      <c r="UUI14" s="21" t="n"/>
      <c r="UUJ14" s="21" t="n"/>
      <c r="UUK14" s="21" t="n"/>
      <c r="UUL14" s="21" t="n"/>
      <c r="UUM14" s="21" t="n"/>
      <c r="UUN14" s="21" t="n"/>
      <c r="UUO14" s="21" t="n"/>
      <c r="UUP14" s="21" t="n"/>
      <c r="UUQ14" s="21" t="n"/>
      <c r="UUR14" s="21" t="n"/>
      <c r="UUS14" s="21" t="n"/>
      <c r="UUT14" s="21" t="n"/>
      <c r="UUU14" s="21" t="n"/>
      <c r="UUV14" s="21" t="n"/>
      <c r="UUW14" s="21" t="n"/>
      <c r="UUX14" s="21" t="n"/>
      <c r="UUY14" s="21" t="n"/>
      <c r="UUZ14" s="21" t="n"/>
      <c r="UVA14" s="21" t="n"/>
      <c r="UVB14" s="21" t="n"/>
      <c r="UVC14" s="21" t="n"/>
      <c r="UVD14" s="21" t="n"/>
      <c r="UVE14" s="21" t="n"/>
      <c r="UVF14" s="21" t="n"/>
      <c r="UVG14" s="21" t="n"/>
      <c r="UVH14" s="21" t="n"/>
      <c r="UVI14" s="21" t="n"/>
      <c r="UVJ14" s="21" t="n"/>
      <c r="UVK14" s="21" t="n"/>
      <c r="UVL14" s="21" t="n"/>
      <c r="UVM14" s="21" t="n"/>
      <c r="UVN14" s="21" t="n"/>
      <c r="UVO14" s="21" t="n"/>
      <c r="UVP14" s="21" t="n"/>
      <c r="UVQ14" s="21" t="n"/>
      <c r="UVR14" s="21" t="n"/>
      <c r="UVS14" s="21" t="n"/>
      <c r="UVT14" s="21" t="n"/>
      <c r="UVU14" s="21" t="n"/>
      <c r="UVV14" s="21" t="n"/>
      <c r="UVW14" s="21" t="n"/>
      <c r="UVX14" s="21" t="n"/>
      <c r="UVY14" s="21" t="n"/>
      <c r="UVZ14" s="21" t="n"/>
      <c r="UWA14" s="21" t="n"/>
      <c r="UWB14" s="21" t="n"/>
      <c r="UWC14" s="21" t="n"/>
      <c r="UWD14" s="21" t="n"/>
      <c r="UWE14" s="21" t="n"/>
      <c r="UWF14" s="21" t="n"/>
      <c r="UWG14" s="21" t="n"/>
      <c r="UWH14" s="21" t="n"/>
      <c r="UWI14" s="21" t="n"/>
      <c r="UWJ14" s="21" t="n"/>
      <c r="UWK14" s="21" t="n"/>
      <c r="UWL14" s="21" t="n"/>
      <c r="UWM14" s="21" t="n"/>
      <c r="UWN14" s="21" t="n"/>
      <c r="UWO14" s="21" t="n"/>
      <c r="UWP14" s="21" t="n"/>
      <c r="UWQ14" s="21" t="n"/>
      <c r="UWR14" s="21" t="n"/>
      <c r="UWS14" s="21" t="n"/>
      <c r="UWT14" s="21" t="n"/>
      <c r="UWU14" s="21" t="n"/>
      <c r="UWV14" s="21" t="n"/>
      <c r="UWW14" s="21" t="n"/>
      <c r="UWX14" s="21" t="n"/>
      <c r="UWY14" s="21" t="n"/>
      <c r="UWZ14" s="21" t="n"/>
      <c r="UXA14" s="21" t="n"/>
      <c r="UXB14" s="21" t="n"/>
      <c r="UXC14" s="21" t="n"/>
      <c r="UXD14" s="21" t="n"/>
      <c r="UXE14" s="21" t="n"/>
      <c r="UXF14" s="21" t="n"/>
      <c r="UXG14" s="21" t="n"/>
      <c r="UXH14" s="21" t="n"/>
      <c r="UXI14" s="21" t="n"/>
      <c r="UXJ14" s="21" t="n"/>
      <c r="UXK14" s="21" t="n"/>
      <c r="UXL14" s="21" t="n"/>
      <c r="UXM14" s="21" t="n"/>
      <c r="UXN14" s="21" t="n"/>
      <c r="UXO14" s="21" t="n"/>
      <c r="UXP14" s="21" t="n"/>
      <c r="UXQ14" s="21" t="n"/>
      <c r="UXR14" s="21" t="n"/>
      <c r="UXS14" s="21" t="n"/>
      <c r="UXT14" s="21" t="n"/>
      <c r="UXU14" s="21" t="n"/>
      <c r="UXV14" s="21" t="n"/>
      <c r="UXW14" s="21" t="n"/>
      <c r="UXX14" s="21" t="n"/>
      <c r="UXY14" s="21" t="n"/>
      <c r="UXZ14" s="21" t="n"/>
      <c r="UYA14" s="21" t="n"/>
      <c r="UYB14" s="21" t="n"/>
      <c r="UYC14" s="21" t="n"/>
      <c r="UYD14" s="21" t="n"/>
      <c r="UYE14" s="21" t="n"/>
      <c r="UYF14" s="21" t="n"/>
      <c r="UYG14" s="21" t="n"/>
      <c r="UYH14" s="21" t="n"/>
      <c r="UYI14" s="21" t="n"/>
      <c r="UYJ14" s="21" t="n"/>
      <c r="UYK14" s="21" t="n"/>
      <c r="UYL14" s="21" t="n"/>
      <c r="UYM14" s="21" t="n"/>
      <c r="UYN14" s="21" t="n"/>
      <c r="UYO14" s="21" t="n"/>
      <c r="UYP14" s="21" t="n"/>
      <c r="UYQ14" s="21" t="n"/>
      <c r="UYR14" s="21" t="n"/>
      <c r="UYS14" s="21" t="n"/>
      <c r="UYT14" s="21" t="n"/>
      <c r="UYU14" s="21" t="n"/>
      <c r="UYV14" s="21" t="n"/>
      <c r="UYW14" s="21" t="n"/>
      <c r="UYX14" s="21" t="n"/>
      <c r="UYY14" s="21" t="n"/>
      <c r="UYZ14" s="21" t="n"/>
      <c r="UZA14" s="21" t="n"/>
      <c r="UZB14" s="21" t="n"/>
      <c r="UZC14" s="21" t="n"/>
      <c r="UZD14" s="21" t="n"/>
      <c r="UZE14" s="21" t="n"/>
      <c r="UZF14" s="21" t="n"/>
      <c r="UZG14" s="21" t="n"/>
      <c r="UZH14" s="21" t="n"/>
      <c r="UZI14" s="21" t="n"/>
      <c r="UZJ14" s="21" t="n"/>
      <c r="UZK14" s="21" t="n"/>
      <c r="UZL14" s="21" t="n"/>
      <c r="UZM14" s="21" t="n"/>
      <c r="UZN14" s="21" t="n"/>
      <c r="UZO14" s="21" t="n"/>
      <c r="UZP14" s="21" t="n"/>
      <c r="UZQ14" s="21" t="n"/>
      <c r="UZR14" s="21" t="n"/>
      <c r="UZS14" s="21" t="n"/>
      <c r="UZT14" s="21" t="n"/>
      <c r="UZU14" s="21" t="n"/>
      <c r="UZV14" s="21" t="n"/>
      <c r="UZW14" s="21" t="n"/>
      <c r="UZX14" s="21" t="n"/>
      <c r="UZY14" s="21" t="n"/>
      <c r="UZZ14" s="21" t="n"/>
      <c r="VAA14" s="21" t="n"/>
      <c r="VAB14" s="21" t="n"/>
      <c r="VAC14" s="21" t="n"/>
      <c r="VAD14" s="21" t="n"/>
      <c r="VAE14" s="21" t="n"/>
      <c r="VAF14" s="21" t="n"/>
      <c r="VAG14" s="21" t="n"/>
      <c r="VAH14" s="21" t="n"/>
      <c r="VAI14" s="21" t="n"/>
      <c r="VAJ14" s="21" t="n"/>
      <c r="VAK14" s="21" t="n"/>
      <c r="VAL14" s="21" t="n"/>
      <c r="VAM14" s="21" t="n"/>
      <c r="VAN14" s="21" t="n"/>
      <c r="VAO14" s="21" t="n"/>
      <c r="VAP14" s="21" t="n"/>
      <c r="VAQ14" s="21" t="n"/>
      <c r="VAR14" s="21" t="n"/>
      <c r="VAS14" s="21" t="n"/>
      <c r="VAT14" s="21" t="n"/>
      <c r="VAU14" s="21" t="n"/>
      <c r="VAV14" s="21" t="n"/>
      <c r="VAW14" s="21" t="n"/>
      <c r="VAX14" s="21" t="n"/>
      <c r="VAY14" s="21" t="n"/>
      <c r="VAZ14" s="21" t="n"/>
      <c r="VBA14" s="21" t="n"/>
      <c r="VBB14" s="21" t="n"/>
      <c r="VBC14" s="21" t="n"/>
      <c r="VBD14" s="21" t="n"/>
      <c r="VBE14" s="21" t="n"/>
      <c r="VBF14" s="21" t="n"/>
      <c r="VBG14" s="21" t="n"/>
      <c r="VBH14" s="21" t="n"/>
      <c r="VBI14" s="21" t="n"/>
      <c r="VBJ14" s="21" t="n"/>
      <c r="VBK14" s="21" t="n"/>
      <c r="VBL14" s="21" t="n"/>
      <c r="VBM14" s="21" t="n"/>
      <c r="VBN14" s="21" t="n"/>
      <c r="VBO14" s="21" t="n"/>
      <c r="VBP14" s="21" t="n"/>
      <c r="VBQ14" s="21" t="n"/>
      <c r="VBR14" s="21" t="n"/>
      <c r="VBS14" s="21" t="n"/>
      <c r="VBT14" s="21" t="n"/>
      <c r="VBU14" s="21" t="n"/>
      <c r="VBV14" s="21" t="n"/>
      <c r="VBW14" s="21" t="n"/>
      <c r="VBX14" s="21" t="n"/>
      <c r="VBY14" s="21" t="n"/>
      <c r="VBZ14" s="21" t="n"/>
      <c r="VCA14" s="21" t="n"/>
      <c r="VCB14" s="21" t="n"/>
      <c r="VCC14" s="21" t="n"/>
      <c r="VCD14" s="21" t="n"/>
      <c r="VCE14" s="21" t="n"/>
      <c r="VCF14" s="21" t="n"/>
      <c r="VCG14" s="21" t="n"/>
      <c r="VCH14" s="21" t="n"/>
      <c r="VCI14" s="21" t="n"/>
      <c r="VCJ14" s="21" t="n"/>
      <c r="VCK14" s="21" t="n"/>
      <c r="VCL14" s="21" t="n"/>
      <c r="VCM14" s="21" t="n"/>
      <c r="VCN14" s="21" t="n"/>
      <c r="VCO14" s="21" t="n"/>
      <c r="VCP14" s="21" t="n"/>
      <c r="VCQ14" s="21" t="n"/>
      <c r="VCR14" s="21" t="n"/>
      <c r="VCS14" s="21" t="n"/>
      <c r="VCT14" s="21" t="n"/>
      <c r="VCU14" s="21" t="n"/>
      <c r="VCV14" s="21" t="n"/>
      <c r="VCW14" s="21" t="n"/>
      <c r="VCX14" s="21" t="n"/>
      <c r="VCY14" s="21" t="n"/>
      <c r="VCZ14" s="21" t="n"/>
      <c r="VDA14" s="21" t="n"/>
      <c r="VDB14" s="21" t="n"/>
      <c r="VDC14" s="21" t="n"/>
      <c r="VDD14" s="21" t="n"/>
      <c r="VDE14" s="21" t="n"/>
      <c r="VDF14" s="21" t="n"/>
      <c r="VDG14" s="21" t="n"/>
      <c r="VDH14" s="21" t="n"/>
      <c r="VDI14" s="21" t="n"/>
      <c r="VDJ14" s="21" t="n"/>
      <c r="VDK14" s="21" t="n"/>
      <c r="VDL14" s="21" t="n"/>
      <c r="VDM14" s="21" t="n"/>
      <c r="VDN14" s="21" t="n"/>
      <c r="VDO14" s="21" t="n"/>
      <c r="VDP14" s="21" t="n"/>
      <c r="VDQ14" s="21" t="n"/>
      <c r="VDR14" s="21" t="n"/>
      <c r="VDS14" s="21" t="n"/>
      <c r="VDT14" s="21" t="n"/>
      <c r="VDU14" s="21" t="n"/>
      <c r="VDV14" s="21" t="n"/>
      <c r="VDW14" s="21" t="n"/>
      <c r="VDX14" s="21" t="n"/>
      <c r="VDY14" s="21" t="n"/>
      <c r="VDZ14" s="21" t="n"/>
      <c r="VEA14" s="21" t="n"/>
      <c r="VEB14" s="21" t="n"/>
      <c r="VEC14" s="21" t="n"/>
      <c r="VED14" s="21" t="n"/>
      <c r="VEE14" s="21" t="n"/>
      <c r="VEF14" s="21" t="n"/>
      <c r="VEG14" s="21" t="n"/>
      <c r="VEH14" s="21" t="n"/>
      <c r="VEI14" s="21" t="n"/>
      <c r="VEJ14" s="21" t="n"/>
      <c r="VEK14" s="21" t="n"/>
      <c r="VEL14" s="21" t="n"/>
      <c r="VEM14" s="21" t="n"/>
      <c r="VEN14" s="21" t="n"/>
      <c r="VEO14" s="21" t="n"/>
      <c r="VEP14" s="21" t="n"/>
      <c r="VEQ14" s="21" t="n"/>
      <c r="VER14" s="21" t="n"/>
      <c r="VES14" s="21" t="n"/>
      <c r="VET14" s="21" t="n"/>
      <c r="VEU14" s="21" t="n"/>
      <c r="VEV14" s="21" t="n"/>
      <c r="VEW14" s="21" t="n"/>
      <c r="VEX14" s="21" t="n"/>
      <c r="VEY14" s="21" t="n"/>
      <c r="VEZ14" s="21" t="n"/>
      <c r="VFA14" s="21" t="n"/>
      <c r="VFB14" s="21" t="n"/>
      <c r="VFC14" s="21" t="n"/>
      <c r="VFD14" s="21" t="n"/>
      <c r="VFE14" s="21" t="n"/>
      <c r="VFF14" s="21" t="n"/>
      <c r="VFG14" s="21" t="n"/>
      <c r="VFH14" s="21" t="n"/>
      <c r="VFI14" s="21" t="n"/>
      <c r="VFJ14" s="21" t="n"/>
      <c r="VFK14" s="21" t="n"/>
      <c r="VFL14" s="21" t="n"/>
      <c r="VFM14" s="21" t="n"/>
      <c r="VFN14" s="21" t="n"/>
      <c r="VFO14" s="21" t="n"/>
      <c r="VFP14" s="21" t="n"/>
      <c r="VFQ14" s="21" t="n"/>
      <c r="VFR14" s="21" t="n"/>
      <c r="VFS14" s="21" t="n"/>
      <c r="VFT14" s="21" t="n"/>
      <c r="VFU14" s="21" t="n"/>
      <c r="VFV14" s="21" t="n"/>
      <c r="VFW14" s="21" t="n"/>
      <c r="VFX14" s="21" t="n"/>
      <c r="VFY14" s="21" t="n"/>
      <c r="VFZ14" s="21" t="n"/>
      <c r="VGA14" s="21" t="n"/>
      <c r="VGB14" s="21" t="n"/>
      <c r="VGC14" s="21" t="n"/>
      <c r="VGD14" s="21" t="n"/>
      <c r="VGE14" s="21" t="n"/>
      <c r="VGF14" s="21" t="n"/>
      <c r="VGG14" s="21" t="n"/>
      <c r="VGH14" s="21" t="n"/>
      <c r="VGI14" s="21" t="n"/>
      <c r="VGJ14" s="21" t="n"/>
      <c r="VGK14" s="21" t="n"/>
      <c r="VGL14" s="21" t="n"/>
      <c r="VGM14" s="21" t="n"/>
      <c r="VGN14" s="21" t="n"/>
      <c r="VGO14" s="21" t="n"/>
      <c r="VGP14" s="21" t="n"/>
      <c r="VGQ14" s="21" t="n"/>
      <c r="VGR14" s="21" t="n"/>
      <c r="VGS14" s="21" t="n"/>
      <c r="VGT14" s="21" t="n"/>
      <c r="VGU14" s="21" t="n"/>
      <c r="VGV14" s="21" t="n"/>
      <c r="VGW14" s="21" t="n"/>
      <c r="VGX14" s="21" t="n"/>
      <c r="VGY14" s="21" t="n"/>
      <c r="VGZ14" s="21" t="n"/>
      <c r="VHA14" s="21" t="n"/>
      <c r="VHB14" s="21" t="n"/>
      <c r="VHC14" s="21" t="n"/>
      <c r="VHD14" s="21" t="n"/>
      <c r="VHE14" s="21" t="n"/>
      <c r="VHF14" s="21" t="n"/>
      <c r="VHG14" s="21" t="n"/>
      <c r="VHH14" s="21" t="n"/>
      <c r="VHI14" s="21" t="n"/>
      <c r="VHJ14" s="21" t="n"/>
      <c r="VHK14" s="21" t="n"/>
      <c r="VHL14" s="21" t="n"/>
      <c r="VHM14" s="21" t="n"/>
      <c r="VHN14" s="21" t="n"/>
      <c r="VHO14" s="21" t="n"/>
      <c r="VHP14" s="21" t="n"/>
      <c r="VHQ14" s="21" t="n"/>
      <c r="VHR14" s="21" t="n"/>
      <c r="VHS14" s="21" t="n"/>
      <c r="VHT14" s="21" t="n"/>
      <c r="VHU14" s="21" t="n"/>
      <c r="VHV14" s="21" t="n"/>
      <c r="VHW14" s="21" t="n"/>
      <c r="VHX14" s="21" t="n"/>
      <c r="VHY14" s="21" t="n"/>
      <c r="VHZ14" s="21" t="n"/>
      <c r="VIA14" s="21" t="n"/>
      <c r="VIB14" s="21" t="n"/>
      <c r="VIC14" s="21" t="n"/>
      <c r="VID14" s="21" t="n"/>
      <c r="VIE14" s="21" t="n"/>
      <c r="VIF14" s="21" t="n"/>
      <c r="VIG14" s="21" t="n"/>
      <c r="VIH14" s="21" t="n"/>
      <c r="VII14" s="21" t="n"/>
      <c r="VIJ14" s="21" t="n"/>
      <c r="VIK14" s="21" t="n"/>
      <c r="VIL14" s="21" t="n"/>
      <c r="VIM14" s="21" t="n"/>
      <c r="VIN14" s="21" t="n"/>
      <c r="VIO14" s="21" t="n"/>
      <c r="VIP14" s="21" t="n"/>
      <c r="VIQ14" s="21" t="n"/>
      <c r="VIR14" s="21" t="n"/>
      <c r="VIS14" s="21" t="n"/>
      <c r="VIT14" s="21" t="n"/>
      <c r="VIU14" s="21" t="n"/>
      <c r="VIV14" s="21" t="n"/>
      <c r="VIW14" s="21" t="n"/>
      <c r="VIX14" s="21" t="n"/>
      <c r="VIY14" s="21" t="n"/>
      <c r="VIZ14" s="21" t="n"/>
      <c r="VJA14" s="21" t="n"/>
      <c r="VJB14" s="21" t="n"/>
      <c r="VJC14" s="21" t="n"/>
      <c r="VJD14" s="21" t="n"/>
      <c r="VJE14" s="21" t="n"/>
      <c r="VJF14" s="21" t="n"/>
      <c r="VJG14" s="21" t="n"/>
      <c r="VJH14" s="21" t="n"/>
      <c r="VJI14" s="21" t="n"/>
      <c r="VJJ14" s="21" t="n"/>
      <c r="VJK14" s="21" t="n"/>
      <c r="VJL14" s="21" t="n"/>
      <c r="VJM14" s="21" t="n"/>
      <c r="VJN14" s="21" t="n"/>
      <c r="VJO14" s="21" t="n"/>
      <c r="VJP14" s="21" t="n"/>
      <c r="VJQ14" s="21" t="n"/>
      <c r="VJR14" s="21" t="n"/>
      <c r="VJS14" s="21" t="n"/>
      <c r="VJT14" s="21" t="n"/>
      <c r="VJU14" s="21" t="n"/>
      <c r="VJV14" s="21" t="n"/>
      <c r="VJW14" s="21" t="n"/>
      <c r="VJX14" s="21" t="n"/>
      <c r="VJY14" s="21" t="n"/>
      <c r="VJZ14" s="21" t="n"/>
      <c r="VKA14" s="21" t="n"/>
      <c r="VKB14" s="21" t="n"/>
      <c r="VKC14" s="21" t="n"/>
      <c r="VKD14" s="21" t="n"/>
      <c r="VKE14" s="21" t="n"/>
      <c r="VKF14" s="21" t="n"/>
      <c r="VKG14" s="21" t="n"/>
      <c r="VKH14" s="21" t="n"/>
      <c r="VKI14" s="21" t="n"/>
      <c r="VKJ14" s="21" t="n"/>
      <c r="VKK14" s="21" t="n"/>
      <c r="VKL14" s="21" t="n"/>
      <c r="VKM14" s="21" t="n"/>
      <c r="VKN14" s="21" t="n"/>
      <c r="VKO14" s="21" t="n"/>
      <c r="VKP14" s="21" t="n"/>
      <c r="VKQ14" s="21" t="n"/>
      <c r="VKR14" s="21" t="n"/>
      <c r="VKS14" s="21" t="n"/>
      <c r="VKT14" s="21" t="n"/>
      <c r="VKU14" s="21" t="n"/>
      <c r="VKV14" s="21" t="n"/>
      <c r="VKW14" s="21" t="n"/>
      <c r="VKX14" s="21" t="n"/>
      <c r="VKY14" s="21" t="n"/>
      <c r="VKZ14" s="21" t="n"/>
      <c r="VLA14" s="21" t="n"/>
      <c r="VLB14" s="21" t="n"/>
      <c r="VLC14" s="21" t="n"/>
      <c r="VLD14" s="21" t="n"/>
      <c r="VLE14" s="21" t="n"/>
      <c r="VLF14" s="21" t="n"/>
      <c r="VLG14" s="21" t="n"/>
      <c r="VLH14" s="21" t="n"/>
      <c r="VLI14" s="21" t="n"/>
      <c r="VLJ14" s="21" t="n"/>
      <c r="VLK14" s="21" t="n"/>
      <c r="VLL14" s="21" t="n"/>
      <c r="VLM14" s="21" t="n"/>
      <c r="VLN14" s="21" t="n"/>
      <c r="VLO14" s="21" t="n"/>
      <c r="VLP14" s="21" t="n"/>
      <c r="VLQ14" s="21" t="n"/>
      <c r="VLR14" s="21" t="n"/>
      <c r="VLS14" s="21" t="n"/>
      <c r="VLT14" s="21" t="n"/>
      <c r="VLU14" s="21" t="n"/>
      <c r="VLV14" s="21" t="n"/>
      <c r="VLW14" s="21" t="n"/>
      <c r="VLX14" s="21" t="n"/>
      <c r="VLY14" s="21" t="n"/>
      <c r="VLZ14" s="21" t="n"/>
      <c r="VMA14" s="21" t="n"/>
      <c r="VMB14" s="21" t="n"/>
      <c r="VMC14" s="21" t="n"/>
      <c r="VMD14" s="21" t="n"/>
      <c r="VME14" s="21" t="n"/>
      <c r="VMF14" s="21" t="n"/>
      <c r="VMG14" s="21" t="n"/>
      <c r="VMH14" s="21" t="n"/>
      <c r="VMI14" s="21" t="n"/>
      <c r="VMJ14" s="21" t="n"/>
      <c r="VMK14" s="21" t="n"/>
      <c r="VML14" s="21" t="n"/>
      <c r="VMM14" s="21" t="n"/>
      <c r="VMN14" s="21" t="n"/>
      <c r="VMO14" s="21" t="n"/>
      <c r="VMP14" s="21" t="n"/>
      <c r="VMQ14" s="21" t="n"/>
      <c r="VMR14" s="21" t="n"/>
      <c r="VMS14" s="21" t="n"/>
      <c r="VMT14" s="21" t="n"/>
      <c r="VMU14" s="21" t="n"/>
      <c r="VMV14" s="21" t="n"/>
      <c r="VMW14" s="21" t="n"/>
      <c r="VMX14" s="21" t="n"/>
      <c r="VMY14" s="21" t="n"/>
      <c r="VMZ14" s="21" t="n"/>
      <c r="VNA14" s="21" t="n"/>
      <c r="VNB14" s="21" t="n"/>
      <c r="VNC14" s="21" t="n"/>
      <c r="VND14" s="21" t="n"/>
      <c r="VNE14" s="21" t="n"/>
      <c r="VNF14" s="21" t="n"/>
      <c r="VNG14" s="21" t="n"/>
      <c r="VNH14" s="21" t="n"/>
      <c r="VNI14" s="21" t="n"/>
      <c r="VNJ14" s="21" t="n"/>
      <c r="VNK14" s="21" t="n"/>
      <c r="VNL14" s="21" t="n"/>
      <c r="VNM14" s="21" t="n"/>
      <c r="VNN14" s="21" t="n"/>
      <c r="VNO14" s="21" t="n"/>
      <c r="VNP14" s="21" t="n"/>
      <c r="VNQ14" s="21" t="n"/>
      <c r="VNR14" s="21" t="n"/>
      <c r="VNS14" s="21" t="n"/>
      <c r="VNT14" s="21" t="n"/>
      <c r="VNU14" s="21" t="n"/>
      <c r="VNV14" s="21" t="n"/>
      <c r="VNW14" s="21" t="n"/>
      <c r="VNX14" s="21" t="n"/>
      <c r="VNY14" s="21" t="n"/>
      <c r="VNZ14" s="21" t="n"/>
      <c r="VOA14" s="21" t="n"/>
      <c r="VOB14" s="21" t="n"/>
      <c r="VOC14" s="21" t="n"/>
      <c r="VOD14" s="21" t="n"/>
      <c r="VOE14" s="21" t="n"/>
      <c r="VOF14" s="21" t="n"/>
      <c r="VOG14" s="21" t="n"/>
      <c r="VOH14" s="21" t="n"/>
      <c r="VOI14" s="21" t="n"/>
      <c r="VOJ14" s="21" t="n"/>
      <c r="VOK14" s="21" t="n"/>
      <c r="VOL14" s="21" t="n"/>
      <c r="VOM14" s="21" t="n"/>
      <c r="VON14" s="21" t="n"/>
      <c r="VOO14" s="21" t="n"/>
      <c r="VOP14" s="21" t="n"/>
      <c r="VOQ14" s="21" t="n"/>
      <c r="VOR14" s="21" t="n"/>
      <c r="VOS14" s="21" t="n"/>
      <c r="VOT14" s="21" t="n"/>
      <c r="VOU14" s="21" t="n"/>
      <c r="VOV14" s="21" t="n"/>
      <c r="VOW14" s="21" t="n"/>
      <c r="VOX14" s="21" t="n"/>
      <c r="VOY14" s="21" t="n"/>
      <c r="VOZ14" s="21" t="n"/>
      <c r="VPA14" s="21" t="n"/>
      <c r="VPB14" s="21" t="n"/>
      <c r="VPC14" s="21" t="n"/>
      <c r="VPD14" s="21" t="n"/>
      <c r="VPE14" s="21" t="n"/>
      <c r="VPF14" s="21" t="n"/>
      <c r="VPG14" s="21" t="n"/>
      <c r="VPH14" s="21" t="n"/>
      <c r="VPI14" s="21" t="n"/>
      <c r="VPJ14" s="21" t="n"/>
      <c r="VPK14" s="21" t="n"/>
      <c r="VPL14" s="21" t="n"/>
      <c r="VPM14" s="21" t="n"/>
      <c r="VPN14" s="21" t="n"/>
      <c r="VPO14" s="21" t="n"/>
      <c r="VPP14" s="21" t="n"/>
      <c r="VPQ14" s="21" t="n"/>
      <c r="VPR14" s="21" t="n"/>
      <c r="VPS14" s="21" t="n"/>
      <c r="VPT14" s="21" t="n"/>
      <c r="VPU14" s="21" t="n"/>
      <c r="VPV14" s="21" t="n"/>
      <c r="VPW14" s="21" t="n"/>
      <c r="VPX14" s="21" t="n"/>
      <c r="VPY14" s="21" t="n"/>
      <c r="VPZ14" s="21" t="n"/>
      <c r="VQA14" s="21" t="n"/>
      <c r="VQB14" s="21" t="n"/>
      <c r="VQC14" s="21" t="n"/>
      <c r="VQD14" s="21" t="n"/>
      <c r="VQE14" s="21" t="n"/>
      <c r="VQF14" s="21" t="n"/>
      <c r="VQG14" s="21" t="n"/>
      <c r="VQH14" s="21" t="n"/>
      <c r="VQI14" s="21" t="n"/>
      <c r="VQJ14" s="21" t="n"/>
      <c r="VQK14" s="21" t="n"/>
      <c r="VQL14" s="21" t="n"/>
      <c r="VQM14" s="21" t="n"/>
      <c r="VQN14" s="21" t="n"/>
      <c r="VQO14" s="21" t="n"/>
      <c r="VQP14" s="21" t="n"/>
      <c r="VQQ14" s="21" t="n"/>
      <c r="VQR14" s="21" t="n"/>
      <c r="VQS14" s="21" t="n"/>
      <c r="VQT14" s="21" t="n"/>
      <c r="VQU14" s="21" t="n"/>
      <c r="VQV14" s="21" t="n"/>
      <c r="VQW14" s="21" t="n"/>
      <c r="VQX14" s="21" t="n"/>
      <c r="VQY14" s="21" t="n"/>
      <c r="VQZ14" s="21" t="n"/>
      <c r="VRA14" s="21" t="n"/>
      <c r="VRB14" s="21" t="n"/>
      <c r="VRC14" s="21" t="n"/>
      <c r="VRD14" s="21" t="n"/>
      <c r="VRE14" s="21" t="n"/>
      <c r="VRF14" s="21" t="n"/>
      <c r="VRG14" s="21" t="n"/>
      <c r="VRH14" s="21" t="n"/>
      <c r="VRI14" s="21" t="n"/>
      <c r="VRJ14" s="21" t="n"/>
      <c r="VRK14" s="21" t="n"/>
      <c r="VRL14" s="21" t="n"/>
      <c r="VRM14" s="21" t="n"/>
      <c r="VRN14" s="21" t="n"/>
      <c r="VRO14" s="21" t="n"/>
      <c r="VRP14" s="21" t="n"/>
      <c r="VRQ14" s="21" t="n"/>
      <c r="VRR14" s="21" t="n"/>
      <c r="VRS14" s="21" t="n"/>
      <c r="VRT14" s="21" t="n"/>
      <c r="VRU14" s="21" t="n"/>
      <c r="VRV14" s="21" t="n"/>
      <c r="VRW14" s="21" t="n"/>
      <c r="VRX14" s="21" t="n"/>
      <c r="VRY14" s="21" t="n"/>
      <c r="VRZ14" s="21" t="n"/>
      <c r="VSA14" s="21" t="n"/>
      <c r="VSB14" s="21" t="n"/>
      <c r="VSC14" s="21" t="n"/>
      <c r="VSD14" s="21" t="n"/>
      <c r="VSE14" s="21" t="n"/>
      <c r="VSF14" s="21" t="n"/>
      <c r="VSG14" s="21" t="n"/>
      <c r="VSH14" s="21" t="n"/>
      <c r="VSI14" s="21" t="n"/>
      <c r="VSJ14" s="21" t="n"/>
      <c r="VSK14" s="21" t="n"/>
      <c r="VSL14" s="21" t="n"/>
      <c r="VSM14" s="21" t="n"/>
      <c r="VSN14" s="21" t="n"/>
      <c r="VSO14" s="21" t="n"/>
      <c r="VSP14" s="21" t="n"/>
      <c r="VSQ14" s="21" t="n"/>
      <c r="VSR14" s="21" t="n"/>
      <c r="VSS14" s="21" t="n"/>
      <c r="VST14" s="21" t="n"/>
      <c r="VSU14" s="21" t="n"/>
      <c r="VSV14" s="21" t="n"/>
      <c r="VSW14" s="21" t="n"/>
      <c r="VSX14" s="21" t="n"/>
      <c r="VSY14" s="21" t="n"/>
      <c r="VSZ14" s="21" t="n"/>
      <c r="VTA14" s="21" t="n"/>
      <c r="VTB14" s="21" t="n"/>
      <c r="VTC14" s="21" t="n"/>
      <c r="VTD14" s="21" t="n"/>
      <c r="VTE14" s="21" t="n"/>
      <c r="VTF14" s="21" t="n"/>
      <c r="VTG14" s="21" t="n"/>
      <c r="VTH14" s="21" t="n"/>
      <c r="VTI14" s="21" t="n"/>
      <c r="VTJ14" s="21" t="n"/>
      <c r="VTK14" s="21" t="n"/>
      <c r="VTL14" s="21" t="n"/>
      <c r="VTM14" s="21" t="n"/>
      <c r="VTN14" s="21" t="n"/>
      <c r="VTO14" s="21" t="n"/>
      <c r="VTP14" s="21" t="n"/>
      <c r="VTQ14" s="21" t="n"/>
      <c r="VTR14" s="21" t="n"/>
      <c r="VTS14" s="21" t="n"/>
      <c r="VTT14" s="21" t="n"/>
      <c r="VTU14" s="21" t="n"/>
      <c r="VTV14" s="21" t="n"/>
      <c r="VTW14" s="21" t="n"/>
      <c r="VTX14" s="21" t="n"/>
      <c r="VTY14" s="21" t="n"/>
      <c r="VTZ14" s="21" t="n"/>
      <c r="VUA14" s="21" t="n"/>
      <c r="VUB14" s="21" t="n"/>
      <c r="VUC14" s="21" t="n"/>
      <c r="VUD14" s="21" t="n"/>
      <c r="VUE14" s="21" t="n"/>
      <c r="VUF14" s="21" t="n"/>
      <c r="VUG14" s="21" t="n"/>
      <c r="VUH14" s="21" t="n"/>
      <c r="VUI14" s="21" t="n"/>
      <c r="VUJ14" s="21" t="n"/>
      <c r="VUK14" s="21" t="n"/>
      <c r="VUL14" s="21" t="n"/>
      <c r="VUM14" s="21" t="n"/>
      <c r="VUN14" s="21" t="n"/>
      <c r="VUO14" s="21" t="n"/>
      <c r="VUP14" s="21" t="n"/>
      <c r="VUQ14" s="21" t="n"/>
      <c r="VUR14" s="21" t="n"/>
      <c r="VUS14" s="21" t="n"/>
      <c r="VUT14" s="21" t="n"/>
      <c r="VUU14" s="21" t="n"/>
      <c r="VUV14" s="21" t="n"/>
      <c r="VUW14" s="21" t="n"/>
      <c r="VUX14" s="21" t="n"/>
      <c r="VUY14" s="21" t="n"/>
      <c r="VUZ14" s="21" t="n"/>
      <c r="VVA14" s="21" t="n"/>
      <c r="VVB14" s="21" t="n"/>
      <c r="VVC14" s="21" t="n"/>
      <c r="VVD14" s="21" t="n"/>
      <c r="VVE14" s="21" t="n"/>
      <c r="VVF14" s="21" t="n"/>
      <c r="VVG14" s="21" t="n"/>
      <c r="VVH14" s="21" t="n"/>
      <c r="VVI14" s="21" t="n"/>
      <c r="VVJ14" s="21" t="n"/>
      <c r="VVK14" s="21" t="n"/>
      <c r="VVL14" s="21" t="n"/>
      <c r="VVM14" s="21" t="n"/>
      <c r="VVN14" s="21" t="n"/>
      <c r="VVO14" s="21" t="n"/>
      <c r="VVP14" s="21" t="n"/>
      <c r="VVQ14" s="21" t="n"/>
      <c r="VVR14" s="21" t="n"/>
      <c r="VVS14" s="21" t="n"/>
      <c r="VVT14" s="21" t="n"/>
      <c r="VVU14" s="21" t="n"/>
      <c r="VVV14" s="21" t="n"/>
      <c r="VVW14" s="21" t="n"/>
      <c r="VVX14" s="21" t="n"/>
      <c r="VVY14" s="21" t="n"/>
      <c r="VVZ14" s="21" t="n"/>
      <c r="VWA14" s="21" t="n"/>
      <c r="VWB14" s="21" t="n"/>
      <c r="VWC14" s="21" t="n"/>
      <c r="VWD14" s="21" t="n"/>
      <c r="VWE14" s="21" t="n"/>
      <c r="VWF14" s="21" t="n"/>
      <c r="VWG14" s="21" t="n"/>
      <c r="VWH14" s="21" t="n"/>
      <c r="VWI14" s="21" t="n"/>
      <c r="VWJ14" s="21" t="n"/>
      <c r="VWK14" s="21" t="n"/>
      <c r="VWL14" s="21" t="n"/>
      <c r="VWM14" s="21" t="n"/>
      <c r="VWN14" s="21" t="n"/>
      <c r="VWO14" s="21" t="n"/>
      <c r="VWP14" s="21" t="n"/>
      <c r="VWQ14" s="21" t="n"/>
      <c r="VWR14" s="21" t="n"/>
      <c r="VWS14" s="21" t="n"/>
      <c r="VWT14" s="21" t="n"/>
      <c r="VWU14" s="21" t="n"/>
      <c r="VWV14" s="21" t="n"/>
      <c r="VWW14" s="21" t="n"/>
      <c r="VWX14" s="21" t="n"/>
      <c r="VWY14" s="21" t="n"/>
      <c r="VWZ14" s="21" t="n"/>
      <c r="VXA14" s="21" t="n"/>
      <c r="VXB14" s="21" t="n"/>
      <c r="VXC14" s="21" t="n"/>
      <c r="VXD14" s="21" t="n"/>
      <c r="VXE14" s="21" t="n"/>
      <c r="VXF14" s="21" t="n"/>
      <c r="VXG14" s="21" t="n"/>
      <c r="VXH14" s="21" t="n"/>
      <c r="VXI14" s="21" t="n"/>
      <c r="VXJ14" s="21" t="n"/>
      <c r="VXK14" s="21" t="n"/>
      <c r="VXL14" s="21" t="n"/>
      <c r="VXM14" s="21" t="n"/>
      <c r="VXN14" s="21" t="n"/>
      <c r="VXO14" s="21" t="n"/>
      <c r="VXP14" s="21" t="n"/>
      <c r="VXQ14" s="21" t="n"/>
      <c r="VXR14" s="21" t="n"/>
      <c r="VXS14" s="21" t="n"/>
      <c r="VXT14" s="21" t="n"/>
      <c r="VXU14" s="21" t="n"/>
      <c r="VXV14" s="21" t="n"/>
      <c r="VXW14" s="21" t="n"/>
      <c r="VXX14" s="21" t="n"/>
      <c r="VXY14" s="21" t="n"/>
      <c r="VXZ14" s="21" t="n"/>
      <c r="VYA14" s="21" t="n"/>
      <c r="VYB14" s="21" t="n"/>
      <c r="VYC14" s="21" t="n"/>
      <c r="VYD14" s="21" t="n"/>
      <c r="VYE14" s="21" t="n"/>
      <c r="VYF14" s="21" t="n"/>
      <c r="VYG14" s="21" t="n"/>
      <c r="VYH14" s="21" t="n"/>
      <c r="VYI14" s="21" t="n"/>
      <c r="VYJ14" s="21" t="n"/>
      <c r="VYK14" s="21" t="n"/>
      <c r="VYL14" s="21" t="n"/>
      <c r="VYM14" s="21" t="n"/>
      <c r="VYN14" s="21" t="n"/>
      <c r="VYO14" s="21" t="n"/>
      <c r="VYP14" s="21" t="n"/>
      <c r="VYQ14" s="21" t="n"/>
      <c r="VYR14" s="21" t="n"/>
      <c r="VYS14" s="21" t="n"/>
      <c r="VYT14" s="21" t="n"/>
      <c r="VYU14" s="21" t="n"/>
      <c r="VYV14" s="21" t="n"/>
      <c r="VYW14" s="21" t="n"/>
      <c r="VYX14" s="21" t="n"/>
      <c r="VYY14" s="21" t="n"/>
      <c r="VYZ14" s="21" t="n"/>
      <c r="VZA14" s="21" t="n"/>
      <c r="VZB14" s="21" t="n"/>
      <c r="VZC14" s="21" t="n"/>
      <c r="VZD14" s="21" t="n"/>
      <c r="VZE14" s="21" t="n"/>
      <c r="VZF14" s="21" t="n"/>
      <c r="VZG14" s="21" t="n"/>
      <c r="VZH14" s="21" t="n"/>
      <c r="VZI14" s="21" t="n"/>
      <c r="VZJ14" s="21" t="n"/>
      <c r="VZK14" s="21" t="n"/>
      <c r="VZL14" s="21" t="n"/>
      <c r="VZM14" s="21" t="n"/>
      <c r="VZN14" s="21" t="n"/>
      <c r="VZO14" s="21" t="n"/>
      <c r="VZP14" s="21" t="n"/>
      <c r="VZQ14" s="21" t="n"/>
      <c r="VZR14" s="21" t="n"/>
      <c r="VZS14" s="21" t="n"/>
      <c r="VZT14" s="21" t="n"/>
      <c r="VZU14" s="21" t="n"/>
      <c r="VZV14" s="21" t="n"/>
      <c r="VZW14" s="21" t="n"/>
      <c r="VZX14" s="21" t="n"/>
      <c r="VZY14" s="21" t="n"/>
      <c r="VZZ14" s="21" t="n"/>
      <c r="WAA14" s="21" t="n"/>
      <c r="WAB14" s="21" t="n"/>
      <c r="WAC14" s="21" t="n"/>
      <c r="WAD14" s="21" t="n"/>
      <c r="WAE14" s="21" t="n"/>
      <c r="WAF14" s="21" t="n"/>
      <c r="WAG14" s="21" t="n"/>
      <c r="WAH14" s="21" t="n"/>
      <c r="WAI14" s="21" t="n"/>
      <c r="WAJ14" s="21" t="n"/>
      <c r="WAK14" s="21" t="n"/>
      <c r="WAL14" s="21" t="n"/>
      <c r="WAM14" s="21" t="n"/>
      <c r="WAN14" s="21" t="n"/>
      <c r="WAO14" s="21" t="n"/>
      <c r="WAP14" s="21" t="n"/>
      <c r="WAQ14" s="21" t="n"/>
      <c r="WAR14" s="21" t="n"/>
      <c r="WAS14" s="21" t="n"/>
      <c r="WAT14" s="21" t="n"/>
      <c r="WAU14" s="21" t="n"/>
      <c r="WAV14" s="21" t="n"/>
      <c r="WAW14" s="21" t="n"/>
      <c r="WAX14" s="21" t="n"/>
      <c r="WAY14" s="21" t="n"/>
      <c r="WAZ14" s="21" t="n"/>
      <c r="WBA14" s="21" t="n"/>
      <c r="WBB14" s="21" t="n"/>
      <c r="WBC14" s="21" t="n"/>
      <c r="WBD14" s="21" t="n"/>
      <c r="WBE14" s="21" t="n"/>
      <c r="WBF14" s="21" t="n"/>
      <c r="WBG14" s="21" t="n"/>
      <c r="WBH14" s="21" t="n"/>
      <c r="WBI14" s="21" t="n"/>
      <c r="WBJ14" s="21" t="n"/>
      <c r="WBK14" s="21" t="n"/>
      <c r="WBL14" s="21" t="n"/>
      <c r="WBM14" s="21" t="n"/>
      <c r="WBN14" s="21" t="n"/>
      <c r="WBO14" s="21" t="n"/>
      <c r="WBP14" s="21" t="n"/>
      <c r="WBQ14" s="21" t="n"/>
      <c r="WBR14" s="21" t="n"/>
      <c r="WBS14" s="21" t="n"/>
      <c r="WBT14" s="21" t="n"/>
      <c r="WBU14" s="21" t="n"/>
      <c r="WBV14" s="21" t="n"/>
      <c r="WBW14" s="21" t="n"/>
      <c r="WBX14" s="21" t="n"/>
      <c r="WBY14" s="21" t="n"/>
      <c r="WBZ14" s="21" t="n"/>
      <c r="WCA14" s="21" t="n"/>
      <c r="WCB14" s="21" t="n"/>
      <c r="WCC14" s="21" t="n"/>
      <c r="WCD14" s="21" t="n"/>
      <c r="WCE14" s="21" t="n"/>
      <c r="WCF14" s="21" t="n"/>
      <c r="WCG14" s="21" t="n"/>
      <c r="WCH14" s="21" t="n"/>
      <c r="WCI14" s="21" t="n"/>
      <c r="WCJ14" s="21" t="n"/>
      <c r="WCK14" s="21" t="n"/>
      <c r="WCL14" s="21" t="n"/>
      <c r="WCM14" s="21" t="n"/>
      <c r="WCN14" s="21" t="n"/>
      <c r="WCO14" s="21" t="n"/>
      <c r="WCP14" s="21" t="n"/>
      <c r="WCQ14" s="21" t="n"/>
      <c r="WCR14" s="21" t="n"/>
      <c r="WCS14" s="21" t="n"/>
      <c r="WCT14" s="21" t="n"/>
      <c r="WCU14" s="21" t="n"/>
      <c r="WCV14" s="21" t="n"/>
      <c r="WCW14" s="21" t="n"/>
      <c r="WCX14" s="21" t="n"/>
      <c r="WCY14" s="21" t="n"/>
      <c r="WCZ14" s="21" t="n"/>
      <c r="WDA14" s="21" t="n"/>
      <c r="WDB14" s="21" t="n"/>
      <c r="WDC14" s="21" t="n"/>
      <c r="WDD14" s="21" t="n"/>
      <c r="WDE14" s="21" t="n"/>
      <c r="WDF14" s="21" t="n"/>
      <c r="WDG14" s="21" t="n"/>
      <c r="WDH14" s="21" t="n"/>
      <c r="WDI14" s="21" t="n"/>
      <c r="WDJ14" s="21" t="n"/>
      <c r="WDK14" s="21" t="n"/>
      <c r="WDL14" s="21" t="n"/>
      <c r="WDM14" s="21" t="n"/>
      <c r="WDN14" s="21" t="n"/>
      <c r="WDO14" s="21" t="n"/>
      <c r="WDP14" s="21" t="n"/>
      <c r="WDQ14" s="21" t="n"/>
      <c r="WDR14" s="21" t="n"/>
      <c r="WDS14" s="21" t="n"/>
      <c r="WDT14" s="21" t="n"/>
      <c r="WDU14" s="21" t="n"/>
      <c r="WDV14" s="21" t="n"/>
      <c r="WDW14" s="21" t="n"/>
      <c r="WDX14" s="21" t="n"/>
      <c r="WDY14" s="21" t="n"/>
      <c r="WDZ14" s="21" t="n"/>
      <c r="WEA14" s="21" t="n"/>
      <c r="WEB14" s="21" t="n"/>
      <c r="WEC14" s="21" t="n"/>
      <c r="WED14" s="21" t="n"/>
      <c r="WEE14" s="21" t="n"/>
      <c r="WEF14" s="21" t="n"/>
      <c r="WEG14" s="21" t="n"/>
      <c r="WEH14" s="21" t="n"/>
      <c r="WEI14" s="21" t="n"/>
      <c r="WEJ14" s="21" t="n"/>
      <c r="WEK14" s="21" t="n"/>
      <c r="WEL14" s="21" t="n"/>
      <c r="WEM14" s="21" t="n"/>
      <c r="WEN14" s="21" t="n"/>
      <c r="WEO14" s="21" t="n"/>
      <c r="WEP14" s="21" t="n"/>
      <c r="WEQ14" s="21" t="n"/>
      <c r="WER14" s="21" t="n"/>
      <c r="WES14" s="21" t="n"/>
      <c r="WET14" s="21" t="n"/>
      <c r="WEU14" s="21" t="n"/>
      <c r="WEV14" s="21" t="n"/>
      <c r="WEW14" s="21" t="n"/>
      <c r="WEX14" s="21" t="n"/>
      <c r="WEY14" s="21" t="n"/>
      <c r="WEZ14" s="21" t="n"/>
      <c r="WFA14" s="21" t="n"/>
      <c r="WFB14" s="21" t="n"/>
      <c r="WFC14" s="21" t="n"/>
      <c r="WFD14" s="21" t="n"/>
      <c r="WFE14" s="21" t="n"/>
      <c r="WFF14" s="21" t="n"/>
      <c r="WFG14" s="21" t="n"/>
      <c r="WFH14" s="21" t="n"/>
      <c r="WFI14" s="21" t="n"/>
      <c r="WFJ14" s="21" t="n"/>
      <c r="WFK14" s="21" t="n"/>
      <c r="WFL14" s="21" t="n"/>
      <c r="WFM14" s="21" t="n"/>
      <c r="WFN14" s="21" t="n"/>
      <c r="WFO14" s="21" t="n"/>
      <c r="WFP14" s="21" t="n"/>
      <c r="WFQ14" s="21" t="n"/>
      <c r="WFR14" s="21" t="n"/>
      <c r="WFS14" s="21" t="n"/>
      <c r="WFT14" s="21" t="n"/>
      <c r="WFU14" s="21" t="n"/>
      <c r="WFV14" s="21" t="n"/>
      <c r="WFW14" s="21" t="n"/>
      <c r="WFX14" s="21" t="n"/>
      <c r="WFY14" s="21" t="n"/>
      <c r="WFZ14" s="21" t="n"/>
      <c r="WGA14" s="21" t="n"/>
      <c r="WGB14" s="21" t="n"/>
      <c r="WGC14" s="21" t="n"/>
      <c r="WGD14" s="21" t="n"/>
      <c r="WGE14" s="21" t="n"/>
      <c r="WGF14" s="21" t="n"/>
      <c r="WGG14" s="21" t="n"/>
      <c r="WGH14" s="21" t="n"/>
      <c r="WGI14" s="21" t="n"/>
      <c r="WGJ14" s="21" t="n"/>
      <c r="WGK14" s="21" t="n"/>
      <c r="WGL14" s="21" t="n"/>
      <c r="WGM14" s="21" t="n"/>
      <c r="WGN14" s="21" t="n"/>
      <c r="WGO14" s="21" t="n"/>
      <c r="WGP14" s="21" t="n"/>
      <c r="WGQ14" s="21" t="n"/>
      <c r="WGR14" s="21" t="n"/>
      <c r="WGS14" s="21" t="n"/>
      <c r="WGT14" s="21" t="n"/>
      <c r="WGU14" s="21" t="n"/>
      <c r="WGV14" s="21" t="n"/>
      <c r="WGW14" s="21" t="n"/>
      <c r="WGX14" s="21" t="n"/>
      <c r="WGY14" s="21" t="n"/>
      <c r="WGZ14" s="21" t="n"/>
      <c r="WHA14" s="21" t="n"/>
      <c r="WHB14" s="21" t="n"/>
      <c r="WHC14" s="21" t="n"/>
      <c r="WHD14" s="21" t="n"/>
      <c r="WHE14" s="21" t="n"/>
      <c r="WHF14" s="21" t="n"/>
      <c r="WHG14" s="21" t="n"/>
      <c r="WHH14" s="21" t="n"/>
      <c r="WHI14" s="21" t="n"/>
      <c r="WHJ14" s="21" t="n"/>
      <c r="WHK14" s="21" t="n"/>
      <c r="WHL14" s="21" t="n"/>
      <c r="WHM14" s="21" t="n"/>
      <c r="WHN14" s="21" t="n"/>
      <c r="WHO14" s="21" t="n"/>
      <c r="WHP14" s="21" t="n"/>
      <c r="WHQ14" s="21" t="n"/>
      <c r="WHR14" s="21" t="n"/>
      <c r="WHS14" s="21" t="n"/>
      <c r="WHT14" s="21" t="n"/>
      <c r="WHU14" s="21" t="n"/>
      <c r="WHV14" s="21" t="n"/>
      <c r="WHW14" s="21" t="n"/>
      <c r="WHX14" s="21" t="n"/>
      <c r="WHY14" s="21" t="n"/>
      <c r="WHZ14" s="21" t="n"/>
      <c r="WIA14" s="21" t="n"/>
      <c r="WIB14" s="21" t="n"/>
      <c r="WIC14" s="21" t="n"/>
      <c r="WID14" s="21" t="n"/>
      <c r="WIE14" s="21" t="n"/>
      <c r="WIF14" s="21" t="n"/>
      <c r="WIG14" s="21" t="n"/>
      <c r="WIH14" s="21" t="n"/>
      <c r="WII14" s="21" t="n"/>
      <c r="WIJ14" s="21" t="n"/>
      <c r="WIK14" s="21" t="n"/>
      <c r="WIL14" s="21" t="n"/>
      <c r="WIM14" s="21" t="n"/>
      <c r="WIN14" s="21" t="n"/>
      <c r="WIO14" s="21" t="n"/>
      <c r="WIP14" s="21" t="n"/>
      <c r="WIQ14" s="21" t="n"/>
      <c r="WIR14" s="21" t="n"/>
      <c r="WIS14" s="21" t="n"/>
      <c r="WIT14" s="21" t="n"/>
      <c r="WIU14" s="21" t="n"/>
      <c r="WIV14" s="21" t="n"/>
      <c r="WIW14" s="21" t="n"/>
      <c r="WIX14" s="21" t="n"/>
      <c r="WIY14" s="21" t="n"/>
      <c r="WIZ14" s="21" t="n"/>
      <c r="WJA14" s="21" t="n"/>
      <c r="WJB14" s="21" t="n"/>
      <c r="WJC14" s="21" t="n"/>
      <c r="WJD14" s="21" t="n"/>
      <c r="WJE14" s="21" t="n"/>
      <c r="WJF14" s="21" t="n"/>
      <c r="WJG14" s="21" t="n"/>
      <c r="WJH14" s="21" t="n"/>
      <c r="WJI14" s="21" t="n"/>
      <c r="WJJ14" s="21" t="n"/>
      <c r="WJK14" s="21" t="n"/>
      <c r="WJL14" s="21" t="n"/>
      <c r="WJM14" s="21" t="n"/>
      <c r="WJN14" s="21" t="n"/>
      <c r="WJO14" s="21" t="n"/>
      <c r="WJP14" s="21" t="n"/>
      <c r="WJQ14" s="21" t="n"/>
      <c r="WJR14" s="21" t="n"/>
      <c r="WJS14" s="21" t="n"/>
      <c r="WJT14" s="21" t="n"/>
      <c r="WJU14" s="21" t="n"/>
      <c r="WJV14" s="21" t="n"/>
      <c r="WJW14" s="21" t="n"/>
      <c r="WJX14" s="21" t="n"/>
      <c r="WJY14" s="21" t="n"/>
      <c r="WJZ14" s="21" t="n"/>
      <c r="WKA14" s="21" t="n"/>
      <c r="WKB14" s="21" t="n"/>
      <c r="WKC14" s="21" t="n"/>
      <c r="WKD14" s="21" t="n"/>
      <c r="WKE14" s="21" t="n"/>
      <c r="WKF14" s="21" t="n"/>
      <c r="WKG14" s="21" t="n"/>
      <c r="WKH14" s="21" t="n"/>
      <c r="WKI14" s="21" t="n"/>
      <c r="WKJ14" s="21" t="n"/>
      <c r="WKK14" s="21" t="n"/>
      <c r="WKL14" s="21" t="n"/>
      <c r="WKM14" s="21" t="n"/>
      <c r="WKN14" s="21" t="n"/>
      <c r="WKO14" s="21" t="n"/>
      <c r="WKP14" s="21" t="n"/>
      <c r="WKQ14" s="21" t="n"/>
      <c r="WKR14" s="21" t="n"/>
      <c r="WKS14" s="21" t="n"/>
      <c r="WKT14" s="21" t="n"/>
      <c r="WKU14" s="21" t="n"/>
      <c r="WKV14" s="21" t="n"/>
      <c r="WKW14" s="21" t="n"/>
      <c r="WKX14" s="21" t="n"/>
      <c r="WKY14" s="21" t="n"/>
      <c r="WKZ14" s="21" t="n"/>
      <c r="WLA14" s="21" t="n"/>
      <c r="WLB14" s="21" t="n"/>
      <c r="WLC14" s="21" t="n"/>
      <c r="WLD14" s="21" t="n"/>
      <c r="WLE14" s="21" t="n"/>
      <c r="WLF14" s="21" t="n"/>
      <c r="WLG14" s="21" t="n"/>
      <c r="WLH14" s="21" t="n"/>
      <c r="WLI14" s="21" t="n"/>
      <c r="WLJ14" s="21" t="n"/>
      <c r="WLK14" s="21" t="n"/>
      <c r="WLL14" s="21" t="n"/>
      <c r="WLM14" s="21" t="n"/>
      <c r="WLN14" s="21" t="n"/>
      <c r="WLO14" s="21" t="n"/>
      <c r="WLP14" s="21" t="n"/>
      <c r="WLQ14" s="21" t="n"/>
      <c r="WLR14" s="21" t="n"/>
      <c r="WLS14" s="21" t="n"/>
      <c r="WLT14" s="21" t="n"/>
      <c r="WLU14" s="21" t="n"/>
      <c r="WLV14" s="21" t="n"/>
      <c r="WLW14" s="21" t="n"/>
      <c r="WLX14" s="21" t="n"/>
      <c r="WLY14" s="21" t="n"/>
      <c r="WLZ14" s="21" t="n"/>
      <c r="WMA14" s="21" t="n"/>
      <c r="WMB14" s="21" t="n"/>
      <c r="WMC14" s="21" t="n"/>
      <c r="WMD14" s="21" t="n"/>
      <c r="WME14" s="21" t="n"/>
      <c r="WMF14" s="21" t="n"/>
      <c r="WMG14" s="21" t="n"/>
      <c r="WMH14" s="21" t="n"/>
      <c r="WMI14" s="21" t="n"/>
      <c r="WMJ14" s="21" t="n"/>
      <c r="WMK14" s="21" t="n"/>
      <c r="WML14" s="21" t="n"/>
      <c r="WMM14" s="21" t="n"/>
      <c r="WMN14" s="21" t="n"/>
      <c r="WMO14" s="21" t="n"/>
      <c r="WMP14" s="21" t="n"/>
      <c r="WMQ14" s="21" t="n"/>
      <c r="WMR14" s="21" t="n"/>
      <c r="WMS14" s="21" t="n"/>
      <c r="WMT14" s="21" t="n"/>
      <c r="WMU14" s="21" t="n"/>
      <c r="WMV14" s="21" t="n"/>
      <c r="WMW14" s="21" t="n"/>
      <c r="WMX14" s="21" t="n"/>
      <c r="WMY14" s="21" t="n"/>
      <c r="WMZ14" s="21" t="n"/>
      <c r="WNA14" s="21" t="n"/>
      <c r="WNB14" s="21" t="n"/>
      <c r="WNC14" s="21" t="n"/>
      <c r="WND14" s="21" t="n"/>
      <c r="WNE14" s="21" t="n"/>
      <c r="WNF14" s="21" t="n"/>
      <c r="WNG14" s="21" t="n"/>
      <c r="WNH14" s="21" t="n"/>
      <c r="WNI14" s="21" t="n"/>
      <c r="WNJ14" s="21" t="n"/>
      <c r="WNK14" s="21" t="n"/>
      <c r="WNL14" s="21" t="n"/>
      <c r="WNM14" s="21" t="n"/>
      <c r="WNN14" s="21" t="n"/>
      <c r="WNO14" s="21" t="n"/>
      <c r="WNP14" s="21" t="n"/>
      <c r="WNQ14" s="21" t="n"/>
      <c r="WNR14" s="21" t="n"/>
      <c r="WNS14" s="21" t="n"/>
      <c r="WNT14" s="21" t="n"/>
      <c r="WNU14" s="21" t="n"/>
      <c r="WNV14" s="21" t="n"/>
      <c r="WNW14" s="21" t="n"/>
      <c r="WNX14" s="21" t="n"/>
      <c r="WNY14" s="21" t="n"/>
      <c r="WNZ14" s="21" t="n"/>
      <c r="WOA14" s="21" t="n"/>
      <c r="WOB14" s="21" t="n"/>
      <c r="WOC14" s="21" t="n"/>
      <c r="WOD14" s="21" t="n"/>
      <c r="WOE14" s="21" t="n"/>
      <c r="WOF14" s="21" t="n"/>
      <c r="WOG14" s="21" t="n"/>
      <c r="WOH14" s="21" t="n"/>
      <c r="WOI14" s="21" t="n"/>
      <c r="WOJ14" s="21" t="n"/>
      <c r="WOK14" s="21" t="n"/>
      <c r="WOL14" s="21" t="n"/>
      <c r="WOM14" s="21" t="n"/>
      <c r="WON14" s="21" t="n"/>
      <c r="WOO14" s="21" t="n"/>
      <c r="WOP14" s="21" t="n"/>
      <c r="WOQ14" s="21" t="n"/>
      <c r="WOR14" s="21" t="n"/>
      <c r="WOS14" s="21" t="n"/>
      <c r="WOT14" s="21" t="n"/>
      <c r="WOU14" s="21" t="n"/>
      <c r="WOV14" s="21" t="n"/>
      <c r="WOW14" s="21" t="n"/>
      <c r="WOX14" s="21" t="n"/>
      <c r="WOY14" s="21" t="n"/>
      <c r="WOZ14" s="21" t="n"/>
      <c r="WPA14" s="21" t="n"/>
      <c r="WPB14" s="21" t="n"/>
      <c r="WPC14" s="21" t="n"/>
      <c r="WPD14" s="21" t="n"/>
      <c r="WPE14" s="21" t="n"/>
      <c r="WPF14" s="21" t="n"/>
      <c r="WPG14" s="21" t="n"/>
      <c r="WPH14" s="21" t="n"/>
      <c r="WPI14" s="21" t="n"/>
      <c r="WPJ14" s="21" t="n"/>
      <c r="WPK14" s="21" t="n"/>
      <c r="WPL14" s="21" t="n"/>
      <c r="WPM14" s="21" t="n"/>
      <c r="WPN14" s="21" t="n"/>
      <c r="WPO14" s="21" t="n"/>
      <c r="WPP14" s="21" t="n"/>
      <c r="WPQ14" s="21" t="n"/>
      <c r="WPR14" s="21" t="n"/>
      <c r="WPS14" s="21" t="n"/>
      <c r="WPT14" s="21" t="n"/>
      <c r="WPU14" s="21" t="n"/>
      <c r="WPV14" s="21" t="n"/>
      <c r="WPW14" s="21" t="n"/>
      <c r="WPX14" s="21" t="n"/>
      <c r="WPY14" s="21" t="n"/>
      <c r="WPZ14" s="21" t="n"/>
      <c r="WQA14" s="21" t="n"/>
      <c r="WQB14" s="21" t="n"/>
      <c r="WQC14" s="21" t="n"/>
      <c r="WQD14" s="21" t="n"/>
      <c r="WQE14" s="21" t="n"/>
      <c r="WQF14" s="21" t="n"/>
      <c r="WQG14" s="21" t="n"/>
      <c r="WQH14" s="21" t="n"/>
      <c r="WQI14" s="21" t="n"/>
      <c r="WQJ14" s="21" t="n"/>
      <c r="WQK14" s="21" t="n"/>
      <c r="WQL14" s="21" t="n"/>
      <c r="WQM14" s="21" t="n"/>
      <c r="WQN14" s="21" t="n"/>
      <c r="WQO14" s="21" t="n"/>
      <c r="WQP14" s="21" t="n"/>
      <c r="WQQ14" s="21" t="n"/>
      <c r="WQR14" s="21" t="n"/>
      <c r="WQS14" s="21" t="n"/>
      <c r="WQT14" s="21" t="n"/>
      <c r="WQU14" s="21" t="n"/>
      <c r="WQV14" s="21" t="n"/>
      <c r="WQW14" s="21" t="n"/>
      <c r="WQX14" s="21" t="n"/>
      <c r="WQY14" s="21" t="n"/>
      <c r="WQZ14" s="21" t="n"/>
      <c r="WRA14" s="21" t="n"/>
      <c r="WRB14" s="21" t="n"/>
      <c r="WRC14" s="21" t="n"/>
      <c r="WRD14" s="21" t="n"/>
      <c r="WRE14" s="21" t="n"/>
      <c r="WRF14" s="21" t="n"/>
      <c r="WRG14" s="21" t="n"/>
      <c r="WRH14" s="21" t="n"/>
      <c r="WRI14" s="21" t="n"/>
      <c r="WRJ14" s="21" t="n"/>
      <c r="WRK14" s="21" t="n"/>
      <c r="WRL14" s="21" t="n"/>
      <c r="WRM14" s="21" t="n"/>
      <c r="WRN14" s="21" t="n"/>
      <c r="WRO14" s="21" t="n"/>
      <c r="WRP14" s="21" t="n"/>
      <c r="WRQ14" s="21" t="n"/>
      <c r="WRR14" s="21" t="n"/>
      <c r="WRS14" s="21" t="n"/>
      <c r="WRT14" s="21" t="n"/>
      <c r="WRU14" s="21" t="n"/>
      <c r="WRV14" s="21" t="n"/>
      <c r="WRW14" s="21" t="n"/>
      <c r="WRX14" s="21" t="n"/>
      <c r="WRY14" s="21" t="n"/>
      <c r="WRZ14" s="21" t="n"/>
      <c r="WSA14" s="21" t="n"/>
      <c r="WSB14" s="21" t="n"/>
      <c r="WSC14" s="21" t="n"/>
      <c r="WSD14" s="21" t="n"/>
      <c r="WSE14" s="21" t="n"/>
      <c r="WSF14" s="21" t="n"/>
      <c r="WSG14" s="21" t="n"/>
      <c r="WSH14" s="21" t="n"/>
      <c r="WSI14" s="21" t="n"/>
      <c r="WSJ14" s="21" t="n"/>
      <c r="WSK14" s="21" t="n"/>
      <c r="WSL14" s="21" t="n"/>
      <c r="WSM14" s="21" t="n"/>
      <c r="WSN14" s="21" t="n"/>
      <c r="WSO14" s="21" t="n"/>
      <c r="WSP14" s="21" t="n"/>
      <c r="WSQ14" s="21" t="n"/>
      <c r="WSR14" s="21" t="n"/>
      <c r="WSS14" s="21" t="n"/>
      <c r="WST14" s="21" t="n"/>
      <c r="WSU14" s="21" t="n"/>
      <c r="WSV14" s="21" t="n"/>
      <c r="WSW14" s="21" t="n"/>
      <c r="WSX14" s="21" t="n"/>
      <c r="WSY14" s="21" t="n"/>
      <c r="WSZ14" s="21" t="n"/>
      <c r="WTA14" s="21" t="n"/>
      <c r="WTB14" s="21" t="n"/>
      <c r="WTC14" s="21" t="n"/>
      <c r="WTD14" s="21" t="n"/>
      <c r="WTE14" s="21" t="n"/>
      <c r="WTF14" s="21" t="n"/>
      <c r="WTG14" s="21" t="n"/>
      <c r="WTH14" s="21" t="n"/>
      <c r="WTI14" s="21" t="n"/>
      <c r="WTJ14" s="21" t="n"/>
      <c r="WTK14" s="21" t="n"/>
      <c r="WTL14" s="21" t="n"/>
      <c r="WTM14" s="21" t="n"/>
      <c r="WTN14" s="21" t="n"/>
      <c r="WTO14" s="21" t="n"/>
      <c r="WTP14" s="21" t="n"/>
      <c r="WTQ14" s="21" t="n"/>
      <c r="WTR14" s="21" t="n"/>
      <c r="WTS14" s="21" t="n"/>
      <c r="WTT14" s="21" t="n"/>
      <c r="WTU14" s="21" t="n"/>
      <c r="WTV14" s="21" t="n"/>
      <c r="WTW14" s="21" t="n"/>
      <c r="WTX14" s="21" t="n"/>
      <c r="WTY14" s="21" t="n"/>
      <c r="WTZ14" s="21" t="n"/>
      <c r="WUA14" s="21" t="n"/>
      <c r="WUB14" s="21" t="n"/>
      <c r="WUC14" s="21" t="n"/>
      <c r="WUD14" s="21" t="n"/>
      <c r="WUE14" s="21" t="n"/>
      <c r="WUF14" s="21" t="n"/>
      <c r="WUG14" s="21" t="n"/>
      <c r="WUH14" s="21" t="n"/>
      <c r="WUI14" s="21" t="n"/>
      <c r="WUJ14" s="21" t="n"/>
      <c r="WUK14" s="21" t="n"/>
      <c r="WUL14" s="21" t="n"/>
      <c r="WUM14" s="21" t="n"/>
      <c r="WUN14" s="21" t="n"/>
      <c r="WUO14" s="21" t="n"/>
      <c r="WUP14" s="21" t="n"/>
      <c r="WUQ14" s="21" t="n"/>
      <c r="WUR14" s="21" t="n"/>
      <c r="WUS14" s="21" t="n"/>
      <c r="WUT14" s="21" t="n"/>
      <c r="WUU14" s="21" t="n"/>
      <c r="WUV14" s="21" t="n"/>
      <c r="WUW14" s="21" t="n"/>
      <c r="WUX14" s="21" t="n"/>
      <c r="WUY14" s="21" t="n"/>
      <c r="WUZ14" s="21" t="n"/>
      <c r="WVA14" s="21" t="n"/>
      <c r="WVB14" s="21" t="n"/>
      <c r="WVC14" s="21" t="n"/>
      <c r="WVD14" s="21" t="n"/>
      <c r="WVE14" s="21" t="n"/>
      <c r="WVF14" s="21" t="n"/>
      <c r="WVG14" s="21" t="n"/>
      <c r="WVH14" s="21" t="n"/>
      <c r="WVI14" s="21" t="n"/>
      <c r="WVJ14" s="21" t="n"/>
      <c r="WVK14" s="21" t="n"/>
      <c r="WVL14" s="21" t="n"/>
      <c r="WVM14" s="21" t="n"/>
      <c r="WVN14" s="21" t="n"/>
      <c r="WVO14" s="21" t="n"/>
      <c r="WVP14" s="21" t="n"/>
      <c r="WVQ14" s="21" t="n"/>
      <c r="WVR14" s="21" t="n"/>
      <c r="WVS14" s="21" t="n"/>
      <c r="WVT14" s="21" t="n"/>
      <c r="WVU14" s="21" t="n"/>
      <c r="WVV14" s="21" t="n"/>
      <c r="WVW14" s="21" t="n"/>
      <c r="WVX14" s="21" t="n"/>
      <c r="WVY14" s="21" t="n"/>
      <c r="WVZ14" s="21" t="n"/>
      <c r="WWA14" s="21" t="n"/>
      <c r="WWB14" s="21" t="n"/>
      <c r="WWC14" s="21" t="n"/>
      <c r="WWD14" s="21" t="n"/>
      <c r="WWE14" s="21" t="n"/>
      <c r="WWF14" s="21" t="n"/>
      <c r="WWG14" s="21" t="n"/>
      <c r="WWH14" s="21" t="n"/>
      <c r="WWI14" s="21" t="n"/>
      <c r="WWJ14" s="21" t="n"/>
      <c r="WWK14" s="21" t="n"/>
      <c r="WWL14" s="21" t="n"/>
      <c r="WWM14" s="21" t="n"/>
      <c r="WWN14" s="21" t="n"/>
      <c r="WWO14" s="21" t="n"/>
      <c r="WWP14" s="21" t="n"/>
      <c r="WWQ14" s="21" t="n"/>
      <c r="WWR14" s="21" t="n"/>
      <c r="WWS14" s="21" t="n"/>
      <c r="WWT14" s="21" t="n"/>
      <c r="WWU14" s="21" t="n"/>
      <c r="WWV14" s="21" t="n"/>
      <c r="WWW14" s="21" t="n"/>
      <c r="WWX14" s="21" t="n"/>
      <c r="WWY14" s="21" t="n"/>
      <c r="WWZ14" s="21" t="n"/>
      <c r="WXA14" s="21" t="n"/>
      <c r="WXB14" s="21" t="n"/>
      <c r="WXC14" s="21" t="n"/>
      <c r="WXD14" s="21" t="n"/>
      <c r="WXE14" s="21" t="n"/>
      <c r="WXF14" s="21" t="n"/>
      <c r="WXG14" s="21" t="n"/>
      <c r="WXH14" s="21" t="n"/>
      <c r="WXI14" s="21" t="n"/>
      <c r="WXJ14" s="21" t="n"/>
      <c r="WXK14" s="21" t="n"/>
      <c r="WXL14" s="21" t="n"/>
      <c r="WXM14" s="21" t="n"/>
      <c r="WXN14" s="21" t="n"/>
      <c r="WXO14" s="21" t="n"/>
      <c r="WXP14" s="21" t="n"/>
      <c r="WXQ14" s="21" t="n"/>
      <c r="WXR14" s="21" t="n"/>
      <c r="WXS14" s="21" t="n"/>
      <c r="WXT14" s="21" t="n"/>
      <c r="WXU14" s="21" t="n"/>
      <c r="WXV14" s="21" t="n"/>
      <c r="WXW14" s="21" t="n"/>
      <c r="WXX14" s="21" t="n"/>
      <c r="WXY14" s="21" t="n"/>
      <c r="WXZ14" s="21" t="n"/>
      <c r="WYA14" s="21" t="n"/>
      <c r="WYB14" s="21" t="n"/>
      <c r="WYC14" s="21" t="n"/>
      <c r="WYD14" s="21" t="n"/>
      <c r="WYE14" s="21" t="n"/>
      <c r="WYF14" s="21" t="n"/>
      <c r="WYG14" s="21" t="n"/>
      <c r="WYH14" s="21" t="n"/>
      <c r="WYI14" s="21" t="n"/>
      <c r="WYJ14" s="21" t="n"/>
      <c r="WYK14" s="21" t="n"/>
      <c r="WYL14" s="21" t="n"/>
      <c r="WYM14" s="21" t="n"/>
      <c r="WYN14" s="21" t="n"/>
      <c r="WYO14" s="21" t="n"/>
      <c r="WYP14" s="21" t="n"/>
      <c r="WYQ14" s="21" t="n"/>
      <c r="WYR14" s="21" t="n"/>
      <c r="WYS14" s="21" t="n"/>
      <c r="WYT14" s="21" t="n"/>
      <c r="WYU14" s="21" t="n"/>
      <c r="WYV14" s="21" t="n"/>
      <c r="WYW14" s="21" t="n"/>
      <c r="WYX14" s="21" t="n"/>
      <c r="WYY14" s="21" t="n"/>
      <c r="WYZ14" s="21" t="n"/>
      <c r="WZA14" s="21" t="n"/>
      <c r="WZB14" s="21" t="n"/>
      <c r="WZC14" s="21" t="n"/>
      <c r="WZD14" s="21" t="n"/>
      <c r="WZE14" s="21" t="n"/>
      <c r="WZF14" s="21" t="n"/>
      <c r="WZG14" s="21" t="n"/>
      <c r="WZH14" s="21" t="n"/>
      <c r="WZI14" s="21" t="n"/>
      <c r="WZJ14" s="21" t="n"/>
      <c r="WZK14" s="21" t="n"/>
      <c r="WZL14" s="21" t="n"/>
      <c r="WZM14" s="21" t="n"/>
      <c r="WZN14" s="21" t="n"/>
      <c r="WZO14" s="21" t="n"/>
      <c r="WZP14" s="21" t="n"/>
      <c r="WZQ14" s="21" t="n"/>
      <c r="WZR14" s="21" t="n"/>
      <c r="WZS14" s="21" t="n"/>
      <c r="WZT14" s="21" t="n"/>
      <c r="WZU14" s="21" t="n"/>
      <c r="WZV14" s="21" t="n"/>
      <c r="WZW14" s="21" t="n"/>
      <c r="WZX14" s="21" t="n"/>
      <c r="WZY14" s="21" t="n"/>
      <c r="WZZ14" s="21" t="n"/>
      <c r="XAA14" s="21" t="n"/>
      <c r="XAB14" s="21" t="n"/>
      <c r="XAC14" s="21" t="n"/>
      <c r="XAD14" s="21" t="n"/>
      <c r="XAE14" s="21" t="n"/>
      <c r="XAF14" s="21" t="n"/>
      <c r="XAG14" s="21" t="n"/>
      <c r="XAH14" s="21" t="n"/>
      <c r="XAI14" s="21" t="n"/>
      <c r="XAJ14" s="21" t="n"/>
      <c r="XAK14" s="21" t="n"/>
      <c r="XAL14" s="21" t="n"/>
      <c r="XAM14" s="21" t="n"/>
      <c r="XAN14" s="21" t="n"/>
      <c r="XAO14" s="21" t="n"/>
      <c r="XAP14" s="21" t="n"/>
      <c r="XAQ14" s="21" t="n"/>
      <c r="XAR14" s="21" t="n"/>
      <c r="XAS14" s="21" t="n"/>
      <c r="XAT14" s="21" t="n"/>
      <c r="XAU14" s="21" t="n"/>
      <c r="XAV14" s="21" t="n"/>
      <c r="XAW14" s="21" t="n"/>
      <c r="XAX14" s="21" t="n"/>
      <c r="XAY14" s="21" t="n"/>
      <c r="XAZ14" s="21" t="n"/>
      <c r="XBA14" s="21" t="n"/>
      <c r="XBB14" s="21" t="n"/>
      <c r="XBC14" s="21" t="n"/>
      <c r="XBD14" s="21" t="n"/>
      <c r="XBE14" s="21" t="n"/>
      <c r="XBF14" s="21" t="n"/>
      <c r="XBG14" s="21" t="n"/>
      <c r="XBH14" s="21" t="n"/>
      <c r="XBI14" s="21" t="n"/>
      <c r="XBJ14" s="21" t="n"/>
      <c r="XBK14" s="21" t="n"/>
      <c r="XBL14" s="21" t="n"/>
      <c r="XBM14" s="21" t="n"/>
      <c r="XBN14" s="21" t="n"/>
      <c r="XBO14" s="21" t="n"/>
      <c r="XBP14" s="21" t="n"/>
      <c r="XBQ14" s="21" t="n"/>
      <c r="XBR14" s="21" t="n"/>
      <c r="XBS14" s="21" t="n"/>
      <c r="XBT14" s="21" t="n"/>
      <c r="XBU14" s="21" t="n"/>
      <c r="XBV14" s="21" t="n"/>
      <c r="XBW14" s="21" t="n"/>
      <c r="XBX14" s="21" t="n"/>
      <c r="XBY14" s="21" t="n"/>
      <c r="XBZ14" s="21" t="n"/>
      <c r="XCA14" s="21" t="n"/>
      <c r="XCB14" s="21" t="n"/>
      <c r="XCC14" s="21" t="n"/>
      <c r="XCD14" s="21" t="n"/>
      <c r="XCE14" s="21" t="n"/>
      <c r="XCF14" s="21" t="n"/>
      <c r="XCG14" s="21" t="n"/>
      <c r="XCH14" s="21" t="n"/>
      <c r="XCI14" s="21" t="n"/>
      <c r="XCJ14" s="21" t="n"/>
      <c r="XCK14" s="21" t="n"/>
      <c r="XCL14" s="21" t="n"/>
      <c r="XCM14" s="21" t="n"/>
      <c r="XCN14" s="21" t="n"/>
      <c r="XCO14" s="21" t="n"/>
      <c r="XCP14" s="21" t="n"/>
      <c r="XCQ14" s="21" t="n"/>
      <c r="XCR14" s="21" t="n"/>
      <c r="XCS14" s="21" t="n"/>
      <c r="XCT14" s="21" t="n"/>
      <c r="XCU14" s="21" t="n"/>
      <c r="XCV14" s="21" t="n"/>
      <c r="XCW14" s="21" t="n"/>
      <c r="XCX14" s="21" t="n"/>
      <c r="XCY14" s="21" t="n"/>
      <c r="XCZ14" s="21" t="n"/>
      <c r="XDA14" s="21" t="n"/>
      <c r="XDB14" s="21" t="n"/>
      <c r="XDC14" s="21" t="n"/>
      <c r="XDD14" s="21" t="n"/>
      <c r="XDE14" s="21" t="n"/>
      <c r="XDF14" s="21" t="n"/>
      <c r="XDG14" s="21" t="n"/>
      <c r="XDH14" s="21" t="n"/>
      <c r="XDI14" s="21" t="n"/>
      <c r="XDJ14" s="21" t="n"/>
      <c r="XDK14" s="21" t="n"/>
      <c r="XDL14" s="21" t="n"/>
      <c r="XDM14" s="21" t="n"/>
      <c r="XDN14" s="21" t="n"/>
      <c r="XDO14" s="21" t="n"/>
      <c r="XDP14" s="21" t="n"/>
      <c r="XDQ14" s="21" t="n"/>
      <c r="XDR14" s="21" t="n"/>
      <c r="XDS14" s="21" t="n"/>
      <c r="XDT14" s="21" t="n"/>
      <c r="XDU14" s="21" t="n"/>
      <c r="XDV14" s="21" t="n"/>
      <c r="XDW14" s="21" t="n"/>
      <c r="XDX14" s="21" t="n"/>
      <c r="XDY14" s="21" t="n"/>
      <c r="XDZ14" s="21" t="n"/>
      <c r="XEA14" s="21" t="n"/>
      <c r="XEB14" s="21" t="n"/>
      <c r="XEC14" s="21" t="n"/>
      <c r="XED14" s="21" t="n"/>
      <c r="XEE14" s="21" t="n"/>
      <c r="XEF14" s="21" t="n"/>
      <c r="XEG14" s="21" t="n"/>
      <c r="XEH14" s="21" t="n"/>
      <c r="XEI14" s="21" t="n"/>
      <c r="XEJ14" s="21" t="n"/>
      <c r="XEK14" s="21" t="n"/>
      <c r="XEL14" s="21" t="n"/>
      <c r="XEM14" s="21" t="n"/>
      <c r="XEN14" s="21" t="n"/>
      <c r="XEO14" s="21" t="n"/>
      <c r="XEP14" s="21" t="n"/>
      <c r="XEQ14" s="21" t="n"/>
      <c r="XER14" s="21" t="n"/>
      <c r="XES14" s="21" t="n"/>
      <c r="XET14" s="21" t="n"/>
      <c r="XEU14" s="21" t="n"/>
      <c r="XEV14" s="21" t="n"/>
      <c r="XEW14" s="21" t="n"/>
      <c r="XEX14" s="21" t="n"/>
      <c r="XEY14" s="21" t="n"/>
      <c r="XEZ14" s="21" t="n"/>
      <c r="XFA14" s="21" t="n"/>
      <c r="XFB14" s="21" t="n"/>
      <c r="XFC14" s="21" t="n"/>
    </row>
    <row r="15">
      <c r="A15" s="8" t="inlineStr">
        <is>
          <t>Period from Land Hold to Construction Start</t>
        </is>
      </c>
      <c r="B15" s="9" t="n"/>
      <c r="C15" s="13" t="n"/>
      <c r="D15" s="589" t="n"/>
      <c r="E15" s="25">
        <f>MAX(EOMONTH(D14,D15-1),D14)</f>
        <v/>
      </c>
      <c r="H15" s="8" t="inlineStr">
        <is>
          <t xml:space="preserve">     Finance Fees</t>
        </is>
      </c>
      <c r="I15" s="13" t="n"/>
      <c r="J15" s="13" t="n"/>
      <c r="K15" s="14" t="n"/>
    </row>
    <row r="16" ht="14.1" customHeight="1" thickBot="1">
      <c r="A16" s="17" t="inlineStr">
        <is>
          <t>Construction Period</t>
        </is>
      </c>
      <c r="B16" s="18" t="n"/>
      <c r="C16" s="19" t="n"/>
      <c r="D16" s="590" t="n"/>
      <c r="E16" s="26">
        <f>EOMONTH(D14,D15+D16-1)</f>
        <v/>
      </c>
      <c r="H16" s="8" t="inlineStr">
        <is>
          <t xml:space="preserve">     Interest Expense / Loss to Breakeven</t>
        </is>
      </c>
      <c r="I16" s="13" t="n"/>
      <c r="J16" s="13" t="n"/>
      <c r="K16" s="14" t="n"/>
    </row>
    <row r="17">
      <c r="G17" s="11" t="n"/>
      <c r="H17" s="8" t="inlineStr">
        <is>
          <t xml:space="preserve">     Contingency</t>
        </is>
      </c>
      <c r="I17" s="13" t="n"/>
      <c r="J17" s="13" t="n"/>
      <c r="K17" s="14" t="n"/>
    </row>
    <row r="18" ht="14.1" customHeight="1" thickBot="1">
      <c r="D18" s="27" t="n"/>
      <c r="E18" s="28" t="n"/>
      <c r="F18" s="29" t="n"/>
      <c r="H18" s="30" t="inlineStr">
        <is>
          <t xml:space="preserve">     Furniture and Equipment</t>
        </is>
      </c>
      <c r="I18" s="31" t="n"/>
      <c r="J18" s="31" t="n"/>
      <c r="K18" s="32" t="inlineStr">
        <is>
          <t>X</t>
        </is>
      </c>
    </row>
    <row r="19" ht="14.1" customHeight="1">
      <c r="A19" s="1217" t="inlineStr">
        <is>
          <t>Capitalization Assumptions</t>
        </is>
      </c>
      <c r="B19" s="925" t="n"/>
      <c r="C19" s="925" t="n"/>
      <c r="D19" s="925" t="n"/>
      <c r="E19" s="926" t="n"/>
      <c r="H19" s="33" t="inlineStr">
        <is>
          <t>Result</t>
        </is>
      </c>
      <c r="I19" s="13" t="n"/>
      <c r="J19" s="13" t="n"/>
      <c r="K19" s="34" t="n"/>
    </row>
    <row r="20">
      <c r="A20" s="33" t="n"/>
      <c r="B20" s="9" t="n"/>
      <c r="C20" s="35" t="inlineStr">
        <is>
          <t>Portion of</t>
        </is>
      </c>
      <c r="D20" s="35" t="inlineStr">
        <is>
          <t>Interest</t>
        </is>
      </c>
      <c r="E20" s="36" t="inlineStr">
        <is>
          <t>Funding</t>
        </is>
      </c>
      <c r="H20" s="8" t="inlineStr">
        <is>
          <t>Project Costs used for Calculation</t>
        </is>
      </c>
      <c r="I20" s="13" t="n"/>
      <c r="J20" s="37" t="n"/>
      <c r="K20" s="928">
        <f>IF($K$7="X",SUM('Detailed Project Costs'!$F$80),0)+IF($K$8="X",SUM('Detailed Project Costs'!$F$83),0)+IF($K$9="X",SUM('Detailed Project Costs'!$F$84),0)+IF($K$10="X",SUM('Detailed Project Costs'!$F$25),0)+IF($K$12="X",SUM('Detailed Project Costs'!$F$92),0)+IF($K$13="X",SUM('Detailed Project Costs'!$F$93),0)+IF($K$14="X",SUM('Detailed Project Costs'!$F$94),0)+IF($K$15="X",SUM('Detailed Project Costs'!$F$99),0)+IF($K$16="X",SUM('Detailed Project Costs'!$F$100),0)+IF($K$17="X",SUM('Detailed Project Costs'!$F$103),0)+IF($K$18="X",SUM('Detailed Project Costs'!$F$86),0)+IF($K$11="X",SUM('Detailed Project Costs'!$F$91),0)</f>
        <v/>
      </c>
    </row>
    <row r="21" ht="14.1" customHeight="1" thickBot="1">
      <c r="A21" s="30" t="n"/>
      <c r="B21" s="39" t="n"/>
      <c r="C21" s="40" t="inlineStr">
        <is>
          <t>Project Costs</t>
        </is>
      </c>
      <c r="D21" s="40" t="inlineStr">
        <is>
          <t>Rate</t>
        </is>
      </c>
      <c r="E21" s="41" t="inlineStr">
        <is>
          <t>Order</t>
        </is>
      </c>
      <c r="H21" s="17" t="inlineStr">
        <is>
          <t>Base Development Fee</t>
        </is>
      </c>
      <c r="I21" s="18" t="n"/>
      <c r="J21" s="42" t="n"/>
      <c r="K21" s="929">
        <f>K20*K5</f>
        <v/>
      </c>
    </row>
    <row r="22">
      <c r="A22" s="8" t="inlineStr">
        <is>
          <t>Land Hold Period Capitalization:</t>
        </is>
      </c>
      <c r="B22" s="9" t="n"/>
      <c r="C22" s="661" t="n"/>
      <c r="D22" s="662" t="n"/>
      <c r="E22" s="663" t="n"/>
    </row>
    <row r="23">
      <c r="A23" s="8" t="inlineStr">
        <is>
          <t xml:space="preserve">   Bank Debt</t>
        </is>
      </c>
      <c r="B23" s="9" t="n"/>
      <c r="C23" s="539">
        <f>C26</f>
        <v/>
      </c>
      <c r="D23" s="539">
        <f>D26</f>
        <v/>
      </c>
      <c r="E23" s="44" t="n">
        <v>2</v>
      </c>
    </row>
    <row r="24">
      <c r="A24" s="8" t="inlineStr">
        <is>
          <t xml:space="preserve">   Equity </t>
        </is>
      </c>
      <c r="B24" s="9" t="n"/>
      <c r="C24" s="45">
        <f>1-C23</f>
        <v/>
      </c>
      <c r="D24" s="40" t="inlineStr">
        <is>
          <t>N/A</t>
        </is>
      </c>
      <c r="E24" s="46" t="n">
        <v>1</v>
      </c>
    </row>
    <row r="25" ht="14.1" customHeight="1">
      <c r="A25" s="8" t="inlineStr">
        <is>
          <t>Construction Period Capitalization:</t>
        </is>
      </c>
      <c r="B25" s="9" t="n"/>
      <c r="C25" s="662" t="n"/>
      <c r="D25" s="662" t="n"/>
      <c r="E25" s="663" t="n"/>
      <c r="H25" s="1" t="n"/>
      <c r="I25" s="47" t="n"/>
    </row>
    <row r="26">
      <c r="A26" s="8" t="inlineStr">
        <is>
          <t xml:space="preserve">   Bank Debt</t>
        </is>
      </c>
      <c r="B26" s="9" t="n"/>
      <c r="C26" s="48" t="n"/>
      <c r="D26" s="48" t="n"/>
      <c r="E26" s="44" t="n">
        <v>2</v>
      </c>
    </row>
    <row r="27" ht="14.1" customHeight="1" thickBot="1">
      <c r="A27" s="17" t="inlineStr">
        <is>
          <t xml:space="preserve">   Equity </t>
        </is>
      </c>
      <c r="B27" s="18" t="n"/>
      <c r="C27" s="49">
        <f>1-C26</f>
        <v/>
      </c>
      <c r="D27" s="50" t="inlineStr">
        <is>
          <t>N/A</t>
        </is>
      </c>
      <c r="E27" s="51" t="n">
        <v>1</v>
      </c>
    </row>
    <row r="28">
      <c r="A28" s="52" t="n"/>
      <c r="B28" s="11" t="n"/>
      <c r="C28" s="53" t="n"/>
      <c r="D28" s="54" t="n"/>
      <c r="E28" s="21" t="n"/>
      <c r="F28" s="29" t="n"/>
    </row>
    <row r="29" ht="14.1" customHeight="1" thickBot="1"/>
    <row r="30" ht="14.45" customHeight="1" thickBot="1">
      <c r="A30" s="1219" t="inlineStr">
        <is>
          <t>Funding Amounts</t>
        </is>
      </c>
      <c r="B30" s="931" t="n"/>
      <c r="C30" s="931" t="n"/>
      <c r="D30" s="932" t="n"/>
    </row>
    <row r="31">
      <c r="A31" s="55" t="n"/>
      <c r="B31" s="9" t="n"/>
      <c r="C31" s="56" t="inlineStr">
        <is>
          <t>Land Hold</t>
        </is>
      </c>
      <c r="D31" s="57" t="inlineStr">
        <is>
          <t>Construction</t>
        </is>
      </c>
    </row>
    <row r="32">
      <c r="A32" s="8" t="n"/>
      <c r="B32" s="9" t="n"/>
      <c r="C32" s="664" t="inlineStr">
        <is>
          <t>Period</t>
        </is>
      </c>
      <c r="D32" s="46" t="inlineStr">
        <is>
          <t>Period</t>
        </is>
      </c>
    </row>
    <row r="33">
      <c r="A33" s="8" t="inlineStr">
        <is>
          <t>Bank Debt</t>
        </is>
      </c>
      <c r="B33" s="9" t="n"/>
      <c r="C33" s="933">
        <f>'Project Returns'!E7</f>
        <v/>
      </c>
      <c r="D33" s="934">
        <f>'Project Returns'!F7</f>
        <v/>
      </c>
    </row>
    <row r="34">
      <c r="A34" s="8" t="inlineStr">
        <is>
          <t>Equity</t>
        </is>
      </c>
      <c r="B34" s="9" t="n"/>
      <c r="C34" s="935">
        <f>'Project Returns'!E8</f>
        <v/>
      </c>
      <c r="D34" s="936">
        <f>'Project Returns'!F8</f>
        <v/>
      </c>
    </row>
    <row r="35" ht="14.1" customHeight="1" thickBot="1">
      <c r="A35" s="17" t="inlineStr">
        <is>
          <t>Total</t>
        </is>
      </c>
      <c r="B35" s="18" t="n"/>
      <c r="C35" s="937">
        <f>'Project Returns'!E9</f>
        <v/>
      </c>
      <c r="D35" s="938">
        <f>'Project Returns'!F9</f>
        <v/>
      </c>
      <c r="E35" s="11" t="n"/>
      <c r="F35" s="11" t="n"/>
    </row>
    <row r="36">
      <c r="E36" s="11" t="n"/>
      <c r="F36" s="11" t="n"/>
    </row>
    <row r="37"/>
    <row r="38">
      <c r="E38" s="11" t="n"/>
      <c r="F38" s="11" t="n"/>
      <c r="G38" s="12" t="n"/>
      <c r="H38" s="11" t="n"/>
      <c r="I38" s="11" t="n"/>
      <c r="J38" s="65" t="n"/>
    </row>
    <row r="39">
      <c r="E39" s="11" t="n"/>
      <c r="F39" s="11" t="n"/>
      <c r="G39" s="799" t="n"/>
      <c r="H39" s="939" t="n"/>
      <c r="I39" s="939" t="n"/>
      <c r="J39" s="939" t="n"/>
    </row>
    <row r="40">
      <c r="F40" s="11" t="n"/>
      <c r="G40" s="939" t="n"/>
      <c r="H40" s="939" t="n"/>
      <c r="I40" s="939" t="n"/>
      <c r="J40" s="939" t="n"/>
    </row>
    <row r="41">
      <c r="J41" s="11" t="n"/>
    </row>
    <row r="42">
      <c r="J42" s="11" t="n"/>
    </row>
    <row r="43">
      <c r="J43" s="11" t="n"/>
    </row>
    <row r="44">
      <c r="E44" s="11" t="n"/>
      <c r="F44" s="940" t="n"/>
      <c r="J44" s="11" t="n"/>
    </row>
    <row r="45">
      <c r="E45" s="11" t="n"/>
      <c r="F45" s="940" t="n"/>
      <c r="J45" s="11" t="n"/>
    </row>
    <row r="46">
      <c r="E46" s="11" t="n"/>
      <c r="F46" s="940" t="n"/>
      <c r="J46" s="11" t="n"/>
    </row>
  </sheetData>
  <mergeCells count="9">
    <mergeCell ref="H4:K4"/>
    <mergeCell ref="A4:E4"/>
    <mergeCell ref="A7:E7"/>
    <mergeCell ref="A30:D30"/>
    <mergeCell ref="A19:E19"/>
    <mergeCell ref="A2:K2"/>
    <mergeCell ref="A13:E13"/>
    <mergeCell ref="A1:K1"/>
    <mergeCell ref="G39:J4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R156"/>
  <sheetViews>
    <sheetView showGridLines="0" topLeftCell="A18" zoomScaleNormal="100" workbookViewId="0">
      <selection activeCell="D17" sqref="D17"/>
    </sheetView>
  </sheetViews>
  <sheetFormatPr baseColWidth="8" defaultColWidth="9.140625" defaultRowHeight="13.9"/>
  <cols>
    <col width="18.42578125" customWidth="1" style="1" min="1" max="1"/>
    <col width="9.5703125" customWidth="1" style="1" min="2" max="3"/>
    <col width="9.42578125" customWidth="1" style="1" min="4" max="4"/>
    <col width="8.5703125" customWidth="1" style="1" min="5" max="5"/>
    <col width="9.42578125" customWidth="1" style="1" min="6" max="6"/>
    <col width="10.85546875" bestFit="1" customWidth="1" style="1" min="7" max="7"/>
    <col width="11.140625" customWidth="1" style="1" min="8" max="8"/>
    <col width="10.5703125" customWidth="1" style="1" min="9" max="13"/>
    <col width="12.5703125" customWidth="1" style="1" min="14" max="14"/>
    <col width="9.5703125" customWidth="1" style="1" min="15" max="15"/>
    <col width="9.140625" customWidth="1" style="1" min="16" max="16384"/>
  </cols>
  <sheetData>
    <row r="1" ht="17.65" customHeight="1">
      <c r="A1" s="1220">
        <f>'Project Assumptions'!A1:J1</f>
        <v/>
      </c>
      <c r="B1" s="942" t="n"/>
      <c r="C1" s="942" t="n"/>
      <c r="D1" s="942" t="n"/>
      <c r="E1" s="942" t="n"/>
      <c r="F1" s="942" t="n"/>
      <c r="G1" s="942" t="n"/>
      <c r="H1" s="942" t="n"/>
      <c r="I1" s="942" t="n"/>
      <c r="J1" s="942" t="n"/>
      <c r="K1" s="942" t="n"/>
      <c r="L1" s="942" t="n"/>
      <c r="M1" s="943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  <c r="AA1" s="67" t="n"/>
      <c r="AB1" s="67" t="n"/>
      <c r="AC1" s="67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  <c r="AQ1" s="67" t="n"/>
      <c r="AR1" s="67" t="n"/>
      <c r="AS1" s="67" t="n"/>
      <c r="AT1" s="67" t="n"/>
      <c r="AU1" s="67" t="n"/>
    </row>
    <row r="2" ht="18" customHeight="1" thickBot="1">
      <c r="A2" s="1221" t="inlineStr">
        <is>
          <t>Economic Assumptions</t>
        </is>
      </c>
      <c r="B2" s="945" t="n"/>
      <c r="C2" s="945" t="n"/>
      <c r="D2" s="945" t="n"/>
      <c r="E2" s="945" t="n"/>
      <c r="F2" s="945" t="n"/>
      <c r="G2" s="945" t="n"/>
      <c r="H2" s="945" t="n"/>
      <c r="I2" s="945" t="n"/>
      <c r="J2" s="945" t="n"/>
      <c r="K2" s="945" t="n"/>
      <c r="L2" s="945" t="n"/>
      <c r="M2" s="946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  <c r="AA2" s="67" t="n"/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  <c r="AQ2" s="67" t="n"/>
    </row>
    <row r="3">
      <c r="A3" s="68" t="n"/>
      <c r="D3" s="69" t="n"/>
      <c r="L3" s="70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</row>
    <row r="4" ht="14.1" customHeight="1" thickBot="1">
      <c r="A4" s="68" t="n"/>
      <c r="D4" s="69" t="n"/>
      <c r="L4" s="70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67" t="n"/>
      <c r="AD4" s="67" t="n"/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  <c r="AQ4" s="67" t="n"/>
    </row>
    <row r="5" ht="14.1" customHeight="1">
      <c r="A5" s="1222" t="inlineStr">
        <is>
          <t>Lease Assumptions</t>
        </is>
      </c>
      <c r="B5" s="948" t="n"/>
      <c r="C5" s="948" t="n"/>
      <c r="D5" s="948" t="n"/>
      <c r="E5" s="948" t="n"/>
      <c r="F5" s="948" t="n"/>
      <c r="G5" s="948" t="n"/>
      <c r="H5" s="948" t="n"/>
      <c r="I5" s="948" t="n"/>
      <c r="J5" s="948" t="n"/>
      <c r="K5" s="948" t="n"/>
      <c r="L5" s="948" t="n"/>
      <c r="M5" s="949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  <c r="AI5" s="71" t="n"/>
      <c r="AJ5" s="71" t="n"/>
      <c r="AK5" s="71" t="n"/>
      <c r="AL5" s="71" t="n"/>
      <c r="AM5" s="71" t="n"/>
      <c r="AN5" s="71" t="n"/>
      <c r="AO5" s="71" t="n"/>
      <c r="AP5" s="71" t="n"/>
      <c r="AQ5" s="71" t="n"/>
      <c r="AR5" s="71" t="n"/>
      <c r="AS5" s="71" t="n"/>
      <c r="AT5" s="71" t="n"/>
      <c r="AU5" s="7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1" t="n"/>
      <c r="DG5" s="11" t="n"/>
      <c r="DH5" s="11" t="n"/>
      <c r="DI5" s="11" t="n"/>
      <c r="DJ5" s="11" t="n"/>
      <c r="DK5" s="11" t="n"/>
      <c r="DL5" s="11" t="n"/>
      <c r="DM5" s="11" t="n"/>
      <c r="DN5" s="11" t="n"/>
      <c r="DO5" s="11" t="n"/>
      <c r="DP5" s="11" t="n"/>
      <c r="DQ5" s="11" t="n"/>
      <c r="DR5" s="11" t="n"/>
    </row>
    <row r="6">
      <c r="A6" s="72" t="n"/>
      <c r="B6" s="73" t="inlineStr">
        <is>
          <t>Month</t>
        </is>
      </c>
      <c r="C6" s="74" t="inlineStr">
        <is>
          <t>Square</t>
        </is>
      </c>
      <c r="D6" s="950" t="inlineStr">
        <is>
          <t>Rental Rate</t>
        </is>
      </c>
      <c r="E6" s="951" t="n"/>
      <c r="F6" s="952" t="n"/>
      <c r="G6" s="950" t="inlineStr">
        <is>
          <t>Free Rent</t>
        </is>
      </c>
      <c r="H6" s="952" t="n"/>
      <c r="I6" s="950" t="inlineStr">
        <is>
          <t>Leasing Commissions</t>
        </is>
      </c>
      <c r="J6" s="952" t="n"/>
      <c r="K6" s="813" t="inlineStr">
        <is>
          <t>Tenant Improvements</t>
        </is>
      </c>
      <c r="L6" s="953" t="n"/>
      <c r="M6" s="75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  <c r="AJ6" s="71" t="n"/>
      <c r="AK6" s="71" t="n"/>
      <c r="AL6" s="71" t="n"/>
      <c r="AM6" s="71" t="n"/>
      <c r="AN6" s="71" t="n"/>
      <c r="AO6" s="71" t="n"/>
      <c r="AP6" s="71" t="n"/>
      <c r="AQ6" s="71" t="n"/>
      <c r="AR6" s="71" t="n"/>
      <c r="AS6" s="71" t="n"/>
      <c r="AT6" s="71" t="n"/>
      <c r="AU6" s="7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1" t="n"/>
    </row>
    <row r="7">
      <c r="A7" s="76" t="n"/>
      <c r="B7" s="77" t="inlineStr">
        <is>
          <t>Commence</t>
        </is>
      </c>
      <c r="C7" s="77" t="inlineStr">
        <is>
          <t>Feet</t>
        </is>
      </c>
      <c r="D7" s="954" t="inlineStr">
        <is>
          <t>($/sf)</t>
        </is>
      </c>
      <c r="E7" s="955" t="n"/>
      <c r="F7" s="956" t="n"/>
      <c r="G7" s="78" t="n"/>
      <c r="H7" s="78" t="n"/>
      <c r="I7" s="957" t="inlineStr">
        <is>
          <t>($ amount)</t>
        </is>
      </c>
      <c r="J7" s="956" t="n"/>
      <c r="K7" s="957" t="inlineStr">
        <is>
          <t>($/sf)</t>
        </is>
      </c>
      <c r="L7" s="956" t="n"/>
      <c r="M7" s="79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  <c r="AI7" s="71" t="n"/>
      <c r="AJ7" s="71" t="n"/>
      <c r="AK7" s="71" t="n"/>
      <c r="AL7" s="71" t="n"/>
      <c r="AM7" s="71" t="n"/>
      <c r="AN7" s="71" t="n"/>
      <c r="AO7" s="71" t="n"/>
      <c r="AP7" s="71" t="n"/>
      <c r="AQ7" s="71" t="n"/>
      <c r="AR7" s="71" t="n"/>
      <c r="AS7" s="71" t="n"/>
      <c r="AT7" s="71" t="n"/>
      <c r="AU7" s="7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n"/>
      <c r="CD7" s="11" t="n"/>
      <c r="CE7" s="11" t="n"/>
      <c r="CF7" s="11" t="n"/>
      <c r="CG7" s="11" t="n"/>
      <c r="CH7" s="11" t="n"/>
      <c r="CI7" s="11" t="n"/>
      <c r="CJ7" s="11" t="n"/>
      <c r="CK7" s="11" t="n"/>
      <c r="CL7" s="11" t="n"/>
      <c r="CM7" s="11" t="n"/>
      <c r="CN7" s="11" t="n"/>
      <c r="CO7" s="11" t="n"/>
      <c r="CP7" s="11" t="n"/>
      <c r="CQ7" s="11" t="n"/>
      <c r="CR7" s="11" t="n"/>
      <c r="CS7" s="11" t="n"/>
      <c r="CT7" s="11" t="n"/>
      <c r="CU7" s="11" t="n"/>
      <c r="CV7" s="11" t="n"/>
      <c r="CW7" s="11" t="n"/>
      <c r="CX7" s="11" t="n"/>
      <c r="CY7" s="11" t="n"/>
      <c r="CZ7" s="11" t="n"/>
      <c r="DA7" s="11" t="n"/>
      <c r="DB7" s="11" t="n"/>
      <c r="DC7" s="11" t="n"/>
      <c r="DD7" s="11" t="n"/>
      <c r="DE7" s="11" t="n"/>
      <c r="DF7" s="11" t="n"/>
      <c r="DG7" s="11" t="n"/>
      <c r="DH7" s="11" t="n"/>
      <c r="DI7" s="11" t="n"/>
      <c r="DJ7" s="11" t="n"/>
      <c r="DK7" s="11" t="n"/>
      <c r="DL7" s="11" t="n"/>
      <c r="DM7" s="11" t="n"/>
      <c r="DN7" s="11" t="n"/>
      <c r="DO7" s="11" t="n"/>
      <c r="DP7" s="11" t="n"/>
      <c r="DQ7" s="11" t="n"/>
      <c r="DR7" s="11" t="n"/>
    </row>
    <row r="8">
      <c r="A8" s="72" t="n"/>
      <c r="B8" s="80" t="inlineStr">
        <is>
          <t>Beginning</t>
        </is>
      </c>
      <c r="C8" s="81" t="n"/>
      <c r="D8" s="82" t="inlineStr">
        <is>
          <t>Net</t>
        </is>
      </c>
      <c r="E8" s="82" t="inlineStr">
        <is>
          <t>Expense</t>
        </is>
      </c>
      <c r="F8" s="82" t="inlineStr">
        <is>
          <t>Gross</t>
        </is>
      </c>
      <c r="G8" s="82" t="inlineStr">
        <is>
          <t>months</t>
        </is>
      </c>
      <c r="H8" s="82" t="inlineStr">
        <is>
          <t>Oper. Exp.</t>
        </is>
      </c>
      <c r="I8" s="82" t="inlineStr">
        <is>
          <t>Third Party</t>
        </is>
      </c>
      <c r="J8" s="82" t="inlineStr">
        <is>
          <t>In-House</t>
        </is>
      </c>
      <c r="K8" s="82" t="inlineStr">
        <is>
          <t>Hard</t>
        </is>
      </c>
      <c r="L8" s="82" t="inlineStr">
        <is>
          <t>Soft</t>
        </is>
      </c>
      <c r="M8" s="83" t="inlineStr">
        <is>
          <t>Lease</t>
        </is>
      </c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  <c r="AK8" s="71" t="n"/>
      <c r="AL8" s="71" t="n"/>
      <c r="AM8" s="71" t="n"/>
      <c r="AN8" s="71" t="n"/>
      <c r="AO8" s="71" t="n"/>
      <c r="AP8" s="71" t="n"/>
      <c r="AQ8" s="71" t="n"/>
      <c r="AR8" s="71" t="n"/>
      <c r="AS8" s="71" t="n"/>
      <c r="AT8" s="71" t="n"/>
      <c r="AU8" s="7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1" t="n"/>
    </row>
    <row r="9">
      <c r="A9" s="84" t="n"/>
      <c r="B9" s="85" t="inlineStr">
        <is>
          <t>w/ Month 1 *</t>
        </is>
      </c>
      <c r="C9" s="86" t="n"/>
      <c r="D9" s="87" t="inlineStr">
        <is>
          <t>Rent</t>
        </is>
      </c>
      <c r="E9" s="87" t="inlineStr">
        <is>
          <t>Stop</t>
        </is>
      </c>
      <c r="F9" s="87" t="inlineStr">
        <is>
          <t>Rent</t>
        </is>
      </c>
      <c r="G9" s="87" t="inlineStr">
        <is>
          <t>up front</t>
        </is>
      </c>
      <c r="H9" s="87" t="inlineStr">
        <is>
          <t>Paid by</t>
        </is>
      </c>
      <c r="I9" s="87" t="inlineStr">
        <is>
          <t>Broker</t>
        </is>
      </c>
      <c r="J9" s="87" t="inlineStr">
        <is>
          <t>Broker</t>
        </is>
      </c>
      <c r="K9" s="87" t="inlineStr">
        <is>
          <t>Costs</t>
        </is>
      </c>
      <c r="L9" s="87" t="inlineStr">
        <is>
          <t>Costs</t>
        </is>
      </c>
      <c r="M9" s="88" t="inlineStr">
        <is>
          <t>Commence</t>
        </is>
      </c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  <c r="AK9" s="71" t="n"/>
      <c r="AL9" s="71" t="n"/>
      <c r="AM9" s="71" t="n"/>
      <c r="AN9" s="71" t="n"/>
      <c r="AO9" s="71" t="n"/>
      <c r="AP9" s="71" t="n"/>
      <c r="AQ9" s="71" t="n"/>
      <c r="AR9" s="71" t="n"/>
      <c r="AS9" s="71" t="n"/>
      <c r="AT9" s="71" t="n"/>
      <c r="AU9" s="7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1" t="n"/>
      <c r="CU9" s="11" t="n"/>
      <c r="CV9" s="11" t="n"/>
      <c r="CW9" s="11" t="n"/>
      <c r="CX9" s="11" t="n"/>
      <c r="CY9" s="11" t="n"/>
      <c r="CZ9" s="11" t="n"/>
      <c r="DA9" s="11" t="n"/>
      <c r="DB9" s="11" t="n"/>
      <c r="DC9" s="11" t="n"/>
      <c r="DD9" s="11" t="n"/>
      <c r="DE9" s="11" t="n"/>
      <c r="DF9" s="11" t="n"/>
      <c r="DG9" s="11" t="n"/>
      <c r="DH9" s="11" t="n"/>
      <c r="DI9" s="11" t="n"/>
      <c r="DJ9" s="11" t="n"/>
      <c r="DK9" s="11" t="n"/>
      <c r="DL9" s="11" t="n"/>
      <c r="DM9" s="11" t="n"/>
      <c r="DN9" s="11" t="n"/>
      <c r="DO9" s="11" t="n"/>
      <c r="DP9" s="11" t="n"/>
      <c r="DQ9" s="11" t="n"/>
      <c r="DR9" s="11" t="n"/>
    </row>
    <row r="10">
      <c r="A10" s="89" t="inlineStr">
        <is>
          <t>Office Lease #1</t>
        </is>
      </c>
      <c r="B10" s="586" t="n"/>
      <c r="C10" s="90" t="n"/>
      <c r="D10" s="958" t="n"/>
      <c r="E10" s="958" t="n"/>
      <c r="F10" s="959">
        <f>D10+E10</f>
        <v/>
      </c>
      <c r="G10" s="750" t="n"/>
      <c r="H10" s="100" t="inlineStr">
        <is>
          <t>Tenant</t>
        </is>
      </c>
      <c r="I10" s="960">
        <f>'Lease 1'!H22</f>
        <v/>
      </c>
      <c r="J10" s="960">
        <f>'Lease 1'!I22</f>
        <v/>
      </c>
      <c r="K10" s="961" t="n"/>
      <c r="L10" s="962" t="n"/>
      <c r="M10" s="963">
        <f>IF(B10&gt;1, EDATE('Project Assumptions'!$E$16,'Economic Assumptions'!B10), "  ")</f>
        <v/>
      </c>
      <c r="N10" s="95" t="inlineStr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  <c r="AK10" s="71" t="n"/>
      <c r="AL10" s="71" t="n"/>
      <c r="AM10" s="71" t="n"/>
      <c r="AN10" s="71" t="n"/>
      <c r="AO10" s="71" t="n"/>
      <c r="AP10" s="71" t="n"/>
      <c r="AQ10" s="71" t="n"/>
      <c r="AR10" s="71" t="n"/>
      <c r="AS10" s="71" t="n"/>
      <c r="AT10" s="71" t="n"/>
      <c r="AU10" s="7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n"/>
      <c r="CD10" s="11" t="n"/>
      <c r="CE10" s="11" t="n"/>
      <c r="CF10" s="11" t="n"/>
      <c r="CG10" s="11" t="n"/>
      <c r="CH10" s="11" t="n"/>
      <c r="CI10" s="11" t="n"/>
      <c r="CJ10" s="11" t="n"/>
      <c r="CK10" s="11" t="n"/>
      <c r="CL10" s="11" t="n"/>
      <c r="CM10" s="11" t="n"/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1" t="n"/>
      <c r="CZ10" s="11" t="n"/>
      <c r="DA10" s="11" t="n"/>
      <c r="DB10" s="11" t="n"/>
      <c r="DC10" s="11" t="n"/>
      <c r="DD10" s="11" t="n"/>
      <c r="DE10" s="11" t="n"/>
      <c r="DF10" s="11" t="n"/>
      <c r="DG10" s="11" t="n"/>
      <c r="DH10" s="11" t="n"/>
      <c r="DI10" s="11" t="n"/>
      <c r="DJ10" s="11" t="n"/>
      <c r="DK10" s="11" t="n"/>
      <c r="DL10" s="11" t="n"/>
      <c r="DM10" s="11" t="n"/>
      <c r="DN10" s="11" t="n"/>
      <c r="DO10" s="11" t="n"/>
      <c r="DP10" s="11" t="n"/>
      <c r="DQ10" s="11" t="n"/>
      <c r="DR10" s="11" t="n"/>
    </row>
    <row r="11">
      <c r="A11" s="89" t="n"/>
      <c r="B11" s="587" t="n"/>
      <c r="C11" s="97" t="n"/>
      <c r="D11" s="958" t="n"/>
      <c r="E11" s="958" t="n"/>
      <c r="F11" s="959">
        <f>D11+E11</f>
        <v/>
      </c>
      <c r="G11" s="98" t="n"/>
      <c r="H11" s="100" t="inlineStr">
        <is>
          <t>Tenant</t>
        </is>
      </c>
      <c r="I11" s="960">
        <f>'Lease 2'!H22</f>
        <v/>
      </c>
      <c r="J11" s="960">
        <f>'Lease 3'!I22</f>
        <v/>
      </c>
      <c r="K11" s="964" t="n"/>
      <c r="L11" s="962" t="n"/>
      <c r="M11" s="963">
        <f>IF(B11&gt;1, EDATE('Project Assumptions'!$E$16,'Economic Assumptions'!B11), "  ")</f>
        <v/>
      </c>
      <c r="N11" s="95" t="inlineStr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  <c r="AK11" s="71" t="n"/>
      <c r="AL11" s="71" t="n"/>
      <c r="AM11" s="71" t="n"/>
      <c r="AN11" s="71" t="n"/>
      <c r="AO11" s="71" t="n"/>
      <c r="AP11" s="71" t="n"/>
      <c r="AQ11" s="71" t="n"/>
      <c r="AR11" s="71" t="n"/>
      <c r="AS11" s="71" t="n"/>
      <c r="AT11" s="71" t="n"/>
      <c r="AU11" s="7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n"/>
      <c r="CD11" s="11" t="n"/>
      <c r="CE11" s="11" t="n"/>
      <c r="CF11" s="11" t="n"/>
      <c r="CG11" s="11" t="n"/>
      <c r="CH11" s="11" t="n"/>
      <c r="CI11" s="11" t="n"/>
      <c r="CJ11" s="11" t="n"/>
      <c r="CK11" s="11" t="n"/>
      <c r="CL11" s="11" t="n"/>
      <c r="CM11" s="11" t="n"/>
      <c r="CN11" s="11" t="n"/>
      <c r="CO11" s="11" t="n"/>
      <c r="CP11" s="11" t="n"/>
      <c r="CQ11" s="11" t="n"/>
      <c r="CR11" s="11" t="n"/>
      <c r="CS11" s="11" t="n"/>
      <c r="CT11" s="11" t="n"/>
      <c r="CU11" s="11" t="n"/>
      <c r="CV11" s="11" t="n"/>
      <c r="CW11" s="11" t="n"/>
      <c r="CX11" s="11" t="n"/>
      <c r="CY11" s="11" t="n"/>
      <c r="CZ11" s="11" t="n"/>
      <c r="DA11" s="11" t="n"/>
      <c r="DB11" s="11" t="n"/>
      <c r="DC11" s="11" t="n"/>
      <c r="DD11" s="11" t="n"/>
      <c r="DE11" s="11" t="n"/>
      <c r="DF11" s="11" t="n"/>
      <c r="DG11" s="11" t="n"/>
      <c r="DH11" s="11" t="n"/>
      <c r="DI11" s="11" t="n"/>
      <c r="DJ11" s="11" t="n"/>
      <c r="DK11" s="11" t="n"/>
      <c r="DL11" s="11" t="n"/>
      <c r="DM11" s="11" t="n"/>
      <c r="DN11" s="11" t="n"/>
      <c r="DO11" s="11" t="n"/>
      <c r="DP11" s="11" t="n"/>
      <c r="DQ11" s="11" t="n"/>
      <c r="DR11" s="11" t="n"/>
    </row>
    <row r="12">
      <c r="A12" s="89" t="n"/>
      <c r="B12" s="587" t="n"/>
      <c r="C12" s="97" t="n"/>
      <c r="D12" s="958" t="n"/>
      <c r="E12" s="958" t="n"/>
      <c r="F12" s="959">
        <f>D12+E12</f>
        <v/>
      </c>
      <c r="G12" s="98" t="n"/>
      <c r="H12" s="100" t="inlineStr">
        <is>
          <t>Tenant</t>
        </is>
      </c>
      <c r="I12" s="960">
        <f>'Lease 3'!H22</f>
        <v/>
      </c>
      <c r="J12" s="960">
        <f>'Lease 3'!I22</f>
        <v/>
      </c>
      <c r="K12" s="964" t="n"/>
      <c r="L12" s="962" t="n"/>
      <c r="M12" s="963">
        <f>IF(B12&gt;1, EDATE('Project Assumptions'!$E$16,'Economic Assumptions'!B12), "  ")</f>
        <v/>
      </c>
      <c r="N12" s="95" t="inlineStr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  <c r="CJ12" s="11" t="n"/>
      <c r="CK12" s="11" t="n"/>
      <c r="CL12" s="11" t="n"/>
      <c r="CM12" s="11" t="n"/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1" t="n"/>
      <c r="DB12" s="11" t="n"/>
      <c r="DC12" s="11" t="n"/>
      <c r="DD12" s="11" t="n"/>
      <c r="DE12" s="11" t="n"/>
      <c r="DF12" s="11" t="n"/>
      <c r="DG12" s="11" t="n"/>
      <c r="DH12" s="11" t="n"/>
      <c r="DI12" s="11" t="n"/>
      <c r="DJ12" s="11" t="n"/>
      <c r="DK12" s="11" t="n"/>
      <c r="DL12" s="11" t="n"/>
      <c r="DM12" s="11" t="n"/>
      <c r="DN12" s="11" t="n"/>
      <c r="DO12" s="11" t="n"/>
      <c r="DP12" s="11" t="n"/>
      <c r="DQ12" s="11" t="n"/>
      <c r="DR12" s="11" t="n"/>
    </row>
    <row r="13">
      <c r="A13" s="89" t="n"/>
      <c r="B13" s="587" t="n"/>
      <c r="C13" s="97" t="n"/>
      <c r="D13" s="958" t="n"/>
      <c r="E13" s="958" t="n"/>
      <c r="F13" s="959">
        <f>D13+E13</f>
        <v/>
      </c>
      <c r="G13" s="98" t="n"/>
      <c r="H13" s="100" t="inlineStr">
        <is>
          <t>Tenant</t>
        </is>
      </c>
      <c r="I13" s="960">
        <f>'Lease 4'!H22</f>
        <v/>
      </c>
      <c r="J13" s="960">
        <f>'Lease 4'!I22</f>
        <v/>
      </c>
      <c r="K13" s="964" t="n"/>
      <c r="L13" s="962" t="n"/>
      <c r="M13" s="963">
        <f>IF(B13&gt;1, EDATE('Project Assumptions'!$E$16,'Economic Assumptions'!B13), "  ")</f>
        <v/>
      </c>
      <c r="N13" s="95" t="inlineStr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n"/>
      <c r="CD13" s="11" t="n"/>
      <c r="CE13" s="11" t="n"/>
      <c r="CF13" s="11" t="n"/>
      <c r="CG13" s="11" t="n"/>
      <c r="CH13" s="11" t="n"/>
      <c r="CI13" s="11" t="n"/>
      <c r="CJ13" s="11" t="n"/>
      <c r="CK13" s="11" t="n"/>
      <c r="CL13" s="11" t="n"/>
      <c r="CM13" s="11" t="n"/>
      <c r="CN13" s="11" t="n"/>
      <c r="CO13" s="11" t="n"/>
      <c r="CP13" s="11" t="n"/>
      <c r="CQ13" s="11" t="n"/>
      <c r="CR13" s="11" t="n"/>
      <c r="CS13" s="11" t="n"/>
      <c r="CT13" s="11" t="n"/>
      <c r="CU13" s="11" t="n"/>
      <c r="CV13" s="11" t="n"/>
      <c r="CW13" s="11" t="n"/>
      <c r="CX13" s="11" t="n"/>
      <c r="CY13" s="11" t="n"/>
      <c r="CZ13" s="11" t="n"/>
      <c r="DA13" s="11" t="n"/>
      <c r="DB13" s="11" t="n"/>
      <c r="DC13" s="11" t="n"/>
      <c r="DD13" s="11" t="n"/>
      <c r="DE13" s="11" t="n"/>
      <c r="DF13" s="11" t="n"/>
      <c r="DG13" s="11" t="n"/>
      <c r="DH13" s="11" t="n"/>
      <c r="DI13" s="11" t="n"/>
      <c r="DJ13" s="11" t="n"/>
      <c r="DK13" s="11" t="n"/>
      <c r="DL13" s="11" t="n"/>
      <c r="DM13" s="11" t="n"/>
      <c r="DN13" s="11" t="n"/>
      <c r="DO13" s="11" t="n"/>
      <c r="DP13" s="11" t="n"/>
      <c r="DQ13" s="11" t="n"/>
      <c r="DR13" s="11" t="n"/>
    </row>
    <row r="14">
      <c r="A14" s="89" t="n"/>
      <c r="B14" s="587" t="n"/>
      <c r="C14" s="97" t="n"/>
      <c r="D14" s="958" t="n"/>
      <c r="E14" s="958" t="n"/>
      <c r="F14" s="959">
        <f>D14+E14</f>
        <v/>
      </c>
      <c r="G14" s="98" t="n"/>
      <c r="H14" s="545" t="inlineStr">
        <is>
          <t>Tenant</t>
        </is>
      </c>
      <c r="I14" s="960">
        <f>'Lease 5'!H22</f>
        <v/>
      </c>
      <c r="J14" s="960">
        <f>'Lease 5'!I22</f>
        <v/>
      </c>
      <c r="K14" s="964" t="n"/>
      <c r="L14" s="962" t="n"/>
      <c r="M14" s="963">
        <f>IF(B14&gt;1, EDATE('Project Assumptions'!$E$16,'Economic Assumptions'!B14), "  ")</f>
        <v/>
      </c>
      <c r="N14" s="95" t="inlineStr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  <c r="CJ14" s="11" t="n"/>
      <c r="CK14" s="11" t="n"/>
      <c r="CL14" s="11" t="n"/>
      <c r="CM14" s="11" t="n"/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1" t="n"/>
      <c r="CZ14" s="11" t="n"/>
      <c r="DA14" s="11" t="n"/>
      <c r="DB14" s="11" t="n"/>
      <c r="DC14" s="11" t="n"/>
      <c r="DD14" s="11" t="n"/>
      <c r="DE14" s="11" t="n"/>
      <c r="DF14" s="11" t="n"/>
      <c r="DG14" s="11" t="n"/>
      <c r="DH14" s="11" t="n"/>
      <c r="DI14" s="11" t="n"/>
      <c r="DJ14" s="11" t="n"/>
      <c r="DK14" s="11" t="n"/>
      <c r="DL14" s="11" t="n"/>
      <c r="DM14" s="11" t="n"/>
      <c r="DN14" s="11" t="n"/>
      <c r="DO14" s="11" t="n"/>
      <c r="DP14" s="11" t="n"/>
      <c r="DQ14" s="11" t="n"/>
      <c r="DR14" s="11" t="n"/>
    </row>
    <row r="15">
      <c r="A15" s="89" t="n"/>
      <c r="B15" s="587" t="n"/>
      <c r="C15" s="97" t="n"/>
      <c r="D15" s="958" t="n"/>
      <c r="E15" s="958" t="n"/>
      <c r="F15" s="959">
        <f>D15+E15</f>
        <v/>
      </c>
      <c r="G15" s="98" t="n"/>
      <c r="H15" s="100" t="inlineStr">
        <is>
          <t>Tenant</t>
        </is>
      </c>
      <c r="I15" s="960">
        <f>'Lease 6'!H22</f>
        <v/>
      </c>
      <c r="J15" s="960">
        <f>'Lease 6'!I22</f>
        <v/>
      </c>
      <c r="K15" s="964" t="n"/>
      <c r="L15" s="962" t="n"/>
      <c r="M15" s="963">
        <f>IF(B15&gt;1, EDATE('Project Assumptions'!$E$16,'Economic Assumptions'!B15), "  ")</f>
        <v/>
      </c>
      <c r="N15" s="95" t="inlineStr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n"/>
      <c r="CD15" s="11" t="n"/>
      <c r="CE15" s="11" t="n"/>
      <c r="CF15" s="11" t="n"/>
      <c r="CG15" s="11" t="n"/>
      <c r="CH15" s="11" t="n"/>
      <c r="CI15" s="11" t="n"/>
      <c r="CJ15" s="11" t="n"/>
      <c r="CK15" s="11" t="n"/>
      <c r="CL15" s="11" t="n"/>
      <c r="CM15" s="11" t="n"/>
      <c r="CN15" s="11" t="n"/>
      <c r="CO15" s="11" t="n"/>
      <c r="CP15" s="11" t="n"/>
      <c r="CQ15" s="11" t="n"/>
      <c r="CR15" s="11" t="n"/>
      <c r="CS15" s="11" t="n"/>
      <c r="CT15" s="11" t="n"/>
      <c r="CU15" s="11" t="n"/>
      <c r="CV15" s="11" t="n"/>
      <c r="CW15" s="11" t="n"/>
      <c r="CX15" s="11" t="n"/>
      <c r="CY15" s="11" t="n"/>
      <c r="CZ15" s="11" t="n"/>
      <c r="DA15" s="11" t="n"/>
      <c r="DB15" s="11" t="n"/>
      <c r="DC15" s="11" t="n"/>
      <c r="DD15" s="11" t="n"/>
      <c r="DE15" s="11" t="n"/>
      <c r="DF15" s="11" t="n"/>
      <c r="DG15" s="11" t="n"/>
      <c r="DH15" s="11" t="n"/>
      <c r="DI15" s="11" t="n"/>
      <c r="DJ15" s="11" t="n"/>
      <c r="DK15" s="11" t="n"/>
      <c r="DL15" s="11" t="n"/>
      <c r="DM15" s="11" t="n"/>
      <c r="DN15" s="11" t="n"/>
      <c r="DO15" s="11" t="n"/>
      <c r="DP15" s="11" t="n"/>
      <c r="DQ15" s="11" t="n"/>
      <c r="DR15" s="11" t="n"/>
    </row>
    <row r="16">
      <c r="A16" s="89" t="n"/>
      <c r="B16" s="587" t="n"/>
      <c r="C16" s="97" t="n"/>
      <c r="D16" s="958" t="n"/>
      <c r="E16" s="958" t="n"/>
      <c r="F16" s="959">
        <f>D16+E16</f>
        <v/>
      </c>
      <c r="G16" s="98" t="n"/>
      <c r="H16" s="100" t="inlineStr">
        <is>
          <t>Tenant</t>
        </is>
      </c>
      <c r="I16" s="960">
        <f>'Lease 7'!H22</f>
        <v/>
      </c>
      <c r="J16" s="960">
        <f>'Lease 7'!I22</f>
        <v/>
      </c>
      <c r="K16" s="964" t="n"/>
      <c r="L16" s="962" t="n"/>
      <c r="M16" s="963">
        <f>IF(B16&gt;1, EDATE('Project Assumptions'!$E$16,'Economic Assumptions'!B16), "  ")</f>
        <v/>
      </c>
      <c r="N16" s="95" t="inlineStr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n"/>
      <c r="CD16" s="11" t="n"/>
      <c r="CE16" s="11" t="n"/>
      <c r="CF16" s="11" t="n"/>
      <c r="CG16" s="11" t="n"/>
      <c r="CH16" s="11" t="n"/>
      <c r="CI16" s="11" t="n"/>
      <c r="CJ16" s="11" t="n"/>
      <c r="CK16" s="11" t="n"/>
      <c r="CL16" s="11" t="n"/>
      <c r="CM16" s="11" t="n"/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1" t="n"/>
      <c r="CZ16" s="11" t="n"/>
      <c r="DA16" s="11" t="n"/>
      <c r="DB16" s="11" t="n"/>
      <c r="DC16" s="11" t="n"/>
      <c r="DD16" s="11" t="n"/>
      <c r="DE16" s="11" t="n"/>
      <c r="DF16" s="11" t="n"/>
      <c r="DG16" s="11" t="n"/>
      <c r="DH16" s="11" t="n"/>
      <c r="DI16" s="11" t="n"/>
      <c r="DJ16" s="11" t="n"/>
      <c r="DK16" s="11" t="n"/>
      <c r="DL16" s="11" t="n"/>
      <c r="DM16" s="11" t="n"/>
      <c r="DN16" s="11" t="n"/>
      <c r="DO16" s="11" t="n"/>
      <c r="DP16" s="11" t="n"/>
      <c r="DQ16" s="11" t="n"/>
      <c r="DR16" s="11" t="n"/>
    </row>
    <row r="17">
      <c r="A17" s="89" t="n"/>
      <c r="B17" s="587" t="n"/>
      <c r="C17" s="97" t="n"/>
      <c r="D17" s="958" t="n"/>
      <c r="E17" s="958" t="n"/>
      <c r="F17" s="959">
        <f>D17+E17</f>
        <v/>
      </c>
      <c r="G17" s="98" t="n"/>
      <c r="H17" s="100" t="inlineStr">
        <is>
          <t>Tenant</t>
        </is>
      </c>
      <c r="I17" s="960">
        <f>'Lease 8'!H22</f>
        <v/>
      </c>
      <c r="J17" s="960">
        <f>'Lease 9'!I22</f>
        <v/>
      </c>
      <c r="K17" s="964" t="n"/>
      <c r="L17" s="962" t="n"/>
      <c r="M17" s="963">
        <f>IF(B17&gt;1, EDATE('Project Assumptions'!$E$16,'Economic Assumptions'!B17), "  ")</f>
        <v/>
      </c>
      <c r="N17" s="95" t="inlineStr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n"/>
      <c r="CD17" s="11" t="n"/>
      <c r="CE17" s="11" t="n"/>
      <c r="CF17" s="11" t="n"/>
      <c r="CG17" s="11" t="n"/>
      <c r="CH17" s="11" t="n"/>
      <c r="CI17" s="11" t="n"/>
      <c r="CJ17" s="11" t="n"/>
      <c r="CK17" s="11" t="n"/>
      <c r="CL17" s="11" t="n"/>
      <c r="CM17" s="11" t="n"/>
      <c r="CN17" s="11" t="n"/>
      <c r="CO17" s="11" t="n"/>
      <c r="CP17" s="11" t="n"/>
      <c r="CQ17" s="11" t="n"/>
      <c r="CR17" s="11" t="n"/>
      <c r="CS17" s="11" t="n"/>
      <c r="CT17" s="11" t="n"/>
      <c r="CU17" s="11" t="n"/>
      <c r="CV17" s="11" t="n"/>
      <c r="CW17" s="11" t="n"/>
      <c r="CX17" s="11" t="n"/>
      <c r="CY17" s="11" t="n"/>
      <c r="CZ17" s="11" t="n"/>
      <c r="DA17" s="11" t="n"/>
      <c r="DB17" s="11" t="n"/>
      <c r="DC17" s="11" t="n"/>
      <c r="DD17" s="11" t="n"/>
      <c r="DE17" s="11" t="n"/>
      <c r="DF17" s="11" t="n"/>
      <c r="DG17" s="11" t="n"/>
      <c r="DH17" s="11" t="n"/>
      <c r="DI17" s="11" t="n"/>
      <c r="DJ17" s="11" t="n"/>
      <c r="DK17" s="11" t="n"/>
      <c r="DL17" s="11" t="n"/>
      <c r="DM17" s="11" t="n"/>
      <c r="DN17" s="11" t="n"/>
      <c r="DO17" s="11" t="n"/>
      <c r="DP17" s="11" t="n"/>
      <c r="DQ17" s="11" t="n"/>
      <c r="DR17" s="11" t="n"/>
    </row>
    <row r="18">
      <c r="A18" s="89" t="n"/>
      <c r="B18" s="587" t="n"/>
      <c r="C18" s="97" t="n"/>
      <c r="D18" s="958" t="n"/>
      <c r="E18" s="958" t="n"/>
      <c r="F18" s="959">
        <f>D18+E18</f>
        <v/>
      </c>
      <c r="G18" s="98" t="n"/>
      <c r="H18" s="100" t="inlineStr">
        <is>
          <t>Tenant</t>
        </is>
      </c>
      <c r="I18" s="960">
        <f>'Lease 9'!H22</f>
        <v/>
      </c>
      <c r="J18" s="960">
        <f>'Lease 9'!I22</f>
        <v/>
      </c>
      <c r="K18" s="964" t="n"/>
      <c r="L18" s="962" t="n"/>
      <c r="M18" s="963">
        <f>IF(B18&gt;1, EDATE('Project Assumptions'!$E$16,'Economic Assumptions'!B18), "  ")</f>
        <v/>
      </c>
      <c r="N18" s="95" t="inlineStr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  <c r="CJ18" s="11" t="n"/>
      <c r="CK18" s="11" t="n"/>
      <c r="CL18" s="11" t="n"/>
      <c r="CM18" s="11" t="n"/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1" t="n"/>
      <c r="CZ18" s="11" t="n"/>
      <c r="DA18" s="11" t="n"/>
      <c r="DB18" s="11" t="n"/>
      <c r="DC18" s="11" t="n"/>
      <c r="DD18" s="11" t="n"/>
      <c r="DE18" s="11" t="n"/>
      <c r="DF18" s="11" t="n"/>
      <c r="DG18" s="11" t="n"/>
      <c r="DH18" s="11" t="n"/>
      <c r="DI18" s="11" t="n"/>
      <c r="DJ18" s="11" t="n"/>
      <c r="DK18" s="11" t="n"/>
      <c r="DL18" s="11" t="n"/>
      <c r="DM18" s="11" t="n"/>
      <c r="DN18" s="11" t="n"/>
      <c r="DO18" s="11" t="n"/>
      <c r="DP18" s="11" t="n"/>
      <c r="DQ18" s="11" t="n"/>
      <c r="DR18" s="11" t="n"/>
    </row>
    <row r="19">
      <c r="A19" s="89" t="n"/>
      <c r="B19" s="587" t="n"/>
      <c r="C19" s="97" t="n"/>
      <c r="D19" s="958" t="n"/>
      <c r="E19" s="958" t="n"/>
      <c r="F19" s="959">
        <f>D19+E19</f>
        <v/>
      </c>
      <c r="G19" s="98" t="n"/>
      <c r="H19" s="100" t="inlineStr">
        <is>
          <t>Tenant</t>
        </is>
      </c>
      <c r="I19" s="960">
        <f>'Lease 10'!H22</f>
        <v/>
      </c>
      <c r="J19" s="960">
        <f>'Lease 10'!I22</f>
        <v/>
      </c>
      <c r="K19" s="964" t="n"/>
      <c r="L19" s="962" t="n"/>
      <c r="M19" s="963">
        <f>IF(B19&gt;1, EDATE('Project Assumptions'!$E$16,'Economic Assumptions'!B19), "  ")</f>
        <v/>
      </c>
      <c r="N19" s="95" t="inlineStr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n"/>
      <c r="CD19" s="11" t="n"/>
      <c r="CE19" s="11" t="n"/>
      <c r="CF19" s="11" t="n"/>
      <c r="CG19" s="11" t="n"/>
      <c r="CH19" s="11" t="n"/>
      <c r="CI19" s="11" t="n"/>
      <c r="CJ19" s="11" t="n"/>
      <c r="CK19" s="11" t="n"/>
      <c r="CL19" s="11" t="n"/>
      <c r="CM19" s="11" t="n"/>
      <c r="CN19" s="11" t="n"/>
      <c r="CO19" s="11" t="n"/>
      <c r="CP19" s="11" t="n"/>
      <c r="CQ19" s="11" t="n"/>
      <c r="CR19" s="11" t="n"/>
      <c r="CS19" s="11" t="n"/>
      <c r="CT19" s="11" t="n"/>
      <c r="CU19" s="11" t="n"/>
      <c r="CV19" s="11" t="n"/>
      <c r="CW19" s="11" t="n"/>
      <c r="CX19" s="11" t="n"/>
      <c r="CY19" s="11" t="n"/>
      <c r="CZ19" s="11" t="n"/>
      <c r="DA19" s="11" t="n"/>
      <c r="DB19" s="11" t="n"/>
      <c r="DC19" s="11" t="n"/>
      <c r="DD19" s="11" t="n"/>
      <c r="DE19" s="11" t="n"/>
      <c r="DF19" s="11" t="n"/>
      <c r="DG19" s="11" t="n"/>
      <c r="DH19" s="11" t="n"/>
      <c r="DI19" s="11" t="n"/>
      <c r="DJ19" s="11" t="n"/>
      <c r="DK19" s="11" t="n"/>
      <c r="DL19" s="11" t="n"/>
      <c r="DM19" s="11" t="n"/>
      <c r="DN19" s="11" t="n"/>
      <c r="DO19" s="11" t="n"/>
      <c r="DP19" s="11" t="n"/>
      <c r="DQ19" s="11" t="n"/>
      <c r="DR19" s="11" t="n"/>
    </row>
    <row r="20">
      <c r="A20" s="89" t="n"/>
      <c r="B20" s="587" t="n"/>
      <c r="C20" s="97" t="n"/>
      <c r="D20" s="958" t="n"/>
      <c r="E20" s="958" t="n"/>
      <c r="F20" s="959">
        <f>D20+E20</f>
        <v/>
      </c>
      <c r="G20" s="98" t="n"/>
      <c r="H20" s="100" t="inlineStr">
        <is>
          <t>Tenant</t>
        </is>
      </c>
      <c r="I20" s="960">
        <f>'Lease 11'!H22</f>
        <v/>
      </c>
      <c r="J20" s="960">
        <f>'Lease 11'!I22</f>
        <v/>
      </c>
      <c r="K20" s="964" t="n"/>
      <c r="L20" s="962" t="n"/>
      <c r="M20" s="963">
        <f>IF(B20&gt;1, EDATE('Project Assumptions'!$E$16,'Economic Assumptions'!B20), "  ")</f>
        <v/>
      </c>
      <c r="N20" s="95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  <c r="CJ20" s="11" t="n"/>
      <c r="CK20" s="11" t="n"/>
      <c r="CL20" s="11" t="n"/>
      <c r="CM20" s="11" t="n"/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1" t="n"/>
      <c r="CZ20" s="11" t="n"/>
      <c r="DA20" s="11" t="n"/>
      <c r="DB20" s="11" t="n"/>
      <c r="DC20" s="11" t="n"/>
      <c r="DD20" s="11" t="n"/>
      <c r="DE20" s="11" t="n"/>
      <c r="DF20" s="11" t="n"/>
      <c r="DG20" s="11" t="n"/>
      <c r="DH20" s="11" t="n"/>
      <c r="DI20" s="11" t="n"/>
      <c r="DJ20" s="11" t="n"/>
      <c r="DK20" s="11" t="n"/>
      <c r="DL20" s="11" t="n"/>
      <c r="DM20" s="11" t="n"/>
      <c r="DN20" s="11" t="n"/>
      <c r="DO20" s="11" t="n"/>
      <c r="DP20" s="11" t="n"/>
      <c r="DQ20" s="11" t="n"/>
      <c r="DR20" s="11" t="n"/>
    </row>
    <row r="21">
      <c r="A21" s="72" t="n"/>
      <c r="B21" s="96" t="n"/>
      <c r="C21" s="97" t="n"/>
      <c r="D21" s="958" t="n"/>
      <c r="E21" s="958" t="n"/>
      <c r="F21" s="959" t="n"/>
      <c r="G21" s="98" t="n"/>
      <c r="H21" s="102" t="n"/>
      <c r="I21" s="965" t="n"/>
      <c r="J21" s="965" t="n"/>
      <c r="K21" s="964" t="n"/>
      <c r="L21" s="962" t="n"/>
      <c r="M21" s="103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n"/>
      <c r="CD21" s="11" t="n"/>
      <c r="CE21" s="11" t="n"/>
      <c r="CF21" s="11" t="n"/>
      <c r="CG21" s="11" t="n"/>
      <c r="CH21" s="11" t="n"/>
      <c r="CI21" s="11" t="n"/>
      <c r="CJ21" s="11" t="n"/>
      <c r="CK21" s="11" t="n"/>
      <c r="CL21" s="11" t="n"/>
      <c r="CM21" s="11" t="n"/>
      <c r="CN21" s="11" t="n"/>
      <c r="CO21" s="11" t="n"/>
      <c r="CP21" s="11" t="n"/>
      <c r="CQ21" s="11" t="n"/>
      <c r="CR21" s="11" t="n"/>
      <c r="CS21" s="11" t="n"/>
      <c r="CT21" s="11" t="n"/>
      <c r="CU21" s="11" t="n"/>
      <c r="CV21" s="11" t="n"/>
      <c r="CW21" s="11" t="n"/>
      <c r="CX21" s="11" t="n"/>
      <c r="CY21" s="11" t="n"/>
      <c r="CZ21" s="11" t="n"/>
      <c r="DA21" s="11" t="n"/>
      <c r="DB21" s="11" t="n"/>
      <c r="DC21" s="11" t="n"/>
      <c r="DD21" s="11" t="n"/>
      <c r="DE21" s="11" t="n"/>
      <c r="DF21" s="11" t="n"/>
      <c r="DG21" s="11" t="n"/>
      <c r="DH21" s="11" t="n"/>
      <c r="DI21" s="11" t="n"/>
      <c r="DJ21" s="11" t="n"/>
      <c r="DK21" s="11" t="n"/>
      <c r="DL21" s="11" t="n"/>
      <c r="DM21" s="11" t="n"/>
      <c r="DN21" s="11" t="n"/>
      <c r="DO21" s="11" t="n"/>
      <c r="DP21" s="11" t="n"/>
      <c r="DQ21" s="11" t="n"/>
      <c r="DR21" s="11" t="n"/>
    </row>
    <row r="22" ht="14.1" customHeight="1" thickBot="1">
      <c r="A22" s="104" t="inlineStr">
        <is>
          <t>Total</t>
        </is>
      </c>
      <c r="B22" s="105" t="n"/>
      <c r="C22" s="543">
        <f>SUM(C10:C21)</f>
        <v/>
      </c>
      <c r="D22" s="106" t="n"/>
      <c r="E22" s="107" t="n"/>
      <c r="F22" s="106" t="n"/>
      <c r="G22" s="108" t="n"/>
      <c r="H22" s="109" t="n"/>
      <c r="I22" s="966">
        <f>SUM(I10:I21)</f>
        <v/>
      </c>
      <c r="J22" s="966">
        <f>SUM(J10:J21)</f>
        <v/>
      </c>
      <c r="K22" s="967">
        <f>SUMPRODUCT(C10:C20,K10:K20)</f>
        <v/>
      </c>
      <c r="L22" s="968">
        <f>SUMPRODUCT(C10:C20,L10:L20)</f>
        <v/>
      </c>
      <c r="M22" s="110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n"/>
      <c r="CD22" s="11" t="n"/>
      <c r="CE22" s="11" t="n"/>
      <c r="CF22" s="11" t="n"/>
      <c r="CG22" s="11" t="n"/>
      <c r="CH22" s="11" t="n"/>
      <c r="CI22" s="11" t="n"/>
      <c r="CJ22" s="11" t="n"/>
      <c r="CK22" s="11" t="n"/>
      <c r="CL22" s="11" t="n"/>
      <c r="CM22" s="11" t="n"/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1" t="n"/>
      <c r="CZ22" s="11" t="n"/>
      <c r="DA22" s="11" t="n"/>
      <c r="DB22" s="11" t="n"/>
      <c r="DC22" s="11" t="n"/>
      <c r="DD22" s="11" t="n"/>
      <c r="DE22" s="11" t="n"/>
      <c r="DF22" s="11" t="n"/>
      <c r="DG22" s="11" t="n"/>
      <c r="DH22" s="11" t="n"/>
      <c r="DI22" s="11" t="n"/>
      <c r="DJ22" s="11" t="n"/>
      <c r="DK22" s="11" t="n"/>
      <c r="DL22" s="11" t="n"/>
      <c r="DM22" s="11" t="n"/>
      <c r="DN22" s="11" t="n"/>
      <c r="DO22" s="11" t="n"/>
      <c r="DP22" s="11" t="n"/>
      <c r="DQ22" s="11" t="n"/>
      <c r="DR22" s="11" t="n"/>
    </row>
    <row r="23">
      <c r="A23" s="111" t="n"/>
      <c r="B23" s="11" t="n"/>
      <c r="C23" s="112" t="n"/>
      <c r="D23" s="113" t="n"/>
      <c r="E23" s="11" t="n"/>
      <c r="F23" s="113" t="n"/>
      <c r="G23" s="11" t="n"/>
      <c r="H23" s="11" t="n"/>
      <c r="I23" s="969" t="n"/>
      <c r="J23" s="969" t="n"/>
      <c r="K23" s="969" t="n"/>
      <c r="L23" s="970" t="n"/>
      <c r="M23" s="1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n"/>
      <c r="CD23" s="11" t="n"/>
      <c r="CE23" s="11" t="n"/>
      <c r="CF23" s="11" t="n"/>
      <c r="CG23" s="11" t="n"/>
      <c r="CH23" s="11" t="n"/>
      <c r="CI23" s="11" t="n"/>
      <c r="CJ23" s="11" t="n"/>
      <c r="CK23" s="11" t="n"/>
      <c r="CL23" s="11" t="n"/>
      <c r="CM23" s="11" t="n"/>
      <c r="CN23" s="11" t="n"/>
      <c r="CO23" s="11" t="n"/>
      <c r="CP23" s="11" t="n"/>
      <c r="CQ23" s="11" t="n"/>
      <c r="CR23" s="11" t="n"/>
      <c r="CS23" s="11" t="n"/>
      <c r="CT23" s="11" t="n"/>
      <c r="CU23" s="11" t="n"/>
      <c r="CV23" s="11" t="n"/>
      <c r="CW23" s="11" t="n"/>
      <c r="CX23" s="11" t="n"/>
      <c r="CY23" s="11" t="n"/>
      <c r="CZ23" s="11" t="n"/>
      <c r="DA23" s="11" t="n"/>
      <c r="DB23" s="11" t="n"/>
      <c r="DC23" s="11" t="n"/>
      <c r="DD23" s="11" t="n"/>
      <c r="DE23" s="11" t="n"/>
      <c r="DF23" s="11" t="n"/>
      <c r="DG23" s="11" t="n"/>
      <c r="DH23" s="11" t="n"/>
      <c r="DI23" s="11" t="n"/>
      <c r="DJ23" s="11" t="n"/>
      <c r="DK23" s="11" t="n"/>
      <c r="DL23" s="11" t="n"/>
      <c r="DM23" s="11" t="n"/>
      <c r="DN23" s="11" t="n"/>
      <c r="DO23" s="11" t="n"/>
      <c r="DP23" s="11" t="n"/>
      <c r="DQ23" s="11" t="n"/>
      <c r="DR23" s="11" t="n"/>
    </row>
    <row r="24" ht="14.1" customHeight="1" thickBot="1">
      <c r="A24" s="27" t="inlineStr"/>
      <c r="B24" s="11" t="n"/>
      <c r="C24" s="112" t="n"/>
      <c r="D24" s="113" t="n"/>
      <c r="E24" s="11" t="n"/>
      <c r="F24" s="113" t="n"/>
      <c r="G24" s="11" t="n"/>
      <c r="H24" s="11" t="n"/>
      <c r="I24" s="969" t="n"/>
      <c r="J24" s="969" t="n"/>
      <c r="K24" s="969" t="n"/>
      <c r="L24" s="969" t="n"/>
      <c r="M24" s="1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1" t="n"/>
    </row>
    <row r="25" ht="14.1" customHeight="1">
      <c r="A25" s="1223" t="inlineStr">
        <is>
          <t>Dates for Lease-Up and Stabilization</t>
        </is>
      </c>
      <c r="B25" s="948" t="n"/>
      <c r="C25" s="948" t="n"/>
      <c r="D25" s="948" t="n"/>
      <c r="E25" s="948" t="n"/>
      <c r="F25" s="948" t="n"/>
      <c r="G25" s="949" t="n"/>
      <c r="H25" s="11" t="n"/>
      <c r="I25" s="1222" t="inlineStr">
        <is>
          <t>Parking Spaces</t>
        </is>
      </c>
      <c r="J25" s="948" t="n"/>
      <c r="K25" s="948" t="n"/>
      <c r="L25" s="949" t="n"/>
      <c r="M25" s="1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n"/>
      <c r="CD25" s="11" t="n"/>
      <c r="CE25" s="11" t="n"/>
      <c r="CF25" s="11" t="n"/>
      <c r="CG25" s="11" t="n"/>
      <c r="CH25" s="11" t="n"/>
      <c r="CI25" s="11" t="n"/>
      <c r="CJ25" s="11" t="n"/>
      <c r="CK25" s="11" t="n"/>
      <c r="CL25" s="11" t="n"/>
      <c r="CM25" s="11" t="n"/>
      <c r="CN25" s="11" t="n"/>
      <c r="CO25" s="11" t="n"/>
      <c r="CP25" s="11" t="n"/>
      <c r="CQ25" s="11" t="n"/>
      <c r="CR25" s="11" t="n"/>
      <c r="CS25" s="11" t="n"/>
      <c r="CT25" s="11" t="n"/>
      <c r="CU25" s="11" t="n"/>
      <c r="CV25" s="11" t="n"/>
      <c r="CW25" s="11" t="n"/>
      <c r="CX25" s="11" t="n"/>
      <c r="CY25" s="11" t="n"/>
      <c r="CZ25" s="11" t="n"/>
      <c r="DA25" s="11" t="n"/>
      <c r="DB25" s="11" t="n"/>
      <c r="DC25" s="11" t="n"/>
      <c r="DD25" s="11" t="n"/>
      <c r="DE25" s="11" t="n"/>
      <c r="DF25" s="11" t="n"/>
      <c r="DG25" s="11" t="n"/>
      <c r="DH25" s="11" t="n"/>
      <c r="DI25" s="11" t="n"/>
      <c r="DJ25" s="11" t="n"/>
      <c r="DK25" s="11" t="n"/>
      <c r="DL25" s="11" t="n"/>
      <c r="DM25" s="11" t="n"/>
      <c r="DN25" s="11" t="n"/>
      <c r="DO25" s="11" t="n"/>
      <c r="DP25" s="11" t="n"/>
      <c r="DQ25" s="11" t="n"/>
      <c r="DR25" s="11" t="n"/>
    </row>
    <row r="26">
      <c r="A26" s="116" t="inlineStr">
        <is>
          <t>Lease-Up Date -</t>
        </is>
      </c>
      <c r="B26" s="117" t="inlineStr">
        <is>
          <t>full lease-up</t>
        </is>
      </c>
      <c r="C26" s="117" t="n"/>
      <c r="D26" s="118" t="n"/>
      <c r="E26" s="972">
        <f>'Project Assumptions'!D15+'Project Assumptions'!D16+MAX(MAX(B10:B19)-1,0)</f>
        <v/>
      </c>
      <c r="F26" s="951" t="n"/>
      <c r="G26" s="119">
        <f>EOMONTH('Project Assumptions'!$D$14,E26-1)</f>
        <v/>
      </c>
      <c r="H26" s="11" t="n"/>
      <c r="I26" s="72" t="n"/>
      <c r="L26" s="120" t="inlineStr">
        <is>
          <t># of Spaces</t>
        </is>
      </c>
      <c r="M26" s="1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n"/>
      <c r="CD26" s="11" t="n"/>
      <c r="CE26" s="11" t="n"/>
      <c r="CF26" s="11" t="n"/>
      <c r="CG26" s="11" t="n"/>
      <c r="CH26" s="11" t="n"/>
      <c r="CI26" s="11" t="n"/>
      <c r="CJ26" s="11" t="n"/>
      <c r="CK26" s="11" t="n"/>
      <c r="CL26" s="11" t="n"/>
      <c r="CM26" s="11" t="n"/>
      <c r="CN26" s="11" t="n"/>
      <c r="CO26" s="11" t="n"/>
      <c r="CP26" s="11" t="n"/>
      <c r="CQ26" s="11" t="n"/>
      <c r="CR26" s="11" t="n"/>
      <c r="CS26" s="11" t="n"/>
      <c r="CT26" s="11" t="n"/>
      <c r="CU26" s="11" t="n"/>
      <c r="CV26" s="11" t="n"/>
      <c r="CW26" s="11" t="n"/>
      <c r="CX26" s="11" t="n"/>
      <c r="CY26" s="11" t="n"/>
      <c r="CZ26" s="11" t="n"/>
      <c r="DA26" s="11" t="n"/>
      <c r="DB26" s="11" t="n"/>
      <c r="DC26" s="11" t="n"/>
      <c r="DD26" s="11" t="n"/>
      <c r="DE26" s="11" t="n"/>
      <c r="DF26" s="11" t="n"/>
      <c r="DG26" s="11" t="n"/>
      <c r="DH26" s="11" t="n"/>
      <c r="DI26" s="11" t="n"/>
      <c r="DJ26" s="11" t="n"/>
      <c r="DK26" s="11" t="n"/>
      <c r="DL26" s="11" t="n"/>
      <c r="DM26" s="11" t="n"/>
      <c r="DN26" s="11" t="n"/>
      <c r="DO26" s="11" t="n"/>
      <c r="DP26" s="11" t="n"/>
      <c r="DQ26" s="11" t="n"/>
      <c r="DR26" s="11" t="n"/>
    </row>
    <row r="27" ht="14.1" customHeight="1" thickBot="1">
      <c r="A27" s="121" t="inlineStr">
        <is>
          <t>Stabilization Date -</t>
        </is>
      </c>
      <c r="B27" s="122" t="inlineStr">
        <is>
          <t>full lease-up and end of free rent</t>
        </is>
      </c>
      <c r="C27" s="122" t="n"/>
      <c r="D27" s="123" t="n"/>
      <c r="E27" s="973">
        <f>'Project Assumptions'!D15+'Project Assumptions'!D16+MAX(MAX(B10+G10,B11+G11,B12+G12,B13+G13,B14+G14,B15+G15,B16+G16,B17+G17,B18+G18,B19+G19)-1,0)</f>
        <v/>
      </c>
      <c r="F27" s="921" t="n"/>
      <c r="G27" s="551">
        <f>EOMONTH('Project Assumptions'!$D$14,E27-1)</f>
        <v/>
      </c>
      <c r="H27" s="124" t="n"/>
      <c r="I27" s="72" t="inlineStr">
        <is>
          <t>Surface Lot(s)</t>
        </is>
      </c>
      <c r="L27" s="125" t="n"/>
      <c r="M27" s="1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  <c r="CJ27" s="11" t="n"/>
      <c r="CK27" s="11" t="n"/>
      <c r="CL27" s="11" t="n"/>
      <c r="CM27" s="11" t="n"/>
      <c r="CN27" s="11" t="n"/>
      <c r="CO27" s="11" t="n"/>
      <c r="CP27" s="11" t="n"/>
      <c r="CQ27" s="11" t="n"/>
      <c r="CR27" s="11" t="n"/>
      <c r="CS27" s="11" t="n"/>
      <c r="CT27" s="11" t="n"/>
      <c r="CU27" s="11" t="n"/>
      <c r="CV27" s="11" t="n"/>
      <c r="CW27" s="11" t="n"/>
      <c r="CX27" s="11" t="n"/>
      <c r="CY27" s="11" t="n"/>
      <c r="CZ27" s="11" t="n"/>
      <c r="DA27" s="11" t="n"/>
      <c r="DB27" s="11" t="n"/>
      <c r="DC27" s="11" t="n"/>
      <c r="DD27" s="11" t="n"/>
      <c r="DE27" s="11" t="n"/>
      <c r="DF27" s="11" t="n"/>
      <c r="DG27" s="11" t="n"/>
      <c r="DH27" s="11" t="n"/>
      <c r="DI27" s="11" t="n"/>
      <c r="DJ27" s="11" t="n"/>
      <c r="DK27" s="11" t="n"/>
      <c r="DL27" s="11" t="n"/>
      <c r="DM27" s="11" t="n"/>
      <c r="DN27" s="11" t="n"/>
      <c r="DO27" s="11" t="n"/>
      <c r="DP27" s="11" t="n"/>
      <c r="DQ27" s="11" t="n"/>
      <c r="DR27" s="11" t="n"/>
    </row>
    <row r="28">
      <c r="A28" s="27" t="n"/>
      <c r="B28" s="11" t="n"/>
      <c r="C28" s="112" t="n"/>
      <c r="D28" s="113" t="n"/>
      <c r="E28" s="11" t="n"/>
      <c r="F28" s="113" t="n"/>
      <c r="G28" s="11" t="n"/>
      <c r="H28" s="11" t="n"/>
      <c r="I28" s="72" t="inlineStr">
        <is>
          <t>Garage - Free-Standing:</t>
        </is>
      </c>
      <c r="L28" s="126" t="n"/>
      <c r="M28" s="1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  <c r="CJ28" s="11" t="n"/>
      <c r="CK28" s="11" t="n"/>
      <c r="CL28" s="11" t="n"/>
      <c r="CM28" s="11" t="n"/>
      <c r="CN28" s="11" t="n"/>
      <c r="CO28" s="11" t="n"/>
      <c r="CP28" s="11" t="n"/>
      <c r="CQ28" s="11" t="n"/>
      <c r="CR28" s="11" t="n"/>
      <c r="CS28" s="11" t="n"/>
      <c r="CT28" s="11" t="n"/>
      <c r="CU28" s="11" t="n"/>
      <c r="CV28" s="11" t="n"/>
      <c r="CW28" s="11" t="n"/>
      <c r="CX28" s="11" t="n"/>
      <c r="CY28" s="11" t="n"/>
      <c r="CZ28" s="11" t="n"/>
      <c r="DA28" s="11" t="n"/>
      <c r="DB28" s="11" t="n"/>
      <c r="DC28" s="11" t="n"/>
      <c r="DD28" s="11" t="n"/>
      <c r="DE28" s="11" t="n"/>
      <c r="DF28" s="11" t="n"/>
      <c r="DG28" s="11" t="n"/>
      <c r="DH28" s="11" t="n"/>
      <c r="DI28" s="11" t="n"/>
      <c r="DJ28" s="11" t="n"/>
      <c r="DK28" s="11" t="n"/>
      <c r="DL28" s="11" t="n"/>
      <c r="DM28" s="11" t="n"/>
      <c r="DN28" s="11" t="n"/>
      <c r="DO28" s="11" t="n"/>
      <c r="DP28" s="11" t="n"/>
      <c r="DQ28" s="11" t="n"/>
      <c r="DR28" s="11" t="n"/>
    </row>
    <row r="29" ht="14.1" customHeight="1" thickBot="1">
      <c r="A29" s="12" t="n"/>
      <c r="B29" s="11" t="n"/>
      <c r="C29" s="11" t="n"/>
      <c r="E29" s="127" t="n"/>
      <c r="F29" s="124" t="n"/>
      <c r="G29" s="112" t="n"/>
      <c r="H29" s="112" t="n"/>
      <c r="I29" s="72" t="inlineStr">
        <is>
          <t xml:space="preserve">     Above Grade</t>
        </is>
      </c>
      <c r="L29" s="125" t="n"/>
      <c r="M29" s="1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n"/>
      <c r="CD29" s="11" t="n"/>
      <c r="CE29" s="11" t="n"/>
      <c r="CF29" s="11" t="n"/>
      <c r="CG29" s="11" t="n"/>
      <c r="CH29" s="11" t="n"/>
      <c r="CI29" s="11" t="n"/>
      <c r="CJ29" s="11" t="n"/>
      <c r="CK29" s="11" t="n"/>
      <c r="CL29" s="11" t="n"/>
      <c r="CM29" s="11" t="n"/>
      <c r="CN29" s="11" t="n"/>
      <c r="CO29" s="11" t="n"/>
      <c r="CP29" s="11" t="n"/>
      <c r="CQ29" s="11" t="n"/>
      <c r="CR29" s="11" t="n"/>
      <c r="CS29" s="11" t="n"/>
      <c r="CT29" s="11" t="n"/>
      <c r="CU29" s="11" t="n"/>
      <c r="CV29" s="11" t="n"/>
      <c r="CW29" s="11" t="n"/>
      <c r="CX29" s="11" t="n"/>
      <c r="CY29" s="11" t="n"/>
      <c r="CZ29" s="11" t="n"/>
      <c r="DA29" s="11" t="n"/>
      <c r="DB29" s="11" t="n"/>
      <c r="DC29" s="11" t="n"/>
      <c r="DD29" s="11" t="n"/>
      <c r="DE29" s="11" t="n"/>
      <c r="DF29" s="11" t="n"/>
      <c r="DG29" s="11" t="n"/>
      <c r="DH29" s="11" t="n"/>
      <c r="DI29" s="11" t="n"/>
      <c r="DJ29" s="11" t="n"/>
      <c r="DK29" s="11" t="n"/>
      <c r="DL29" s="11" t="n"/>
      <c r="DM29" s="11" t="n"/>
      <c r="DN29" s="11" t="n"/>
      <c r="DO29" s="11" t="n"/>
      <c r="DP29" s="11" t="n"/>
      <c r="DQ29" s="11" t="n"/>
      <c r="DR29" s="11" t="n"/>
    </row>
    <row r="30" ht="14.1" customHeight="1">
      <c r="A30" s="1222" t="inlineStr">
        <is>
          <t>Operating Expense Assumptions</t>
        </is>
      </c>
      <c r="B30" s="948" t="n"/>
      <c r="C30" s="948" t="n"/>
      <c r="D30" s="948" t="n"/>
      <c r="E30" s="948" t="n"/>
      <c r="F30" s="948" t="n"/>
      <c r="G30" s="949" t="n"/>
      <c r="H30" s="112" t="n"/>
      <c r="I30" s="72" t="inlineStr">
        <is>
          <t xml:space="preserve">     Below Grade</t>
        </is>
      </c>
      <c r="L30" s="125" t="n"/>
      <c r="M30" s="1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n"/>
      <c r="CD30" s="11" t="n"/>
      <c r="CE30" s="11" t="n"/>
      <c r="CF30" s="11" t="n"/>
      <c r="CG30" s="11" t="n"/>
      <c r="CH30" s="11" t="n"/>
      <c r="CI30" s="11" t="n"/>
      <c r="CJ30" s="11" t="n"/>
      <c r="CK30" s="11" t="n"/>
      <c r="CL30" s="11" t="n"/>
      <c r="CM30" s="11" t="n"/>
      <c r="CN30" s="11" t="n"/>
      <c r="CO30" s="11" t="n"/>
      <c r="CP30" s="11" t="n"/>
      <c r="CQ30" s="11" t="n"/>
      <c r="CR30" s="11" t="n"/>
      <c r="CS30" s="11" t="n"/>
      <c r="CT30" s="11" t="n"/>
      <c r="CU30" s="11" t="n"/>
      <c r="CV30" s="11" t="n"/>
      <c r="CW30" s="11" t="n"/>
      <c r="CX30" s="11" t="n"/>
      <c r="CY30" s="11" t="n"/>
      <c r="CZ30" s="11" t="n"/>
      <c r="DA30" s="11" t="n"/>
      <c r="DB30" s="11" t="n"/>
      <c r="DC30" s="11" t="n"/>
      <c r="DD30" s="11" t="n"/>
      <c r="DE30" s="11" t="n"/>
      <c r="DF30" s="11" t="n"/>
      <c r="DG30" s="11" t="n"/>
      <c r="DH30" s="11" t="n"/>
      <c r="DI30" s="11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1" t="n"/>
    </row>
    <row r="31">
      <c r="A31" s="128" t="inlineStr">
        <is>
          <t>Operating Expenses on Vacant Space during Lease-Up (/s.f.)</t>
        </is>
      </c>
      <c r="B31" s="129" t="n"/>
      <c r="C31" s="130" t="n"/>
      <c r="D31" s="129" t="n"/>
      <c r="E31" s="130" t="n"/>
      <c r="F31" s="130" t="n"/>
      <c r="G31" s="974" t="n"/>
      <c r="H31" s="975" t="n"/>
      <c r="I31" s="133" t="inlineStr">
        <is>
          <t>Total Parking Spaces</t>
        </is>
      </c>
      <c r="J31" s="78" t="n"/>
      <c r="K31" s="78" t="n"/>
      <c r="L31" s="550">
        <f>L27+L29+L30</f>
        <v/>
      </c>
      <c r="M31" s="1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1" t="n"/>
      <c r="CI31" s="11" t="n"/>
      <c r="CJ31" s="11" t="n"/>
      <c r="CK31" s="11" t="n"/>
      <c r="CL31" s="11" t="n"/>
      <c r="CM31" s="11" t="n"/>
      <c r="CN31" s="11" t="n"/>
      <c r="CO31" s="11" t="n"/>
      <c r="CP31" s="11" t="n"/>
      <c r="CQ31" s="11" t="n"/>
      <c r="CR31" s="11" t="n"/>
      <c r="CS31" s="11" t="n"/>
      <c r="CT31" s="11" t="n"/>
      <c r="CU31" s="11" t="n"/>
      <c r="CV31" s="11" t="n"/>
      <c r="CW31" s="11" t="n"/>
      <c r="CX31" s="11" t="n"/>
      <c r="CY31" s="11" t="n"/>
      <c r="CZ31" s="11" t="n"/>
      <c r="DA31" s="11" t="n"/>
      <c r="DB31" s="11" t="n"/>
      <c r="DC31" s="11" t="n"/>
      <c r="DD31" s="11" t="n"/>
      <c r="DE31" s="11" t="n"/>
      <c r="DF31" s="11" t="n"/>
      <c r="DG31" s="11" t="n"/>
      <c r="DH31" s="11" t="n"/>
      <c r="DI31" s="11" t="n"/>
      <c r="DJ31" s="11" t="n"/>
      <c r="DK31" s="11" t="n"/>
      <c r="DL31" s="11" t="n"/>
      <c r="DM31" s="11" t="n"/>
      <c r="DN31" s="11" t="n"/>
      <c r="DO31" s="11" t="n"/>
      <c r="DP31" s="11" t="n"/>
      <c r="DQ31" s="11" t="n"/>
      <c r="DR31" s="11" t="n"/>
    </row>
    <row r="32" ht="14.1" customHeight="1" thickBot="1">
      <c r="A32" s="134" t="inlineStr">
        <is>
          <t>Operating Expenses on Leased Space during Free Rent (/s.f.)</t>
        </is>
      </c>
      <c r="B32" s="135" t="n"/>
      <c r="C32" s="136" t="n"/>
      <c r="D32" s="135" t="n"/>
      <c r="E32" s="136" t="n"/>
      <c r="F32" s="976" t="n"/>
      <c r="G32" s="977" t="n"/>
      <c r="H32" s="958" t="n"/>
      <c r="I32" s="72" t="inlineStr">
        <is>
          <t>Total Parking Spaces per 1,000 Commercial NRSF</t>
        </is>
      </c>
      <c r="L32" s="978">
        <f>L31/('Project Assumptions'!E11/1000)</f>
        <v/>
      </c>
      <c r="M32" s="1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1" t="n"/>
    </row>
    <row r="33" ht="14.1" customHeight="1" thickBot="1">
      <c r="A33" s="11" t="n"/>
      <c r="B33" s="11" t="n"/>
      <c r="D33" s="11" t="n"/>
      <c r="F33" s="975" t="n"/>
      <c r="G33" s="112" t="n"/>
      <c r="H33" s="112" t="n"/>
      <c r="I33" s="121" t="inlineStr">
        <is>
          <t>GARAGE - Cost per Parking Space</t>
        </is>
      </c>
      <c r="J33" s="123" t="n"/>
      <c r="K33" s="123" t="n"/>
      <c r="L33" s="979">
        <f>('Detailed Project Costs'!F23+'Detailed Project Costs'!F24)/'Economic Assumptions'!L31</f>
        <v/>
      </c>
      <c r="M33" s="1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  <c r="CJ33" s="11" t="n"/>
      <c r="CK33" s="11" t="n"/>
      <c r="CL33" s="11" t="n"/>
      <c r="CM33" s="11" t="n"/>
      <c r="CN33" s="11" t="n"/>
      <c r="CO33" s="11" t="n"/>
      <c r="CP33" s="11" t="n"/>
      <c r="CQ33" s="11" t="n"/>
      <c r="CR33" s="11" t="n"/>
      <c r="CS33" s="11" t="n"/>
      <c r="CT33" s="11" t="n"/>
      <c r="CU33" s="11" t="n"/>
      <c r="CV33" s="11" t="n"/>
      <c r="CW33" s="11" t="n"/>
      <c r="CX33" s="11" t="n"/>
      <c r="CY33" s="11" t="n"/>
      <c r="CZ33" s="11" t="n"/>
      <c r="DA33" s="11" t="n"/>
      <c r="DB33" s="11" t="n"/>
      <c r="DC33" s="11" t="n"/>
      <c r="DD33" s="11" t="n"/>
      <c r="DE33" s="11" t="n"/>
      <c r="DF33" s="11" t="n"/>
      <c r="DG33" s="11" t="n"/>
      <c r="DH33" s="11" t="n"/>
      <c r="DI33" s="11" t="n"/>
      <c r="DJ33" s="11" t="n"/>
      <c r="DK33" s="11" t="n"/>
      <c r="DL33" s="11" t="n"/>
      <c r="DM33" s="11" t="n"/>
      <c r="DN33" s="11" t="n"/>
      <c r="DO33" s="11" t="n"/>
      <c r="DP33" s="11" t="n"/>
      <c r="DQ33" s="11" t="n"/>
      <c r="DR33" s="11" t="n"/>
    </row>
    <row r="34" ht="14.1" customHeight="1" thickBot="1">
      <c r="A34" s="11" t="n"/>
      <c r="B34" s="11" t="n"/>
      <c r="D34" s="11" t="n"/>
      <c r="F34" s="975" t="n"/>
      <c r="G34" s="112" t="n"/>
      <c r="H34" s="112" t="n"/>
      <c r="I34" s="112" t="n"/>
      <c r="J34" s="11" t="n"/>
      <c r="K34" s="11" t="n"/>
      <c r="L34" s="11" t="n"/>
      <c r="M34" s="1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  <c r="CM34" s="11" t="n"/>
      <c r="CN34" s="11" t="n"/>
      <c r="CO34" s="11" t="n"/>
      <c r="CP34" s="11" t="n"/>
      <c r="CQ34" s="11" t="n"/>
      <c r="CR34" s="11" t="n"/>
      <c r="CS34" s="11" t="n"/>
      <c r="CT34" s="11" t="n"/>
      <c r="CU34" s="11" t="n"/>
      <c r="CV34" s="11" t="n"/>
      <c r="CW34" s="11" t="n"/>
      <c r="CX34" s="11" t="n"/>
      <c r="CY34" s="11" t="n"/>
      <c r="CZ34" s="11" t="n"/>
      <c r="DA34" s="11" t="n"/>
      <c r="DB34" s="11" t="n"/>
      <c r="DC34" s="11" t="n"/>
      <c r="DD34" s="11" t="n"/>
      <c r="DE34" s="11" t="n"/>
      <c r="DF34" s="11" t="n"/>
      <c r="DG34" s="11" t="n"/>
      <c r="DH34" s="11" t="n"/>
      <c r="DI34" s="11" t="n"/>
      <c r="DJ34" s="11" t="n"/>
      <c r="DK34" s="11" t="n"/>
      <c r="DL34" s="11" t="n"/>
      <c r="DM34" s="11" t="n"/>
      <c r="DN34" s="11" t="n"/>
      <c r="DO34" s="11" t="n"/>
      <c r="DP34" s="11" t="n"/>
      <c r="DQ34" s="11" t="n"/>
      <c r="DR34" s="11" t="n"/>
    </row>
    <row r="35" ht="14.1" customHeight="1">
      <c r="A35" s="1222" t="inlineStr">
        <is>
          <t>Other Income Assumptions</t>
        </is>
      </c>
      <c r="B35" s="948" t="n"/>
      <c r="C35" s="948" t="n"/>
      <c r="D35" s="948" t="n"/>
      <c r="E35" s="948" t="n"/>
      <c r="F35" s="948" t="n"/>
      <c r="G35" s="949" t="n"/>
      <c r="H35" s="112" t="n"/>
      <c r="I35" s="112" t="n"/>
      <c r="J35" s="11" t="n"/>
      <c r="K35" s="11" t="n"/>
      <c r="L35" s="11" t="n"/>
      <c r="M35" s="1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11" t="n"/>
      <c r="CE35" s="11" t="n"/>
      <c r="CF35" s="11" t="n"/>
      <c r="CG35" s="11" t="n"/>
      <c r="CH35" s="11" t="n"/>
      <c r="CI35" s="11" t="n"/>
      <c r="CJ35" s="11" t="n"/>
      <c r="CK35" s="11" t="n"/>
      <c r="CL35" s="11" t="n"/>
      <c r="CM35" s="11" t="n"/>
      <c r="CN35" s="11" t="n"/>
      <c r="CO35" s="11" t="n"/>
      <c r="CP35" s="11" t="n"/>
      <c r="CQ35" s="11" t="n"/>
      <c r="CR35" s="11" t="n"/>
      <c r="CS35" s="11" t="n"/>
      <c r="CT35" s="11" t="n"/>
      <c r="CU35" s="11" t="n"/>
      <c r="CV35" s="11" t="n"/>
      <c r="CW35" s="11" t="n"/>
      <c r="CX35" s="11" t="n"/>
      <c r="CY35" s="11" t="n"/>
      <c r="CZ35" s="11" t="n"/>
      <c r="DA35" s="11" t="n"/>
      <c r="DB35" s="11" t="n"/>
      <c r="DC35" s="11" t="n"/>
      <c r="DD35" s="11" t="n"/>
      <c r="DE35" s="11" t="n"/>
      <c r="DF35" s="11" t="n"/>
      <c r="DG35" s="11" t="n"/>
      <c r="DH35" s="11" t="n"/>
      <c r="DI35" s="11" t="n"/>
      <c r="DJ35" s="11" t="n"/>
      <c r="DK35" s="11" t="n"/>
      <c r="DL35" s="11" t="n"/>
      <c r="DM35" s="11" t="n"/>
      <c r="DN35" s="11" t="n"/>
      <c r="DO35" s="11" t="n"/>
      <c r="DP35" s="11" t="n"/>
      <c r="DQ35" s="11" t="n"/>
      <c r="DR35" s="11" t="n"/>
    </row>
    <row r="36" ht="14.45" customHeight="1" thickBot="1">
      <c r="A36" s="134" t="inlineStr">
        <is>
          <t>Other Income - annual amount at full lease-up (e.g. Parking)</t>
        </is>
      </c>
      <c r="B36" s="135" t="n"/>
      <c r="C36" s="136" t="n"/>
      <c r="D36" s="136" t="n"/>
      <c r="E36" s="139" t="inlineStr">
        <is>
          <t>Parking Income</t>
        </is>
      </c>
      <c r="F36" s="140" t="n"/>
      <c r="G36" s="980" t="n"/>
      <c r="H36" s="981" t="n"/>
      <c r="I36" s="112" t="n"/>
      <c r="J36" s="11" t="n"/>
      <c r="K36" s="11" t="n"/>
      <c r="L36" s="11" t="n"/>
      <c r="M36" s="1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  <c r="CN36" s="11" t="n"/>
      <c r="CO36" s="11" t="n"/>
      <c r="CP36" s="11" t="n"/>
      <c r="CQ36" s="11" t="n"/>
      <c r="CR36" s="11" t="n"/>
      <c r="CS36" s="11" t="n"/>
      <c r="CT36" s="11" t="n"/>
      <c r="CU36" s="11" t="n"/>
      <c r="CV36" s="11" t="n"/>
      <c r="CW36" s="11" t="n"/>
      <c r="CX36" s="11" t="n"/>
      <c r="CY36" s="11" t="n"/>
      <c r="CZ36" s="11" t="n"/>
      <c r="DA36" s="11" t="n"/>
      <c r="DB36" s="11" t="n"/>
      <c r="DC36" s="11" t="n"/>
      <c r="DD36" s="11" t="n"/>
      <c r="DE36" s="11" t="n"/>
      <c r="DF36" s="11" t="n"/>
      <c r="DG36" s="11" t="n"/>
      <c r="DH36" s="11" t="n"/>
      <c r="DI36" s="11" t="n"/>
      <c r="DJ36" s="11" t="n"/>
      <c r="DK36" s="11" t="n"/>
      <c r="DL36" s="11" t="n"/>
      <c r="DM36" s="11" t="n"/>
      <c r="DN36" s="11" t="n"/>
      <c r="DO36" s="11" t="n"/>
      <c r="DP36" s="11" t="n"/>
      <c r="DQ36" s="11" t="n"/>
      <c r="DR36" s="11" t="n"/>
    </row>
    <row r="37">
      <c r="A37" s="12" t="n"/>
      <c r="B37" s="11" t="n"/>
      <c r="C37" s="11" t="n"/>
      <c r="D37" s="113" t="n"/>
      <c r="E37" s="11" t="n"/>
      <c r="F37" s="113" t="n"/>
      <c r="I37" s="11" t="n"/>
      <c r="J37" s="11" t="n"/>
      <c r="K37" s="11" t="n"/>
      <c r="L37" s="11" t="n"/>
      <c r="M37" s="1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n"/>
      <c r="CD37" s="11" t="n"/>
      <c r="CE37" s="11" t="n"/>
      <c r="CF37" s="11" t="n"/>
      <c r="CG37" s="11" t="n"/>
      <c r="CH37" s="11" t="n"/>
      <c r="CI37" s="11" t="n"/>
      <c r="CJ37" s="11" t="n"/>
      <c r="CK37" s="11" t="n"/>
      <c r="CL37" s="11" t="n"/>
      <c r="CM37" s="11" t="n"/>
      <c r="CN37" s="11" t="n"/>
      <c r="CO37" s="11" t="n"/>
      <c r="CP37" s="11" t="n"/>
      <c r="CQ37" s="11" t="n"/>
      <c r="CR37" s="11" t="n"/>
      <c r="CS37" s="11" t="n"/>
      <c r="CT37" s="11" t="n"/>
      <c r="CU37" s="11" t="n"/>
      <c r="CV37" s="11" t="n"/>
      <c r="CW37" s="11" t="n"/>
      <c r="CX37" s="11" t="n"/>
      <c r="CY37" s="11" t="n"/>
      <c r="CZ37" s="11" t="n"/>
      <c r="DA37" s="11" t="n"/>
      <c r="DB37" s="11" t="n"/>
      <c r="DC37" s="11" t="n"/>
      <c r="DD37" s="11" t="n"/>
      <c r="DE37" s="11" t="n"/>
      <c r="DF37" s="11" t="n"/>
      <c r="DG37" s="11" t="n"/>
      <c r="DH37" s="11" t="n"/>
      <c r="DI37" s="11" t="n"/>
      <c r="DJ37" s="11" t="n"/>
      <c r="DK37" s="11" t="n"/>
      <c r="DL37" s="11" t="n"/>
      <c r="DM37" s="11" t="n"/>
      <c r="DN37" s="11" t="n"/>
      <c r="DO37" s="11" t="n"/>
      <c r="DP37" s="11" t="n"/>
      <c r="DQ37" s="11" t="n"/>
      <c r="DR37" s="11" t="n"/>
    </row>
    <row r="38" ht="14.1" customHeight="1" thickBot="1">
      <c r="A38" s="11" t="n"/>
      <c r="B38" s="11" t="n"/>
      <c r="C38" s="11" t="n"/>
      <c r="D38" s="113" t="n"/>
      <c r="E38" s="11" t="n"/>
      <c r="F38" s="113" t="n"/>
      <c r="G38" s="11" t="n"/>
      <c r="H38" s="11" t="n"/>
      <c r="I38" s="11" t="n"/>
      <c r="J38" s="11" t="n"/>
      <c r="K38" s="11" t="n"/>
      <c r="L38" s="11" t="n"/>
      <c r="M38" s="1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n"/>
      <c r="CD38" s="11" t="n"/>
      <c r="CE38" s="11" t="n"/>
      <c r="CF38" s="11" t="n"/>
      <c r="CG38" s="11" t="n"/>
      <c r="CH38" s="11" t="n"/>
      <c r="CI38" s="11" t="n"/>
      <c r="CJ38" s="11" t="n"/>
      <c r="CK38" s="11" t="n"/>
      <c r="CL38" s="11" t="n"/>
      <c r="CM38" s="11" t="n"/>
      <c r="CN38" s="11" t="n"/>
      <c r="CO38" s="11" t="n"/>
      <c r="CP38" s="11" t="n"/>
      <c r="CQ38" s="11" t="n"/>
      <c r="CR38" s="11" t="n"/>
      <c r="CS38" s="11" t="n"/>
      <c r="CT38" s="11" t="n"/>
      <c r="CU38" s="11" t="n"/>
      <c r="CV38" s="11" t="n"/>
      <c r="CW38" s="11" t="n"/>
      <c r="CX38" s="11" t="n"/>
      <c r="CY38" s="11" t="n"/>
      <c r="CZ38" s="11" t="n"/>
      <c r="DA38" s="11" t="n"/>
      <c r="DB38" s="11" t="n"/>
      <c r="DC38" s="11" t="n"/>
      <c r="DD38" s="11" t="n"/>
      <c r="DE38" s="11" t="n"/>
      <c r="DF38" s="11" t="n"/>
      <c r="DG38" s="11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1" t="n"/>
    </row>
    <row r="39" ht="14.1" customHeight="1">
      <c r="A39" s="1222" t="inlineStr">
        <is>
          <t>Vacancy and Structural Reserve Assumtpions</t>
        </is>
      </c>
      <c r="B39" s="948" t="n"/>
      <c r="C39" s="948" t="n"/>
      <c r="D39" s="948" t="n"/>
      <c r="E39" s="948" t="n"/>
      <c r="F39" s="948" t="n"/>
      <c r="G39" s="948" t="n"/>
      <c r="H39" s="948" t="n"/>
      <c r="I39" s="949" t="n"/>
      <c r="L39" s="11" t="n"/>
      <c r="M39" s="1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</row>
    <row r="40">
      <c r="A40" s="143" t="n"/>
      <c r="B40" s="73" t="inlineStr">
        <is>
          <t>Vacancy</t>
        </is>
      </c>
      <c r="C40" s="144" t="n"/>
      <c r="D40" s="950" t="inlineStr">
        <is>
          <t>Structural Reserve</t>
        </is>
      </c>
      <c r="E40" s="952" t="n"/>
      <c r="F40" s="145" t="n"/>
      <c r="G40" s="950" t="inlineStr">
        <is>
          <t>Gross Rental Income -</t>
        </is>
      </c>
      <c r="H40" s="952" t="n"/>
      <c r="I40" s="146" t="n"/>
      <c r="K40" s="11" t="n"/>
      <c r="L40" s="11" t="n"/>
      <c r="M40" s="1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</row>
    <row r="41">
      <c r="A41" s="76" t="n"/>
      <c r="B41" s="77" t="inlineStr">
        <is>
          <t>Factor</t>
        </is>
      </c>
      <c r="C41" s="147" t="n"/>
      <c r="D41" s="957" t="inlineStr">
        <is>
          <t>Factor</t>
        </is>
      </c>
      <c r="E41" s="956" t="n"/>
      <c r="F41" s="148" t="n"/>
      <c r="G41" s="957" t="inlineStr">
        <is>
          <t>Forward 12 Months</t>
        </is>
      </c>
      <c r="H41" s="956" t="n"/>
      <c r="I41" s="149" t="n"/>
      <c r="J41" s="54" t="n"/>
      <c r="K41" s="11" t="n"/>
      <c r="L41" s="11" t="n"/>
      <c r="M41" s="1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</row>
    <row r="42">
      <c r="A42" s="150" t="n"/>
      <c r="B42" s="151" t="n"/>
      <c r="C42" s="152" t="n"/>
      <c r="D42" s="153" t="inlineStr">
        <is>
          <t>%</t>
        </is>
      </c>
      <c r="E42" s="154" t="inlineStr">
        <is>
          <t>or       /sf</t>
        </is>
      </c>
      <c r="F42" s="155" t="n"/>
      <c r="G42" s="153" t="inlineStr">
        <is>
          <t>at Stabilization</t>
        </is>
      </c>
      <c r="H42" s="154" t="inlineStr">
        <is>
          <t>at Sale</t>
        </is>
      </c>
      <c r="I42" s="156" t="n"/>
      <c r="J42" s="11" t="n"/>
      <c r="K42" s="11" t="n"/>
      <c r="L42" s="11" t="n"/>
      <c r="M42" s="1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</row>
    <row r="43">
      <c r="A43" s="72">
        <f>A10</f>
        <v/>
      </c>
      <c r="B43" s="157" t="n"/>
      <c r="C43" s="158" t="n"/>
      <c r="D43" s="159" t="n"/>
      <c r="E43" s="962" t="n"/>
      <c r="F43" s="145" t="n"/>
      <c r="G43" s="982">
        <f>C10*F10</f>
        <v/>
      </c>
      <c r="H43" s="983">
        <f>C10*F10</f>
        <v/>
      </c>
      <c r="I43" s="146" t="n"/>
      <c r="K43" s="11" t="n"/>
      <c r="L43" s="11" t="n"/>
      <c r="M43" s="1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</row>
    <row r="44">
      <c r="A44" s="72">
        <f>A11</f>
        <v/>
      </c>
      <c r="B44" s="162" t="n"/>
      <c r="C44" s="158" t="n"/>
      <c r="D44" s="159" t="n"/>
      <c r="E44" s="962" t="n"/>
      <c r="F44" s="145" t="n"/>
      <c r="G44" s="982">
        <f>C11*F11</f>
        <v/>
      </c>
      <c r="H44" s="983">
        <f>C11*F11</f>
        <v/>
      </c>
      <c r="I44" s="146" t="n"/>
      <c r="K44" s="11" t="n"/>
      <c r="L44" s="11" t="n"/>
      <c r="M44" s="1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</row>
    <row r="45">
      <c r="A45" s="72">
        <f>A12</f>
        <v/>
      </c>
      <c r="B45" s="162" t="n"/>
      <c r="C45" s="158" t="n"/>
      <c r="D45" s="159" t="n"/>
      <c r="E45" s="962" t="n"/>
      <c r="F45" s="145" t="n"/>
      <c r="G45" s="982">
        <f>C12*F12</f>
        <v/>
      </c>
      <c r="H45" s="983">
        <f>C12*F12</f>
        <v/>
      </c>
      <c r="I45" s="146" t="n"/>
      <c r="K45" s="11" t="n"/>
      <c r="L45" s="11" t="n"/>
      <c r="M45" s="1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</row>
    <row r="46">
      <c r="A46" s="72">
        <f>A13</f>
        <v/>
      </c>
      <c r="B46" s="162" t="n"/>
      <c r="C46" s="158" t="n"/>
      <c r="D46" s="159" t="n"/>
      <c r="E46" s="962" t="n"/>
      <c r="F46" s="145" t="n"/>
      <c r="G46" s="982">
        <f>C13*F13</f>
        <v/>
      </c>
      <c r="H46" s="983">
        <f>C13*F13</f>
        <v/>
      </c>
      <c r="I46" s="146" t="n"/>
      <c r="K46" s="11" t="n"/>
      <c r="L46" s="11" t="n"/>
      <c r="M46" s="1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</row>
    <row r="47">
      <c r="A47" s="72">
        <f>A14</f>
        <v/>
      </c>
      <c r="B47" s="162" t="n"/>
      <c r="C47" s="158" t="n"/>
      <c r="D47" s="159" t="n"/>
      <c r="E47" s="962" t="n"/>
      <c r="F47" s="145" t="n"/>
      <c r="G47" s="982">
        <f>C14*F14</f>
        <v/>
      </c>
      <c r="H47" s="983">
        <f>C14*F14</f>
        <v/>
      </c>
      <c r="I47" s="146" t="n"/>
      <c r="K47" s="11" t="n"/>
      <c r="L47" s="11" t="n"/>
      <c r="M47" s="1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</row>
    <row r="48">
      <c r="A48" s="72">
        <f>A15</f>
        <v/>
      </c>
      <c r="B48" s="162" t="n"/>
      <c r="C48" s="158" t="n"/>
      <c r="D48" s="159" t="n"/>
      <c r="E48" s="962" t="n"/>
      <c r="F48" s="145" t="n"/>
      <c r="G48" s="982">
        <f>C15*F15</f>
        <v/>
      </c>
      <c r="H48" s="983">
        <f>C15*F15</f>
        <v/>
      </c>
      <c r="I48" s="146" t="n"/>
      <c r="K48" s="11" t="n"/>
      <c r="L48" s="11" t="n"/>
      <c r="M48" s="1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</row>
    <row r="49">
      <c r="A49" s="72">
        <f>A16</f>
        <v/>
      </c>
      <c r="B49" s="162" t="n"/>
      <c r="C49" s="158" t="n"/>
      <c r="D49" s="159" t="n"/>
      <c r="E49" s="962" t="n"/>
      <c r="F49" s="145" t="n"/>
      <c r="G49" s="982">
        <f>C16*F16</f>
        <v/>
      </c>
      <c r="H49" s="983">
        <f>C16*F16</f>
        <v/>
      </c>
      <c r="I49" s="146" t="n"/>
      <c r="K49" s="11" t="n"/>
      <c r="L49" s="11" t="n"/>
      <c r="M49" s="1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</row>
    <row r="50">
      <c r="A50" s="72">
        <f>A17</f>
        <v/>
      </c>
      <c r="B50" s="162" t="n"/>
      <c r="C50" s="158" t="n"/>
      <c r="D50" s="159" t="n"/>
      <c r="E50" s="962" t="n"/>
      <c r="F50" s="145" t="n"/>
      <c r="G50" s="982">
        <f>C17*F17</f>
        <v/>
      </c>
      <c r="H50" s="983">
        <f>C17*F17</f>
        <v/>
      </c>
      <c r="I50" s="146" t="n"/>
      <c r="K50" s="11" t="n"/>
      <c r="L50" s="11" t="n"/>
      <c r="M50" s="1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</row>
    <row r="51">
      <c r="A51" s="72">
        <f>A18</f>
        <v/>
      </c>
      <c r="B51" s="162" t="n"/>
      <c r="C51" s="158" t="n"/>
      <c r="D51" s="159" t="n"/>
      <c r="E51" s="962" t="n"/>
      <c r="F51" s="145" t="n"/>
      <c r="G51" s="982">
        <f>C18*F18</f>
        <v/>
      </c>
      <c r="H51" s="983">
        <f>C18*F18</f>
        <v/>
      </c>
      <c r="I51" s="146" t="n"/>
      <c r="K51" s="11" t="n"/>
      <c r="L51" s="11" t="n"/>
      <c r="M51" s="1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</row>
    <row r="52">
      <c r="A52" s="72">
        <f>A19</f>
        <v/>
      </c>
      <c r="B52" s="162" t="n"/>
      <c r="C52" s="158" t="n"/>
      <c r="D52" s="159" t="n"/>
      <c r="E52" s="962" t="n"/>
      <c r="F52" s="145" t="n"/>
      <c r="G52" s="982">
        <f>C19*F19</f>
        <v/>
      </c>
      <c r="H52" s="983">
        <f>C19*F19</f>
        <v/>
      </c>
      <c r="I52" s="146" t="n"/>
      <c r="K52" s="11" t="n"/>
      <c r="L52" s="11" t="n"/>
      <c r="M52" s="1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</row>
    <row r="53">
      <c r="A53" s="72">
        <f>A20</f>
        <v/>
      </c>
      <c r="B53" s="162" t="n"/>
      <c r="C53" s="158" t="n"/>
      <c r="D53" s="159" t="n"/>
      <c r="E53" s="962" t="n"/>
      <c r="F53" s="145" t="n"/>
      <c r="G53" s="982">
        <f>C20*F20</f>
        <v/>
      </c>
      <c r="H53" s="983">
        <f>C20*F20</f>
        <v/>
      </c>
      <c r="I53" s="146" t="n"/>
      <c r="K53" s="11" t="n"/>
      <c r="L53" s="11" t="n"/>
      <c r="M53" s="1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</row>
    <row r="54" ht="14.1" customHeight="1" thickBot="1">
      <c r="A54" s="984" t="inlineStr">
        <is>
          <t>Parking Income</t>
        </is>
      </c>
      <c r="B54" s="164" t="n"/>
      <c r="C54" s="165" t="n"/>
      <c r="D54" s="166" t="n"/>
      <c r="E54" s="167" t="n"/>
      <c r="F54" s="165" t="n"/>
      <c r="G54" s="985">
        <f>SUM(OFFSET('Detailed Cashflows'!G139:DB139,,$E$27,,12))</f>
        <v/>
      </c>
      <c r="H54" s="986">
        <f>SUM(OFFSET('Detailed Cashflows'!G139:DB139,,$E$27,,12))</f>
        <v/>
      </c>
      <c r="I54" s="170" t="n"/>
      <c r="K54" s="54" t="n"/>
      <c r="L54" s="11" t="n"/>
      <c r="M54" s="1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987" t="n"/>
      <c r="N55" s="98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67" t="n"/>
      <c r="AR55" s="67" t="n"/>
      <c r="AS55" s="67" t="n"/>
      <c r="AT55" s="67" t="n"/>
      <c r="AU55" s="67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987" t="n"/>
      <c r="N56" s="98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  <c r="AI56" s="67" t="n"/>
      <c r="AJ56" s="67" t="n"/>
      <c r="AK56" s="67" t="n"/>
      <c r="AL56" s="67" t="n"/>
      <c r="AM56" s="67" t="n"/>
      <c r="AN56" s="67" t="n"/>
      <c r="AO56" s="67" t="n"/>
      <c r="AP56" s="67" t="n"/>
      <c r="AQ56" s="67" t="n"/>
      <c r="AR56" s="67" t="n"/>
      <c r="AS56" s="67" t="n"/>
      <c r="AT56" s="67" t="n"/>
      <c r="AU56" s="67" t="n"/>
    </row>
    <row r="57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987" t="n"/>
      <c r="N57" s="98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  <c r="AI57" s="67" t="n"/>
      <c r="AJ57" s="67" t="n"/>
      <c r="AK57" s="67" t="n"/>
      <c r="AL57" s="67" t="n"/>
      <c r="AM57" s="67" t="n"/>
      <c r="AN57" s="67" t="n"/>
      <c r="AO57" s="67" t="n"/>
      <c r="AP57" s="67" t="n"/>
      <c r="AQ57" s="67" t="n"/>
      <c r="AR57" s="67" t="n"/>
      <c r="AS57" s="67" t="n"/>
      <c r="AT57" s="67" t="n"/>
      <c r="AU57" s="67" t="n"/>
    </row>
    <row r="58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987" t="n"/>
      <c r="N58" s="98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  <c r="AI58" s="67" t="n"/>
      <c r="AJ58" s="67" t="n"/>
      <c r="AK58" s="67" t="n"/>
      <c r="AL58" s="67" t="n"/>
      <c r="AM58" s="67" t="n"/>
      <c r="AN58" s="67" t="n"/>
      <c r="AO58" s="67" t="n"/>
      <c r="AP58" s="67" t="n"/>
      <c r="AQ58" s="67" t="n"/>
      <c r="AR58" s="67" t="n"/>
      <c r="AS58" s="67" t="n"/>
      <c r="AT58" s="67" t="n"/>
      <c r="AU58" s="67" t="n"/>
    </row>
    <row r="59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987" t="n"/>
      <c r="N59" s="98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  <c r="AI59" s="67" t="n"/>
      <c r="AJ59" s="67" t="n"/>
      <c r="AK59" s="67" t="n"/>
      <c r="AL59" s="67" t="n"/>
      <c r="AM59" s="67" t="n"/>
      <c r="AN59" s="67" t="n"/>
      <c r="AO59" s="67" t="n"/>
      <c r="AP59" s="67" t="n"/>
      <c r="AQ59" s="67" t="n"/>
      <c r="AR59" s="67" t="n"/>
      <c r="AS59" s="67" t="n"/>
      <c r="AT59" s="67" t="n"/>
      <c r="AU59" s="67" t="n"/>
    </row>
    <row r="6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987" t="n"/>
      <c r="N60" s="98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7" t="n"/>
      <c r="AI60" s="67" t="n"/>
      <c r="AJ60" s="67" t="n"/>
      <c r="AK60" s="67" t="n"/>
      <c r="AL60" s="67" t="n"/>
      <c r="AM60" s="67" t="n"/>
      <c r="AN60" s="67" t="n"/>
      <c r="AO60" s="67" t="n"/>
      <c r="AP60" s="67" t="n"/>
      <c r="AQ60" s="67" t="n"/>
      <c r="AR60" s="67" t="n"/>
      <c r="AS60" s="67" t="n"/>
      <c r="AT60" s="67" t="n"/>
      <c r="AU60" s="67" t="n"/>
    </row>
    <row r="61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987" t="n"/>
      <c r="N61" s="98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  <c r="AI61" s="67" t="n"/>
      <c r="AJ61" s="67" t="n"/>
      <c r="AK61" s="67" t="n"/>
      <c r="AL61" s="67" t="n"/>
      <c r="AM61" s="67" t="n"/>
      <c r="AN61" s="67" t="n"/>
      <c r="AO61" s="67" t="n"/>
      <c r="AP61" s="67" t="n"/>
      <c r="AQ61" s="67" t="n"/>
      <c r="AR61" s="67" t="n"/>
      <c r="AS61" s="67" t="n"/>
      <c r="AT61" s="67" t="n"/>
      <c r="AU61" s="67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987" t="n"/>
      <c r="N62" s="98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  <c r="AI62" s="67" t="n"/>
      <c r="AJ62" s="67" t="n"/>
      <c r="AK62" s="67" t="n"/>
      <c r="AL62" s="67" t="n"/>
      <c r="AM62" s="67" t="n"/>
      <c r="AN62" s="67" t="n"/>
      <c r="AO62" s="67" t="n"/>
      <c r="AP62" s="67" t="n"/>
      <c r="AQ62" s="67" t="n"/>
      <c r="AR62" s="67" t="n"/>
      <c r="AS62" s="67" t="n"/>
      <c r="AT62" s="67" t="n"/>
      <c r="AU62" s="67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987" t="n"/>
      <c r="N63" s="98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  <c r="AH63" s="67" t="n"/>
      <c r="AI63" s="67" t="n"/>
      <c r="AJ63" s="67" t="n"/>
      <c r="AK63" s="67" t="n"/>
      <c r="AL63" s="67" t="n"/>
      <c r="AM63" s="67" t="n"/>
      <c r="AN63" s="67" t="n"/>
      <c r="AO63" s="67" t="n"/>
      <c r="AP63" s="67" t="n"/>
      <c r="AQ63" s="67" t="n"/>
      <c r="AR63" s="67" t="n"/>
      <c r="AS63" s="67" t="n"/>
      <c r="AT63" s="67" t="n"/>
      <c r="AU63" s="67" t="n"/>
    </row>
    <row r="64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987" t="n"/>
      <c r="N64" s="98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  <c r="AI64" s="67" t="n"/>
      <c r="AJ64" s="67" t="n"/>
      <c r="AK64" s="67" t="n"/>
      <c r="AL64" s="67" t="n"/>
      <c r="AM64" s="67" t="n"/>
      <c r="AN64" s="67" t="n"/>
      <c r="AO64" s="67" t="n"/>
      <c r="AP64" s="67" t="n"/>
      <c r="AQ64" s="67" t="n"/>
      <c r="AR64" s="67" t="n"/>
      <c r="AS64" s="67" t="n"/>
      <c r="AT64" s="67" t="n"/>
      <c r="AU64" s="67" t="n"/>
    </row>
    <row r="65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987" t="n"/>
      <c r="N65" s="98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  <c r="AI65" s="67" t="n"/>
      <c r="AJ65" s="67" t="n"/>
      <c r="AK65" s="67" t="n"/>
      <c r="AL65" s="67" t="n"/>
      <c r="AM65" s="67" t="n"/>
      <c r="AN65" s="67" t="n"/>
      <c r="AO65" s="67" t="n"/>
      <c r="AP65" s="67" t="n"/>
      <c r="AQ65" s="67" t="n"/>
      <c r="AR65" s="67" t="n"/>
      <c r="AS65" s="67" t="n"/>
      <c r="AT65" s="67" t="n"/>
      <c r="AU65" s="67" t="n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987" t="n"/>
      <c r="N66" s="98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  <c r="AI66" s="67" t="n"/>
      <c r="AJ66" s="67" t="n"/>
      <c r="AK66" s="67" t="n"/>
      <c r="AL66" s="67" t="n"/>
      <c r="AM66" s="67" t="n"/>
      <c r="AN66" s="67" t="n"/>
      <c r="AO66" s="67" t="n"/>
      <c r="AP66" s="67" t="n"/>
      <c r="AQ66" s="67" t="n"/>
      <c r="AR66" s="67" t="n"/>
      <c r="AS66" s="67" t="n"/>
      <c r="AT66" s="67" t="n"/>
      <c r="AU66" s="67" t="n"/>
    </row>
    <row r="67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987" t="n"/>
      <c r="N67" s="98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  <c r="AI67" s="67" t="n"/>
      <c r="AJ67" s="67" t="n"/>
      <c r="AK67" s="67" t="n"/>
      <c r="AL67" s="67" t="n"/>
      <c r="AM67" s="67" t="n"/>
      <c r="AN67" s="67" t="n"/>
      <c r="AO67" s="67" t="n"/>
      <c r="AP67" s="67" t="n"/>
      <c r="AQ67" s="67" t="n"/>
      <c r="AR67" s="67" t="n"/>
      <c r="AS67" s="67" t="n"/>
      <c r="AT67" s="67" t="n"/>
      <c r="AU67" s="67" t="n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987" t="n"/>
      <c r="N68" s="98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  <c r="AI68" s="67" t="n"/>
      <c r="AJ68" s="67" t="n"/>
      <c r="AK68" s="67" t="n"/>
      <c r="AL68" s="67" t="n"/>
      <c r="AM68" s="67" t="n"/>
      <c r="AN68" s="67" t="n"/>
      <c r="AO68" s="67" t="n"/>
      <c r="AP68" s="67" t="n"/>
      <c r="AQ68" s="67" t="n"/>
      <c r="AR68" s="67" t="n"/>
      <c r="AS68" s="67" t="n"/>
      <c r="AT68" s="67" t="n"/>
      <c r="AU68" s="67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987" t="n"/>
      <c r="N69" s="98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  <c r="AH69" s="67" t="n"/>
      <c r="AI69" s="67" t="n"/>
      <c r="AJ69" s="67" t="n"/>
      <c r="AK69" s="67" t="n"/>
      <c r="AL69" s="67" t="n"/>
      <c r="AM69" s="67" t="n"/>
      <c r="AN69" s="67" t="n"/>
      <c r="AO69" s="67" t="n"/>
      <c r="AP69" s="67" t="n"/>
      <c r="AQ69" s="67" t="n"/>
      <c r="AR69" s="67" t="n"/>
      <c r="AS69" s="67" t="n"/>
      <c r="AT69" s="67" t="n"/>
      <c r="AU69" s="67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987" t="n"/>
      <c r="N70" s="98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</row>
    <row r="71">
      <c r="A71" s="71" t="n"/>
      <c r="B71" s="71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987" t="n"/>
      <c r="N71" s="98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7" t="n"/>
      <c r="AI71" s="67" t="n"/>
      <c r="AJ71" s="67" t="n"/>
      <c r="AK71" s="67" t="n"/>
      <c r="AL71" s="67" t="n"/>
      <c r="AM71" s="67" t="n"/>
      <c r="AN71" s="67" t="n"/>
      <c r="AO71" s="67" t="n"/>
      <c r="AP71" s="67" t="n"/>
      <c r="AQ71" s="67" t="n"/>
      <c r="AR71" s="67" t="n"/>
      <c r="AS71" s="67" t="n"/>
      <c r="AT71" s="67" t="n"/>
      <c r="AU71" s="67" t="n"/>
    </row>
    <row r="72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7" t="n"/>
      <c r="AI72" s="67" t="n"/>
      <c r="AJ72" s="67" t="n"/>
      <c r="AK72" s="67" t="n"/>
      <c r="AL72" s="67" t="n"/>
      <c r="AM72" s="67" t="n"/>
      <c r="AN72" s="67" t="n"/>
      <c r="AO72" s="67" t="n"/>
      <c r="AP72" s="67" t="n"/>
      <c r="AQ72" s="67" t="n"/>
      <c r="AR72" s="67" t="n"/>
      <c r="AS72" s="67" t="n"/>
      <c r="AT72" s="67" t="n"/>
      <c r="AU72" s="67" t="n"/>
    </row>
    <row r="73">
      <c r="A73" s="71" t="n"/>
      <c r="B73" s="71" t="n"/>
      <c r="C73" s="71" t="n"/>
      <c r="D73" s="71" t="n"/>
      <c r="E73" s="71" t="n"/>
      <c r="F73" s="71" t="n"/>
      <c r="G73" s="71" t="n"/>
      <c r="H73" s="71" t="n"/>
      <c r="I73" s="71" t="n"/>
      <c r="J73" s="71" t="n"/>
      <c r="K73" s="71" t="n"/>
      <c r="L73" s="71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  <c r="AH73" s="67" t="n"/>
      <c r="AI73" s="67" t="n"/>
      <c r="AJ73" s="67" t="n"/>
      <c r="AK73" s="67" t="n"/>
      <c r="AL73" s="67" t="n"/>
      <c r="AM73" s="67" t="n"/>
      <c r="AN73" s="67" t="n"/>
      <c r="AO73" s="67" t="n"/>
      <c r="AP73" s="67" t="n"/>
      <c r="AQ73" s="67" t="n"/>
      <c r="AR73" s="67" t="n"/>
      <c r="AS73" s="67" t="n"/>
      <c r="AT73" s="67" t="n"/>
      <c r="AU73" s="67" t="n"/>
    </row>
    <row r="74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  <c r="AA74" s="67" t="n"/>
      <c r="AB74" s="67" t="n"/>
      <c r="AC74" s="67" t="n"/>
      <c r="AD74" s="67" t="n"/>
      <c r="AE74" s="67" t="n"/>
      <c r="AF74" s="67" t="n"/>
      <c r="AG74" s="67" t="n"/>
      <c r="AH74" s="67" t="n"/>
      <c r="AI74" s="67" t="n"/>
      <c r="AJ74" s="67" t="n"/>
      <c r="AK74" s="67" t="n"/>
      <c r="AL74" s="67" t="n"/>
      <c r="AM74" s="67" t="n"/>
      <c r="AN74" s="67" t="n"/>
      <c r="AO74" s="67" t="n"/>
      <c r="AP74" s="67" t="n"/>
      <c r="AQ74" s="67" t="n"/>
      <c r="AR74" s="67" t="n"/>
      <c r="AS74" s="67" t="n"/>
      <c r="AT74" s="67" t="n"/>
      <c r="AU74" s="67" t="n"/>
    </row>
    <row r="75">
      <c r="A75" s="71" t="n"/>
      <c r="B75" s="71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1" t="n"/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  <c r="AH75" s="67" t="n"/>
      <c r="AI75" s="67" t="n"/>
      <c r="AJ75" s="67" t="n"/>
      <c r="AK75" s="67" t="n"/>
      <c r="AL75" s="67" t="n"/>
      <c r="AM75" s="67" t="n"/>
      <c r="AN75" s="67" t="n"/>
      <c r="AO75" s="67" t="n"/>
      <c r="AP75" s="67" t="n"/>
      <c r="AQ75" s="67" t="n"/>
      <c r="AR75" s="67" t="n"/>
      <c r="AS75" s="67" t="n"/>
      <c r="AT75" s="67" t="n"/>
      <c r="AU75" s="67" t="n"/>
    </row>
    <row r="76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  <c r="AA76" s="67" t="n"/>
      <c r="AB76" s="67" t="n"/>
      <c r="AC76" s="67" t="n"/>
      <c r="AD76" s="67" t="n"/>
      <c r="AE76" s="67" t="n"/>
      <c r="AF76" s="67" t="n"/>
      <c r="AG76" s="67" t="n"/>
      <c r="AH76" s="67" t="n"/>
      <c r="AI76" s="67" t="n"/>
      <c r="AJ76" s="67" t="n"/>
      <c r="AK76" s="67" t="n"/>
      <c r="AL76" s="67" t="n"/>
      <c r="AM76" s="67" t="n"/>
      <c r="AN76" s="67" t="n"/>
      <c r="AO76" s="67" t="n"/>
      <c r="AP76" s="67" t="n"/>
      <c r="AQ76" s="67" t="n"/>
      <c r="AR76" s="67" t="n"/>
      <c r="AS76" s="67" t="n"/>
      <c r="AT76" s="67" t="n"/>
      <c r="AU76" s="67" t="n"/>
    </row>
    <row r="77">
      <c r="A77" s="71" t="n"/>
      <c r="B77" s="71" t="n"/>
      <c r="C77" s="71" t="n"/>
      <c r="D77" s="71" t="n"/>
      <c r="E77" s="71" t="n"/>
      <c r="F77" s="71" t="n"/>
      <c r="G77" s="71" t="n"/>
      <c r="H77" s="71" t="n"/>
      <c r="I77" s="71" t="n"/>
      <c r="J77" s="71" t="n"/>
      <c r="K77" s="71" t="n"/>
      <c r="L77" s="71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  <c r="AH77" s="67" t="n"/>
      <c r="AI77" s="67" t="n"/>
      <c r="AJ77" s="67" t="n"/>
      <c r="AK77" s="67" t="n"/>
      <c r="AL77" s="67" t="n"/>
      <c r="AM77" s="67" t="n"/>
      <c r="AN77" s="67" t="n"/>
      <c r="AO77" s="67" t="n"/>
      <c r="AP77" s="67" t="n"/>
      <c r="AQ77" s="67" t="n"/>
      <c r="AR77" s="67" t="n"/>
      <c r="AS77" s="67" t="n"/>
      <c r="AT77" s="67" t="n"/>
      <c r="AU77" s="67" t="n"/>
    </row>
    <row r="78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  <c r="AA78" s="67" t="n"/>
      <c r="AB78" s="67" t="n"/>
      <c r="AC78" s="67" t="n"/>
      <c r="AD78" s="67" t="n"/>
      <c r="AE78" s="67" t="n"/>
      <c r="AF78" s="67" t="n"/>
      <c r="AG78" s="67" t="n"/>
      <c r="AH78" s="67" t="n"/>
      <c r="AI78" s="67" t="n"/>
      <c r="AJ78" s="67" t="n"/>
      <c r="AK78" s="67" t="n"/>
      <c r="AL78" s="67" t="n"/>
      <c r="AM78" s="67" t="n"/>
      <c r="AN78" s="67" t="n"/>
      <c r="AO78" s="67" t="n"/>
      <c r="AP78" s="67" t="n"/>
      <c r="AQ78" s="67" t="n"/>
      <c r="AR78" s="67" t="n"/>
      <c r="AS78" s="67" t="n"/>
      <c r="AT78" s="67" t="n"/>
      <c r="AU78" s="67" t="n"/>
    </row>
    <row r="79">
      <c r="A79" s="71" t="n"/>
      <c r="B79" s="71" t="n"/>
      <c r="C79" s="71" t="n"/>
      <c r="D79" s="71" t="n"/>
      <c r="E79" s="71" t="n"/>
      <c r="F79" s="71" t="n"/>
      <c r="G79" s="71" t="n"/>
      <c r="H79" s="71" t="n"/>
      <c r="I79" s="71" t="n"/>
      <c r="J79" s="71" t="n"/>
      <c r="K79" s="71" t="n"/>
      <c r="L79" s="71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  <c r="AH79" s="67" t="n"/>
      <c r="AI79" s="67" t="n"/>
      <c r="AJ79" s="67" t="n"/>
      <c r="AK79" s="67" t="n"/>
      <c r="AL79" s="67" t="n"/>
      <c r="AM79" s="67" t="n"/>
      <c r="AN79" s="67" t="n"/>
      <c r="AO79" s="67" t="n"/>
      <c r="AP79" s="67" t="n"/>
      <c r="AQ79" s="67" t="n"/>
      <c r="AR79" s="67" t="n"/>
      <c r="AS79" s="67" t="n"/>
      <c r="AT79" s="67" t="n"/>
      <c r="AU79" s="67" t="n"/>
    </row>
    <row r="80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  <c r="AA80" s="67" t="n"/>
      <c r="AB80" s="67" t="n"/>
      <c r="AC80" s="67" t="n"/>
      <c r="AD80" s="67" t="n"/>
      <c r="AE80" s="67" t="n"/>
      <c r="AF80" s="67" t="n"/>
      <c r="AG80" s="67" t="n"/>
      <c r="AH80" s="67" t="n"/>
      <c r="AI80" s="67" t="n"/>
      <c r="AJ80" s="67" t="n"/>
      <c r="AK80" s="67" t="n"/>
      <c r="AL80" s="67" t="n"/>
      <c r="AM80" s="67" t="n"/>
      <c r="AN80" s="67" t="n"/>
      <c r="AO80" s="67" t="n"/>
      <c r="AP80" s="67" t="n"/>
      <c r="AQ80" s="67" t="n"/>
      <c r="AR80" s="67" t="n"/>
      <c r="AS80" s="67" t="n"/>
      <c r="AT80" s="67" t="n"/>
      <c r="AU80" s="67" t="n"/>
    </row>
    <row r="81">
      <c r="A81" s="71" t="n"/>
      <c r="B81" s="71" t="n"/>
      <c r="C81" s="71" t="n"/>
      <c r="D81" s="71" t="n"/>
      <c r="E81" s="71" t="n"/>
      <c r="F81" s="71" t="n"/>
      <c r="G81" s="71" t="n"/>
      <c r="H81" s="71" t="n"/>
      <c r="I81" s="71" t="n"/>
      <c r="J81" s="71" t="n"/>
      <c r="K81" s="71" t="n"/>
      <c r="L81" s="71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  <c r="AH81" s="67" t="n"/>
      <c r="AI81" s="67" t="n"/>
      <c r="AJ81" s="67" t="n"/>
      <c r="AK81" s="67" t="n"/>
      <c r="AL81" s="67" t="n"/>
      <c r="AM81" s="67" t="n"/>
      <c r="AN81" s="67" t="n"/>
      <c r="AO81" s="67" t="n"/>
      <c r="AP81" s="67" t="n"/>
      <c r="AQ81" s="67" t="n"/>
      <c r="AR81" s="67" t="n"/>
      <c r="AS81" s="67" t="n"/>
      <c r="AT81" s="67" t="n"/>
      <c r="AU81" s="67" t="n"/>
    </row>
    <row r="82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  <c r="AI82" s="67" t="n"/>
      <c r="AJ82" s="67" t="n"/>
      <c r="AK82" s="67" t="n"/>
      <c r="AL82" s="67" t="n"/>
      <c r="AM82" s="67" t="n"/>
      <c r="AN82" s="67" t="n"/>
      <c r="AO82" s="67" t="n"/>
      <c r="AP82" s="67" t="n"/>
      <c r="AQ82" s="67" t="n"/>
      <c r="AR82" s="67" t="n"/>
      <c r="AS82" s="67" t="n"/>
      <c r="AT82" s="67" t="n"/>
      <c r="AU82" s="67" t="n"/>
    </row>
    <row r="83">
      <c r="A83" s="71" t="n"/>
      <c r="B83" s="71" t="n"/>
      <c r="C83" s="71" t="n"/>
      <c r="D83" s="71" t="n"/>
      <c r="E83" s="71" t="n"/>
      <c r="F83" s="71" t="n"/>
      <c r="G83" s="71" t="n"/>
      <c r="H83" s="71" t="n"/>
      <c r="I83" s="71" t="n"/>
      <c r="J83" s="71" t="n"/>
      <c r="K83" s="71" t="n"/>
      <c r="L83" s="71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  <c r="AH83" s="67" t="n"/>
      <c r="AI83" s="67" t="n"/>
      <c r="AJ83" s="67" t="n"/>
      <c r="AK83" s="67" t="n"/>
      <c r="AL83" s="67" t="n"/>
      <c r="AM83" s="67" t="n"/>
      <c r="AN83" s="67" t="n"/>
      <c r="AO83" s="67" t="n"/>
      <c r="AP83" s="67" t="n"/>
      <c r="AQ83" s="67" t="n"/>
      <c r="AR83" s="67" t="n"/>
      <c r="AS83" s="67" t="n"/>
      <c r="AT83" s="67" t="n"/>
      <c r="AU83" s="67" t="n"/>
    </row>
    <row r="84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  <c r="AA84" s="67" t="n"/>
      <c r="AB84" s="67" t="n"/>
      <c r="AC84" s="67" t="n"/>
      <c r="AD84" s="67" t="n"/>
      <c r="AE84" s="67" t="n"/>
      <c r="AF84" s="67" t="n"/>
      <c r="AG84" s="67" t="n"/>
      <c r="AH84" s="67" t="n"/>
      <c r="AI84" s="67" t="n"/>
      <c r="AJ84" s="67" t="n"/>
      <c r="AK84" s="67" t="n"/>
      <c r="AL84" s="67" t="n"/>
      <c r="AM84" s="67" t="n"/>
      <c r="AN84" s="67" t="n"/>
      <c r="AO84" s="67" t="n"/>
      <c r="AP84" s="67" t="n"/>
      <c r="AQ84" s="67" t="n"/>
      <c r="AR84" s="67" t="n"/>
      <c r="AS84" s="67" t="n"/>
      <c r="AT84" s="67" t="n"/>
      <c r="AU84" s="67" t="n"/>
    </row>
    <row r="85">
      <c r="A85" s="71" t="n"/>
      <c r="B85" s="71" t="n"/>
      <c r="C85" s="71" t="n"/>
      <c r="D85" s="71" t="n"/>
      <c r="E85" s="71" t="n"/>
      <c r="F85" s="71" t="n"/>
      <c r="G85" s="71" t="n"/>
      <c r="H85" s="71" t="n"/>
      <c r="I85" s="71" t="n"/>
      <c r="J85" s="71" t="n"/>
      <c r="K85" s="71" t="n"/>
      <c r="L85" s="71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  <c r="AH85" s="67" t="n"/>
      <c r="AI85" s="67" t="n"/>
      <c r="AJ85" s="67" t="n"/>
      <c r="AK85" s="67" t="n"/>
      <c r="AL85" s="67" t="n"/>
      <c r="AM85" s="67" t="n"/>
      <c r="AN85" s="67" t="n"/>
      <c r="AO85" s="67" t="n"/>
      <c r="AP85" s="67" t="n"/>
      <c r="AQ85" s="67" t="n"/>
      <c r="AR85" s="67" t="n"/>
      <c r="AS85" s="67" t="n"/>
      <c r="AT85" s="67" t="n"/>
      <c r="AU85" s="67" t="n"/>
    </row>
    <row r="86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  <c r="AA86" s="67" t="n"/>
      <c r="AB86" s="67" t="n"/>
      <c r="AC86" s="67" t="n"/>
      <c r="AD86" s="67" t="n"/>
      <c r="AE86" s="67" t="n"/>
      <c r="AF86" s="67" t="n"/>
      <c r="AG86" s="67" t="n"/>
      <c r="AH86" s="67" t="n"/>
      <c r="AI86" s="67" t="n"/>
      <c r="AJ86" s="67" t="n"/>
      <c r="AK86" s="67" t="n"/>
      <c r="AL86" s="67" t="n"/>
      <c r="AM86" s="67" t="n"/>
      <c r="AN86" s="67" t="n"/>
      <c r="AO86" s="67" t="n"/>
      <c r="AP86" s="67" t="n"/>
      <c r="AQ86" s="67" t="n"/>
      <c r="AR86" s="67" t="n"/>
      <c r="AS86" s="67" t="n"/>
      <c r="AT86" s="67" t="n"/>
      <c r="AU86" s="67" t="n"/>
    </row>
    <row r="87">
      <c r="A87" s="71" t="n"/>
      <c r="B87" s="71" t="n"/>
      <c r="C87" s="71" t="n"/>
      <c r="D87" s="71" t="n"/>
      <c r="E87" s="71" t="n"/>
      <c r="F87" s="71" t="n"/>
      <c r="G87" s="71" t="n"/>
      <c r="H87" s="71" t="n"/>
      <c r="I87" s="71" t="n"/>
      <c r="J87" s="71" t="n"/>
      <c r="K87" s="71" t="n"/>
      <c r="L87" s="71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  <c r="AH87" s="67" t="n"/>
      <c r="AI87" s="67" t="n"/>
      <c r="AJ87" s="67" t="n"/>
      <c r="AK87" s="67" t="n"/>
      <c r="AL87" s="67" t="n"/>
      <c r="AM87" s="67" t="n"/>
      <c r="AN87" s="67" t="n"/>
      <c r="AO87" s="67" t="n"/>
      <c r="AP87" s="67" t="n"/>
      <c r="AQ87" s="67" t="n"/>
      <c r="AR87" s="67" t="n"/>
      <c r="AS87" s="67" t="n"/>
      <c r="AT87" s="67" t="n"/>
      <c r="AU87" s="67" t="n"/>
    </row>
    <row r="88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  <c r="AA88" s="67" t="n"/>
      <c r="AB88" s="67" t="n"/>
      <c r="AC88" s="67" t="n"/>
      <c r="AD88" s="67" t="n"/>
      <c r="AE88" s="67" t="n"/>
      <c r="AF88" s="67" t="n"/>
      <c r="AG88" s="67" t="n"/>
      <c r="AH88" s="67" t="n"/>
      <c r="AI88" s="67" t="n"/>
      <c r="AJ88" s="67" t="n"/>
      <c r="AK88" s="67" t="n"/>
      <c r="AL88" s="67" t="n"/>
      <c r="AM88" s="67" t="n"/>
      <c r="AN88" s="67" t="n"/>
      <c r="AO88" s="67" t="n"/>
      <c r="AP88" s="67" t="n"/>
      <c r="AQ88" s="67" t="n"/>
      <c r="AR88" s="67" t="n"/>
      <c r="AS88" s="67" t="n"/>
      <c r="AT88" s="67" t="n"/>
      <c r="AU88" s="67" t="n"/>
    </row>
    <row r="89">
      <c r="A89" s="71" t="n"/>
      <c r="B89" s="71" t="n"/>
      <c r="C89" s="71" t="n"/>
      <c r="D89" s="71" t="n"/>
      <c r="E89" s="71" t="n"/>
      <c r="F89" s="71" t="n"/>
      <c r="G89" s="71" t="n"/>
      <c r="H89" s="71" t="n"/>
      <c r="I89" s="71" t="n"/>
      <c r="J89" s="71" t="n"/>
      <c r="K89" s="71" t="n"/>
      <c r="L89" s="71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  <c r="AH89" s="67" t="n"/>
      <c r="AI89" s="67" t="n"/>
      <c r="AJ89" s="67" t="n"/>
      <c r="AK89" s="67" t="n"/>
      <c r="AL89" s="67" t="n"/>
      <c r="AM89" s="67" t="n"/>
      <c r="AN89" s="67" t="n"/>
      <c r="AO89" s="67" t="n"/>
      <c r="AP89" s="67" t="n"/>
      <c r="AQ89" s="67" t="n"/>
      <c r="AR89" s="67" t="n"/>
      <c r="AS89" s="67" t="n"/>
      <c r="AT89" s="67" t="n"/>
      <c r="AU89" s="67" t="n"/>
    </row>
    <row r="90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  <c r="AA90" s="67" t="n"/>
      <c r="AB90" s="67" t="n"/>
      <c r="AC90" s="67" t="n"/>
      <c r="AD90" s="67" t="n"/>
      <c r="AE90" s="67" t="n"/>
      <c r="AF90" s="67" t="n"/>
      <c r="AG90" s="67" t="n"/>
      <c r="AH90" s="67" t="n"/>
      <c r="AI90" s="67" t="n"/>
      <c r="AJ90" s="67" t="n"/>
      <c r="AK90" s="67" t="n"/>
      <c r="AL90" s="67" t="n"/>
      <c r="AM90" s="67" t="n"/>
      <c r="AN90" s="67" t="n"/>
      <c r="AO90" s="67" t="n"/>
      <c r="AP90" s="67" t="n"/>
      <c r="AQ90" s="67" t="n"/>
      <c r="AR90" s="67" t="n"/>
      <c r="AS90" s="67" t="n"/>
      <c r="AT90" s="67" t="n"/>
      <c r="AU90" s="67" t="n"/>
    </row>
    <row r="91">
      <c r="A91" s="71" t="n"/>
      <c r="B91" s="71" t="n"/>
      <c r="C91" s="71" t="n"/>
      <c r="D91" s="71" t="n"/>
      <c r="E91" s="71" t="n"/>
      <c r="F91" s="71" t="n"/>
      <c r="G91" s="71" t="n"/>
      <c r="H91" s="71" t="n"/>
      <c r="I91" s="71" t="n"/>
      <c r="J91" s="71" t="n"/>
      <c r="K91" s="71" t="n"/>
      <c r="L91" s="71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  <c r="AH91" s="67" t="n"/>
      <c r="AI91" s="67" t="n"/>
      <c r="AJ91" s="67" t="n"/>
      <c r="AK91" s="67" t="n"/>
      <c r="AL91" s="67" t="n"/>
      <c r="AM91" s="67" t="n"/>
      <c r="AN91" s="67" t="n"/>
      <c r="AO91" s="67" t="n"/>
      <c r="AP91" s="67" t="n"/>
      <c r="AQ91" s="67" t="n"/>
      <c r="AR91" s="67" t="n"/>
      <c r="AS91" s="67" t="n"/>
      <c r="AT91" s="67" t="n"/>
      <c r="AU91" s="67" t="n"/>
    </row>
    <row r="92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  <c r="AA92" s="67" t="n"/>
      <c r="AB92" s="67" t="n"/>
      <c r="AC92" s="67" t="n"/>
      <c r="AD92" s="67" t="n"/>
      <c r="AE92" s="67" t="n"/>
      <c r="AF92" s="67" t="n"/>
      <c r="AG92" s="67" t="n"/>
      <c r="AH92" s="67" t="n"/>
      <c r="AI92" s="67" t="n"/>
      <c r="AJ92" s="67" t="n"/>
      <c r="AK92" s="67" t="n"/>
      <c r="AL92" s="67" t="n"/>
      <c r="AM92" s="67" t="n"/>
      <c r="AN92" s="67" t="n"/>
      <c r="AO92" s="67" t="n"/>
      <c r="AP92" s="67" t="n"/>
      <c r="AQ92" s="67" t="n"/>
      <c r="AR92" s="67" t="n"/>
      <c r="AS92" s="67" t="n"/>
      <c r="AT92" s="67" t="n"/>
      <c r="AU92" s="67" t="n"/>
    </row>
    <row r="93">
      <c r="A93" s="71" t="n"/>
      <c r="B93" s="71" t="n"/>
      <c r="C93" s="71" t="n"/>
      <c r="D93" s="71" t="n"/>
      <c r="E93" s="71" t="n"/>
      <c r="F93" s="71" t="n"/>
      <c r="G93" s="71" t="n"/>
      <c r="H93" s="71" t="n"/>
      <c r="I93" s="71" t="n"/>
      <c r="J93" s="71" t="n"/>
      <c r="K93" s="71" t="n"/>
      <c r="L93" s="71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  <c r="AH93" s="67" t="n"/>
      <c r="AI93" s="67" t="n"/>
      <c r="AJ93" s="67" t="n"/>
      <c r="AK93" s="67" t="n"/>
      <c r="AL93" s="67" t="n"/>
      <c r="AM93" s="67" t="n"/>
      <c r="AN93" s="67" t="n"/>
      <c r="AO93" s="67" t="n"/>
      <c r="AP93" s="67" t="n"/>
      <c r="AQ93" s="67" t="n"/>
      <c r="AR93" s="67" t="n"/>
      <c r="AS93" s="67" t="n"/>
      <c r="AT93" s="67" t="n"/>
      <c r="AU93" s="67" t="n"/>
    </row>
    <row r="94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  <c r="AI94" s="67" t="n"/>
      <c r="AJ94" s="67" t="n"/>
      <c r="AK94" s="67" t="n"/>
      <c r="AL94" s="67" t="n"/>
      <c r="AM94" s="67" t="n"/>
      <c r="AN94" s="67" t="n"/>
      <c r="AO94" s="67" t="n"/>
      <c r="AP94" s="67" t="n"/>
      <c r="AQ94" s="67" t="n"/>
      <c r="AR94" s="67" t="n"/>
      <c r="AS94" s="67" t="n"/>
      <c r="AT94" s="67" t="n"/>
      <c r="AU94" s="67" t="n"/>
    </row>
    <row r="95">
      <c r="A95" s="71" t="n"/>
      <c r="B95" s="71" t="n"/>
      <c r="C95" s="71" t="n"/>
      <c r="D95" s="71" t="n"/>
      <c r="E95" s="71" t="n"/>
      <c r="F95" s="71" t="n"/>
      <c r="G95" s="71" t="n"/>
      <c r="H95" s="71" t="n"/>
      <c r="I95" s="71" t="n"/>
      <c r="J95" s="71" t="n"/>
      <c r="K95" s="71" t="n"/>
      <c r="L95" s="71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  <c r="AH95" s="67" t="n"/>
      <c r="AI95" s="67" t="n"/>
      <c r="AJ95" s="67" t="n"/>
      <c r="AK95" s="67" t="n"/>
      <c r="AL95" s="67" t="n"/>
      <c r="AM95" s="67" t="n"/>
      <c r="AN95" s="67" t="n"/>
      <c r="AO95" s="67" t="n"/>
      <c r="AP95" s="67" t="n"/>
      <c r="AQ95" s="67" t="n"/>
      <c r="AR95" s="67" t="n"/>
      <c r="AS95" s="67" t="n"/>
      <c r="AT95" s="67" t="n"/>
      <c r="AU95" s="67" t="n"/>
    </row>
    <row r="96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  <c r="AI96" s="67" t="n"/>
      <c r="AJ96" s="67" t="n"/>
      <c r="AK96" s="67" t="n"/>
      <c r="AL96" s="67" t="n"/>
      <c r="AM96" s="67" t="n"/>
      <c r="AN96" s="67" t="n"/>
      <c r="AO96" s="67" t="n"/>
      <c r="AP96" s="67" t="n"/>
      <c r="AQ96" s="67" t="n"/>
      <c r="AR96" s="67" t="n"/>
      <c r="AS96" s="67" t="n"/>
      <c r="AT96" s="67" t="n"/>
      <c r="AU96" s="67" t="n"/>
    </row>
    <row r="97">
      <c r="A97" s="71" t="n"/>
      <c r="B97" s="71" t="n"/>
      <c r="C97" s="71" t="n"/>
      <c r="D97" s="71" t="n"/>
      <c r="E97" s="71" t="n"/>
      <c r="F97" s="71" t="n"/>
      <c r="G97" s="71" t="n"/>
      <c r="H97" s="71" t="n"/>
      <c r="I97" s="71" t="n"/>
      <c r="J97" s="71" t="n"/>
      <c r="K97" s="71" t="n"/>
      <c r="L97" s="71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  <c r="AI97" s="67" t="n"/>
      <c r="AJ97" s="67" t="n"/>
      <c r="AK97" s="67" t="n"/>
      <c r="AL97" s="67" t="n"/>
      <c r="AM97" s="67" t="n"/>
      <c r="AN97" s="67" t="n"/>
      <c r="AO97" s="67" t="n"/>
      <c r="AP97" s="67" t="n"/>
      <c r="AQ97" s="67" t="n"/>
      <c r="AR97" s="67" t="n"/>
      <c r="AS97" s="67" t="n"/>
      <c r="AT97" s="67" t="n"/>
      <c r="AU97" s="67" t="n"/>
    </row>
    <row r="98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  <c r="AI98" s="67" t="n"/>
      <c r="AJ98" s="67" t="n"/>
      <c r="AK98" s="67" t="n"/>
      <c r="AL98" s="67" t="n"/>
      <c r="AM98" s="67" t="n"/>
      <c r="AN98" s="67" t="n"/>
      <c r="AO98" s="67" t="n"/>
      <c r="AP98" s="67" t="n"/>
      <c r="AQ98" s="67" t="n"/>
      <c r="AR98" s="67" t="n"/>
      <c r="AS98" s="67" t="n"/>
      <c r="AT98" s="67" t="n"/>
      <c r="AU98" s="67" t="n"/>
    </row>
    <row r="99">
      <c r="A99" s="71" t="n"/>
      <c r="B99" s="71" t="n"/>
      <c r="C99" s="71" t="n"/>
      <c r="D99" s="71" t="n"/>
      <c r="E99" s="71" t="n"/>
      <c r="F99" s="71" t="n"/>
      <c r="G99" s="71" t="n"/>
      <c r="H99" s="71" t="n"/>
      <c r="I99" s="71" t="n"/>
      <c r="J99" s="71" t="n"/>
      <c r="K99" s="71" t="n"/>
      <c r="L99" s="71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  <c r="AI99" s="67" t="n"/>
      <c r="AJ99" s="67" t="n"/>
      <c r="AK99" s="67" t="n"/>
      <c r="AL99" s="67" t="n"/>
      <c r="AM99" s="67" t="n"/>
      <c r="AN99" s="67" t="n"/>
      <c r="AO99" s="67" t="n"/>
      <c r="AP99" s="67" t="n"/>
      <c r="AQ99" s="67" t="n"/>
      <c r="AR99" s="67" t="n"/>
      <c r="AS99" s="67" t="n"/>
      <c r="AT99" s="67" t="n"/>
      <c r="AU99" s="67" t="n"/>
    </row>
    <row r="100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  <c r="AI100" s="67" t="n"/>
      <c r="AJ100" s="67" t="n"/>
      <c r="AK100" s="67" t="n"/>
      <c r="AL100" s="67" t="n"/>
      <c r="AM100" s="67" t="n"/>
      <c r="AN100" s="67" t="n"/>
      <c r="AO100" s="67" t="n"/>
      <c r="AP100" s="67" t="n"/>
      <c r="AQ100" s="67" t="n"/>
      <c r="AR100" s="67" t="n"/>
      <c r="AS100" s="67" t="n"/>
      <c r="AT100" s="67" t="n"/>
      <c r="AU100" s="67" t="n"/>
    </row>
    <row r="101">
      <c r="A101" s="71" t="n"/>
      <c r="B101" s="71" t="n"/>
      <c r="C101" s="71" t="n"/>
      <c r="D101" s="71" t="n"/>
      <c r="E101" s="71" t="n"/>
      <c r="F101" s="71" t="n"/>
      <c r="G101" s="71" t="n"/>
      <c r="H101" s="71" t="n"/>
      <c r="I101" s="71" t="n"/>
      <c r="J101" s="71" t="n"/>
      <c r="K101" s="71" t="n"/>
      <c r="L101" s="71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  <c r="AH101" s="67" t="n"/>
      <c r="AI101" s="67" t="n"/>
      <c r="AJ101" s="67" t="n"/>
      <c r="AK101" s="67" t="n"/>
      <c r="AL101" s="67" t="n"/>
      <c r="AM101" s="67" t="n"/>
      <c r="AN101" s="67" t="n"/>
      <c r="AO101" s="67" t="n"/>
      <c r="AP101" s="67" t="n"/>
      <c r="AQ101" s="67" t="n"/>
      <c r="AR101" s="67" t="n"/>
      <c r="AS101" s="67" t="n"/>
      <c r="AT101" s="67" t="n"/>
      <c r="AU101" s="67" t="n"/>
    </row>
    <row r="102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  <c r="AA102" s="67" t="n"/>
      <c r="AB102" s="67" t="n"/>
      <c r="AC102" s="67" t="n"/>
      <c r="AD102" s="67" t="n"/>
      <c r="AE102" s="67" t="n"/>
      <c r="AF102" s="67" t="n"/>
      <c r="AG102" s="67" t="n"/>
      <c r="AH102" s="67" t="n"/>
      <c r="AI102" s="67" t="n"/>
      <c r="AJ102" s="67" t="n"/>
      <c r="AK102" s="67" t="n"/>
      <c r="AL102" s="67" t="n"/>
      <c r="AM102" s="67" t="n"/>
      <c r="AN102" s="67" t="n"/>
      <c r="AO102" s="67" t="n"/>
      <c r="AP102" s="67" t="n"/>
      <c r="AQ102" s="67" t="n"/>
      <c r="AR102" s="67" t="n"/>
      <c r="AS102" s="67" t="n"/>
      <c r="AT102" s="67" t="n"/>
      <c r="AU102" s="67" t="n"/>
    </row>
    <row r="103">
      <c r="A103" s="71" t="n"/>
      <c r="B103" s="71" t="n"/>
      <c r="C103" s="71" t="n"/>
      <c r="D103" s="71" t="n"/>
      <c r="E103" s="71" t="n"/>
      <c r="F103" s="71" t="n"/>
      <c r="G103" s="71" t="n"/>
      <c r="H103" s="71" t="n"/>
      <c r="I103" s="71" t="n"/>
      <c r="J103" s="71" t="n"/>
      <c r="K103" s="71" t="n"/>
      <c r="L103" s="71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  <c r="AI103" s="67" t="n"/>
      <c r="AJ103" s="67" t="n"/>
      <c r="AK103" s="67" t="n"/>
      <c r="AL103" s="67" t="n"/>
      <c r="AM103" s="67" t="n"/>
      <c r="AN103" s="67" t="n"/>
      <c r="AO103" s="67" t="n"/>
      <c r="AP103" s="67" t="n"/>
      <c r="AQ103" s="67" t="n"/>
      <c r="AR103" s="67" t="n"/>
      <c r="AS103" s="67" t="n"/>
      <c r="AT103" s="67" t="n"/>
      <c r="AU103" s="67" t="n"/>
    </row>
    <row r="104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  <c r="AA104" s="67" t="n"/>
      <c r="AB104" s="67" t="n"/>
      <c r="AC104" s="67" t="n"/>
      <c r="AD104" s="67" t="n"/>
      <c r="AE104" s="67" t="n"/>
      <c r="AF104" s="67" t="n"/>
      <c r="AG104" s="67" t="n"/>
      <c r="AH104" s="67" t="n"/>
      <c r="AI104" s="67" t="n"/>
      <c r="AJ104" s="67" t="n"/>
      <c r="AK104" s="67" t="n"/>
      <c r="AL104" s="67" t="n"/>
      <c r="AM104" s="67" t="n"/>
      <c r="AN104" s="67" t="n"/>
      <c r="AO104" s="67" t="n"/>
      <c r="AP104" s="67" t="n"/>
      <c r="AQ104" s="67" t="n"/>
      <c r="AR104" s="67" t="n"/>
      <c r="AS104" s="67" t="n"/>
      <c r="AT104" s="67" t="n"/>
      <c r="AU104" s="67" t="n"/>
    </row>
    <row r="105">
      <c r="A105" s="71" t="n"/>
      <c r="B105" s="71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  <c r="AI105" s="67" t="n"/>
      <c r="AJ105" s="67" t="n"/>
      <c r="AK105" s="67" t="n"/>
      <c r="AL105" s="67" t="n"/>
      <c r="AM105" s="67" t="n"/>
      <c r="AN105" s="67" t="n"/>
      <c r="AO105" s="67" t="n"/>
      <c r="AP105" s="67" t="n"/>
      <c r="AQ105" s="67" t="n"/>
      <c r="AR105" s="67" t="n"/>
      <c r="AS105" s="67" t="n"/>
      <c r="AT105" s="67" t="n"/>
      <c r="AU105" s="67" t="n"/>
    </row>
    <row r="106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  <c r="AI106" s="67" t="n"/>
      <c r="AJ106" s="67" t="n"/>
      <c r="AK106" s="67" t="n"/>
      <c r="AL106" s="67" t="n"/>
      <c r="AM106" s="67" t="n"/>
      <c r="AN106" s="67" t="n"/>
      <c r="AO106" s="67" t="n"/>
      <c r="AP106" s="67" t="n"/>
      <c r="AQ106" s="67" t="n"/>
      <c r="AR106" s="67" t="n"/>
      <c r="AS106" s="67" t="n"/>
      <c r="AT106" s="67" t="n"/>
      <c r="AU106" s="67" t="n"/>
    </row>
    <row r="107">
      <c r="A107" s="71" t="n"/>
      <c r="B107" s="71" t="n"/>
      <c r="C107" s="71" t="n"/>
      <c r="D107" s="71" t="n"/>
      <c r="E107" s="71" t="n"/>
      <c r="F107" s="71" t="n"/>
      <c r="G107" s="71" t="n"/>
      <c r="H107" s="71" t="n"/>
      <c r="I107" s="71" t="n"/>
      <c r="J107" s="71" t="n"/>
      <c r="K107" s="71" t="n"/>
      <c r="L107" s="71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  <c r="AI107" s="67" t="n"/>
      <c r="AJ107" s="67" t="n"/>
      <c r="AK107" s="67" t="n"/>
      <c r="AL107" s="67" t="n"/>
      <c r="AM107" s="67" t="n"/>
      <c r="AN107" s="67" t="n"/>
      <c r="AO107" s="67" t="n"/>
      <c r="AP107" s="67" t="n"/>
      <c r="AQ107" s="67" t="n"/>
      <c r="AR107" s="67" t="n"/>
      <c r="AS107" s="67" t="n"/>
      <c r="AT107" s="67" t="n"/>
      <c r="AU107" s="67" t="n"/>
    </row>
    <row r="108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  <c r="AA108" s="67" t="n"/>
      <c r="AB108" s="67" t="n"/>
      <c r="AC108" s="67" t="n"/>
      <c r="AD108" s="67" t="n"/>
      <c r="AE108" s="67" t="n"/>
      <c r="AF108" s="67" t="n"/>
      <c r="AG108" s="67" t="n"/>
      <c r="AH108" s="67" t="n"/>
      <c r="AI108" s="67" t="n"/>
      <c r="AJ108" s="67" t="n"/>
      <c r="AK108" s="67" t="n"/>
      <c r="AL108" s="67" t="n"/>
      <c r="AM108" s="67" t="n"/>
      <c r="AN108" s="67" t="n"/>
      <c r="AO108" s="67" t="n"/>
      <c r="AP108" s="67" t="n"/>
      <c r="AQ108" s="67" t="n"/>
      <c r="AR108" s="67" t="n"/>
      <c r="AS108" s="67" t="n"/>
      <c r="AT108" s="67" t="n"/>
      <c r="AU108" s="67" t="n"/>
    </row>
    <row r="109">
      <c r="A109" s="71" t="n"/>
      <c r="B109" s="71" t="n"/>
      <c r="C109" s="71" t="n"/>
      <c r="D109" s="71" t="n"/>
      <c r="E109" s="71" t="n"/>
      <c r="F109" s="71" t="n"/>
      <c r="G109" s="71" t="n"/>
      <c r="H109" s="71" t="n"/>
      <c r="I109" s="71" t="n"/>
      <c r="J109" s="71" t="n"/>
      <c r="K109" s="71" t="n"/>
      <c r="L109" s="71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  <c r="AI109" s="67" t="n"/>
      <c r="AJ109" s="67" t="n"/>
      <c r="AK109" s="67" t="n"/>
      <c r="AL109" s="67" t="n"/>
      <c r="AM109" s="67" t="n"/>
      <c r="AN109" s="67" t="n"/>
      <c r="AO109" s="67" t="n"/>
      <c r="AP109" s="67" t="n"/>
      <c r="AQ109" s="67" t="n"/>
      <c r="AR109" s="67" t="n"/>
      <c r="AS109" s="67" t="n"/>
      <c r="AT109" s="67" t="n"/>
      <c r="AU109" s="67" t="n"/>
    </row>
    <row r="110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  <c r="AP110" s="67" t="n"/>
      <c r="AQ110" s="67" t="n"/>
      <c r="AR110" s="67" t="n"/>
      <c r="AS110" s="67" t="n"/>
      <c r="AT110" s="67" t="n"/>
      <c r="AU110" s="67" t="n"/>
    </row>
    <row r="111">
      <c r="A111" s="71" t="n"/>
      <c r="B111" s="71" t="n"/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  <c r="L111" s="71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  <c r="AH111" s="67" t="n"/>
      <c r="AI111" s="67" t="n"/>
      <c r="AJ111" s="67" t="n"/>
      <c r="AK111" s="67" t="n"/>
      <c r="AL111" s="67" t="n"/>
      <c r="AM111" s="67" t="n"/>
      <c r="AN111" s="67" t="n"/>
      <c r="AO111" s="67" t="n"/>
      <c r="AP111" s="67" t="n"/>
      <c r="AQ111" s="67" t="n"/>
      <c r="AR111" s="67" t="n"/>
      <c r="AS111" s="67" t="n"/>
      <c r="AT111" s="67" t="n"/>
      <c r="AU111" s="67" t="n"/>
    </row>
    <row r="112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  <c r="AI112" s="67" t="n"/>
      <c r="AJ112" s="67" t="n"/>
      <c r="AK112" s="67" t="n"/>
      <c r="AL112" s="67" t="n"/>
      <c r="AM112" s="67" t="n"/>
      <c r="AN112" s="67" t="n"/>
      <c r="AO112" s="67" t="n"/>
      <c r="AP112" s="67" t="n"/>
      <c r="AQ112" s="67" t="n"/>
      <c r="AR112" s="67" t="n"/>
      <c r="AS112" s="67" t="n"/>
      <c r="AT112" s="67" t="n"/>
      <c r="AU112" s="67" t="n"/>
    </row>
    <row r="113">
      <c r="A113" s="71" t="n"/>
      <c r="B113" s="71" t="n"/>
      <c r="C113" s="71" t="n"/>
      <c r="D113" s="71" t="n"/>
      <c r="E113" s="71" t="n"/>
      <c r="F113" s="71" t="n"/>
      <c r="G113" s="71" t="n"/>
      <c r="H113" s="71" t="n"/>
      <c r="I113" s="71" t="n"/>
      <c r="J113" s="71" t="n"/>
      <c r="K113" s="71" t="n"/>
      <c r="L113" s="71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  <c r="AH113" s="67" t="n"/>
      <c r="AI113" s="67" t="n"/>
      <c r="AJ113" s="67" t="n"/>
      <c r="AK113" s="67" t="n"/>
      <c r="AL113" s="67" t="n"/>
      <c r="AM113" s="67" t="n"/>
      <c r="AN113" s="67" t="n"/>
      <c r="AO113" s="67" t="n"/>
      <c r="AP113" s="67" t="n"/>
      <c r="AQ113" s="67" t="n"/>
      <c r="AR113" s="67" t="n"/>
      <c r="AS113" s="67" t="n"/>
      <c r="AT113" s="67" t="n"/>
      <c r="AU113" s="67" t="n"/>
    </row>
    <row r="114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  <c r="AI114" s="67" t="n"/>
      <c r="AJ114" s="67" t="n"/>
      <c r="AK114" s="67" t="n"/>
      <c r="AL114" s="67" t="n"/>
      <c r="AM114" s="67" t="n"/>
      <c r="AN114" s="67" t="n"/>
      <c r="AO114" s="67" t="n"/>
      <c r="AP114" s="67" t="n"/>
      <c r="AQ114" s="67" t="n"/>
      <c r="AR114" s="67" t="n"/>
      <c r="AS114" s="67" t="n"/>
      <c r="AT114" s="67" t="n"/>
      <c r="AU114" s="67" t="n"/>
    </row>
    <row r="115">
      <c r="A115" s="71" t="n"/>
      <c r="B115" s="71" t="n"/>
      <c r="C115" s="71" t="n"/>
      <c r="D115" s="71" t="n"/>
      <c r="E115" s="71" t="n"/>
      <c r="F115" s="71" t="n"/>
      <c r="G115" s="71" t="n"/>
      <c r="H115" s="71" t="n"/>
      <c r="I115" s="71" t="n"/>
      <c r="J115" s="71" t="n"/>
      <c r="K115" s="71" t="n"/>
      <c r="L115" s="71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  <c r="AI115" s="67" t="n"/>
      <c r="AJ115" s="67" t="n"/>
      <c r="AK115" s="67" t="n"/>
      <c r="AL115" s="67" t="n"/>
      <c r="AM115" s="67" t="n"/>
      <c r="AN115" s="67" t="n"/>
      <c r="AO115" s="67" t="n"/>
      <c r="AP115" s="67" t="n"/>
      <c r="AQ115" s="67" t="n"/>
      <c r="AR115" s="67" t="n"/>
      <c r="AS115" s="67" t="n"/>
      <c r="AT115" s="67" t="n"/>
      <c r="AU115" s="67" t="n"/>
    </row>
    <row r="116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  <c r="AA116" s="67" t="n"/>
      <c r="AB116" s="67" t="n"/>
      <c r="AC116" s="67" t="n"/>
      <c r="AD116" s="67" t="n"/>
      <c r="AE116" s="67" t="n"/>
      <c r="AF116" s="67" t="n"/>
      <c r="AG116" s="67" t="n"/>
      <c r="AH116" s="67" t="n"/>
      <c r="AI116" s="67" t="n"/>
      <c r="AJ116" s="67" t="n"/>
      <c r="AK116" s="67" t="n"/>
      <c r="AL116" s="67" t="n"/>
      <c r="AM116" s="67" t="n"/>
      <c r="AN116" s="67" t="n"/>
      <c r="AO116" s="67" t="n"/>
      <c r="AP116" s="67" t="n"/>
      <c r="AQ116" s="67" t="n"/>
      <c r="AR116" s="67" t="n"/>
      <c r="AS116" s="67" t="n"/>
      <c r="AT116" s="67" t="n"/>
      <c r="AU116" s="67" t="n"/>
    </row>
    <row r="117">
      <c r="A117" s="71" t="n"/>
      <c r="B117" s="71" t="n"/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  <c r="L117" s="71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  <c r="AI117" s="67" t="n"/>
      <c r="AJ117" s="67" t="n"/>
      <c r="AK117" s="67" t="n"/>
      <c r="AL117" s="67" t="n"/>
      <c r="AM117" s="67" t="n"/>
      <c r="AN117" s="67" t="n"/>
      <c r="AO117" s="67" t="n"/>
      <c r="AP117" s="67" t="n"/>
      <c r="AQ117" s="67" t="n"/>
      <c r="AR117" s="67" t="n"/>
      <c r="AS117" s="67" t="n"/>
      <c r="AT117" s="67" t="n"/>
      <c r="AU117" s="67" t="n"/>
    </row>
    <row r="118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  <c r="AI118" s="67" t="n"/>
      <c r="AJ118" s="67" t="n"/>
      <c r="AK118" s="67" t="n"/>
      <c r="AL118" s="67" t="n"/>
      <c r="AM118" s="67" t="n"/>
      <c r="AN118" s="67" t="n"/>
      <c r="AO118" s="67" t="n"/>
      <c r="AP118" s="67" t="n"/>
      <c r="AQ118" s="67" t="n"/>
      <c r="AR118" s="67" t="n"/>
      <c r="AS118" s="67" t="n"/>
      <c r="AT118" s="67" t="n"/>
      <c r="AU118" s="67" t="n"/>
    </row>
    <row r="119">
      <c r="A119" s="71" t="n"/>
      <c r="B119" s="71" t="n"/>
      <c r="C119" s="71" t="n"/>
      <c r="D119" s="71" t="n"/>
      <c r="E119" s="71" t="n"/>
      <c r="F119" s="71" t="n"/>
      <c r="G119" s="71" t="n"/>
      <c r="H119" s="71" t="n"/>
      <c r="I119" s="71" t="n"/>
      <c r="J119" s="71" t="n"/>
      <c r="K119" s="71" t="n"/>
      <c r="L119" s="71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  <c r="AI119" s="67" t="n"/>
      <c r="AJ119" s="67" t="n"/>
      <c r="AK119" s="67" t="n"/>
      <c r="AL119" s="67" t="n"/>
      <c r="AM119" s="67" t="n"/>
      <c r="AN119" s="67" t="n"/>
      <c r="AO119" s="67" t="n"/>
      <c r="AP119" s="67" t="n"/>
      <c r="AQ119" s="67" t="n"/>
      <c r="AR119" s="67" t="n"/>
      <c r="AS119" s="67" t="n"/>
      <c r="AT119" s="67" t="n"/>
      <c r="AU119" s="67" t="n"/>
    </row>
    <row r="120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  <c r="AI120" s="67" t="n"/>
      <c r="AJ120" s="67" t="n"/>
      <c r="AK120" s="67" t="n"/>
      <c r="AL120" s="67" t="n"/>
      <c r="AM120" s="67" t="n"/>
      <c r="AN120" s="67" t="n"/>
      <c r="AO120" s="67" t="n"/>
      <c r="AP120" s="67" t="n"/>
      <c r="AQ120" s="67" t="n"/>
      <c r="AR120" s="67" t="n"/>
      <c r="AS120" s="67" t="n"/>
      <c r="AT120" s="67" t="n"/>
      <c r="AU120" s="67" t="n"/>
    </row>
    <row r="121">
      <c r="A121" s="71" t="n"/>
      <c r="B121" s="71" t="n"/>
      <c r="C121" s="71" t="n"/>
      <c r="D121" s="71" t="n"/>
      <c r="E121" s="71" t="n"/>
      <c r="F121" s="71" t="n"/>
      <c r="G121" s="71" t="n"/>
      <c r="H121" s="71" t="n"/>
      <c r="I121" s="71" t="n"/>
      <c r="J121" s="71" t="n"/>
      <c r="K121" s="71" t="n"/>
      <c r="L121" s="71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  <c r="AI121" s="67" t="n"/>
      <c r="AJ121" s="67" t="n"/>
      <c r="AK121" s="67" t="n"/>
      <c r="AL121" s="67" t="n"/>
      <c r="AM121" s="67" t="n"/>
      <c r="AN121" s="67" t="n"/>
      <c r="AO121" s="67" t="n"/>
      <c r="AP121" s="67" t="n"/>
      <c r="AQ121" s="67" t="n"/>
      <c r="AR121" s="67" t="n"/>
      <c r="AS121" s="67" t="n"/>
      <c r="AT121" s="67" t="n"/>
      <c r="AU121" s="67" t="n"/>
    </row>
    <row r="122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  <c r="AI122" s="67" t="n"/>
      <c r="AJ122" s="67" t="n"/>
      <c r="AK122" s="67" t="n"/>
      <c r="AL122" s="67" t="n"/>
      <c r="AM122" s="67" t="n"/>
      <c r="AN122" s="67" t="n"/>
      <c r="AO122" s="67" t="n"/>
      <c r="AP122" s="67" t="n"/>
      <c r="AQ122" s="67" t="n"/>
      <c r="AR122" s="67" t="n"/>
      <c r="AS122" s="67" t="n"/>
      <c r="AT122" s="67" t="n"/>
      <c r="AU122" s="67" t="n"/>
    </row>
    <row r="123">
      <c r="A123" s="71" t="n"/>
      <c r="B123" s="71" t="n"/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  <c r="L123" s="71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  <c r="AI123" s="67" t="n"/>
      <c r="AJ123" s="67" t="n"/>
      <c r="AK123" s="67" t="n"/>
      <c r="AL123" s="67" t="n"/>
      <c r="AM123" s="67" t="n"/>
      <c r="AN123" s="67" t="n"/>
      <c r="AO123" s="67" t="n"/>
      <c r="AP123" s="67" t="n"/>
      <c r="AQ123" s="67" t="n"/>
      <c r="AR123" s="67" t="n"/>
      <c r="AS123" s="67" t="n"/>
      <c r="AT123" s="67" t="n"/>
      <c r="AU123" s="67" t="n"/>
    </row>
    <row r="124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  <c r="AI124" s="67" t="n"/>
      <c r="AJ124" s="67" t="n"/>
      <c r="AK124" s="67" t="n"/>
      <c r="AL124" s="67" t="n"/>
      <c r="AM124" s="67" t="n"/>
      <c r="AN124" s="67" t="n"/>
      <c r="AO124" s="67" t="n"/>
      <c r="AP124" s="67" t="n"/>
      <c r="AQ124" s="67" t="n"/>
      <c r="AR124" s="67" t="n"/>
      <c r="AS124" s="67" t="n"/>
      <c r="AT124" s="67" t="n"/>
      <c r="AU124" s="67" t="n"/>
    </row>
    <row r="125">
      <c r="A125" s="71" t="n"/>
      <c r="B125" s="71" t="n"/>
      <c r="C125" s="71" t="n"/>
      <c r="D125" s="71" t="n"/>
      <c r="E125" s="71" t="n"/>
      <c r="F125" s="71" t="n"/>
      <c r="G125" s="71" t="n"/>
      <c r="H125" s="71" t="n"/>
      <c r="I125" s="71" t="n"/>
      <c r="J125" s="71" t="n"/>
      <c r="K125" s="71" t="n"/>
      <c r="L125" s="71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  <c r="AI125" s="67" t="n"/>
      <c r="AJ125" s="67" t="n"/>
      <c r="AK125" s="67" t="n"/>
      <c r="AL125" s="67" t="n"/>
      <c r="AM125" s="67" t="n"/>
      <c r="AN125" s="67" t="n"/>
      <c r="AO125" s="67" t="n"/>
      <c r="AP125" s="67" t="n"/>
      <c r="AQ125" s="67" t="n"/>
      <c r="AR125" s="67" t="n"/>
      <c r="AS125" s="67" t="n"/>
      <c r="AT125" s="67" t="n"/>
      <c r="AU125" s="67" t="n"/>
    </row>
    <row r="126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  <c r="AP126" s="67" t="n"/>
      <c r="AQ126" s="67" t="n"/>
      <c r="AR126" s="67" t="n"/>
      <c r="AS126" s="67" t="n"/>
      <c r="AT126" s="67" t="n"/>
      <c r="AU126" s="67" t="n"/>
    </row>
    <row r="127">
      <c r="A127" s="71" t="n"/>
      <c r="B127" s="71" t="n"/>
      <c r="C127" s="71" t="n"/>
      <c r="D127" s="71" t="n"/>
      <c r="E127" s="71" t="n"/>
      <c r="F127" s="71" t="n"/>
      <c r="G127" s="71" t="n"/>
      <c r="H127" s="71" t="n"/>
      <c r="I127" s="71" t="n"/>
      <c r="J127" s="71" t="n"/>
      <c r="K127" s="71" t="n"/>
      <c r="L127" s="71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  <c r="AI127" s="67" t="n"/>
      <c r="AJ127" s="67" t="n"/>
      <c r="AK127" s="67" t="n"/>
      <c r="AL127" s="67" t="n"/>
      <c r="AM127" s="67" t="n"/>
      <c r="AN127" s="67" t="n"/>
      <c r="AO127" s="67" t="n"/>
      <c r="AP127" s="67" t="n"/>
      <c r="AQ127" s="67" t="n"/>
      <c r="AR127" s="67" t="n"/>
      <c r="AS127" s="67" t="n"/>
      <c r="AT127" s="67" t="n"/>
      <c r="AU127" s="67" t="n"/>
    </row>
    <row r="128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  <c r="AA128" s="67" t="n"/>
      <c r="AB128" s="67" t="n"/>
      <c r="AC128" s="67" t="n"/>
      <c r="AD128" s="67" t="n"/>
      <c r="AE128" s="67" t="n"/>
      <c r="AF128" s="67" t="n"/>
      <c r="AG128" s="67" t="n"/>
      <c r="AH128" s="67" t="n"/>
      <c r="AI128" s="67" t="n"/>
      <c r="AJ128" s="67" t="n"/>
      <c r="AK128" s="67" t="n"/>
      <c r="AL128" s="67" t="n"/>
      <c r="AM128" s="67" t="n"/>
      <c r="AN128" s="67" t="n"/>
      <c r="AO128" s="67" t="n"/>
      <c r="AP128" s="67" t="n"/>
      <c r="AQ128" s="67" t="n"/>
      <c r="AR128" s="67" t="n"/>
      <c r="AS128" s="67" t="n"/>
      <c r="AT128" s="67" t="n"/>
      <c r="AU128" s="67" t="n"/>
    </row>
    <row r="129">
      <c r="A129" s="71" t="n"/>
      <c r="B129" s="71" t="n"/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  <c r="L129" s="71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  <c r="AH129" s="67" t="n"/>
      <c r="AI129" s="67" t="n"/>
      <c r="AJ129" s="67" t="n"/>
      <c r="AK129" s="67" t="n"/>
      <c r="AL129" s="67" t="n"/>
      <c r="AM129" s="67" t="n"/>
      <c r="AN129" s="67" t="n"/>
      <c r="AO129" s="67" t="n"/>
      <c r="AP129" s="67" t="n"/>
      <c r="AQ129" s="67" t="n"/>
      <c r="AR129" s="67" t="n"/>
      <c r="AS129" s="67" t="n"/>
      <c r="AT129" s="67" t="n"/>
      <c r="AU129" s="67" t="n"/>
    </row>
    <row r="130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  <c r="AI130" s="67" t="n"/>
      <c r="AJ130" s="67" t="n"/>
      <c r="AK130" s="67" t="n"/>
      <c r="AL130" s="67" t="n"/>
      <c r="AM130" s="67" t="n"/>
      <c r="AN130" s="67" t="n"/>
      <c r="AO130" s="67" t="n"/>
      <c r="AP130" s="67" t="n"/>
      <c r="AQ130" s="67" t="n"/>
      <c r="AR130" s="67" t="n"/>
      <c r="AS130" s="67" t="n"/>
      <c r="AT130" s="67" t="n"/>
      <c r="AU130" s="67" t="n"/>
    </row>
    <row r="131">
      <c r="A131" s="71" t="n"/>
      <c r="B131" s="71" t="n"/>
      <c r="C131" s="71" t="n"/>
      <c r="D131" s="71" t="n"/>
      <c r="E131" s="71" t="n"/>
      <c r="F131" s="71" t="n"/>
      <c r="G131" s="71" t="n"/>
      <c r="H131" s="71" t="n"/>
      <c r="I131" s="71" t="n"/>
      <c r="J131" s="71" t="n"/>
      <c r="K131" s="71" t="n"/>
      <c r="L131" s="71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  <c r="AH131" s="67" t="n"/>
      <c r="AI131" s="67" t="n"/>
      <c r="AJ131" s="67" t="n"/>
      <c r="AK131" s="67" t="n"/>
      <c r="AL131" s="67" t="n"/>
      <c r="AM131" s="67" t="n"/>
      <c r="AN131" s="67" t="n"/>
      <c r="AO131" s="67" t="n"/>
      <c r="AP131" s="67" t="n"/>
      <c r="AQ131" s="67" t="n"/>
      <c r="AR131" s="67" t="n"/>
      <c r="AS131" s="67" t="n"/>
      <c r="AT131" s="67" t="n"/>
      <c r="AU131" s="67" t="n"/>
    </row>
    <row r="132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  <c r="AA132" s="67" t="n"/>
      <c r="AB132" s="67" t="n"/>
      <c r="AC132" s="67" t="n"/>
      <c r="AD132" s="67" t="n"/>
      <c r="AE132" s="67" t="n"/>
      <c r="AF132" s="67" t="n"/>
      <c r="AG132" s="67" t="n"/>
      <c r="AH132" s="67" t="n"/>
      <c r="AI132" s="67" t="n"/>
      <c r="AJ132" s="67" t="n"/>
      <c r="AK132" s="67" t="n"/>
      <c r="AL132" s="67" t="n"/>
      <c r="AM132" s="67" t="n"/>
      <c r="AN132" s="67" t="n"/>
      <c r="AO132" s="67" t="n"/>
      <c r="AP132" s="67" t="n"/>
      <c r="AQ132" s="67" t="n"/>
      <c r="AR132" s="67" t="n"/>
      <c r="AS132" s="67" t="n"/>
      <c r="AT132" s="67" t="n"/>
      <c r="AU132" s="67" t="n"/>
    </row>
    <row r="133">
      <c r="A133" s="71" t="n"/>
      <c r="B133" s="71" t="n"/>
      <c r="C133" s="71" t="n"/>
      <c r="D133" s="71" t="n"/>
      <c r="E133" s="71" t="n"/>
      <c r="F133" s="71" t="n"/>
      <c r="G133" s="71" t="n"/>
      <c r="H133" s="71" t="n"/>
      <c r="I133" s="71" t="n"/>
      <c r="J133" s="71" t="n"/>
      <c r="K133" s="71" t="n"/>
      <c r="L133" s="71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  <c r="AI133" s="67" t="n"/>
      <c r="AJ133" s="67" t="n"/>
      <c r="AK133" s="67" t="n"/>
      <c r="AL133" s="67" t="n"/>
      <c r="AM133" s="67" t="n"/>
      <c r="AN133" s="67" t="n"/>
      <c r="AO133" s="67" t="n"/>
      <c r="AP133" s="67" t="n"/>
      <c r="AQ133" s="67" t="n"/>
      <c r="AR133" s="67" t="n"/>
      <c r="AS133" s="67" t="n"/>
      <c r="AT133" s="67" t="n"/>
      <c r="AU133" s="67" t="n"/>
    </row>
    <row r="134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  <c r="AI134" s="67" t="n"/>
      <c r="AJ134" s="67" t="n"/>
      <c r="AK134" s="67" t="n"/>
      <c r="AL134" s="67" t="n"/>
      <c r="AM134" s="67" t="n"/>
      <c r="AN134" s="67" t="n"/>
      <c r="AO134" s="67" t="n"/>
      <c r="AP134" s="67" t="n"/>
      <c r="AQ134" s="67" t="n"/>
      <c r="AR134" s="67" t="n"/>
      <c r="AS134" s="67" t="n"/>
      <c r="AT134" s="67" t="n"/>
      <c r="AU134" s="67" t="n"/>
    </row>
    <row r="135">
      <c r="A135" s="71" t="n"/>
      <c r="B135" s="71" t="n"/>
      <c r="C135" s="71" t="n"/>
      <c r="D135" s="71" t="n"/>
      <c r="E135" s="71" t="n"/>
      <c r="F135" s="71" t="n"/>
      <c r="G135" s="71" t="n"/>
      <c r="H135" s="71" t="n"/>
      <c r="I135" s="71" t="n"/>
      <c r="J135" s="71" t="n"/>
      <c r="K135" s="71" t="n"/>
      <c r="L135" s="71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  <c r="AI135" s="67" t="n"/>
      <c r="AJ135" s="67" t="n"/>
      <c r="AK135" s="67" t="n"/>
      <c r="AL135" s="67" t="n"/>
      <c r="AM135" s="67" t="n"/>
      <c r="AN135" s="67" t="n"/>
      <c r="AO135" s="67" t="n"/>
      <c r="AP135" s="67" t="n"/>
      <c r="AQ135" s="67" t="n"/>
      <c r="AR135" s="67" t="n"/>
      <c r="AS135" s="67" t="n"/>
      <c r="AT135" s="67" t="n"/>
      <c r="AU135" s="67" t="n"/>
    </row>
    <row r="136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  <c r="AI136" s="67" t="n"/>
      <c r="AJ136" s="67" t="n"/>
      <c r="AK136" s="67" t="n"/>
      <c r="AL136" s="67" t="n"/>
      <c r="AM136" s="67" t="n"/>
      <c r="AN136" s="67" t="n"/>
      <c r="AO136" s="67" t="n"/>
      <c r="AP136" s="67" t="n"/>
      <c r="AQ136" s="67" t="n"/>
      <c r="AR136" s="67" t="n"/>
      <c r="AS136" s="67" t="n"/>
      <c r="AT136" s="67" t="n"/>
      <c r="AU136" s="67" t="n"/>
    </row>
    <row r="137">
      <c r="B137" s="172" t="n">
        <v>4</v>
      </c>
      <c r="D137" s="988" t="n">
        <v>25.4</v>
      </c>
    </row>
    <row r="138">
      <c r="B138" s="172" t="n">
        <v>8</v>
      </c>
      <c r="D138" s="988" t="n">
        <v>25.4</v>
      </c>
    </row>
    <row r="139">
      <c r="B139" s="172" t="n">
        <v>14</v>
      </c>
      <c r="D139" s="988" t="n">
        <v>25.4</v>
      </c>
    </row>
    <row r="140">
      <c r="B140" s="172" t="n"/>
      <c r="D140" s="988" t="n"/>
    </row>
    <row r="141">
      <c r="B141" s="172" t="n"/>
      <c r="D141" s="988" t="n"/>
    </row>
    <row r="142">
      <c r="B142" s="172" t="n"/>
      <c r="D142" s="988" t="n"/>
    </row>
    <row r="143">
      <c r="B143" s="172" t="n"/>
      <c r="D143" s="988" t="n"/>
    </row>
    <row r="144">
      <c r="B144" s="172" t="n"/>
      <c r="D144" s="988" t="n"/>
    </row>
    <row r="145">
      <c r="B145" s="172" t="n"/>
      <c r="D145" s="988" t="n"/>
    </row>
    <row r="146">
      <c r="B146" s="172" t="n"/>
      <c r="D146" s="988" t="n"/>
    </row>
    <row r="147">
      <c r="B147" s="172" t="n"/>
      <c r="D147" s="988" t="n"/>
    </row>
    <row r="148">
      <c r="B148" s="172" t="n"/>
      <c r="D148" s="988" t="n"/>
    </row>
    <row r="149">
      <c r="B149" s="172" t="n"/>
      <c r="D149" s="988" t="n"/>
    </row>
    <row r="150">
      <c r="B150" s="172" t="n"/>
      <c r="D150" s="988" t="n"/>
    </row>
    <row r="151">
      <c r="B151" s="172" t="n"/>
      <c r="D151" s="988" t="n"/>
    </row>
    <row r="152">
      <c r="B152" s="172" t="n"/>
      <c r="D152" s="988" t="n"/>
    </row>
    <row r="153">
      <c r="B153" s="172" t="n"/>
      <c r="D153" s="988" t="n"/>
    </row>
    <row r="154">
      <c r="B154" s="172" t="n"/>
      <c r="D154" s="988" t="n"/>
    </row>
    <row r="155">
      <c r="B155" s="172" t="n"/>
      <c r="D155" s="988" t="n"/>
    </row>
    <row r="156">
      <c r="B156" s="172" t="n"/>
      <c r="D156" s="98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TZG/ItXjorr0Wbo9xc66Q==" formatRows="1" sort="1" spinCount="100000" hashValue="6VBXj6yzFyKmHR1VEQZwZQXZyphW+pol8RCAnCeMZlCTIsOtq5+1Kw5EVj/uIQk+xFhsECXq/axuAqfvvHkQVA=="/>
  <mergeCells count="21">
    <mergeCell ref="I6:J6"/>
    <mergeCell ref="A5:M5"/>
    <mergeCell ref="A35:G35"/>
    <mergeCell ref="D40:E40"/>
    <mergeCell ref="D7:F7"/>
    <mergeCell ref="G40:H40"/>
    <mergeCell ref="I7:J7"/>
    <mergeCell ref="A30:G30"/>
    <mergeCell ref="G6:H6"/>
    <mergeCell ref="D41:E41"/>
    <mergeCell ref="A1:M1"/>
    <mergeCell ref="E27:F27"/>
    <mergeCell ref="I25:L25"/>
    <mergeCell ref="A25:G25"/>
    <mergeCell ref="E26:F26"/>
    <mergeCell ref="A39:I39"/>
    <mergeCell ref="K7:L7"/>
    <mergeCell ref="G41:H41"/>
    <mergeCell ref="K6:L6"/>
    <mergeCell ref="D6:F6"/>
    <mergeCell ref="A2:M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106"/>
  <sheetViews>
    <sheetView showGridLines="0" zoomScaleNormal="100" zoomScaleSheetLayoutView="100" workbookViewId="0">
      <selection activeCell="E43" sqref="E43"/>
    </sheetView>
  </sheetViews>
  <sheetFormatPr baseColWidth="8" defaultColWidth="9.140625" defaultRowHeight="13.9"/>
  <cols>
    <col width="20.42578125" customWidth="1" style="1" min="1" max="1"/>
    <col width="16.42578125" customWidth="1" style="1" min="2" max="2"/>
    <col width="34.140625" customWidth="1" style="1" min="3" max="3"/>
    <col width="9.140625" customWidth="1" style="1" min="4" max="4"/>
    <col width="16.140625" customWidth="1" style="1" min="5" max="5"/>
    <col width="14.85546875" customWidth="1" style="1" min="6" max="6"/>
    <col width="40.42578125" bestFit="1" customWidth="1" style="1" min="7" max="7"/>
    <col width="9.140625" customWidth="1" style="1" min="8" max="16384"/>
  </cols>
  <sheetData>
    <row r="1" ht="17.65" customHeight="1">
      <c r="A1" s="1224">
        <f>'Project Assumptions'!A5</f>
        <v/>
      </c>
      <c r="B1" s="990" t="n"/>
      <c r="C1" s="990" t="n"/>
      <c r="D1" s="990" t="n"/>
      <c r="E1" s="990" t="n"/>
      <c r="F1" s="990" t="n"/>
      <c r="G1" s="991" t="n"/>
    </row>
    <row r="2" ht="17.65" customHeight="1">
      <c r="A2" s="1225" t="inlineStr">
        <is>
          <t>Detailed Project Costs</t>
        </is>
      </c>
      <c r="B2" s="993" t="n"/>
      <c r="C2" s="993" t="n"/>
      <c r="D2" s="993" t="n"/>
      <c r="E2" s="993" t="n"/>
      <c r="F2" s="993" t="n"/>
      <c r="G2" s="994" t="n"/>
    </row>
    <row r="3">
      <c r="A3" s="2" t="n"/>
      <c r="B3" s="2" t="n"/>
      <c r="C3" s="2" t="n"/>
      <c r="D3" s="174" t="n"/>
      <c r="E3" s="175" t="n"/>
      <c r="F3" s="995" t="n"/>
      <c r="G3" s="3" t="n"/>
    </row>
    <row r="4">
      <c r="A4" s="177" t="inlineStr">
        <is>
          <t>Gross Square Feet:</t>
        </is>
      </c>
      <c r="B4" s="177" t="n"/>
      <c r="C4" s="178">
        <f>'Project Assumptions'!E9</f>
        <v/>
      </c>
      <c r="D4" s="179" t="n"/>
      <c r="E4" s="179" t="n"/>
      <c r="F4" s="180" t="n"/>
      <c r="G4" s="180" t="n"/>
    </row>
    <row r="5">
      <c r="A5" s="177" t="inlineStr">
        <is>
          <t>Net Rentable Square Feet:</t>
        </is>
      </c>
      <c r="B5" s="177" t="n"/>
      <c r="C5" s="178">
        <f>'Project Assumptions'!E11</f>
        <v/>
      </c>
      <c r="D5" s="181" t="n"/>
      <c r="E5" s="179" t="n"/>
      <c r="F5" s="180" t="n"/>
      <c r="G5" s="180" t="n"/>
    </row>
    <row r="6" ht="6" customHeight="1">
      <c r="A6" s="180" t="n"/>
      <c r="B6" s="180" t="n"/>
      <c r="C6" s="182" t="n"/>
      <c r="D6" s="182" t="n"/>
      <c r="E6" s="182" t="n"/>
      <c r="F6" s="180" t="n"/>
      <c r="G6" s="180" t="n"/>
    </row>
    <row r="7">
      <c r="A7" s="996" t="inlineStr">
        <is>
          <t>Cost Category</t>
        </is>
      </c>
      <c r="B7" s="990" t="n"/>
      <c r="C7" s="991" t="n"/>
      <c r="D7" s="666" t="inlineStr">
        <is>
          <t>Input</t>
        </is>
      </c>
      <c r="E7" s="667" t="n"/>
      <c r="F7" s="668" t="inlineStr">
        <is>
          <t>Budget</t>
        </is>
      </c>
      <c r="G7" s="669" t="n"/>
    </row>
    <row r="8">
      <c r="A8" s="997" t="n"/>
      <c r="B8" s="993" t="n"/>
      <c r="C8" s="994" t="n"/>
      <c r="D8" s="183" t="inlineStr">
        <is>
          <t>Format</t>
        </is>
      </c>
      <c r="E8" s="670" t="inlineStr">
        <is>
          <t>Input</t>
        </is>
      </c>
      <c r="F8" s="670" t="inlineStr">
        <is>
          <t>Amount</t>
        </is>
      </c>
      <c r="G8" s="183" t="inlineStr">
        <is>
          <t>Notes</t>
        </is>
      </c>
    </row>
    <row r="9">
      <c r="A9" s="684" t="inlineStr">
        <is>
          <t>Land Purchase</t>
        </is>
      </c>
      <c r="B9" s="851" t="inlineStr">
        <is>
          <t>Land Purchase</t>
        </is>
      </c>
      <c r="C9" s="672" t="inlineStr">
        <is>
          <t>Purchase Price</t>
        </is>
      </c>
      <c r="D9" s="752" t="inlineStr">
        <is>
          <t>$</t>
        </is>
      </c>
      <c r="E9" s="998" t="n"/>
      <c r="F9" s="999">
        <f>IF(D9="$",E9,IF(D9="NRSF",E9*$C$5,E9*$C$4))</f>
        <v/>
      </c>
      <c r="G9" s="755" t="n"/>
    </row>
    <row r="10">
      <c r="A10" s="1000" t="n"/>
      <c r="B10" s="1000" t="n"/>
      <c r="C10" s="673" t="inlineStr">
        <is>
          <t>Other Land Purchase Costs</t>
        </is>
      </c>
      <c r="D10" s="184" t="inlineStr">
        <is>
          <t>$</t>
        </is>
      </c>
      <c r="E10" s="1001" t="n"/>
      <c r="F10" s="1002">
        <f>IF(D10="$",E10,IF(D10="NRSF",E10*$C$5,E10*$C$4))</f>
        <v/>
      </c>
      <c r="G10" s="186" t="n"/>
    </row>
    <row r="11">
      <c r="A11" s="1000" t="n"/>
      <c r="B11" s="1000" t="n"/>
      <c r="C11" s="675" t="inlineStr">
        <is>
          <t>Due Diligence Costs</t>
        </is>
      </c>
      <c r="D11" s="187" t="inlineStr">
        <is>
          <t>$</t>
        </is>
      </c>
      <c r="E11" s="1003" t="n"/>
      <c r="F11" s="1004">
        <f>IF(D11="$",E11,IF(D11="NRSF",E11*$C$5,E11*$C$4))</f>
        <v/>
      </c>
      <c r="G11" s="882" t="n"/>
    </row>
    <row r="12">
      <c r="A12" s="1005" t="n"/>
      <c r="B12" s="677" t="inlineStr">
        <is>
          <t>Land Closing</t>
        </is>
      </c>
      <c r="C12" s="678" t="inlineStr">
        <is>
          <t>Other Land Closing Costs</t>
        </is>
      </c>
      <c r="D12" s="679" t="inlineStr">
        <is>
          <t>$</t>
        </is>
      </c>
      <c r="E12" s="1006" t="n"/>
      <c r="F12" s="1007">
        <f>IF(D12="$",E12,IF(D12="NRSF",E12*$C$5,E12*$C$4))</f>
        <v/>
      </c>
      <c r="G12" s="682" t="n"/>
    </row>
    <row r="13">
      <c r="A13" s="1008" t="inlineStr">
        <is>
          <t>Land Development and Site Work</t>
        </is>
      </c>
      <c r="B13" s="677" t="inlineStr">
        <is>
          <t>Site Work</t>
        </is>
      </c>
      <c r="C13" s="756" t="inlineStr">
        <is>
          <t>Site Construction Contract</t>
        </is>
      </c>
      <c r="D13" s="752" t="inlineStr">
        <is>
          <t>GSF</t>
        </is>
      </c>
      <c r="E13" s="998" t="n"/>
      <c r="F13" s="999">
        <f>IF(D13="$",E13,IF(D13="NRSF",E13*$C$5,E13*$C$4))</f>
        <v/>
      </c>
      <c r="G13" s="755" t="n"/>
    </row>
    <row r="14">
      <c r="A14" s="1009" t="n"/>
      <c r="B14" s="1000" t="n"/>
      <c r="C14" s="673" t="inlineStr">
        <is>
          <t>Clearing and Grading</t>
        </is>
      </c>
      <c r="D14" s="184" t="inlineStr">
        <is>
          <t>$</t>
        </is>
      </c>
      <c r="E14" s="1010" t="n"/>
      <c r="F14" s="1002">
        <f>IF(D14="$",E14,IF(D14="NRSF",E14*$C$5,E14*$C$4))</f>
        <v/>
      </c>
      <c r="G14" s="883" t="n"/>
    </row>
    <row r="15">
      <c r="A15" s="1009" t="n"/>
      <c r="B15" s="1005" t="n"/>
      <c r="C15" s="757" t="inlineStr">
        <is>
          <t>Other Site Work Costs</t>
        </is>
      </c>
      <c r="D15" s="189" t="inlineStr">
        <is>
          <t>$</t>
        </is>
      </c>
      <c r="E15" s="1011" t="n"/>
      <c r="F15" s="1012">
        <f>IF(D15="$",E15,IF(D15="NRSF",E15*$C$5,E15*$C$4))</f>
        <v/>
      </c>
      <c r="G15" s="758" t="n"/>
    </row>
    <row r="16">
      <c r="A16" s="1009" t="n"/>
      <c r="B16" s="677" t="inlineStr">
        <is>
          <t>Off-Site</t>
        </is>
      </c>
      <c r="C16" s="759" t="inlineStr">
        <is>
          <t>Off-Site Roads</t>
        </is>
      </c>
      <c r="D16" s="752" t="inlineStr">
        <is>
          <t>$</t>
        </is>
      </c>
      <c r="E16" s="998" t="n"/>
      <c r="F16" s="999">
        <f>IF(D16="$",E16,IF(D16="NRSF",E16*$C$5,E16*$C$4))</f>
        <v/>
      </c>
      <c r="G16" s="755" t="n"/>
    </row>
    <row r="17">
      <c r="A17" s="1009" t="n"/>
      <c r="B17" s="1005" t="n"/>
      <c r="C17" s="760" t="inlineStr">
        <is>
          <t>Other Off-Site</t>
        </is>
      </c>
      <c r="D17" s="189" t="inlineStr">
        <is>
          <t>$</t>
        </is>
      </c>
      <c r="E17" s="1013" t="n"/>
      <c r="F17" s="1012">
        <f>IF(D17="$",E17,IF(D17="NRSF",E17*$C$5,E17*$C$4))</f>
        <v/>
      </c>
      <c r="G17" s="758" t="n"/>
    </row>
    <row r="18">
      <c r="A18" s="1009" t="n"/>
      <c r="B18" s="856" t="inlineStr">
        <is>
          <t>Landscaping and Irrigation</t>
        </is>
      </c>
      <c r="C18" s="762" t="inlineStr">
        <is>
          <t>Landscaping Construction Contract</t>
        </is>
      </c>
      <c r="D18" s="752" t="inlineStr">
        <is>
          <t>NRSF</t>
        </is>
      </c>
      <c r="E18" s="998" t="n"/>
      <c r="F18" s="999">
        <f>IF(D18="$",E18,IF(D18="NRSF",E18*$C$5,E18*$C$4))</f>
        <v/>
      </c>
      <c r="G18" s="755" t="n"/>
    </row>
    <row r="19">
      <c r="A19" s="1014" t="n"/>
      <c r="B19" s="1014" t="n"/>
      <c r="C19" s="760" t="inlineStr">
        <is>
          <t>Other Landscaping Costs</t>
        </is>
      </c>
      <c r="D19" s="189" t="inlineStr">
        <is>
          <t>NRSF</t>
        </is>
      </c>
      <c r="E19" s="1013" t="n"/>
      <c r="F19" s="1012">
        <f>IF(D19="$",E19,IF(D19="NRSF",E19*$C$5,E19*$C$4))</f>
        <v/>
      </c>
      <c r="G19" s="758" t="n"/>
    </row>
    <row r="20">
      <c r="A20" s="684" t="inlineStr">
        <is>
          <t>Building Shell</t>
        </is>
      </c>
      <c r="B20" s="851" t="inlineStr">
        <is>
          <t>Building Shell</t>
        </is>
      </c>
      <c r="C20" s="192" t="inlineStr">
        <is>
          <t>Shell Construction Contract</t>
        </is>
      </c>
      <c r="D20" s="184" t="inlineStr">
        <is>
          <t>GSF</t>
        </is>
      </c>
      <c r="E20" s="1010" t="n"/>
      <c r="F20" s="1002">
        <f>IF(D20="$",E20,IF(D20="NRSF",E20*$C$5,E20*$C$4))</f>
        <v/>
      </c>
      <c r="G20" s="186" t="n"/>
    </row>
    <row r="21">
      <c r="A21" s="1000" t="n"/>
      <c r="B21" s="1000" t="n"/>
      <c r="C21" s="673" t="inlineStr">
        <is>
          <t>Other Shell Costs</t>
        </is>
      </c>
      <c r="D21" s="184" t="inlineStr">
        <is>
          <t>$</t>
        </is>
      </c>
      <c r="E21" s="1010" t="n"/>
      <c r="F21" s="1002">
        <f>IF(D21="$",E21,IF(D21="NRSF",E21*$C$5,E21*$C$4))</f>
        <v/>
      </c>
      <c r="G21" s="883" t="n"/>
    </row>
    <row r="22">
      <c r="A22" s="1000" t="n"/>
      <c r="B22" s="1000" t="n"/>
      <c r="C22" s="763" t="inlineStr">
        <is>
          <t>Multi-Tenant Corridors</t>
        </is>
      </c>
      <c r="D22" s="187" t="inlineStr">
        <is>
          <t>GSF</t>
        </is>
      </c>
      <c r="E22" s="1003" t="n"/>
      <c r="F22" s="1004">
        <f>IF(D22="$",E22,IF(D22="NRSF",E22*$C$5,E22*$C$4))</f>
        <v/>
      </c>
      <c r="G22" s="882" t="n"/>
    </row>
    <row r="23">
      <c r="A23" s="1000" t="n"/>
      <c r="B23" s="677" t="inlineStr">
        <is>
          <t>Structured Parking</t>
        </is>
      </c>
      <c r="C23" s="756" t="inlineStr">
        <is>
          <t>Structured Parking Cstr. Contract</t>
        </is>
      </c>
      <c r="D23" s="752" t="inlineStr">
        <is>
          <t>$</t>
        </is>
      </c>
      <c r="E23" s="998" t="n"/>
      <c r="F23" s="999">
        <f>IF(D23="$",E23,IF(D23="NRSF",E23*$C$5,E23*$C$4))</f>
        <v/>
      </c>
      <c r="G23" s="755" t="n"/>
    </row>
    <row r="24">
      <c r="A24" s="1005" t="n"/>
      <c r="B24" s="1005" t="n"/>
      <c r="C24" s="757" t="inlineStr">
        <is>
          <t>Other Structured Parking Costs</t>
        </is>
      </c>
      <c r="D24" s="189" t="inlineStr">
        <is>
          <t>$</t>
        </is>
      </c>
      <c r="E24" s="1011" t="n"/>
      <c r="F24" s="1012">
        <f>IF(D24="$",E24,IF(D24="NRSF",E24*$C$5,E24*$C$4))</f>
        <v/>
      </c>
      <c r="G24" s="193" t="n"/>
    </row>
    <row r="25">
      <c r="A25" s="684" t="inlineStr">
        <is>
          <t>Tenant Improvements (Hard &amp; Soft)</t>
        </is>
      </c>
      <c r="B25" s="856" t="inlineStr">
        <is>
          <t>General TI Budget</t>
        </is>
      </c>
      <c r="C25" s="192" t="inlineStr">
        <is>
          <t>Hard Costs</t>
        </is>
      </c>
      <c r="D25" s="194" t="inlineStr">
        <is>
          <t>calculated</t>
        </is>
      </c>
      <c r="E25" s="1015" t="inlineStr">
        <is>
          <t>N/A</t>
        </is>
      </c>
      <c r="F25" s="1002">
        <f>'Economic Assumptions'!$K$22</f>
        <v/>
      </c>
      <c r="G25" s="186" t="n"/>
    </row>
    <row r="26">
      <c r="A26" s="1005" t="n"/>
      <c r="B26" s="1014" t="n"/>
      <c r="C26" s="757" t="inlineStr">
        <is>
          <t>Soft Costs</t>
        </is>
      </c>
      <c r="D26" s="196" t="inlineStr">
        <is>
          <t>calculated</t>
        </is>
      </c>
      <c r="E26" s="1016" t="inlineStr">
        <is>
          <t>N/A</t>
        </is>
      </c>
      <c r="F26" s="1012">
        <f>'Economic Assumptions'!L22</f>
        <v/>
      </c>
      <c r="G26" s="758" t="n"/>
    </row>
    <row r="27">
      <c r="A27" s="684" t="inlineStr">
        <is>
          <t>Arch. &amp; Eng. and Other Consultants</t>
        </is>
      </c>
      <c r="B27" s="677" t="inlineStr">
        <is>
          <t>Architect (Shell)</t>
        </is>
      </c>
      <c r="C27" s="756" t="inlineStr">
        <is>
          <t>Contract (Architect)</t>
        </is>
      </c>
      <c r="D27" s="752" t="inlineStr">
        <is>
          <t>GSF</t>
        </is>
      </c>
      <c r="E27" s="998" t="n"/>
      <c r="F27" s="999">
        <f>IF(D27="$",E27,IF(D27="NRSF",E27*$C$5,E27*$C$4))</f>
        <v/>
      </c>
      <c r="G27" s="755" t="n"/>
    </row>
    <row r="28">
      <c r="A28" s="1000" t="n"/>
      <c r="B28" s="1005" t="n"/>
      <c r="C28" s="757" t="inlineStr">
        <is>
          <t>Reimbursables (Architect)</t>
        </is>
      </c>
      <c r="D28" s="764" t="inlineStr">
        <is>
          <t>GSF</t>
        </is>
      </c>
      <c r="E28" s="1011" t="n"/>
      <c r="F28" s="1017">
        <f>IF(D28="$",E28,IF(D28="NRSF",E28*$C$5,E28*$C$4))</f>
        <v/>
      </c>
      <c r="G28" s="758" t="n"/>
    </row>
    <row r="29">
      <c r="A29" s="1000" t="n"/>
      <c r="B29" s="677" t="inlineStr">
        <is>
          <t>Structural Eng. (Shell)</t>
        </is>
      </c>
      <c r="C29" s="192" t="inlineStr">
        <is>
          <t>Contract (Structural Engineer)</t>
        </is>
      </c>
      <c r="D29" s="184" t="inlineStr">
        <is>
          <t>GSF</t>
        </is>
      </c>
      <c r="E29" s="1010" t="n"/>
      <c r="F29" s="1002">
        <f>IF(D29="$",E29,IF(D29="NRSF",E29*$C$5,E29*$C$4))</f>
        <v/>
      </c>
      <c r="G29" s="186" t="n"/>
    </row>
    <row r="30">
      <c r="A30" s="1000" t="n"/>
      <c r="B30" s="1005" t="n"/>
      <c r="C30" s="757" t="inlineStr">
        <is>
          <t>Reimbursables (Structural Engineer)</t>
        </is>
      </c>
      <c r="D30" s="764" t="inlineStr">
        <is>
          <t>GSF</t>
        </is>
      </c>
      <c r="E30" s="1011" t="n"/>
      <c r="F30" s="1017">
        <f>IF(D30="$",E30,IF(D30="NRSF",E30*$C$5,E30*$C$4))</f>
        <v/>
      </c>
      <c r="G30" s="758" t="n"/>
    </row>
    <row r="31">
      <c r="A31" s="1000" t="n"/>
      <c r="B31" s="677" t="inlineStr">
        <is>
          <t xml:space="preserve">MEP Engineer </t>
        </is>
      </c>
      <c r="C31" s="192" t="inlineStr">
        <is>
          <t>Contract (MEP Engineer)</t>
        </is>
      </c>
      <c r="D31" s="184" t="inlineStr">
        <is>
          <t>GSF</t>
        </is>
      </c>
      <c r="E31" s="1010" t="n"/>
      <c r="F31" s="1002">
        <f>IF(D31="$",E31,IF(D31="NRSF",E31*$C$5,E31*$C$4))</f>
        <v/>
      </c>
      <c r="G31" s="186" t="n"/>
    </row>
    <row r="32">
      <c r="A32" s="1000" t="n"/>
      <c r="B32" s="1005" t="n"/>
      <c r="C32" s="757" t="inlineStr">
        <is>
          <t>Reimbursables (MEP Engineer)</t>
        </is>
      </c>
      <c r="D32" s="764" t="inlineStr">
        <is>
          <t>GSF</t>
        </is>
      </c>
      <c r="E32" s="1011" t="n"/>
      <c r="F32" s="1017">
        <f>IF(D32="$",E32,IF(D32="NRSF",E32*$C$5,E32*$C$4))</f>
        <v/>
      </c>
      <c r="G32" s="758" t="n"/>
    </row>
    <row r="33">
      <c r="A33" s="1000" t="n"/>
      <c r="B33" s="677" t="inlineStr">
        <is>
          <t>Landscape Architect</t>
        </is>
      </c>
      <c r="C33" s="673" t="inlineStr">
        <is>
          <t>Contract (Survey.)</t>
        </is>
      </c>
      <c r="D33" s="184" t="inlineStr">
        <is>
          <t>GSF</t>
        </is>
      </c>
      <c r="E33" s="1010" t="n"/>
      <c r="F33" s="1002">
        <f>IF(D33="$",E33,IF(D33="NRSF",E33*$C$5,E33*$C$4))</f>
        <v/>
      </c>
      <c r="G33" s="186" t="n"/>
    </row>
    <row r="34">
      <c r="A34" s="1000" t="n"/>
      <c r="B34" s="1005" t="n"/>
      <c r="C34" s="757" t="inlineStr">
        <is>
          <t>Reimbursables (Survey.)</t>
        </is>
      </c>
      <c r="D34" s="764" t="inlineStr">
        <is>
          <t>GSF</t>
        </is>
      </c>
      <c r="E34" s="1011" t="n"/>
      <c r="F34" s="1017">
        <f>IF(D34="$",E34,IF(D34="NRSF",E34*$C$5,E34*$C$4))</f>
        <v/>
      </c>
      <c r="G34" s="758" t="n"/>
    </row>
    <row r="35">
      <c r="A35" s="1000" t="n"/>
      <c r="B35" s="677" t="inlineStr">
        <is>
          <t>Specialty Consultants</t>
        </is>
      </c>
      <c r="C35" s="1018" t="inlineStr">
        <is>
          <t>Specialty Consultants</t>
        </is>
      </c>
      <c r="D35" s="184" t="inlineStr">
        <is>
          <t>GSF</t>
        </is>
      </c>
      <c r="E35" s="998" t="n"/>
      <c r="F35" s="1002">
        <f>IF(D35="$",E35,IF(D35="NRSF",E35*$C$5,E35*$C$4))</f>
        <v/>
      </c>
      <c r="G35" s="766" t="n"/>
    </row>
    <row r="36">
      <c r="A36" s="1005" t="n"/>
      <c r="B36" s="1005" t="n"/>
      <c r="C36" s="1019" t="inlineStr">
        <is>
          <t>Specialty Consultants</t>
        </is>
      </c>
      <c r="D36" s="764" t="inlineStr">
        <is>
          <t>GSF</t>
        </is>
      </c>
      <c r="E36" s="1011" t="n"/>
      <c r="F36" s="1017">
        <f>IF(D36="$",E36,IF(D36="NRSF",E36*$C$5,E36*$C$4))</f>
        <v/>
      </c>
      <c r="G36" s="193" t="n"/>
    </row>
    <row r="37">
      <c r="A37" s="684" t="inlineStr">
        <is>
          <t>Legal, Marketing, Insurance &amp; Taxes</t>
        </is>
      </c>
      <c r="B37" s="851" t="inlineStr">
        <is>
          <t>Legal</t>
        </is>
      </c>
      <c r="C37" s="756" t="inlineStr">
        <is>
          <t>Financing</t>
        </is>
      </c>
      <c r="D37" s="752" t="inlineStr">
        <is>
          <t>$</t>
        </is>
      </c>
      <c r="E37" s="998" t="n"/>
      <c r="F37" s="999">
        <f>IF(D37="$",E37,IF(D37="NRSF",E37*$C$5,E37*$C$4))</f>
        <v/>
      </c>
      <c r="G37" s="768" t="n"/>
    </row>
    <row r="38">
      <c r="A38" s="1000" t="n"/>
      <c r="B38" s="1000" t="n"/>
      <c r="C38" s="673" t="inlineStr">
        <is>
          <t>Construction Contract Negotiation</t>
        </is>
      </c>
      <c r="D38" s="184" t="inlineStr">
        <is>
          <t>$</t>
        </is>
      </c>
      <c r="E38" s="1010" t="n"/>
      <c r="F38" s="1002">
        <f>IF(D38="$",E38,IF(D38="NRSF",E38*$C$5,E38*$C$4))</f>
        <v/>
      </c>
      <c r="G38" s="769" t="n"/>
    </row>
    <row r="39">
      <c r="A39" s="1000" t="n"/>
      <c r="B39" s="1000" t="n"/>
      <c r="C39" s="673" t="inlineStr">
        <is>
          <t>Lease</t>
        </is>
      </c>
      <c r="D39" s="184" t="inlineStr">
        <is>
          <t>$</t>
        </is>
      </c>
      <c r="E39" s="1010" t="n"/>
      <c r="F39" s="1002">
        <f>IF(D39="$",E39,IF(D39="NRSF",E39*$C$5,E39*$C$4))</f>
        <v/>
      </c>
      <c r="G39" s="883" t="n"/>
    </row>
    <row r="40">
      <c r="A40" s="1000" t="n"/>
      <c r="B40" s="1000" t="n"/>
      <c r="C40" s="763" t="inlineStr">
        <is>
          <t>Other Legal</t>
        </is>
      </c>
      <c r="D40" s="187" t="inlineStr">
        <is>
          <t>$</t>
        </is>
      </c>
      <c r="E40" s="1003" t="n"/>
      <c r="F40" s="1004">
        <f>IF(D40="$",E40,IF(D40="NRSF",E40*$C$5,E40*$C$4))</f>
        <v/>
      </c>
      <c r="G40" s="770" t="n"/>
    </row>
    <row r="41">
      <c r="A41" s="1000" t="n"/>
      <c r="B41" s="677" t="inlineStr">
        <is>
          <t>Marketing</t>
        </is>
      </c>
      <c r="C41" s="756" t="inlineStr">
        <is>
          <t>Space Planning (prospects)</t>
        </is>
      </c>
      <c r="D41" s="752" t="inlineStr">
        <is>
          <t>NRSF</t>
        </is>
      </c>
      <c r="E41" s="998" t="n"/>
      <c r="F41" s="999">
        <f>IF(D41="$",E41,IF(D41="NRSF",E41*$C$5,E41*$C$4))</f>
        <v/>
      </c>
      <c r="G41" s="755" t="n"/>
    </row>
    <row r="42">
      <c r="A42" s="1000" t="n"/>
      <c r="B42" s="1005" t="n"/>
      <c r="C42" s="760" t="inlineStr">
        <is>
          <t>Marketing and Leasing Program</t>
        </is>
      </c>
      <c r="D42" s="189" t="inlineStr">
        <is>
          <t>$</t>
        </is>
      </c>
      <c r="E42" s="1011" t="n"/>
      <c r="F42" s="1012">
        <f>IF(D42="$",E42,IF(D42="NRSF",E42*$C$5,E42*$C$4))</f>
        <v/>
      </c>
      <c r="G42" s="758" t="n"/>
    </row>
    <row r="43">
      <c r="A43" s="1000" t="n"/>
      <c r="B43" s="677" t="inlineStr">
        <is>
          <t>Insurance</t>
        </is>
      </c>
      <c r="C43" s="756" t="inlineStr">
        <is>
          <t>Title Insurance</t>
        </is>
      </c>
      <c r="D43" s="752" t="inlineStr">
        <is>
          <t>$</t>
        </is>
      </c>
      <c r="E43" s="998" t="n"/>
      <c r="F43" s="999">
        <f>IF(D43="$",E43,IF(D43="NRSF",E43*$C$5,E43*$C$4))</f>
        <v/>
      </c>
      <c r="G43" s="755" t="n"/>
    </row>
    <row r="44">
      <c r="A44" s="1000" t="n"/>
      <c r="B44" s="1005" t="n"/>
      <c r="C44" s="757" t="inlineStr">
        <is>
          <t>Owner's Risk Policy</t>
        </is>
      </c>
      <c r="D44" s="189" t="inlineStr">
        <is>
          <t>$</t>
        </is>
      </c>
      <c r="E44" s="1011" t="n"/>
      <c r="F44" s="1012">
        <f>IF(D44="$",E44,IF(D44="NRSF",E44*$C$5,E44*$C$4))</f>
        <v/>
      </c>
      <c r="G44" s="193" t="n"/>
    </row>
    <row r="45">
      <c r="A45" s="1005" t="n"/>
      <c r="B45" s="856" t="inlineStr">
        <is>
          <t>Taxes</t>
        </is>
      </c>
      <c r="C45" s="757" t="inlineStr">
        <is>
          <t>R.E. Taxes during Construction</t>
        </is>
      </c>
      <c r="D45" s="189" t="inlineStr">
        <is>
          <t>$</t>
        </is>
      </c>
      <c r="E45" s="1011" t="n"/>
      <c r="F45" s="1012">
        <f>IF(D45="$",E45,IF(D45="NRSF",E45*$C$5,E45*$C$4))</f>
        <v/>
      </c>
      <c r="G45" s="193" t="n"/>
    </row>
    <row r="46">
      <c r="A46" s="684" t="inlineStr">
        <is>
          <t>Permits, Testing / Insp., Fees, Bonds</t>
        </is>
      </c>
      <c r="B46" s="852" t="inlineStr">
        <is>
          <t>Permits</t>
        </is>
      </c>
      <c r="C46" s="192" t="inlineStr">
        <is>
          <t>Land Development</t>
        </is>
      </c>
      <c r="D46" s="184" t="inlineStr">
        <is>
          <t>$</t>
        </is>
      </c>
      <c r="E46" s="1010" t="n"/>
      <c r="F46" s="1002">
        <f>IF(D46="$",E46,IF(D46="NRSF",E46*$C$5,E46*$C$4))</f>
        <v/>
      </c>
      <c r="G46" s="186" t="n"/>
    </row>
    <row r="47">
      <c r="A47" s="1000" t="n"/>
      <c r="B47" s="1009" t="n"/>
      <c r="C47" s="763" t="inlineStr">
        <is>
          <t>Site Construction</t>
        </is>
      </c>
      <c r="D47" s="184" t="inlineStr">
        <is>
          <t>$</t>
        </is>
      </c>
      <c r="E47" s="1001" t="n"/>
      <c r="F47" s="1002">
        <f>IF(D47="$",E47,IF(D47="NRSF",E47*$C$5,E47*$C$4))</f>
        <v/>
      </c>
      <c r="G47" s="883" t="n"/>
    </row>
    <row r="48">
      <c r="A48" s="1000" t="n"/>
      <c r="B48" s="1009" t="n"/>
      <c r="C48" s="763" t="inlineStr">
        <is>
          <t>Shell Construction</t>
        </is>
      </c>
      <c r="D48" s="187" t="inlineStr">
        <is>
          <t>GSF</t>
        </is>
      </c>
      <c r="E48" s="1003">
        <f>250*8/1000</f>
        <v/>
      </c>
      <c r="F48" s="1004">
        <f>IF(D48="$",E48,IF(D48="NRSF",E48*$C$5,E48*$C$4))</f>
        <v/>
      </c>
      <c r="G48" s="882" t="n"/>
    </row>
    <row r="49">
      <c r="A49" s="1000" t="n"/>
      <c r="B49" s="677" t="inlineStr">
        <is>
          <t>Testing/Inspection</t>
        </is>
      </c>
      <c r="C49" s="756" t="inlineStr">
        <is>
          <t>Geotechnical</t>
        </is>
      </c>
      <c r="D49" s="752" t="inlineStr">
        <is>
          <t>$</t>
        </is>
      </c>
      <c r="E49" s="998" t="n"/>
      <c r="F49" s="999">
        <f>IF(D49="$",E49,IF(D49="NRSF",E49*$C$5,E49*$C$4))</f>
        <v/>
      </c>
      <c r="G49" s="755" t="n"/>
    </row>
    <row r="50">
      <c r="A50" s="1000" t="n"/>
      <c r="B50" s="1005" t="n"/>
      <c r="C50" s="760" t="inlineStr">
        <is>
          <t>Materials Testing</t>
        </is>
      </c>
      <c r="D50" s="189" t="inlineStr">
        <is>
          <t>$</t>
        </is>
      </c>
      <c r="E50" s="1011" t="n"/>
      <c r="F50" s="1012">
        <f>IF(D50="$",E50,IF(D50="NRSF",E50*$C$5,E50*$C$4))</f>
        <v/>
      </c>
      <c r="G50" s="758" t="n"/>
    </row>
    <row r="51">
      <c r="A51" s="1000" t="n"/>
      <c r="B51" s="677" t="inlineStr">
        <is>
          <t>Fees</t>
        </is>
      </c>
      <c r="C51" s="756" t="inlineStr">
        <is>
          <t>Construction Audit</t>
        </is>
      </c>
      <c r="D51" s="752" t="inlineStr">
        <is>
          <t>$</t>
        </is>
      </c>
      <c r="E51" s="998" t="n"/>
      <c r="F51" s="999">
        <f>IF(D51="$",E51,IF(D51="NRSF",E51*$C$5,E51*$C$4))</f>
        <v/>
      </c>
      <c r="G51" s="755" t="n"/>
    </row>
    <row r="52">
      <c r="A52" s="1000" t="n"/>
      <c r="B52" s="1005" t="n"/>
      <c r="C52" s="757" t="inlineStr">
        <is>
          <t>Impact Fees</t>
        </is>
      </c>
      <c r="D52" s="189" t="inlineStr">
        <is>
          <t>GSF</t>
        </is>
      </c>
      <c r="E52" s="1011" t="n"/>
      <c r="F52" s="1012">
        <f>IF(D52="$",E52,IF(D52="NRSF",E52*$C$5,E52*$C$4))</f>
        <v/>
      </c>
      <c r="G52" s="758" t="n"/>
    </row>
    <row r="53">
      <c r="A53" s="1000" t="n"/>
      <c r="B53" s="677" t="inlineStr">
        <is>
          <t>Bonds</t>
        </is>
      </c>
      <c r="C53" s="756" t="inlineStr">
        <is>
          <t>Site Development Bonds</t>
        </is>
      </c>
      <c r="D53" s="752" t="inlineStr">
        <is>
          <t>$</t>
        </is>
      </c>
      <c r="E53" s="998" t="n"/>
      <c r="F53" s="999">
        <f>IF(D53="$",E53,IF(D53="NRSF",E53*$C$5,E53*$C$4))</f>
        <v/>
      </c>
      <c r="G53" s="755" t="n"/>
    </row>
    <row r="54">
      <c r="A54" s="1005" t="n"/>
      <c r="B54" s="1005" t="n"/>
      <c r="C54" s="757" t="inlineStr">
        <is>
          <t>Other Bonds</t>
        </is>
      </c>
      <c r="D54" s="189" t="inlineStr">
        <is>
          <t>$</t>
        </is>
      </c>
      <c r="E54" s="1011" t="n"/>
      <c r="F54" s="1012">
        <f>IF(D54="$",E54,IF(D54="NRSF",E54*$C$5,E54*$C$4))</f>
        <v/>
      </c>
      <c r="G54" s="758" t="n"/>
    </row>
    <row r="55">
      <c r="A55" s="684" t="inlineStr">
        <is>
          <t>Leasing Commissions</t>
        </is>
      </c>
      <c r="B55" s="856" t="inlineStr">
        <is>
          <t>Leasing Commissions</t>
        </is>
      </c>
      <c r="C55" s="192" t="inlineStr">
        <is>
          <t>Third Party Commissions</t>
        </is>
      </c>
      <c r="D55" s="194" t="inlineStr">
        <is>
          <t>calculated</t>
        </is>
      </c>
      <c r="E55" s="1020" t="n">
        <v>0</v>
      </c>
      <c r="F55" s="1002">
        <f>'Economic Assumptions'!$I$22</f>
        <v/>
      </c>
      <c r="G55" s="186" t="n"/>
    </row>
    <row r="56">
      <c r="A56" s="1005" t="n"/>
      <c r="B56" s="1014" t="n"/>
      <c r="C56" s="757" t="inlineStr">
        <is>
          <t>In-House Commissions</t>
        </is>
      </c>
      <c r="D56" s="771" t="inlineStr">
        <is>
          <t>calculated</t>
        </is>
      </c>
      <c r="E56" s="1021" t="inlineStr">
        <is>
          <t>N/A</t>
        </is>
      </c>
      <c r="F56" s="1022">
        <f>'Economic Assumptions'!$J$22</f>
        <v/>
      </c>
      <c r="G56" s="758" t="n"/>
    </row>
    <row r="57">
      <c r="A57" s="684" t="inlineStr">
        <is>
          <t>Development Fee</t>
        </is>
      </c>
      <c r="B57" s="677" t="inlineStr">
        <is>
          <t>Development Fee</t>
        </is>
      </c>
      <c r="C57" s="678" t="inlineStr">
        <is>
          <t>Base Fee (TCC)</t>
        </is>
      </c>
      <c r="D57" s="685" t="inlineStr">
        <is>
          <t>calculated</t>
        </is>
      </c>
      <c r="E57" s="1023" t="inlineStr">
        <is>
          <t>N/A</t>
        </is>
      </c>
      <c r="F57" s="1007">
        <f>'Project Assumptions'!K21</f>
        <v/>
      </c>
      <c r="G57" s="687" t="n"/>
    </row>
    <row r="58">
      <c r="A58" s="684" t="inlineStr">
        <is>
          <t>Finance Fees</t>
        </is>
      </c>
      <c r="B58" s="851" t="inlineStr">
        <is>
          <t>Finance Fees</t>
        </is>
      </c>
      <c r="C58" s="756" t="inlineStr">
        <is>
          <t>Bank Appraisal</t>
        </is>
      </c>
      <c r="D58" s="752" t="inlineStr">
        <is>
          <t>$</t>
        </is>
      </c>
      <c r="E58" s="998" t="n"/>
      <c r="F58" s="999">
        <f>IF(D58="$",E58,IF(D58="NRSF",E58*$C$5,E58*$C$4))</f>
        <v/>
      </c>
      <c r="G58" s="766" t="n"/>
    </row>
    <row r="59">
      <c r="A59" s="1000" t="n"/>
      <c r="B59" s="1000" t="n"/>
      <c r="C59" s="673" t="inlineStr">
        <is>
          <t>Bank Inspection Fees</t>
        </is>
      </c>
      <c r="D59" s="184" t="inlineStr">
        <is>
          <t>$</t>
        </is>
      </c>
      <c r="E59" s="1010" t="n"/>
      <c r="F59" s="1002">
        <f>IF(D59="$",E59,IF(D59="NRSF",E59*$C$5,E59*$C$4))</f>
        <v/>
      </c>
      <c r="G59" s="883" t="n"/>
    </row>
    <row r="60">
      <c r="A60" s="1005" t="n"/>
      <c r="B60" s="1000" t="n"/>
      <c r="C60" s="763" t="inlineStr">
        <is>
          <t>Financing Fees</t>
        </is>
      </c>
      <c r="D60" s="187" t="inlineStr">
        <is>
          <t>$</t>
        </is>
      </c>
      <c r="E60" s="1024">
        <f>'Project Assumptions'!D33*'Detailed Project Costs'!G60</f>
        <v/>
      </c>
      <c r="F60" s="1004">
        <f>IF(D60="$",E60,IF(D60="NRSF",E60*$C$5,E60*$C$4))</f>
        <v/>
      </c>
      <c r="G60" s="774" t="n"/>
    </row>
    <row r="61">
      <c r="A61" s="1025" t="inlineStr">
        <is>
          <t>Interest / Loss to Breakeven</t>
        </is>
      </c>
      <c r="B61" s="677" t="inlineStr">
        <is>
          <t>Interest prior to CO</t>
        </is>
      </c>
      <c r="C61" s="759" t="inlineStr">
        <is>
          <t>Interest - prior to Construction Start</t>
        </is>
      </c>
      <c r="D61" s="775" t="inlineStr">
        <is>
          <t>calculated</t>
        </is>
      </c>
      <c r="E61" s="1026" t="inlineStr">
        <is>
          <t>N/A</t>
        </is>
      </c>
      <c r="F61" s="999">
        <f>IF(ISERROR(-'Detailed Cashflows'!D109),0,-'Detailed Cashflows'!D109)</f>
        <v/>
      </c>
      <c r="G61" s="689" t="n"/>
    </row>
    <row r="62">
      <c r="A62" s="1009" t="n"/>
      <c r="B62" s="1005" t="n"/>
      <c r="C62" s="757" t="inlineStr">
        <is>
          <t>Interest - Construction Start to CO</t>
        </is>
      </c>
      <c r="D62" s="196" t="inlineStr">
        <is>
          <t>calculated</t>
        </is>
      </c>
      <c r="E62" s="1027" t="inlineStr">
        <is>
          <t>N/A</t>
        </is>
      </c>
      <c r="F62" s="1012">
        <f>IF(ISERROR(-'Detailed Cashflows'!D110),0,-'Detailed Cashflows'!D110)</f>
        <v/>
      </c>
      <c r="G62" s="758" t="n"/>
    </row>
    <row r="63">
      <c r="A63" s="1009" t="n"/>
      <c r="B63" s="851" t="inlineStr">
        <is>
          <t>Loss to Break Even</t>
        </is>
      </c>
      <c r="C63" s="756" t="inlineStr">
        <is>
          <t>Interest - after CO</t>
        </is>
      </c>
      <c r="D63" s="775" t="inlineStr">
        <is>
          <t>calculated</t>
        </is>
      </c>
      <c r="E63" s="1028" t="inlineStr">
        <is>
          <t>N/A</t>
        </is>
      </c>
      <c r="F63" s="999">
        <f>IF(ISERROR(-'Detailed Cashflows'!D157),0,-'Detailed Cashflows'!D157)</f>
        <v/>
      </c>
      <c r="G63" s="755" t="n"/>
    </row>
    <row r="64">
      <c r="A64" s="1009" t="n"/>
      <c r="B64" s="1000" t="n"/>
      <c r="C64" s="192" t="inlineStr">
        <is>
          <t>Net Rental Income / Residential NOI</t>
        </is>
      </c>
      <c r="D64" s="194" t="inlineStr">
        <is>
          <t>calculated</t>
        </is>
      </c>
      <c r="E64" s="1020" t="inlineStr">
        <is>
          <t>N/A</t>
        </is>
      </c>
      <c r="F64" s="1002">
        <f>IF(ISERROR(-'Detailed Cashflows'!D158),0,-'Detailed Cashflows'!D158)</f>
        <v/>
      </c>
      <c r="G64" s="186" t="n"/>
    </row>
    <row r="65">
      <c r="A65" s="1009" t="n"/>
      <c r="B65" s="1000" t="n"/>
      <c r="C65" s="192" t="inlineStr">
        <is>
          <t>Other Income</t>
        </is>
      </c>
      <c r="D65" s="194" t="inlineStr">
        <is>
          <t>calculated</t>
        </is>
      </c>
      <c r="E65" s="1020" t="inlineStr">
        <is>
          <t>N/A</t>
        </is>
      </c>
      <c r="F65" s="1002">
        <f>IF(ISERROR(-'Detailed Cashflows'!D159),0,-'Detailed Cashflows'!D159)</f>
        <v/>
      </c>
      <c r="G65" s="186" t="n"/>
    </row>
    <row r="66">
      <c r="A66" s="1009" t="n"/>
      <c r="B66" s="1000" t="n"/>
      <c r="C66" s="192" t="inlineStr">
        <is>
          <t>Operating Expenses &amp; Ground Lease</t>
        </is>
      </c>
      <c r="D66" s="194" t="inlineStr">
        <is>
          <t>calculated</t>
        </is>
      </c>
      <c r="E66" s="1020" t="inlineStr">
        <is>
          <t>N/A</t>
        </is>
      </c>
      <c r="F66" s="1002">
        <f>IF(ISERROR(-'Detailed Cashflows'!D160),0,-'Detailed Cashflows'!D160)</f>
        <v/>
      </c>
      <c r="G66" s="186" t="n"/>
    </row>
    <row r="67">
      <c r="A67" s="684" t="inlineStr">
        <is>
          <t>Contingency</t>
        </is>
      </c>
      <c r="B67" s="677" t="inlineStr">
        <is>
          <t>Contingency</t>
        </is>
      </c>
      <c r="C67" s="756" t="inlineStr">
        <is>
          <t>Contingency - Hard Costs</t>
        </is>
      </c>
      <c r="D67" s="752" t="inlineStr">
        <is>
          <t>$</t>
        </is>
      </c>
      <c r="E67" s="1029">
        <f>ROUND(SUM(F83,F84,F86)*G67,2)</f>
        <v/>
      </c>
      <c r="F67" s="999">
        <f>IF(D67="$",E67,IF(D67="NRSF",E67*$C$5,E67*$C$4))</f>
        <v/>
      </c>
      <c r="G67" s="779" t="n"/>
      <c r="H67" s="553" t="n"/>
    </row>
    <row r="68">
      <c r="A68" s="1005" t="n"/>
      <c r="B68" s="1005" t="n"/>
      <c r="C68" s="757" t="inlineStr">
        <is>
          <t>Contingency - Soft Costs</t>
        </is>
      </c>
      <c r="D68" s="189" t="inlineStr">
        <is>
          <t>$</t>
        </is>
      </c>
      <c r="E68" s="1030">
        <f>ROUND(SUM(F91:F94,F99:F100)*G68,2)</f>
        <v/>
      </c>
      <c r="F68" s="1012">
        <f>IF(D68="$",E68,IF(D68="NRSF",E68*$C$5,E68*$C$4))</f>
        <v/>
      </c>
      <c r="G68" s="781" t="n"/>
    </row>
    <row r="69">
      <c r="A69" s="684" t="inlineStr">
        <is>
          <t>Furniture and Equipment</t>
        </is>
      </c>
      <c r="B69" s="851" t="inlineStr">
        <is>
          <t>Furniture</t>
        </is>
      </c>
      <c r="C69" s="759" t="inlineStr">
        <is>
          <t>Furniture Base Contract</t>
        </is>
      </c>
      <c r="D69" s="690" t="inlineStr">
        <is>
          <t>$</t>
        </is>
      </c>
      <c r="E69" s="1031" t="n"/>
      <c r="F69" s="1032">
        <f>IF(D69="$",E69,IF(D69="NRSF",E69*$C$5,E69*$C$4))</f>
        <v/>
      </c>
      <c r="G69" s="689" t="n"/>
    </row>
    <row r="70">
      <c r="A70" s="1000" t="n"/>
      <c r="B70" s="677" t="inlineStr">
        <is>
          <t>Equipment</t>
        </is>
      </c>
      <c r="C70" s="762" t="inlineStr">
        <is>
          <t>Security System Equipment</t>
        </is>
      </c>
      <c r="D70" s="752" t="inlineStr">
        <is>
          <t>$</t>
        </is>
      </c>
      <c r="E70" s="998" t="n"/>
      <c r="F70" s="999">
        <f>IF(D70="$",E70,IF(D70="NRSF",E70*$C$5,E70*$C$4))</f>
        <v/>
      </c>
      <c r="G70" s="755" t="n"/>
    </row>
    <row r="71">
      <c r="A71" s="1000" t="n"/>
      <c r="B71" s="1005" t="n"/>
      <c r="C71" s="760" t="inlineStr">
        <is>
          <t>General FF&amp;E</t>
        </is>
      </c>
      <c r="D71" s="189" t="inlineStr">
        <is>
          <t>$</t>
        </is>
      </c>
      <c r="E71" s="1013" t="n"/>
      <c r="F71" s="1012">
        <f>IF(D71="$",E71,IF(D71="NRSF",E71*$C$5,E71*$C$4))</f>
        <v/>
      </c>
      <c r="G71" s="758" t="n"/>
    </row>
    <row r="72">
      <c r="A72" s="1000" t="n"/>
      <c r="B72" s="677" t="inlineStr">
        <is>
          <t>Other Furniture and Equipment</t>
        </is>
      </c>
      <c r="C72" s="762" t="inlineStr">
        <is>
          <t>Signage</t>
        </is>
      </c>
      <c r="D72" s="752" t="inlineStr">
        <is>
          <t>$</t>
        </is>
      </c>
      <c r="E72" s="998" t="n"/>
      <c r="F72" s="999">
        <f>IF(D72="$",E72,IF(D72="NRSF",E72*$C$5,E72*$C$4))</f>
        <v/>
      </c>
      <c r="G72" s="755" t="n"/>
    </row>
    <row r="73">
      <c r="A73" s="1005" t="n"/>
      <c r="B73" s="1005" t="n"/>
      <c r="C73" s="760" t="inlineStr">
        <is>
          <t>Artwork</t>
        </is>
      </c>
      <c r="D73" s="189" t="inlineStr">
        <is>
          <t>$</t>
        </is>
      </c>
      <c r="E73" s="1013" t="n"/>
      <c r="F73" s="1012">
        <f>IF(D73="$",E73,IF(D73="NRSF",E73*$C$5,E73*$C$4))</f>
        <v/>
      </c>
      <c r="G73" s="758" t="n"/>
    </row>
    <row r="74">
      <c r="A74" s="200" t="inlineStr">
        <is>
          <t>Total Project Costs (excluding equity return)</t>
        </is>
      </c>
      <c r="B74" s="201" t="n"/>
      <c r="C74" s="202" t="n"/>
      <c r="D74" s="203" t="inlineStr">
        <is>
          <t>NRSF</t>
        </is>
      </c>
      <c r="E74" s="1033">
        <f>F74/$C$5</f>
        <v/>
      </c>
      <c r="F74" s="1034">
        <f>SUM(F9:F73)</f>
        <v/>
      </c>
      <c r="G74" s="206" t="n"/>
    </row>
    <row r="75">
      <c r="A75" s="207" t="n"/>
      <c r="B75" s="207" t="n"/>
      <c r="C75" s="207" t="n"/>
      <c r="D75" s="207" t="n"/>
      <c r="E75" s="207" t="n"/>
      <c r="F75" s="1035" t="n"/>
      <c r="G75" s="1035" t="n"/>
    </row>
    <row r="76" ht="14.1" customHeight="1" thickBot="1">
      <c r="A76" s="209" t="n"/>
      <c r="B76" s="209" t="n"/>
      <c r="C76" s="209" t="n"/>
      <c r="D76" s="209" t="n"/>
      <c r="E76" s="209" t="n"/>
      <c r="F76" s="209" t="n"/>
      <c r="G76" s="209" t="n"/>
    </row>
    <row r="77" ht="14.1" customHeight="1">
      <c r="A77" s="1217" t="inlineStr">
        <is>
          <t>Total Project Costs - Summary</t>
        </is>
      </c>
      <c r="B77" s="925" t="n"/>
      <c r="C77" s="925" t="n"/>
      <c r="D77" s="925" t="n"/>
      <c r="E77" s="925" t="n"/>
      <c r="F77" s="926" t="n"/>
      <c r="G77" s="209" t="n"/>
    </row>
    <row r="78">
      <c r="A78" s="210" t="n"/>
      <c r="B78" s="211" t="n"/>
      <c r="C78" s="211" t="n"/>
      <c r="D78" s="211" t="n"/>
      <c r="E78" s="212" t="inlineStr">
        <is>
          <t>per NRSF</t>
        </is>
      </c>
      <c r="F78" s="213" t="inlineStr">
        <is>
          <t>Total Amount</t>
        </is>
      </c>
      <c r="G78" s="209" t="n"/>
    </row>
    <row r="79">
      <c r="A79" s="210" t="n"/>
      <c r="B79" s="211" t="n"/>
      <c r="C79" s="211" t="n"/>
      <c r="D79" s="211" t="n"/>
      <c r="E79" s="214" t="n"/>
      <c r="F79" s="215" t="n"/>
      <c r="G79" s="209" t="n"/>
    </row>
    <row r="80">
      <c r="A80" s="216" t="inlineStr">
        <is>
          <t>Land or Building Purchase</t>
        </is>
      </c>
      <c r="B80" s="217" t="n"/>
      <c r="C80" s="217" t="n"/>
      <c r="D80" s="217" t="n"/>
      <c r="E80" s="1036">
        <f>F80/$C$5</f>
        <v/>
      </c>
      <c r="F80" s="1037">
        <f>SUM(F9:F12)</f>
        <v/>
      </c>
      <c r="G80" s="209" t="n"/>
    </row>
    <row r="81">
      <c r="A81" s="220" t="n"/>
      <c r="B81" s="180" t="n"/>
      <c r="C81" s="180" t="n"/>
      <c r="D81" s="180" t="n"/>
      <c r="E81" s="1038" t="n"/>
      <c r="F81" s="1039" t="n"/>
      <c r="G81" s="209" t="n"/>
    </row>
    <row r="82">
      <c r="A82" s="220" t="inlineStr">
        <is>
          <t>Hard Costs</t>
        </is>
      </c>
      <c r="B82" s="180" t="n"/>
      <c r="C82" s="180" t="n"/>
      <c r="D82" s="180" t="n"/>
      <c r="E82" s="179" t="n"/>
      <c r="F82" s="223" t="n"/>
      <c r="G82" s="209" t="n"/>
    </row>
    <row r="83">
      <c r="A83" s="224" t="inlineStr">
        <is>
          <t>Land Development and Sitework</t>
        </is>
      </c>
      <c r="B83" s="180" t="n"/>
      <c r="C83" s="180" t="n"/>
      <c r="D83" s="180" t="n"/>
      <c r="E83" s="1038">
        <f>F83/$C$5</f>
        <v/>
      </c>
      <c r="F83" s="1040">
        <f>SUM(F13:F19)</f>
        <v/>
      </c>
      <c r="G83" s="209" t="n"/>
    </row>
    <row r="84">
      <c r="A84" s="224" t="inlineStr">
        <is>
          <t>Building Shell</t>
        </is>
      </c>
      <c r="B84" s="180" t="n"/>
      <c r="C84" s="180" t="n"/>
      <c r="D84" s="180" t="n"/>
      <c r="E84" s="1038">
        <f>F84/$C$5</f>
        <v/>
      </c>
      <c r="F84" s="1040">
        <f>SUM(F20:F24)</f>
        <v/>
      </c>
      <c r="G84" s="209" t="n"/>
    </row>
    <row r="85">
      <c r="A85" s="224" t="inlineStr">
        <is>
          <t>Tenant Improvements</t>
        </is>
      </c>
      <c r="B85" s="180" t="n"/>
      <c r="C85" s="180" t="n"/>
      <c r="D85" s="180" t="n"/>
      <c r="E85" s="1038">
        <f>F85/$C$5</f>
        <v/>
      </c>
      <c r="F85" s="1040">
        <f>SUM(F25)</f>
        <v/>
      </c>
      <c r="G85" s="209" t="n"/>
    </row>
    <row r="86">
      <c r="A86" s="224" t="inlineStr">
        <is>
          <t>Furniture and Equipment</t>
        </is>
      </c>
      <c r="B86" s="180" t="n"/>
      <c r="C86" s="180" t="n"/>
      <c r="D86" s="180" t="n"/>
      <c r="E86" s="1041">
        <f>F86/$C$5</f>
        <v/>
      </c>
      <c r="F86" s="1042">
        <f>SUM(F69:F73)</f>
        <v/>
      </c>
      <c r="G86" s="209" t="n"/>
    </row>
    <row r="87">
      <c r="A87" s="227" t="inlineStr">
        <is>
          <t>Hard Costs Total</t>
        </is>
      </c>
      <c r="B87" s="217" t="n"/>
      <c r="C87" s="217" t="n"/>
      <c r="D87" s="217" t="n"/>
      <c r="E87" s="1043">
        <f>F87/$C$5</f>
        <v/>
      </c>
      <c r="F87" s="1044">
        <f>SUM(F83:F86)</f>
        <v/>
      </c>
      <c r="G87" s="209" t="n"/>
    </row>
    <row r="88">
      <c r="A88" s="230" t="n"/>
      <c r="B88" s="180" t="n"/>
      <c r="C88" s="180" t="n"/>
      <c r="D88" s="180" t="n"/>
      <c r="E88" s="1038" t="n"/>
      <c r="F88" s="1045" t="n"/>
      <c r="G88" s="209" t="n"/>
    </row>
    <row r="89">
      <c r="A89" s="220" t="inlineStr">
        <is>
          <t>Soft Costs</t>
        </is>
      </c>
      <c r="B89" s="180" t="n"/>
      <c r="C89" s="180" t="n"/>
      <c r="D89" s="180" t="n"/>
      <c r="E89" s="1038" t="n"/>
      <c r="F89" s="223" t="n"/>
      <c r="G89" s="209" t="n"/>
    </row>
    <row r="90">
      <c r="A90" s="224" t="inlineStr">
        <is>
          <t>Tenant Improvements</t>
        </is>
      </c>
      <c r="B90" s="180" t="n"/>
      <c r="C90" s="180" t="n"/>
      <c r="D90" s="180" t="n"/>
      <c r="E90" s="1038">
        <f>F90/$C$5</f>
        <v/>
      </c>
      <c r="F90" s="1040">
        <f>SUM(F26)</f>
        <v/>
      </c>
      <c r="G90" s="209" t="n"/>
    </row>
    <row r="91">
      <c r="A91" s="224" t="inlineStr">
        <is>
          <t>Arch. &amp; Eng. and Other Consultants</t>
        </is>
      </c>
      <c r="B91" s="180" t="n"/>
      <c r="C91" s="180" t="n"/>
      <c r="D91" s="180" t="n"/>
      <c r="E91" s="1038">
        <f>F91/$C$5</f>
        <v/>
      </c>
      <c r="F91" s="1040">
        <f>SUM(F27:F36)</f>
        <v/>
      </c>
      <c r="G91" s="209" t="n"/>
    </row>
    <row r="92">
      <c r="A92" s="224" t="inlineStr">
        <is>
          <t>Legal/Marketing/Insurance/Taxes</t>
        </is>
      </c>
      <c r="B92" s="180" t="n"/>
      <c r="C92" s="180" t="n"/>
      <c r="D92" s="180" t="n"/>
      <c r="E92" s="1038">
        <f>F92/$C$5</f>
        <v/>
      </c>
      <c r="F92" s="1040">
        <f>SUM(F37:F45)</f>
        <v/>
      </c>
      <c r="G92" s="209" t="n"/>
    </row>
    <row r="93">
      <c r="A93" s="224" t="inlineStr">
        <is>
          <t>Permits, Testing/Insp., Bonds, Fees</t>
        </is>
      </c>
      <c r="B93" s="180" t="n"/>
      <c r="C93" s="180" t="n"/>
      <c r="D93" s="180" t="n"/>
      <c r="E93" s="1038">
        <f>F93/$C$5</f>
        <v/>
      </c>
      <c r="F93" s="1040">
        <f>SUM(F46:F54)</f>
        <v/>
      </c>
      <c r="G93" s="209" t="n"/>
    </row>
    <row r="94">
      <c r="A94" s="224" t="inlineStr">
        <is>
          <t>Leasing Commissions</t>
        </is>
      </c>
      <c r="B94" s="180" t="n"/>
      <c r="C94" s="180" t="n"/>
      <c r="D94" s="180" t="n"/>
      <c r="E94" s="1038">
        <f>F94/$C$5</f>
        <v/>
      </c>
      <c r="F94" s="1040">
        <f>SUM(F55:F56)</f>
        <v/>
      </c>
      <c r="G94" s="209" t="n"/>
    </row>
    <row r="95">
      <c r="A95" s="224" t="inlineStr">
        <is>
          <t>Development Fee</t>
        </is>
      </c>
      <c r="B95" s="180" t="n"/>
      <c r="C95" s="180" t="n"/>
      <c r="D95" s="180" t="n"/>
      <c r="E95" s="1038">
        <f>F95/$C$5</f>
        <v/>
      </c>
      <c r="F95" s="1040">
        <f>SUM(F57)</f>
        <v/>
      </c>
      <c r="G95" s="209" t="n"/>
    </row>
    <row r="96">
      <c r="A96" s="227" t="inlineStr">
        <is>
          <t>Soft Costs Total</t>
        </is>
      </c>
      <c r="B96" s="232" t="n"/>
      <c r="C96" s="232" t="n"/>
      <c r="D96" s="232" t="n"/>
      <c r="E96" s="1043">
        <f>F96/$C$5</f>
        <v/>
      </c>
      <c r="F96" s="1046">
        <f>SUM(F90:F95)</f>
        <v/>
      </c>
      <c r="G96" s="234" t="n"/>
    </row>
    <row r="97">
      <c r="A97" s="230" t="n"/>
      <c r="B97" s="181" t="n"/>
      <c r="C97" s="181" t="n"/>
      <c r="D97" s="181" t="n"/>
      <c r="E97" s="1047" t="n"/>
      <c r="F97" s="1045" t="n"/>
      <c r="G97" s="234" t="n"/>
    </row>
    <row r="98">
      <c r="A98" s="220" t="inlineStr">
        <is>
          <t>Financial Costs</t>
        </is>
      </c>
      <c r="B98" s="181" t="n"/>
      <c r="C98" s="181" t="n"/>
      <c r="D98" s="181" t="n"/>
      <c r="E98" s="1038" t="n"/>
      <c r="F98" s="1040" t="n"/>
      <c r="G98" s="234" t="n"/>
    </row>
    <row r="99">
      <c r="A99" s="224" t="inlineStr">
        <is>
          <t>Finance Fees</t>
        </is>
      </c>
      <c r="B99" s="181" t="n"/>
      <c r="C99" s="181" t="n"/>
      <c r="D99" s="181" t="n"/>
      <c r="E99" s="1038">
        <f>F99/$C$5</f>
        <v/>
      </c>
      <c r="F99" s="1040">
        <f>SUM(F58:F60)</f>
        <v/>
      </c>
      <c r="G99" s="234" t="n"/>
    </row>
    <row r="100">
      <c r="A100" s="224" t="inlineStr">
        <is>
          <t>Interest Expense/Loss to Breakeven</t>
        </is>
      </c>
      <c r="B100" s="181" t="n"/>
      <c r="C100" s="181" t="n"/>
      <c r="D100" s="181" t="n"/>
      <c r="E100" s="1041">
        <f>F100/$C$5</f>
        <v/>
      </c>
      <c r="F100" s="1042">
        <f>SUM(F61:F66)</f>
        <v/>
      </c>
      <c r="G100" s="234" t="n"/>
    </row>
    <row r="101">
      <c r="A101" s="227" t="inlineStr">
        <is>
          <t>Financial Costs Total</t>
        </is>
      </c>
      <c r="B101" s="232" t="n"/>
      <c r="C101" s="232" t="n"/>
      <c r="D101" s="232" t="n"/>
      <c r="E101" s="1043">
        <f>F101/$C$5</f>
        <v/>
      </c>
      <c r="F101" s="1044">
        <f>SUM(F99:F100)</f>
        <v/>
      </c>
      <c r="G101" s="234" t="n"/>
    </row>
    <row r="102">
      <c r="A102" s="230" t="n"/>
      <c r="B102" s="181" t="n"/>
      <c r="C102" s="181" t="n"/>
      <c r="D102" s="181" t="n"/>
      <c r="E102" s="1047" t="n"/>
      <c r="F102" s="1045" t="n"/>
      <c r="G102" s="234" t="n"/>
    </row>
    <row r="103">
      <c r="A103" s="235" t="inlineStr">
        <is>
          <t>Contingency</t>
        </is>
      </c>
      <c r="B103" s="785" t="n"/>
      <c r="C103" s="785" t="n"/>
      <c r="D103" s="785" t="n"/>
      <c r="E103" s="1048">
        <f>F103/$C$5</f>
        <v/>
      </c>
      <c r="F103" s="1049">
        <f>SUM(F67:F68)</f>
        <v/>
      </c>
      <c r="G103" s="234" t="n"/>
    </row>
    <row r="104">
      <c r="A104" s="237" t="n"/>
      <c r="B104" s="238" t="n"/>
      <c r="C104" s="238" t="n"/>
      <c r="D104" s="238" t="n"/>
      <c r="E104" s="1050" t="n"/>
      <c r="F104" s="1051" t="n"/>
      <c r="G104" s="234" t="n"/>
    </row>
    <row r="105" ht="14.1" customHeight="1" thickBot="1">
      <c r="A105" s="241" t="inlineStr">
        <is>
          <t>Total Project Costs (excluding equity return)</t>
        </is>
      </c>
      <c r="B105" s="242" t="n"/>
      <c r="C105" s="242" t="n"/>
      <c r="D105" s="242" t="n"/>
      <c r="E105" s="1052">
        <f>F105/$C$5</f>
        <v/>
      </c>
      <c r="F105" s="1053">
        <f>SUM(F80,F87,F96,F101,F103)</f>
        <v/>
      </c>
      <c r="G105" s="234" t="n"/>
    </row>
    <row r="106">
      <c r="A106" s="234" t="n"/>
      <c r="B106" s="234" t="n"/>
      <c r="C106" s="234" t="n"/>
      <c r="D106" s="234" t="n"/>
      <c r="E106" s="234" t="n"/>
      <c r="F106" s="234" t="n"/>
      <c r="G106" s="234" t="n"/>
    </row>
  </sheetData>
  <mergeCells count="42">
    <mergeCell ref="B27:B28"/>
    <mergeCell ref="B43:B44"/>
    <mergeCell ref="B18:B19"/>
    <mergeCell ref="B70:B71"/>
    <mergeCell ref="B61:B62"/>
    <mergeCell ref="A20:A24"/>
    <mergeCell ref="A37:A45"/>
    <mergeCell ref="B29:B30"/>
    <mergeCell ref="B67:B68"/>
    <mergeCell ref="A61:A66"/>
    <mergeCell ref="B23:B24"/>
    <mergeCell ref="A58:A60"/>
    <mergeCell ref="A46:A54"/>
    <mergeCell ref="A25:A26"/>
    <mergeCell ref="A13:A19"/>
    <mergeCell ref="B20:B22"/>
    <mergeCell ref="A55:A56"/>
    <mergeCell ref="A7:C8"/>
    <mergeCell ref="B53:B54"/>
    <mergeCell ref="B49:B50"/>
    <mergeCell ref="A1:G1"/>
    <mergeCell ref="B33:B34"/>
    <mergeCell ref="B55:B56"/>
    <mergeCell ref="B37:B40"/>
    <mergeCell ref="B46:B48"/>
    <mergeCell ref="A69:A73"/>
    <mergeCell ref="A77:F77"/>
    <mergeCell ref="A27:A36"/>
    <mergeCell ref="B58:B60"/>
    <mergeCell ref="B51:B52"/>
    <mergeCell ref="A9:A12"/>
    <mergeCell ref="B13:B15"/>
    <mergeCell ref="B25:B26"/>
    <mergeCell ref="B41:B42"/>
    <mergeCell ref="A2:G2"/>
    <mergeCell ref="B16:B17"/>
    <mergeCell ref="B9:B11"/>
    <mergeCell ref="B63:B66"/>
    <mergeCell ref="B72:B73"/>
    <mergeCell ref="A67:A68"/>
    <mergeCell ref="B35:B36"/>
    <mergeCell ref="B31:B32"/>
  </mergeCells>
  <dataValidations count="1">
    <dataValidation sqref="D9:D24 D27:D54 D58:D60 D67:D73" showDropDown="0" showInputMessage="1" showErrorMessage="1" allowBlank="1" type="list">
      <formula1>"$, NRSF, GSF"</formula1>
    </dataValidation>
  </dataValidations>
  <pageMargins left="0.7" right="0.7" top="0.75" bottom="0.75" header="0.3" footer="0.3"/>
  <pageSetup orientation="portrait" scale="59"/>
  <rowBreaks count="1" manualBreakCount="1">
    <brk id="76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H86"/>
  <sheetViews>
    <sheetView showGridLines="0" topLeftCell="A65" workbookViewId="0">
      <selection activeCell="F43" sqref="F43"/>
    </sheetView>
  </sheetViews>
  <sheetFormatPr baseColWidth="8" defaultColWidth="9.140625" defaultRowHeight="13.9"/>
  <cols>
    <col width="13.140625" customWidth="1" style="1" min="1" max="1"/>
    <col width="16.5703125" customWidth="1" style="1" min="2" max="2"/>
    <col width="12.5703125" customWidth="1" style="1" min="3" max="3"/>
    <col width="15.5703125" customWidth="1" style="1" min="4" max="4"/>
    <col width="12.42578125" bestFit="1" customWidth="1" style="1" min="5" max="5"/>
    <col width="13" bestFit="1" customWidth="1" style="1" min="6" max="6"/>
    <col width="16" bestFit="1" customWidth="1" style="1" min="7" max="7"/>
    <col width="13.85546875" customWidth="1" style="1" min="8" max="8"/>
    <col width="9.140625" customWidth="1" style="1" min="9" max="16384"/>
  </cols>
  <sheetData>
    <row r="1" ht="17.65" customHeight="1">
      <c r="A1" s="1226">
        <f>'Project Assumptions'!A1:J1</f>
        <v/>
      </c>
      <c r="B1" s="951" t="n"/>
      <c r="C1" s="951" t="n"/>
      <c r="D1" s="951" t="n"/>
      <c r="E1" s="951" t="n"/>
      <c r="F1" s="951" t="n"/>
      <c r="G1" s="951" t="n"/>
      <c r="H1" s="1055" t="n"/>
    </row>
    <row r="2" ht="17.65" customHeight="1">
      <c r="A2" s="1227" t="inlineStr">
        <is>
          <t xml:space="preserve">Project Returns </t>
        </is>
      </c>
      <c r="B2" s="1057" t="n"/>
      <c r="C2" s="1057" t="n"/>
      <c r="D2" s="1057" t="n"/>
      <c r="E2" s="1057" t="n"/>
      <c r="F2" s="1057" t="n"/>
      <c r="G2" s="1057" t="n"/>
      <c r="H2" s="1058" t="n"/>
    </row>
    <row r="3" ht="14.1" customHeight="1" thickBot="1">
      <c r="F3" s="380" t="n"/>
      <c r="H3" s="70" t="n"/>
    </row>
    <row r="4" ht="14.45" customHeight="1" thickBot="1">
      <c r="C4" s="1219" t="inlineStr">
        <is>
          <t>Funding Amounts</t>
        </is>
      </c>
      <c r="D4" s="931" t="n"/>
      <c r="E4" s="931" t="n"/>
      <c r="F4" s="932" t="n"/>
    </row>
    <row r="5">
      <c r="C5" s="55" t="n"/>
      <c r="D5" s="9" t="n"/>
      <c r="E5" s="56" t="inlineStr">
        <is>
          <t>Land Hold</t>
        </is>
      </c>
      <c r="F5" s="57" t="inlineStr">
        <is>
          <t>Construction</t>
        </is>
      </c>
    </row>
    <row r="6">
      <c r="C6" s="8" t="n"/>
      <c r="D6" s="9" t="n"/>
      <c r="E6" s="58" t="inlineStr">
        <is>
          <t>Period</t>
        </is>
      </c>
      <c r="F6" s="46" t="inlineStr">
        <is>
          <t>Period</t>
        </is>
      </c>
    </row>
    <row r="7">
      <c r="C7" s="8" t="inlineStr">
        <is>
          <t>Bank Debt</t>
        </is>
      </c>
      <c r="D7" s="9" t="n"/>
      <c r="E7" s="933">
        <f>'Detailed Cashflows'!D169</f>
        <v/>
      </c>
      <c r="F7" s="934">
        <f>'Detailed Cashflows'!D173</f>
        <v/>
      </c>
    </row>
    <row r="8">
      <c r="C8" s="8" t="inlineStr">
        <is>
          <t>Equity</t>
        </is>
      </c>
      <c r="D8" s="9" t="n"/>
      <c r="E8" s="1059">
        <f>'Detailed Cashflows'!D170</f>
        <v/>
      </c>
      <c r="F8" s="936">
        <f>'Detailed Cashflows'!D174</f>
        <v/>
      </c>
    </row>
    <row r="9" ht="14.1" customHeight="1" thickBot="1">
      <c r="C9" s="17" t="inlineStr">
        <is>
          <t>Total</t>
        </is>
      </c>
      <c r="D9" s="18" t="n"/>
      <c r="E9" s="937">
        <f>E7+E8</f>
        <v/>
      </c>
      <c r="F9" s="938">
        <f>F7+F8</f>
        <v/>
      </c>
    </row>
    <row r="10">
      <c r="A10" s="11" t="n"/>
      <c r="B10" s="381" t="n"/>
      <c r="D10" s="27" t="n"/>
      <c r="E10" s="12" t="n"/>
      <c r="F10" s="12" t="n"/>
      <c r="G10" s="11" t="n"/>
      <c r="H10" s="11" t="n"/>
    </row>
    <row r="11" ht="14.1" customHeight="1" thickBot="1">
      <c r="A11" s="11" t="n"/>
      <c r="B11" s="381" t="n"/>
      <c r="D11" s="27" t="n"/>
      <c r="E11" s="12" t="n"/>
      <c r="F11" s="12" t="n"/>
      <c r="G11" s="11" t="n"/>
      <c r="H11" s="11" t="n"/>
    </row>
    <row r="12" ht="14.45" customHeight="1" thickBot="1">
      <c r="A12" s="1219" t="inlineStr">
        <is>
          <t>Yield at Stabilization</t>
        </is>
      </c>
      <c r="B12" s="931" t="n"/>
      <c r="C12" s="931" t="n"/>
      <c r="D12" s="931" t="n"/>
      <c r="E12" s="931" t="n"/>
      <c r="F12" s="931" t="n"/>
      <c r="G12" s="931" t="n"/>
      <c r="H12" s="932" t="n"/>
    </row>
    <row r="13">
      <c r="A13" s="382" t="n"/>
      <c r="B13" s="383" t="n"/>
      <c r="C13" s="383" t="n"/>
      <c r="D13" s="383" t="n"/>
      <c r="E13" s="383" t="n"/>
      <c r="F13" s="384" t="n"/>
      <c r="G13" s="385" t="inlineStr">
        <is>
          <t>at Stabilization</t>
        </is>
      </c>
      <c r="H13" s="386" t="inlineStr">
        <is>
          <t>at Sale</t>
        </is>
      </c>
    </row>
    <row r="14">
      <c r="A14" s="387" t="inlineStr">
        <is>
          <t>Net Operating Income</t>
        </is>
      </c>
      <c r="B14" s="383" t="n"/>
      <c r="C14" s="383" t="n"/>
      <c r="D14" s="383" t="n"/>
      <c r="E14" s="383" t="n"/>
      <c r="F14" s="384" t="n"/>
      <c r="G14" s="388" t="n"/>
      <c r="H14" s="389" t="n"/>
    </row>
    <row r="15">
      <c r="A15" s="8" t="inlineStr">
        <is>
          <t>Rental Income  (gross, or net for net lease structures)</t>
        </is>
      </c>
      <c r="B15" s="9" t="n"/>
      <c r="C15" s="390" t="n"/>
      <c r="D15" s="9" t="n"/>
      <c r="E15" s="9" t="n"/>
      <c r="F15" s="1060">
        <f>G15/'Project Assumptions'!$E$11</f>
        <v/>
      </c>
      <c r="G15" s="1061">
        <f>SUMPRODUCT('Economic Assumptions'!C10:C20,'Economic Assumptions'!F10:F20)*(1+0.037)</f>
        <v/>
      </c>
      <c r="H15" s="1062">
        <f>G15</f>
        <v/>
      </c>
    </row>
    <row r="16">
      <c r="A16" s="1063" t="inlineStr">
        <is>
          <t>Parking Income</t>
        </is>
      </c>
      <c r="B16" s="395" t="n"/>
      <c r="C16" s="395" t="n"/>
      <c r="D16" s="395" t="n"/>
      <c r="E16" s="395" t="n"/>
      <c r="F16" s="1064">
        <f>G16/'Project Assumptions'!$E$11</f>
        <v/>
      </c>
      <c r="G16" s="1065" t="n">
        <v>0</v>
      </c>
      <c r="H16" s="1065">
        <f>'Economic Assumptions'!H54</f>
        <v/>
      </c>
    </row>
    <row r="17">
      <c r="A17" s="8" t="inlineStr">
        <is>
          <t>Vacancy</t>
        </is>
      </c>
      <c r="B17" s="9" t="n"/>
      <c r="C17" s="399" t="n"/>
      <c r="D17" s="399" t="n"/>
      <c r="E17" s="9" t="n"/>
      <c r="F17" s="1066">
        <f>G17/SUM($G$15:$G$16)</f>
        <v/>
      </c>
      <c r="G17" s="1061">
        <f>-SUMPRODUCT('Economic Assumptions'!G43:G52,'Economic Assumptions'!B43:B52)</f>
        <v/>
      </c>
      <c r="H17" s="1062">
        <f>-SUMPRODUCT('Economic Assumptions'!H43:H52,'Economic Assumptions'!B43:B52)</f>
        <v/>
      </c>
    </row>
    <row r="18">
      <c r="A18" s="401" t="inlineStr">
        <is>
          <t>Structural Reserve</t>
        </is>
      </c>
      <c r="B18" s="395" t="n"/>
      <c r="C18" s="402" t="n"/>
      <c r="D18" s="403" t="n"/>
      <c r="E18" s="1067" t="n"/>
      <c r="F18" s="1068">
        <f>G18/SUM($G$15:$G$16)</f>
        <v/>
      </c>
      <c r="G18" s="1069">
        <f>-SUMPRODUCT('Economic Assumptions'!G43:G52,'Economic Assumptions'!D43:D52)-SUMPRODUCT('Economic Assumptions'!C10:C19,'Economic Assumptions'!E43:E52)</f>
        <v/>
      </c>
      <c r="H18" s="1065">
        <f>-SUMPRODUCT('Economic Assumptions'!H43:H52,'Economic Assumptions'!D43:D52)-SUMPRODUCT('Economic Assumptions'!C10:C19,'Economic Assumptions'!E43:E52)</f>
        <v/>
      </c>
    </row>
    <row r="19">
      <c r="A19" s="8" t="inlineStr">
        <is>
          <t>Operating Expenses on Leased Space</t>
        </is>
      </c>
      <c r="B19" s="9" t="n"/>
      <c r="C19" s="9" t="n"/>
      <c r="D19" s="9" t="n"/>
      <c r="E19" s="9" t="n"/>
      <c r="F19" s="1060">
        <f>G19/'Project Assumptions'!$E$11</f>
        <v/>
      </c>
      <c r="G19" s="1061">
        <f>-SUMPRODUCT('Economic Assumptions'!C10:C19,'Economic Assumptions'!E10:E19,1-'Economic Assumptions'!B43:B52)</f>
        <v/>
      </c>
      <c r="H19" s="1062">
        <f>G19</f>
        <v/>
      </c>
    </row>
    <row r="20">
      <c r="A20" s="406" t="inlineStr">
        <is>
          <t>Net Operating Income</t>
        </is>
      </c>
      <c r="B20" s="786" t="n"/>
      <c r="C20" s="787" t="n"/>
      <c r="D20" s="786" t="n"/>
      <c r="E20" s="786" t="n"/>
      <c r="F20" s="1070">
        <f>G20/'Project Assumptions'!$E$11</f>
        <v/>
      </c>
      <c r="G20" s="1071">
        <f>SUM(G15:G19)</f>
        <v/>
      </c>
      <c r="H20" s="1072">
        <f>SUM(H15:H19)</f>
        <v/>
      </c>
    </row>
    <row r="21">
      <c r="A21" s="410" t="n"/>
      <c r="B21" s="257" t="n"/>
      <c r="C21" s="411" t="n"/>
      <c r="D21" s="257" t="n"/>
      <c r="E21" s="257" t="n"/>
      <c r="F21" s="1073" t="n"/>
      <c r="G21" s="1074" t="n"/>
      <c r="H21" s="1075" t="n"/>
    </row>
    <row r="22">
      <c r="A22" s="387" t="inlineStr">
        <is>
          <t>Total Project Costs</t>
        </is>
      </c>
      <c r="B22" s="9" t="n"/>
      <c r="C22" s="9" t="n"/>
      <c r="D22" s="9" t="n"/>
      <c r="E22" s="9" t="n"/>
      <c r="F22" s="1076" t="n"/>
      <c r="G22" s="1061" t="n"/>
      <c r="H22" s="415" t="n"/>
    </row>
    <row r="23">
      <c r="A23" s="8" t="inlineStr">
        <is>
          <t>Total Project Costs</t>
        </is>
      </c>
      <c r="B23" s="9" t="n"/>
      <c r="C23" s="9" t="n"/>
      <c r="D23" s="9" t="n"/>
      <c r="E23" s="9" t="n"/>
      <c r="F23" s="1060">
        <f>G23/'Project Assumptions'!$E$11</f>
        <v/>
      </c>
      <c r="G23" s="1061">
        <f>'Detailed Project Costs'!F74</f>
        <v/>
      </c>
      <c r="H23" s="415" t="n"/>
    </row>
    <row r="24">
      <c r="A24" s="8" t="inlineStr">
        <is>
          <t>Project Cash Flow thru Stabilization</t>
        </is>
      </c>
      <c r="B24" s="9" t="n"/>
      <c r="C24" s="390" t="n"/>
      <c r="D24" s="9" t="n"/>
      <c r="E24" s="9" t="n"/>
      <c r="F24" s="1060">
        <f>G24/'Project Assumptions'!$E$11</f>
        <v/>
      </c>
      <c r="G24" s="1061">
        <f>-'Detailed Cashflows'!D243</f>
        <v/>
      </c>
      <c r="H24" s="415" t="n"/>
    </row>
    <row r="25">
      <c r="A25" s="8" t="inlineStr">
        <is>
          <t>Equity Preferred Return, thru Stabilization</t>
        </is>
      </c>
      <c r="B25" s="9" t="n"/>
      <c r="C25" s="9" t="n"/>
      <c r="D25" s="9" t="n"/>
      <c r="E25" s="9" t="n"/>
      <c r="F25" s="1060">
        <f>G25/'Project Assumptions'!$E$11</f>
        <v/>
      </c>
      <c r="G25" s="1061">
        <f>'Detailed Cashflows'!D244</f>
        <v/>
      </c>
      <c r="H25" s="415" t="n"/>
    </row>
    <row r="26" ht="14.1" customHeight="1" thickBot="1">
      <c r="A26" s="416" t="inlineStr">
        <is>
          <t>Total Project Costs - w/ adjustments</t>
        </is>
      </c>
      <c r="B26" s="417" t="n"/>
      <c r="C26" s="417" t="n"/>
      <c r="D26" s="417" t="n"/>
      <c r="E26" s="417" t="n"/>
      <c r="F26" s="1077">
        <f>G26/'Project Assumptions'!$E$11</f>
        <v/>
      </c>
      <c r="G26" s="1078">
        <f>SUM(G23:G25)</f>
        <v/>
      </c>
      <c r="H26" s="420" t="n"/>
    </row>
    <row r="27">
      <c r="A27" s="27" t="inlineStr"/>
      <c r="B27" s="11" t="n"/>
      <c r="C27" s="11" t="n"/>
      <c r="D27" s="11" t="n"/>
      <c r="E27" s="11" t="n"/>
      <c r="F27" s="11" t="n"/>
      <c r="G27" s="1079" t="n"/>
      <c r="H27" s="11" t="n"/>
    </row>
    <row r="28" ht="14.1" customHeight="1" thickBot="1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 ht="14.45" customHeight="1" thickBot="1">
      <c r="A29" s="1219" t="inlineStr">
        <is>
          <t>Sales Proceeds</t>
        </is>
      </c>
      <c r="B29" s="931" t="n"/>
      <c r="C29" s="931" t="n"/>
      <c r="D29" s="931" t="n"/>
      <c r="E29" s="931" t="n"/>
      <c r="F29" s="931" t="n"/>
      <c r="G29" s="932" t="n"/>
      <c r="H29" s="11" t="n"/>
    </row>
    <row r="30">
      <c r="A30" s="422" t="n"/>
      <c r="B30" s="9" t="n"/>
      <c r="C30" s="9" t="n"/>
      <c r="D30" s="9" t="n"/>
      <c r="E30" s="9" t="n"/>
      <c r="F30" s="323" t="n"/>
      <c r="G30" s="423" t="n"/>
      <c r="H30" s="27" t="inlineStr"/>
    </row>
    <row r="31">
      <c r="A31" s="8" t="inlineStr">
        <is>
          <t>Stabilization Date</t>
        </is>
      </c>
      <c r="B31" s="9" t="n"/>
      <c r="C31" s="15" t="n"/>
      <c r="D31" s="9" t="n"/>
      <c r="E31" s="13" t="n"/>
      <c r="F31" s="1080">
        <f>'Economic Assumptions'!E27</f>
        <v/>
      </c>
      <c r="G31" s="1081">
        <f>EOMONTH('Project Assumptions'!D14,F31-1)</f>
        <v/>
      </c>
      <c r="H31" s="27" t="inlineStr"/>
    </row>
    <row r="32">
      <c r="A32" s="30" t="inlineStr">
        <is>
          <t xml:space="preserve">Sale Date   </t>
        </is>
      </c>
      <c r="B32" s="788" t="n"/>
      <c r="C32" s="789" t="n"/>
      <c r="D32" s="789" t="n"/>
      <c r="E32" s="788" t="n"/>
      <c r="F32" s="1082">
        <f>IF(ISERROR(F31+(YEAR(G32)-YEAR(G31))*12+MONTH(G32)-MONTH(G31)),0,F31+(YEAR(G32)-YEAR(G31))*12+MONTH(G32)-MONTH(G31))</f>
        <v/>
      </c>
      <c r="G32" s="1083">
        <f>G31+1</f>
        <v/>
      </c>
      <c r="H32" s="12" t="inlineStr">
        <is>
          <t>(Must be Stabilization Date or after)</t>
        </is>
      </c>
    </row>
    <row r="33">
      <c r="A33" s="8" t="n"/>
      <c r="B33" s="9" t="n"/>
      <c r="C33" s="9" t="n"/>
      <c r="D33" s="9" t="n"/>
      <c r="E33" s="9" t="n"/>
      <c r="F33" s="323" t="n"/>
      <c r="G33" s="423" t="n"/>
      <c r="H33" s="11" t="n"/>
    </row>
    <row r="34">
      <c r="A34" s="387" t="inlineStr">
        <is>
          <t>Commerical Sale Price</t>
        </is>
      </c>
      <c r="B34" s="9" t="n"/>
      <c r="C34" s="9" t="n"/>
      <c r="D34" s="9" t="n"/>
      <c r="E34" s="9" t="n"/>
      <c r="F34" s="323" t="n"/>
      <c r="G34" s="423" t="n"/>
      <c r="H34" s="11" t="n"/>
    </row>
    <row r="35">
      <c r="A35" s="8" t="inlineStr">
        <is>
          <t>Net Operating Income at Sale</t>
        </is>
      </c>
      <c r="B35" s="9" t="n"/>
      <c r="C35" s="9" t="n"/>
      <c r="D35" s="9" t="n"/>
      <c r="E35" s="9" t="n"/>
      <c r="F35" s="323" t="n"/>
      <c r="G35" s="1062">
        <f>H20</f>
        <v/>
      </c>
      <c r="H35" s="11" t="n"/>
    </row>
    <row r="36">
      <c r="A36" s="8" t="inlineStr">
        <is>
          <t>Exit Capitalization Rate</t>
        </is>
      </c>
      <c r="B36" s="9" t="n"/>
      <c r="C36" s="9" t="n"/>
      <c r="D36" s="9" t="n"/>
      <c r="E36" s="13" t="n"/>
      <c r="F36" s="318" t="n"/>
      <c r="G36" s="428" t="n"/>
      <c r="H36" s="11" t="n"/>
    </row>
    <row r="37">
      <c r="A37" s="8" t="inlineStr">
        <is>
          <t>Gross Sale Price</t>
        </is>
      </c>
      <c r="B37" s="9" t="n"/>
      <c r="C37" s="9" t="n"/>
      <c r="D37" s="9" t="n"/>
      <c r="E37" s="13" t="n"/>
      <c r="F37" s="1084">
        <f>G37/'Project Assumptions'!E9</f>
        <v/>
      </c>
      <c r="G37" s="1085">
        <f>G35/G36</f>
        <v/>
      </c>
      <c r="H37" s="11" t="n"/>
    </row>
    <row r="38">
      <c r="A38" s="8" t="n"/>
      <c r="B38" s="9" t="n"/>
      <c r="C38" s="9" t="n"/>
      <c r="D38" s="9" t="n"/>
      <c r="E38" s="9" t="n"/>
      <c r="F38" s="431" t="n"/>
      <c r="G38" s="1062" t="n"/>
      <c r="H38" s="11" t="n"/>
    </row>
    <row r="39">
      <c r="A39" s="410" t="inlineStr">
        <is>
          <t>Gross Sales Proceeds - based on NOI</t>
        </is>
      </c>
      <c r="B39" s="257" t="n"/>
      <c r="C39" s="257" t="n"/>
      <c r="D39" s="257" t="n"/>
      <c r="E39" s="13" t="n"/>
      <c r="F39" s="1086">
        <f>G39/'Project Assumptions'!$E$11</f>
        <v/>
      </c>
      <c r="G39" s="1072">
        <f>G37</f>
        <v/>
      </c>
      <c r="H39" s="11" t="n"/>
    </row>
    <row r="40">
      <c r="A40" s="8" t="inlineStr">
        <is>
          <t>Transfer Taxes</t>
        </is>
      </c>
      <c r="B40" s="9" t="n"/>
      <c r="C40" s="9" t="n"/>
      <c r="D40" s="9" t="n"/>
      <c r="E40" s="13" t="n"/>
      <c r="F40" s="433" t="n"/>
      <c r="G40" s="1062">
        <f>$G$39*-F40</f>
        <v/>
      </c>
      <c r="H40" s="11" t="n"/>
    </row>
    <row r="41">
      <c r="A41" s="8" t="inlineStr">
        <is>
          <t>Third Party Commission</t>
        </is>
      </c>
      <c r="B41" s="9" t="n"/>
      <c r="C41" s="9" t="n"/>
      <c r="D41" s="9" t="n"/>
      <c r="E41" s="13" t="n"/>
      <c r="F41" s="433" t="n"/>
      <c r="G41" s="1062">
        <f>$G$39*-F41</f>
        <v/>
      </c>
      <c r="H41" s="11" t="n"/>
    </row>
    <row r="42">
      <c r="A42" s="8" t="inlineStr">
        <is>
          <t>In-House Commission</t>
        </is>
      </c>
      <c r="B42" s="9" t="n"/>
      <c r="C42" s="9" t="n"/>
      <c r="D42" s="9" t="n"/>
      <c r="E42" s="13" t="n"/>
      <c r="F42" s="433" t="n"/>
      <c r="G42" s="1062">
        <f>$G$39*-F42</f>
        <v/>
      </c>
      <c r="H42" s="11" t="n"/>
    </row>
    <row r="43">
      <c r="A43" s="8" t="inlineStr">
        <is>
          <t>Legal / Miscellaneous Closing Costs</t>
        </is>
      </c>
      <c r="B43" s="9" t="n"/>
      <c r="C43" s="9" t="n"/>
      <c r="D43" s="9" t="n"/>
      <c r="E43" s="13" t="n"/>
      <c r="F43" s="1087" t="n"/>
      <c r="G43" s="1062">
        <f>-F43</f>
        <v/>
      </c>
      <c r="H43" s="11" t="n"/>
    </row>
    <row r="44">
      <c r="A44" s="406" t="inlineStr">
        <is>
          <t>Net Sales Proceeds</t>
        </is>
      </c>
      <c r="B44" s="786" t="n"/>
      <c r="C44" s="786" t="n"/>
      <c r="D44" s="786" t="n"/>
      <c r="E44" s="786" t="n"/>
      <c r="F44" s="1070">
        <f>G44/'Project Assumptions'!E11</f>
        <v/>
      </c>
      <c r="G44" s="1088">
        <f>G39+SUM(G40:G43)</f>
        <v/>
      </c>
      <c r="H44" s="27" t="inlineStr"/>
    </row>
    <row r="45">
      <c r="A45" s="8" t="inlineStr">
        <is>
          <t>Project Cash Flow thru Sale *</t>
        </is>
      </c>
      <c r="B45" s="9" t="n"/>
      <c r="C45" s="9" t="inlineStr"/>
      <c r="D45" s="9" t="n"/>
      <c r="E45" s="9" t="n"/>
      <c r="F45" s="9" t="n"/>
      <c r="G45" s="1062">
        <f>'Detailed Cashflows'!D153-'Detailed Cashflows'!D154</f>
        <v/>
      </c>
      <c r="H45" s="27" t="inlineStr"/>
    </row>
    <row r="46" ht="14.1" customHeight="1" thickBot="1">
      <c r="A46" s="416" t="inlineStr">
        <is>
          <t>Total Distributions Available</t>
        </is>
      </c>
      <c r="B46" s="417" t="n"/>
      <c r="C46" s="417" t="n"/>
      <c r="D46" s="417" t="n"/>
      <c r="E46" s="417" t="n"/>
      <c r="F46" s="417" t="n"/>
      <c r="G46" s="1089">
        <f>G44+G45</f>
        <v/>
      </c>
      <c r="H46" s="27" t="inlineStr"/>
    </row>
    <row r="47">
      <c r="A47" s="380" t="n"/>
      <c r="B47" s="380" t="n"/>
      <c r="C47" s="380" t="n"/>
      <c r="D47" s="380" t="n"/>
      <c r="E47" s="380" t="n"/>
      <c r="F47" s="380" t="n"/>
      <c r="G47" s="1090" t="n"/>
      <c r="H47" s="27" t="n"/>
    </row>
    <row r="48" ht="14.1" customHeight="1" thickBot="1">
      <c r="A48" s="380" t="n"/>
      <c r="B48" s="380" t="n"/>
      <c r="C48" s="380" t="n"/>
      <c r="D48" s="380" t="n"/>
      <c r="E48" s="380" t="n"/>
      <c r="F48" s="380" t="n"/>
      <c r="G48" s="1090" t="n"/>
      <c r="H48" s="27" t="n"/>
    </row>
    <row r="49" ht="14.45" customHeight="1" thickBot="1">
      <c r="A49" s="1219" t="inlineStr">
        <is>
          <t>Distributions</t>
        </is>
      </c>
      <c r="B49" s="931" t="n"/>
      <c r="C49" s="931" t="n"/>
      <c r="D49" s="931" t="n"/>
      <c r="E49" s="931" t="n"/>
      <c r="F49" s="931" t="n"/>
      <c r="G49" s="932" t="n"/>
      <c r="H49" s="11" t="n"/>
    </row>
    <row r="50">
      <c r="A50" s="438" t="n"/>
      <c r="B50" s="175" t="n"/>
      <c r="C50" s="439" t="n"/>
      <c r="D50" s="175" t="n"/>
      <c r="E50" s="175" t="n"/>
      <c r="F50" s="1091" t="n"/>
      <c r="G50" s="1092" t="n"/>
      <c r="H50" s="11" t="n"/>
    </row>
    <row r="51">
      <c r="A51" s="442" t="inlineStr">
        <is>
          <t>Debt Repayment</t>
        </is>
      </c>
      <c r="B51" s="443" t="n"/>
      <c r="C51" s="444" t="inlineStr">
        <is>
          <t>Construction Period - Bank Debt</t>
        </is>
      </c>
      <c r="D51" s="445" t="n"/>
      <c r="E51" s="446">
        <f>'Project Assumptions'!C26</f>
        <v/>
      </c>
      <c r="F51" s="445" t="n"/>
      <c r="G51" s="1093">
        <f>MIN((G23)*E51,$G$44+G45-'Detailed Cashflows'!D220+'Detailed Cashflows'!$D$221)</f>
        <v/>
      </c>
      <c r="H51" s="11" t="n"/>
    </row>
    <row r="52">
      <c r="A52" s="438" t="n"/>
      <c r="B52" s="175" t="n"/>
      <c r="C52" s="439" t="n"/>
      <c r="D52" s="175" t="n"/>
      <c r="E52" s="448" t="n"/>
      <c r="F52" s="449" t="n"/>
      <c r="G52" s="1094" t="n"/>
      <c r="H52" s="11" t="n"/>
    </row>
    <row r="53">
      <c r="A53" s="451" t="inlineStr">
        <is>
          <t>Equity Preferred Return</t>
        </is>
      </c>
      <c r="B53" s="175" t="n"/>
      <c r="C53" s="439" t="inlineStr">
        <is>
          <t>Rate - Land Hold Period</t>
        </is>
      </c>
      <c r="D53" s="175" t="n"/>
      <c r="E53" s="452" t="n"/>
      <c r="F53" s="175" t="n"/>
      <c r="G53" s="1095" t="n"/>
      <c r="H53" s="11" t="n"/>
    </row>
    <row r="54">
      <c r="A54" s="451" t="n"/>
      <c r="B54" s="175" t="n"/>
      <c r="C54" s="439" t="inlineStr">
        <is>
          <t>Rate - Construction Period</t>
        </is>
      </c>
      <c r="D54" s="175" t="n"/>
      <c r="E54" s="452" t="n"/>
      <c r="F54" s="175" t="n"/>
      <c r="G54" s="1095" t="n"/>
      <c r="H54" s="11" t="n"/>
    </row>
    <row r="55">
      <c r="A55" s="451" t="n"/>
      <c r="B55" s="175" t="n"/>
      <c r="C55" s="454" t="inlineStr">
        <is>
          <t>Compounding</t>
        </is>
      </c>
      <c r="D55" s="455" t="n"/>
      <c r="E55" s="456" t="inlineStr">
        <is>
          <t>Annual</t>
        </is>
      </c>
      <c r="F55" s="455" t="n"/>
      <c r="G55" s="1096" t="n"/>
      <c r="H55" s="11" t="n"/>
    </row>
    <row r="56">
      <c r="A56" s="438" t="n"/>
      <c r="B56" s="175" t="n"/>
      <c r="C56" s="458" t="inlineStr">
        <is>
          <t>Equity Partner 1</t>
        </is>
      </c>
      <c r="D56" s="175" t="n"/>
      <c r="E56" s="459" t="n"/>
      <c r="F56" s="175" t="n"/>
      <c r="G56" s="1095">
        <f>'Detailed Cashflows'!D226</f>
        <v/>
      </c>
      <c r="H56" s="11" t="n"/>
    </row>
    <row r="57">
      <c r="A57" s="438" t="n"/>
      <c r="B57" s="175" t="n"/>
      <c r="C57" s="460" t="inlineStr">
        <is>
          <t>Developer</t>
        </is>
      </c>
      <c r="D57" s="175" t="n"/>
      <c r="E57" s="459" t="n"/>
      <c r="F57" s="175" t="n"/>
      <c r="G57" s="1095">
        <f>'Detailed Cashflows'!D234</f>
        <v/>
      </c>
      <c r="H57" s="11" t="n"/>
    </row>
    <row r="58">
      <c r="A58" s="438" t="n"/>
      <c r="B58" s="175" t="n"/>
      <c r="C58" s="460" t="n"/>
      <c r="D58" s="175" t="n"/>
      <c r="E58" s="459" t="n"/>
      <c r="F58" s="175" t="n"/>
      <c r="G58" s="1095" t="n"/>
      <c r="H58" s="11" t="n"/>
    </row>
    <row r="59">
      <c r="A59" s="442" t="inlineStr">
        <is>
          <t>Equity Contributions/Repayment</t>
        </is>
      </c>
      <c r="B59" s="445" t="n"/>
      <c r="C59" s="461" t="inlineStr">
        <is>
          <t>Equity Partner 1</t>
        </is>
      </c>
      <c r="D59" s="462" t="n"/>
      <c r="E59" s="463" t="n"/>
      <c r="F59" s="445" t="n"/>
      <c r="G59" s="1093">
        <f>'Detailed Cashflows'!D228</f>
        <v/>
      </c>
      <c r="H59" s="11" t="n"/>
    </row>
    <row r="60">
      <c r="A60" s="464" t="n"/>
      <c r="B60" s="445" t="n"/>
      <c r="C60" s="444" t="inlineStr">
        <is>
          <t>Developer</t>
        </is>
      </c>
      <c r="D60" s="445" t="n"/>
      <c r="E60" s="465">
        <f>1-E59</f>
        <v/>
      </c>
      <c r="F60" s="445" t="n"/>
      <c r="G60" s="1093">
        <f>'Detailed Cashflows'!D236</f>
        <v/>
      </c>
      <c r="H60" s="11" t="n"/>
    </row>
    <row r="61">
      <c r="A61" s="466" t="n"/>
      <c r="B61" s="175" t="n"/>
      <c r="C61" s="439" t="n"/>
      <c r="D61" s="175" t="n"/>
      <c r="E61" s="467" t="n"/>
      <c r="F61" s="175" t="n"/>
      <c r="G61" s="1095" t="n"/>
      <c r="H61" s="11" t="n"/>
    </row>
    <row r="62">
      <c r="A62" s="451" t="inlineStr">
        <is>
          <t>Equity Remaining Cash Flow</t>
        </is>
      </c>
      <c r="B62" s="175" t="n"/>
      <c r="C62" s="439" t="n"/>
      <c r="D62" s="175" t="n"/>
      <c r="E62" s="175" t="n"/>
      <c r="F62" s="175" t="n"/>
      <c r="G62" s="468" t="n"/>
      <c r="H62" s="11" t="n"/>
    </row>
    <row r="63">
      <c r="A63" s="466" t="inlineStr">
        <is>
          <t xml:space="preserve">   Does Developer Promote % (below) include return to Developer Equity?</t>
        </is>
      </c>
      <c r="B63" s="175" t="n"/>
      <c r="C63" s="439" t="n"/>
      <c r="D63" s="175" t="n"/>
      <c r="E63" s="70" t="inlineStr">
        <is>
          <t>Yes</t>
        </is>
      </c>
      <c r="F63" s="469" t="inlineStr">
        <is>
          <t>Adjusted</t>
        </is>
      </c>
      <c r="G63" s="468" t="n"/>
      <c r="H63" s="11" t="n"/>
    </row>
    <row r="64">
      <c r="A64" s="470" t="inlineStr">
        <is>
          <t xml:space="preserve">   Level 1</t>
        </is>
      </c>
      <c r="B64" s="471" t="n"/>
      <c r="C64" s="693" t="inlineStr">
        <is>
          <t>Developer Promote</t>
        </is>
      </c>
      <c r="D64" s="471" t="n"/>
      <c r="E64" s="472" t="n"/>
      <c r="F64" s="473">
        <f>'Detailed Cashflows'!C270</f>
        <v/>
      </c>
      <c r="G64" s="1097">
        <f>'Detailed Cashflows'!D270</f>
        <v/>
      </c>
      <c r="H64" s="11" t="n"/>
    </row>
    <row r="65">
      <c r="A65" s="475" t="n"/>
      <c r="B65" s="476" t="n"/>
      <c r="C65" s="477" t="inlineStr">
        <is>
          <t>Equity</t>
        </is>
      </c>
      <c r="D65" s="476" t="n"/>
      <c r="E65" s="478">
        <f>1-E64</f>
        <v/>
      </c>
      <c r="F65" s="479">
        <f>SUM('Detailed Cashflows'!C271:C272)</f>
        <v/>
      </c>
      <c r="G65" s="1098">
        <f>SUM('Detailed Cashflows'!D271:D272)</f>
        <v/>
      </c>
      <c r="H65" s="11" t="n"/>
    </row>
    <row r="66">
      <c r="A66" s="475" t="n"/>
      <c r="B66" s="476" t="n"/>
      <c r="C66" s="481" t="inlineStr">
        <is>
          <t>Until Partner IRR Equals</t>
        </is>
      </c>
      <c r="D66" s="482" t="n"/>
      <c r="E66" s="483" t="n"/>
      <c r="F66" s="484" t="n"/>
      <c r="G66" s="1099" t="n"/>
      <c r="H66" s="11" t="n"/>
    </row>
    <row r="67" ht="6" customHeight="1">
      <c r="A67" s="438" t="n"/>
      <c r="B67" s="175" t="n"/>
      <c r="C67" s="486" t="n"/>
      <c r="D67" s="175" t="n"/>
      <c r="E67" s="487" t="n"/>
      <c r="F67" s="488" t="n"/>
      <c r="G67" s="1095" t="n"/>
      <c r="H67" s="11" t="n"/>
    </row>
    <row r="68">
      <c r="A68" s="489" t="inlineStr">
        <is>
          <t xml:space="preserve">   Level 2</t>
        </is>
      </c>
      <c r="B68" s="490" t="n"/>
      <c r="C68" s="491" t="inlineStr">
        <is>
          <t>Developer Promote</t>
        </is>
      </c>
      <c r="D68" s="490" t="n"/>
      <c r="E68" s="492" t="n"/>
      <c r="F68" s="493">
        <f>'Detailed Cashflows'!C284</f>
        <v/>
      </c>
      <c r="G68" s="1100">
        <f>'Detailed Cashflows'!D284</f>
        <v/>
      </c>
      <c r="H68" s="11" t="n"/>
    </row>
    <row r="69">
      <c r="A69" s="489" t="n"/>
      <c r="B69" s="490" t="n"/>
      <c r="C69" s="491" t="inlineStr">
        <is>
          <t>Equity</t>
        </is>
      </c>
      <c r="D69" s="490" t="n"/>
      <c r="E69" s="495">
        <f>1-E68</f>
        <v/>
      </c>
      <c r="F69" s="493">
        <f>SUM('Detailed Cashflows'!C285:C286)</f>
        <v/>
      </c>
      <c r="G69" s="1100">
        <f>SUM('Detailed Cashflows'!D285:D286)</f>
        <v/>
      </c>
      <c r="H69" s="11" t="n"/>
    </row>
    <row r="70">
      <c r="A70" s="489" t="n"/>
      <c r="B70" s="490" t="n"/>
      <c r="C70" s="496" t="inlineStr">
        <is>
          <t>Until Partner IRR Equals</t>
        </is>
      </c>
      <c r="D70" s="497" t="n"/>
      <c r="E70" s="498" t="n"/>
      <c r="F70" s="499" t="n"/>
      <c r="G70" s="1101" t="n"/>
      <c r="H70" s="11" t="n"/>
    </row>
    <row r="71" ht="6" customHeight="1">
      <c r="A71" s="438" t="n"/>
      <c r="B71" s="175" t="n"/>
      <c r="C71" s="486" t="n"/>
      <c r="D71" s="175" t="n"/>
      <c r="E71" s="487" t="n"/>
      <c r="F71" s="488" t="n"/>
      <c r="G71" s="1095" t="n"/>
      <c r="H71" s="11" t="n"/>
    </row>
    <row r="72">
      <c r="A72" s="501" t="inlineStr">
        <is>
          <t xml:space="preserve">   Level 3</t>
        </is>
      </c>
      <c r="B72" s="502" t="n"/>
      <c r="C72" s="503" t="inlineStr">
        <is>
          <t>Developer Promote</t>
        </is>
      </c>
      <c r="D72" s="502" t="n"/>
      <c r="E72" s="504" t="n"/>
      <c r="F72" s="505">
        <f>'Detailed Cashflows'!C294</f>
        <v/>
      </c>
      <c r="G72" s="1102">
        <f>'Detailed Cashflows'!D294</f>
        <v/>
      </c>
      <c r="H72" s="11" t="n"/>
    </row>
    <row r="73">
      <c r="A73" s="507" t="n"/>
      <c r="B73" s="885" t="n"/>
      <c r="C73" s="508" t="inlineStr">
        <is>
          <t>Equity</t>
        </is>
      </c>
      <c r="D73" s="885" t="n"/>
      <c r="E73" s="886">
        <f>1-E72</f>
        <v/>
      </c>
      <c r="F73" s="509">
        <f>SUM('Detailed Cashflows'!C295:C296)</f>
        <v/>
      </c>
      <c r="G73" s="1103">
        <f>SUM('Detailed Cashflows'!D295:D296)</f>
        <v/>
      </c>
      <c r="H73" s="11" t="n"/>
    </row>
    <row r="74" ht="14.1" customHeight="1" thickBot="1">
      <c r="A74" s="438" t="n"/>
      <c r="B74" s="175" t="n"/>
      <c r="C74" s="175" t="n"/>
      <c r="D74" s="175" t="n"/>
      <c r="E74" s="467" t="n"/>
      <c r="F74" s="511" t="n"/>
      <c r="G74" s="1095" t="n"/>
      <c r="H74" s="11" t="n"/>
    </row>
    <row r="75" ht="14.1" customHeight="1" thickBot="1">
      <c r="A75" s="512" t="inlineStr">
        <is>
          <t>Total Distributions</t>
        </is>
      </c>
      <c r="B75" s="513" t="n"/>
      <c r="C75" s="513" t="n"/>
      <c r="D75" s="513" t="n"/>
      <c r="E75" s="514" t="n"/>
      <c r="F75" s="513" t="n"/>
      <c r="G75" s="1104">
        <f>SUM(G51:G74)</f>
        <v/>
      </c>
      <c r="H75" s="11" t="n"/>
    </row>
    <row r="76">
      <c r="A76" s="380" t="n"/>
      <c r="B76" s="380" t="n"/>
      <c r="C76" s="380" t="n"/>
      <c r="D76" s="380" t="n"/>
      <c r="E76" s="487" t="n"/>
      <c r="F76" s="380" t="n"/>
      <c r="G76" s="1090" t="n"/>
      <c r="H76" s="11" t="n"/>
    </row>
    <row r="77" ht="14.1" customHeight="1" thickBot="1">
      <c r="A77" s="11" t="n"/>
      <c r="B77" s="11" t="n"/>
      <c r="C77" s="11" t="n"/>
      <c r="D77" s="11" t="n"/>
      <c r="E77" s="516" t="n"/>
      <c r="F77" s="11" t="n"/>
      <c r="G77" s="940" t="n"/>
      <c r="H77" s="11" t="n"/>
    </row>
    <row r="78" ht="14.45" customHeight="1" thickBot="1">
      <c r="A78" s="1219" t="inlineStr">
        <is>
          <t>Returns Summary</t>
        </is>
      </c>
      <c r="B78" s="931" t="n"/>
      <c r="C78" s="931" t="n"/>
      <c r="D78" s="931" t="n"/>
      <c r="E78" s="932" t="n"/>
      <c r="F78" s="12" t="inlineStr"/>
      <c r="H78" s="11" t="n"/>
    </row>
    <row r="79">
      <c r="A79" s="438" t="n"/>
      <c r="B79" s="175" t="n"/>
      <c r="C79" s="517" t="inlineStr">
        <is>
          <t>CRM</t>
        </is>
      </c>
      <c r="D79" s="518" t="inlineStr">
        <is>
          <t>IRR</t>
        </is>
      </c>
      <c r="E79" s="1105" t="inlineStr">
        <is>
          <t>Net Cash Flow</t>
        </is>
      </c>
      <c r="F79" s="12" t="inlineStr"/>
      <c r="H79" s="11" t="n"/>
    </row>
    <row r="80">
      <c r="A80" s="438" t="inlineStr">
        <is>
          <t>Deal - Unlevered</t>
        </is>
      </c>
      <c r="B80" s="175" t="n"/>
      <c r="C80" s="1106">
        <f>('Detailed Cashflows'!D250-'Detailed Cashflows'!D247)/(-'Detailed Cashflows'!D247)</f>
        <v/>
      </c>
      <c r="D80" s="1107">
        <f>'Detailed Cashflows'!C250</f>
        <v/>
      </c>
      <c r="E80" s="1108">
        <f>'Detailed Cashflows'!D250</f>
        <v/>
      </c>
      <c r="F80" s="11" t="n"/>
      <c r="H80" s="11" t="n"/>
    </row>
    <row r="81">
      <c r="A81" s="521" t="inlineStr">
        <is>
          <t>Deal - Levered</t>
        </is>
      </c>
      <c r="B81" s="887" t="n"/>
      <c r="C81" s="1109">
        <f>IF(G59+G60&lt;1,"N/A",IF(ISERROR((E81+G59+G60)/(G59+G60)),"N/A",(E81+G59+G60)/(G59+G60)))</f>
        <v/>
      </c>
      <c r="D81" s="1110">
        <f>'Detailed Cashflows'!C253</f>
        <v/>
      </c>
      <c r="E81" s="1111">
        <f>'Detailed Cashflows'!D253</f>
        <v/>
      </c>
      <c r="F81" s="11" t="n"/>
      <c r="G81" s="27" t="inlineStr"/>
      <c r="H81" s="11" t="n"/>
    </row>
    <row r="82">
      <c r="A82" s="525" t="inlineStr">
        <is>
          <t>Equity Partner 1</t>
        </is>
      </c>
      <c r="B82" s="459" t="n"/>
      <c r="C82" s="1112">
        <f>IF(G59&lt;1,"N/A",IF(ISERROR((E82+G59)/G59),"N/A",(E82+G59)/G59))</f>
        <v/>
      </c>
      <c r="D82" s="1113">
        <f>'Detailed Cashflows'!C230</f>
        <v/>
      </c>
      <c r="E82" s="1114">
        <f>'Detailed Cashflows'!D230</f>
        <v/>
      </c>
      <c r="F82" s="11" t="n"/>
      <c r="G82" s="27" t="inlineStr"/>
      <c r="H82" s="11" t="n"/>
    </row>
    <row r="83">
      <c r="A83" s="527" t="inlineStr">
        <is>
          <t>Developer Equity</t>
        </is>
      </c>
      <c r="B83" s="528" t="n"/>
      <c r="C83" s="1115">
        <f>IF($G$60&lt;1,"N/A",IF(ISERROR(($E$83+$G$60)/$G$60),"N/A",($E$83+$G$60)/$G$60))</f>
        <v/>
      </c>
      <c r="D83" s="1116">
        <f>'Detailed Cashflows'!C238</f>
        <v/>
      </c>
      <c r="E83" s="1117">
        <f>'Detailed Cashflows'!D238</f>
        <v/>
      </c>
      <c r="F83" s="11" t="n"/>
      <c r="G83" s="940" t="n"/>
      <c r="H83" s="11" t="n"/>
    </row>
    <row r="84" ht="14.1" customHeight="1" thickBot="1">
      <c r="A84" s="438" t="inlineStr">
        <is>
          <t>Developer Promote</t>
        </is>
      </c>
      <c r="B84" s="175" t="n"/>
      <c r="C84" s="532" t="n"/>
      <c r="D84" s="1118" t="n"/>
      <c r="E84" s="1095">
        <f>'Detailed Cashflows'!D240</f>
        <v/>
      </c>
      <c r="F84" s="11" t="n"/>
      <c r="G84" s="940" t="n"/>
      <c r="H84" s="11" t="n"/>
    </row>
    <row r="85" ht="14.1" customHeight="1" thickBot="1">
      <c r="A85" s="534" t="inlineStr">
        <is>
          <t>Developer Equity + Promote</t>
        </is>
      </c>
      <c r="B85" s="535" t="n"/>
      <c r="C85" s="1119">
        <f>IF($G$60&lt;1,"N/A",IF(ISERROR(($E$85+$G$60)/$G$60),"N/A",($E$85+$G$60)/$G$60))</f>
        <v/>
      </c>
      <c r="D85" s="1120">
        <f>'Detailed Cashflows'!C241</f>
        <v/>
      </c>
      <c r="E85" s="1121">
        <f>'Detailed Cashflows'!D241</f>
        <v/>
      </c>
      <c r="F85" s="11" t="n"/>
      <c r="G85" s="940" t="n"/>
      <c r="H85" s="11" t="n"/>
    </row>
    <row r="86">
      <c r="F86" s="11" t="n"/>
      <c r="G86" s="940" t="n"/>
      <c r="H86" s="11" t="n"/>
    </row>
  </sheetData>
  <mergeCells count="7">
    <mergeCell ref="A12:H12"/>
    <mergeCell ref="A78:E78"/>
    <mergeCell ref="C4:F4"/>
    <mergeCell ref="A2:H2"/>
    <mergeCell ref="A29:G29"/>
    <mergeCell ref="A1:H1"/>
    <mergeCell ref="A49:G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DD296"/>
  <sheetViews>
    <sheetView showGridLines="0" zoomScaleNormal="100" workbookViewId="0">
      <selection activeCell="H55" sqref="H55"/>
    </sheetView>
  </sheetViews>
  <sheetFormatPr baseColWidth="8" defaultColWidth="9.140625" defaultRowHeight="13.9" outlineLevelRow="1"/>
  <cols>
    <col width="25.42578125" customWidth="1" style="2" min="1" max="1"/>
    <col width="49.140625" customWidth="1" style="2" min="2" max="2"/>
    <col width="10.140625" customWidth="1" style="2" min="3" max="3"/>
    <col width="14.42578125" bestFit="1" customWidth="1" style="2" min="4" max="4"/>
    <col width="1.140625" customWidth="1" style="363" min="5" max="5"/>
    <col width="11.85546875" bestFit="1" customWidth="1" style="2" min="6" max="20"/>
    <col width="12.42578125" bestFit="1" customWidth="1" style="2" min="21" max="21"/>
    <col width="11.85546875" bestFit="1" customWidth="1" style="2" min="22" max="32"/>
    <col width="13.42578125" bestFit="1" customWidth="1" style="2" min="33" max="33"/>
    <col width="13" bestFit="1" customWidth="1" style="2" min="34" max="52"/>
    <col width="14.42578125" bestFit="1" customWidth="1" style="2" min="53" max="106"/>
    <col width="3" customWidth="1" style="2" min="107" max="107"/>
    <col width="14.42578125" bestFit="1" customWidth="1" style="2" min="108" max="108"/>
    <col width="9.140625" customWidth="1" style="2" min="109" max="16384"/>
  </cols>
  <sheetData>
    <row r="1" ht="15" customFormat="1" customHeight="1" s="260">
      <c r="A1" s="1228">
        <f>'Project Assumptions'!A5</f>
        <v/>
      </c>
      <c r="E1" s="261" t="n"/>
    </row>
    <row r="2" ht="15" customFormat="1" customHeight="1" s="262">
      <c r="A2" s="1229" t="inlineStr">
        <is>
          <t>Detailed Cashflows</t>
        </is>
      </c>
      <c r="B2" s="1229" t="n"/>
      <c r="C2" s="1229" t="n"/>
      <c r="D2" s="1229" t="n"/>
      <c r="E2" s="889" t="n"/>
      <c r="F2" s="1229" t="n"/>
      <c r="G2" s="1229" t="n"/>
      <c r="H2" s="1229" t="n"/>
      <c r="I2" s="1229" t="n"/>
      <c r="J2" s="1229" t="n"/>
      <c r="K2" s="1229" t="n"/>
      <c r="L2" s="1229" t="n"/>
      <c r="M2" s="1229" t="n"/>
      <c r="N2" s="1229" t="n"/>
      <c r="O2" s="1229" t="n"/>
      <c r="P2" s="1229" t="n"/>
      <c r="Q2" s="1229" t="n"/>
      <c r="R2" s="1229" t="n"/>
      <c r="S2" s="1229" t="n"/>
      <c r="T2" s="1229" t="n"/>
      <c r="U2" s="1229" t="n"/>
      <c r="V2" s="1229" t="n"/>
      <c r="W2" s="1229" t="n"/>
      <c r="X2" s="1229" t="n"/>
      <c r="Y2" s="1229" t="n"/>
      <c r="Z2" s="1229" t="n"/>
      <c r="AA2" s="1229" t="n"/>
      <c r="AB2" s="1229" t="n"/>
      <c r="AC2" s="1229" t="n"/>
      <c r="AD2" s="1229" t="n"/>
      <c r="AE2" s="1229" t="n"/>
      <c r="AF2" s="1229" t="n"/>
      <c r="AG2" s="1229" t="n"/>
      <c r="AH2" s="1229" t="n"/>
      <c r="AI2" s="1229" t="n"/>
      <c r="AJ2" s="1229" t="n"/>
      <c r="AK2" s="1229" t="n"/>
      <c r="AL2" s="1229" t="n"/>
      <c r="AM2" s="1229" t="n"/>
      <c r="AN2" s="1229" t="n"/>
      <c r="AO2" s="1229" t="n"/>
      <c r="AP2" s="1229" t="n"/>
      <c r="AQ2" s="1229" t="n"/>
      <c r="AR2" s="1229" t="n"/>
      <c r="AS2" s="1229" t="n"/>
      <c r="AT2" s="1229" t="n"/>
      <c r="AU2" s="1229" t="n"/>
      <c r="AV2" s="1229" t="n"/>
      <c r="AW2" s="1229" t="n"/>
      <c r="AX2" s="1229" t="n"/>
      <c r="AY2" s="1229" t="n"/>
      <c r="AZ2" s="1229" t="n"/>
      <c r="BA2" s="1229" t="n"/>
      <c r="BB2" s="1229" t="n"/>
      <c r="BC2" s="1229" t="n"/>
      <c r="BD2" s="1229" t="n"/>
      <c r="BE2" s="1229" t="n"/>
      <c r="BF2" s="1229" t="n"/>
      <c r="BG2" s="1229" t="n"/>
      <c r="BH2" s="1229" t="n"/>
      <c r="BI2" s="1229" t="n"/>
      <c r="BJ2" s="1229" t="n"/>
      <c r="BK2" s="1229" t="n"/>
      <c r="BL2" s="1229" t="n"/>
      <c r="BM2" s="1229" t="n"/>
      <c r="BN2" s="1229" t="n"/>
      <c r="BO2" s="1229" t="n"/>
      <c r="BP2" s="1229" t="n"/>
      <c r="BQ2" s="1229" t="n"/>
      <c r="BR2" s="1229" t="n"/>
      <c r="BS2" s="1229" t="n"/>
      <c r="BT2" s="1229" t="n"/>
      <c r="BU2" s="1229" t="n"/>
      <c r="BV2" s="1229" t="n"/>
      <c r="BW2" s="1229" t="n"/>
      <c r="BX2" s="1229" t="n"/>
      <c r="BY2" s="1229" t="n"/>
      <c r="BZ2" s="1229" t="n"/>
      <c r="CA2" s="1229" t="n"/>
      <c r="CB2" s="1229" t="n"/>
      <c r="CC2" s="1229" t="n"/>
      <c r="CD2" s="1229" t="n"/>
      <c r="CE2" s="1229" t="n"/>
      <c r="CF2" s="1229" t="n"/>
      <c r="CG2" s="1229" t="n"/>
      <c r="CH2" s="1229" t="n"/>
      <c r="CI2" s="1229" t="n"/>
      <c r="CJ2" s="1229" t="n"/>
      <c r="CK2" s="1229" t="n"/>
      <c r="CL2" s="1229" t="n"/>
      <c r="CM2" s="1229" t="n"/>
      <c r="CN2" s="1229" t="n"/>
      <c r="CO2" s="1229" t="n"/>
      <c r="CP2" s="1229" t="n"/>
      <c r="CQ2" s="1229" t="n"/>
      <c r="CR2" s="1229" t="n"/>
      <c r="CS2" s="1229" t="n"/>
      <c r="CT2" s="1229" t="n"/>
      <c r="CU2" s="1229" t="n"/>
      <c r="CV2" s="1229" t="n"/>
      <c r="CW2" s="1229" t="n"/>
      <c r="CX2" s="1229" t="n"/>
      <c r="CY2" s="1229" t="n"/>
      <c r="CZ2" s="1229" t="n"/>
      <c r="DA2" s="1229" t="n"/>
      <c r="DB2" s="1229" t="n"/>
      <c r="DC2" s="1229" t="n"/>
      <c r="DD2" s="1229" t="n"/>
    </row>
    <row r="3">
      <c r="E3" s="263" t="n"/>
    </row>
    <row r="4" customFormat="1" s="264">
      <c r="E4" s="265" t="n"/>
      <c r="F4" s="790" t="inlineStr">
        <is>
          <t>Closing</t>
        </is>
      </c>
      <c r="G4" s="1122">
        <f>'Project Assumptions'!D14</f>
        <v/>
      </c>
      <c r="H4" s="1122">
        <f>EDATE(G4,1)</f>
        <v/>
      </c>
      <c r="I4" s="1122">
        <f>EDATE(H4,1)</f>
        <v/>
      </c>
      <c r="J4" s="1122">
        <f>EDATE(I4,1)</f>
        <v/>
      </c>
      <c r="K4" s="1122">
        <f>EDATE(J4,1)</f>
        <v/>
      </c>
      <c r="L4" s="1122">
        <f>EDATE(K4,1)</f>
        <v/>
      </c>
      <c r="M4" s="1122">
        <f>EDATE(L4,1)</f>
        <v/>
      </c>
      <c r="N4" s="1122">
        <f>EDATE(M4,1)</f>
        <v/>
      </c>
      <c r="O4" s="1122">
        <f>EDATE(N4,1)</f>
        <v/>
      </c>
      <c r="P4" s="1122">
        <f>EDATE(O4,1)</f>
        <v/>
      </c>
      <c r="Q4" s="1122">
        <f>EDATE(P4,1)</f>
        <v/>
      </c>
      <c r="R4" s="1122">
        <f>EDATE(Q4,1)</f>
        <v/>
      </c>
      <c r="S4" s="1122">
        <f>EDATE(R4,1)</f>
        <v/>
      </c>
      <c r="T4" s="1122">
        <f>EDATE(S4,1)</f>
        <v/>
      </c>
      <c r="U4" s="1122">
        <f>EDATE(T4,1)</f>
        <v/>
      </c>
      <c r="V4" s="1122">
        <f>EDATE(U4,1)</f>
        <v/>
      </c>
      <c r="W4" s="1122">
        <f>EDATE(V4,1)</f>
        <v/>
      </c>
      <c r="X4" s="1122">
        <f>EDATE(W4,1)</f>
        <v/>
      </c>
      <c r="Y4" s="1122">
        <f>EDATE(X4,1)</f>
        <v/>
      </c>
      <c r="Z4" s="1122">
        <f>EDATE(Y4,1)</f>
        <v/>
      </c>
      <c r="AA4" s="1122">
        <f>EDATE(Z4,1)</f>
        <v/>
      </c>
      <c r="AB4" s="1122">
        <f>EDATE(AA4,1)</f>
        <v/>
      </c>
      <c r="AC4" s="1122">
        <f>EDATE(AB4,1)</f>
        <v/>
      </c>
      <c r="AD4" s="1122">
        <f>EDATE(AC4,1)</f>
        <v/>
      </c>
      <c r="AE4" s="1122">
        <f>EDATE(AD4,1)</f>
        <v/>
      </c>
      <c r="AF4" s="1122">
        <f>EDATE(AE4,1)</f>
        <v/>
      </c>
      <c r="AG4" s="1122">
        <f>EDATE(AF4,1)</f>
        <v/>
      </c>
      <c r="AH4" s="1122">
        <f>EDATE(AG4,1)</f>
        <v/>
      </c>
      <c r="AI4" s="1122">
        <f>EDATE(AH4,1)</f>
        <v/>
      </c>
      <c r="AJ4" s="1122">
        <f>EDATE(AI4,1)</f>
        <v/>
      </c>
      <c r="AK4" s="1122">
        <f>EDATE(AJ4,1)</f>
        <v/>
      </c>
      <c r="AL4" s="1122">
        <f>EDATE(AK4,1)</f>
        <v/>
      </c>
      <c r="AM4" s="1122">
        <f>EDATE(AL4,1)</f>
        <v/>
      </c>
      <c r="AN4" s="1122">
        <f>EDATE(AM4,1)</f>
        <v/>
      </c>
      <c r="AO4" s="1122">
        <f>EDATE(AN4,1)</f>
        <v/>
      </c>
      <c r="AP4" s="1122">
        <f>EDATE(AO4,1)</f>
        <v/>
      </c>
      <c r="AQ4" s="1122">
        <f>EDATE(AP4,1)</f>
        <v/>
      </c>
      <c r="AR4" s="1122">
        <f>EDATE(AQ4,1)</f>
        <v/>
      </c>
      <c r="AS4" s="1122">
        <f>EDATE(AR4,1)</f>
        <v/>
      </c>
      <c r="AT4" s="1122">
        <f>EDATE(AS4,1)</f>
        <v/>
      </c>
      <c r="AU4" s="1122">
        <f>EDATE(AT4,1)</f>
        <v/>
      </c>
      <c r="AV4" s="1122">
        <f>EDATE(AU4,1)</f>
        <v/>
      </c>
      <c r="AW4" s="1122">
        <f>EDATE(AV4,1)</f>
        <v/>
      </c>
      <c r="AX4" s="1122">
        <f>EDATE(AW4,1)</f>
        <v/>
      </c>
      <c r="AY4" s="1122">
        <f>EDATE(AX4,1)</f>
        <v/>
      </c>
      <c r="AZ4" s="1122">
        <f>EDATE(AY4,1)</f>
        <v/>
      </c>
      <c r="BA4" s="1122">
        <f>EDATE(AZ4,1)</f>
        <v/>
      </c>
      <c r="BB4" s="1122">
        <f>EDATE(BA4,1)</f>
        <v/>
      </c>
      <c r="BC4" s="1122">
        <f>EDATE(BB4,1)</f>
        <v/>
      </c>
      <c r="BD4" s="1122">
        <f>EDATE(BC4,1)</f>
        <v/>
      </c>
      <c r="BE4" s="1122">
        <f>EDATE(BD4,1)</f>
        <v/>
      </c>
      <c r="BF4" s="1122">
        <f>EDATE(BE4,1)</f>
        <v/>
      </c>
      <c r="BG4" s="1122">
        <f>EDATE(BF4,1)</f>
        <v/>
      </c>
      <c r="BH4" s="1122">
        <f>EDATE(BG4,1)</f>
        <v/>
      </c>
      <c r="BI4" s="1122">
        <f>EDATE(BH4,1)</f>
        <v/>
      </c>
      <c r="BJ4" s="1122">
        <f>EDATE(BI4,1)</f>
        <v/>
      </c>
      <c r="BK4" s="1122">
        <f>EDATE(BJ4,1)</f>
        <v/>
      </c>
      <c r="BL4" s="1122">
        <f>EDATE(BK4,1)</f>
        <v/>
      </c>
      <c r="BM4" s="1122">
        <f>EDATE(BL4,1)</f>
        <v/>
      </c>
      <c r="BN4" s="1122">
        <f>EDATE(BM4,1)</f>
        <v/>
      </c>
      <c r="BO4" s="1122">
        <f>EDATE(BN4,1)</f>
        <v/>
      </c>
      <c r="BP4" s="1122">
        <f>EDATE(BO4,1)</f>
        <v/>
      </c>
      <c r="BQ4" s="1122">
        <f>EDATE(BP4,1)</f>
        <v/>
      </c>
      <c r="BR4" s="1122">
        <f>EDATE(BQ4,1)</f>
        <v/>
      </c>
      <c r="BS4" s="1122">
        <f>EDATE(BR4,1)</f>
        <v/>
      </c>
      <c r="BT4" s="1122">
        <f>EDATE(BS4,1)</f>
        <v/>
      </c>
      <c r="BU4" s="1122">
        <f>EDATE(BT4,1)</f>
        <v/>
      </c>
      <c r="BV4" s="1122">
        <f>EDATE(BU4,1)</f>
        <v/>
      </c>
      <c r="BW4" s="1122">
        <f>EDATE(BV4,1)</f>
        <v/>
      </c>
      <c r="BX4" s="1122">
        <f>EDATE(BW4,1)</f>
        <v/>
      </c>
      <c r="BY4" s="1122">
        <f>EDATE(BX4,1)</f>
        <v/>
      </c>
      <c r="BZ4" s="1122">
        <f>EDATE(BY4,1)</f>
        <v/>
      </c>
      <c r="CA4" s="1122">
        <f>EDATE(BZ4,1)</f>
        <v/>
      </c>
      <c r="CB4" s="1122">
        <f>EDATE(CA4,1)</f>
        <v/>
      </c>
      <c r="CC4" s="1122">
        <f>EDATE(CB4,1)</f>
        <v/>
      </c>
      <c r="CD4" s="1122">
        <f>EDATE(CC4,1)</f>
        <v/>
      </c>
      <c r="CE4" s="1122">
        <f>EDATE(CD4,1)</f>
        <v/>
      </c>
      <c r="CF4" s="1122">
        <f>EDATE(CE4,1)</f>
        <v/>
      </c>
      <c r="CG4" s="1122">
        <f>EDATE(CF4,1)</f>
        <v/>
      </c>
      <c r="CH4" s="1122">
        <f>EDATE(CG4,1)</f>
        <v/>
      </c>
      <c r="CI4" s="1122">
        <f>EDATE(CH4,1)</f>
        <v/>
      </c>
      <c r="CJ4" s="1122">
        <f>EDATE(CI4,1)</f>
        <v/>
      </c>
      <c r="CK4" s="1122">
        <f>EDATE(CJ4,1)</f>
        <v/>
      </c>
      <c r="CL4" s="1122">
        <f>EDATE(CK4,1)</f>
        <v/>
      </c>
      <c r="CM4" s="1122">
        <f>EDATE(CL4,1)</f>
        <v/>
      </c>
      <c r="CN4" s="1122">
        <f>EDATE(CM4,1)</f>
        <v/>
      </c>
      <c r="CO4" s="1122">
        <f>EDATE(CN4,1)</f>
        <v/>
      </c>
      <c r="CP4" s="1122">
        <f>EDATE(CO4,1)</f>
        <v/>
      </c>
      <c r="CQ4" s="1122">
        <f>EDATE(CP4,1)</f>
        <v/>
      </c>
      <c r="CR4" s="1122">
        <f>EDATE(CQ4,1)</f>
        <v/>
      </c>
      <c r="CS4" s="1122">
        <f>EDATE(CR4,1)</f>
        <v/>
      </c>
      <c r="CT4" s="1122">
        <f>EDATE(CS4,1)</f>
        <v/>
      </c>
      <c r="CU4" s="1122">
        <f>EDATE(CT4,1)</f>
        <v/>
      </c>
      <c r="CV4" s="1122">
        <f>EDATE(CU4,1)</f>
        <v/>
      </c>
      <c r="CW4" s="1122">
        <f>EDATE(CV4,1)</f>
        <v/>
      </c>
      <c r="CX4" s="1122">
        <f>EDATE(CW4,1)</f>
        <v/>
      </c>
      <c r="CY4" s="1122">
        <f>EDATE(CX4,1)</f>
        <v/>
      </c>
      <c r="CZ4" s="1122">
        <f>EDATE(CY4,1)</f>
        <v/>
      </c>
      <c r="DA4" s="1122">
        <f>EDATE(CZ4,1)</f>
        <v/>
      </c>
      <c r="DB4" s="1122">
        <f>EDATE(DA4,1)</f>
        <v/>
      </c>
    </row>
    <row r="5" ht="14.1" customHeight="1">
      <c r="D5" s="267" t="inlineStr">
        <is>
          <t>Total</t>
        </is>
      </c>
      <c r="E5" s="268" t="n"/>
      <c r="F5" s="267" t="n">
        <v>0</v>
      </c>
      <c r="G5" s="267" t="n">
        <v>1</v>
      </c>
      <c r="H5" s="267" t="n">
        <v>2</v>
      </c>
      <c r="I5" s="267" t="n">
        <v>3</v>
      </c>
      <c r="J5" s="267" t="n">
        <v>4</v>
      </c>
      <c r="K5" s="267" t="n">
        <v>5</v>
      </c>
      <c r="L5" s="267" t="n">
        <v>6</v>
      </c>
      <c r="M5" s="267" t="n">
        <v>7</v>
      </c>
      <c r="N5" s="267" t="n">
        <v>8</v>
      </c>
      <c r="O5" s="267" t="n">
        <v>9</v>
      </c>
      <c r="P5" s="267" t="n">
        <v>10</v>
      </c>
      <c r="Q5" s="267" t="n">
        <v>11</v>
      </c>
      <c r="R5" s="267" t="n">
        <v>12</v>
      </c>
      <c r="S5" s="267" t="n">
        <v>13</v>
      </c>
      <c r="T5" s="267" t="n">
        <v>14</v>
      </c>
      <c r="U5" s="267" t="n">
        <v>15</v>
      </c>
      <c r="V5" s="267" t="n">
        <v>16</v>
      </c>
      <c r="W5" s="267" t="n">
        <v>17</v>
      </c>
      <c r="X5" s="267" t="n">
        <v>18</v>
      </c>
      <c r="Y5" s="267" t="n">
        <v>19</v>
      </c>
      <c r="Z5" s="267" t="n">
        <v>20</v>
      </c>
      <c r="AA5" s="267" t="n">
        <v>21</v>
      </c>
      <c r="AB5" s="267" t="n">
        <v>22</v>
      </c>
      <c r="AC5" s="267" t="n">
        <v>23</v>
      </c>
      <c r="AD5" s="267" t="n">
        <v>24</v>
      </c>
      <c r="AE5" s="267" t="n">
        <v>25</v>
      </c>
      <c r="AF5" s="267" t="n">
        <v>26</v>
      </c>
      <c r="AG5" s="267" t="n">
        <v>27</v>
      </c>
      <c r="AH5" s="267" t="n">
        <v>28</v>
      </c>
      <c r="AI5" s="267" t="n">
        <v>29</v>
      </c>
      <c r="AJ5" s="267" t="n">
        <v>30</v>
      </c>
      <c r="AK5" s="267" t="n">
        <v>31</v>
      </c>
      <c r="AL5" s="267" t="n">
        <v>32</v>
      </c>
      <c r="AM5" s="267" t="n">
        <v>33</v>
      </c>
      <c r="AN5" s="267" t="n">
        <v>34</v>
      </c>
      <c r="AO5" s="267" t="n">
        <v>35</v>
      </c>
      <c r="AP5" s="267" t="n">
        <v>36</v>
      </c>
      <c r="AQ5" s="267" t="n">
        <v>37</v>
      </c>
      <c r="AR5" s="267" t="n">
        <v>38</v>
      </c>
      <c r="AS5" s="267" t="n">
        <v>39</v>
      </c>
      <c r="AT5" s="267" t="n">
        <v>40</v>
      </c>
      <c r="AU5" s="267" t="n">
        <v>41</v>
      </c>
      <c r="AV5" s="267" t="n">
        <v>42</v>
      </c>
      <c r="AW5" s="267" t="n">
        <v>43</v>
      </c>
      <c r="AX5" s="267" t="n">
        <v>44</v>
      </c>
      <c r="AY5" s="267" t="n">
        <v>45</v>
      </c>
      <c r="AZ5" s="267" t="n">
        <v>46</v>
      </c>
      <c r="BA5" s="267" t="n">
        <v>47</v>
      </c>
      <c r="BB5" s="267" t="n">
        <v>48</v>
      </c>
      <c r="BC5" s="267" t="n">
        <v>49</v>
      </c>
      <c r="BD5" s="267" t="n">
        <v>50</v>
      </c>
      <c r="BE5" s="267" t="n">
        <v>51</v>
      </c>
      <c r="BF5" s="267" t="n">
        <v>52</v>
      </c>
      <c r="BG5" s="267" t="n">
        <v>53</v>
      </c>
      <c r="BH5" s="267" t="n">
        <v>54</v>
      </c>
      <c r="BI5" s="267" t="n">
        <v>55</v>
      </c>
      <c r="BJ5" s="267" t="n">
        <v>56</v>
      </c>
      <c r="BK5" s="267" t="n">
        <v>57</v>
      </c>
      <c r="BL5" s="267" t="n">
        <v>58</v>
      </c>
      <c r="BM5" s="267" t="n">
        <v>59</v>
      </c>
      <c r="BN5" s="267" t="n">
        <v>60</v>
      </c>
      <c r="BO5" s="267" t="n">
        <v>61</v>
      </c>
      <c r="BP5" s="267" t="n">
        <v>62</v>
      </c>
      <c r="BQ5" s="267" t="n">
        <v>63</v>
      </c>
      <c r="BR5" s="267" t="n">
        <v>64</v>
      </c>
      <c r="BS5" s="267" t="n">
        <v>65</v>
      </c>
      <c r="BT5" s="267" t="n">
        <v>66</v>
      </c>
      <c r="BU5" s="267" t="n">
        <v>67</v>
      </c>
      <c r="BV5" s="267" t="n">
        <v>68</v>
      </c>
      <c r="BW5" s="267" t="n">
        <v>69</v>
      </c>
      <c r="BX5" s="267" t="n">
        <v>70</v>
      </c>
      <c r="BY5" s="267" t="n">
        <v>71</v>
      </c>
      <c r="BZ5" s="267" t="n">
        <v>72</v>
      </c>
      <c r="CA5" s="267" t="n">
        <v>73</v>
      </c>
      <c r="CB5" s="267" t="n">
        <v>74</v>
      </c>
      <c r="CC5" s="267" t="n">
        <v>75</v>
      </c>
      <c r="CD5" s="267" t="n">
        <v>76</v>
      </c>
      <c r="CE5" s="267" t="n">
        <v>77</v>
      </c>
      <c r="CF5" s="267" t="n">
        <v>78</v>
      </c>
      <c r="CG5" s="267" t="n">
        <v>79</v>
      </c>
      <c r="CH5" s="267" t="n">
        <v>80</v>
      </c>
      <c r="CI5" s="267" t="n">
        <v>81</v>
      </c>
      <c r="CJ5" s="267" t="n">
        <v>82</v>
      </c>
      <c r="CK5" s="267" t="n">
        <v>83</v>
      </c>
      <c r="CL5" s="267" t="n">
        <v>84</v>
      </c>
      <c r="CM5" s="267" t="n">
        <v>85</v>
      </c>
      <c r="CN5" s="267" t="n">
        <v>86</v>
      </c>
      <c r="CO5" s="267" t="n">
        <v>87</v>
      </c>
      <c r="CP5" s="267" t="n">
        <v>88</v>
      </c>
      <c r="CQ5" s="267" t="n">
        <v>89</v>
      </c>
      <c r="CR5" s="267" t="n">
        <v>90</v>
      </c>
      <c r="CS5" s="267" t="n">
        <v>91</v>
      </c>
      <c r="CT5" s="267" t="n">
        <v>92</v>
      </c>
      <c r="CU5" s="267" t="n">
        <v>93</v>
      </c>
      <c r="CV5" s="267" t="n">
        <v>94</v>
      </c>
      <c r="CW5" s="267" t="n">
        <v>95</v>
      </c>
      <c r="CX5" s="267" t="n">
        <v>96</v>
      </c>
      <c r="CY5" s="267" t="n">
        <v>97</v>
      </c>
      <c r="CZ5" s="267" t="n">
        <v>98</v>
      </c>
      <c r="DA5" s="267" t="n">
        <v>99</v>
      </c>
      <c r="DB5" s="267" t="n">
        <v>100</v>
      </c>
      <c r="DD5" s="269" t="inlineStr">
        <is>
          <t>Total</t>
        </is>
      </c>
    </row>
    <row r="6" ht="12.4" customFormat="1" customHeight="1" s="13">
      <c r="A6" s="270" t="inlineStr">
        <is>
          <t>Project Summary Costs</t>
        </is>
      </c>
      <c r="E6" s="271" t="n"/>
      <c r="DB6" s="272" t="n"/>
    </row>
    <row r="7" ht="12.4" customFormat="1" customHeight="1" s="13">
      <c r="E7" s="271" t="n"/>
      <c r="DB7" s="272" t="n"/>
    </row>
    <row r="8" ht="12.4" customFormat="1" customHeight="1" s="13">
      <c r="A8" s="13" t="inlineStr">
        <is>
          <t>Land or Building Purchase</t>
        </is>
      </c>
      <c r="C8" s="273" t="n"/>
      <c r="D8" s="273">
        <f>DD8</f>
        <v/>
      </c>
      <c r="E8" s="274" t="n"/>
      <c r="F8" s="273">
        <f>SUM(F29)</f>
        <v/>
      </c>
      <c r="G8" s="273">
        <f>SUM(G29)</f>
        <v/>
      </c>
      <c r="H8" s="273">
        <f>SUM(H29)</f>
        <v/>
      </c>
      <c r="I8" s="273">
        <f>SUM(I29)</f>
        <v/>
      </c>
      <c r="J8" s="273">
        <f>SUM(J29)</f>
        <v/>
      </c>
      <c r="K8" s="273">
        <f>SUM(K29)</f>
        <v/>
      </c>
      <c r="L8" s="273">
        <f>SUM(L29)</f>
        <v/>
      </c>
      <c r="M8" s="273">
        <f>SUM(M29)</f>
        <v/>
      </c>
      <c r="N8" s="273">
        <f>SUM(N29)</f>
        <v/>
      </c>
      <c r="O8" s="273">
        <f>SUM(O29)</f>
        <v/>
      </c>
      <c r="P8" s="273">
        <f>SUM(P29)</f>
        <v/>
      </c>
      <c r="Q8" s="273">
        <f>SUM(Q29)</f>
        <v/>
      </c>
      <c r="R8" s="273">
        <f>SUM(R29)</f>
        <v/>
      </c>
      <c r="S8" s="273">
        <f>SUM(S29)</f>
        <v/>
      </c>
      <c r="T8" s="273">
        <f>SUM(T29)</f>
        <v/>
      </c>
      <c r="U8" s="273">
        <f>SUM(U29)</f>
        <v/>
      </c>
      <c r="V8" s="273">
        <f>SUM(V29)</f>
        <v/>
      </c>
      <c r="W8" s="273">
        <f>SUM(W29)</f>
        <v/>
      </c>
      <c r="X8" s="273">
        <f>SUM(X29)</f>
        <v/>
      </c>
      <c r="Y8" s="273">
        <f>SUM(Y29)</f>
        <v/>
      </c>
      <c r="Z8" s="273">
        <f>SUM(Z29)</f>
        <v/>
      </c>
      <c r="AA8" s="273">
        <f>SUM(AA29)</f>
        <v/>
      </c>
      <c r="AB8" s="273">
        <f>SUM(AB29)</f>
        <v/>
      </c>
      <c r="AC8" s="273">
        <f>SUM(AC29)</f>
        <v/>
      </c>
      <c r="AD8" s="273">
        <f>SUM(AD29)</f>
        <v/>
      </c>
      <c r="AE8" s="273">
        <f>SUM(AE29)</f>
        <v/>
      </c>
      <c r="AF8" s="273">
        <f>SUM(AF29)</f>
        <v/>
      </c>
      <c r="AG8" s="273">
        <f>SUM(AG29)</f>
        <v/>
      </c>
      <c r="AH8" s="273">
        <f>SUM(AH29)</f>
        <v/>
      </c>
      <c r="AI8" s="273">
        <f>SUM(AI29)</f>
        <v/>
      </c>
      <c r="AJ8" s="273">
        <f>SUM(AJ29)</f>
        <v/>
      </c>
      <c r="AK8" s="273">
        <f>SUM(AK29)</f>
        <v/>
      </c>
      <c r="AL8" s="273">
        <f>SUM(AL29)</f>
        <v/>
      </c>
      <c r="AM8" s="273">
        <f>SUM(AM29)</f>
        <v/>
      </c>
      <c r="AN8" s="273">
        <f>SUM(AN29)</f>
        <v/>
      </c>
      <c r="AO8" s="273">
        <f>SUM(AO29)</f>
        <v/>
      </c>
      <c r="AP8" s="273">
        <f>SUM(AP29)</f>
        <v/>
      </c>
      <c r="AQ8" s="273">
        <f>SUM(AQ29)</f>
        <v/>
      </c>
      <c r="AR8" s="273">
        <f>SUM(AR29)</f>
        <v/>
      </c>
      <c r="AS8" s="273">
        <f>SUM(AS29)</f>
        <v/>
      </c>
      <c r="AT8" s="273">
        <f>SUM(AT29)</f>
        <v/>
      </c>
      <c r="AU8" s="273">
        <f>SUM(AU29)</f>
        <v/>
      </c>
      <c r="AV8" s="273">
        <f>SUM(AV29)</f>
        <v/>
      </c>
      <c r="AW8" s="273">
        <f>SUM(AW29)</f>
        <v/>
      </c>
      <c r="AX8" s="273">
        <f>SUM(AX29)</f>
        <v/>
      </c>
      <c r="AY8" s="273">
        <f>SUM(AY29)</f>
        <v/>
      </c>
      <c r="AZ8" s="273">
        <f>SUM(AZ29)</f>
        <v/>
      </c>
      <c r="BA8" s="273">
        <f>SUM(BA29)</f>
        <v/>
      </c>
      <c r="BB8" s="273">
        <f>SUM(BB29)</f>
        <v/>
      </c>
      <c r="BC8" s="273">
        <f>SUM(BC29)</f>
        <v/>
      </c>
      <c r="BD8" s="273">
        <f>SUM(BD29)</f>
        <v/>
      </c>
      <c r="BE8" s="273">
        <f>SUM(BE29)</f>
        <v/>
      </c>
      <c r="BF8" s="273">
        <f>SUM(BF29)</f>
        <v/>
      </c>
      <c r="BG8" s="273">
        <f>SUM(BG29)</f>
        <v/>
      </c>
      <c r="BH8" s="273">
        <f>SUM(BH29)</f>
        <v/>
      </c>
      <c r="BI8" s="273">
        <f>SUM(BI29)</f>
        <v/>
      </c>
      <c r="BJ8" s="273">
        <f>SUM(BJ29)</f>
        <v/>
      </c>
      <c r="BK8" s="273">
        <f>SUM(BK29)</f>
        <v/>
      </c>
      <c r="BL8" s="273">
        <f>SUM(BL29)</f>
        <v/>
      </c>
      <c r="BM8" s="273">
        <f>SUM(BM29)</f>
        <v/>
      </c>
      <c r="BN8" s="273">
        <f>SUM(BN29)</f>
        <v/>
      </c>
      <c r="BO8" s="273">
        <f>SUM(BO29)</f>
        <v/>
      </c>
      <c r="BP8" s="273">
        <f>SUM(BP29)</f>
        <v/>
      </c>
      <c r="BQ8" s="273">
        <f>SUM(BQ29)</f>
        <v/>
      </c>
      <c r="BR8" s="273">
        <f>SUM(BR29)</f>
        <v/>
      </c>
      <c r="BS8" s="273">
        <f>SUM(BS29)</f>
        <v/>
      </c>
      <c r="BT8" s="273">
        <f>SUM(BT29)</f>
        <v/>
      </c>
      <c r="BU8" s="273">
        <f>SUM(BU29)</f>
        <v/>
      </c>
      <c r="BV8" s="273">
        <f>SUM(BV29)</f>
        <v/>
      </c>
      <c r="BW8" s="273">
        <f>SUM(BW29)</f>
        <v/>
      </c>
      <c r="BX8" s="273">
        <f>SUM(BX29)</f>
        <v/>
      </c>
      <c r="BY8" s="273">
        <f>SUM(BY29)</f>
        <v/>
      </c>
      <c r="BZ8" s="273">
        <f>SUM(BZ29)</f>
        <v/>
      </c>
      <c r="CA8" s="273">
        <f>SUM(CA29)</f>
        <v/>
      </c>
      <c r="CB8" s="273">
        <f>SUM(CB29)</f>
        <v/>
      </c>
      <c r="CC8" s="273">
        <f>SUM(CC29)</f>
        <v/>
      </c>
      <c r="CD8" s="273">
        <f>SUM(CD29)</f>
        <v/>
      </c>
      <c r="CE8" s="273">
        <f>SUM(CE29)</f>
        <v/>
      </c>
      <c r="CF8" s="273">
        <f>SUM(CF29)</f>
        <v/>
      </c>
      <c r="CG8" s="273">
        <f>SUM(CG29)</f>
        <v/>
      </c>
      <c r="CH8" s="273">
        <f>SUM(CH29)</f>
        <v/>
      </c>
      <c r="CI8" s="273">
        <f>SUM(CI29)</f>
        <v/>
      </c>
      <c r="CJ8" s="273">
        <f>SUM(CJ29)</f>
        <v/>
      </c>
      <c r="CK8" s="273">
        <f>SUM(CK29)</f>
        <v/>
      </c>
      <c r="CL8" s="273">
        <f>SUM(CL29)</f>
        <v/>
      </c>
      <c r="CM8" s="273">
        <f>SUM(CM29)</f>
        <v/>
      </c>
      <c r="CN8" s="273">
        <f>SUM(CN29)</f>
        <v/>
      </c>
      <c r="CO8" s="273">
        <f>SUM(CO29)</f>
        <v/>
      </c>
      <c r="CP8" s="273">
        <f>SUM(CP29)</f>
        <v/>
      </c>
      <c r="CQ8" s="273">
        <f>SUM(CQ29)</f>
        <v/>
      </c>
      <c r="CR8" s="273">
        <f>SUM(CR29)</f>
        <v/>
      </c>
      <c r="CS8" s="273">
        <f>SUM(CS29)</f>
        <v/>
      </c>
      <c r="CT8" s="273">
        <f>SUM(CT29)</f>
        <v/>
      </c>
      <c r="CU8" s="273">
        <f>SUM(CU29)</f>
        <v/>
      </c>
      <c r="CV8" s="273">
        <f>SUM(CV29)</f>
        <v/>
      </c>
      <c r="CW8" s="273">
        <f>SUM(CW29)</f>
        <v/>
      </c>
      <c r="CX8" s="273">
        <f>SUM(CX29)</f>
        <v/>
      </c>
      <c r="CY8" s="273">
        <f>SUM(CY29)</f>
        <v/>
      </c>
      <c r="CZ8" s="273">
        <f>SUM(CZ29)</f>
        <v/>
      </c>
      <c r="DA8" s="273">
        <f>SUM(DA29)</f>
        <v/>
      </c>
      <c r="DB8" s="275">
        <f>SUM(DB29)</f>
        <v/>
      </c>
      <c r="DC8" s="273" t="n"/>
      <c r="DD8" s="273">
        <f>SUM(F8:DB8)</f>
        <v/>
      </c>
    </row>
    <row r="9" ht="12.4" customFormat="1" customHeight="1" s="13">
      <c r="A9" s="13" t="inlineStr">
        <is>
          <t>Land Development and Site Work</t>
        </is>
      </c>
      <c r="C9" s="273" t="n"/>
      <c r="D9" s="273">
        <f>DD9</f>
        <v/>
      </c>
      <c r="E9" s="274" t="n"/>
      <c r="F9" s="273">
        <f>SUM(F30:F32)</f>
        <v/>
      </c>
      <c r="G9" s="273">
        <f>SUM(G30:G32)</f>
        <v/>
      </c>
      <c r="H9" s="273">
        <f>SUM(H30:H32)</f>
        <v/>
      </c>
      <c r="I9" s="273">
        <f>SUM(I30:I32)</f>
        <v/>
      </c>
      <c r="J9" s="273">
        <f>SUM(J30:J32)</f>
        <v/>
      </c>
      <c r="K9" s="273">
        <f>SUM(K30:K32)</f>
        <v/>
      </c>
      <c r="L9" s="273">
        <f>SUM(L30:L32)</f>
        <v/>
      </c>
      <c r="M9" s="273">
        <f>SUM(M30:M32)</f>
        <v/>
      </c>
      <c r="N9" s="273">
        <f>SUM(N30:N32)</f>
        <v/>
      </c>
      <c r="O9" s="273">
        <f>SUM(O30:O32)</f>
        <v/>
      </c>
      <c r="P9" s="273">
        <f>SUM(P30:P32)</f>
        <v/>
      </c>
      <c r="Q9" s="273">
        <f>SUM(Q30:Q32)</f>
        <v/>
      </c>
      <c r="R9" s="273">
        <f>SUM(R30:R32)</f>
        <v/>
      </c>
      <c r="S9" s="273">
        <f>SUM(S30:S32)</f>
        <v/>
      </c>
      <c r="T9" s="273">
        <f>SUM(T30:T32)</f>
        <v/>
      </c>
      <c r="U9" s="273">
        <f>SUM(U30:U32)</f>
        <v/>
      </c>
      <c r="V9" s="273">
        <f>SUM(V30:V32)</f>
        <v/>
      </c>
      <c r="W9" s="273">
        <f>SUM(W30:W32)</f>
        <v/>
      </c>
      <c r="X9" s="273">
        <f>SUM(X30:X32)</f>
        <v/>
      </c>
      <c r="Y9" s="273">
        <f>SUM(Y30:Y32)</f>
        <v/>
      </c>
      <c r="Z9" s="273">
        <f>SUM(Z30:Z32)</f>
        <v/>
      </c>
      <c r="AA9" s="273">
        <f>SUM(AA30:AA32)</f>
        <v/>
      </c>
      <c r="AB9" s="273">
        <f>SUM(AB30:AB32)</f>
        <v/>
      </c>
      <c r="AC9" s="273">
        <f>SUM(AC30:AC32)</f>
        <v/>
      </c>
      <c r="AD9" s="273">
        <f>SUM(AD30:AD32)</f>
        <v/>
      </c>
      <c r="AE9" s="273">
        <f>SUM(AE30:AE32)</f>
        <v/>
      </c>
      <c r="AF9" s="273">
        <f>SUM(AF30:AF32)</f>
        <v/>
      </c>
      <c r="AG9" s="273">
        <f>SUM(AG30:AG32)</f>
        <v/>
      </c>
      <c r="AH9" s="273">
        <f>SUM(AH30:AH32)</f>
        <v/>
      </c>
      <c r="AI9" s="273">
        <f>SUM(AI30:AI32)</f>
        <v/>
      </c>
      <c r="AJ9" s="273">
        <f>SUM(AJ30:AJ32)</f>
        <v/>
      </c>
      <c r="AK9" s="273">
        <f>SUM(AK30:AK32)</f>
        <v/>
      </c>
      <c r="AL9" s="273">
        <f>SUM(AL30:AL32)</f>
        <v/>
      </c>
      <c r="AM9" s="273">
        <f>SUM(AM30:AM32)</f>
        <v/>
      </c>
      <c r="AN9" s="273">
        <f>SUM(AN30:AN32)</f>
        <v/>
      </c>
      <c r="AO9" s="273">
        <f>SUM(AO30:AO32)</f>
        <v/>
      </c>
      <c r="AP9" s="273">
        <f>SUM(AP30:AP32)</f>
        <v/>
      </c>
      <c r="AQ9" s="273">
        <f>SUM(AQ30:AQ32)</f>
        <v/>
      </c>
      <c r="AR9" s="273">
        <f>SUM(AR30:AR32)</f>
        <v/>
      </c>
      <c r="AS9" s="273">
        <f>SUM(AS30:AS32)</f>
        <v/>
      </c>
      <c r="AT9" s="273">
        <f>SUM(AT30:AT32)</f>
        <v/>
      </c>
      <c r="AU9" s="273">
        <f>SUM(AU30:AU32)</f>
        <v/>
      </c>
      <c r="AV9" s="273">
        <f>SUM(AV30:AV32)</f>
        <v/>
      </c>
      <c r="AW9" s="273">
        <f>SUM(AW30:AW32)</f>
        <v/>
      </c>
      <c r="AX9" s="273">
        <f>SUM(AX30:AX32)</f>
        <v/>
      </c>
      <c r="AY9" s="273">
        <f>SUM(AY30:AY32)</f>
        <v/>
      </c>
      <c r="AZ9" s="273">
        <f>SUM(AZ30:AZ32)</f>
        <v/>
      </c>
      <c r="BA9" s="273">
        <f>SUM(BA30:BA32)</f>
        <v/>
      </c>
      <c r="BB9" s="273">
        <f>SUM(BB30:BB32)</f>
        <v/>
      </c>
      <c r="BC9" s="273">
        <f>SUM(BC30:BC32)</f>
        <v/>
      </c>
      <c r="BD9" s="273">
        <f>SUM(BD30:BD32)</f>
        <v/>
      </c>
      <c r="BE9" s="273">
        <f>SUM(BE30:BE32)</f>
        <v/>
      </c>
      <c r="BF9" s="273">
        <f>SUM(BF30:BF32)</f>
        <v/>
      </c>
      <c r="BG9" s="273">
        <f>SUM(BG30:BG32)</f>
        <v/>
      </c>
      <c r="BH9" s="273">
        <f>SUM(BH30:BH32)</f>
        <v/>
      </c>
      <c r="BI9" s="273">
        <f>SUM(BI30:BI32)</f>
        <v/>
      </c>
      <c r="BJ9" s="273">
        <f>SUM(BJ30:BJ32)</f>
        <v/>
      </c>
      <c r="BK9" s="273">
        <f>SUM(BK30:BK32)</f>
        <v/>
      </c>
      <c r="BL9" s="273">
        <f>SUM(BL30:BL32)</f>
        <v/>
      </c>
      <c r="BM9" s="273">
        <f>SUM(BM30:BM32)</f>
        <v/>
      </c>
      <c r="BN9" s="273">
        <f>SUM(BN30:BN32)</f>
        <v/>
      </c>
      <c r="BO9" s="273">
        <f>SUM(BO30:BO32)</f>
        <v/>
      </c>
      <c r="BP9" s="273">
        <f>SUM(BP30:BP32)</f>
        <v/>
      </c>
      <c r="BQ9" s="273">
        <f>SUM(BQ30:BQ32)</f>
        <v/>
      </c>
      <c r="BR9" s="273">
        <f>SUM(BR30:BR32)</f>
        <v/>
      </c>
      <c r="BS9" s="273">
        <f>SUM(BS30:BS32)</f>
        <v/>
      </c>
      <c r="BT9" s="273">
        <f>SUM(BT30:BT32)</f>
        <v/>
      </c>
      <c r="BU9" s="273">
        <f>SUM(BU30:BU32)</f>
        <v/>
      </c>
      <c r="BV9" s="273">
        <f>SUM(BV30:BV32)</f>
        <v/>
      </c>
      <c r="BW9" s="273">
        <f>SUM(BW30:BW32)</f>
        <v/>
      </c>
      <c r="BX9" s="273">
        <f>SUM(BX30:BX32)</f>
        <v/>
      </c>
      <c r="BY9" s="273">
        <f>SUM(BY30:BY32)</f>
        <v/>
      </c>
      <c r="BZ9" s="273">
        <f>SUM(BZ30:BZ32)</f>
        <v/>
      </c>
      <c r="CA9" s="273">
        <f>SUM(CA30:CA32)</f>
        <v/>
      </c>
      <c r="CB9" s="273">
        <f>SUM(CB30:CB32)</f>
        <v/>
      </c>
      <c r="CC9" s="273">
        <f>SUM(CC30:CC32)</f>
        <v/>
      </c>
      <c r="CD9" s="273">
        <f>SUM(CD30:CD32)</f>
        <v/>
      </c>
      <c r="CE9" s="273">
        <f>SUM(CE30:CE32)</f>
        <v/>
      </c>
      <c r="CF9" s="273">
        <f>SUM(CF30:CF32)</f>
        <v/>
      </c>
      <c r="CG9" s="273">
        <f>SUM(CG30:CG32)</f>
        <v/>
      </c>
      <c r="CH9" s="273">
        <f>SUM(CH30:CH32)</f>
        <v/>
      </c>
      <c r="CI9" s="273">
        <f>SUM(CI30:CI32)</f>
        <v/>
      </c>
      <c r="CJ9" s="273">
        <f>SUM(CJ30:CJ32)</f>
        <v/>
      </c>
      <c r="CK9" s="273">
        <f>SUM(CK30:CK32)</f>
        <v/>
      </c>
      <c r="CL9" s="273">
        <f>SUM(CL30:CL32)</f>
        <v/>
      </c>
      <c r="CM9" s="273">
        <f>SUM(CM30:CM32)</f>
        <v/>
      </c>
      <c r="CN9" s="273">
        <f>SUM(CN30:CN32)</f>
        <v/>
      </c>
      <c r="CO9" s="273">
        <f>SUM(CO30:CO32)</f>
        <v/>
      </c>
      <c r="CP9" s="273">
        <f>SUM(CP30:CP32)</f>
        <v/>
      </c>
      <c r="CQ9" s="273">
        <f>SUM(CQ30:CQ32)</f>
        <v/>
      </c>
      <c r="CR9" s="273">
        <f>SUM(CR30:CR32)</f>
        <v/>
      </c>
      <c r="CS9" s="273">
        <f>SUM(CS30:CS32)</f>
        <v/>
      </c>
      <c r="CT9" s="273">
        <f>SUM(CT30:CT32)</f>
        <v/>
      </c>
      <c r="CU9" s="273">
        <f>SUM(CU30:CU32)</f>
        <v/>
      </c>
      <c r="CV9" s="273">
        <f>SUM(CV30:CV32)</f>
        <v/>
      </c>
      <c r="CW9" s="273">
        <f>SUM(CW30:CW32)</f>
        <v/>
      </c>
      <c r="CX9" s="273">
        <f>SUM(CX30:CX32)</f>
        <v/>
      </c>
      <c r="CY9" s="273">
        <f>SUM(CY30:CY32)</f>
        <v/>
      </c>
      <c r="CZ9" s="273">
        <f>SUM(CZ30:CZ32)</f>
        <v/>
      </c>
      <c r="DA9" s="273">
        <f>SUM(DA30:DA32)</f>
        <v/>
      </c>
      <c r="DB9" s="275">
        <f>SUM(DB30:DB32)</f>
        <v/>
      </c>
      <c r="DC9" s="273" t="n"/>
      <c r="DD9" s="273">
        <f>SUM(F9:DB9)</f>
        <v/>
      </c>
    </row>
    <row r="10" ht="12.4" customFormat="1" customHeight="1" s="13">
      <c r="A10" s="13" t="inlineStr">
        <is>
          <t>Building Shell</t>
        </is>
      </c>
      <c r="C10" s="273" t="n"/>
      <c r="D10" s="273">
        <f>DD10</f>
        <v/>
      </c>
      <c r="E10" s="274" t="n"/>
      <c r="F10" s="273">
        <f>SUM(F33:F34)</f>
        <v/>
      </c>
      <c r="G10" s="273">
        <f>SUM(G33:G34)</f>
        <v/>
      </c>
      <c r="H10" s="273">
        <f>SUM(H33:H34)</f>
        <v/>
      </c>
      <c r="I10" s="273">
        <f>SUM(I33:I34)</f>
        <v/>
      </c>
      <c r="J10" s="273">
        <f>SUM(J33:J34)</f>
        <v/>
      </c>
      <c r="K10" s="273">
        <f>SUM(K33:K34)</f>
        <v/>
      </c>
      <c r="L10" s="273">
        <f>SUM(L33:L34)</f>
        <v/>
      </c>
      <c r="M10" s="273">
        <f>SUM(M33:M34)</f>
        <v/>
      </c>
      <c r="N10" s="273">
        <f>SUM(N33:N34)</f>
        <v/>
      </c>
      <c r="O10" s="273">
        <f>SUM(O33:O34)</f>
        <v/>
      </c>
      <c r="P10" s="273">
        <f>SUM(P33:P34)</f>
        <v/>
      </c>
      <c r="Q10" s="273">
        <f>SUM(Q33:Q34)</f>
        <v/>
      </c>
      <c r="R10" s="273">
        <f>SUM(R33:R34)</f>
        <v/>
      </c>
      <c r="S10" s="273">
        <f>SUM(S33:S34)</f>
        <v/>
      </c>
      <c r="T10" s="273">
        <f>SUM(T33:T34)</f>
        <v/>
      </c>
      <c r="U10" s="273">
        <f>SUM(U33:U34)</f>
        <v/>
      </c>
      <c r="V10" s="273">
        <f>SUM(V33:V34)</f>
        <v/>
      </c>
      <c r="W10" s="273">
        <f>SUM(W33:W34)</f>
        <v/>
      </c>
      <c r="X10" s="273">
        <f>SUM(X33:X34)</f>
        <v/>
      </c>
      <c r="Y10" s="273">
        <f>SUM(Y33:Y34)</f>
        <v/>
      </c>
      <c r="Z10" s="273">
        <f>SUM(Z33:Z34)</f>
        <v/>
      </c>
      <c r="AA10" s="273">
        <f>SUM(AA33:AA34)</f>
        <v/>
      </c>
      <c r="AB10" s="273">
        <f>SUM(AB33:AB34)</f>
        <v/>
      </c>
      <c r="AC10" s="273">
        <f>SUM(AC33:AC34)</f>
        <v/>
      </c>
      <c r="AD10" s="273">
        <f>SUM(AD33:AD34)</f>
        <v/>
      </c>
      <c r="AE10" s="273">
        <f>SUM(AE33:AE34)</f>
        <v/>
      </c>
      <c r="AF10" s="273">
        <f>SUM(AF33:AF34)</f>
        <v/>
      </c>
      <c r="AG10" s="273">
        <f>SUM(AG33:AG34)</f>
        <v/>
      </c>
      <c r="AH10" s="273">
        <f>SUM(AH33:AH34)</f>
        <v/>
      </c>
      <c r="AI10" s="273">
        <f>SUM(AI33:AI34)</f>
        <v/>
      </c>
      <c r="AJ10" s="273">
        <f>SUM(AJ33:AJ34)</f>
        <v/>
      </c>
      <c r="AK10" s="273">
        <f>SUM(AK33:AK34)</f>
        <v/>
      </c>
      <c r="AL10" s="273">
        <f>SUM(AL33:AL34)</f>
        <v/>
      </c>
      <c r="AM10" s="273">
        <f>SUM(AM33:AM34)</f>
        <v/>
      </c>
      <c r="AN10" s="273">
        <f>SUM(AN33:AN34)</f>
        <v/>
      </c>
      <c r="AO10" s="273">
        <f>SUM(AO33:AO34)</f>
        <v/>
      </c>
      <c r="AP10" s="273">
        <f>SUM(AP33:AP34)</f>
        <v/>
      </c>
      <c r="AQ10" s="273">
        <f>SUM(AQ33:AQ34)</f>
        <v/>
      </c>
      <c r="AR10" s="273">
        <f>SUM(AR33:AR34)</f>
        <v/>
      </c>
      <c r="AS10" s="273">
        <f>SUM(AS33:AS34)</f>
        <v/>
      </c>
      <c r="AT10" s="273">
        <f>SUM(AT33:AT34)</f>
        <v/>
      </c>
      <c r="AU10" s="273">
        <f>SUM(AU33:AU34)</f>
        <v/>
      </c>
      <c r="AV10" s="273">
        <f>SUM(AV33:AV34)</f>
        <v/>
      </c>
      <c r="AW10" s="273">
        <f>SUM(AW33:AW34)</f>
        <v/>
      </c>
      <c r="AX10" s="273">
        <f>SUM(AX33:AX34)</f>
        <v/>
      </c>
      <c r="AY10" s="273">
        <f>SUM(AY33:AY34)</f>
        <v/>
      </c>
      <c r="AZ10" s="273">
        <f>SUM(AZ33:AZ34)</f>
        <v/>
      </c>
      <c r="BA10" s="273">
        <f>SUM(BA33:BA34)</f>
        <v/>
      </c>
      <c r="BB10" s="273">
        <f>SUM(BB33:BB34)</f>
        <v/>
      </c>
      <c r="BC10" s="273">
        <f>SUM(BC33:BC34)</f>
        <v/>
      </c>
      <c r="BD10" s="273">
        <f>SUM(BD33:BD34)</f>
        <v/>
      </c>
      <c r="BE10" s="273">
        <f>SUM(BE33:BE34)</f>
        <v/>
      </c>
      <c r="BF10" s="273">
        <f>SUM(BF33:BF34)</f>
        <v/>
      </c>
      <c r="BG10" s="273">
        <f>SUM(BG33:BG34)</f>
        <v/>
      </c>
      <c r="BH10" s="273">
        <f>SUM(BH33:BH34)</f>
        <v/>
      </c>
      <c r="BI10" s="273">
        <f>SUM(BI33:BI34)</f>
        <v/>
      </c>
      <c r="BJ10" s="273">
        <f>SUM(BJ33:BJ34)</f>
        <v/>
      </c>
      <c r="BK10" s="273">
        <f>SUM(BK33:BK34)</f>
        <v/>
      </c>
      <c r="BL10" s="273">
        <f>SUM(BL33:BL34)</f>
        <v/>
      </c>
      <c r="BM10" s="273">
        <f>SUM(BM33:BM34)</f>
        <v/>
      </c>
      <c r="BN10" s="273">
        <f>SUM(BN33:BN34)</f>
        <v/>
      </c>
      <c r="BO10" s="273">
        <f>SUM(BO33:BO34)</f>
        <v/>
      </c>
      <c r="BP10" s="273">
        <f>SUM(BP33:BP34)</f>
        <v/>
      </c>
      <c r="BQ10" s="273">
        <f>SUM(BQ33:BQ34)</f>
        <v/>
      </c>
      <c r="BR10" s="273">
        <f>SUM(BR33:BR34)</f>
        <v/>
      </c>
      <c r="BS10" s="273">
        <f>SUM(BS33:BS34)</f>
        <v/>
      </c>
      <c r="BT10" s="273">
        <f>SUM(BT33:BT34)</f>
        <v/>
      </c>
      <c r="BU10" s="273">
        <f>SUM(BU33:BU34)</f>
        <v/>
      </c>
      <c r="BV10" s="273">
        <f>SUM(BV33:BV34)</f>
        <v/>
      </c>
      <c r="BW10" s="273">
        <f>SUM(BW33:BW34)</f>
        <v/>
      </c>
      <c r="BX10" s="273">
        <f>SUM(BX33:BX34)</f>
        <v/>
      </c>
      <c r="BY10" s="273">
        <f>SUM(BY33:BY34)</f>
        <v/>
      </c>
      <c r="BZ10" s="273">
        <f>SUM(BZ33:BZ34)</f>
        <v/>
      </c>
      <c r="CA10" s="273">
        <f>SUM(CA33:CA34)</f>
        <v/>
      </c>
      <c r="CB10" s="273">
        <f>SUM(CB33:CB34)</f>
        <v/>
      </c>
      <c r="CC10" s="273">
        <f>SUM(CC33:CC34)</f>
        <v/>
      </c>
      <c r="CD10" s="273">
        <f>SUM(CD33:CD34)</f>
        <v/>
      </c>
      <c r="CE10" s="273">
        <f>SUM(CE33:CE34)</f>
        <v/>
      </c>
      <c r="CF10" s="273">
        <f>SUM(CF33:CF34)</f>
        <v/>
      </c>
      <c r="CG10" s="273">
        <f>SUM(CG33:CG34)</f>
        <v/>
      </c>
      <c r="CH10" s="273">
        <f>SUM(CH33:CH34)</f>
        <v/>
      </c>
      <c r="CI10" s="273">
        <f>SUM(CI33:CI34)</f>
        <v/>
      </c>
      <c r="CJ10" s="273">
        <f>SUM(CJ33:CJ34)</f>
        <v/>
      </c>
      <c r="CK10" s="273">
        <f>SUM(CK33:CK34)</f>
        <v/>
      </c>
      <c r="CL10" s="273">
        <f>SUM(CL33:CL34)</f>
        <v/>
      </c>
      <c r="CM10" s="273">
        <f>SUM(CM33:CM34)</f>
        <v/>
      </c>
      <c r="CN10" s="273">
        <f>SUM(CN33:CN34)</f>
        <v/>
      </c>
      <c r="CO10" s="273">
        <f>SUM(CO33:CO34)</f>
        <v/>
      </c>
      <c r="CP10" s="273">
        <f>SUM(CP33:CP34)</f>
        <v/>
      </c>
      <c r="CQ10" s="273">
        <f>SUM(CQ33:CQ34)</f>
        <v/>
      </c>
      <c r="CR10" s="273">
        <f>SUM(CR33:CR34)</f>
        <v/>
      </c>
      <c r="CS10" s="273">
        <f>SUM(CS33:CS34)</f>
        <v/>
      </c>
      <c r="CT10" s="273">
        <f>SUM(CT33:CT34)</f>
        <v/>
      </c>
      <c r="CU10" s="273">
        <f>SUM(CU33:CU34)</f>
        <v/>
      </c>
      <c r="CV10" s="273">
        <f>SUM(CV33:CV34)</f>
        <v/>
      </c>
      <c r="CW10" s="273">
        <f>SUM(CW33:CW34)</f>
        <v/>
      </c>
      <c r="CX10" s="273">
        <f>SUM(CX33:CX34)</f>
        <v/>
      </c>
      <c r="CY10" s="273">
        <f>SUM(CY33:CY34)</f>
        <v/>
      </c>
      <c r="CZ10" s="273">
        <f>SUM(CZ33:CZ34)</f>
        <v/>
      </c>
      <c r="DA10" s="273">
        <f>SUM(DA33:DA34)</f>
        <v/>
      </c>
      <c r="DB10" s="275">
        <f>SUM(DB33:DB34)</f>
        <v/>
      </c>
      <c r="DC10" s="273" t="n"/>
      <c r="DD10" s="273">
        <f>SUM(F10:DB10)</f>
        <v/>
      </c>
    </row>
    <row r="11" ht="12.4" customFormat="1" customHeight="1" s="13">
      <c r="A11" s="13" t="inlineStr">
        <is>
          <t>Tenant Improvements (Hard &amp; Soft)</t>
        </is>
      </c>
      <c r="C11" s="273" t="n"/>
      <c r="D11" s="273">
        <f>DD11</f>
        <v/>
      </c>
      <c r="E11" s="274" t="n"/>
      <c r="F11" s="273">
        <f>SUM(F35,F46)</f>
        <v/>
      </c>
      <c r="G11" s="273">
        <f>SUM(G35,G46)</f>
        <v/>
      </c>
      <c r="H11" s="273">
        <f>SUM(H35,H46)</f>
        <v/>
      </c>
      <c r="I11" s="273">
        <f>SUM(I35,I46)</f>
        <v/>
      </c>
      <c r="J11" s="273">
        <f>SUM(J35,J46)</f>
        <v/>
      </c>
      <c r="K11" s="273">
        <f>SUM(K35,K46)</f>
        <v/>
      </c>
      <c r="L11" s="273">
        <f>SUM(L35,L46)</f>
        <v/>
      </c>
      <c r="M11" s="273">
        <f>SUM(M35,M46)</f>
        <v/>
      </c>
      <c r="N11" s="273">
        <f>SUM(N35,N46)</f>
        <v/>
      </c>
      <c r="O11" s="273">
        <f>SUM(O35,O46)</f>
        <v/>
      </c>
      <c r="P11" s="273">
        <f>SUM(P35,P46)</f>
        <v/>
      </c>
      <c r="Q11" s="273">
        <f>SUM(Q35,Q46)</f>
        <v/>
      </c>
      <c r="R11" s="273">
        <f>SUM(R35,R46)</f>
        <v/>
      </c>
      <c r="S11" s="273">
        <f>SUM(S35,S46)</f>
        <v/>
      </c>
      <c r="T11" s="273">
        <f>SUM(T35,T46)</f>
        <v/>
      </c>
      <c r="U11" s="273">
        <f>SUM(U35,U46)</f>
        <v/>
      </c>
      <c r="V11" s="273">
        <f>SUM(V35,V46)</f>
        <v/>
      </c>
      <c r="W11" s="273">
        <f>SUM(W35,W46)</f>
        <v/>
      </c>
      <c r="X11" s="273">
        <f>SUM(X35,X46)</f>
        <v/>
      </c>
      <c r="Y11" s="273">
        <f>SUM(Y35,Y46)</f>
        <v/>
      </c>
      <c r="Z11" s="273">
        <f>SUM(Z35,Z46)</f>
        <v/>
      </c>
      <c r="AA11" s="273">
        <f>SUM(AA35,AA46)</f>
        <v/>
      </c>
      <c r="AB11" s="273">
        <f>SUM(AB35,AB46)</f>
        <v/>
      </c>
      <c r="AC11" s="273">
        <f>SUM(AC35,AC46)</f>
        <v/>
      </c>
      <c r="AD11" s="273">
        <f>SUM(AD35,AD46)</f>
        <v/>
      </c>
      <c r="AE11" s="273">
        <f>SUM(AE35,AE46)</f>
        <v/>
      </c>
      <c r="AF11" s="273">
        <f>SUM(AF35,AF46)</f>
        <v/>
      </c>
      <c r="AG11" s="273">
        <f>SUM(AG35,AG46)</f>
        <v/>
      </c>
      <c r="AH11" s="273">
        <f>SUM(AH35,AH46)</f>
        <v/>
      </c>
      <c r="AI11" s="273">
        <f>SUM(AI35,AI46)</f>
        <v/>
      </c>
      <c r="AJ11" s="273">
        <f>SUM(AJ35,AJ46)</f>
        <v/>
      </c>
      <c r="AK11" s="273">
        <f>SUM(AK35,AK46)</f>
        <v/>
      </c>
      <c r="AL11" s="273">
        <f>SUM(AL35,AL46)</f>
        <v/>
      </c>
      <c r="AM11" s="273">
        <f>SUM(AM35,AM46)</f>
        <v/>
      </c>
      <c r="AN11" s="273">
        <f>SUM(AN35,AN46)</f>
        <v/>
      </c>
      <c r="AO11" s="273">
        <f>SUM(AO35,AO46)</f>
        <v/>
      </c>
      <c r="AP11" s="273">
        <f>SUM(AP35,AP46)</f>
        <v/>
      </c>
      <c r="AQ11" s="273">
        <f>SUM(AQ35,AQ46)</f>
        <v/>
      </c>
      <c r="AR11" s="273">
        <f>SUM(AR35,AR46)</f>
        <v/>
      </c>
      <c r="AS11" s="273">
        <f>SUM(AS35,AS46)</f>
        <v/>
      </c>
      <c r="AT11" s="273">
        <f>SUM(AT35,AT46)</f>
        <v/>
      </c>
      <c r="AU11" s="273">
        <f>SUM(AU35,AU46)</f>
        <v/>
      </c>
      <c r="AV11" s="273">
        <f>SUM(AV35,AV46)</f>
        <v/>
      </c>
      <c r="AW11" s="273">
        <f>SUM(AW35,AW46)</f>
        <v/>
      </c>
      <c r="AX11" s="273">
        <f>SUM(AX35,AX46)</f>
        <v/>
      </c>
      <c r="AY11" s="273">
        <f>SUM(AY35,AY46)</f>
        <v/>
      </c>
      <c r="AZ11" s="273">
        <f>SUM(AZ35,AZ46)</f>
        <v/>
      </c>
      <c r="BA11" s="273">
        <f>SUM(BA35,BA46)</f>
        <v/>
      </c>
      <c r="BB11" s="273">
        <f>SUM(BB35,BB46)</f>
        <v/>
      </c>
      <c r="BC11" s="273">
        <f>SUM(BC35,BC46)</f>
        <v/>
      </c>
      <c r="BD11" s="273">
        <f>SUM(BD35,BD46)</f>
        <v/>
      </c>
      <c r="BE11" s="273">
        <f>SUM(BE35,BE46)</f>
        <v/>
      </c>
      <c r="BF11" s="273">
        <f>SUM(BF35,BF46)</f>
        <v/>
      </c>
      <c r="BG11" s="273">
        <f>SUM(BG35,BG46)</f>
        <v/>
      </c>
      <c r="BH11" s="273">
        <f>SUM(BH35,BH46)</f>
        <v/>
      </c>
      <c r="BI11" s="273">
        <f>SUM(BI35,BI46)</f>
        <v/>
      </c>
      <c r="BJ11" s="273">
        <f>SUM(BJ35,BJ46)</f>
        <v/>
      </c>
      <c r="BK11" s="273">
        <f>SUM(BK35,BK46)</f>
        <v/>
      </c>
      <c r="BL11" s="273">
        <f>SUM(BL35,BL46)</f>
        <v/>
      </c>
      <c r="BM11" s="273">
        <f>SUM(BM35,BM46)</f>
        <v/>
      </c>
      <c r="BN11" s="273">
        <f>SUM(BN35,BN46)</f>
        <v/>
      </c>
      <c r="BO11" s="273">
        <f>SUM(BO35,BO46)</f>
        <v/>
      </c>
      <c r="BP11" s="273">
        <f>SUM(BP35,BP46)</f>
        <v/>
      </c>
      <c r="BQ11" s="273">
        <f>SUM(BQ35,BQ46)</f>
        <v/>
      </c>
      <c r="BR11" s="273">
        <f>SUM(BR35,BR46)</f>
        <v/>
      </c>
      <c r="BS11" s="273">
        <f>SUM(BS35,BS46)</f>
        <v/>
      </c>
      <c r="BT11" s="273">
        <f>SUM(BT35,BT46)</f>
        <v/>
      </c>
      <c r="BU11" s="273">
        <f>SUM(BU35,BU46)</f>
        <v/>
      </c>
      <c r="BV11" s="273">
        <f>SUM(BV35,BV46)</f>
        <v/>
      </c>
      <c r="BW11" s="273">
        <f>SUM(BW35,BW46)</f>
        <v/>
      </c>
      <c r="BX11" s="273">
        <f>SUM(BX35,BX46)</f>
        <v/>
      </c>
      <c r="BY11" s="273">
        <f>SUM(BY35,BY46)</f>
        <v/>
      </c>
      <c r="BZ11" s="273">
        <f>SUM(BZ35,BZ46)</f>
        <v/>
      </c>
      <c r="CA11" s="273">
        <f>SUM(CA35,CA46)</f>
        <v/>
      </c>
      <c r="CB11" s="273">
        <f>SUM(CB35,CB46)</f>
        <v/>
      </c>
      <c r="CC11" s="273">
        <f>SUM(CC35,CC46)</f>
        <v/>
      </c>
      <c r="CD11" s="273">
        <f>SUM(CD35,CD46)</f>
        <v/>
      </c>
      <c r="CE11" s="273">
        <f>SUM(CE35,CE46)</f>
        <v/>
      </c>
      <c r="CF11" s="273">
        <f>SUM(CF35,CF46)</f>
        <v/>
      </c>
      <c r="CG11" s="273">
        <f>SUM(CG35,CG46)</f>
        <v/>
      </c>
      <c r="CH11" s="273">
        <f>SUM(CH35,CH46)</f>
        <v/>
      </c>
      <c r="CI11" s="273">
        <f>SUM(CI35,CI46)</f>
        <v/>
      </c>
      <c r="CJ11" s="273">
        <f>SUM(CJ35,CJ46)</f>
        <v/>
      </c>
      <c r="CK11" s="273">
        <f>SUM(CK35,CK46)</f>
        <v/>
      </c>
      <c r="CL11" s="273">
        <f>SUM(CL35,CL46)</f>
        <v/>
      </c>
      <c r="CM11" s="273">
        <f>SUM(CM35,CM46)</f>
        <v/>
      </c>
      <c r="CN11" s="273">
        <f>SUM(CN35,CN46)</f>
        <v/>
      </c>
      <c r="CO11" s="273">
        <f>SUM(CO35,CO46)</f>
        <v/>
      </c>
      <c r="CP11" s="273">
        <f>SUM(CP35,CP46)</f>
        <v/>
      </c>
      <c r="CQ11" s="273">
        <f>SUM(CQ35,CQ46)</f>
        <v/>
      </c>
      <c r="CR11" s="273">
        <f>SUM(CR35,CR46)</f>
        <v/>
      </c>
      <c r="CS11" s="273">
        <f>SUM(CS35,CS46)</f>
        <v/>
      </c>
      <c r="CT11" s="273">
        <f>SUM(CT35,CT46)</f>
        <v/>
      </c>
      <c r="CU11" s="273">
        <f>SUM(CU35,CU46)</f>
        <v/>
      </c>
      <c r="CV11" s="273">
        <f>SUM(CV35,CV46)</f>
        <v/>
      </c>
      <c r="CW11" s="273">
        <f>SUM(CW35,CW46)</f>
        <v/>
      </c>
      <c r="CX11" s="273">
        <f>SUM(CX35,CX46)</f>
        <v/>
      </c>
      <c r="CY11" s="273">
        <f>SUM(CY35,CY46)</f>
        <v/>
      </c>
      <c r="CZ11" s="273">
        <f>SUM(CZ35,CZ46)</f>
        <v/>
      </c>
      <c r="DA11" s="273">
        <f>SUM(DA35,DA46)</f>
        <v/>
      </c>
      <c r="DB11" s="275">
        <f>SUM(DB35,DB46)</f>
        <v/>
      </c>
      <c r="DC11" s="273" t="n"/>
      <c r="DD11" s="273">
        <f>SUM(F11:DB11)</f>
        <v/>
      </c>
    </row>
    <row r="12" ht="12.4" customFormat="1" customHeight="1" s="13">
      <c r="A12" s="13" t="inlineStr">
        <is>
          <t>Arch. &amp; Eng. and Other Consultants</t>
        </is>
      </c>
      <c r="C12" s="273" t="n"/>
      <c r="D12" s="273">
        <f>DD12</f>
        <v/>
      </c>
      <c r="E12" s="274" t="n"/>
      <c r="F12" s="273">
        <f>SUM(F57:F61)</f>
        <v/>
      </c>
      <c r="G12" s="273">
        <f>SUM(G57:G61)</f>
        <v/>
      </c>
      <c r="H12" s="273">
        <f>SUM(H57:H61)</f>
        <v/>
      </c>
      <c r="I12" s="273">
        <f>SUM(I57:I61)</f>
        <v/>
      </c>
      <c r="J12" s="273">
        <f>SUM(J57:J61)</f>
        <v/>
      </c>
      <c r="K12" s="273">
        <f>SUM(K57:K61)</f>
        <v/>
      </c>
      <c r="L12" s="273">
        <f>SUM(L57:L61)</f>
        <v/>
      </c>
      <c r="M12" s="273">
        <f>SUM(M57:M61)</f>
        <v/>
      </c>
      <c r="N12" s="273">
        <f>SUM(N57:N61)</f>
        <v/>
      </c>
      <c r="O12" s="273">
        <f>SUM(O57:O61)</f>
        <v/>
      </c>
      <c r="P12" s="273">
        <f>SUM(P57:P61)</f>
        <v/>
      </c>
      <c r="Q12" s="273">
        <f>SUM(Q57:Q61)</f>
        <v/>
      </c>
      <c r="R12" s="273">
        <f>SUM(R57:R61)</f>
        <v/>
      </c>
      <c r="S12" s="273">
        <f>SUM(S57:S61)</f>
        <v/>
      </c>
      <c r="T12" s="273">
        <f>SUM(T57:T61)</f>
        <v/>
      </c>
      <c r="U12" s="273">
        <f>SUM(U57:U61)</f>
        <v/>
      </c>
      <c r="V12" s="273">
        <f>SUM(V57:V61)</f>
        <v/>
      </c>
      <c r="W12" s="273">
        <f>SUM(W57:W61)</f>
        <v/>
      </c>
      <c r="X12" s="273">
        <f>SUM(X57:X61)</f>
        <v/>
      </c>
      <c r="Y12" s="273">
        <f>SUM(Y57:Y61)</f>
        <v/>
      </c>
      <c r="Z12" s="273">
        <f>SUM(Z57:Z61)</f>
        <v/>
      </c>
      <c r="AA12" s="273">
        <f>SUM(AA57:AA61)</f>
        <v/>
      </c>
      <c r="AB12" s="273">
        <f>SUM(AB57:AB61)</f>
        <v/>
      </c>
      <c r="AC12" s="273">
        <f>SUM(AC57:AC61)</f>
        <v/>
      </c>
      <c r="AD12" s="273">
        <f>SUM(AD57:AD61)</f>
        <v/>
      </c>
      <c r="AE12" s="273">
        <f>SUM(AE57:AE61)</f>
        <v/>
      </c>
      <c r="AF12" s="273">
        <f>SUM(AF57:AF61)</f>
        <v/>
      </c>
      <c r="AG12" s="273">
        <f>SUM(AG57:AG61)</f>
        <v/>
      </c>
      <c r="AH12" s="273">
        <f>SUM(AH57:AH61)</f>
        <v/>
      </c>
      <c r="AI12" s="273">
        <f>SUM(AI57:AI61)</f>
        <v/>
      </c>
      <c r="AJ12" s="273">
        <f>SUM(AJ57:AJ61)</f>
        <v/>
      </c>
      <c r="AK12" s="273">
        <f>SUM(AK57:AK61)</f>
        <v/>
      </c>
      <c r="AL12" s="273">
        <f>SUM(AL57:AL61)</f>
        <v/>
      </c>
      <c r="AM12" s="273">
        <f>SUM(AM57:AM61)</f>
        <v/>
      </c>
      <c r="AN12" s="273">
        <f>SUM(AN57:AN61)</f>
        <v/>
      </c>
      <c r="AO12" s="273">
        <f>SUM(AO57:AO61)</f>
        <v/>
      </c>
      <c r="AP12" s="273">
        <f>SUM(AP57:AP61)</f>
        <v/>
      </c>
      <c r="AQ12" s="273">
        <f>SUM(AQ57:AQ61)</f>
        <v/>
      </c>
      <c r="AR12" s="273">
        <f>SUM(AR57:AR61)</f>
        <v/>
      </c>
      <c r="AS12" s="273">
        <f>SUM(AS57:AS61)</f>
        <v/>
      </c>
      <c r="AT12" s="273">
        <f>SUM(AT57:AT61)</f>
        <v/>
      </c>
      <c r="AU12" s="273">
        <f>SUM(AU57:AU61)</f>
        <v/>
      </c>
      <c r="AV12" s="273">
        <f>SUM(AV57:AV61)</f>
        <v/>
      </c>
      <c r="AW12" s="273">
        <f>SUM(AW57:AW61)</f>
        <v/>
      </c>
      <c r="AX12" s="273">
        <f>SUM(AX57:AX61)</f>
        <v/>
      </c>
      <c r="AY12" s="273">
        <f>SUM(AY57:AY61)</f>
        <v/>
      </c>
      <c r="AZ12" s="273">
        <f>SUM(AZ57:AZ61)</f>
        <v/>
      </c>
      <c r="BA12" s="273">
        <f>SUM(BA57:BA61)</f>
        <v/>
      </c>
      <c r="BB12" s="273">
        <f>SUM(BB57:BB61)</f>
        <v/>
      </c>
      <c r="BC12" s="273">
        <f>SUM(BC57:BC61)</f>
        <v/>
      </c>
      <c r="BD12" s="273">
        <f>SUM(BD57:BD61)</f>
        <v/>
      </c>
      <c r="BE12" s="273">
        <f>SUM(BE57:BE61)</f>
        <v/>
      </c>
      <c r="BF12" s="273">
        <f>SUM(BF57:BF61)</f>
        <v/>
      </c>
      <c r="BG12" s="273">
        <f>SUM(BG57:BG61)</f>
        <v/>
      </c>
      <c r="BH12" s="273">
        <f>SUM(BH57:BH61)</f>
        <v/>
      </c>
      <c r="BI12" s="273">
        <f>SUM(BI57:BI61)</f>
        <v/>
      </c>
      <c r="BJ12" s="273">
        <f>SUM(BJ57:BJ61)</f>
        <v/>
      </c>
      <c r="BK12" s="273">
        <f>SUM(BK57:BK61)</f>
        <v/>
      </c>
      <c r="BL12" s="273">
        <f>SUM(BL57:BL61)</f>
        <v/>
      </c>
      <c r="BM12" s="273">
        <f>SUM(BM57:BM61)</f>
        <v/>
      </c>
      <c r="BN12" s="273">
        <f>SUM(BN57:BN61)</f>
        <v/>
      </c>
      <c r="BO12" s="273">
        <f>SUM(BO57:BO61)</f>
        <v/>
      </c>
      <c r="BP12" s="273">
        <f>SUM(BP57:BP61)</f>
        <v/>
      </c>
      <c r="BQ12" s="273">
        <f>SUM(BQ57:BQ61)</f>
        <v/>
      </c>
      <c r="BR12" s="273">
        <f>SUM(BR57:BR61)</f>
        <v/>
      </c>
      <c r="BS12" s="273">
        <f>SUM(BS57:BS61)</f>
        <v/>
      </c>
      <c r="BT12" s="273">
        <f>SUM(BT57:BT61)</f>
        <v/>
      </c>
      <c r="BU12" s="273">
        <f>SUM(BU57:BU61)</f>
        <v/>
      </c>
      <c r="BV12" s="273">
        <f>SUM(BV57:BV61)</f>
        <v/>
      </c>
      <c r="BW12" s="273">
        <f>SUM(BW57:BW61)</f>
        <v/>
      </c>
      <c r="BX12" s="273">
        <f>SUM(BX57:BX61)</f>
        <v/>
      </c>
      <c r="BY12" s="273">
        <f>SUM(BY57:BY61)</f>
        <v/>
      </c>
      <c r="BZ12" s="273">
        <f>SUM(BZ57:BZ61)</f>
        <v/>
      </c>
      <c r="CA12" s="273">
        <f>SUM(CA57:CA61)</f>
        <v/>
      </c>
      <c r="CB12" s="273">
        <f>SUM(CB57:CB61)</f>
        <v/>
      </c>
      <c r="CC12" s="273">
        <f>SUM(CC57:CC61)</f>
        <v/>
      </c>
      <c r="CD12" s="273">
        <f>SUM(CD57:CD61)</f>
        <v/>
      </c>
      <c r="CE12" s="273">
        <f>SUM(CE57:CE61)</f>
        <v/>
      </c>
      <c r="CF12" s="273">
        <f>SUM(CF57:CF61)</f>
        <v/>
      </c>
      <c r="CG12" s="273">
        <f>SUM(CG57:CG61)</f>
        <v/>
      </c>
      <c r="CH12" s="273">
        <f>SUM(CH57:CH61)</f>
        <v/>
      </c>
      <c r="CI12" s="273">
        <f>SUM(CI57:CI61)</f>
        <v/>
      </c>
      <c r="CJ12" s="273">
        <f>SUM(CJ57:CJ61)</f>
        <v/>
      </c>
      <c r="CK12" s="273">
        <f>SUM(CK57:CK61)</f>
        <v/>
      </c>
      <c r="CL12" s="273">
        <f>SUM(CL57:CL61)</f>
        <v/>
      </c>
      <c r="CM12" s="273">
        <f>SUM(CM57:CM61)</f>
        <v/>
      </c>
      <c r="CN12" s="273">
        <f>SUM(CN57:CN61)</f>
        <v/>
      </c>
      <c r="CO12" s="273">
        <f>SUM(CO57:CO61)</f>
        <v/>
      </c>
      <c r="CP12" s="273">
        <f>SUM(CP57:CP61)</f>
        <v/>
      </c>
      <c r="CQ12" s="273">
        <f>SUM(CQ57:CQ61)</f>
        <v/>
      </c>
      <c r="CR12" s="273">
        <f>SUM(CR57:CR61)</f>
        <v/>
      </c>
      <c r="CS12" s="273">
        <f>SUM(CS57:CS61)</f>
        <v/>
      </c>
      <c r="CT12" s="273">
        <f>SUM(CT57:CT61)</f>
        <v/>
      </c>
      <c r="CU12" s="273">
        <f>SUM(CU57:CU61)</f>
        <v/>
      </c>
      <c r="CV12" s="273">
        <f>SUM(CV57:CV61)</f>
        <v/>
      </c>
      <c r="CW12" s="273">
        <f>SUM(CW57:CW61)</f>
        <v/>
      </c>
      <c r="CX12" s="273">
        <f>SUM(CX57:CX61)</f>
        <v/>
      </c>
      <c r="CY12" s="273">
        <f>SUM(CY57:CY61)</f>
        <v/>
      </c>
      <c r="CZ12" s="273">
        <f>SUM(CZ57:CZ61)</f>
        <v/>
      </c>
      <c r="DA12" s="273">
        <f>SUM(DA57:DA61)</f>
        <v/>
      </c>
      <c r="DB12" s="275">
        <f>SUM(DB57:DB61)</f>
        <v/>
      </c>
      <c r="DC12" s="273" t="n"/>
      <c r="DD12" s="273">
        <f>SUM(F12:DB12)</f>
        <v/>
      </c>
    </row>
    <row r="13" ht="12.4" customFormat="1" customHeight="1" s="13">
      <c r="A13" s="13" t="inlineStr">
        <is>
          <t>Legal, Marketing, Insurance, Taxes</t>
        </is>
      </c>
      <c r="C13" s="273" t="n"/>
      <c r="D13" s="273">
        <f>DD13</f>
        <v/>
      </c>
      <c r="E13" s="274" t="n"/>
      <c r="F13" s="273">
        <f>SUM(F62:F70)</f>
        <v/>
      </c>
      <c r="G13" s="273">
        <f>SUM(G62:G70)</f>
        <v/>
      </c>
      <c r="H13" s="273">
        <f>SUM(H62:H70)</f>
        <v/>
      </c>
      <c r="I13" s="273">
        <f>SUM(I62:I70)</f>
        <v/>
      </c>
      <c r="J13" s="273">
        <f>SUM(J62:J70)</f>
        <v/>
      </c>
      <c r="K13" s="273">
        <f>SUM(K62:K70)</f>
        <v/>
      </c>
      <c r="L13" s="273">
        <f>SUM(L62:L70)</f>
        <v/>
      </c>
      <c r="M13" s="273">
        <f>SUM(M62:M70)</f>
        <v/>
      </c>
      <c r="N13" s="273">
        <f>SUM(N62:N70)</f>
        <v/>
      </c>
      <c r="O13" s="273">
        <f>SUM(O62:O70)</f>
        <v/>
      </c>
      <c r="P13" s="273">
        <f>SUM(P62:P70)</f>
        <v/>
      </c>
      <c r="Q13" s="273">
        <f>SUM(Q62:Q70)</f>
        <v/>
      </c>
      <c r="R13" s="273">
        <f>SUM(R62:R70)</f>
        <v/>
      </c>
      <c r="S13" s="273">
        <f>SUM(S62:S70)</f>
        <v/>
      </c>
      <c r="T13" s="273">
        <f>SUM(T62:T70)</f>
        <v/>
      </c>
      <c r="U13" s="273">
        <f>SUM(U62:U70)</f>
        <v/>
      </c>
      <c r="V13" s="273">
        <f>SUM(V62:V70)</f>
        <v/>
      </c>
      <c r="W13" s="273">
        <f>SUM(W62:W70)</f>
        <v/>
      </c>
      <c r="X13" s="273">
        <f>SUM(X62:X70)</f>
        <v/>
      </c>
      <c r="Y13" s="273">
        <f>SUM(Y62:Y70)</f>
        <v/>
      </c>
      <c r="Z13" s="273">
        <f>SUM(Z62:Z70)</f>
        <v/>
      </c>
      <c r="AA13" s="273">
        <f>SUM(AA62:AA70)</f>
        <v/>
      </c>
      <c r="AB13" s="273">
        <f>SUM(AB62:AB70)</f>
        <v/>
      </c>
      <c r="AC13" s="273">
        <f>SUM(AC62:AC70)</f>
        <v/>
      </c>
      <c r="AD13" s="273">
        <f>SUM(AD62:AD70)</f>
        <v/>
      </c>
      <c r="AE13" s="273">
        <f>SUM(AE62:AE70)</f>
        <v/>
      </c>
      <c r="AF13" s="273">
        <f>SUM(AF62:AF70)</f>
        <v/>
      </c>
      <c r="AG13" s="273">
        <f>SUM(AG62:AG70)</f>
        <v/>
      </c>
      <c r="AH13" s="273">
        <f>SUM(AH62:AH70)</f>
        <v/>
      </c>
      <c r="AI13" s="273">
        <f>SUM(AI62:AI70)</f>
        <v/>
      </c>
      <c r="AJ13" s="273">
        <f>SUM(AJ62:AJ70)</f>
        <v/>
      </c>
      <c r="AK13" s="273">
        <f>SUM(AK62:AK70)</f>
        <v/>
      </c>
      <c r="AL13" s="273">
        <f>SUM(AL62:AL70)</f>
        <v/>
      </c>
      <c r="AM13" s="273">
        <f>SUM(AM62:AM70)</f>
        <v/>
      </c>
      <c r="AN13" s="273">
        <f>SUM(AN62:AN70)</f>
        <v/>
      </c>
      <c r="AO13" s="273">
        <f>SUM(AO62:AO70)</f>
        <v/>
      </c>
      <c r="AP13" s="273">
        <f>SUM(AP62:AP70)</f>
        <v/>
      </c>
      <c r="AQ13" s="273">
        <f>SUM(AQ62:AQ70)</f>
        <v/>
      </c>
      <c r="AR13" s="273">
        <f>SUM(AR62:AR70)</f>
        <v/>
      </c>
      <c r="AS13" s="273">
        <f>SUM(AS62:AS70)</f>
        <v/>
      </c>
      <c r="AT13" s="273">
        <f>SUM(AT62:AT70)</f>
        <v/>
      </c>
      <c r="AU13" s="273">
        <f>SUM(AU62:AU70)</f>
        <v/>
      </c>
      <c r="AV13" s="273">
        <f>SUM(AV62:AV70)</f>
        <v/>
      </c>
      <c r="AW13" s="273">
        <f>SUM(AW62:AW70)</f>
        <v/>
      </c>
      <c r="AX13" s="273">
        <f>SUM(AX62:AX70)</f>
        <v/>
      </c>
      <c r="AY13" s="273">
        <f>SUM(AY62:AY70)</f>
        <v/>
      </c>
      <c r="AZ13" s="273">
        <f>SUM(AZ62:AZ70)</f>
        <v/>
      </c>
      <c r="BA13" s="273">
        <f>SUM(BA62:BA70)</f>
        <v/>
      </c>
      <c r="BB13" s="273">
        <f>SUM(BB62:BB70)</f>
        <v/>
      </c>
      <c r="BC13" s="273">
        <f>SUM(BC62:BC70)</f>
        <v/>
      </c>
      <c r="BD13" s="273">
        <f>SUM(BD62:BD70)</f>
        <v/>
      </c>
      <c r="BE13" s="273">
        <f>SUM(BE62:BE70)</f>
        <v/>
      </c>
      <c r="BF13" s="273">
        <f>SUM(BF62:BF70)</f>
        <v/>
      </c>
      <c r="BG13" s="273">
        <f>SUM(BG62:BG70)</f>
        <v/>
      </c>
      <c r="BH13" s="273">
        <f>SUM(BH62:BH70)</f>
        <v/>
      </c>
      <c r="BI13" s="273">
        <f>SUM(BI62:BI70)</f>
        <v/>
      </c>
      <c r="BJ13" s="273">
        <f>SUM(BJ62:BJ70)</f>
        <v/>
      </c>
      <c r="BK13" s="273">
        <f>SUM(BK62:BK70)</f>
        <v/>
      </c>
      <c r="BL13" s="273">
        <f>SUM(BL62:BL70)</f>
        <v/>
      </c>
      <c r="BM13" s="273">
        <f>SUM(BM62:BM70)</f>
        <v/>
      </c>
      <c r="BN13" s="273">
        <f>SUM(BN62:BN70)</f>
        <v/>
      </c>
      <c r="BO13" s="273">
        <f>SUM(BO62:BO70)</f>
        <v/>
      </c>
      <c r="BP13" s="273">
        <f>SUM(BP62:BP70)</f>
        <v/>
      </c>
      <c r="BQ13" s="273">
        <f>SUM(BQ62:BQ70)</f>
        <v/>
      </c>
      <c r="BR13" s="273">
        <f>SUM(BR62:BR70)</f>
        <v/>
      </c>
      <c r="BS13" s="273">
        <f>SUM(BS62:BS70)</f>
        <v/>
      </c>
      <c r="BT13" s="273">
        <f>SUM(BT62:BT70)</f>
        <v/>
      </c>
      <c r="BU13" s="273">
        <f>SUM(BU62:BU70)</f>
        <v/>
      </c>
      <c r="BV13" s="273">
        <f>SUM(BV62:BV70)</f>
        <v/>
      </c>
      <c r="BW13" s="273">
        <f>SUM(BW62:BW70)</f>
        <v/>
      </c>
      <c r="BX13" s="273">
        <f>SUM(BX62:BX70)</f>
        <v/>
      </c>
      <c r="BY13" s="273">
        <f>SUM(BY62:BY70)</f>
        <v/>
      </c>
      <c r="BZ13" s="273">
        <f>SUM(BZ62:BZ70)</f>
        <v/>
      </c>
      <c r="CA13" s="273">
        <f>SUM(CA62:CA70)</f>
        <v/>
      </c>
      <c r="CB13" s="273">
        <f>SUM(CB62:CB70)</f>
        <v/>
      </c>
      <c r="CC13" s="273">
        <f>SUM(CC62:CC70)</f>
        <v/>
      </c>
      <c r="CD13" s="273">
        <f>SUM(CD62:CD70)</f>
        <v/>
      </c>
      <c r="CE13" s="273">
        <f>SUM(CE62:CE70)</f>
        <v/>
      </c>
      <c r="CF13" s="273">
        <f>SUM(CF62:CF70)</f>
        <v/>
      </c>
      <c r="CG13" s="273">
        <f>SUM(CG62:CG70)</f>
        <v/>
      </c>
      <c r="CH13" s="273">
        <f>SUM(CH62:CH70)</f>
        <v/>
      </c>
      <c r="CI13" s="273">
        <f>SUM(CI62:CI70)</f>
        <v/>
      </c>
      <c r="CJ13" s="273">
        <f>SUM(CJ62:CJ70)</f>
        <v/>
      </c>
      <c r="CK13" s="273">
        <f>SUM(CK62:CK70)</f>
        <v/>
      </c>
      <c r="CL13" s="273">
        <f>SUM(CL62:CL70)</f>
        <v/>
      </c>
      <c r="CM13" s="273">
        <f>SUM(CM62:CM70)</f>
        <v/>
      </c>
      <c r="CN13" s="273">
        <f>SUM(CN62:CN70)</f>
        <v/>
      </c>
      <c r="CO13" s="273">
        <f>SUM(CO62:CO70)</f>
        <v/>
      </c>
      <c r="CP13" s="273">
        <f>SUM(CP62:CP70)</f>
        <v/>
      </c>
      <c r="CQ13" s="273">
        <f>SUM(CQ62:CQ70)</f>
        <v/>
      </c>
      <c r="CR13" s="273">
        <f>SUM(CR62:CR70)</f>
        <v/>
      </c>
      <c r="CS13" s="273">
        <f>SUM(CS62:CS70)</f>
        <v/>
      </c>
      <c r="CT13" s="273">
        <f>SUM(CT62:CT70)</f>
        <v/>
      </c>
      <c r="CU13" s="273">
        <f>SUM(CU62:CU70)</f>
        <v/>
      </c>
      <c r="CV13" s="273">
        <f>SUM(CV62:CV70)</f>
        <v/>
      </c>
      <c r="CW13" s="273">
        <f>SUM(CW62:CW70)</f>
        <v/>
      </c>
      <c r="CX13" s="273">
        <f>SUM(CX62:CX70)</f>
        <v/>
      </c>
      <c r="CY13" s="273">
        <f>SUM(CY62:CY70)</f>
        <v/>
      </c>
      <c r="CZ13" s="273">
        <f>SUM(CZ62:CZ70)</f>
        <v/>
      </c>
      <c r="DA13" s="273">
        <f>SUM(DA62:DA70)</f>
        <v/>
      </c>
      <c r="DB13" s="275">
        <f>SUM(DB62:DB70)</f>
        <v/>
      </c>
      <c r="DC13" s="273" t="n"/>
      <c r="DD13" s="273">
        <f>SUM(F13:DB13)</f>
        <v/>
      </c>
    </row>
    <row r="14" ht="12.4" customFormat="1" customHeight="1" s="13">
      <c r="A14" s="13" t="inlineStr">
        <is>
          <t>Permits, Testing/Insp., Fees, Bonds</t>
        </is>
      </c>
      <c r="C14" s="273" t="n"/>
      <c r="D14" s="273">
        <f>DD14</f>
        <v/>
      </c>
      <c r="E14" s="274" t="n"/>
      <c r="F14" s="273">
        <f>SUM(F71:F74)</f>
        <v/>
      </c>
      <c r="G14" s="273">
        <f>SUM(G71:G74)</f>
        <v/>
      </c>
      <c r="H14" s="273">
        <f>SUM(H71:H74)</f>
        <v/>
      </c>
      <c r="I14" s="273">
        <f>SUM(I71:I74)</f>
        <v/>
      </c>
      <c r="J14" s="273">
        <f>SUM(J71:J74)</f>
        <v/>
      </c>
      <c r="K14" s="273">
        <f>SUM(K71:K74)</f>
        <v/>
      </c>
      <c r="L14" s="273">
        <f>SUM(L71:L74)</f>
        <v/>
      </c>
      <c r="M14" s="273">
        <f>SUM(M71:M74)</f>
        <v/>
      </c>
      <c r="N14" s="273">
        <f>SUM(N71:N74)</f>
        <v/>
      </c>
      <c r="O14" s="273">
        <f>SUM(O71:O74)</f>
        <v/>
      </c>
      <c r="P14" s="273">
        <f>SUM(P71:P74)</f>
        <v/>
      </c>
      <c r="Q14" s="273">
        <f>SUM(Q71:Q74)</f>
        <v/>
      </c>
      <c r="R14" s="273">
        <f>SUM(R71:R74)</f>
        <v/>
      </c>
      <c r="S14" s="273">
        <f>SUM(S71:S74)</f>
        <v/>
      </c>
      <c r="T14" s="273">
        <f>SUM(T71:T74)</f>
        <v/>
      </c>
      <c r="U14" s="273">
        <f>SUM(U71:U74)</f>
        <v/>
      </c>
      <c r="V14" s="273">
        <f>SUM(V71:V74)</f>
        <v/>
      </c>
      <c r="W14" s="273">
        <f>SUM(W71:W74)</f>
        <v/>
      </c>
      <c r="X14" s="273">
        <f>SUM(X71:X74)</f>
        <v/>
      </c>
      <c r="Y14" s="273">
        <f>SUM(Y71:Y74)</f>
        <v/>
      </c>
      <c r="Z14" s="273">
        <f>SUM(Z71:Z74)</f>
        <v/>
      </c>
      <c r="AA14" s="273">
        <f>SUM(AA71:AA74)</f>
        <v/>
      </c>
      <c r="AB14" s="273">
        <f>SUM(AB71:AB74)</f>
        <v/>
      </c>
      <c r="AC14" s="273">
        <f>SUM(AC71:AC74)</f>
        <v/>
      </c>
      <c r="AD14" s="273">
        <f>SUM(AD71:AD74)</f>
        <v/>
      </c>
      <c r="AE14" s="273">
        <f>SUM(AE71:AE74)</f>
        <v/>
      </c>
      <c r="AF14" s="273">
        <f>SUM(AF71:AF74)</f>
        <v/>
      </c>
      <c r="AG14" s="273">
        <f>SUM(AG71:AG74)</f>
        <v/>
      </c>
      <c r="AH14" s="273">
        <f>SUM(AH71:AH74)</f>
        <v/>
      </c>
      <c r="AI14" s="273">
        <f>SUM(AI71:AI74)</f>
        <v/>
      </c>
      <c r="AJ14" s="273">
        <f>SUM(AJ71:AJ74)</f>
        <v/>
      </c>
      <c r="AK14" s="273">
        <f>SUM(AK71:AK74)</f>
        <v/>
      </c>
      <c r="AL14" s="273">
        <f>SUM(AL71:AL74)</f>
        <v/>
      </c>
      <c r="AM14" s="273">
        <f>SUM(AM71:AM74)</f>
        <v/>
      </c>
      <c r="AN14" s="273">
        <f>SUM(AN71:AN74)</f>
        <v/>
      </c>
      <c r="AO14" s="273">
        <f>SUM(AO71:AO74)</f>
        <v/>
      </c>
      <c r="AP14" s="273">
        <f>SUM(AP71:AP74)</f>
        <v/>
      </c>
      <c r="AQ14" s="273">
        <f>SUM(AQ71:AQ74)</f>
        <v/>
      </c>
      <c r="AR14" s="273">
        <f>SUM(AR71:AR74)</f>
        <v/>
      </c>
      <c r="AS14" s="273">
        <f>SUM(AS71:AS74)</f>
        <v/>
      </c>
      <c r="AT14" s="273">
        <f>SUM(AT71:AT74)</f>
        <v/>
      </c>
      <c r="AU14" s="273">
        <f>SUM(AU71:AU74)</f>
        <v/>
      </c>
      <c r="AV14" s="273">
        <f>SUM(AV71:AV74)</f>
        <v/>
      </c>
      <c r="AW14" s="273">
        <f>SUM(AW71:AW74)</f>
        <v/>
      </c>
      <c r="AX14" s="273">
        <f>SUM(AX71:AX74)</f>
        <v/>
      </c>
      <c r="AY14" s="273">
        <f>SUM(AY71:AY74)</f>
        <v/>
      </c>
      <c r="AZ14" s="273">
        <f>SUM(AZ71:AZ74)</f>
        <v/>
      </c>
      <c r="BA14" s="273">
        <f>SUM(BA71:BA74)</f>
        <v/>
      </c>
      <c r="BB14" s="273">
        <f>SUM(BB71:BB74)</f>
        <v/>
      </c>
      <c r="BC14" s="273">
        <f>SUM(BC71:BC74)</f>
        <v/>
      </c>
      <c r="BD14" s="273">
        <f>SUM(BD71:BD74)</f>
        <v/>
      </c>
      <c r="BE14" s="273">
        <f>SUM(BE71:BE74)</f>
        <v/>
      </c>
      <c r="BF14" s="273">
        <f>SUM(BF71:BF74)</f>
        <v/>
      </c>
      <c r="BG14" s="273">
        <f>SUM(BG71:BG74)</f>
        <v/>
      </c>
      <c r="BH14" s="273">
        <f>SUM(BH71:BH74)</f>
        <v/>
      </c>
      <c r="BI14" s="273">
        <f>SUM(BI71:BI74)</f>
        <v/>
      </c>
      <c r="BJ14" s="273">
        <f>SUM(BJ71:BJ74)</f>
        <v/>
      </c>
      <c r="BK14" s="273">
        <f>SUM(BK71:BK74)</f>
        <v/>
      </c>
      <c r="BL14" s="273">
        <f>SUM(BL71:BL74)</f>
        <v/>
      </c>
      <c r="BM14" s="273">
        <f>SUM(BM71:BM74)</f>
        <v/>
      </c>
      <c r="BN14" s="273">
        <f>SUM(BN71:BN74)</f>
        <v/>
      </c>
      <c r="BO14" s="273">
        <f>SUM(BO71:BO74)</f>
        <v/>
      </c>
      <c r="BP14" s="273">
        <f>SUM(BP71:BP74)</f>
        <v/>
      </c>
      <c r="BQ14" s="273">
        <f>SUM(BQ71:BQ74)</f>
        <v/>
      </c>
      <c r="BR14" s="273">
        <f>SUM(BR71:BR74)</f>
        <v/>
      </c>
      <c r="BS14" s="273">
        <f>SUM(BS71:BS74)</f>
        <v/>
      </c>
      <c r="BT14" s="273">
        <f>SUM(BT71:BT74)</f>
        <v/>
      </c>
      <c r="BU14" s="273">
        <f>SUM(BU71:BU74)</f>
        <v/>
      </c>
      <c r="BV14" s="273">
        <f>SUM(BV71:BV74)</f>
        <v/>
      </c>
      <c r="BW14" s="273">
        <f>SUM(BW71:BW74)</f>
        <v/>
      </c>
      <c r="BX14" s="273">
        <f>SUM(BX71:BX74)</f>
        <v/>
      </c>
      <c r="BY14" s="273">
        <f>SUM(BY71:BY74)</f>
        <v/>
      </c>
      <c r="BZ14" s="273">
        <f>SUM(BZ71:BZ74)</f>
        <v/>
      </c>
      <c r="CA14" s="273">
        <f>SUM(CA71:CA74)</f>
        <v/>
      </c>
      <c r="CB14" s="273">
        <f>SUM(CB71:CB74)</f>
        <v/>
      </c>
      <c r="CC14" s="273">
        <f>SUM(CC71:CC74)</f>
        <v/>
      </c>
      <c r="CD14" s="273">
        <f>SUM(CD71:CD74)</f>
        <v/>
      </c>
      <c r="CE14" s="273">
        <f>SUM(CE71:CE74)</f>
        <v/>
      </c>
      <c r="CF14" s="273">
        <f>SUM(CF71:CF74)</f>
        <v/>
      </c>
      <c r="CG14" s="273">
        <f>SUM(CG71:CG74)</f>
        <v/>
      </c>
      <c r="CH14" s="273">
        <f>SUM(CH71:CH74)</f>
        <v/>
      </c>
      <c r="CI14" s="273">
        <f>SUM(CI71:CI74)</f>
        <v/>
      </c>
      <c r="CJ14" s="273">
        <f>SUM(CJ71:CJ74)</f>
        <v/>
      </c>
      <c r="CK14" s="273">
        <f>SUM(CK71:CK74)</f>
        <v/>
      </c>
      <c r="CL14" s="273">
        <f>SUM(CL71:CL74)</f>
        <v/>
      </c>
      <c r="CM14" s="273">
        <f>SUM(CM71:CM74)</f>
        <v/>
      </c>
      <c r="CN14" s="273">
        <f>SUM(CN71:CN74)</f>
        <v/>
      </c>
      <c r="CO14" s="273">
        <f>SUM(CO71:CO74)</f>
        <v/>
      </c>
      <c r="CP14" s="273">
        <f>SUM(CP71:CP74)</f>
        <v/>
      </c>
      <c r="CQ14" s="273">
        <f>SUM(CQ71:CQ74)</f>
        <v/>
      </c>
      <c r="CR14" s="273">
        <f>SUM(CR71:CR74)</f>
        <v/>
      </c>
      <c r="CS14" s="273">
        <f>SUM(CS71:CS74)</f>
        <v/>
      </c>
      <c r="CT14" s="273">
        <f>SUM(CT71:CT74)</f>
        <v/>
      </c>
      <c r="CU14" s="273">
        <f>SUM(CU71:CU74)</f>
        <v/>
      </c>
      <c r="CV14" s="273">
        <f>SUM(CV71:CV74)</f>
        <v/>
      </c>
      <c r="CW14" s="273">
        <f>SUM(CW71:CW74)</f>
        <v/>
      </c>
      <c r="CX14" s="273">
        <f>SUM(CX71:CX74)</f>
        <v/>
      </c>
      <c r="CY14" s="273">
        <f>SUM(CY71:CY74)</f>
        <v/>
      </c>
      <c r="CZ14" s="273">
        <f>SUM(CZ71:CZ74)</f>
        <v/>
      </c>
      <c r="DA14" s="273">
        <f>SUM(DA71:DA74)</f>
        <v/>
      </c>
      <c r="DB14" s="275">
        <f>SUM(DB71:DB74)</f>
        <v/>
      </c>
      <c r="DC14" s="273" t="n"/>
      <c r="DD14" s="273">
        <f>SUM(F14:DB14)</f>
        <v/>
      </c>
    </row>
    <row r="15" ht="12.4" customFormat="1" customHeight="1" s="13">
      <c r="A15" s="13" t="inlineStr">
        <is>
          <t>Leasing Commissions</t>
        </is>
      </c>
      <c r="C15" s="273" t="n"/>
      <c r="D15" s="273">
        <f>DD15</f>
        <v/>
      </c>
      <c r="E15" s="274" t="n"/>
      <c r="F15" s="273">
        <f>SUM(F75,F87)</f>
        <v/>
      </c>
      <c r="G15" s="273">
        <f>SUM(G75,G87)</f>
        <v/>
      </c>
      <c r="H15" s="273">
        <f>SUM(H75,H87)</f>
        <v/>
      </c>
      <c r="I15" s="273">
        <f>SUM(I75,I87)</f>
        <v/>
      </c>
      <c r="J15" s="273">
        <f>SUM(J75,J87)</f>
        <v/>
      </c>
      <c r="K15" s="273">
        <f>SUM(K75,K87)</f>
        <v/>
      </c>
      <c r="L15" s="273">
        <f>SUM(L75,L87)</f>
        <v/>
      </c>
      <c r="M15" s="273">
        <f>SUM(M75,M87)</f>
        <v/>
      </c>
      <c r="N15" s="273">
        <f>SUM(N75,N87)</f>
        <v/>
      </c>
      <c r="O15" s="273">
        <f>SUM(O75,O87)</f>
        <v/>
      </c>
      <c r="P15" s="273">
        <f>SUM(P75,P87)</f>
        <v/>
      </c>
      <c r="Q15" s="273">
        <f>SUM(Q75,Q87)</f>
        <v/>
      </c>
      <c r="R15" s="273">
        <f>SUM(R75,R87)</f>
        <v/>
      </c>
      <c r="S15" s="273">
        <f>SUM(S75,S87)</f>
        <v/>
      </c>
      <c r="T15" s="273">
        <f>SUM(T75,T87)</f>
        <v/>
      </c>
      <c r="U15" s="273">
        <f>SUM(U75,U87)</f>
        <v/>
      </c>
      <c r="V15" s="273">
        <f>SUM(V75,V87)</f>
        <v/>
      </c>
      <c r="W15" s="273">
        <f>SUM(W75,W87)</f>
        <v/>
      </c>
      <c r="X15" s="273">
        <f>SUM(X75,X87)</f>
        <v/>
      </c>
      <c r="Y15" s="273">
        <f>SUM(Y75,Y87)</f>
        <v/>
      </c>
      <c r="Z15" s="273">
        <f>SUM(Z75,Z87)</f>
        <v/>
      </c>
      <c r="AA15" s="273">
        <f>SUM(AA75,AA87)</f>
        <v/>
      </c>
      <c r="AB15" s="273">
        <f>SUM(AB75,AB87)</f>
        <v/>
      </c>
      <c r="AC15" s="273">
        <f>SUM(AC75,AC87)</f>
        <v/>
      </c>
      <c r="AD15" s="273">
        <f>SUM(AD75,AD87)</f>
        <v/>
      </c>
      <c r="AE15" s="273">
        <f>SUM(AE75,AE87)</f>
        <v/>
      </c>
      <c r="AF15" s="273">
        <f>SUM(AF75,AF87)</f>
        <v/>
      </c>
      <c r="AG15" s="273">
        <f>SUM(AG75,AG87)</f>
        <v/>
      </c>
      <c r="AH15" s="273">
        <f>SUM(AH75,AH87)</f>
        <v/>
      </c>
      <c r="AI15" s="273">
        <f>SUM(AI75,AI87)</f>
        <v/>
      </c>
      <c r="AJ15" s="273">
        <f>SUM(AJ75,AJ87)</f>
        <v/>
      </c>
      <c r="AK15" s="273">
        <f>SUM(AK75,AK87)</f>
        <v/>
      </c>
      <c r="AL15" s="273">
        <f>SUM(AL75,AL87)</f>
        <v/>
      </c>
      <c r="AM15" s="273">
        <f>SUM(AM75,AM87)</f>
        <v/>
      </c>
      <c r="AN15" s="273">
        <f>SUM(AN75,AN87)</f>
        <v/>
      </c>
      <c r="AO15" s="273">
        <f>SUM(AO75,AO87)</f>
        <v/>
      </c>
      <c r="AP15" s="273">
        <f>SUM(AP75,AP87)</f>
        <v/>
      </c>
      <c r="AQ15" s="273">
        <f>SUM(AQ75,AQ87)</f>
        <v/>
      </c>
      <c r="AR15" s="273">
        <f>SUM(AR75,AR87)</f>
        <v/>
      </c>
      <c r="AS15" s="273">
        <f>SUM(AS75,AS87)</f>
        <v/>
      </c>
      <c r="AT15" s="273">
        <f>SUM(AT75,AT87)</f>
        <v/>
      </c>
      <c r="AU15" s="273">
        <f>SUM(AU75,AU87)</f>
        <v/>
      </c>
      <c r="AV15" s="273">
        <f>SUM(AV75,AV87)</f>
        <v/>
      </c>
      <c r="AW15" s="273">
        <f>SUM(AW75,AW87)</f>
        <v/>
      </c>
      <c r="AX15" s="273">
        <f>SUM(AX75,AX87)</f>
        <v/>
      </c>
      <c r="AY15" s="273">
        <f>SUM(AY75,AY87)</f>
        <v/>
      </c>
      <c r="AZ15" s="273">
        <f>SUM(AZ75,AZ87)</f>
        <v/>
      </c>
      <c r="BA15" s="273">
        <f>SUM(BA75,BA87)</f>
        <v/>
      </c>
      <c r="BB15" s="273">
        <f>SUM(BB75,BB87)</f>
        <v/>
      </c>
      <c r="BC15" s="273">
        <f>SUM(BC75,BC87)</f>
        <v/>
      </c>
      <c r="BD15" s="273">
        <f>SUM(BD75,BD87)</f>
        <v/>
      </c>
      <c r="BE15" s="273">
        <f>SUM(BE75,BE87)</f>
        <v/>
      </c>
      <c r="BF15" s="273">
        <f>SUM(BF75,BF87)</f>
        <v/>
      </c>
      <c r="BG15" s="273">
        <f>SUM(BG75,BG87)</f>
        <v/>
      </c>
      <c r="BH15" s="273">
        <f>SUM(BH75,BH87)</f>
        <v/>
      </c>
      <c r="BI15" s="273">
        <f>SUM(BI75,BI87)</f>
        <v/>
      </c>
      <c r="BJ15" s="273">
        <f>SUM(BJ75,BJ87)</f>
        <v/>
      </c>
      <c r="BK15" s="273">
        <f>SUM(BK75,BK87)</f>
        <v/>
      </c>
      <c r="BL15" s="273">
        <f>SUM(BL75,BL87)</f>
        <v/>
      </c>
      <c r="BM15" s="273">
        <f>SUM(BM75,BM87)</f>
        <v/>
      </c>
      <c r="BN15" s="273">
        <f>SUM(BN75,BN87)</f>
        <v/>
      </c>
      <c r="BO15" s="273">
        <f>SUM(BO75,BO87)</f>
        <v/>
      </c>
      <c r="BP15" s="273">
        <f>SUM(BP75,BP87)</f>
        <v/>
      </c>
      <c r="BQ15" s="273">
        <f>SUM(BQ75,BQ87)</f>
        <v/>
      </c>
      <c r="BR15" s="273">
        <f>SUM(BR75,BR87)</f>
        <v/>
      </c>
      <c r="BS15" s="273">
        <f>SUM(BS75,BS87)</f>
        <v/>
      </c>
      <c r="BT15" s="273">
        <f>SUM(BT75,BT87)</f>
        <v/>
      </c>
      <c r="BU15" s="273">
        <f>SUM(BU75,BU87)</f>
        <v/>
      </c>
      <c r="BV15" s="273">
        <f>SUM(BV75,BV87)</f>
        <v/>
      </c>
      <c r="BW15" s="273">
        <f>SUM(BW75,BW87)</f>
        <v/>
      </c>
      <c r="BX15" s="273">
        <f>SUM(BX75,BX87)</f>
        <v/>
      </c>
      <c r="BY15" s="273">
        <f>SUM(BY75,BY87)</f>
        <v/>
      </c>
      <c r="BZ15" s="273">
        <f>SUM(BZ75,BZ87)</f>
        <v/>
      </c>
      <c r="CA15" s="273">
        <f>SUM(CA75,CA87)</f>
        <v/>
      </c>
      <c r="CB15" s="273">
        <f>SUM(CB75,CB87)</f>
        <v/>
      </c>
      <c r="CC15" s="273">
        <f>SUM(CC75,CC87)</f>
        <v/>
      </c>
      <c r="CD15" s="273">
        <f>SUM(CD75,CD87)</f>
        <v/>
      </c>
      <c r="CE15" s="273">
        <f>SUM(CE75,CE87)</f>
        <v/>
      </c>
      <c r="CF15" s="273">
        <f>SUM(CF75,CF87)</f>
        <v/>
      </c>
      <c r="CG15" s="273">
        <f>SUM(CG75,CG87)</f>
        <v/>
      </c>
      <c r="CH15" s="273">
        <f>SUM(CH75,CH87)</f>
        <v/>
      </c>
      <c r="CI15" s="273">
        <f>SUM(CI75,CI87)</f>
        <v/>
      </c>
      <c r="CJ15" s="273">
        <f>SUM(CJ75,CJ87)</f>
        <v/>
      </c>
      <c r="CK15" s="273">
        <f>SUM(CK75,CK87)</f>
        <v/>
      </c>
      <c r="CL15" s="273">
        <f>SUM(CL75,CL87)</f>
        <v/>
      </c>
      <c r="CM15" s="273">
        <f>SUM(CM75,CM87)</f>
        <v/>
      </c>
      <c r="CN15" s="273">
        <f>SUM(CN75,CN87)</f>
        <v/>
      </c>
      <c r="CO15" s="273">
        <f>SUM(CO75,CO87)</f>
        <v/>
      </c>
      <c r="CP15" s="273">
        <f>SUM(CP75,CP87)</f>
        <v/>
      </c>
      <c r="CQ15" s="273">
        <f>SUM(CQ75,CQ87)</f>
        <v/>
      </c>
      <c r="CR15" s="273">
        <f>SUM(CR75,CR87)</f>
        <v/>
      </c>
      <c r="CS15" s="273">
        <f>SUM(CS75,CS87)</f>
        <v/>
      </c>
      <c r="CT15" s="273">
        <f>SUM(CT75,CT87)</f>
        <v/>
      </c>
      <c r="CU15" s="273">
        <f>SUM(CU75,CU87)</f>
        <v/>
      </c>
      <c r="CV15" s="273">
        <f>SUM(CV75,CV87)</f>
        <v/>
      </c>
      <c r="CW15" s="273">
        <f>SUM(CW75,CW87)</f>
        <v/>
      </c>
      <c r="CX15" s="273">
        <f>SUM(CX75,CX87)</f>
        <v/>
      </c>
      <c r="CY15" s="273">
        <f>SUM(CY75,CY87)</f>
        <v/>
      </c>
      <c r="CZ15" s="273">
        <f>SUM(CZ75,CZ87)</f>
        <v/>
      </c>
      <c r="DA15" s="273">
        <f>SUM(DA75,DA87)</f>
        <v/>
      </c>
      <c r="DB15" s="275">
        <f>SUM(DB75,DB87)</f>
        <v/>
      </c>
      <c r="DC15" s="273" t="n"/>
      <c r="DD15" s="273">
        <f>SUM(F15:DB15)</f>
        <v/>
      </c>
    </row>
    <row r="16" ht="12.4" customFormat="1" customHeight="1" s="13">
      <c r="A16" s="13" t="inlineStr">
        <is>
          <t>Development Fee</t>
        </is>
      </c>
      <c r="C16" s="273" t="n"/>
      <c r="D16" s="273">
        <f>DD16</f>
        <v/>
      </c>
      <c r="E16" s="274" t="n"/>
      <c r="F16" s="273">
        <f>SUM(F99)</f>
        <v/>
      </c>
      <c r="G16" s="273">
        <f>SUM(G99)</f>
        <v/>
      </c>
      <c r="H16" s="273">
        <f>SUM(H99)</f>
        <v/>
      </c>
      <c r="I16" s="273">
        <f>SUM(I99)</f>
        <v/>
      </c>
      <c r="J16" s="273">
        <f>SUM(J99)</f>
        <v/>
      </c>
      <c r="K16" s="273">
        <f>SUM(K99)</f>
        <v/>
      </c>
      <c r="L16" s="273">
        <f>SUM(L99)</f>
        <v/>
      </c>
      <c r="M16" s="273">
        <f>SUM(M99)</f>
        <v/>
      </c>
      <c r="N16" s="273">
        <f>SUM(N99)</f>
        <v/>
      </c>
      <c r="O16" s="273">
        <f>SUM(O99)</f>
        <v/>
      </c>
      <c r="P16" s="273">
        <f>SUM(P99)</f>
        <v/>
      </c>
      <c r="Q16" s="273">
        <f>SUM(Q99)</f>
        <v/>
      </c>
      <c r="R16" s="273">
        <f>SUM(R99)</f>
        <v/>
      </c>
      <c r="S16" s="273">
        <f>SUM(S99)</f>
        <v/>
      </c>
      <c r="T16" s="273">
        <f>SUM(T99)</f>
        <v/>
      </c>
      <c r="U16" s="273">
        <f>SUM(U99)</f>
        <v/>
      </c>
      <c r="V16" s="273">
        <f>SUM(V99)</f>
        <v/>
      </c>
      <c r="W16" s="273">
        <f>SUM(W99)</f>
        <v/>
      </c>
      <c r="X16" s="273">
        <f>SUM(X99)</f>
        <v/>
      </c>
      <c r="Y16" s="273">
        <f>SUM(Y99)</f>
        <v/>
      </c>
      <c r="Z16" s="273">
        <f>SUM(Z99)</f>
        <v/>
      </c>
      <c r="AA16" s="273">
        <f>SUM(AA99)</f>
        <v/>
      </c>
      <c r="AB16" s="273">
        <f>SUM(AB99)</f>
        <v/>
      </c>
      <c r="AC16" s="273">
        <f>SUM(AC99)</f>
        <v/>
      </c>
      <c r="AD16" s="273">
        <f>SUM(AD99)</f>
        <v/>
      </c>
      <c r="AE16" s="273">
        <f>SUM(AE99)</f>
        <v/>
      </c>
      <c r="AF16" s="273">
        <f>SUM(AF99)</f>
        <v/>
      </c>
      <c r="AG16" s="273">
        <f>SUM(AG99)</f>
        <v/>
      </c>
      <c r="AH16" s="273">
        <f>SUM(AH99)</f>
        <v/>
      </c>
      <c r="AI16" s="273">
        <f>SUM(AI99)</f>
        <v/>
      </c>
      <c r="AJ16" s="273">
        <f>SUM(AJ99)</f>
        <v/>
      </c>
      <c r="AK16" s="273">
        <f>SUM(AK99)</f>
        <v/>
      </c>
      <c r="AL16" s="273">
        <f>SUM(AL99)</f>
        <v/>
      </c>
      <c r="AM16" s="273">
        <f>SUM(AM99)</f>
        <v/>
      </c>
      <c r="AN16" s="273">
        <f>SUM(AN99)</f>
        <v/>
      </c>
      <c r="AO16" s="273">
        <f>SUM(AO99)</f>
        <v/>
      </c>
      <c r="AP16" s="273">
        <f>SUM(AP99)</f>
        <v/>
      </c>
      <c r="AQ16" s="273">
        <f>SUM(AQ99)</f>
        <v/>
      </c>
      <c r="AR16" s="273">
        <f>SUM(AR99)</f>
        <v/>
      </c>
      <c r="AS16" s="273">
        <f>SUM(AS99)</f>
        <v/>
      </c>
      <c r="AT16" s="273">
        <f>SUM(AT99)</f>
        <v/>
      </c>
      <c r="AU16" s="273">
        <f>SUM(AU99)</f>
        <v/>
      </c>
      <c r="AV16" s="273">
        <f>SUM(AV99)</f>
        <v/>
      </c>
      <c r="AW16" s="273">
        <f>SUM(AW99)</f>
        <v/>
      </c>
      <c r="AX16" s="273">
        <f>SUM(AX99)</f>
        <v/>
      </c>
      <c r="AY16" s="273">
        <f>SUM(AY99)</f>
        <v/>
      </c>
      <c r="AZ16" s="273">
        <f>SUM(AZ99)</f>
        <v/>
      </c>
      <c r="BA16" s="273">
        <f>SUM(BA99)</f>
        <v/>
      </c>
      <c r="BB16" s="273">
        <f>SUM(BB99)</f>
        <v/>
      </c>
      <c r="BC16" s="273">
        <f>SUM(BC99)</f>
        <v/>
      </c>
      <c r="BD16" s="273">
        <f>SUM(BD99)</f>
        <v/>
      </c>
      <c r="BE16" s="273">
        <f>SUM(BE99)</f>
        <v/>
      </c>
      <c r="BF16" s="273">
        <f>SUM(BF99)</f>
        <v/>
      </c>
      <c r="BG16" s="273">
        <f>SUM(BG99)</f>
        <v/>
      </c>
      <c r="BH16" s="273">
        <f>SUM(BH99)</f>
        <v/>
      </c>
      <c r="BI16" s="273">
        <f>SUM(BI99)</f>
        <v/>
      </c>
      <c r="BJ16" s="273">
        <f>SUM(BJ99)</f>
        <v/>
      </c>
      <c r="BK16" s="273">
        <f>SUM(BK99)</f>
        <v/>
      </c>
      <c r="BL16" s="273">
        <f>SUM(BL99)</f>
        <v/>
      </c>
      <c r="BM16" s="273">
        <f>SUM(BM99)</f>
        <v/>
      </c>
      <c r="BN16" s="273">
        <f>SUM(BN99)</f>
        <v/>
      </c>
      <c r="BO16" s="273">
        <f>SUM(BO99)</f>
        <v/>
      </c>
      <c r="BP16" s="273">
        <f>SUM(BP99)</f>
        <v/>
      </c>
      <c r="BQ16" s="273">
        <f>SUM(BQ99)</f>
        <v/>
      </c>
      <c r="BR16" s="273">
        <f>SUM(BR99)</f>
        <v/>
      </c>
      <c r="BS16" s="273">
        <f>SUM(BS99)</f>
        <v/>
      </c>
      <c r="BT16" s="273">
        <f>SUM(BT99)</f>
        <v/>
      </c>
      <c r="BU16" s="273">
        <f>SUM(BU99)</f>
        <v/>
      </c>
      <c r="BV16" s="273">
        <f>SUM(BV99)</f>
        <v/>
      </c>
      <c r="BW16" s="273">
        <f>SUM(BW99)</f>
        <v/>
      </c>
      <c r="BX16" s="273">
        <f>SUM(BX99)</f>
        <v/>
      </c>
      <c r="BY16" s="273">
        <f>SUM(BY99)</f>
        <v/>
      </c>
      <c r="BZ16" s="273">
        <f>SUM(BZ99)</f>
        <v/>
      </c>
      <c r="CA16" s="273">
        <f>SUM(CA99)</f>
        <v/>
      </c>
      <c r="CB16" s="273">
        <f>SUM(CB99)</f>
        <v/>
      </c>
      <c r="CC16" s="273">
        <f>SUM(CC99)</f>
        <v/>
      </c>
      <c r="CD16" s="273">
        <f>SUM(CD99)</f>
        <v/>
      </c>
      <c r="CE16" s="273">
        <f>SUM(CE99)</f>
        <v/>
      </c>
      <c r="CF16" s="273">
        <f>SUM(CF99)</f>
        <v/>
      </c>
      <c r="CG16" s="273">
        <f>SUM(CG99)</f>
        <v/>
      </c>
      <c r="CH16" s="273">
        <f>SUM(CH99)</f>
        <v/>
      </c>
      <c r="CI16" s="273">
        <f>SUM(CI99)</f>
        <v/>
      </c>
      <c r="CJ16" s="273">
        <f>SUM(CJ99)</f>
        <v/>
      </c>
      <c r="CK16" s="273">
        <f>SUM(CK99)</f>
        <v/>
      </c>
      <c r="CL16" s="273">
        <f>SUM(CL99)</f>
        <v/>
      </c>
      <c r="CM16" s="273">
        <f>SUM(CM99)</f>
        <v/>
      </c>
      <c r="CN16" s="273">
        <f>SUM(CN99)</f>
        <v/>
      </c>
      <c r="CO16" s="273">
        <f>SUM(CO99)</f>
        <v/>
      </c>
      <c r="CP16" s="273">
        <f>SUM(CP99)</f>
        <v/>
      </c>
      <c r="CQ16" s="273">
        <f>SUM(CQ99)</f>
        <v/>
      </c>
      <c r="CR16" s="273">
        <f>SUM(CR99)</f>
        <v/>
      </c>
      <c r="CS16" s="273">
        <f>SUM(CS99)</f>
        <v/>
      </c>
      <c r="CT16" s="273">
        <f>SUM(CT99)</f>
        <v/>
      </c>
      <c r="CU16" s="273">
        <f>SUM(CU99)</f>
        <v/>
      </c>
      <c r="CV16" s="273">
        <f>SUM(CV99)</f>
        <v/>
      </c>
      <c r="CW16" s="273">
        <f>SUM(CW99)</f>
        <v/>
      </c>
      <c r="CX16" s="273">
        <f>SUM(CX99)</f>
        <v/>
      </c>
      <c r="CY16" s="273">
        <f>SUM(CY99)</f>
        <v/>
      </c>
      <c r="CZ16" s="273">
        <f>SUM(CZ99)</f>
        <v/>
      </c>
      <c r="DA16" s="273">
        <f>SUM(DA99)</f>
        <v/>
      </c>
      <c r="DB16" s="275">
        <f>SUM(DB99)</f>
        <v/>
      </c>
      <c r="DC16" s="273" t="n"/>
      <c r="DD16" s="273">
        <f>SUM(F16:DB16)</f>
        <v/>
      </c>
    </row>
    <row r="17" ht="12.4" customFormat="1" customHeight="1" s="13">
      <c r="A17" s="13" t="inlineStr">
        <is>
          <t>Finance Fees</t>
        </is>
      </c>
      <c r="C17" s="273" t="n"/>
      <c r="D17" s="273">
        <f>DD17</f>
        <v/>
      </c>
      <c r="E17" s="274" t="n"/>
      <c r="F17" s="273">
        <f>SUM(F100:F102)</f>
        <v/>
      </c>
      <c r="G17" s="273">
        <f>SUM(G100:G102)</f>
        <v/>
      </c>
      <c r="H17" s="273">
        <f>SUM(H100:H102)</f>
        <v/>
      </c>
      <c r="I17" s="273">
        <f>SUM(I100:I102)</f>
        <v/>
      </c>
      <c r="J17" s="273">
        <f>SUM(J100:J102)</f>
        <v/>
      </c>
      <c r="K17" s="273">
        <f>SUM(K100:K102)</f>
        <v/>
      </c>
      <c r="L17" s="273">
        <f>SUM(L100:L102)</f>
        <v/>
      </c>
      <c r="M17" s="273">
        <f>SUM(M100:M102)</f>
        <v/>
      </c>
      <c r="N17" s="273">
        <f>SUM(N100:N102)</f>
        <v/>
      </c>
      <c r="O17" s="273">
        <f>SUM(O100:O102)</f>
        <v/>
      </c>
      <c r="P17" s="273">
        <f>SUM(P100:P102)</f>
        <v/>
      </c>
      <c r="Q17" s="273">
        <f>SUM(Q100:Q102)</f>
        <v/>
      </c>
      <c r="R17" s="273">
        <f>SUM(R100:R102)</f>
        <v/>
      </c>
      <c r="S17" s="273">
        <f>SUM(S100:S102)</f>
        <v/>
      </c>
      <c r="T17" s="273">
        <f>SUM(T100:T102)</f>
        <v/>
      </c>
      <c r="U17" s="273">
        <f>SUM(U100:U102)</f>
        <v/>
      </c>
      <c r="V17" s="273">
        <f>SUM(V100:V102)</f>
        <v/>
      </c>
      <c r="W17" s="273">
        <f>SUM(W100:W102)</f>
        <v/>
      </c>
      <c r="X17" s="273">
        <f>SUM(X100:X102)</f>
        <v/>
      </c>
      <c r="Y17" s="273">
        <f>SUM(Y100:Y102)</f>
        <v/>
      </c>
      <c r="Z17" s="273">
        <f>SUM(Z100:Z102)</f>
        <v/>
      </c>
      <c r="AA17" s="273">
        <f>SUM(AA100:AA102)</f>
        <v/>
      </c>
      <c r="AB17" s="273">
        <f>SUM(AB100:AB102)</f>
        <v/>
      </c>
      <c r="AC17" s="273">
        <f>SUM(AC100:AC102)</f>
        <v/>
      </c>
      <c r="AD17" s="273">
        <f>SUM(AD100:AD102)</f>
        <v/>
      </c>
      <c r="AE17" s="273">
        <f>SUM(AE100:AE102)</f>
        <v/>
      </c>
      <c r="AF17" s="273">
        <f>SUM(AF100:AF102)</f>
        <v/>
      </c>
      <c r="AG17" s="273">
        <f>SUM(AG100:AG102)</f>
        <v/>
      </c>
      <c r="AH17" s="273">
        <f>SUM(AH100:AH102)</f>
        <v/>
      </c>
      <c r="AI17" s="273">
        <f>SUM(AI100:AI102)</f>
        <v/>
      </c>
      <c r="AJ17" s="273">
        <f>SUM(AJ100:AJ102)</f>
        <v/>
      </c>
      <c r="AK17" s="273">
        <f>SUM(AK100:AK102)</f>
        <v/>
      </c>
      <c r="AL17" s="273">
        <f>SUM(AL100:AL102)</f>
        <v/>
      </c>
      <c r="AM17" s="273">
        <f>SUM(AM100:AM102)</f>
        <v/>
      </c>
      <c r="AN17" s="273">
        <f>SUM(AN100:AN102)</f>
        <v/>
      </c>
      <c r="AO17" s="273">
        <f>SUM(AO100:AO102)</f>
        <v/>
      </c>
      <c r="AP17" s="273">
        <f>SUM(AP100:AP102)</f>
        <v/>
      </c>
      <c r="AQ17" s="273">
        <f>SUM(AQ100:AQ102)</f>
        <v/>
      </c>
      <c r="AR17" s="273">
        <f>SUM(AR100:AR102)</f>
        <v/>
      </c>
      <c r="AS17" s="273">
        <f>SUM(AS100:AS102)</f>
        <v/>
      </c>
      <c r="AT17" s="273">
        <f>SUM(AT100:AT102)</f>
        <v/>
      </c>
      <c r="AU17" s="273">
        <f>SUM(AU100:AU102)</f>
        <v/>
      </c>
      <c r="AV17" s="273">
        <f>SUM(AV100:AV102)</f>
        <v/>
      </c>
      <c r="AW17" s="273">
        <f>SUM(AW100:AW102)</f>
        <v/>
      </c>
      <c r="AX17" s="273">
        <f>SUM(AX100:AX102)</f>
        <v/>
      </c>
      <c r="AY17" s="273">
        <f>SUM(AY100:AY102)</f>
        <v/>
      </c>
      <c r="AZ17" s="273">
        <f>SUM(AZ100:AZ102)</f>
        <v/>
      </c>
      <c r="BA17" s="273">
        <f>SUM(BA100:BA102)</f>
        <v/>
      </c>
      <c r="BB17" s="273">
        <f>SUM(BB100:BB102)</f>
        <v/>
      </c>
      <c r="BC17" s="273">
        <f>SUM(BC100:BC102)</f>
        <v/>
      </c>
      <c r="BD17" s="273">
        <f>SUM(BD100:BD102)</f>
        <v/>
      </c>
      <c r="BE17" s="273">
        <f>SUM(BE100:BE102)</f>
        <v/>
      </c>
      <c r="BF17" s="273">
        <f>SUM(BF100:BF102)</f>
        <v/>
      </c>
      <c r="BG17" s="273">
        <f>SUM(BG100:BG102)</f>
        <v/>
      </c>
      <c r="BH17" s="273">
        <f>SUM(BH100:BH102)</f>
        <v/>
      </c>
      <c r="BI17" s="273">
        <f>SUM(BI100:BI102)</f>
        <v/>
      </c>
      <c r="BJ17" s="273">
        <f>SUM(BJ100:BJ102)</f>
        <v/>
      </c>
      <c r="BK17" s="273">
        <f>SUM(BK100:BK102)</f>
        <v/>
      </c>
      <c r="BL17" s="273">
        <f>SUM(BL100:BL102)</f>
        <v/>
      </c>
      <c r="BM17" s="273">
        <f>SUM(BM100:BM102)</f>
        <v/>
      </c>
      <c r="BN17" s="273">
        <f>SUM(BN100:BN102)</f>
        <v/>
      </c>
      <c r="BO17" s="273">
        <f>SUM(BO100:BO102)</f>
        <v/>
      </c>
      <c r="BP17" s="273">
        <f>SUM(BP100:BP102)</f>
        <v/>
      </c>
      <c r="BQ17" s="273">
        <f>SUM(BQ100:BQ102)</f>
        <v/>
      </c>
      <c r="BR17" s="273">
        <f>SUM(BR100:BR102)</f>
        <v/>
      </c>
      <c r="BS17" s="273">
        <f>SUM(BS100:BS102)</f>
        <v/>
      </c>
      <c r="BT17" s="273">
        <f>SUM(BT100:BT102)</f>
        <v/>
      </c>
      <c r="BU17" s="273">
        <f>SUM(BU100:BU102)</f>
        <v/>
      </c>
      <c r="BV17" s="273">
        <f>SUM(BV100:BV102)</f>
        <v/>
      </c>
      <c r="BW17" s="273">
        <f>SUM(BW100:BW102)</f>
        <v/>
      </c>
      <c r="BX17" s="273">
        <f>SUM(BX100:BX102)</f>
        <v/>
      </c>
      <c r="BY17" s="273">
        <f>SUM(BY100:BY102)</f>
        <v/>
      </c>
      <c r="BZ17" s="273">
        <f>SUM(BZ100:BZ102)</f>
        <v/>
      </c>
      <c r="CA17" s="273">
        <f>SUM(CA100:CA102)</f>
        <v/>
      </c>
      <c r="CB17" s="273">
        <f>SUM(CB100:CB102)</f>
        <v/>
      </c>
      <c r="CC17" s="273">
        <f>SUM(CC100:CC102)</f>
        <v/>
      </c>
      <c r="CD17" s="273">
        <f>SUM(CD100:CD102)</f>
        <v/>
      </c>
      <c r="CE17" s="273">
        <f>SUM(CE100:CE102)</f>
        <v/>
      </c>
      <c r="CF17" s="273">
        <f>SUM(CF100:CF102)</f>
        <v/>
      </c>
      <c r="CG17" s="273">
        <f>SUM(CG100:CG102)</f>
        <v/>
      </c>
      <c r="CH17" s="273">
        <f>SUM(CH100:CH102)</f>
        <v/>
      </c>
      <c r="CI17" s="273">
        <f>SUM(CI100:CI102)</f>
        <v/>
      </c>
      <c r="CJ17" s="273">
        <f>SUM(CJ100:CJ102)</f>
        <v/>
      </c>
      <c r="CK17" s="273">
        <f>SUM(CK100:CK102)</f>
        <v/>
      </c>
      <c r="CL17" s="273">
        <f>SUM(CL100:CL102)</f>
        <v/>
      </c>
      <c r="CM17" s="273">
        <f>SUM(CM100:CM102)</f>
        <v/>
      </c>
      <c r="CN17" s="273">
        <f>SUM(CN100:CN102)</f>
        <v/>
      </c>
      <c r="CO17" s="273">
        <f>SUM(CO100:CO102)</f>
        <v/>
      </c>
      <c r="CP17" s="273">
        <f>SUM(CP100:CP102)</f>
        <v/>
      </c>
      <c r="CQ17" s="273">
        <f>SUM(CQ100:CQ102)</f>
        <v/>
      </c>
      <c r="CR17" s="273">
        <f>SUM(CR100:CR102)</f>
        <v/>
      </c>
      <c r="CS17" s="273">
        <f>SUM(CS100:CS102)</f>
        <v/>
      </c>
      <c r="CT17" s="273">
        <f>SUM(CT100:CT102)</f>
        <v/>
      </c>
      <c r="CU17" s="273">
        <f>SUM(CU100:CU102)</f>
        <v/>
      </c>
      <c r="CV17" s="273">
        <f>SUM(CV100:CV102)</f>
        <v/>
      </c>
      <c r="CW17" s="273">
        <f>SUM(CW100:CW102)</f>
        <v/>
      </c>
      <c r="CX17" s="273">
        <f>SUM(CX100:CX102)</f>
        <v/>
      </c>
      <c r="CY17" s="273">
        <f>SUM(CY100:CY102)</f>
        <v/>
      </c>
      <c r="CZ17" s="273">
        <f>SUM(CZ100:CZ102)</f>
        <v/>
      </c>
      <c r="DA17" s="273">
        <f>SUM(DA100:DA102)</f>
        <v/>
      </c>
      <c r="DB17" s="275">
        <f>SUM(DB100:DB102)</f>
        <v/>
      </c>
      <c r="DC17" s="273" t="n"/>
      <c r="DD17" s="273">
        <f>SUM(F17:DB17)</f>
        <v/>
      </c>
    </row>
    <row r="18" ht="12.4" customFormat="1" customHeight="1" s="13">
      <c r="A18" s="13" t="inlineStr">
        <is>
          <t>Interest / Loss to Breakeven</t>
        </is>
      </c>
      <c r="C18" s="273" t="n"/>
      <c r="D18" s="273">
        <f>DD18</f>
        <v/>
      </c>
      <c r="E18" s="274" t="n"/>
      <c r="F18" s="273">
        <f>F109+F110+F154</f>
        <v/>
      </c>
      <c r="G18" s="273">
        <f>G109+G110+G154</f>
        <v/>
      </c>
      <c r="H18" s="273">
        <f>H109+H110+H154</f>
        <v/>
      </c>
      <c r="I18" s="273">
        <f>I109+I110+I154</f>
        <v/>
      </c>
      <c r="J18" s="273">
        <f>J109+J110+J154</f>
        <v/>
      </c>
      <c r="K18" s="273">
        <f>K109+K110+K154</f>
        <v/>
      </c>
      <c r="L18" s="273">
        <f>L109+L110+L154</f>
        <v/>
      </c>
      <c r="M18" s="273">
        <f>M109+M110+M154</f>
        <v/>
      </c>
      <c r="N18" s="273">
        <f>N109+N110+N154</f>
        <v/>
      </c>
      <c r="O18" s="273">
        <f>O109+O110+O154</f>
        <v/>
      </c>
      <c r="P18" s="273">
        <f>P109+P110+P154</f>
        <v/>
      </c>
      <c r="Q18" s="273">
        <f>Q109+Q110+Q154</f>
        <v/>
      </c>
      <c r="R18" s="273">
        <f>R109+R110+R154</f>
        <v/>
      </c>
      <c r="S18" s="273">
        <f>S109+S110+S154</f>
        <v/>
      </c>
      <c r="T18" s="273">
        <f>T109+T110+T154</f>
        <v/>
      </c>
      <c r="U18" s="273">
        <f>U109+U110+U154</f>
        <v/>
      </c>
      <c r="V18" s="273">
        <f>V109+V110+V154</f>
        <v/>
      </c>
      <c r="W18" s="273">
        <f>W109+W110+W154</f>
        <v/>
      </c>
      <c r="X18" s="273">
        <f>X109+X110+X154</f>
        <v/>
      </c>
      <c r="Y18" s="273">
        <f>Y109+Y110+Y154</f>
        <v/>
      </c>
      <c r="Z18" s="273">
        <f>Z109+Z110+Z154</f>
        <v/>
      </c>
      <c r="AA18" s="273">
        <f>AA109+AA110+AA154</f>
        <v/>
      </c>
      <c r="AB18" s="273">
        <f>AB109+AB110+AB154</f>
        <v/>
      </c>
      <c r="AC18" s="273">
        <f>AC109+AC110+AC154</f>
        <v/>
      </c>
      <c r="AD18" s="273">
        <f>AD109+AD110+AD154</f>
        <v/>
      </c>
      <c r="AE18" s="273">
        <f>AE109+AE110+AE154</f>
        <v/>
      </c>
      <c r="AF18" s="273">
        <f>AF109+AF110+AF154</f>
        <v/>
      </c>
      <c r="AG18" s="273">
        <f>AG109+AG110+AG154</f>
        <v/>
      </c>
      <c r="AH18" s="273">
        <f>AH109+AH110+AH154</f>
        <v/>
      </c>
      <c r="AI18" s="273">
        <f>AI109+AI110+AI154</f>
        <v/>
      </c>
      <c r="AJ18" s="273">
        <f>AJ109+AJ110+AJ154</f>
        <v/>
      </c>
      <c r="AK18" s="273">
        <f>AK109+AK110+AK154</f>
        <v/>
      </c>
      <c r="AL18" s="273">
        <f>AL109+AL110+AL154</f>
        <v/>
      </c>
      <c r="AM18" s="273">
        <f>AM109+AM110+AM154</f>
        <v/>
      </c>
      <c r="AN18" s="273">
        <f>AN109+AN110+AN154</f>
        <v/>
      </c>
      <c r="AO18" s="273">
        <f>AO109+AO110+AO154</f>
        <v/>
      </c>
      <c r="AP18" s="273">
        <f>AP109+AP110+AP154</f>
        <v/>
      </c>
      <c r="AQ18" s="273">
        <f>AQ109+AQ110+AQ154</f>
        <v/>
      </c>
      <c r="AR18" s="273">
        <f>AR109+AR110+AR154</f>
        <v/>
      </c>
      <c r="AS18" s="273">
        <f>AS109+AS110+AS154</f>
        <v/>
      </c>
      <c r="AT18" s="273">
        <f>AT109+AT110+AT154</f>
        <v/>
      </c>
      <c r="AU18" s="273">
        <f>AU109+AU110+AU154</f>
        <v/>
      </c>
      <c r="AV18" s="273">
        <f>AV109+AV110+AV154</f>
        <v/>
      </c>
      <c r="AW18" s="273">
        <f>AW109+AW110+AW154</f>
        <v/>
      </c>
      <c r="AX18" s="273">
        <f>AX109+AX110+AX154</f>
        <v/>
      </c>
      <c r="AY18" s="273">
        <f>AY109+AY110+AY154</f>
        <v/>
      </c>
      <c r="AZ18" s="273">
        <f>AZ109+AZ110+AZ154</f>
        <v/>
      </c>
      <c r="BA18" s="273">
        <f>BA109+BA110+BA154</f>
        <v/>
      </c>
      <c r="BB18" s="273">
        <f>BB109+BB110+BB154</f>
        <v/>
      </c>
      <c r="BC18" s="273">
        <f>BC109+BC110+BC154</f>
        <v/>
      </c>
      <c r="BD18" s="273">
        <f>BD109+BD110+BD154</f>
        <v/>
      </c>
      <c r="BE18" s="273">
        <f>BE109+BE110+BE154</f>
        <v/>
      </c>
      <c r="BF18" s="273">
        <f>BF109+BF110+BF154</f>
        <v/>
      </c>
      <c r="BG18" s="273">
        <f>BG109+BG110+BG154</f>
        <v/>
      </c>
      <c r="BH18" s="273">
        <f>BH109+BH110+BH154</f>
        <v/>
      </c>
      <c r="BI18" s="273">
        <f>BI109+BI110+BI154</f>
        <v/>
      </c>
      <c r="BJ18" s="273">
        <f>BJ109+BJ110+BJ154</f>
        <v/>
      </c>
      <c r="BK18" s="273">
        <f>BK109+BK110+BK154</f>
        <v/>
      </c>
      <c r="BL18" s="273">
        <f>BL109+BL110+BL154</f>
        <v/>
      </c>
      <c r="BM18" s="273">
        <f>BM109+BM110+BM154</f>
        <v/>
      </c>
      <c r="BN18" s="273">
        <f>BN109+BN110+BN154</f>
        <v/>
      </c>
      <c r="BO18" s="273">
        <f>BO109+BO110+BO154</f>
        <v/>
      </c>
      <c r="BP18" s="273">
        <f>BP109+BP110+BP154</f>
        <v/>
      </c>
      <c r="BQ18" s="273">
        <f>BQ109+BQ110+BQ154</f>
        <v/>
      </c>
      <c r="BR18" s="273">
        <f>BR109+BR110+BR154</f>
        <v/>
      </c>
      <c r="BS18" s="273">
        <f>BS109+BS110+BS154</f>
        <v/>
      </c>
      <c r="BT18" s="273">
        <f>BT109+BT110+BT154</f>
        <v/>
      </c>
      <c r="BU18" s="273">
        <f>BU109+BU110+BU154</f>
        <v/>
      </c>
      <c r="BV18" s="273">
        <f>BV109+BV110+BV154</f>
        <v/>
      </c>
      <c r="BW18" s="273">
        <f>BW109+BW110+BW154</f>
        <v/>
      </c>
      <c r="BX18" s="273">
        <f>BX109+BX110+BX154</f>
        <v/>
      </c>
      <c r="BY18" s="273">
        <f>BY109+BY110+BY154</f>
        <v/>
      </c>
      <c r="BZ18" s="273">
        <f>BZ109+BZ110+BZ154</f>
        <v/>
      </c>
      <c r="CA18" s="273">
        <f>CA109+CA110+CA154</f>
        <v/>
      </c>
      <c r="CB18" s="273">
        <f>CB109+CB110+CB154</f>
        <v/>
      </c>
      <c r="CC18" s="273">
        <f>CC109+CC110+CC154</f>
        <v/>
      </c>
      <c r="CD18" s="273">
        <f>CD109+CD110+CD154</f>
        <v/>
      </c>
      <c r="CE18" s="273">
        <f>CE109+CE110+CE154</f>
        <v/>
      </c>
      <c r="CF18" s="273">
        <f>CF109+CF110+CF154</f>
        <v/>
      </c>
      <c r="CG18" s="273">
        <f>CG109+CG110+CG154</f>
        <v/>
      </c>
      <c r="CH18" s="273">
        <f>CH109+CH110+CH154</f>
        <v/>
      </c>
      <c r="CI18" s="273">
        <f>CI109+CI110+CI154</f>
        <v/>
      </c>
      <c r="CJ18" s="273">
        <f>CJ109+CJ110+CJ154</f>
        <v/>
      </c>
      <c r="CK18" s="273">
        <f>CK109+CK110+CK154</f>
        <v/>
      </c>
      <c r="CL18" s="273">
        <f>CL109+CL110+CL154</f>
        <v/>
      </c>
      <c r="CM18" s="273">
        <f>CM109+CM110+CM154</f>
        <v/>
      </c>
      <c r="CN18" s="273">
        <f>CN109+CN110+CN154</f>
        <v/>
      </c>
      <c r="CO18" s="273">
        <f>CO109+CO110+CO154</f>
        <v/>
      </c>
      <c r="CP18" s="273">
        <f>CP109+CP110+CP154</f>
        <v/>
      </c>
      <c r="CQ18" s="273">
        <f>CQ109+CQ110+CQ154</f>
        <v/>
      </c>
      <c r="CR18" s="273">
        <f>CR109+CR110+CR154</f>
        <v/>
      </c>
      <c r="CS18" s="273">
        <f>CS109+CS110+CS154</f>
        <v/>
      </c>
      <c r="CT18" s="273">
        <f>CT109+CT110+CT154</f>
        <v/>
      </c>
      <c r="CU18" s="273">
        <f>CU109+CU110+CU154</f>
        <v/>
      </c>
      <c r="CV18" s="273">
        <f>CV109+CV110+CV154</f>
        <v/>
      </c>
      <c r="CW18" s="273">
        <f>CW109+CW110+CW154</f>
        <v/>
      </c>
      <c r="CX18" s="273">
        <f>CX109+CX110+CX154</f>
        <v/>
      </c>
      <c r="CY18" s="273">
        <f>CY109+CY110+CY154</f>
        <v/>
      </c>
      <c r="CZ18" s="273">
        <f>CZ109+CZ110+CZ154</f>
        <v/>
      </c>
      <c r="DA18" s="273">
        <f>DA109+DA110+DA154</f>
        <v/>
      </c>
      <c r="DB18" s="275">
        <f>DB109+DB110+DB154</f>
        <v/>
      </c>
      <c r="DC18" s="273" t="n"/>
      <c r="DD18" s="273">
        <f>SUM(F18:DB18)</f>
        <v/>
      </c>
    </row>
    <row r="19" ht="12.4" customFormat="1" customHeight="1" s="13">
      <c r="A19" s="13" t="inlineStr">
        <is>
          <t>Contingency</t>
        </is>
      </c>
      <c r="C19" s="273" t="n"/>
      <c r="D19" s="273">
        <f>DD19</f>
        <v/>
      </c>
      <c r="E19" s="274" t="n"/>
      <c r="F19" s="273">
        <f>SUM(F103:F104)</f>
        <v/>
      </c>
      <c r="G19" s="273">
        <f>SUM(G103:G104)</f>
        <v/>
      </c>
      <c r="H19" s="273">
        <f>SUM(H103:H104)</f>
        <v/>
      </c>
      <c r="I19" s="273">
        <f>SUM(I103:I104)</f>
        <v/>
      </c>
      <c r="J19" s="273">
        <f>SUM(J103:J104)</f>
        <v/>
      </c>
      <c r="K19" s="273">
        <f>SUM(K103:K104)</f>
        <v/>
      </c>
      <c r="L19" s="273">
        <f>SUM(L103:L104)</f>
        <v/>
      </c>
      <c r="M19" s="273">
        <f>SUM(M103:M104)</f>
        <v/>
      </c>
      <c r="N19" s="273">
        <f>SUM(N103:N104)</f>
        <v/>
      </c>
      <c r="O19" s="273">
        <f>SUM(O103:O104)</f>
        <v/>
      </c>
      <c r="P19" s="273">
        <f>SUM(P103:P104)</f>
        <v/>
      </c>
      <c r="Q19" s="273">
        <f>SUM(Q103:Q104)</f>
        <v/>
      </c>
      <c r="R19" s="273">
        <f>SUM(R103:R104)</f>
        <v/>
      </c>
      <c r="S19" s="273">
        <f>SUM(S103:S104)</f>
        <v/>
      </c>
      <c r="T19" s="273">
        <f>SUM(T103:T104)</f>
        <v/>
      </c>
      <c r="U19" s="273">
        <f>SUM(U103:U104)</f>
        <v/>
      </c>
      <c r="V19" s="273">
        <f>SUM(V103:V104)</f>
        <v/>
      </c>
      <c r="W19" s="273">
        <f>SUM(W103:W104)</f>
        <v/>
      </c>
      <c r="X19" s="273">
        <f>SUM(X103:X104)</f>
        <v/>
      </c>
      <c r="Y19" s="273">
        <f>SUM(Y103:Y104)</f>
        <v/>
      </c>
      <c r="Z19" s="273">
        <f>SUM(Z103:Z104)</f>
        <v/>
      </c>
      <c r="AA19" s="273">
        <f>SUM(AA103:AA104)</f>
        <v/>
      </c>
      <c r="AB19" s="273">
        <f>SUM(AB103:AB104)</f>
        <v/>
      </c>
      <c r="AC19" s="273">
        <f>SUM(AC103:AC104)</f>
        <v/>
      </c>
      <c r="AD19" s="273">
        <f>SUM(AD103:AD104)</f>
        <v/>
      </c>
      <c r="AE19" s="273">
        <f>SUM(AE103:AE104)</f>
        <v/>
      </c>
      <c r="AF19" s="273">
        <f>SUM(AF103:AF104)</f>
        <v/>
      </c>
      <c r="AG19" s="273">
        <f>SUM(AG103:AG104)</f>
        <v/>
      </c>
      <c r="AH19" s="273">
        <f>SUM(AH103:AH104)</f>
        <v/>
      </c>
      <c r="AI19" s="273">
        <f>SUM(AI103:AI104)</f>
        <v/>
      </c>
      <c r="AJ19" s="273">
        <f>SUM(AJ103:AJ104)</f>
        <v/>
      </c>
      <c r="AK19" s="273">
        <f>SUM(AK103:AK104)</f>
        <v/>
      </c>
      <c r="AL19" s="273">
        <f>SUM(AL103:AL104)</f>
        <v/>
      </c>
      <c r="AM19" s="273">
        <f>SUM(AM103:AM104)</f>
        <v/>
      </c>
      <c r="AN19" s="273">
        <f>SUM(AN103:AN104)</f>
        <v/>
      </c>
      <c r="AO19" s="273">
        <f>SUM(AO103:AO104)</f>
        <v/>
      </c>
      <c r="AP19" s="273">
        <f>SUM(AP103:AP104)</f>
        <v/>
      </c>
      <c r="AQ19" s="273">
        <f>SUM(AQ103:AQ104)</f>
        <v/>
      </c>
      <c r="AR19" s="273">
        <f>SUM(AR103:AR104)</f>
        <v/>
      </c>
      <c r="AS19" s="273">
        <f>SUM(AS103:AS104)</f>
        <v/>
      </c>
      <c r="AT19" s="273">
        <f>SUM(AT103:AT104)</f>
        <v/>
      </c>
      <c r="AU19" s="273">
        <f>SUM(AU103:AU104)</f>
        <v/>
      </c>
      <c r="AV19" s="273">
        <f>SUM(AV103:AV104)</f>
        <v/>
      </c>
      <c r="AW19" s="273">
        <f>SUM(AW103:AW104)</f>
        <v/>
      </c>
      <c r="AX19" s="273">
        <f>SUM(AX103:AX104)</f>
        <v/>
      </c>
      <c r="AY19" s="273">
        <f>SUM(AY103:AY104)</f>
        <v/>
      </c>
      <c r="AZ19" s="273">
        <f>SUM(AZ103:AZ104)</f>
        <v/>
      </c>
      <c r="BA19" s="273">
        <f>SUM(BA103:BA104)</f>
        <v/>
      </c>
      <c r="BB19" s="273">
        <f>SUM(BB103:BB104)</f>
        <v/>
      </c>
      <c r="BC19" s="273">
        <f>SUM(BC103:BC104)</f>
        <v/>
      </c>
      <c r="BD19" s="273">
        <f>SUM(BD103:BD104)</f>
        <v/>
      </c>
      <c r="BE19" s="273">
        <f>SUM(BE103:BE104)</f>
        <v/>
      </c>
      <c r="BF19" s="273">
        <f>SUM(BF103:BF104)</f>
        <v/>
      </c>
      <c r="BG19" s="273">
        <f>SUM(BG103:BG104)</f>
        <v/>
      </c>
      <c r="BH19" s="273">
        <f>SUM(BH103:BH104)</f>
        <v/>
      </c>
      <c r="BI19" s="273">
        <f>SUM(BI103:BI104)</f>
        <v/>
      </c>
      <c r="BJ19" s="273">
        <f>SUM(BJ103:BJ104)</f>
        <v/>
      </c>
      <c r="BK19" s="273">
        <f>SUM(BK103:BK104)</f>
        <v/>
      </c>
      <c r="BL19" s="273">
        <f>SUM(BL103:BL104)</f>
        <v/>
      </c>
      <c r="BM19" s="273">
        <f>SUM(BM103:BM104)</f>
        <v/>
      </c>
      <c r="BN19" s="273">
        <f>SUM(BN103:BN104)</f>
        <v/>
      </c>
      <c r="BO19" s="273">
        <f>SUM(BO103:BO104)</f>
        <v/>
      </c>
      <c r="BP19" s="273">
        <f>SUM(BP103:BP104)</f>
        <v/>
      </c>
      <c r="BQ19" s="273">
        <f>SUM(BQ103:BQ104)</f>
        <v/>
      </c>
      <c r="BR19" s="273">
        <f>SUM(BR103:BR104)</f>
        <v/>
      </c>
      <c r="BS19" s="273">
        <f>SUM(BS103:BS104)</f>
        <v/>
      </c>
      <c r="BT19" s="273">
        <f>SUM(BT103:BT104)</f>
        <v/>
      </c>
      <c r="BU19" s="273">
        <f>SUM(BU103:BU104)</f>
        <v/>
      </c>
      <c r="BV19" s="273">
        <f>SUM(BV103:BV104)</f>
        <v/>
      </c>
      <c r="BW19" s="273">
        <f>SUM(BW103:BW104)</f>
        <v/>
      </c>
      <c r="BX19" s="273">
        <f>SUM(BX103:BX104)</f>
        <v/>
      </c>
      <c r="BY19" s="273">
        <f>SUM(BY103:BY104)</f>
        <v/>
      </c>
      <c r="BZ19" s="273">
        <f>SUM(BZ103:BZ104)</f>
        <v/>
      </c>
      <c r="CA19" s="273">
        <f>SUM(CA103:CA104)</f>
        <v/>
      </c>
      <c r="CB19" s="273">
        <f>SUM(CB103:CB104)</f>
        <v/>
      </c>
      <c r="CC19" s="273">
        <f>SUM(CC103:CC104)</f>
        <v/>
      </c>
      <c r="CD19" s="273">
        <f>SUM(CD103:CD104)</f>
        <v/>
      </c>
      <c r="CE19" s="273">
        <f>SUM(CE103:CE104)</f>
        <v/>
      </c>
      <c r="CF19" s="273">
        <f>SUM(CF103:CF104)</f>
        <v/>
      </c>
      <c r="CG19" s="273">
        <f>SUM(CG103:CG104)</f>
        <v/>
      </c>
      <c r="CH19" s="273">
        <f>SUM(CH103:CH104)</f>
        <v/>
      </c>
      <c r="CI19" s="273">
        <f>SUM(CI103:CI104)</f>
        <v/>
      </c>
      <c r="CJ19" s="273">
        <f>SUM(CJ103:CJ104)</f>
        <v/>
      </c>
      <c r="CK19" s="273">
        <f>SUM(CK103:CK104)</f>
        <v/>
      </c>
      <c r="CL19" s="273">
        <f>SUM(CL103:CL104)</f>
        <v/>
      </c>
      <c r="CM19" s="273">
        <f>SUM(CM103:CM104)</f>
        <v/>
      </c>
      <c r="CN19" s="273">
        <f>SUM(CN103:CN104)</f>
        <v/>
      </c>
      <c r="CO19" s="273">
        <f>SUM(CO103:CO104)</f>
        <v/>
      </c>
      <c r="CP19" s="273">
        <f>SUM(CP103:CP104)</f>
        <v/>
      </c>
      <c r="CQ19" s="273">
        <f>SUM(CQ103:CQ104)</f>
        <v/>
      </c>
      <c r="CR19" s="273">
        <f>SUM(CR103:CR104)</f>
        <v/>
      </c>
      <c r="CS19" s="273">
        <f>SUM(CS103:CS104)</f>
        <v/>
      </c>
      <c r="CT19" s="273">
        <f>SUM(CT103:CT104)</f>
        <v/>
      </c>
      <c r="CU19" s="273">
        <f>SUM(CU103:CU104)</f>
        <v/>
      </c>
      <c r="CV19" s="273">
        <f>SUM(CV103:CV104)</f>
        <v/>
      </c>
      <c r="CW19" s="273">
        <f>SUM(CW103:CW104)</f>
        <v/>
      </c>
      <c r="CX19" s="273">
        <f>SUM(CX103:CX104)</f>
        <v/>
      </c>
      <c r="CY19" s="273">
        <f>SUM(CY103:CY104)</f>
        <v/>
      </c>
      <c r="CZ19" s="273">
        <f>SUM(CZ103:CZ104)</f>
        <v/>
      </c>
      <c r="DA19" s="273">
        <f>SUM(DA103:DA104)</f>
        <v/>
      </c>
      <c r="DB19" s="275">
        <f>SUM(DB103:DB104)</f>
        <v/>
      </c>
      <c r="DC19" s="273" t="n"/>
      <c r="DD19" s="273">
        <f>SUM(F19:DB19)</f>
        <v/>
      </c>
    </row>
    <row r="20" ht="12.4" customFormat="1" customHeight="1" s="13">
      <c r="A20" s="13" t="inlineStr">
        <is>
          <t>Furniture and Equipment</t>
        </is>
      </c>
      <c r="C20" s="273" t="n"/>
      <c r="D20" s="273">
        <f>DD20</f>
        <v/>
      </c>
      <c r="E20" s="274" t="n"/>
      <c r="F20" s="273">
        <f>SUM(F105)</f>
        <v/>
      </c>
      <c r="G20" s="273">
        <f>SUM(G105)</f>
        <v/>
      </c>
      <c r="H20" s="273">
        <f>SUM(H105)</f>
        <v/>
      </c>
      <c r="I20" s="273">
        <f>SUM(I105)</f>
        <v/>
      </c>
      <c r="J20" s="273">
        <f>SUM(J105)</f>
        <v/>
      </c>
      <c r="K20" s="273">
        <f>SUM(K105)</f>
        <v/>
      </c>
      <c r="L20" s="273">
        <f>SUM(L105)</f>
        <v/>
      </c>
      <c r="M20" s="273">
        <f>SUM(M105)</f>
        <v/>
      </c>
      <c r="N20" s="273">
        <f>SUM(N105)</f>
        <v/>
      </c>
      <c r="O20" s="273">
        <f>SUM(O105)</f>
        <v/>
      </c>
      <c r="P20" s="273">
        <f>SUM(P105)</f>
        <v/>
      </c>
      <c r="Q20" s="273">
        <f>SUM(Q105)</f>
        <v/>
      </c>
      <c r="R20" s="273">
        <f>SUM(R105)</f>
        <v/>
      </c>
      <c r="S20" s="273">
        <f>SUM(S105)</f>
        <v/>
      </c>
      <c r="T20" s="273">
        <f>SUM(T105)</f>
        <v/>
      </c>
      <c r="U20" s="273">
        <f>SUM(U105)</f>
        <v/>
      </c>
      <c r="V20" s="273">
        <f>SUM(V105)</f>
        <v/>
      </c>
      <c r="W20" s="273">
        <f>SUM(W105)</f>
        <v/>
      </c>
      <c r="X20" s="273">
        <f>SUM(X105)</f>
        <v/>
      </c>
      <c r="Y20" s="273">
        <f>SUM(Y105)</f>
        <v/>
      </c>
      <c r="Z20" s="273">
        <f>SUM(Z105)</f>
        <v/>
      </c>
      <c r="AA20" s="273">
        <f>SUM(AA105)</f>
        <v/>
      </c>
      <c r="AB20" s="273">
        <f>SUM(AB105)</f>
        <v/>
      </c>
      <c r="AC20" s="273">
        <f>SUM(AC105)</f>
        <v/>
      </c>
      <c r="AD20" s="273">
        <f>SUM(AD105)</f>
        <v/>
      </c>
      <c r="AE20" s="273">
        <f>SUM(AE105)</f>
        <v/>
      </c>
      <c r="AF20" s="273">
        <f>SUM(AF105)</f>
        <v/>
      </c>
      <c r="AG20" s="273">
        <f>SUM(AG105)</f>
        <v/>
      </c>
      <c r="AH20" s="273">
        <f>SUM(AH105)</f>
        <v/>
      </c>
      <c r="AI20" s="273">
        <f>SUM(AI105)</f>
        <v/>
      </c>
      <c r="AJ20" s="273">
        <f>SUM(AJ105)</f>
        <v/>
      </c>
      <c r="AK20" s="273">
        <f>SUM(AK105)</f>
        <v/>
      </c>
      <c r="AL20" s="273">
        <f>SUM(AL105)</f>
        <v/>
      </c>
      <c r="AM20" s="273">
        <f>SUM(AM105)</f>
        <v/>
      </c>
      <c r="AN20" s="273">
        <f>SUM(AN105)</f>
        <v/>
      </c>
      <c r="AO20" s="273">
        <f>SUM(AO105)</f>
        <v/>
      </c>
      <c r="AP20" s="273">
        <f>SUM(AP105)</f>
        <v/>
      </c>
      <c r="AQ20" s="273">
        <f>SUM(AQ105)</f>
        <v/>
      </c>
      <c r="AR20" s="273">
        <f>SUM(AR105)</f>
        <v/>
      </c>
      <c r="AS20" s="273">
        <f>SUM(AS105)</f>
        <v/>
      </c>
      <c r="AT20" s="273">
        <f>SUM(AT105)</f>
        <v/>
      </c>
      <c r="AU20" s="273">
        <f>SUM(AU105)</f>
        <v/>
      </c>
      <c r="AV20" s="273">
        <f>SUM(AV105)</f>
        <v/>
      </c>
      <c r="AW20" s="273">
        <f>SUM(AW105)</f>
        <v/>
      </c>
      <c r="AX20" s="273">
        <f>SUM(AX105)</f>
        <v/>
      </c>
      <c r="AY20" s="273">
        <f>SUM(AY105)</f>
        <v/>
      </c>
      <c r="AZ20" s="273">
        <f>SUM(AZ105)</f>
        <v/>
      </c>
      <c r="BA20" s="273">
        <f>SUM(BA105)</f>
        <v/>
      </c>
      <c r="BB20" s="273">
        <f>SUM(BB105)</f>
        <v/>
      </c>
      <c r="BC20" s="273">
        <f>SUM(BC105)</f>
        <v/>
      </c>
      <c r="BD20" s="273">
        <f>SUM(BD105)</f>
        <v/>
      </c>
      <c r="BE20" s="273">
        <f>SUM(BE105)</f>
        <v/>
      </c>
      <c r="BF20" s="273">
        <f>SUM(BF105)</f>
        <v/>
      </c>
      <c r="BG20" s="273">
        <f>SUM(BG105)</f>
        <v/>
      </c>
      <c r="BH20" s="273">
        <f>SUM(BH105)</f>
        <v/>
      </c>
      <c r="BI20" s="273">
        <f>SUM(BI105)</f>
        <v/>
      </c>
      <c r="BJ20" s="273">
        <f>SUM(BJ105)</f>
        <v/>
      </c>
      <c r="BK20" s="273">
        <f>SUM(BK105)</f>
        <v/>
      </c>
      <c r="BL20" s="273">
        <f>SUM(BL105)</f>
        <v/>
      </c>
      <c r="BM20" s="273">
        <f>SUM(BM105)</f>
        <v/>
      </c>
      <c r="BN20" s="273">
        <f>SUM(BN105)</f>
        <v/>
      </c>
      <c r="BO20" s="273">
        <f>SUM(BO105)</f>
        <v/>
      </c>
      <c r="BP20" s="273">
        <f>SUM(BP105)</f>
        <v/>
      </c>
      <c r="BQ20" s="273">
        <f>SUM(BQ105)</f>
        <v/>
      </c>
      <c r="BR20" s="273">
        <f>SUM(BR105)</f>
        <v/>
      </c>
      <c r="BS20" s="273">
        <f>SUM(BS105)</f>
        <v/>
      </c>
      <c r="BT20" s="273">
        <f>SUM(BT105)</f>
        <v/>
      </c>
      <c r="BU20" s="273">
        <f>SUM(BU105)</f>
        <v/>
      </c>
      <c r="BV20" s="273">
        <f>SUM(BV105)</f>
        <v/>
      </c>
      <c r="BW20" s="273">
        <f>SUM(BW105)</f>
        <v/>
      </c>
      <c r="BX20" s="273">
        <f>SUM(BX105)</f>
        <v/>
      </c>
      <c r="BY20" s="273">
        <f>SUM(BY105)</f>
        <v/>
      </c>
      <c r="BZ20" s="273">
        <f>SUM(BZ105)</f>
        <v/>
      </c>
      <c r="CA20" s="273">
        <f>SUM(CA105)</f>
        <v/>
      </c>
      <c r="CB20" s="273">
        <f>SUM(CB105)</f>
        <v/>
      </c>
      <c r="CC20" s="273">
        <f>SUM(CC105)</f>
        <v/>
      </c>
      <c r="CD20" s="273">
        <f>SUM(CD105)</f>
        <v/>
      </c>
      <c r="CE20" s="273">
        <f>SUM(CE105)</f>
        <v/>
      </c>
      <c r="CF20" s="273">
        <f>SUM(CF105)</f>
        <v/>
      </c>
      <c r="CG20" s="273">
        <f>SUM(CG105)</f>
        <v/>
      </c>
      <c r="CH20" s="273">
        <f>SUM(CH105)</f>
        <v/>
      </c>
      <c r="CI20" s="273">
        <f>SUM(CI105)</f>
        <v/>
      </c>
      <c r="CJ20" s="273">
        <f>SUM(CJ105)</f>
        <v/>
      </c>
      <c r="CK20" s="273">
        <f>SUM(CK105)</f>
        <v/>
      </c>
      <c r="CL20" s="273">
        <f>SUM(CL105)</f>
        <v/>
      </c>
      <c r="CM20" s="273">
        <f>SUM(CM105)</f>
        <v/>
      </c>
      <c r="CN20" s="273">
        <f>SUM(CN105)</f>
        <v/>
      </c>
      <c r="CO20" s="273">
        <f>SUM(CO105)</f>
        <v/>
      </c>
      <c r="CP20" s="273">
        <f>SUM(CP105)</f>
        <v/>
      </c>
      <c r="CQ20" s="273">
        <f>SUM(CQ105)</f>
        <v/>
      </c>
      <c r="CR20" s="273">
        <f>SUM(CR105)</f>
        <v/>
      </c>
      <c r="CS20" s="273">
        <f>SUM(CS105)</f>
        <v/>
      </c>
      <c r="CT20" s="273">
        <f>SUM(CT105)</f>
        <v/>
      </c>
      <c r="CU20" s="273">
        <f>SUM(CU105)</f>
        <v/>
      </c>
      <c r="CV20" s="273">
        <f>SUM(CV105)</f>
        <v/>
      </c>
      <c r="CW20" s="273">
        <f>SUM(CW105)</f>
        <v/>
      </c>
      <c r="CX20" s="273">
        <f>SUM(CX105)</f>
        <v/>
      </c>
      <c r="CY20" s="273">
        <f>SUM(CY105)</f>
        <v/>
      </c>
      <c r="CZ20" s="273">
        <f>SUM(CZ105)</f>
        <v/>
      </c>
      <c r="DA20" s="273">
        <f>SUM(DA105)</f>
        <v/>
      </c>
      <c r="DB20" s="275">
        <f>SUM(DB105)</f>
        <v/>
      </c>
      <c r="DC20" s="273" t="n"/>
      <c r="DD20" s="273">
        <f>SUM(F20:DB20)</f>
        <v/>
      </c>
    </row>
    <row r="21" ht="12.4" customFormat="1" customHeight="1" s="31">
      <c r="A21" s="789" t="n"/>
      <c r="B21" s="789" t="n"/>
      <c r="C21" s="890" t="n"/>
      <c r="D21" s="890" t="n"/>
      <c r="E21" s="276" t="n"/>
      <c r="F21" s="890" t="n"/>
      <c r="G21" s="890" t="n"/>
      <c r="H21" s="890" t="n"/>
      <c r="I21" s="890" t="n"/>
      <c r="J21" s="890" t="n"/>
      <c r="K21" s="890" t="n"/>
      <c r="L21" s="890" t="n"/>
      <c r="M21" s="890" t="n"/>
      <c r="N21" s="890" t="n"/>
      <c r="O21" s="890" t="n"/>
      <c r="P21" s="890" t="n"/>
      <c r="Q21" s="890" t="n"/>
      <c r="R21" s="890" t="n"/>
      <c r="S21" s="890" t="n"/>
      <c r="T21" s="890" t="n"/>
      <c r="U21" s="890" t="n"/>
      <c r="V21" s="890" t="n"/>
      <c r="W21" s="890" t="n"/>
      <c r="X21" s="890" t="n"/>
      <c r="Y21" s="890" t="n"/>
      <c r="Z21" s="890" t="n"/>
      <c r="AA21" s="890" t="n"/>
      <c r="AB21" s="890" t="n"/>
      <c r="AC21" s="890" t="n"/>
      <c r="AD21" s="890" t="n"/>
      <c r="AE21" s="890" t="n"/>
      <c r="AF21" s="890" t="n"/>
      <c r="AG21" s="890" t="n"/>
      <c r="AH21" s="890" t="n"/>
      <c r="AI21" s="890" t="n"/>
      <c r="AJ21" s="890" t="n"/>
      <c r="AK21" s="890" t="n"/>
      <c r="AL21" s="890" t="n"/>
      <c r="AM21" s="890" t="n"/>
      <c r="AN21" s="890" t="n"/>
      <c r="AO21" s="890" t="n"/>
      <c r="AP21" s="890" t="n"/>
      <c r="AQ21" s="890" t="n"/>
      <c r="AR21" s="890" t="n"/>
      <c r="AS21" s="890" t="n"/>
      <c r="AT21" s="890" t="n"/>
      <c r="AU21" s="890" t="n"/>
      <c r="AV21" s="890" t="n"/>
      <c r="AW21" s="890" t="n"/>
      <c r="AX21" s="890" t="n"/>
      <c r="AY21" s="890" t="n"/>
      <c r="AZ21" s="890" t="n"/>
      <c r="BA21" s="890" t="n"/>
      <c r="BB21" s="890" t="n"/>
      <c r="BC21" s="890" t="n"/>
      <c r="BD21" s="890" t="n"/>
      <c r="BE21" s="890" t="n"/>
      <c r="BF21" s="890" t="n"/>
      <c r="BG21" s="890" t="n"/>
      <c r="BH21" s="890" t="n"/>
      <c r="BI21" s="890" t="n"/>
      <c r="BJ21" s="890" t="n"/>
      <c r="BK21" s="890" t="n"/>
      <c r="BL21" s="890" t="n"/>
      <c r="BM21" s="890" t="n"/>
      <c r="BN21" s="890" t="n"/>
      <c r="BO21" s="890" t="n"/>
      <c r="BP21" s="890" t="n"/>
      <c r="BQ21" s="890" t="n"/>
      <c r="BR21" s="890" t="n"/>
      <c r="BS21" s="890" t="n"/>
      <c r="BT21" s="890" t="n"/>
      <c r="BU21" s="890" t="n"/>
      <c r="BV21" s="890" t="n"/>
      <c r="BW21" s="890" t="n"/>
      <c r="BX21" s="890" t="n"/>
      <c r="BY21" s="890" t="n"/>
      <c r="BZ21" s="890" t="n"/>
      <c r="CA21" s="890" t="n"/>
      <c r="CB21" s="890" t="n"/>
      <c r="CC21" s="890" t="n"/>
      <c r="CD21" s="890" t="n"/>
      <c r="CE21" s="890" t="n"/>
      <c r="CF21" s="890" t="n"/>
      <c r="CG21" s="890" t="n"/>
      <c r="CH21" s="890" t="n"/>
      <c r="CI21" s="890" t="n"/>
      <c r="CJ21" s="890" t="n"/>
      <c r="CK21" s="890" t="n"/>
      <c r="CL21" s="890" t="n"/>
      <c r="CM21" s="890" t="n"/>
      <c r="CN21" s="890" t="n"/>
      <c r="CO21" s="890" t="n"/>
      <c r="CP21" s="890" t="n"/>
      <c r="CQ21" s="890" t="n"/>
      <c r="CR21" s="890" t="n"/>
      <c r="CS21" s="890" t="n"/>
      <c r="CT21" s="890" t="n"/>
      <c r="CU21" s="890" t="n"/>
      <c r="CV21" s="890" t="n"/>
      <c r="CW21" s="890" t="n"/>
      <c r="CX21" s="890" t="n"/>
      <c r="CY21" s="890" t="n"/>
      <c r="CZ21" s="890" t="n"/>
      <c r="DA21" s="890" t="n"/>
      <c r="DB21" s="698" t="n"/>
      <c r="DC21" s="890" t="n"/>
      <c r="DD21" s="890" t="n"/>
    </row>
    <row r="22" ht="12.4" customFormat="1" customHeight="1" s="278">
      <c r="A22" s="277" t="inlineStr">
        <is>
          <t>Total Monthly Project Costs</t>
        </is>
      </c>
      <c r="C22" s="279" t="n"/>
      <c r="D22" s="280">
        <f>DD22</f>
        <v/>
      </c>
      <c r="E22" s="281" t="n"/>
      <c r="F22" s="279">
        <f>SUM(F8:F20)</f>
        <v/>
      </c>
      <c r="G22" s="279">
        <f>SUM(G8:G20)</f>
        <v/>
      </c>
      <c r="H22" s="279">
        <f>SUM(H8:H20)</f>
        <v/>
      </c>
      <c r="I22" s="279">
        <f>SUM(I8:I20)</f>
        <v/>
      </c>
      <c r="J22" s="279">
        <f>SUM(J8:J20)</f>
        <v/>
      </c>
      <c r="K22" s="279">
        <f>SUM(K8:K20)</f>
        <v/>
      </c>
      <c r="L22" s="279">
        <f>SUM(L8:L20)</f>
        <v/>
      </c>
      <c r="M22" s="279">
        <f>SUM(M8:M20)</f>
        <v/>
      </c>
      <c r="N22" s="279">
        <f>SUM(N8:N20)</f>
        <v/>
      </c>
      <c r="O22" s="279">
        <f>SUM(O8:O20)</f>
        <v/>
      </c>
      <c r="P22" s="279">
        <f>SUM(P8:P20)</f>
        <v/>
      </c>
      <c r="Q22" s="279">
        <f>SUM(Q8:Q20)</f>
        <v/>
      </c>
      <c r="R22" s="279">
        <f>SUM(R8:R20)</f>
        <v/>
      </c>
      <c r="S22" s="279">
        <f>SUM(S8:S20)</f>
        <v/>
      </c>
      <c r="T22" s="279">
        <f>SUM(T8:T20)</f>
        <v/>
      </c>
      <c r="U22" s="279">
        <f>SUM(U8:U20)</f>
        <v/>
      </c>
      <c r="V22" s="279">
        <f>SUM(V8:V20)</f>
        <v/>
      </c>
      <c r="W22" s="279">
        <f>SUM(W8:W20)</f>
        <v/>
      </c>
      <c r="X22" s="279">
        <f>SUM(X8:X20)</f>
        <v/>
      </c>
      <c r="Y22" s="279">
        <f>SUM(Y8:Y20)</f>
        <v/>
      </c>
      <c r="Z22" s="279">
        <f>SUM(Z8:Z20)</f>
        <v/>
      </c>
      <c r="AA22" s="279">
        <f>SUM(AA8:AA20)</f>
        <v/>
      </c>
      <c r="AB22" s="279">
        <f>SUM(AB8:AB20)</f>
        <v/>
      </c>
      <c r="AC22" s="279">
        <f>SUM(AC8:AC20)</f>
        <v/>
      </c>
      <c r="AD22" s="279">
        <f>SUM(AD8:AD20)</f>
        <v/>
      </c>
      <c r="AE22" s="279">
        <f>SUM(AE8:AE20)</f>
        <v/>
      </c>
      <c r="AF22" s="279">
        <f>SUM(AF8:AF20)</f>
        <v/>
      </c>
      <c r="AG22" s="279">
        <f>SUM(AG8:AG20)</f>
        <v/>
      </c>
      <c r="AH22" s="279">
        <f>SUM(AH8:AH20)</f>
        <v/>
      </c>
      <c r="AI22" s="279">
        <f>SUM(AI8:AI20)</f>
        <v/>
      </c>
      <c r="AJ22" s="279">
        <f>SUM(AJ8:AJ20)</f>
        <v/>
      </c>
      <c r="AK22" s="279">
        <f>SUM(AK8:AK20)</f>
        <v/>
      </c>
      <c r="AL22" s="279">
        <f>SUM(AL8:AL20)</f>
        <v/>
      </c>
      <c r="AM22" s="279">
        <f>SUM(AM8:AM20)</f>
        <v/>
      </c>
      <c r="AN22" s="279">
        <f>SUM(AN8:AN20)</f>
        <v/>
      </c>
      <c r="AO22" s="279">
        <f>SUM(AO8:AO20)</f>
        <v/>
      </c>
      <c r="AP22" s="279">
        <f>SUM(AP8:AP20)</f>
        <v/>
      </c>
      <c r="AQ22" s="279">
        <f>SUM(AQ8:AQ20)</f>
        <v/>
      </c>
      <c r="AR22" s="279">
        <f>SUM(AR8:AR20)</f>
        <v/>
      </c>
      <c r="AS22" s="279">
        <f>SUM(AS8:AS20)</f>
        <v/>
      </c>
      <c r="AT22" s="279">
        <f>SUM(AT8:AT20)</f>
        <v/>
      </c>
      <c r="AU22" s="279">
        <f>SUM(AU8:AU20)</f>
        <v/>
      </c>
      <c r="AV22" s="279">
        <f>SUM(AV8:AV20)</f>
        <v/>
      </c>
      <c r="AW22" s="279">
        <f>SUM(AW8:AW20)</f>
        <v/>
      </c>
      <c r="AX22" s="279">
        <f>SUM(AX8:AX20)</f>
        <v/>
      </c>
      <c r="AY22" s="279">
        <f>SUM(AY8:AY20)</f>
        <v/>
      </c>
      <c r="AZ22" s="279">
        <f>SUM(AZ8:AZ20)</f>
        <v/>
      </c>
      <c r="BA22" s="279">
        <f>SUM(BA8:BA20)</f>
        <v/>
      </c>
      <c r="BB22" s="279">
        <f>SUM(BB8:BB20)</f>
        <v/>
      </c>
      <c r="BC22" s="279">
        <f>SUM(BC8:BC20)</f>
        <v/>
      </c>
      <c r="BD22" s="279">
        <f>SUM(BD8:BD20)</f>
        <v/>
      </c>
      <c r="BE22" s="279">
        <f>SUM(BE8:BE20)</f>
        <v/>
      </c>
      <c r="BF22" s="279">
        <f>SUM(BF8:BF20)</f>
        <v/>
      </c>
      <c r="BG22" s="279">
        <f>SUM(BG8:BG20)</f>
        <v/>
      </c>
      <c r="BH22" s="279">
        <f>SUM(BH8:BH20)</f>
        <v/>
      </c>
      <c r="BI22" s="279">
        <f>SUM(BI8:BI20)</f>
        <v/>
      </c>
      <c r="BJ22" s="279">
        <f>SUM(BJ8:BJ20)</f>
        <v/>
      </c>
      <c r="BK22" s="279">
        <f>SUM(BK8:BK20)</f>
        <v/>
      </c>
      <c r="BL22" s="279">
        <f>SUM(BL8:BL20)</f>
        <v/>
      </c>
      <c r="BM22" s="279">
        <f>SUM(BM8:BM20)</f>
        <v/>
      </c>
      <c r="BN22" s="279">
        <f>SUM(BN8:BN20)</f>
        <v/>
      </c>
      <c r="BO22" s="279">
        <f>SUM(BO8:BO20)</f>
        <v/>
      </c>
      <c r="BP22" s="279">
        <f>SUM(BP8:BP20)</f>
        <v/>
      </c>
      <c r="BQ22" s="279">
        <f>SUM(BQ8:BQ20)</f>
        <v/>
      </c>
      <c r="BR22" s="279">
        <f>SUM(BR8:BR20)</f>
        <v/>
      </c>
      <c r="BS22" s="279">
        <f>SUM(BS8:BS20)</f>
        <v/>
      </c>
      <c r="BT22" s="279">
        <f>SUM(BT8:BT20)</f>
        <v/>
      </c>
      <c r="BU22" s="279">
        <f>SUM(BU8:BU20)</f>
        <v/>
      </c>
      <c r="BV22" s="279">
        <f>SUM(BV8:BV20)</f>
        <v/>
      </c>
      <c r="BW22" s="279">
        <f>SUM(BW8:BW20)</f>
        <v/>
      </c>
      <c r="BX22" s="279">
        <f>SUM(BX8:BX20)</f>
        <v/>
      </c>
      <c r="BY22" s="279">
        <f>SUM(BY8:BY20)</f>
        <v/>
      </c>
      <c r="BZ22" s="279">
        <f>SUM(BZ8:BZ20)</f>
        <v/>
      </c>
      <c r="CA22" s="279">
        <f>SUM(CA8:CA20)</f>
        <v/>
      </c>
      <c r="CB22" s="279">
        <f>SUM(CB8:CB20)</f>
        <v/>
      </c>
      <c r="CC22" s="279">
        <f>SUM(CC8:CC20)</f>
        <v/>
      </c>
      <c r="CD22" s="279">
        <f>SUM(CD8:CD20)</f>
        <v/>
      </c>
      <c r="CE22" s="279">
        <f>SUM(CE8:CE20)</f>
        <v/>
      </c>
      <c r="CF22" s="279">
        <f>SUM(CF8:CF20)</f>
        <v/>
      </c>
      <c r="CG22" s="279">
        <f>SUM(CG8:CG20)</f>
        <v/>
      </c>
      <c r="CH22" s="279">
        <f>SUM(CH8:CH20)</f>
        <v/>
      </c>
      <c r="CI22" s="279">
        <f>SUM(CI8:CI20)</f>
        <v/>
      </c>
      <c r="CJ22" s="279">
        <f>SUM(CJ8:CJ20)</f>
        <v/>
      </c>
      <c r="CK22" s="279">
        <f>SUM(CK8:CK20)</f>
        <v/>
      </c>
      <c r="CL22" s="279">
        <f>SUM(CL8:CL20)</f>
        <v/>
      </c>
      <c r="CM22" s="279">
        <f>SUM(CM8:CM20)</f>
        <v/>
      </c>
      <c r="CN22" s="279">
        <f>SUM(CN8:CN20)</f>
        <v/>
      </c>
      <c r="CO22" s="279">
        <f>SUM(CO8:CO20)</f>
        <v/>
      </c>
      <c r="CP22" s="279">
        <f>SUM(CP8:CP20)</f>
        <v/>
      </c>
      <c r="CQ22" s="279">
        <f>SUM(CQ8:CQ20)</f>
        <v/>
      </c>
      <c r="CR22" s="279">
        <f>SUM(CR8:CR20)</f>
        <v/>
      </c>
      <c r="CS22" s="279">
        <f>SUM(CS8:CS20)</f>
        <v/>
      </c>
      <c r="CT22" s="279">
        <f>SUM(CT8:CT20)</f>
        <v/>
      </c>
      <c r="CU22" s="279">
        <f>SUM(CU8:CU20)</f>
        <v/>
      </c>
      <c r="CV22" s="279">
        <f>SUM(CV8:CV20)</f>
        <v/>
      </c>
      <c r="CW22" s="279">
        <f>SUM(CW8:CW20)</f>
        <v/>
      </c>
      <c r="CX22" s="279">
        <f>SUM(CX8:CX20)</f>
        <v/>
      </c>
      <c r="CY22" s="279">
        <f>SUM(CY8:CY20)</f>
        <v/>
      </c>
      <c r="CZ22" s="279">
        <f>SUM(CZ8:CZ20)</f>
        <v/>
      </c>
      <c r="DA22" s="279">
        <f>SUM(DA8:DA20)</f>
        <v/>
      </c>
      <c r="DB22" s="279">
        <f>SUM(DB8:DB20)</f>
        <v/>
      </c>
      <c r="DC22" s="279" t="n"/>
      <c r="DD22" s="279">
        <f>SUM(F22:DB22)</f>
        <v/>
      </c>
    </row>
    <row r="23" ht="12.4" customFormat="1" customHeight="1" s="13">
      <c r="A23" s="9" t="n"/>
      <c r="C23" s="273" t="n"/>
      <c r="D23" s="273" t="n"/>
      <c r="E23" s="274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  <c r="AK23" s="273" t="n"/>
      <c r="AL23" s="273" t="n"/>
      <c r="AM23" s="273" t="n"/>
      <c r="AN23" s="273" t="n"/>
      <c r="AO23" s="273" t="n"/>
      <c r="AP23" s="273" t="n"/>
      <c r="AQ23" s="273" t="n"/>
      <c r="AR23" s="273" t="n"/>
      <c r="AS23" s="273" t="n"/>
      <c r="AT23" s="273" t="n"/>
      <c r="AU23" s="273" t="n"/>
      <c r="AV23" s="273" t="n"/>
      <c r="AW23" s="273" t="n"/>
      <c r="AX23" s="273" t="n"/>
      <c r="AY23" s="273" t="n"/>
      <c r="AZ23" s="273" t="n"/>
      <c r="BA23" s="273" t="n"/>
      <c r="BB23" s="273" t="n"/>
      <c r="BC23" s="273" t="n"/>
      <c r="BD23" s="273" t="n"/>
      <c r="BE23" s="273" t="n"/>
      <c r="BF23" s="273" t="n"/>
      <c r="BG23" s="273" t="n"/>
      <c r="BH23" s="273" t="n"/>
      <c r="BI23" s="273" t="n"/>
      <c r="BJ23" s="273" t="n"/>
      <c r="BK23" s="273" t="n"/>
      <c r="BL23" s="273" t="n"/>
      <c r="BM23" s="273" t="n"/>
      <c r="BN23" s="273" t="n"/>
      <c r="BO23" s="273" t="n"/>
      <c r="BP23" s="273" t="n"/>
      <c r="BQ23" s="273" t="n"/>
      <c r="BR23" s="273" t="n"/>
      <c r="BS23" s="273" t="n"/>
      <c r="BT23" s="273" t="n"/>
      <c r="BU23" s="273" t="n"/>
      <c r="BV23" s="273" t="n"/>
      <c r="BW23" s="273" t="n"/>
      <c r="BX23" s="273" t="n"/>
      <c r="BY23" s="273" t="n"/>
      <c r="BZ23" s="273" t="n"/>
      <c r="CA23" s="273" t="n"/>
      <c r="CB23" s="273" t="n"/>
      <c r="CC23" s="273" t="n"/>
      <c r="CD23" s="273" t="n"/>
      <c r="CE23" s="273" t="n"/>
      <c r="CF23" s="273" t="n"/>
      <c r="CG23" s="273" t="n"/>
      <c r="CH23" s="273" t="n"/>
      <c r="CI23" s="273" t="n"/>
      <c r="CJ23" s="273" t="n"/>
      <c r="CK23" s="273" t="n"/>
      <c r="CL23" s="273" t="n"/>
      <c r="CM23" s="273" t="n"/>
      <c r="CN23" s="273" t="n"/>
      <c r="CO23" s="273" t="n"/>
      <c r="CP23" s="273" t="n"/>
      <c r="CQ23" s="273" t="n"/>
      <c r="CR23" s="273" t="n"/>
      <c r="CS23" s="273" t="n"/>
      <c r="CT23" s="273" t="n"/>
      <c r="CU23" s="273" t="n"/>
      <c r="CV23" s="273" t="n"/>
      <c r="CW23" s="273" t="n"/>
      <c r="CX23" s="273" t="n"/>
      <c r="CY23" s="273" t="n"/>
      <c r="CZ23" s="273" t="n"/>
      <c r="DA23" s="273" t="n"/>
      <c r="DB23" s="273" t="n"/>
      <c r="DC23" s="273" t="n"/>
      <c r="DD23" s="273" t="n"/>
    </row>
    <row r="24" ht="12.4" customFormat="1" customHeight="1" s="278">
      <c r="A24" s="277" t="inlineStr">
        <is>
          <t>Total Cumulative Project Costs</t>
        </is>
      </c>
      <c r="C24" s="279" t="n"/>
      <c r="D24" s="280">
        <f>DD24</f>
        <v/>
      </c>
      <c r="E24" s="281" t="n"/>
      <c r="F24" s="279">
        <f>F164</f>
        <v/>
      </c>
      <c r="G24" s="279">
        <f>G164</f>
        <v/>
      </c>
      <c r="H24" s="279">
        <f>H164</f>
        <v/>
      </c>
      <c r="I24" s="279">
        <f>I164</f>
        <v/>
      </c>
      <c r="J24" s="279">
        <f>J164</f>
        <v/>
      </c>
      <c r="K24" s="279">
        <f>K164</f>
        <v/>
      </c>
      <c r="L24" s="279">
        <f>L164</f>
        <v/>
      </c>
      <c r="M24" s="279">
        <f>M164</f>
        <v/>
      </c>
      <c r="N24" s="279">
        <f>N164</f>
        <v/>
      </c>
      <c r="O24" s="279">
        <f>O164</f>
        <v/>
      </c>
      <c r="P24" s="279">
        <f>P164</f>
        <v/>
      </c>
      <c r="Q24" s="279">
        <f>Q164</f>
        <v/>
      </c>
      <c r="R24" s="279">
        <f>R164</f>
        <v/>
      </c>
      <c r="S24" s="279">
        <f>S164</f>
        <v/>
      </c>
      <c r="T24" s="279">
        <f>T164</f>
        <v/>
      </c>
      <c r="U24" s="279">
        <f>U164</f>
        <v/>
      </c>
      <c r="V24" s="279">
        <f>V164</f>
        <v/>
      </c>
      <c r="W24" s="279">
        <f>W164</f>
        <v/>
      </c>
      <c r="X24" s="279">
        <f>X164</f>
        <v/>
      </c>
      <c r="Y24" s="279">
        <f>Y164</f>
        <v/>
      </c>
      <c r="Z24" s="279">
        <f>Z164</f>
        <v/>
      </c>
      <c r="AA24" s="279">
        <f>AA164</f>
        <v/>
      </c>
      <c r="AB24" s="279">
        <f>AB164</f>
        <v/>
      </c>
      <c r="AC24" s="279">
        <f>AC164</f>
        <v/>
      </c>
      <c r="AD24" s="279">
        <f>AD164</f>
        <v/>
      </c>
      <c r="AE24" s="279">
        <f>AE164</f>
        <v/>
      </c>
      <c r="AF24" s="279">
        <f>AF164</f>
        <v/>
      </c>
      <c r="AG24" s="279">
        <f>AG164</f>
        <v/>
      </c>
      <c r="AH24" s="279">
        <f>AH164</f>
        <v/>
      </c>
      <c r="AI24" s="279">
        <f>AI164</f>
        <v/>
      </c>
      <c r="AJ24" s="279">
        <f>AJ164</f>
        <v/>
      </c>
      <c r="AK24" s="279">
        <f>AK164</f>
        <v/>
      </c>
      <c r="AL24" s="279">
        <f>AL164</f>
        <v/>
      </c>
      <c r="AM24" s="279">
        <f>AM164</f>
        <v/>
      </c>
      <c r="AN24" s="279">
        <f>AN164</f>
        <v/>
      </c>
      <c r="AO24" s="279">
        <f>AO164</f>
        <v/>
      </c>
      <c r="AP24" s="279">
        <f>AP164</f>
        <v/>
      </c>
      <c r="AQ24" s="279">
        <f>AQ164</f>
        <v/>
      </c>
      <c r="AR24" s="279">
        <f>AR164</f>
        <v/>
      </c>
      <c r="AS24" s="279">
        <f>AS164</f>
        <v/>
      </c>
      <c r="AT24" s="279">
        <f>AT164</f>
        <v/>
      </c>
      <c r="AU24" s="279">
        <f>AU164</f>
        <v/>
      </c>
      <c r="AV24" s="279">
        <f>AV164</f>
        <v/>
      </c>
      <c r="AW24" s="279">
        <f>AW164</f>
        <v/>
      </c>
      <c r="AX24" s="279">
        <f>AX164</f>
        <v/>
      </c>
      <c r="AY24" s="279">
        <f>AY164</f>
        <v/>
      </c>
      <c r="AZ24" s="279">
        <f>AZ164</f>
        <v/>
      </c>
      <c r="BA24" s="279">
        <f>BA164</f>
        <v/>
      </c>
      <c r="BB24" s="279">
        <f>BB164</f>
        <v/>
      </c>
      <c r="BC24" s="279">
        <f>BC164</f>
        <v/>
      </c>
      <c r="BD24" s="279">
        <f>BD164</f>
        <v/>
      </c>
      <c r="BE24" s="279">
        <f>BE164</f>
        <v/>
      </c>
      <c r="BF24" s="279">
        <f>BF164</f>
        <v/>
      </c>
      <c r="BG24" s="279">
        <f>BG164</f>
        <v/>
      </c>
      <c r="BH24" s="279">
        <f>BH164</f>
        <v/>
      </c>
      <c r="BI24" s="279">
        <f>BI164</f>
        <v/>
      </c>
      <c r="BJ24" s="279">
        <f>BJ164</f>
        <v/>
      </c>
      <c r="BK24" s="279">
        <f>BK164</f>
        <v/>
      </c>
      <c r="BL24" s="279">
        <f>BL164</f>
        <v/>
      </c>
      <c r="BM24" s="279">
        <f>BM164</f>
        <v/>
      </c>
      <c r="BN24" s="279">
        <f>BN164</f>
        <v/>
      </c>
      <c r="BO24" s="279">
        <f>BO164</f>
        <v/>
      </c>
      <c r="BP24" s="279">
        <f>BP164</f>
        <v/>
      </c>
      <c r="BQ24" s="279">
        <f>BQ164</f>
        <v/>
      </c>
      <c r="BR24" s="279">
        <f>BR164</f>
        <v/>
      </c>
      <c r="BS24" s="279">
        <f>BS164</f>
        <v/>
      </c>
      <c r="BT24" s="279">
        <f>BT164</f>
        <v/>
      </c>
      <c r="BU24" s="279">
        <f>BU164</f>
        <v/>
      </c>
      <c r="BV24" s="279">
        <f>BV164</f>
        <v/>
      </c>
      <c r="BW24" s="279">
        <f>BW164</f>
        <v/>
      </c>
      <c r="BX24" s="279">
        <f>BX164</f>
        <v/>
      </c>
      <c r="BY24" s="279">
        <f>BY164</f>
        <v/>
      </c>
      <c r="BZ24" s="279">
        <f>BZ164</f>
        <v/>
      </c>
      <c r="CA24" s="279">
        <f>CA164</f>
        <v/>
      </c>
      <c r="CB24" s="279">
        <f>CB164</f>
        <v/>
      </c>
      <c r="CC24" s="279">
        <f>CC164</f>
        <v/>
      </c>
      <c r="CD24" s="279">
        <f>CD164</f>
        <v/>
      </c>
      <c r="CE24" s="279">
        <f>CE164</f>
        <v/>
      </c>
      <c r="CF24" s="279">
        <f>CF164</f>
        <v/>
      </c>
      <c r="CG24" s="279">
        <f>CG164</f>
        <v/>
      </c>
      <c r="CH24" s="279">
        <f>CH164</f>
        <v/>
      </c>
      <c r="CI24" s="279">
        <f>CI164</f>
        <v/>
      </c>
      <c r="CJ24" s="279">
        <f>CJ164</f>
        <v/>
      </c>
      <c r="CK24" s="279">
        <f>CK164</f>
        <v/>
      </c>
      <c r="CL24" s="279">
        <f>CL164</f>
        <v/>
      </c>
      <c r="CM24" s="279">
        <f>CM164</f>
        <v/>
      </c>
      <c r="CN24" s="279">
        <f>CN164</f>
        <v/>
      </c>
      <c r="CO24" s="279">
        <f>CO164</f>
        <v/>
      </c>
      <c r="CP24" s="279">
        <f>CP164</f>
        <v/>
      </c>
      <c r="CQ24" s="279">
        <f>CQ164</f>
        <v/>
      </c>
      <c r="CR24" s="279">
        <f>CR164</f>
        <v/>
      </c>
      <c r="CS24" s="279">
        <f>CS164</f>
        <v/>
      </c>
      <c r="CT24" s="279">
        <f>CT164</f>
        <v/>
      </c>
      <c r="CU24" s="279">
        <f>CU164</f>
        <v/>
      </c>
      <c r="CV24" s="279">
        <f>CV164</f>
        <v/>
      </c>
      <c r="CW24" s="279">
        <f>CW164</f>
        <v/>
      </c>
      <c r="CX24" s="279">
        <f>CX164</f>
        <v/>
      </c>
      <c r="CY24" s="279">
        <f>CY164</f>
        <v/>
      </c>
      <c r="CZ24" s="279">
        <f>CZ164</f>
        <v/>
      </c>
      <c r="DA24" s="279">
        <f>DA164</f>
        <v/>
      </c>
      <c r="DB24" s="279">
        <f>DB164</f>
        <v/>
      </c>
      <c r="DC24" s="279" t="n"/>
      <c r="DD24" s="279">
        <f>MIN(F24:DB24)</f>
        <v/>
      </c>
    </row>
    <row r="25">
      <c r="C25" s="282" t="n"/>
      <c r="D25" s="282" t="n"/>
      <c r="E25" s="283" t="n"/>
      <c r="F25" s="282" t="n"/>
      <c r="G25" s="282" t="n"/>
      <c r="H25" s="282" t="n"/>
      <c r="I25" s="282" t="n"/>
      <c r="J25" s="282" t="n"/>
      <c r="K25" s="282" t="n"/>
      <c r="L25" s="282" t="n"/>
      <c r="M25" s="282" t="n"/>
      <c r="N25" s="282" t="n"/>
      <c r="O25" s="282" t="n"/>
      <c r="P25" s="282" t="n"/>
      <c r="Q25" s="282" t="n"/>
      <c r="R25" s="282" t="n"/>
      <c r="S25" s="282" t="n"/>
      <c r="T25" s="282" t="n"/>
      <c r="U25" s="282" t="n"/>
      <c r="V25" s="282" t="n"/>
      <c r="W25" s="282" t="n"/>
      <c r="X25" s="282" t="n"/>
      <c r="Y25" s="282" t="n"/>
      <c r="Z25" s="282" t="n"/>
      <c r="AA25" s="282" t="n"/>
      <c r="AB25" s="282" t="n"/>
      <c r="AC25" s="282" t="n"/>
      <c r="AD25" s="282" t="n"/>
      <c r="AE25" s="282" t="n"/>
      <c r="AF25" s="282" t="n"/>
      <c r="AG25" s="282" t="n"/>
      <c r="AH25" s="282" t="n"/>
      <c r="AI25" s="282" t="n"/>
      <c r="AJ25" s="282" t="n"/>
      <c r="AK25" s="282" t="n"/>
      <c r="AL25" s="282" t="n"/>
      <c r="AM25" s="282" t="n"/>
      <c r="AN25" s="282" t="n"/>
      <c r="AO25" s="282" t="n"/>
      <c r="AP25" s="282" t="n"/>
      <c r="AQ25" s="282" t="n"/>
      <c r="AR25" s="282" t="n"/>
      <c r="AS25" s="282" t="n"/>
      <c r="AT25" s="282" t="n"/>
      <c r="AU25" s="282" t="n"/>
      <c r="AV25" s="282" t="n"/>
      <c r="AW25" s="282" t="n"/>
      <c r="AX25" s="282" t="n"/>
      <c r="AY25" s="282" t="n"/>
      <c r="AZ25" s="282" t="n"/>
      <c r="BA25" s="282" t="n"/>
      <c r="BB25" s="282" t="n"/>
      <c r="BC25" s="282" t="n"/>
      <c r="BD25" s="282" t="n"/>
      <c r="BE25" s="282" t="n"/>
      <c r="BF25" s="282" t="n"/>
      <c r="BG25" s="282" t="n"/>
      <c r="BH25" s="282" t="n"/>
      <c r="BI25" s="282" t="n"/>
      <c r="BJ25" s="282" t="n"/>
      <c r="BK25" s="282" t="n"/>
      <c r="BL25" s="282" t="n"/>
      <c r="BM25" s="282" t="n"/>
      <c r="BN25" s="282" t="n"/>
      <c r="BO25" s="282" t="n"/>
      <c r="BP25" s="282" t="n"/>
      <c r="BQ25" s="282" t="n"/>
      <c r="BR25" s="282" t="n"/>
      <c r="BS25" s="282" t="n"/>
      <c r="BT25" s="282" t="n"/>
      <c r="BU25" s="282" t="n"/>
      <c r="BV25" s="282" t="n"/>
      <c r="BW25" s="282" t="n"/>
      <c r="BX25" s="282" t="n"/>
      <c r="BY25" s="282" t="n"/>
      <c r="BZ25" s="282" t="n"/>
      <c r="CA25" s="282" t="n"/>
      <c r="CB25" s="282" t="n"/>
      <c r="CC25" s="282" t="n"/>
      <c r="CD25" s="282" t="n"/>
      <c r="CE25" s="282" t="n"/>
      <c r="CF25" s="282" t="n"/>
      <c r="CG25" s="282" t="n"/>
      <c r="CH25" s="282" t="n"/>
      <c r="CI25" s="282" t="n"/>
      <c r="CJ25" s="282" t="n"/>
      <c r="CK25" s="282" t="n"/>
      <c r="CL25" s="282" t="n"/>
      <c r="CM25" s="282" t="n"/>
      <c r="CN25" s="282" t="n"/>
      <c r="CO25" s="282" t="n"/>
      <c r="CP25" s="282" t="n"/>
      <c r="CQ25" s="282" t="n"/>
      <c r="CR25" s="282" t="n"/>
      <c r="CS25" s="282" t="n"/>
      <c r="CT25" s="282" t="n"/>
      <c r="CU25" s="282" t="n"/>
      <c r="CV25" s="282" t="n"/>
      <c r="CW25" s="282" t="n"/>
      <c r="CX25" s="282" t="n"/>
      <c r="CY25" s="282" t="n"/>
      <c r="CZ25" s="282" t="n"/>
      <c r="DA25" s="282" t="n"/>
      <c r="DB25" s="282" t="n"/>
      <c r="DC25" s="282" t="n"/>
      <c r="DD25" s="282" t="n"/>
    </row>
    <row r="26">
      <c r="C26" s="282" t="n"/>
      <c r="D26" s="282" t="n"/>
      <c r="E26" s="283" t="n"/>
      <c r="F26" s="282" t="n"/>
      <c r="G26" s="282" t="n"/>
      <c r="H26" s="282" t="n"/>
      <c r="I26" s="282" t="n"/>
      <c r="J26" s="282" t="n"/>
      <c r="K26" s="282" t="n"/>
      <c r="L26" s="282" t="n"/>
      <c r="M26" s="282" t="n"/>
      <c r="N26" s="282" t="n"/>
      <c r="O26" s="282" t="n"/>
      <c r="P26" s="282" t="n"/>
      <c r="Q26" s="282" t="n"/>
      <c r="R26" s="282" t="n"/>
      <c r="S26" s="282" t="n"/>
      <c r="T26" s="282" t="n"/>
      <c r="U26" s="282" t="n"/>
      <c r="V26" s="282" t="n"/>
      <c r="W26" s="282" t="n"/>
      <c r="X26" s="282" t="n"/>
      <c r="Y26" s="282" t="n"/>
      <c r="Z26" s="282" t="n"/>
      <c r="AA26" s="282" t="n"/>
      <c r="AB26" s="282" t="n"/>
      <c r="AC26" s="282" t="n"/>
      <c r="AD26" s="282" t="n"/>
      <c r="AE26" s="282" t="n"/>
      <c r="AF26" s="282" t="n"/>
      <c r="AG26" s="282" t="n"/>
      <c r="AH26" s="282" t="n"/>
      <c r="AI26" s="282" t="n"/>
      <c r="AJ26" s="282" t="n"/>
      <c r="AK26" s="282" t="n"/>
      <c r="AL26" s="282" t="n"/>
      <c r="AM26" s="282" t="n"/>
      <c r="AN26" s="282" t="n"/>
      <c r="AO26" s="282" t="n"/>
      <c r="AP26" s="282" t="n"/>
      <c r="AQ26" s="282" t="n"/>
      <c r="AR26" s="282" t="n"/>
      <c r="AS26" s="282" t="n"/>
      <c r="AT26" s="282" t="n"/>
      <c r="AU26" s="282" t="n"/>
      <c r="AV26" s="282" t="n"/>
      <c r="AW26" s="282" t="n"/>
      <c r="AX26" s="282" t="n"/>
      <c r="AY26" s="282" t="n"/>
      <c r="AZ26" s="282" t="n"/>
      <c r="BA26" s="282" t="n"/>
      <c r="BB26" s="282" t="n"/>
      <c r="BC26" s="282" t="n"/>
      <c r="BD26" s="282" t="n"/>
      <c r="BE26" s="282" t="n"/>
      <c r="BF26" s="282" t="n"/>
      <c r="BG26" s="282" t="n"/>
      <c r="BH26" s="282" t="n"/>
      <c r="BI26" s="282" t="n"/>
      <c r="BJ26" s="282" t="n"/>
      <c r="BK26" s="282" t="n"/>
      <c r="BL26" s="282" t="n"/>
      <c r="BM26" s="282" t="n"/>
      <c r="BN26" s="282" t="n"/>
      <c r="BO26" s="282" t="n"/>
      <c r="BP26" s="282" t="n"/>
      <c r="BQ26" s="282" t="n"/>
      <c r="BR26" s="282" t="n"/>
      <c r="BS26" s="282" t="n"/>
      <c r="BT26" s="282" t="n"/>
      <c r="BU26" s="282" t="n"/>
      <c r="BV26" s="282" t="n"/>
      <c r="BW26" s="282" t="n"/>
      <c r="BX26" s="282" t="n"/>
      <c r="BY26" s="282" t="n"/>
      <c r="BZ26" s="282" t="n"/>
      <c r="CA26" s="282" t="n"/>
      <c r="CB26" s="282" t="n"/>
      <c r="CC26" s="282" t="n"/>
      <c r="CD26" s="282" t="n"/>
      <c r="CE26" s="282" t="n"/>
      <c r="CF26" s="282" t="n"/>
      <c r="CG26" s="282" t="n"/>
      <c r="CH26" s="282" t="n"/>
      <c r="CI26" s="282" t="n"/>
      <c r="CJ26" s="282" t="n"/>
      <c r="CK26" s="282" t="n"/>
      <c r="CL26" s="282" t="n"/>
      <c r="CM26" s="282" t="n"/>
      <c r="CN26" s="282" t="n"/>
      <c r="CO26" s="282" t="n"/>
      <c r="CP26" s="282" t="n"/>
      <c r="CQ26" s="282" t="n"/>
      <c r="CR26" s="282" t="n"/>
      <c r="CS26" s="282" t="n"/>
      <c r="CT26" s="282" t="n"/>
      <c r="CU26" s="282" t="n"/>
      <c r="CV26" s="282" t="n"/>
      <c r="CW26" s="282" t="n"/>
      <c r="CX26" s="282" t="n"/>
      <c r="CY26" s="282" t="n"/>
      <c r="CZ26" s="282" t="n"/>
      <c r="DA26" s="282" t="n"/>
      <c r="DB26" s="282" t="n"/>
      <c r="DC26" s="282" t="n"/>
      <c r="DD26" s="282" t="n"/>
    </row>
    <row r="27" ht="14.1" customFormat="1" customHeight="1" s="287">
      <c r="A27" s="1230" t="inlineStr">
        <is>
          <t>Project Costs - Detailed Amounts</t>
        </is>
      </c>
      <c r="B27" s="1231" t="n"/>
      <c r="C27" s="1231" t="n"/>
      <c r="D27" s="1231" t="n"/>
      <c r="E27" s="286" t="n"/>
      <c r="F27" s="1231" t="n"/>
      <c r="G27" s="1231" t="n"/>
      <c r="H27" s="1231" t="n"/>
      <c r="I27" s="1231" t="n"/>
      <c r="J27" s="1231" t="n"/>
      <c r="K27" s="1231" t="n"/>
      <c r="L27" s="1231" t="n"/>
      <c r="M27" s="1231" t="n"/>
      <c r="N27" s="1231" t="n"/>
      <c r="O27" s="1231" t="n"/>
      <c r="P27" s="1231" t="n"/>
      <c r="Q27" s="1231" t="n"/>
      <c r="R27" s="1231" t="n"/>
      <c r="S27" s="1231" t="n"/>
      <c r="T27" s="1231" t="n"/>
      <c r="U27" s="1231" t="n"/>
      <c r="V27" s="1231" t="n"/>
      <c r="W27" s="1231" t="n"/>
      <c r="X27" s="1231" t="n"/>
      <c r="Y27" s="1231" t="n"/>
      <c r="Z27" s="1231" t="n"/>
      <c r="AA27" s="1231" t="n"/>
      <c r="AB27" s="1231" t="n"/>
      <c r="AC27" s="1231" t="n"/>
      <c r="AD27" s="1231" t="n"/>
      <c r="AE27" s="1231" t="n"/>
      <c r="AF27" s="1231" t="n"/>
      <c r="AG27" s="1231" t="n"/>
      <c r="AH27" s="1231" t="n"/>
      <c r="AI27" s="1231" t="n"/>
      <c r="AJ27" s="1231" t="n"/>
      <c r="AK27" s="1231" t="n"/>
      <c r="AL27" s="1231" t="n"/>
      <c r="AM27" s="1231" t="n"/>
      <c r="AN27" s="1231" t="n"/>
      <c r="AO27" s="1231" t="n"/>
      <c r="AP27" s="1231" t="n"/>
      <c r="AQ27" s="1231" t="n"/>
      <c r="AR27" s="1231" t="n"/>
      <c r="AS27" s="1231" t="n"/>
      <c r="AT27" s="1231" t="n"/>
      <c r="AU27" s="1231" t="n"/>
      <c r="AV27" s="1231" t="n"/>
      <c r="AW27" s="1231" t="n"/>
      <c r="AX27" s="1231" t="n"/>
      <c r="AY27" s="1231" t="n"/>
      <c r="AZ27" s="1231" t="n"/>
      <c r="BA27" s="1231" t="n"/>
      <c r="BB27" s="1231" t="n"/>
      <c r="BC27" s="1231" t="n"/>
      <c r="BD27" s="1231" t="n"/>
      <c r="BE27" s="1231" t="n"/>
      <c r="BF27" s="1231" t="n"/>
      <c r="BG27" s="1231" t="n"/>
      <c r="BH27" s="1231" t="n"/>
      <c r="BI27" s="1231" t="n"/>
      <c r="BJ27" s="1231" t="n"/>
      <c r="BK27" s="1231" t="n"/>
      <c r="BL27" s="1231" t="n"/>
      <c r="BM27" s="1231" t="n"/>
      <c r="BN27" s="1231" t="n"/>
      <c r="BO27" s="1231" t="n"/>
      <c r="BP27" s="1231" t="n"/>
      <c r="BQ27" s="1231" t="n"/>
      <c r="BR27" s="1231" t="n"/>
      <c r="BS27" s="1231" t="n"/>
      <c r="BT27" s="1231" t="n"/>
      <c r="BU27" s="1231" t="n"/>
      <c r="BV27" s="1231" t="n"/>
      <c r="BW27" s="1231" t="n"/>
      <c r="BX27" s="1231" t="n"/>
      <c r="BY27" s="1231" t="n"/>
      <c r="BZ27" s="1231" t="n"/>
      <c r="CA27" s="1231" t="n"/>
      <c r="CB27" s="1231" t="n"/>
      <c r="CC27" s="1231" t="n"/>
      <c r="CD27" s="1231" t="n"/>
      <c r="CE27" s="1231" t="n"/>
      <c r="CF27" s="1231" t="n"/>
      <c r="CG27" s="1231" t="n"/>
      <c r="CH27" s="1231" t="n"/>
      <c r="CI27" s="1231" t="n"/>
      <c r="CJ27" s="1231" t="n"/>
      <c r="CK27" s="1231" t="n"/>
      <c r="CL27" s="1231" t="n"/>
      <c r="CM27" s="1231" t="n"/>
      <c r="CN27" s="1231" t="n"/>
      <c r="CO27" s="1231" t="n"/>
      <c r="CP27" s="1231" t="n"/>
      <c r="CQ27" s="1231" t="n"/>
      <c r="CR27" s="1231" t="n"/>
      <c r="CS27" s="1231" t="n"/>
      <c r="CT27" s="1231" t="n"/>
      <c r="CU27" s="1231" t="n"/>
      <c r="CV27" s="1231" t="n"/>
      <c r="CW27" s="1231" t="n"/>
      <c r="CX27" s="1231" t="n"/>
      <c r="CY27" s="1231" t="n"/>
      <c r="CZ27" s="1231" t="n"/>
      <c r="DA27" s="1231" t="n"/>
      <c r="DB27" s="1231" t="n"/>
      <c r="DC27" s="1231" t="n"/>
      <c r="DD27" s="1231" t="n"/>
    </row>
    <row r="28">
      <c r="A28" s="288" t="n"/>
      <c r="B28" s="288" t="n"/>
      <c r="C28" s="282" t="n"/>
      <c r="D28" s="282" t="n"/>
      <c r="E28" s="283" t="n"/>
      <c r="F28" s="282" t="n"/>
      <c r="G28" s="282" t="n"/>
      <c r="H28" s="282" t="n"/>
      <c r="I28" s="282" t="n"/>
      <c r="J28" s="282" t="n"/>
      <c r="K28" s="282" t="n"/>
      <c r="L28" s="282" t="n"/>
      <c r="M28" s="282" t="n"/>
      <c r="N28" s="282" t="n"/>
      <c r="O28" s="282" t="n"/>
      <c r="P28" s="282" t="n"/>
      <c r="Q28" s="282" t="n"/>
      <c r="R28" s="282" t="n"/>
      <c r="S28" s="282" t="n"/>
      <c r="T28" s="282" t="n"/>
      <c r="U28" s="282" t="n"/>
      <c r="V28" s="282" t="n"/>
      <c r="W28" s="282" t="n"/>
      <c r="X28" s="282" t="n"/>
      <c r="Y28" s="282" t="n"/>
      <c r="Z28" s="282" t="n"/>
      <c r="AA28" s="282" t="n"/>
      <c r="AB28" s="282" t="n"/>
      <c r="AC28" s="282" t="n"/>
      <c r="AD28" s="282" t="n"/>
      <c r="AE28" s="282" t="n"/>
      <c r="AF28" s="282" t="n"/>
      <c r="AG28" s="282" t="n"/>
      <c r="AH28" s="282" t="n"/>
      <c r="AI28" s="282" t="n"/>
      <c r="AJ28" s="282" t="n"/>
      <c r="AK28" s="282" t="n"/>
      <c r="AL28" s="282" t="n"/>
      <c r="AM28" s="282" t="n"/>
      <c r="AN28" s="282" t="n"/>
      <c r="AO28" s="282" t="n"/>
      <c r="AP28" s="282" t="n"/>
      <c r="AQ28" s="282" t="n"/>
      <c r="AR28" s="282" t="n"/>
      <c r="AS28" s="282" t="n"/>
      <c r="AT28" s="282" t="n"/>
      <c r="AU28" s="282" t="n"/>
      <c r="AV28" s="282" t="n"/>
      <c r="AW28" s="282" t="n"/>
      <c r="AX28" s="282" t="n"/>
      <c r="AY28" s="282" t="n"/>
      <c r="AZ28" s="282" t="n"/>
      <c r="BA28" s="282" t="n"/>
      <c r="BB28" s="282" t="n"/>
      <c r="BC28" s="282" t="n"/>
      <c r="BD28" s="282" t="n"/>
      <c r="BE28" s="282" t="n"/>
      <c r="BF28" s="282" t="n"/>
      <c r="BG28" s="282" t="n"/>
      <c r="BH28" s="282" t="n"/>
      <c r="BI28" s="282" t="n"/>
      <c r="BJ28" s="282" t="n"/>
      <c r="BK28" s="282" t="n"/>
      <c r="BL28" s="282" t="n"/>
      <c r="BM28" s="282" t="n"/>
      <c r="BN28" s="282" t="n"/>
      <c r="BO28" s="282" t="n"/>
      <c r="BP28" s="282" t="n"/>
      <c r="BQ28" s="282" t="n"/>
      <c r="BR28" s="282" t="n"/>
      <c r="BS28" s="282" t="n"/>
      <c r="BT28" s="282" t="n"/>
      <c r="BU28" s="282" t="n"/>
      <c r="BV28" s="282" t="n"/>
      <c r="BW28" s="282" t="n"/>
      <c r="BX28" s="282" t="n"/>
      <c r="BY28" s="282" t="n"/>
      <c r="BZ28" s="282" t="n"/>
      <c r="CA28" s="282" t="n"/>
      <c r="CB28" s="282" t="n"/>
      <c r="CC28" s="282" t="n"/>
      <c r="CD28" s="282" t="n"/>
      <c r="CE28" s="282" t="n"/>
      <c r="CF28" s="282" t="n"/>
      <c r="CG28" s="282" t="n"/>
      <c r="CH28" s="282" t="n"/>
      <c r="CI28" s="282" t="n"/>
      <c r="CJ28" s="282" t="n"/>
      <c r="CK28" s="282" t="n"/>
      <c r="CL28" s="282" t="n"/>
      <c r="CM28" s="282" t="n"/>
      <c r="CN28" s="282" t="n"/>
      <c r="CO28" s="282" t="n"/>
      <c r="CP28" s="282" t="n"/>
      <c r="CQ28" s="282" t="n"/>
      <c r="CR28" s="282" t="n"/>
      <c r="CS28" s="282" t="n"/>
      <c r="CT28" s="282" t="n"/>
      <c r="CU28" s="282" t="n"/>
      <c r="CV28" s="282" t="n"/>
      <c r="CW28" s="282" t="n"/>
      <c r="CX28" s="282" t="n"/>
      <c r="CY28" s="282" t="n"/>
      <c r="CZ28" s="282" t="n"/>
      <c r="DA28" s="282" t="n"/>
      <c r="DB28" s="282" t="n"/>
      <c r="DC28" s="282" t="n"/>
      <c r="DD28" s="282" t="n"/>
    </row>
    <row r="29">
      <c r="A29" s="699" t="inlineStr">
        <is>
          <t>Land or Building Purchase</t>
        </is>
      </c>
      <c r="B29" s="542" t="inlineStr">
        <is>
          <t xml:space="preserve">   Purchase &amp; Closing excl. Ground Lease</t>
        </is>
      </c>
      <c r="C29" s="338" t="n"/>
      <c r="D29" s="289">
        <f>DD29</f>
        <v/>
      </c>
      <c r="E29" s="290" t="n"/>
      <c r="F29" s="291">
        <f>-SUM('Detailed Project Costs'!$F$9:$F$12)</f>
        <v/>
      </c>
      <c r="G29" s="291" t="n"/>
      <c r="H29" s="291" t="n"/>
      <c r="I29" s="291" t="n"/>
      <c r="J29" s="291" t="n"/>
      <c r="K29" s="291" t="n"/>
      <c r="L29" s="291" t="n"/>
      <c r="M29" s="291" t="n"/>
      <c r="N29" s="291" t="n"/>
      <c r="O29" s="291" t="n"/>
      <c r="P29" s="291" t="n"/>
      <c r="Q29" s="291" t="n"/>
      <c r="R29" s="291" t="n"/>
      <c r="S29" s="291" t="n"/>
      <c r="T29" s="291" t="n"/>
      <c r="U29" s="291" t="n"/>
      <c r="V29" s="291" t="n"/>
      <c r="W29" s="291" t="n"/>
      <c r="X29" s="291" t="n"/>
      <c r="Y29" s="291" t="n"/>
      <c r="Z29" s="291" t="n"/>
      <c r="AA29" s="291" t="n"/>
      <c r="AB29" s="291" t="n"/>
      <c r="AC29" s="291" t="n"/>
      <c r="AD29" s="291" t="n"/>
      <c r="AE29" s="291" t="n"/>
      <c r="AF29" s="291" t="n"/>
      <c r="AG29" s="291" t="n"/>
      <c r="AH29" s="291" t="n"/>
      <c r="AI29" s="291" t="n"/>
      <c r="AJ29" s="291" t="n"/>
      <c r="AK29" s="291" t="n"/>
      <c r="AL29" s="291" t="n"/>
      <c r="AM29" s="291" t="n"/>
      <c r="AN29" s="291" t="n"/>
      <c r="AO29" s="291" t="n"/>
      <c r="AP29" s="291" t="n"/>
      <c r="AQ29" s="291" t="n"/>
      <c r="AR29" s="291" t="n"/>
      <c r="AS29" s="291" t="n"/>
      <c r="AT29" s="291" t="n"/>
      <c r="AU29" s="291" t="n"/>
      <c r="AV29" s="291" t="n"/>
      <c r="AW29" s="291" t="n"/>
      <c r="AX29" s="291" t="n"/>
      <c r="AY29" s="291" t="n"/>
      <c r="AZ29" s="291" t="n"/>
      <c r="BA29" s="291" t="n"/>
      <c r="BB29" s="291" t="n"/>
      <c r="BC29" s="291" t="n"/>
      <c r="BD29" s="291" t="n"/>
      <c r="BE29" s="291" t="n"/>
      <c r="BF29" s="291" t="n"/>
      <c r="BG29" s="291" t="n"/>
      <c r="BH29" s="291" t="n"/>
      <c r="BI29" s="291" t="n"/>
      <c r="BJ29" s="291" t="n"/>
      <c r="BK29" s="291" t="n"/>
      <c r="BL29" s="291" t="n"/>
      <c r="BM29" s="291" t="n"/>
      <c r="BN29" s="291" t="n"/>
      <c r="BO29" s="291" t="n"/>
      <c r="BP29" s="291" t="n"/>
      <c r="BQ29" s="291" t="n"/>
      <c r="BR29" s="291" t="n"/>
      <c r="BS29" s="291" t="n"/>
      <c r="BT29" s="291" t="n"/>
      <c r="BU29" s="291" t="n"/>
      <c r="BV29" s="291" t="n"/>
      <c r="BW29" s="291" t="n"/>
      <c r="BX29" s="291" t="n"/>
      <c r="BY29" s="291" t="n"/>
      <c r="BZ29" s="291" t="n"/>
      <c r="CA29" s="291" t="n"/>
      <c r="CB29" s="291" t="n"/>
      <c r="CC29" s="291" t="n"/>
      <c r="CD29" s="291" t="n"/>
      <c r="CE29" s="291" t="n"/>
      <c r="CF29" s="291" t="n"/>
      <c r="CG29" s="291" t="n"/>
      <c r="CH29" s="291" t="n"/>
      <c r="CI29" s="291" t="n"/>
      <c r="CJ29" s="291" t="n"/>
      <c r="CK29" s="291" t="n"/>
      <c r="CL29" s="291" t="n"/>
      <c r="CM29" s="291" t="n"/>
      <c r="CN29" s="291" t="n"/>
      <c r="CO29" s="291" t="n"/>
      <c r="CP29" s="291" t="n"/>
      <c r="CQ29" s="291" t="n"/>
      <c r="CR29" s="291" t="n"/>
      <c r="CS29" s="291" t="n"/>
      <c r="CT29" s="291" t="n"/>
      <c r="CU29" s="291" t="n"/>
      <c r="CV29" s="291" t="n"/>
      <c r="CW29" s="291" t="n"/>
      <c r="CX29" s="291" t="n"/>
      <c r="CY29" s="291" t="n"/>
      <c r="CZ29" s="291" t="n"/>
      <c r="DA29" s="291" t="n"/>
      <c r="DB29" s="291" t="n"/>
      <c r="DC29" s="291" t="n"/>
      <c r="DD29" s="289">
        <f>SUM(F29:DB29)</f>
        <v/>
      </c>
    </row>
    <row r="30">
      <c r="A30" s="699" t="inlineStr">
        <is>
          <t>Land Development and Site Work</t>
        </is>
      </c>
      <c r="B30" s="791" t="inlineStr">
        <is>
          <t xml:space="preserve">   Site Work</t>
        </is>
      </c>
      <c r="C30" s="700" t="n"/>
      <c r="D30" s="292">
        <f>DD30</f>
        <v/>
      </c>
      <c r="E30" s="641" t="n"/>
      <c r="F30" s="293">
        <f>IF('Project Assumptions'!$D$16&lt;=3,0,IF(F5&gt;'Project Assumptions'!$D$15,IF(F5&lt;='Project Assumptions'!$D$15+3,-SUM('Detailed Project Costs'!$F$13:$F$15)/3,0),0))+IF('Project Assumptions'!$D$16&gt;0,IF('Project Assumptions'!$D$16&lt;=3,IF(F5='Project Assumptions'!$D$15+1,-SUM('Detailed Project Costs'!$F$13:$F$15),0),0),IF(F5='Project Assumptions'!$D$15,-SUM('Detailed Project Costs'!$F$13:$F$15),0))</f>
        <v/>
      </c>
      <c r="G30" s="293">
        <f>IF('Project Assumptions'!$D$16&lt;=3,0,IF(G5&gt;'Project Assumptions'!$D$15,IF(G5&lt;='Project Assumptions'!$D$15+3,-SUM('Detailed Project Costs'!$F$13:$F$15)/3,0),0))+IF('Project Assumptions'!$D$16&gt;0,IF('Project Assumptions'!$D$16&lt;=3,IF(G5='Project Assumptions'!$D$15+1,-SUM('Detailed Project Costs'!$F$13:$F$15),0),0),IF(G5='Project Assumptions'!$D$15,-SUM('Detailed Project Costs'!$F$13:$F$15),0))</f>
        <v/>
      </c>
      <c r="H30" s="293">
        <f>IF('Project Assumptions'!$D$16&lt;=3,0,IF(H5&gt;'Project Assumptions'!$D$15,IF(H5&lt;='Project Assumptions'!$D$15+3,-SUM('Detailed Project Costs'!$F$13:$F$15)/3,0),0))+IF('Project Assumptions'!$D$16&gt;0,IF('Project Assumptions'!$D$16&lt;=3,IF(H5='Project Assumptions'!$D$15+1,-SUM('Detailed Project Costs'!$F$13:$F$15),0),0),IF(H5='Project Assumptions'!$D$15,-SUM('Detailed Project Costs'!$F$13:$F$15),0))</f>
        <v/>
      </c>
      <c r="I30" s="293">
        <f>IF('Project Assumptions'!$D$16&lt;=3,0,IF(I5&gt;'Project Assumptions'!$D$15,IF(I5&lt;='Project Assumptions'!$D$15+3,-SUM('Detailed Project Costs'!$F$13:$F$15)/3,0),0))+IF('Project Assumptions'!$D$16&gt;0,IF('Project Assumptions'!$D$16&lt;=3,IF(I5='Project Assumptions'!$D$15+1,-SUM('Detailed Project Costs'!$F$13:$F$15),0),0),IF(I5='Project Assumptions'!$D$15,-SUM('Detailed Project Costs'!$F$13:$F$15),0))</f>
        <v/>
      </c>
      <c r="J30" s="293">
        <f>IF('Project Assumptions'!$D$16&lt;=3,0,IF(J5&gt;'Project Assumptions'!$D$15,IF(J5&lt;='Project Assumptions'!$D$15+3,-SUM('Detailed Project Costs'!$F$13:$F$15)/3,0),0))+IF('Project Assumptions'!$D$16&gt;0,IF('Project Assumptions'!$D$16&lt;=3,IF(J5='Project Assumptions'!$D$15+1,-SUM('Detailed Project Costs'!$F$13:$F$15),0),0),IF(J5='Project Assumptions'!$D$15,-SUM('Detailed Project Costs'!$F$13:$F$15),0))</f>
        <v/>
      </c>
      <c r="K30" s="293">
        <f>IF('Project Assumptions'!$D$16&lt;=3,0,IF(K5&gt;'Project Assumptions'!$D$15,IF(K5&lt;='Project Assumptions'!$D$15+3,-SUM('Detailed Project Costs'!$F$13:$F$15)/3,0),0))+IF('Project Assumptions'!$D$16&gt;0,IF('Project Assumptions'!$D$16&lt;=3,IF(K5='Project Assumptions'!$D$15+1,-SUM('Detailed Project Costs'!$F$13:$F$15),0),0),IF(K5='Project Assumptions'!$D$15,-SUM('Detailed Project Costs'!$F$13:$F$15),0))</f>
        <v/>
      </c>
      <c r="L30" s="293">
        <f>IF('Project Assumptions'!$D$16&lt;=3,0,IF(L5&gt;'Project Assumptions'!$D$15,IF(L5&lt;='Project Assumptions'!$D$15+3,-SUM('Detailed Project Costs'!$F$13:$F$15)/3,0),0))+IF('Project Assumptions'!$D$16&gt;0,IF('Project Assumptions'!$D$16&lt;=3,IF(L5='Project Assumptions'!$D$15+1,-SUM('Detailed Project Costs'!$F$13:$F$15),0),0),IF(L5='Project Assumptions'!$D$15,-SUM('Detailed Project Costs'!$F$13:$F$15),0))</f>
        <v/>
      </c>
      <c r="M30" s="293">
        <f>IF('Project Assumptions'!$D$16&lt;=3,0,IF(M5&gt;'Project Assumptions'!$D$15,IF(M5&lt;='Project Assumptions'!$D$15+3,-SUM('Detailed Project Costs'!$F$13:$F$15)/3,0),0))+IF('Project Assumptions'!$D$16&gt;0,IF('Project Assumptions'!$D$16&lt;=3,IF(M5='Project Assumptions'!$D$15+1,-SUM('Detailed Project Costs'!$F$13:$F$15),0),0),IF(M5='Project Assumptions'!$D$15,-SUM('Detailed Project Costs'!$F$13:$F$15),0))</f>
        <v/>
      </c>
      <c r="N30" s="293">
        <f>IF('Project Assumptions'!$D$16&lt;=3,0,IF(N5&gt;'Project Assumptions'!$D$15,IF(N5&lt;='Project Assumptions'!$D$15+3,-SUM('Detailed Project Costs'!$F$13:$F$15)/3,0),0))+IF('Project Assumptions'!$D$16&gt;0,IF('Project Assumptions'!$D$16&lt;=3,IF(N5='Project Assumptions'!$D$15+1,-SUM('Detailed Project Costs'!$F$13:$F$15),0),0),IF(N5='Project Assumptions'!$D$15,-SUM('Detailed Project Costs'!$F$13:$F$15),0))</f>
        <v/>
      </c>
      <c r="O30" s="293">
        <f>IF('Project Assumptions'!$D$16&lt;=3,0,IF(O5&gt;'Project Assumptions'!$D$15,IF(O5&lt;='Project Assumptions'!$D$15+3,-SUM('Detailed Project Costs'!$F$13:$F$15)/3,0),0))+IF('Project Assumptions'!$D$16&gt;0,IF('Project Assumptions'!$D$16&lt;=3,IF(O5='Project Assumptions'!$D$15+1,-SUM('Detailed Project Costs'!$F$13:$F$15),0),0),IF(O5='Project Assumptions'!$D$15,-SUM('Detailed Project Costs'!$F$13:$F$15),0))</f>
        <v/>
      </c>
      <c r="P30" s="293">
        <f>IF('Project Assumptions'!$D$16&lt;=3,0,IF(P5&gt;'Project Assumptions'!$D$15,IF(P5&lt;='Project Assumptions'!$D$15+3,-SUM('Detailed Project Costs'!$F$13:$F$15)/3,0),0))+IF('Project Assumptions'!$D$16&gt;0,IF('Project Assumptions'!$D$16&lt;=3,IF(P5='Project Assumptions'!$D$15+1,-SUM('Detailed Project Costs'!$F$13:$F$15),0),0),IF(P5='Project Assumptions'!$D$15,-SUM('Detailed Project Costs'!$F$13:$F$15),0))</f>
        <v/>
      </c>
      <c r="Q30" s="293">
        <f>IF('Project Assumptions'!$D$16&lt;=3,0,IF(Q5&gt;'Project Assumptions'!$D$15,IF(Q5&lt;='Project Assumptions'!$D$15+3,-SUM('Detailed Project Costs'!$F$13:$F$15)/3,0),0))+IF('Project Assumptions'!$D$16&gt;0,IF('Project Assumptions'!$D$16&lt;=3,IF(Q5='Project Assumptions'!$D$15+1,-SUM('Detailed Project Costs'!$F$13:$F$15),0),0),IF(Q5='Project Assumptions'!$D$15,-SUM('Detailed Project Costs'!$F$13:$F$15),0))</f>
        <v/>
      </c>
      <c r="R30" s="293">
        <f>IF('Project Assumptions'!$D$16&lt;=3,0,IF(R5&gt;'Project Assumptions'!$D$15,IF(R5&lt;='Project Assumptions'!$D$15+3,-SUM('Detailed Project Costs'!$F$13:$F$15)/3,0),0))+IF('Project Assumptions'!$D$16&gt;0,IF('Project Assumptions'!$D$16&lt;=3,IF(R5='Project Assumptions'!$D$15+1,-SUM('Detailed Project Costs'!$F$13:$F$15),0),0),IF(R5='Project Assumptions'!$D$15,-SUM('Detailed Project Costs'!$F$13:$F$15),0))</f>
        <v/>
      </c>
      <c r="S30" s="293">
        <f>IF('Project Assumptions'!$D$16&lt;=3,0,IF(S5&gt;'Project Assumptions'!$D$15,IF(S5&lt;='Project Assumptions'!$D$15+3,-SUM('Detailed Project Costs'!$F$13:$F$15)/3,0),0))+IF('Project Assumptions'!$D$16&gt;0,IF('Project Assumptions'!$D$16&lt;=3,IF(S5='Project Assumptions'!$D$15+1,-SUM('Detailed Project Costs'!$F$13:$F$15),0),0),IF(S5='Project Assumptions'!$D$15,-SUM('Detailed Project Costs'!$F$13:$F$15),0))</f>
        <v/>
      </c>
      <c r="T30" s="293">
        <f>IF('Project Assumptions'!$D$16&lt;=3,0,IF(T5&gt;'Project Assumptions'!$D$15,IF(T5&lt;='Project Assumptions'!$D$15+3,-SUM('Detailed Project Costs'!$F$13:$F$15)/3,0),0))+IF('Project Assumptions'!$D$16&gt;0,IF('Project Assumptions'!$D$16&lt;=3,IF(T5='Project Assumptions'!$D$15+1,-SUM('Detailed Project Costs'!$F$13:$F$15),0),0),IF(T5='Project Assumptions'!$D$15,-SUM('Detailed Project Costs'!$F$13:$F$15),0))</f>
        <v/>
      </c>
      <c r="U30" s="293">
        <f>IF('Project Assumptions'!$D$16&lt;=3,0,IF(U5&gt;'Project Assumptions'!$D$15,IF(U5&lt;='Project Assumptions'!$D$15+3,-SUM('Detailed Project Costs'!$F$13:$F$15)/3,0),0))+IF('Project Assumptions'!$D$16&gt;0,IF('Project Assumptions'!$D$16&lt;=3,IF(U5='Project Assumptions'!$D$15+1,-SUM('Detailed Project Costs'!$F$13:$F$15),0),0),IF(U5='Project Assumptions'!$D$15,-SUM('Detailed Project Costs'!$F$13:$F$15),0))</f>
        <v/>
      </c>
      <c r="V30" s="293">
        <f>IF('Project Assumptions'!$D$16&lt;=3,0,IF(V5&gt;'Project Assumptions'!$D$15,IF(V5&lt;='Project Assumptions'!$D$15+3,-SUM('Detailed Project Costs'!$F$13:$F$15)/3,0),0))+IF('Project Assumptions'!$D$16&gt;0,IF('Project Assumptions'!$D$16&lt;=3,IF(V5='Project Assumptions'!$D$15+1,-SUM('Detailed Project Costs'!$F$13:$F$15),0),0),IF(V5='Project Assumptions'!$D$15,-SUM('Detailed Project Costs'!$F$13:$F$15),0))</f>
        <v/>
      </c>
      <c r="W30" s="293">
        <f>IF('Project Assumptions'!$D$16&lt;=3,0,IF(W5&gt;'Project Assumptions'!$D$15,IF(W5&lt;='Project Assumptions'!$D$15+3,-SUM('Detailed Project Costs'!$F$13:$F$15)/3,0),0))+IF('Project Assumptions'!$D$16&gt;0,IF('Project Assumptions'!$D$16&lt;=3,IF(W5='Project Assumptions'!$D$15+1,-SUM('Detailed Project Costs'!$F$13:$F$15),0),0),IF(W5='Project Assumptions'!$D$15,-SUM('Detailed Project Costs'!$F$13:$F$15),0))</f>
        <v/>
      </c>
      <c r="X30" s="293">
        <f>IF('Project Assumptions'!$D$16&lt;=3,0,IF(X5&gt;'Project Assumptions'!$D$15,IF(X5&lt;='Project Assumptions'!$D$15+3,-SUM('Detailed Project Costs'!$F$13:$F$15)/3,0),0))+IF('Project Assumptions'!$D$16&gt;0,IF('Project Assumptions'!$D$16&lt;=3,IF(X5='Project Assumptions'!$D$15+1,-SUM('Detailed Project Costs'!$F$13:$F$15),0),0),IF(X5='Project Assumptions'!$D$15,-SUM('Detailed Project Costs'!$F$13:$F$15),0))</f>
        <v/>
      </c>
      <c r="Y30" s="293">
        <f>IF('Project Assumptions'!$D$16&lt;=3,0,IF(Y5&gt;'Project Assumptions'!$D$15,IF(Y5&lt;='Project Assumptions'!$D$15+3,-SUM('Detailed Project Costs'!$F$13:$F$15)/3,0),0))+IF('Project Assumptions'!$D$16&gt;0,IF('Project Assumptions'!$D$16&lt;=3,IF(Y5='Project Assumptions'!$D$15+1,-SUM('Detailed Project Costs'!$F$13:$F$15),0),0),IF(Y5='Project Assumptions'!$D$15,-SUM('Detailed Project Costs'!$F$13:$F$15),0))</f>
        <v/>
      </c>
      <c r="Z30" s="293">
        <f>IF('Project Assumptions'!$D$16&lt;=3,0,IF(Z5&gt;'Project Assumptions'!$D$15,IF(Z5&lt;='Project Assumptions'!$D$15+3,-SUM('Detailed Project Costs'!$F$13:$F$15)/3,0),0))+IF('Project Assumptions'!$D$16&gt;0,IF('Project Assumptions'!$D$16&lt;=3,IF(Z5='Project Assumptions'!$D$15+1,-SUM('Detailed Project Costs'!$F$13:$F$15),0),0),IF(Z5='Project Assumptions'!$D$15,-SUM('Detailed Project Costs'!$F$13:$F$15),0))</f>
        <v/>
      </c>
      <c r="AA30" s="293">
        <f>IF('Project Assumptions'!$D$16&lt;=3,0,IF(AA5&gt;'Project Assumptions'!$D$15,IF(AA5&lt;='Project Assumptions'!$D$15+3,-SUM('Detailed Project Costs'!$F$13:$F$15)/3,0),0))+IF('Project Assumptions'!$D$16&gt;0,IF('Project Assumptions'!$D$16&lt;=3,IF(AA5='Project Assumptions'!$D$15+1,-SUM('Detailed Project Costs'!$F$13:$F$15),0),0),IF(AA5='Project Assumptions'!$D$15,-SUM('Detailed Project Costs'!$F$13:$F$15),0))</f>
        <v/>
      </c>
      <c r="AB30" s="293">
        <f>IF('Project Assumptions'!$D$16&lt;=3,0,IF(AB5&gt;'Project Assumptions'!$D$15,IF(AB5&lt;='Project Assumptions'!$D$15+3,-SUM('Detailed Project Costs'!$F$13:$F$15)/3,0),0))+IF('Project Assumptions'!$D$16&gt;0,IF('Project Assumptions'!$D$16&lt;=3,IF(AB5='Project Assumptions'!$D$15+1,-SUM('Detailed Project Costs'!$F$13:$F$15),0),0),IF(AB5='Project Assumptions'!$D$15,-SUM('Detailed Project Costs'!$F$13:$F$15),0))</f>
        <v/>
      </c>
      <c r="AC30" s="293">
        <f>IF('Project Assumptions'!$D$16&lt;=3,0,IF(AC5&gt;'Project Assumptions'!$D$15,IF(AC5&lt;='Project Assumptions'!$D$15+3,-SUM('Detailed Project Costs'!$F$13:$F$15)/3,0),0))+IF('Project Assumptions'!$D$16&gt;0,IF('Project Assumptions'!$D$16&lt;=3,IF(AC5='Project Assumptions'!$D$15+1,-SUM('Detailed Project Costs'!$F$13:$F$15),0),0),IF(AC5='Project Assumptions'!$D$15,-SUM('Detailed Project Costs'!$F$13:$F$15),0))</f>
        <v/>
      </c>
      <c r="AD30" s="293">
        <f>IF('Project Assumptions'!$D$16&lt;=3,0,IF(AD5&gt;'Project Assumptions'!$D$15,IF(AD5&lt;='Project Assumptions'!$D$15+3,-SUM('Detailed Project Costs'!$F$13:$F$15)/3,0),0))+IF('Project Assumptions'!$D$16&gt;0,IF('Project Assumptions'!$D$16&lt;=3,IF(AD5='Project Assumptions'!$D$15+1,-SUM('Detailed Project Costs'!$F$13:$F$15),0),0),IF(AD5='Project Assumptions'!$D$15,-SUM('Detailed Project Costs'!$F$13:$F$15),0))</f>
        <v/>
      </c>
      <c r="AE30" s="293">
        <f>IF('Project Assumptions'!$D$16&lt;=3,0,IF(AE5&gt;'Project Assumptions'!$D$15,IF(AE5&lt;='Project Assumptions'!$D$15+3,-SUM('Detailed Project Costs'!$F$13:$F$15)/3,0),0))+IF('Project Assumptions'!$D$16&gt;0,IF('Project Assumptions'!$D$16&lt;=3,IF(AE5='Project Assumptions'!$D$15+1,-SUM('Detailed Project Costs'!$F$13:$F$15),0),0),IF(AE5='Project Assumptions'!$D$15,-SUM('Detailed Project Costs'!$F$13:$F$15),0))</f>
        <v/>
      </c>
      <c r="AF30" s="293">
        <f>IF('Project Assumptions'!$D$16&lt;=3,0,IF(AF5&gt;'Project Assumptions'!$D$15,IF(AF5&lt;='Project Assumptions'!$D$15+3,-SUM('Detailed Project Costs'!$F$13:$F$15)/3,0),0))+IF('Project Assumptions'!$D$16&gt;0,IF('Project Assumptions'!$D$16&lt;=3,IF(AF5='Project Assumptions'!$D$15+1,-SUM('Detailed Project Costs'!$F$13:$F$15),0),0),IF(AF5='Project Assumptions'!$D$15,-SUM('Detailed Project Costs'!$F$13:$F$15),0))</f>
        <v/>
      </c>
      <c r="AG30" s="293">
        <f>IF('Project Assumptions'!$D$16&lt;=3,0,IF(AG5&gt;'Project Assumptions'!$D$15,IF(AG5&lt;='Project Assumptions'!$D$15+3,-SUM('Detailed Project Costs'!$F$13:$F$15)/3,0),0))+IF('Project Assumptions'!$D$16&gt;0,IF('Project Assumptions'!$D$16&lt;=3,IF(AG5='Project Assumptions'!$D$15+1,-SUM('Detailed Project Costs'!$F$13:$F$15),0),0),IF(AG5='Project Assumptions'!$D$15,-SUM('Detailed Project Costs'!$F$13:$F$15),0))</f>
        <v/>
      </c>
      <c r="AH30" s="293">
        <f>IF('Project Assumptions'!$D$16&lt;=3,0,IF(AH5&gt;'Project Assumptions'!$D$15,IF(AH5&lt;='Project Assumptions'!$D$15+3,-SUM('Detailed Project Costs'!$F$13:$F$15)/3,0),0))+IF('Project Assumptions'!$D$16&gt;0,IF('Project Assumptions'!$D$16&lt;=3,IF(AH5='Project Assumptions'!$D$15+1,-SUM('Detailed Project Costs'!$F$13:$F$15),0),0),IF(AH5='Project Assumptions'!$D$15,-SUM('Detailed Project Costs'!$F$13:$F$15),0))</f>
        <v/>
      </c>
      <c r="AI30" s="293">
        <f>IF('Project Assumptions'!$D$16&lt;=3,0,IF(AI5&gt;'Project Assumptions'!$D$15,IF(AI5&lt;='Project Assumptions'!$D$15+3,-SUM('Detailed Project Costs'!$F$13:$F$15)/3,0),0))+IF('Project Assumptions'!$D$16&gt;0,IF('Project Assumptions'!$D$16&lt;=3,IF(AI5='Project Assumptions'!$D$15+1,-SUM('Detailed Project Costs'!$F$13:$F$15),0),0),IF(AI5='Project Assumptions'!$D$15,-SUM('Detailed Project Costs'!$F$13:$F$15),0))</f>
        <v/>
      </c>
      <c r="AJ30" s="293">
        <f>IF('Project Assumptions'!$D$16&lt;=3,0,IF(AJ5&gt;'Project Assumptions'!$D$15,IF(AJ5&lt;='Project Assumptions'!$D$15+3,-SUM('Detailed Project Costs'!$F$13:$F$15)/3,0),0))+IF('Project Assumptions'!$D$16&gt;0,IF('Project Assumptions'!$D$16&lt;=3,IF(AJ5='Project Assumptions'!$D$15+1,-SUM('Detailed Project Costs'!$F$13:$F$15),0),0),IF(AJ5='Project Assumptions'!$D$15,-SUM('Detailed Project Costs'!$F$13:$F$15),0))</f>
        <v/>
      </c>
      <c r="AK30" s="293">
        <f>IF('Project Assumptions'!$D$16&lt;=3,0,IF(AK5&gt;'Project Assumptions'!$D$15,IF(AK5&lt;='Project Assumptions'!$D$15+3,-SUM('Detailed Project Costs'!$F$13:$F$15)/3,0),0))+IF('Project Assumptions'!$D$16&gt;0,IF('Project Assumptions'!$D$16&lt;=3,IF(AK5='Project Assumptions'!$D$15+1,-SUM('Detailed Project Costs'!$F$13:$F$15),0),0),IF(AK5='Project Assumptions'!$D$15,-SUM('Detailed Project Costs'!$F$13:$F$15),0))</f>
        <v/>
      </c>
      <c r="AL30" s="293">
        <f>IF('Project Assumptions'!$D$16&lt;=3,0,IF(AL5&gt;'Project Assumptions'!$D$15,IF(AL5&lt;='Project Assumptions'!$D$15+3,-SUM('Detailed Project Costs'!$F$13:$F$15)/3,0),0))+IF('Project Assumptions'!$D$16&gt;0,IF('Project Assumptions'!$D$16&lt;=3,IF(AL5='Project Assumptions'!$D$15+1,-SUM('Detailed Project Costs'!$F$13:$F$15),0),0),IF(AL5='Project Assumptions'!$D$15,-SUM('Detailed Project Costs'!$F$13:$F$15),0))</f>
        <v/>
      </c>
      <c r="AM30" s="293">
        <f>IF('Project Assumptions'!$D$16&lt;=3,0,IF(AM5&gt;'Project Assumptions'!$D$15,IF(AM5&lt;='Project Assumptions'!$D$15+3,-SUM('Detailed Project Costs'!$F$13:$F$15)/3,0),0))+IF('Project Assumptions'!$D$16&gt;0,IF('Project Assumptions'!$D$16&lt;=3,IF(AM5='Project Assumptions'!$D$15+1,-SUM('Detailed Project Costs'!$F$13:$F$15),0),0),IF(AM5='Project Assumptions'!$D$15,-SUM('Detailed Project Costs'!$F$13:$F$15),0))</f>
        <v/>
      </c>
      <c r="AN30" s="293">
        <f>IF('Project Assumptions'!$D$16&lt;=3,0,IF(AN5&gt;'Project Assumptions'!$D$15,IF(AN5&lt;='Project Assumptions'!$D$15+3,-SUM('Detailed Project Costs'!$F$13:$F$15)/3,0),0))+IF('Project Assumptions'!$D$16&gt;0,IF('Project Assumptions'!$D$16&lt;=3,IF(AN5='Project Assumptions'!$D$15+1,-SUM('Detailed Project Costs'!$F$13:$F$15),0),0),IF(AN5='Project Assumptions'!$D$15,-SUM('Detailed Project Costs'!$F$13:$F$15),0))</f>
        <v/>
      </c>
      <c r="AO30" s="293">
        <f>IF('Project Assumptions'!$D$16&lt;=3,0,IF(AO5&gt;'Project Assumptions'!$D$15,IF(AO5&lt;='Project Assumptions'!$D$15+3,-SUM('Detailed Project Costs'!$F$13:$F$15)/3,0),0))+IF('Project Assumptions'!$D$16&gt;0,IF('Project Assumptions'!$D$16&lt;=3,IF(AO5='Project Assumptions'!$D$15+1,-SUM('Detailed Project Costs'!$F$13:$F$15),0),0),IF(AO5='Project Assumptions'!$D$15,-SUM('Detailed Project Costs'!$F$13:$F$15),0))</f>
        <v/>
      </c>
      <c r="AP30" s="293">
        <f>IF('Project Assumptions'!$D$16&lt;=3,0,IF(AP5&gt;'Project Assumptions'!$D$15,IF(AP5&lt;='Project Assumptions'!$D$15+3,-SUM('Detailed Project Costs'!$F$13:$F$15)/3,0),0))+IF('Project Assumptions'!$D$16&gt;0,IF('Project Assumptions'!$D$16&lt;=3,IF(AP5='Project Assumptions'!$D$15+1,-SUM('Detailed Project Costs'!$F$13:$F$15),0),0),IF(AP5='Project Assumptions'!$D$15,-SUM('Detailed Project Costs'!$F$13:$F$15),0))</f>
        <v/>
      </c>
      <c r="AQ30" s="293">
        <f>IF('Project Assumptions'!$D$16&lt;=3,0,IF(AQ5&gt;'Project Assumptions'!$D$15,IF(AQ5&lt;='Project Assumptions'!$D$15+3,-SUM('Detailed Project Costs'!$F$13:$F$15)/3,0),0))+IF('Project Assumptions'!$D$16&gt;0,IF('Project Assumptions'!$D$16&lt;=3,IF(AQ5='Project Assumptions'!$D$15+1,-SUM('Detailed Project Costs'!$F$13:$F$15),0),0),IF(AQ5='Project Assumptions'!$D$15,-SUM('Detailed Project Costs'!$F$13:$F$15),0))</f>
        <v/>
      </c>
      <c r="AR30" s="293">
        <f>IF('Project Assumptions'!$D$16&lt;=3,0,IF(AR5&gt;'Project Assumptions'!$D$15,IF(AR5&lt;='Project Assumptions'!$D$15+3,-SUM('Detailed Project Costs'!$F$13:$F$15)/3,0),0))+IF('Project Assumptions'!$D$16&gt;0,IF('Project Assumptions'!$D$16&lt;=3,IF(AR5='Project Assumptions'!$D$15+1,-SUM('Detailed Project Costs'!$F$13:$F$15),0),0),IF(AR5='Project Assumptions'!$D$15,-SUM('Detailed Project Costs'!$F$13:$F$15),0))</f>
        <v/>
      </c>
      <c r="AS30" s="293">
        <f>IF('Project Assumptions'!$D$16&lt;=3,0,IF(AS5&gt;'Project Assumptions'!$D$15,IF(AS5&lt;='Project Assumptions'!$D$15+3,-SUM('Detailed Project Costs'!$F$13:$F$15)/3,0),0))+IF('Project Assumptions'!$D$16&gt;0,IF('Project Assumptions'!$D$16&lt;=3,IF(AS5='Project Assumptions'!$D$15+1,-SUM('Detailed Project Costs'!$F$13:$F$15),0),0),IF(AS5='Project Assumptions'!$D$15,-SUM('Detailed Project Costs'!$F$13:$F$15),0))</f>
        <v/>
      </c>
      <c r="AT30" s="293">
        <f>IF('Project Assumptions'!$D$16&lt;=3,0,IF(AT5&gt;'Project Assumptions'!$D$15,IF(AT5&lt;='Project Assumptions'!$D$15+3,-SUM('Detailed Project Costs'!$F$13:$F$15)/3,0),0))+IF('Project Assumptions'!$D$16&gt;0,IF('Project Assumptions'!$D$16&lt;=3,IF(AT5='Project Assumptions'!$D$15+1,-SUM('Detailed Project Costs'!$F$13:$F$15),0),0),IF(AT5='Project Assumptions'!$D$15,-SUM('Detailed Project Costs'!$F$13:$F$15),0))</f>
        <v/>
      </c>
      <c r="AU30" s="293">
        <f>IF('Project Assumptions'!$D$16&lt;=3,0,IF(AU5&gt;'Project Assumptions'!$D$15,IF(AU5&lt;='Project Assumptions'!$D$15+3,-SUM('Detailed Project Costs'!$F$13:$F$15)/3,0),0))+IF('Project Assumptions'!$D$16&gt;0,IF('Project Assumptions'!$D$16&lt;=3,IF(AU5='Project Assumptions'!$D$15+1,-SUM('Detailed Project Costs'!$F$13:$F$15),0),0),IF(AU5='Project Assumptions'!$D$15,-SUM('Detailed Project Costs'!$F$13:$F$15),0))</f>
        <v/>
      </c>
      <c r="AV30" s="293">
        <f>IF('Project Assumptions'!$D$16&lt;=3,0,IF(AV5&gt;'Project Assumptions'!$D$15,IF(AV5&lt;='Project Assumptions'!$D$15+3,-SUM('Detailed Project Costs'!$F$13:$F$15)/3,0),0))+IF('Project Assumptions'!$D$16&gt;0,IF('Project Assumptions'!$D$16&lt;=3,IF(AV5='Project Assumptions'!$D$15+1,-SUM('Detailed Project Costs'!$F$13:$F$15),0),0),IF(AV5='Project Assumptions'!$D$15,-SUM('Detailed Project Costs'!$F$13:$F$15),0))</f>
        <v/>
      </c>
      <c r="AW30" s="293">
        <f>IF('Project Assumptions'!$D$16&lt;=3,0,IF(AW5&gt;'Project Assumptions'!$D$15,IF(AW5&lt;='Project Assumptions'!$D$15+3,-SUM('Detailed Project Costs'!$F$13:$F$15)/3,0),0))+IF('Project Assumptions'!$D$16&gt;0,IF('Project Assumptions'!$D$16&lt;=3,IF(AW5='Project Assumptions'!$D$15+1,-SUM('Detailed Project Costs'!$F$13:$F$15),0),0),IF(AW5='Project Assumptions'!$D$15,-SUM('Detailed Project Costs'!$F$13:$F$15),0))</f>
        <v/>
      </c>
      <c r="AX30" s="293">
        <f>IF('Project Assumptions'!$D$16&lt;=3,0,IF(AX5&gt;'Project Assumptions'!$D$15,IF(AX5&lt;='Project Assumptions'!$D$15+3,-SUM('Detailed Project Costs'!$F$13:$F$15)/3,0),0))+IF('Project Assumptions'!$D$16&gt;0,IF('Project Assumptions'!$D$16&lt;=3,IF(AX5='Project Assumptions'!$D$15+1,-SUM('Detailed Project Costs'!$F$13:$F$15),0),0),IF(AX5='Project Assumptions'!$D$15,-SUM('Detailed Project Costs'!$F$13:$F$15),0))</f>
        <v/>
      </c>
      <c r="AY30" s="293">
        <f>IF('Project Assumptions'!$D$16&lt;=3,0,IF(AY5&gt;'Project Assumptions'!$D$15,IF(AY5&lt;='Project Assumptions'!$D$15+3,-SUM('Detailed Project Costs'!$F$13:$F$15)/3,0),0))+IF('Project Assumptions'!$D$16&gt;0,IF('Project Assumptions'!$D$16&lt;=3,IF(AY5='Project Assumptions'!$D$15+1,-SUM('Detailed Project Costs'!$F$13:$F$15),0),0),IF(AY5='Project Assumptions'!$D$15,-SUM('Detailed Project Costs'!$F$13:$F$15),0))</f>
        <v/>
      </c>
      <c r="AZ30" s="293">
        <f>IF('Project Assumptions'!$D$16&lt;=3,0,IF(AZ5&gt;'Project Assumptions'!$D$15,IF(AZ5&lt;='Project Assumptions'!$D$15+3,-SUM('Detailed Project Costs'!$F$13:$F$15)/3,0),0))+IF('Project Assumptions'!$D$16&gt;0,IF('Project Assumptions'!$D$16&lt;=3,IF(AZ5='Project Assumptions'!$D$15+1,-SUM('Detailed Project Costs'!$F$13:$F$15),0),0),IF(AZ5='Project Assumptions'!$D$15,-SUM('Detailed Project Costs'!$F$13:$F$15),0))</f>
        <v/>
      </c>
      <c r="BA30" s="293">
        <f>IF('Project Assumptions'!$D$16&lt;=3,0,IF(BA5&gt;'Project Assumptions'!$D$15,IF(BA5&lt;='Project Assumptions'!$D$15+3,-SUM('Detailed Project Costs'!$F$13:$F$15)/3,0),0))+IF('Project Assumptions'!$D$16&gt;0,IF('Project Assumptions'!$D$16&lt;=3,IF(BA5='Project Assumptions'!$D$15+1,-SUM('Detailed Project Costs'!$F$13:$F$15),0),0),IF(BA5='Project Assumptions'!$D$15,-SUM('Detailed Project Costs'!$F$13:$F$15),0))</f>
        <v/>
      </c>
      <c r="BB30" s="293">
        <f>IF('Project Assumptions'!$D$16&lt;=3,0,IF(BB5&gt;'Project Assumptions'!$D$15,IF(BB5&lt;='Project Assumptions'!$D$15+3,-SUM('Detailed Project Costs'!$F$13:$F$15)/3,0),0))+IF('Project Assumptions'!$D$16&gt;0,IF('Project Assumptions'!$D$16&lt;=3,IF(BB5='Project Assumptions'!$D$15+1,-SUM('Detailed Project Costs'!$F$13:$F$15),0),0),IF(BB5='Project Assumptions'!$D$15,-SUM('Detailed Project Costs'!$F$13:$F$15),0))</f>
        <v/>
      </c>
      <c r="BC30" s="293">
        <f>IF('Project Assumptions'!$D$16&lt;=3,0,IF(BC5&gt;'Project Assumptions'!$D$15,IF(BC5&lt;='Project Assumptions'!$D$15+3,-SUM('Detailed Project Costs'!$F$13:$F$15)/3,0),0))+IF('Project Assumptions'!$D$16&gt;0,IF('Project Assumptions'!$D$16&lt;=3,IF(BC5='Project Assumptions'!$D$15+1,-SUM('Detailed Project Costs'!$F$13:$F$15),0),0),IF(BC5='Project Assumptions'!$D$15,-SUM('Detailed Project Costs'!$F$13:$F$15),0))</f>
        <v/>
      </c>
      <c r="BD30" s="293">
        <f>IF('Project Assumptions'!$D$16&lt;=3,0,IF(BD5&gt;'Project Assumptions'!$D$15,IF(BD5&lt;='Project Assumptions'!$D$15+3,-SUM('Detailed Project Costs'!$F$13:$F$15)/3,0),0))+IF('Project Assumptions'!$D$16&gt;0,IF('Project Assumptions'!$D$16&lt;=3,IF(BD5='Project Assumptions'!$D$15+1,-SUM('Detailed Project Costs'!$F$13:$F$15),0),0),IF(BD5='Project Assumptions'!$D$15,-SUM('Detailed Project Costs'!$F$13:$F$15),0))</f>
        <v/>
      </c>
      <c r="BE30" s="293">
        <f>IF('Project Assumptions'!$D$16&lt;=3,0,IF(BE5&gt;'Project Assumptions'!$D$15,IF(BE5&lt;='Project Assumptions'!$D$15+3,-SUM('Detailed Project Costs'!$F$13:$F$15)/3,0),0))+IF('Project Assumptions'!$D$16&gt;0,IF('Project Assumptions'!$D$16&lt;=3,IF(BE5='Project Assumptions'!$D$15+1,-SUM('Detailed Project Costs'!$F$13:$F$15),0),0),IF(BE5='Project Assumptions'!$D$15,-SUM('Detailed Project Costs'!$F$13:$F$15),0))</f>
        <v/>
      </c>
      <c r="BF30" s="293">
        <f>IF('Project Assumptions'!$D$16&lt;=3,0,IF(BF5&gt;'Project Assumptions'!$D$15,IF(BF5&lt;='Project Assumptions'!$D$15+3,-SUM('Detailed Project Costs'!$F$13:$F$15)/3,0),0))+IF('Project Assumptions'!$D$16&gt;0,IF('Project Assumptions'!$D$16&lt;=3,IF(BF5='Project Assumptions'!$D$15+1,-SUM('Detailed Project Costs'!$F$13:$F$15),0),0),IF(BF5='Project Assumptions'!$D$15,-SUM('Detailed Project Costs'!$F$13:$F$15),0))</f>
        <v/>
      </c>
      <c r="BG30" s="293">
        <f>IF('Project Assumptions'!$D$16&lt;=3,0,IF(BG5&gt;'Project Assumptions'!$D$15,IF(BG5&lt;='Project Assumptions'!$D$15+3,-SUM('Detailed Project Costs'!$F$13:$F$15)/3,0),0))+IF('Project Assumptions'!$D$16&gt;0,IF('Project Assumptions'!$D$16&lt;=3,IF(BG5='Project Assumptions'!$D$15+1,-SUM('Detailed Project Costs'!$F$13:$F$15),0),0),IF(BG5='Project Assumptions'!$D$15,-SUM('Detailed Project Costs'!$F$13:$F$15),0))</f>
        <v/>
      </c>
      <c r="BH30" s="293">
        <f>IF('Project Assumptions'!$D$16&lt;=3,0,IF(BH5&gt;'Project Assumptions'!$D$15,IF(BH5&lt;='Project Assumptions'!$D$15+3,-SUM('Detailed Project Costs'!$F$13:$F$15)/3,0),0))+IF('Project Assumptions'!$D$16&gt;0,IF('Project Assumptions'!$D$16&lt;=3,IF(BH5='Project Assumptions'!$D$15+1,-SUM('Detailed Project Costs'!$F$13:$F$15),0),0),IF(BH5='Project Assumptions'!$D$15,-SUM('Detailed Project Costs'!$F$13:$F$15),0))</f>
        <v/>
      </c>
      <c r="BI30" s="293">
        <f>IF('Project Assumptions'!$D$16&lt;=3,0,IF(BI5&gt;'Project Assumptions'!$D$15,IF(BI5&lt;='Project Assumptions'!$D$15+3,-SUM('Detailed Project Costs'!$F$13:$F$15)/3,0),0))+IF('Project Assumptions'!$D$16&gt;0,IF('Project Assumptions'!$D$16&lt;=3,IF(BI5='Project Assumptions'!$D$15+1,-SUM('Detailed Project Costs'!$F$13:$F$15),0),0),IF(BI5='Project Assumptions'!$D$15,-SUM('Detailed Project Costs'!$F$13:$F$15),0))</f>
        <v/>
      </c>
      <c r="BJ30" s="293">
        <f>IF('Project Assumptions'!$D$16&lt;=3,0,IF(BJ5&gt;'Project Assumptions'!$D$15,IF(BJ5&lt;='Project Assumptions'!$D$15+3,-SUM('Detailed Project Costs'!$F$13:$F$15)/3,0),0))+IF('Project Assumptions'!$D$16&gt;0,IF('Project Assumptions'!$D$16&lt;=3,IF(BJ5='Project Assumptions'!$D$15+1,-SUM('Detailed Project Costs'!$F$13:$F$15),0),0),IF(BJ5='Project Assumptions'!$D$15,-SUM('Detailed Project Costs'!$F$13:$F$15),0))</f>
        <v/>
      </c>
      <c r="BK30" s="293">
        <f>IF('Project Assumptions'!$D$16&lt;=3,0,IF(BK5&gt;'Project Assumptions'!$D$15,IF(BK5&lt;='Project Assumptions'!$D$15+3,-SUM('Detailed Project Costs'!$F$13:$F$15)/3,0),0))+IF('Project Assumptions'!$D$16&gt;0,IF('Project Assumptions'!$D$16&lt;=3,IF(BK5='Project Assumptions'!$D$15+1,-SUM('Detailed Project Costs'!$F$13:$F$15),0),0),IF(BK5='Project Assumptions'!$D$15,-SUM('Detailed Project Costs'!$F$13:$F$15),0))</f>
        <v/>
      </c>
      <c r="BL30" s="293">
        <f>IF('Project Assumptions'!$D$16&lt;=3,0,IF(BL5&gt;'Project Assumptions'!$D$15,IF(BL5&lt;='Project Assumptions'!$D$15+3,-SUM('Detailed Project Costs'!$F$13:$F$15)/3,0),0))+IF('Project Assumptions'!$D$16&gt;0,IF('Project Assumptions'!$D$16&lt;=3,IF(BL5='Project Assumptions'!$D$15+1,-SUM('Detailed Project Costs'!$F$13:$F$15),0),0),IF(BL5='Project Assumptions'!$D$15,-SUM('Detailed Project Costs'!$F$13:$F$15),0))</f>
        <v/>
      </c>
      <c r="BM30" s="293">
        <f>IF('Project Assumptions'!$D$16&lt;=3,0,IF(BM5&gt;'Project Assumptions'!$D$15,IF(BM5&lt;='Project Assumptions'!$D$15+3,-SUM('Detailed Project Costs'!$F$13:$F$15)/3,0),0))+IF('Project Assumptions'!$D$16&gt;0,IF('Project Assumptions'!$D$16&lt;=3,IF(BM5='Project Assumptions'!$D$15+1,-SUM('Detailed Project Costs'!$F$13:$F$15),0),0),IF(BM5='Project Assumptions'!$D$15,-SUM('Detailed Project Costs'!$F$13:$F$15),0))</f>
        <v/>
      </c>
      <c r="BN30" s="293">
        <f>IF('Project Assumptions'!$D$16&lt;=3,0,IF(BN5&gt;'Project Assumptions'!$D$15,IF(BN5&lt;='Project Assumptions'!$D$15+3,-SUM('Detailed Project Costs'!$F$13:$F$15)/3,0),0))+IF('Project Assumptions'!$D$16&gt;0,IF('Project Assumptions'!$D$16&lt;=3,IF(BN5='Project Assumptions'!$D$15+1,-SUM('Detailed Project Costs'!$F$13:$F$15),0),0),IF(BN5='Project Assumptions'!$D$15,-SUM('Detailed Project Costs'!$F$13:$F$15),0))</f>
        <v/>
      </c>
      <c r="BO30" s="293">
        <f>IF('Project Assumptions'!$D$16&lt;=3,0,IF(BO5&gt;'Project Assumptions'!$D$15,IF(BO5&lt;='Project Assumptions'!$D$15+3,-SUM('Detailed Project Costs'!$F$13:$F$15)/3,0),0))+IF('Project Assumptions'!$D$16&gt;0,IF('Project Assumptions'!$D$16&lt;=3,IF(BO5='Project Assumptions'!$D$15+1,-SUM('Detailed Project Costs'!$F$13:$F$15),0),0),IF(BO5='Project Assumptions'!$D$15,-SUM('Detailed Project Costs'!$F$13:$F$15),0))</f>
        <v/>
      </c>
      <c r="BP30" s="293">
        <f>IF('Project Assumptions'!$D$16&lt;=3,0,IF(BP5&gt;'Project Assumptions'!$D$15,IF(BP5&lt;='Project Assumptions'!$D$15+3,-SUM('Detailed Project Costs'!$F$13:$F$15)/3,0),0))+IF('Project Assumptions'!$D$16&gt;0,IF('Project Assumptions'!$D$16&lt;=3,IF(BP5='Project Assumptions'!$D$15+1,-SUM('Detailed Project Costs'!$F$13:$F$15),0),0),IF(BP5='Project Assumptions'!$D$15,-SUM('Detailed Project Costs'!$F$13:$F$15),0))</f>
        <v/>
      </c>
      <c r="BQ30" s="293">
        <f>IF('Project Assumptions'!$D$16&lt;=3,0,IF(BQ5&gt;'Project Assumptions'!$D$15,IF(BQ5&lt;='Project Assumptions'!$D$15+3,-SUM('Detailed Project Costs'!$F$13:$F$15)/3,0),0))+IF('Project Assumptions'!$D$16&gt;0,IF('Project Assumptions'!$D$16&lt;=3,IF(BQ5='Project Assumptions'!$D$15+1,-SUM('Detailed Project Costs'!$F$13:$F$15),0),0),IF(BQ5='Project Assumptions'!$D$15,-SUM('Detailed Project Costs'!$F$13:$F$15),0))</f>
        <v/>
      </c>
      <c r="BR30" s="293">
        <f>IF('Project Assumptions'!$D$16&lt;=3,0,IF(BR5&gt;'Project Assumptions'!$D$15,IF(BR5&lt;='Project Assumptions'!$D$15+3,-SUM('Detailed Project Costs'!$F$13:$F$15)/3,0),0))+IF('Project Assumptions'!$D$16&gt;0,IF('Project Assumptions'!$D$16&lt;=3,IF(BR5='Project Assumptions'!$D$15+1,-SUM('Detailed Project Costs'!$F$13:$F$15),0),0),IF(BR5='Project Assumptions'!$D$15,-SUM('Detailed Project Costs'!$F$13:$F$15),0))</f>
        <v/>
      </c>
      <c r="BS30" s="293">
        <f>IF('Project Assumptions'!$D$16&lt;=3,0,IF(BS5&gt;'Project Assumptions'!$D$15,IF(BS5&lt;='Project Assumptions'!$D$15+3,-SUM('Detailed Project Costs'!$F$13:$F$15)/3,0),0))+IF('Project Assumptions'!$D$16&gt;0,IF('Project Assumptions'!$D$16&lt;=3,IF(BS5='Project Assumptions'!$D$15+1,-SUM('Detailed Project Costs'!$F$13:$F$15),0),0),IF(BS5='Project Assumptions'!$D$15,-SUM('Detailed Project Costs'!$F$13:$F$15),0))</f>
        <v/>
      </c>
      <c r="BT30" s="293">
        <f>IF('Project Assumptions'!$D$16&lt;=3,0,IF(BT5&gt;'Project Assumptions'!$D$15,IF(BT5&lt;='Project Assumptions'!$D$15+3,-SUM('Detailed Project Costs'!$F$13:$F$15)/3,0),0))+IF('Project Assumptions'!$D$16&gt;0,IF('Project Assumptions'!$D$16&lt;=3,IF(BT5='Project Assumptions'!$D$15+1,-SUM('Detailed Project Costs'!$F$13:$F$15),0),0),IF(BT5='Project Assumptions'!$D$15,-SUM('Detailed Project Costs'!$F$13:$F$15),0))</f>
        <v/>
      </c>
      <c r="BU30" s="293">
        <f>IF('Project Assumptions'!$D$16&lt;=3,0,IF(BU5&gt;'Project Assumptions'!$D$15,IF(BU5&lt;='Project Assumptions'!$D$15+3,-SUM('Detailed Project Costs'!$F$13:$F$15)/3,0),0))+IF('Project Assumptions'!$D$16&gt;0,IF('Project Assumptions'!$D$16&lt;=3,IF(BU5='Project Assumptions'!$D$15+1,-SUM('Detailed Project Costs'!$F$13:$F$15),0),0),IF(BU5='Project Assumptions'!$D$15,-SUM('Detailed Project Costs'!$F$13:$F$15),0))</f>
        <v/>
      </c>
      <c r="BV30" s="293">
        <f>IF('Project Assumptions'!$D$16&lt;=3,0,IF(BV5&gt;'Project Assumptions'!$D$15,IF(BV5&lt;='Project Assumptions'!$D$15+3,-SUM('Detailed Project Costs'!$F$13:$F$15)/3,0),0))+IF('Project Assumptions'!$D$16&gt;0,IF('Project Assumptions'!$D$16&lt;=3,IF(BV5='Project Assumptions'!$D$15+1,-SUM('Detailed Project Costs'!$F$13:$F$15),0),0),IF(BV5='Project Assumptions'!$D$15,-SUM('Detailed Project Costs'!$F$13:$F$15),0))</f>
        <v/>
      </c>
      <c r="BW30" s="293">
        <f>IF('Project Assumptions'!$D$16&lt;=3,0,IF(BW5&gt;'Project Assumptions'!$D$15,IF(BW5&lt;='Project Assumptions'!$D$15+3,-SUM('Detailed Project Costs'!$F$13:$F$15)/3,0),0))+IF('Project Assumptions'!$D$16&gt;0,IF('Project Assumptions'!$D$16&lt;=3,IF(BW5='Project Assumptions'!$D$15+1,-SUM('Detailed Project Costs'!$F$13:$F$15),0),0),IF(BW5='Project Assumptions'!$D$15,-SUM('Detailed Project Costs'!$F$13:$F$15),0))</f>
        <v/>
      </c>
      <c r="BX30" s="293">
        <f>IF('Project Assumptions'!$D$16&lt;=3,0,IF(BX5&gt;'Project Assumptions'!$D$15,IF(BX5&lt;='Project Assumptions'!$D$15+3,-SUM('Detailed Project Costs'!$F$13:$F$15)/3,0),0))+IF('Project Assumptions'!$D$16&gt;0,IF('Project Assumptions'!$D$16&lt;=3,IF(BX5='Project Assumptions'!$D$15+1,-SUM('Detailed Project Costs'!$F$13:$F$15),0),0),IF(BX5='Project Assumptions'!$D$15,-SUM('Detailed Project Costs'!$F$13:$F$15),0))</f>
        <v/>
      </c>
      <c r="BY30" s="293">
        <f>IF('Project Assumptions'!$D$16&lt;=3,0,IF(BY5&gt;'Project Assumptions'!$D$15,IF(BY5&lt;='Project Assumptions'!$D$15+3,-SUM('Detailed Project Costs'!$F$13:$F$15)/3,0),0))+IF('Project Assumptions'!$D$16&gt;0,IF('Project Assumptions'!$D$16&lt;=3,IF(BY5='Project Assumptions'!$D$15+1,-SUM('Detailed Project Costs'!$F$13:$F$15),0),0),IF(BY5='Project Assumptions'!$D$15,-SUM('Detailed Project Costs'!$F$13:$F$15),0))</f>
        <v/>
      </c>
      <c r="BZ30" s="293">
        <f>IF('Project Assumptions'!$D$16&lt;=3,0,IF(BZ5&gt;'Project Assumptions'!$D$15,IF(BZ5&lt;='Project Assumptions'!$D$15+3,-SUM('Detailed Project Costs'!$F$13:$F$15)/3,0),0))+IF('Project Assumptions'!$D$16&gt;0,IF('Project Assumptions'!$D$16&lt;=3,IF(BZ5='Project Assumptions'!$D$15+1,-SUM('Detailed Project Costs'!$F$13:$F$15),0),0),IF(BZ5='Project Assumptions'!$D$15,-SUM('Detailed Project Costs'!$F$13:$F$15),0))</f>
        <v/>
      </c>
      <c r="CA30" s="293">
        <f>IF('Project Assumptions'!$D$16&lt;=3,0,IF(CA5&gt;'Project Assumptions'!$D$15,IF(CA5&lt;='Project Assumptions'!$D$15+3,-SUM('Detailed Project Costs'!$F$13:$F$15)/3,0),0))+IF('Project Assumptions'!$D$16&gt;0,IF('Project Assumptions'!$D$16&lt;=3,IF(CA5='Project Assumptions'!$D$15+1,-SUM('Detailed Project Costs'!$F$13:$F$15),0),0),IF(CA5='Project Assumptions'!$D$15,-SUM('Detailed Project Costs'!$F$13:$F$15),0))</f>
        <v/>
      </c>
      <c r="CB30" s="293">
        <f>IF('Project Assumptions'!$D$16&lt;=3,0,IF(CB5&gt;'Project Assumptions'!$D$15,IF(CB5&lt;='Project Assumptions'!$D$15+3,-SUM('Detailed Project Costs'!$F$13:$F$15)/3,0),0))+IF('Project Assumptions'!$D$16&gt;0,IF('Project Assumptions'!$D$16&lt;=3,IF(CB5='Project Assumptions'!$D$15+1,-SUM('Detailed Project Costs'!$F$13:$F$15),0),0),IF(CB5='Project Assumptions'!$D$15,-SUM('Detailed Project Costs'!$F$13:$F$15),0))</f>
        <v/>
      </c>
      <c r="CC30" s="293">
        <f>IF('Project Assumptions'!$D$16&lt;=3,0,IF(CC5&gt;'Project Assumptions'!$D$15,IF(CC5&lt;='Project Assumptions'!$D$15+3,-SUM('Detailed Project Costs'!$F$13:$F$15)/3,0),0))+IF('Project Assumptions'!$D$16&gt;0,IF('Project Assumptions'!$D$16&lt;=3,IF(CC5='Project Assumptions'!$D$15+1,-SUM('Detailed Project Costs'!$F$13:$F$15),0),0),IF(CC5='Project Assumptions'!$D$15,-SUM('Detailed Project Costs'!$F$13:$F$15),0))</f>
        <v/>
      </c>
      <c r="CD30" s="293">
        <f>IF('Project Assumptions'!$D$16&lt;=3,0,IF(CD5&gt;'Project Assumptions'!$D$15,IF(CD5&lt;='Project Assumptions'!$D$15+3,-SUM('Detailed Project Costs'!$F$13:$F$15)/3,0),0))+IF('Project Assumptions'!$D$16&gt;0,IF('Project Assumptions'!$D$16&lt;=3,IF(CD5='Project Assumptions'!$D$15+1,-SUM('Detailed Project Costs'!$F$13:$F$15),0),0),IF(CD5='Project Assumptions'!$D$15,-SUM('Detailed Project Costs'!$F$13:$F$15),0))</f>
        <v/>
      </c>
      <c r="CE30" s="293">
        <f>IF('Project Assumptions'!$D$16&lt;=3,0,IF(CE5&gt;'Project Assumptions'!$D$15,IF(CE5&lt;='Project Assumptions'!$D$15+3,-SUM('Detailed Project Costs'!$F$13:$F$15)/3,0),0))+IF('Project Assumptions'!$D$16&gt;0,IF('Project Assumptions'!$D$16&lt;=3,IF(CE5='Project Assumptions'!$D$15+1,-SUM('Detailed Project Costs'!$F$13:$F$15),0),0),IF(CE5='Project Assumptions'!$D$15,-SUM('Detailed Project Costs'!$F$13:$F$15),0))</f>
        <v/>
      </c>
      <c r="CF30" s="293">
        <f>IF('Project Assumptions'!$D$16&lt;=3,0,IF(CF5&gt;'Project Assumptions'!$D$15,IF(CF5&lt;='Project Assumptions'!$D$15+3,-SUM('Detailed Project Costs'!$F$13:$F$15)/3,0),0))+IF('Project Assumptions'!$D$16&gt;0,IF('Project Assumptions'!$D$16&lt;=3,IF(CF5='Project Assumptions'!$D$15+1,-SUM('Detailed Project Costs'!$F$13:$F$15),0),0),IF(CF5='Project Assumptions'!$D$15,-SUM('Detailed Project Costs'!$F$13:$F$15),0))</f>
        <v/>
      </c>
      <c r="CG30" s="293">
        <f>IF('Project Assumptions'!$D$16&lt;=3,0,IF(CG5&gt;'Project Assumptions'!$D$15,IF(CG5&lt;='Project Assumptions'!$D$15+3,-SUM('Detailed Project Costs'!$F$13:$F$15)/3,0),0))+IF('Project Assumptions'!$D$16&gt;0,IF('Project Assumptions'!$D$16&lt;=3,IF(CG5='Project Assumptions'!$D$15+1,-SUM('Detailed Project Costs'!$F$13:$F$15),0),0),IF(CG5='Project Assumptions'!$D$15,-SUM('Detailed Project Costs'!$F$13:$F$15),0))</f>
        <v/>
      </c>
      <c r="CH30" s="293">
        <f>IF('Project Assumptions'!$D$16&lt;=3,0,IF(CH5&gt;'Project Assumptions'!$D$15,IF(CH5&lt;='Project Assumptions'!$D$15+3,-SUM('Detailed Project Costs'!$F$13:$F$15)/3,0),0))+IF('Project Assumptions'!$D$16&gt;0,IF('Project Assumptions'!$D$16&lt;=3,IF(CH5='Project Assumptions'!$D$15+1,-SUM('Detailed Project Costs'!$F$13:$F$15),0),0),IF(CH5='Project Assumptions'!$D$15,-SUM('Detailed Project Costs'!$F$13:$F$15),0))</f>
        <v/>
      </c>
      <c r="CI30" s="293">
        <f>IF('Project Assumptions'!$D$16&lt;=3,0,IF(CI5&gt;'Project Assumptions'!$D$15,IF(CI5&lt;='Project Assumptions'!$D$15+3,-SUM('Detailed Project Costs'!$F$13:$F$15)/3,0),0))+IF('Project Assumptions'!$D$16&gt;0,IF('Project Assumptions'!$D$16&lt;=3,IF(CI5='Project Assumptions'!$D$15+1,-SUM('Detailed Project Costs'!$F$13:$F$15),0),0),IF(CI5='Project Assumptions'!$D$15,-SUM('Detailed Project Costs'!$F$13:$F$15),0))</f>
        <v/>
      </c>
      <c r="CJ30" s="293">
        <f>IF('Project Assumptions'!$D$16&lt;=3,0,IF(CJ5&gt;'Project Assumptions'!$D$15,IF(CJ5&lt;='Project Assumptions'!$D$15+3,-SUM('Detailed Project Costs'!$F$13:$F$15)/3,0),0))+IF('Project Assumptions'!$D$16&gt;0,IF('Project Assumptions'!$D$16&lt;=3,IF(CJ5='Project Assumptions'!$D$15+1,-SUM('Detailed Project Costs'!$F$13:$F$15),0),0),IF(CJ5='Project Assumptions'!$D$15,-SUM('Detailed Project Costs'!$F$13:$F$15),0))</f>
        <v/>
      </c>
      <c r="CK30" s="293">
        <f>IF('Project Assumptions'!$D$16&lt;=3,0,IF(CK5&gt;'Project Assumptions'!$D$15,IF(CK5&lt;='Project Assumptions'!$D$15+3,-SUM('Detailed Project Costs'!$F$13:$F$15)/3,0),0))+IF('Project Assumptions'!$D$16&gt;0,IF('Project Assumptions'!$D$16&lt;=3,IF(CK5='Project Assumptions'!$D$15+1,-SUM('Detailed Project Costs'!$F$13:$F$15),0),0),IF(CK5='Project Assumptions'!$D$15,-SUM('Detailed Project Costs'!$F$13:$F$15),0))</f>
        <v/>
      </c>
      <c r="CL30" s="293">
        <f>IF('Project Assumptions'!$D$16&lt;=3,0,IF(CL5&gt;'Project Assumptions'!$D$15,IF(CL5&lt;='Project Assumptions'!$D$15+3,-SUM('Detailed Project Costs'!$F$13:$F$15)/3,0),0))+IF('Project Assumptions'!$D$16&gt;0,IF('Project Assumptions'!$D$16&lt;=3,IF(CL5='Project Assumptions'!$D$15+1,-SUM('Detailed Project Costs'!$F$13:$F$15),0),0),IF(CL5='Project Assumptions'!$D$15,-SUM('Detailed Project Costs'!$F$13:$F$15),0))</f>
        <v/>
      </c>
      <c r="CM30" s="293">
        <f>IF('Project Assumptions'!$D$16&lt;=3,0,IF(CM5&gt;'Project Assumptions'!$D$15,IF(CM5&lt;='Project Assumptions'!$D$15+3,-SUM('Detailed Project Costs'!$F$13:$F$15)/3,0),0))+IF('Project Assumptions'!$D$16&gt;0,IF('Project Assumptions'!$D$16&lt;=3,IF(CM5='Project Assumptions'!$D$15+1,-SUM('Detailed Project Costs'!$F$13:$F$15),0),0),IF(CM5='Project Assumptions'!$D$15,-SUM('Detailed Project Costs'!$F$13:$F$15),0))</f>
        <v/>
      </c>
      <c r="CN30" s="293">
        <f>IF('Project Assumptions'!$D$16&lt;=3,0,IF(CN5&gt;'Project Assumptions'!$D$15,IF(CN5&lt;='Project Assumptions'!$D$15+3,-SUM('Detailed Project Costs'!$F$13:$F$15)/3,0),0))+IF('Project Assumptions'!$D$16&gt;0,IF('Project Assumptions'!$D$16&lt;=3,IF(CN5='Project Assumptions'!$D$15+1,-SUM('Detailed Project Costs'!$F$13:$F$15),0),0),IF(CN5='Project Assumptions'!$D$15,-SUM('Detailed Project Costs'!$F$13:$F$15),0))</f>
        <v/>
      </c>
      <c r="CO30" s="293">
        <f>IF('Project Assumptions'!$D$16&lt;=3,0,IF(CO5&gt;'Project Assumptions'!$D$15,IF(CO5&lt;='Project Assumptions'!$D$15+3,-SUM('Detailed Project Costs'!$F$13:$F$15)/3,0),0))+IF('Project Assumptions'!$D$16&gt;0,IF('Project Assumptions'!$D$16&lt;=3,IF(CO5='Project Assumptions'!$D$15+1,-SUM('Detailed Project Costs'!$F$13:$F$15),0),0),IF(CO5='Project Assumptions'!$D$15,-SUM('Detailed Project Costs'!$F$13:$F$15),0))</f>
        <v/>
      </c>
      <c r="CP30" s="293">
        <f>IF('Project Assumptions'!$D$16&lt;=3,0,IF(CP5&gt;'Project Assumptions'!$D$15,IF(CP5&lt;='Project Assumptions'!$D$15+3,-SUM('Detailed Project Costs'!$F$13:$F$15)/3,0),0))+IF('Project Assumptions'!$D$16&gt;0,IF('Project Assumptions'!$D$16&lt;=3,IF(CP5='Project Assumptions'!$D$15+1,-SUM('Detailed Project Costs'!$F$13:$F$15),0),0),IF(CP5='Project Assumptions'!$D$15,-SUM('Detailed Project Costs'!$F$13:$F$15),0))</f>
        <v/>
      </c>
      <c r="CQ30" s="293">
        <f>IF('Project Assumptions'!$D$16&lt;=3,0,IF(CQ5&gt;'Project Assumptions'!$D$15,IF(CQ5&lt;='Project Assumptions'!$D$15+3,-SUM('Detailed Project Costs'!$F$13:$F$15)/3,0),0))+IF('Project Assumptions'!$D$16&gt;0,IF('Project Assumptions'!$D$16&lt;=3,IF(CQ5='Project Assumptions'!$D$15+1,-SUM('Detailed Project Costs'!$F$13:$F$15),0),0),IF(CQ5='Project Assumptions'!$D$15,-SUM('Detailed Project Costs'!$F$13:$F$15),0))</f>
        <v/>
      </c>
      <c r="CR30" s="293">
        <f>IF('Project Assumptions'!$D$16&lt;=3,0,IF(CR5&gt;'Project Assumptions'!$D$15,IF(CR5&lt;='Project Assumptions'!$D$15+3,-SUM('Detailed Project Costs'!$F$13:$F$15)/3,0),0))+IF('Project Assumptions'!$D$16&gt;0,IF('Project Assumptions'!$D$16&lt;=3,IF(CR5='Project Assumptions'!$D$15+1,-SUM('Detailed Project Costs'!$F$13:$F$15),0),0),IF(CR5='Project Assumptions'!$D$15,-SUM('Detailed Project Costs'!$F$13:$F$15),0))</f>
        <v/>
      </c>
      <c r="CS30" s="293">
        <f>IF('Project Assumptions'!$D$16&lt;=3,0,IF(CS5&gt;'Project Assumptions'!$D$15,IF(CS5&lt;='Project Assumptions'!$D$15+3,-SUM('Detailed Project Costs'!$F$13:$F$15)/3,0),0))+IF('Project Assumptions'!$D$16&gt;0,IF('Project Assumptions'!$D$16&lt;=3,IF(CS5='Project Assumptions'!$D$15+1,-SUM('Detailed Project Costs'!$F$13:$F$15),0),0),IF(CS5='Project Assumptions'!$D$15,-SUM('Detailed Project Costs'!$F$13:$F$15),0))</f>
        <v/>
      </c>
      <c r="CT30" s="293">
        <f>IF('Project Assumptions'!$D$16&lt;=3,0,IF(CT5&gt;'Project Assumptions'!$D$15,IF(CT5&lt;='Project Assumptions'!$D$15+3,-SUM('Detailed Project Costs'!$F$13:$F$15)/3,0),0))+IF('Project Assumptions'!$D$16&gt;0,IF('Project Assumptions'!$D$16&lt;=3,IF(CT5='Project Assumptions'!$D$15+1,-SUM('Detailed Project Costs'!$F$13:$F$15),0),0),IF(CT5='Project Assumptions'!$D$15,-SUM('Detailed Project Costs'!$F$13:$F$15),0))</f>
        <v/>
      </c>
      <c r="CU30" s="293">
        <f>IF('Project Assumptions'!$D$16&lt;=3,0,IF(CU5&gt;'Project Assumptions'!$D$15,IF(CU5&lt;='Project Assumptions'!$D$15+3,-SUM('Detailed Project Costs'!$F$13:$F$15)/3,0),0))+IF('Project Assumptions'!$D$16&gt;0,IF('Project Assumptions'!$D$16&lt;=3,IF(CU5='Project Assumptions'!$D$15+1,-SUM('Detailed Project Costs'!$F$13:$F$15),0),0),IF(CU5='Project Assumptions'!$D$15,-SUM('Detailed Project Costs'!$F$13:$F$15),0))</f>
        <v/>
      </c>
      <c r="CV30" s="293">
        <f>IF('Project Assumptions'!$D$16&lt;=3,0,IF(CV5&gt;'Project Assumptions'!$D$15,IF(CV5&lt;='Project Assumptions'!$D$15+3,-SUM('Detailed Project Costs'!$F$13:$F$15)/3,0),0))+IF('Project Assumptions'!$D$16&gt;0,IF('Project Assumptions'!$D$16&lt;=3,IF(CV5='Project Assumptions'!$D$15+1,-SUM('Detailed Project Costs'!$F$13:$F$15),0),0),IF(CV5='Project Assumptions'!$D$15,-SUM('Detailed Project Costs'!$F$13:$F$15),0))</f>
        <v/>
      </c>
      <c r="CW30" s="293">
        <f>IF('Project Assumptions'!$D$16&lt;=3,0,IF(CW5&gt;'Project Assumptions'!$D$15,IF(CW5&lt;='Project Assumptions'!$D$15+3,-SUM('Detailed Project Costs'!$F$13:$F$15)/3,0),0))+IF('Project Assumptions'!$D$16&gt;0,IF('Project Assumptions'!$D$16&lt;=3,IF(CW5='Project Assumptions'!$D$15+1,-SUM('Detailed Project Costs'!$F$13:$F$15),0),0),IF(CW5='Project Assumptions'!$D$15,-SUM('Detailed Project Costs'!$F$13:$F$15),0))</f>
        <v/>
      </c>
      <c r="CX30" s="293">
        <f>IF('Project Assumptions'!$D$16&lt;=3,0,IF(CX5&gt;'Project Assumptions'!$D$15,IF(CX5&lt;='Project Assumptions'!$D$15+3,-SUM('Detailed Project Costs'!$F$13:$F$15)/3,0),0))+IF('Project Assumptions'!$D$16&gt;0,IF('Project Assumptions'!$D$16&lt;=3,IF(CX5='Project Assumptions'!$D$15+1,-SUM('Detailed Project Costs'!$F$13:$F$15),0),0),IF(CX5='Project Assumptions'!$D$15,-SUM('Detailed Project Costs'!$F$13:$F$15),0))</f>
        <v/>
      </c>
      <c r="CY30" s="293">
        <f>IF('Project Assumptions'!$D$16&lt;=3,0,IF(CY5&gt;'Project Assumptions'!$D$15,IF(CY5&lt;='Project Assumptions'!$D$15+3,-SUM('Detailed Project Costs'!$F$13:$F$15)/3,0),0))+IF('Project Assumptions'!$D$16&gt;0,IF('Project Assumptions'!$D$16&lt;=3,IF(CY5='Project Assumptions'!$D$15+1,-SUM('Detailed Project Costs'!$F$13:$F$15),0),0),IF(CY5='Project Assumptions'!$D$15,-SUM('Detailed Project Costs'!$F$13:$F$15),0))</f>
        <v/>
      </c>
      <c r="CZ30" s="293">
        <f>IF('Project Assumptions'!$D$16&lt;=3,0,IF(CZ5&gt;'Project Assumptions'!$D$15,IF(CZ5&lt;='Project Assumptions'!$D$15+3,-SUM('Detailed Project Costs'!$F$13:$F$15)/3,0),0))+IF('Project Assumptions'!$D$16&gt;0,IF('Project Assumptions'!$D$16&lt;=3,IF(CZ5='Project Assumptions'!$D$15+1,-SUM('Detailed Project Costs'!$F$13:$F$15),0),0),IF(CZ5='Project Assumptions'!$D$15,-SUM('Detailed Project Costs'!$F$13:$F$15),0))</f>
        <v/>
      </c>
      <c r="DA30" s="293">
        <f>IF('Project Assumptions'!$D$16&lt;=3,0,IF(DA5&gt;'Project Assumptions'!$D$15,IF(DA5&lt;='Project Assumptions'!$D$15+3,-SUM('Detailed Project Costs'!$F$13:$F$15)/3,0),0))+IF('Project Assumptions'!$D$16&gt;0,IF('Project Assumptions'!$D$16&lt;=3,IF(DA5='Project Assumptions'!$D$15+1,-SUM('Detailed Project Costs'!$F$13:$F$15),0),0),IF(DA5='Project Assumptions'!$D$15,-SUM('Detailed Project Costs'!$F$13:$F$15),0))</f>
        <v/>
      </c>
      <c r="DB30" s="293">
        <f>IF('Project Assumptions'!$D$16&lt;=3,0,IF(DB5&gt;'Project Assumptions'!$D$15,IF(DB5&lt;='Project Assumptions'!$D$15+3,-SUM('Detailed Project Costs'!$F$13:$F$15)/3,0),0))+IF('Project Assumptions'!$D$16&gt;0,IF('Project Assumptions'!$D$16&lt;=3,IF(DB5='Project Assumptions'!$D$15+1,-SUM('Detailed Project Costs'!$F$13:$F$15),0),0),IF(DB5='Project Assumptions'!$D$15,-SUM('Detailed Project Costs'!$F$13:$F$15),0))</f>
        <v/>
      </c>
      <c r="DC30" s="293" t="n"/>
      <c r="DD30" s="292">
        <f>SUM(F30:DB30)</f>
        <v/>
      </c>
    </row>
    <row r="31">
      <c r="A31" s="1000" t="n"/>
      <c r="B31" s="701" t="inlineStr">
        <is>
          <t xml:space="preserve">   Off-Site</t>
        </is>
      </c>
      <c r="C31" s="294" t="n"/>
      <c r="D31" s="295">
        <f>DD31</f>
        <v/>
      </c>
      <c r="E31" s="274" t="n"/>
      <c r="F31" s="273">
        <f>IF('Project Assumptions'!$D$16&lt;=3,0,IF(F5&gt;'Project Assumptions'!$D$15,IF(F5&lt;='Project Assumptions'!$D$15+3,-SUM('Detailed Project Costs'!$F$16:$F$17)/3,0),0))+IF('Project Assumptions'!$D$16&gt;0,IF('Project Assumptions'!$D$16&lt;=3,IF(F5='Project Assumptions'!$D$15+1,-SUM('Detailed Project Costs'!$F$16:$F$17),0),0),IF(F5='Project Assumptions'!$D$15,-SUM('Detailed Project Costs'!$F$16:$F$17),0))</f>
        <v/>
      </c>
      <c r="G31" s="273">
        <f>IF('Project Assumptions'!$D$16&lt;=3,0,IF(G5&gt;'Project Assumptions'!$D$15,IF(G5&lt;='Project Assumptions'!$D$15+3,-SUM('Detailed Project Costs'!$F$16:$F$17)/3,0),0))+IF('Project Assumptions'!$D$16&gt;0,IF('Project Assumptions'!$D$16&lt;=3,IF(G5='Project Assumptions'!$D$15+1,-SUM('Detailed Project Costs'!$F$16:$F$17),0),0),IF(G5='Project Assumptions'!$D$15,-SUM('Detailed Project Costs'!$F$16:$F$17),0))</f>
        <v/>
      </c>
      <c r="H31" s="273">
        <f>IF('Project Assumptions'!$D$16&lt;=3,0,IF(H5&gt;'Project Assumptions'!$D$15,IF(H5&lt;='Project Assumptions'!$D$15+3,-SUM('Detailed Project Costs'!$F$16:$F$17)/3,0),0))+IF('Project Assumptions'!$D$16&gt;0,IF('Project Assumptions'!$D$16&lt;=3,IF(H5='Project Assumptions'!$D$15+1,-SUM('Detailed Project Costs'!$F$16:$F$17),0),0),IF(H5='Project Assumptions'!$D$15,-SUM('Detailed Project Costs'!$F$16:$F$17),0))</f>
        <v/>
      </c>
      <c r="I31" s="273">
        <f>IF('Project Assumptions'!$D$16&lt;=3,0,IF(I5&gt;'Project Assumptions'!$D$15,IF(I5&lt;='Project Assumptions'!$D$15+3,-SUM('Detailed Project Costs'!$F$16:$F$17)/3,0),0))+IF('Project Assumptions'!$D$16&gt;0,IF('Project Assumptions'!$D$16&lt;=3,IF(I5='Project Assumptions'!$D$15+1,-SUM('Detailed Project Costs'!$F$16:$F$17),0),0),IF(I5='Project Assumptions'!$D$15,-SUM('Detailed Project Costs'!$F$16:$F$17),0))</f>
        <v/>
      </c>
      <c r="J31" s="273">
        <f>IF('Project Assumptions'!$D$16&lt;=3,0,IF(J5&gt;'Project Assumptions'!$D$15,IF(J5&lt;='Project Assumptions'!$D$15+3,-SUM('Detailed Project Costs'!$F$16:$F$17)/3,0),0))+IF('Project Assumptions'!$D$16&gt;0,IF('Project Assumptions'!$D$16&lt;=3,IF(J5='Project Assumptions'!$D$15+1,-SUM('Detailed Project Costs'!$F$16:$F$17),0),0),IF(J5='Project Assumptions'!$D$15,-SUM('Detailed Project Costs'!$F$16:$F$17),0))</f>
        <v/>
      </c>
      <c r="K31" s="273">
        <f>IF('Project Assumptions'!$D$16&lt;=3,0,IF(K5&gt;'Project Assumptions'!$D$15,IF(K5&lt;='Project Assumptions'!$D$15+3,-SUM('Detailed Project Costs'!$F$16:$F$17)/3,0),0))+IF('Project Assumptions'!$D$16&gt;0,IF('Project Assumptions'!$D$16&lt;=3,IF(K5='Project Assumptions'!$D$15+1,-SUM('Detailed Project Costs'!$F$16:$F$17),0),0),IF(K5='Project Assumptions'!$D$15,-SUM('Detailed Project Costs'!$F$16:$F$17),0))</f>
        <v/>
      </c>
      <c r="L31" s="273">
        <f>IF('Project Assumptions'!$D$16&lt;=3,0,IF(L5&gt;'Project Assumptions'!$D$15,IF(L5&lt;='Project Assumptions'!$D$15+3,-SUM('Detailed Project Costs'!$F$16:$F$17)/3,0),0))+IF('Project Assumptions'!$D$16&gt;0,IF('Project Assumptions'!$D$16&lt;=3,IF(L5='Project Assumptions'!$D$15+1,-SUM('Detailed Project Costs'!$F$16:$F$17),0),0),IF(L5='Project Assumptions'!$D$15,-SUM('Detailed Project Costs'!$F$16:$F$17),0))</f>
        <v/>
      </c>
      <c r="M31" s="273">
        <f>IF('Project Assumptions'!$D$16&lt;=3,0,IF(M5&gt;'Project Assumptions'!$D$15,IF(M5&lt;='Project Assumptions'!$D$15+3,-SUM('Detailed Project Costs'!$F$16:$F$17)/3,0),0))+IF('Project Assumptions'!$D$16&gt;0,IF('Project Assumptions'!$D$16&lt;=3,IF(M5='Project Assumptions'!$D$15+1,-SUM('Detailed Project Costs'!$F$16:$F$17),0),0),IF(M5='Project Assumptions'!$D$15,-SUM('Detailed Project Costs'!$F$16:$F$17),0))</f>
        <v/>
      </c>
      <c r="N31" s="273">
        <f>IF('Project Assumptions'!$D$16&lt;=3,0,IF(N5&gt;'Project Assumptions'!$D$15,IF(N5&lt;='Project Assumptions'!$D$15+3,-SUM('Detailed Project Costs'!$F$16:$F$17)/3,0),0))+IF('Project Assumptions'!$D$16&gt;0,IF('Project Assumptions'!$D$16&lt;=3,IF(N5='Project Assumptions'!$D$15+1,-SUM('Detailed Project Costs'!$F$16:$F$17),0),0),IF(N5='Project Assumptions'!$D$15,-SUM('Detailed Project Costs'!$F$16:$F$17),0))</f>
        <v/>
      </c>
      <c r="O31" s="273">
        <f>IF('Project Assumptions'!$D$16&lt;=3,0,IF(O5&gt;'Project Assumptions'!$D$15,IF(O5&lt;='Project Assumptions'!$D$15+3,-SUM('Detailed Project Costs'!$F$16:$F$17)/3,0),0))+IF('Project Assumptions'!$D$16&gt;0,IF('Project Assumptions'!$D$16&lt;=3,IF(O5='Project Assumptions'!$D$15+1,-SUM('Detailed Project Costs'!$F$16:$F$17),0),0),IF(O5='Project Assumptions'!$D$15,-SUM('Detailed Project Costs'!$F$16:$F$17),0))</f>
        <v/>
      </c>
      <c r="P31" s="273">
        <f>IF('Project Assumptions'!$D$16&lt;=3,0,IF(P5&gt;'Project Assumptions'!$D$15,IF(P5&lt;='Project Assumptions'!$D$15+3,-SUM('Detailed Project Costs'!$F$16:$F$17)/3,0),0))+IF('Project Assumptions'!$D$16&gt;0,IF('Project Assumptions'!$D$16&lt;=3,IF(P5='Project Assumptions'!$D$15+1,-SUM('Detailed Project Costs'!$F$16:$F$17),0),0),IF(P5='Project Assumptions'!$D$15,-SUM('Detailed Project Costs'!$F$16:$F$17),0))</f>
        <v/>
      </c>
      <c r="Q31" s="273">
        <f>IF('Project Assumptions'!$D$16&lt;=3,0,IF(Q5&gt;'Project Assumptions'!$D$15,IF(Q5&lt;='Project Assumptions'!$D$15+3,-SUM('Detailed Project Costs'!$F$16:$F$17)/3,0),0))+IF('Project Assumptions'!$D$16&gt;0,IF('Project Assumptions'!$D$16&lt;=3,IF(Q5='Project Assumptions'!$D$15+1,-SUM('Detailed Project Costs'!$F$16:$F$17),0),0),IF(Q5='Project Assumptions'!$D$15,-SUM('Detailed Project Costs'!$F$16:$F$17),0))</f>
        <v/>
      </c>
      <c r="R31" s="273">
        <f>IF('Project Assumptions'!$D$16&lt;=3,0,IF(R5&gt;'Project Assumptions'!$D$15,IF(R5&lt;='Project Assumptions'!$D$15+3,-SUM('Detailed Project Costs'!$F$16:$F$17)/3,0),0))+IF('Project Assumptions'!$D$16&gt;0,IF('Project Assumptions'!$D$16&lt;=3,IF(R5='Project Assumptions'!$D$15+1,-SUM('Detailed Project Costs'!$F$16:$F$17),0),0),IF(R5='Project Assumptions'!$D$15,-SUM('Detailed Project Costs'!$F$16:$F$17),0))</f>
        <v/>
      </c>
      <c r="S31" s="273">
        <f>IF('Project Assumptions'!$D$16&lt;=3,0,IF(S5&gt;'Project Assumptions'!$D$15,IF(S5&lt;='Project Assumptions'!$D$15+3,-SUM('Detailed Project Costs'!$F$16:$F$17)/3,0),0))+IF('Project Assumptions'!$D$16&gt;0,IF('Project Assumptions'!$D$16&lt;=3,IF(S5='Project Assumptions'!$D$15+1,-SUM('Detailed Project Costs'!$F$16:$F$17),0),0),IF(S5='Project Assumptions'!$D$15,-SUM('Detailed Project Costs'!$F$16:$F$17),0))</f>
        <v/>
      </c>
      <c r="T31" s="273">
        <f>IF('Project Assumptions'!$D$16&lt;=3,0,IF(T5&gt;'Project Assumptions'!$D$15,IF(T5&lt;='Project Assumptions'!$D$15+3,-SUM('Detailed Project Costs'!$F$16:$F$17)/3,0),0))+IF('Project Assumptions'!$D$16&gt;0,IF('Project Assumptions'!$D$16&lt;=3,IF(T5='Project Assumptions'!$D$15+1,-SUM('Detailed Project Costs'!$F$16:$F$17),0),0),IF(T5='Project Assumptions'!$D$15,-SUM('Detailed Project Costs'!$F$16:$F$17),0))</f>
        <v/>
      </c>
      <c r="U31" s="273">
        <f>IF('Project Assumptions'!$D$16&lt;=3,0,IF(U5&gt;'Project Assumptions'!$D$15,IF(U5&lt;='Project Assumptions'!$D$15+3,-SUM('Detailed Project Costs'!$F$16:$F$17)/3,0),0))+IF('Project Assumptions'!$D$16&gt;0,IF('Project Assumptions'!$D$16&lt;=3,IF(U5='Project Assumptions'!$D$15+1,-SUM('Detailed Project Costs'!$F$16:$F$17),0),0),IF(U5='Project Assumptions'!$D$15,-SUM('Detailed Project Costs'!$F$16:$F$17),0))</f>
        <v/>
      </c>
      <c r="V31" s="273">
        <f>IF('Project Assumptions'!$D$16&lt;=3,0,IF(V5&gt;'Project Assumptions'!$D$15,IF(V5&lt;='Project Assumptions'!$D$15+3,-SUM('Detailed Project Costs'!$F$16:$F$17)/3,0),0))+IF('Project Assumptions'!$D$16&gt;0,IF('Project Assumptions'!$D$16&lt;=3,IF(V5='Project Assumptions'!$D$15+1,-SUM('Detailed Project Costs'!$F$16:$F$17),0),0),IF(V5='Project Assumptions'!$D$15,-SUM('Detailed Project Costs'!$F$16:$F$17),0))</f>
        <v/>
      </c>
      <c r="W31" s="273">
        <f>IF('Project Assumptions'!$D$16&lt;=3,0,IF(W5&gt;'Project Assumptions'!$D$15,IF(W5&lt;='Project Assumptions'!$D$15+3,-SUM('Detailed Project Costs'!$F$16:$F$17)/3,0),0))+IF('Project Assumptions'!$D$16&gt;0,IF('Project Assumptions'!$D$16&lt;=3,IF(W5='Project Assumptions'!$D$15+1,-SUM('Detailed Project Costs'!$F$16:$F$17),0),0),IF(W5='Project Assumptions'!$D$15,-SUM('Detailed Project Costs'!$F$16:$F$17),0))</f>
        <v/>
      </c>
      <c r="X31" s="273">
        <f>IF('Project Assumptions'!$D$16&lt;=3,0,IF(X5&gt;'Project Assumptions'!$D$15,IF(X5&lt;='Project Assumptions'!$D$15+3,-SUM('Detailed Project Costs'!$F$16:$F$17)/3,0),0))+IF('Project Assumptions'!$D$16&gt;0,IF('Project Assumptions'!$D$16&lt;=3,IF(X5='Project Assumptions'!$D$15+1,-SUM('Detailed Project Costs'!$F$16:$F$17),0),0),IF(X5='Project Assumptions'!$D$15,-SUM('Detailed Project Costs'!$F$16:$F$17),0))</f>
        <v/>
      </c>
      <c r="Y31" s="273">
        <f>IF('Project Assumptions'!$D$16&lt;=3,0,IF(Y5&gt;'Project Assumptions'!$D$15,IF(Y5&lt;='Project Assumptions'!$D$15+3,-SUM('Detailed Project Costs'!$F$16:$F$17)/3,0),0))+IF('Project Assumptions'!$D$16&gt;0,IF('Project Assumptions'!$D$16&lt;=3,IF(Y5='Project Assumptions'!$D$15+1,-SUM('Detailed Project Costs'!$F$16:$F$17),0),0),IF(Y5='Project Assumptions'!$D$15,-SUM('Detailed Project Costs'!$F$16:$F$17),0))</f>
        <v/>
      </c>
      <c r="Z31" s="273">
        <f>IF('Project Assumptions'!$D$16&lt;=3,0,IF(Z5&gt;'Project Assumptions'!$D$15,IF(Z5&lt;='Project Assumptions'!$D$15+3,-SUM('Detailed Project Costs'!$F$16:$F$17)/3,0),0))+IF('Project Assumptions'!$D$16&gt;0,IF('Project Assumptions'!$D$16&lt;=3,IF(Z5='Project Assumptions'!$D$15+1,-SUM('Detailed Project Costs'!$F$16:$F$17),0),0),IF(Z5='Project Assumptions'!$D$15,-SUM('Detailed Project Costs'!$F$16:$F$17),0))</f>
        <v/>
      </c>
      <c r="AA31" s="273">
        <f>IF('Project Assumptions'!$D$16&lt;=3,0,IF(AA5&gt;'Project Assumptions'!$D$15,IF(AA5&lt;='Project Assumptions'!$D$15+3,-SUM('Detailed Project Costs'!$F$16:$F$17)/3,0),0))+IF('Project Assumptions'!$D$16&gt;0,IF('Project Assumptions'!$D$16&lt;=3,IF(AA5='Project Assumptions'!$D$15+1,-SUM('Detailed Project Costs'!$F$16:$F$17),0),0),IF(AA5='Project Assumptions'!$D$15,-SUM('Detailed Project Costs'!$F$16:$F$17),0))</f>
        <v/>
      </c>
      <c r="AB31" s="273">
        <f>IF('Project Assumptions'!$D$16&lt;=3,0,IF(AB5&gt;'Project Assumptions'!$D$15,IF(AB5&lt;='Project Assumptions'!$D$15+3,-SUM('Detailed Project Costs'!$F$16:$F$17)/3,0),0))+IF('Project Assumptions'!$D$16&gt;0,IF('Project Assumptions'!$D$16&lt;=3,IF(AB5='Project Assumptions'!$D$15+1,-SUM('Detailed Project Costs'!$F$16:$F$17),0),0),IF(AB5='Project Assumptions'!$D$15,-SUM('Detailed Project Costs'!$F$16:$F$17),0))</f>
        <v/>
      </c>
      <c r="AC31" s="273">
        <f>IF('Project Assumptions'!$D$16&lt;=3,0,IF(AC5&gt;'Project Assumptions'!$D$15,IF(AC5&lt;='Project Assumptions'!$D$15+3,-SUM('Detailed Project Costs'!$F$16:$F$17)/3,0),0))+IF('Project Assumptions'!$D$16&gt;0,IF('Project Assumptions'!$D$16&lt;=3,IF(AC5='Project Assumptions'!$D$15+1,-SUM('Detailed Project Costs'!$F$16:$F$17),0),0),IF(AC5='Project Assumptions'!$D$15,-SUM('Detailed Project Costs'!$F$16:$F$17),0))</f>
        <v/>
      </c>
      <c r="AD31" s="273">
        <f>IF('Project Assumptions'!$D$16&lt;=3,0,IF(AD5&gt;'Project Assumptions'!$D$15,IF(AD5&lt;='Project Assumptions'!$D$15+3,-SUM('Detailed Project Costs'!$F$16:$F$17)/3,0),0))+IF('Project Assumptions'!$D$16&gt;0,IF('Project Assumptions'!$D$16&lt;=3,IF(AD5='Project Assumptions'!$D$15+1,-SUM('Detailed Project Costs'!$F$16:$F$17),0),0),IF(AD5='Project Assumptions'!$D$15,-SUM('Detailed Project Costs'!$F$16:$F$17),0))</f>
        <v/>
      </c>
      <c r="AE31" s="273">
        <f>IF('Project Assumptions'!$D$16&lt;=3,0,IF(AE5&gt;'Project Assumptions'!$D$15,IF(AE5&lt;='Project Assumptions'!$D$15+3,-SUM('Detailed Project Costs'!$F$16:$F$17)/3,0),0))+IF('Project Assumptions'!$D$16&gt;0,IF('Project Assumptions'!$D$16&lt;=3,IF(AE5='Project Assumptions'!$D$15+1,-SUM('Detailed Project Costs'!$F$16:$F$17),0),0),IF(AE5='Project Assumptions'!$D$15,-SUM('Detailed Project Costs'!$F$16:$F$17),0))</f>
        <v/>
      </c>
      <c r="AF31" s="273">
        <f>IF('Project Assumptions'!$D$16&lt;=3,0,IF(AF5&gt;'Project Assumptions'!$D$15,IF(AF5&lt;='Project Assumptions'!$D$15+3,-SUM('Detailed Project Costs'!$F$16:$F$17)/3,0),0))+IF('Project Assumptions'!$D$16&gt;0,IF('Project Assumptions'!$D$16&lt;=3,IF(AF5='Project Assumptions'!$D$15+1,-SUM('Detailed Project Costs'!$F$16:$F$17),0),0),IF(AF5='Project Assumptions'!$D$15,-SUM('Detailed Project Costs'!$F$16:$F$17),0))</f>
        <v/>
      </c>
      <c r="AG31" s="273">
        <f>IF('Project Assumptions'!$D$16&lt;=3,0,IF(AG5&gt;'Project Assumptions'!$D$15,IF(AG5&lt;='Project Assumptions'!$D$15+3,-SUM('Detailed Project Costs'!$F$16:$F$17)/3,0),0))+IF('Project Assumptions'!$D$16&gt;0,IF('Project Assumptions'!$D$16&lt;=3,IF(AG5='Project Assumptions'!$D$15+1,-SUM('Detailed Project Costs'!$F$16:$F$17),0),0),IF(AG5='Project Assumptions'!$D$15,-SUM('Detailed Project Costs'!$F$16:$F$17),0))</f>
        <v/>
      </c>
      <c r="AH31" s="273">
        <f>IF('Project Assumptions'!$D$16&lt;=3,0,IF(AH5&gt;'Project Assumptions'!$D$15,IF(AH5&lt;='Project Assumptions'!$D$15+3,-SUM('Detailed Project Costs'!$F$16:$F$17)/3,0),0))+IF('Project Assumptions'!$D$16&gt;0,IF('Project Assumptions'!$D$16&lt;=3,IF(AH5='Project Assumptions'!$D$15+1,-SUM('Detailed Project Costs'!$F$16:$F$17),0),0),IF(AH5='Project Assumptions'!$D$15,-SUM('Detailed Project Costs'!$F$16:$F$17),0))</f>
        <v/>
      </c>
      <c r="AI31" s="273">
        <f>IF('Project Assumptions'!$D$16&lt;=3,0,IF(AI5&gt;'Project Assumptions'!$D$15,IF(AI5&lt;='Project Assumptions'!$D$15+3,-SUM('Detailed Project Costs'!$F$16:$F$17)/3,0),0))+IF('Project Assumptions'!$D$16&gt;0,IF('Project Assumptions'!$D$16&lt;=3,IF(AI5='Project Assumptions'!$D$15+1,-SUM('Detailed Project Costs'!$F$16:$F$17),0),0),IF(AI5='Project Assumptions'!$D$15,-SUM('Detailed Project Costs'!$F$16:$F$17),0))</f>
        <v/>
      </c>
      <c r="AJ31" s="273">
        <f>IF('Project Assumptions'!$D$16&lt;=3,0,IF(AJ5&gt;'Project Assumptions'!$D$15,IF(AJ5&lt;='Project Assumptions'!$D$15+3,-SUM('Detailed Project Costs'!$F$16:$F$17)/3,0),0))+IF('Project Assumptions'!$D$16&gt;0,IF('Project Assumptions'!$D$16&lt;=3,IF(AJ5='Project Assumptions'!$D$15+1,-SUM('Detailed Project Costs'!$F$16:$F$17),0),0),IF(AJ5='Project Assumptions'!$D$15,-SUM('Detailed Project Costs'!$F$16:$F$17),0))</f>
        <v/>
      </c>
      <c r="AK31" s="273">
        <f>IF('Project Assumptions'!$D$16&lt;=3,0,IF(AK5&gt;'Project Assumptions'!$D$15,IF(AK5&lt;='Project Assumptions'!$D$15+3,-SUM('Detailed Project Costs'!$F$16:$F$17)/3,0),0))+IF('Project Assumptions'!$D$16&gt;0,IF('Project Assumptions'!$D$16&lt;=3,IF(AK5='Project Assumptions'!$D$15+1,-SUM('Detailed Project Costs'!$F$16:$F$17),0),0),IF(AK5='Project Assumptions'!$D$15,-SUM('Detailed Project Costs'!$F$16:$F$17),0))</f>
        <v/>
      </c>
      <c r="AL31" s="273">
        <f>IF('Project Assumptions'!$D$16&lt;=3,0,IF(AL5&gt;'Project Assumptions'!$D$15,IF(AL5&lt;='Project Assumptions'!$D$15+3,-SUM('Detailed Project Costs'!$F$16:$F$17)/3,0),0))+IF('Project Assumptions'!$D$16&gt;0,IF('Project Assumptions'!$D$16&lt;=3,IF(AL5='Project Assumptions'!$D$15+1,-SUM('Detailed Project Costs'!$F$16:$F$17),0),0),IF(AL5='Project Assumptions'!$D$15,-SUM('Detailed Project Costs'!$F$16:$F$17),0))</f>
        <v/>
      </c>
      <c r="AM31" s="273">
        <f>IF('Project Assumptions'!$D$16&lt;=3,0,IF(AM5&gt;'Project Assumptions'!$D$15,IF(AM5&lt;='Project Assumptions'!$D$15+3,-SUM('Detailed Project Costs'!$F$16:$F$17)/3,0),0))+IF('Project Assumptions'!$D$16&gt;0,IF('Project Assumptions'!$D$16&lt;=3,IF(AM5='Project Assumptions'!$D$15+1,-SUM('Detailed Project Costs'!$F$16:$F$17),0),0),IF(AM5='Project Assumptions'!$D$15,-SUM('Detailed Project Costs'!$F$16:$F$17),0))</f>
        <v/>
      </c>
      <c r="AN31" s="273">
        <f>IF('Project Assumptions'!$D$16&lt;=3,0,IF(AN5&gt;'Project Assumptions'!$D$15,IF(AN5&lt;='Project Assumptions'!$D$15+3,-SUM('Detailed Project Costs'!$F$16:$F$17)/3,0),0))+IF('Project Assumptions'!$D$16&gt;0,IF('Project Assumptions'!$D$16&lt;=3,IF(AN5='Project Assumptions'!$D$15+1,-SUM('Detailed Project Costs'!$F$16:$F$17),0),0),IF(AN5='Project Assumptions'!$D$15,-SUM('Detailed Project Costs'!$F$16:$F$17),0))</f>
        <v/>
      </c>
      <c r="AO31" s="273">
        <f>IF('Project Assumptions'!$D$16&lt;=3,0,IF(AO5&gt;'Project Assumptions'!$D$15,IF(AO5&lt;='Project Assumptions'!$D$15+3,-SUM('Detailed Project Costs'!$F$16:$F$17)/3,0),0))+IF('Project Assumptions'!$D$16&gt;0,IF('Project Assumptions'!$D$16&lt;=3,IF(AO5='Project Assumptions'!$D$15+1,-SUM('Detailed Project Costs'!$F$16:$F$17),0),0),IF(AO5='Project Assumptions'!$D$15,-SUM('Detailed Project Costs'!$F$16:$F$17),0))</f>
        <v/>
      </c>
      <c r="AP31" s="273">
        <f>IF('Project Assumptions'!$D$16&lt;=3,0,IF(AP5&gt;'Project Assumptions'!$D$15,IF(AP5&lt;='Project Assumptions'!$D$15+3,-SUM('Detailed Project Costs'!$F$16:$F$17)/3,0),0))+IF('Project Assumptions'!$D$16&gt;0,IF('Project Assumptions'!$D$16&lt;=3,IF(AP5='Project Assumptions'!$D$15+1,-SUM('Detailed Project Costs'!$F$16:$F$17),0),0),IF(AP5='Project Assumptions'!$D$15,-SUM('Detailed Project Costs'!$F$16:$F$17),0))</f>
        <v/>
      </c>
      <c r="AQ31" s="273">
        <f>IF('Project Assumptions'!$D$16&lt;=3,0,IF(AQ5&gt;'Project Assumptions'!$D$15,IF(AQ5&lt;='Project Assumptions'!$D$15+3,-SUM('Detailed Project Costs'!$F$16:$F$17)/3,0),0))+IF('Project Assumptions'!$D$16&gt;0,IF('Project Assumptions'!$D$16&lt;=3,IF(AQ5='Project Assumptions'!$D$15+1,-SUM('Detailed Project Costs'!$F$16:$F$17),0),0),IF(AQ5='Project Assumptions'!$D$15,-SUM('Detailed Project Costs'!$F$16:$F$17),0))</f>
        <v/>
      </c>
      <c r="AR31" s="273">
        <f>IF('Project Assumptions'!$D$16&lt;=3,0,IF(AR5&gt;'Project Assumptions'!$D$15,IF(AR5&lt;='Project Assumptions'!$D$15+3,-SUM('Detailed Project Costs'!$F$16:$F$17)/3,0),0))+IF('Project Assumptions'!$D$16&gt;0,IF('Project Assumptions'!$D$16&lt;=3,IF(AR5='Project Assumptions'!$D$15+1,-SUM('Detailed Project Costs'!$F$16:$F$17),0),0),IF(AR5='Project Assumptions'!$D$15,-SUM('Detailed Project Costs'!$F$16:$F$17),0))</f>
        <v/>
      </c>
      <c r="AS31" s="273">
        <f>IF('Project Assumptions'!$D$16&lt;=3,0,IF(AS5&gt;'Project Assumptions'!$D$15,IF(AS5&lt;='Project Assumptions'!$D$15+3,-SUM('Detailed Project Costs'!$F$16:$F$17)/3,0),0))+IF('Project Assumptions'!$D$16&gt;0,IF('Project Assumptions'!$D$16&lt;=3,IF(AS5='Project Assumptions'!$D$15+1,-SUM('Detailed Project Costs'!$F$16:$F$17),0),0),IF(AS5='Project Assumptions'!$D$15,-SUM('Detailed Project Costs'!$F$16:$F$17),0))</f>
        <v/>
      </c>
      <c r="AT31" s="273">
        <f>IF('Project Assumptions'!$D$16&lt;=3,0,IF(AT5&gt;'Project Assumptions'!$D$15,IF(AT5&lt;='Project Assumptions'!$D$15+3,-SUM('Detailed Project Costs'!$F$16:$F$17)/3,0),0))+IF('Project Assumptions'!$D$16&gt;0,IF('Project Assumptions'!$D$16&lt;=3,IF(AT5='Project Assumptions'!$D$15+1,-SUM('Detailed Project Costs'!$F$16:$F$17),0),0),IF(AT5='Project Assumptions'!$D$15,-SUM('Detailed Project Costs'!$F$16:$F$17),0))</f>
        <v/>
      </c>
      <c r="AU31" s="273">
        <f>IF('Project Assumptions'!$D$16&lt;=3,0,IF(AU5&gt;'Project Assumptions'!$D$15,IF(AU5&lt;='Project Assumptions'!$D$15+3,-SUM('Detailed Project Costs'!$F$16:$F$17)/3,0),0))+IF('Project Assumptions'!$D$16&gt;0,IF('Project Assumptions'!$D$16&lt;=3,IF(AU5='Project Assumptions'!$D$15+1,-SUM('Detailed Project Costs'!$F$16:$F$17),0),0),IF(AU5='Project Assumptions'!$D$15,-SUM('Detailed Project Costs'!$F$16:$F$17),0))</f>
        <v/>
      </c>
      <c r="AV31" s="273">
        <f>IF('Project Assumptions'!$D$16&lt;=3,0,IF(AV5&gt;'Project Assumptions'!$D$15,IF(AV5&lt;='Project Assumptions'!$D$15+3,-SUM('Detailed Project Costs'!$F$16:$F$17)/3,0),0))+IF('Project Assumptions'!$D$16&gt;0,IF('Project Assumptions'!$D$16&lt;=3,IF(AV5='Project Assumptions'!$D$15+1,-SUM('Detailed Project Costs'!$F$16:$F$17),0),0),IF(AV5='Project Assumptions'!$D$15,-SUM('Detailed Project Costs'!$F$16:$F$17),0))</f>
        <v/>
      </c>
      <c r="AW31" s="273">
        <f>IF('Project Assumptions'!$D$16&lt;=3,0,IF(AW5&gt;'Project Assumptions'!$D$15,IF(AW5&lt;='Project Assumptions'!$D$15+3,-SUM('Detailed Project Costs'!$F$16:$F$17)/3,0),0))+IF('Project Assumptions'!$D$16&gt;0,IF('Project Assumptions'!$D$16&lt;=3,IF(AW5='Project Assumptions'!$D$15+1,-SUM('Detailed Project Costs'!$F$16:$F$17),0),0),IF(AW5='Project Assumptions'!$D$15,-SUM('Detailed Project Costs'!$F$16:$F$17),0))</f>
        <v/>
      </c>
      <c r="AX31" s="273">
        <f>IF('Project Assumptions'!$D$16&lt;=3,0,IF(AX5&gt;'Project Assumptions'!$D$15,IF(AX5&lt;='Project Assumptions'!$D$15+3,-SUM('Detailed Project Costs'!$F$16:$F$17)/3,0),0))+IF('Project Assumptions'!$D$16&gt;0,IF('Project Assumptions'!$D$16&lt;=3,IF(AX5='Project Assumptions'!$D$15+1,-SUM('Detailed Project Costs'!$F$16:$F$17),0),0),IF(AX5='Project Assumptions'!$D$15,-SUM('Detailed Project Costs'!$F$16:$F$17),0))</f>
        <v/>
      </c>
      <c r="AY31" s="273">
        <f>IF('Project Assumptions'!$D$16&lt;=3,0,IF(AY5&gt;'Project Assumptions'!$D$15,IF(AY5&lt;='Project Assumptions'!$D$15+3,-SUM('Detailed Project Costs'!$F$16:$F$17)/3,0),0))+IF('Project Assumptions'!$D$16&gt;0,IF('Project Assumptions'!$D$16&lt;=3,IF(AY5='Project Assumptions'!$D$15+1,-SUM('Detailed Project Costs'!$F$16:$F$17),0),0),IF(AY5='Project Assumptions'!$D$15,-SUM('Detailed Project Costs'!$F$16:$F$17),0))</f>
        <v/>
      </c>
      <c r="AZ31" s="273">
        <f>IF('Project Assumptions'!$D$16&lt;=3,0,IF(AZ5&gt;'Project Assumptions'!$D$15,IF(AZ5&lt;='Project Assumptions'!$D$15+3,-SUM('Detailed Project Costs'!$F$16:$F$17)/3,0),0))+IF('Project Assumptions'!$D$16&gt;0,IF('Project Assumptions'!$D$16&lt;=3,IF(AZ5='Project Assumptions'!$D$15+1,-SUM('Detailed Project Costs'!$F$16:$F$17),0),0),IF(AZ5='Project Assumptions'!$D$15,-SUM('Detailed Project Costs'!$F$16:$F$17),0))</f>
        <v/>
      </c>
      <c r="BA31" s="273">
        <f>IF('Project Assumptions'!$D$16&lt;=3,0,IF(BA5&gt;'Project Assumptions'!$D$15,IF(BA5&lt;='Project Assumptions'!$D$15+3,-SUM('Detailed Project Costs'!$F$16:$F$17)/3,0),0))+IF('Project Assumptions'!$D$16&gt;0,IF('Project Assumptions'!$D$16&lt;=3,IF(BA5='Project Assumptions'!$D$15+1,-SUM('Detailed Project Costs'!$F$16:$F$17),0),0),IF(BA5='Project Assumptions'!$D$15,-SUM('Detailed Project Costs'!$F$16:$F$17),0))</f>
        <v/>
      </c>
      <c r="BB31" s="273">
        <f>IF('Project Assumptions'!$D$16&lt;=3,0,IF(BB5&gt;'Project Assumptions'!$D$15,IF(BB5&lt;='Project Assumptions'!$D$15+3,-SUM('Detailed Project Costs'!$F$16:$F$17)/3,0),0))+IF('Project Assumptions'!$D$16&gt;0,IF('Project Assumptions'!$D$16&lt;=3,IF(BB5='Project Assumptions'!$D$15+1,-SUM('Detailed Project Costs'!$F$16:$F$17),0),0),IF(BB5='Project Assumptions'!$D$15,-SUM('Detailed Project Costs'!$F$16:$F$17),0))</f>
        <v/>
      </c>
      <c r="BC31" s="273">
        <f>IF('Project Assumptions'!$D$16&lt;=3,0,IF(BC5&gt;'Project Assumptions'!$D$15,IF(BC5&lt;='Project Assumptions'!$D$15+3,-SUM('Detailed Project Costs'!$F$16:$F$17)/3,0),0))+IF('Project Assumptions'!$D$16&gt;0,IF('Project Assumptions'!$D$16&lt;=3,IF(BC5='Project Assumptions'!$D$15+1,-SUM('Detailed Project Costs'!$F$16:$F$17),0),0),IF(BC5='Project Assumptions'!$D$15,-SUM('Detailed Project Costs'!$F$16:$F$17),0))</f>
        <v/>
      </c>
      <c r="BD31" s="273">
        <f>IF('Project Assumptions'!$D$16&lt;=3,0,IF(BD5&gt;'Project Assumptions'!$D$15,IF(BD5&lt;='Project Assumptions'!$D$15+3,-SUM('Detailed Project Costs'!$F$16:$F$17)/3,0),0))+IF('Project Assumptions'!$D$16&gt;0,IF('Project Assumptions'!$D$16&lt;=3,IF(BD5='Project Assumptions'!$D$15+1,-SUM('Detailed Project Costs'!$F$16:$F$17),0),0),IF(BD5='Project Assumptions'!$D$15,-SUM('Detailed Project Costs'!$F$16:$F$17),0))</f>
        <v/>
      </c>
      <c r="BE31" s="273">
        <f>IF('Project Assumptions'!$D$16&lt;=3,0,IF(BE5&gt;'Project Assumptions'!$D$15,IF(BE5&lt;='Project Assumptions'!$D$15+3,-SUM('Detailed Project Costs'!$F$16:$F$17)/3,0),0))+IF('Project Assumptions'!$D$16&gt;0,IF('Project Assumptions'!$D$16&lt;=3,IF(BE5='Project Assumptions'!$D$15+1,-SUM('Detailed Project Costs'!$F$16:$F$17),0),0),IF(BE5='Project Assumptions'!$D$15,-SUM('Detailed Project Costs'!$F$16:$F$17),0))</f>
        <v/>
      </c>
      <c r="BF31" s="273">
        <f>IF('Project Assumptions'!$D$16&lt;=3,0,IF(BF5&gt;'Project Assumptions'!$D$15,IF(BF5&lt;='Project Assumptions'!$D$15+3,-SUM('Detailed Project Costs'!$F$16:$F$17)/3,0),0))+IF('Project Assumptions'!$D$16&gt;0,IF('Project Assumptions'!$D$16&lt;=3,IF(BF5='Project Assumptions'!$D$15+1,-SUM('Detailed Project Costs'!$F$16:$F$17),0),0),IF(BF5='Project Assumptions'!$D$15,-SUM('Detailed Project Costs'!$F$16:$F$17),0))</f>
        <v/>
      </c>
      <c r="BG31" s="273">
        <f>IF('Project Assumptions'!$D$16&lt;=3,0,IF(BG5&gt;'Project Assumptions'!$D$15,IF(BG5&lt;='Project Assumptions'!$D$15+3,-SUM('Detailed Project Costs'!$F$16:$F$17)/3,0),0))+IF('Project Assumptions'!$D$16&gt;0,IF('Project Assumptions'!$D$16&lt;=3,IF(BG5='Project Assumptions'!$D$15+1,-SUM('Detailed Project Costs'!$F$16:$F$17),0),0),IF(BG5='Project Assumptions'!$D$15,-SUM('Detailed Project Costs'!$F$16:$F$17),0))</f>
        <v/>
      </c>
      <c r="BH31" s="273">
        <f>IF('Project Assumptions'!$D$16&lt;=3,0,IF(BH5&gt;'Project Assumptions'!$D$15,IF(BH5&lt;='Project Assumptions'!$D$15+3,-SUM('Detailed Project Costs'!$F$16:$F$17)/3,0),0))+IF('Project Assumptions'!$D$16&gt;0,IF('Project Assumptions'!$D$16&lt;=3,IF(BH5='Project Assumptions'!$D$15+1,-SUM('Detailed Project Costs'!$F$16:$F$17),0),0),IF(BH5='Project Assumptions'!$D$15,-SUM('Detailed Project Costs'!$F$16:$F$17),0))</f>
        <v/>
      </c>
      <c r="BI31" s="273">
        <f>IF('Project Assumptions'!$D$16&lt;=3,0,IF(BI5&gt;'Project Assumptions'!$D$15,IF(BI5&lt;='Project Assumptions'!$D$15+3,-SUM('Detailed Project Costs'!$F$16:$F$17)/3,0),0))+IF('Project Assumptions'!$D$16&gt;0,IF('Project Assumptions'!$D$16&lt;=3,IF(BI5='Project Assumptions'!$D$15+1,-SUM('Detailed Project Costs'!$F$16:$F$17),0),0),IF(BI5='Project Assumptions'!$D$15,-SUM('Detailed Project Costs'!$F$16:$F$17),0))</f>
        <v/>
      </c>
      <c r="BJ31" s="273">
        <f>IF('Project Assumptions'!$D$16&lt;=3,0,IF(BJ5&gt;'Project Assumptions'!$D$15,IF(BJ5&lt;='Project Assumptions'!$D$15+3,-SUM('Detailed Project Costs'!$F$16:$F$17)/3,0),0))+IF('Project Assumptions'!$D$16&gt;0,IF('Project Assumptions'!$D$16&lt;=3,IF(BJ5='Project Assumptions'!$D$15+1,-SUM('Detailed Project Costs'!$F$16:$F$17),0),0),IF(BJ5='Project Assumptions'!$D$15,-SUM('Detailed Project Costs'!$F$16:$F$17),0))</f>
        <v/>
      </c>
      <c r="BK31" s="273">
        <f>IF('Project Assumptions'!$D$16&lt;=3,0,IF(BK5&gt;'Project Assumptions'!$D$15,IF(BK5&lt;='Project Assumptions'!$D$15+3,-SUM('Detailed Project Costs'!$F$16:$F$17)/3,0),0))+IF('Project Assumptions'!$D$16&gt;0,IF('Project Assumptions'!$D$16&lt;=3,IF(BK5='Project Assumptions'!$D$15+1,-SUM('Detailed Project Costs'!$F$16:$F$17),0),0),IF(BK5='Project Assumptions'!$D$15,-SUM('Detailed Project Costs'!$F$16:$F$17),0))</f>
        <v/>
      </c>
      <c r="BL31" s="273">
        <f>IF('Project Assumptions'!$D$16&lt;=3,0,IF(BL5&gt;'Project Assumptions'!$D$15,IF(BL5&lt;='Project Assumptions'!$D$15+3,-SUM('Detailed Project Costs'!$F$16:$F$17)/3,0),0))+IF('Project Assumptions'!$D$16&gt;0,IF('Project Assumptions'!$D$16&lt;=3,IF(BL5='Project Assumptions'!$D$15+1,-SUM('Detailed Project Costs'!$F$16:$F$17),0),0),IF(BL5='Project Assumptions'!$D$15,-SUM('Detailed Project Costs'!$F$16:$F$17),0))</f>
        <v/>
      </c>
      <c r="BM31" s="273">
        <f>IF('Project Assumptions'!$D$16&lt;=3,0,IF(BM5&gt;'Project Assumptions'!$D$15,IF(BM5&lt;='Project Assumptions'!$D$15+3,-SUM('Detailed Project Costs'!$F$16:$F$17)/3,0),0))+IF('Project Assumptions'!$D$16&gt;0,IF('Project Assumptions'!$D$16&lt;=3,IF(BM5='Project Assumptions'!$D$15+1,-SUM('Detailed Project Costs'!$F$16:$F$17),0),0),IF(BM5='Project Assumptions'!$D$15,-SUM('Detailed Project Costs'!$F$16:$F$17),0))</f>
        <v/>
      </c>
      <c r="BN31" s="273">
        <f>IF('Project Assumptions'!$D$16&lt;=3,0,IF(BN5&gt;'Project Assumptions'!$D$15,IF(BN5&lt;='Project Assumptions'!$D$15+3,-SUM('Detailed Project Costs'!$F$16:$F$17)/3,0),0))+IF('Project Assumptions'!$D$16&gt;0,IF('Project Assumptions'!$D$16&lt;=3,IF(BN5='Project Assumptions'!$D$15+1,-SUM('Detailed Project Costs'!$F$16:$F$17),0),0),IF(BN5='Project Assumptions'!$D$15,-SUM('Detailed Project Costs'!$F$16:$F$17),0))</f>
        <v/>
      </c>
      <c r="BO31" s="273">
        <f>IF('Project Assumptions'!$D$16&lt;=3,0,IF(BO5&gt;'Project Assumptions'!$D$15,IF(BO5&lt;='Project Assumptions'!$D$15+3,-SUM('Detailed Project Costs'!$F$16:$F$17)/3,0),0))+IF('Project Assumptions'!$D$16&gt;0,IF('Project Assumptions'!$D$16&lt;=3,IF(BO5='Project Assumptions'!$D$15+1,-SUM('Detailed Project Costs'!$F$16:$F$17),0),0),IF(BO5='Project Assumptions'!$D$15,-SUM('Detailed Project Costs'!$F$16:$F$17),0))</f>
        <v/>
      </c>
      <c r="BP31" s="273">
        <f>IF('Project Assumptions'!$D$16&lt;=3,0,IF(BP5&gt;'Project Assumptions'!$D$15,IF(BP5&lt;='Project Assumptions'!$D$15+3,-SUM('Detailed Project Costs'!$F$16:$F$17)/3,0),0))+IF('Project Assumptions'!$D$16&gt;0,IF('Project Assumptions'!$D$16&lt;=3,IF(BP5='Project Assumptions'!$D$15+1,-SUM('Detailed Project Costs'!$F$16:$F$17),0),0),IF(BP5='Project Assumptions'!$D$15,-SUM('Detailed Project Costs'!$F$16:$F$17),0))</f>
        <v/>
      </c>
      <c r="BQ31" s="273">
        <f>IF('Project Assumptions'!$D$16&lt;=3,0,IF(BQ5&gt;'Project Assumptions'!$D$15,IF(BQ5&lt;='Project Assumptions'!$D$15+3,-SUM('Detailed Project Costs'!$F$16:$F$17)/3,0),0))+IF('Project Assumptions'!$D$16&gt;0,IF('Project Assumptions'!$D$16&lt;=3,IF(BQ5='Project Assumptions'!$D$15+1,-SUM('Detailed Project Costs'!$F$16:$F$17),0),0),IF(BQ5='Project Assumptions'!$D$15,-SUM('Detailed Project Costs'!$F$16:$F$17),0))</f>
        <v/>
      </c>
      <c r="BR31" s="273">
        <f>IF('Project Assumptions'!$D$16&lt;=3,0,IF(BR5&gt;'Project Assumptions'!$D$15,IF(BR5&lt;='Project Assumptions'!$D$15+3,-SUM('Detailed Project Costs'!$F$16:$F$17)/3,0),0))+IF('Project Assumptions'!$D$16&gt;0,IF('Project Assumptions'!$D$16&lt;=3,IF(BR5='Project Assumptions'!$D$15+1,-SUM('Detailed Project Costs'!$F$16:$F$17),0),0),IF(BR5='Project Assumptions'!$D$15,-SUM('Detailed Project Costs'!$F$16:$F$17),0))</f>
        <v/>
      </c>
      <c r="BS31" s="273">
        <f>IF('Project Assumptions'!$D$16&lt;=3,0,IF(BS5&gt;'Project Assumptions'!$D$15,IF(BS5&lt;='Project Assumptions'!$D$15+3,-SUM('Detailed Project Costs'!$F$16:$F$17)/3,0),0))+IF('Project Assumptions'!$D$16&gt;0,IF('Project Assumptions'!$D$16&lt;=3,IF(BS5='Project Assumptions'!$D$15+1,-SUM('Detailed Project Costs'!$F$16:$F$17),0),0),IF(BS5='Project Assumptions'!$D$15,-SUM('Detailed Project Costs'!$F$16:$F$17),0))</f>
        <v/>
      </c>
      <c r="BT31" s="273">
        <f>IF('Project Assumptions'!$D$16&lt;=3,0,IF(BT5&gt;'Project Assumptions'!$D$15,IF(BT5&lt;='Project Assumptions'!$D$15+3,-SUM('Detailed Project Costs'!$F$16:$F$17)/3,0),0))+IF('Project Assumptions'!$D$16&gt;0,IF('Project Assumptions'!$D$16&lt;=3,IF(BT5='Project Assumptions'!$D$15+1,-SUM('Detailed Project Costs'!$F$16:$F$17),0),0),IF(BT5='Project Assumptions'!$D$15,-SUM('Detailed Project Costs'!$F$16:$F$17),0))</f>
        <v/>
      </c>
      <c r="BU31" s="273">
        <f>IF('Project Assumptions'!$D$16&lt;=3,0,IF(BU5&gt;'Project Assumptions'!$D$15,IF(BU5&lt;='Project Assumptions'!$D$15+3,-SUM('Detailed Project Costs'!$F$16:$F$17)/3,0),0))+IF('Project Assumptions'!$D$16&gt;0,IF('Project Assumptions'!$D$16&lt;=3,IF(BU5='Project Assumptions'!$D$15+1,-SUM('Detailed Project Costs'!$F$16:$F$17),0),0),IF(BU5='Project Assumptions'!$D$15,-SUM('Detailed Project Costs'!$F$16:$F$17),0))</f>
        <v/>
      </c>
      <c r="BV31" s="273">
        <f>IF('Project Assumptions'!$D$16&lt;=3,0,IF(BV5&gt;'Project Assumptions'!$D$15,IF(BV5&lt;='Project Assumptions'!$D$15+3,-SUM('Detailed Project Costs'!$F$16:$F$17)/3,0),0))+IF('Project Assumptions'!$D$16&gt;0,IF('Project Assumptions'!$D$16&lt;=3,IF(BV5='Project Assumptions'!$D$15+1,-SUM('Detailed Project Costs'!$F$16:$F$17),0),0),IF(BV5='Project Assumptions'!$D$15,-SUM('Detailed Project Costs'!$F$16:$F$17),0))</f>
        <v/>
      </c>
      <c r="BW31" s="273">
        <f>IF('Project Assumptions'!$D$16&lt;=3,0,IF(BW5&gt;'Project Assumptions'!$D$15,IF(BW5&lt;='Project Assumptions'!$D$15+3,-SUM('Detailed Project Costs'!$F$16:$F$17)/3,0),0))+IF('Project Assumptions'!$D$16&gt;0,IF('Project Assumptions'!$D$16&lt;=3,IF(BW5='Project Assumptions'!$D$15+1,-SUM('Detailed Project Costs'!$F$16:$F$17),0),0),IF(BW5='Project Assumptions'!$D$15,-SUM('Detailed Project Costs'!$F$16:$F$17),0))</f>
        <v/>
      </c>
      <c r="BX31" s="273">
        <f>IF('Project Assumptions'!$D$16&lt;=3,0,IF(BX5&gt;'Project Assumptions'!$D$15,IF(BX5&lt;='Project Assumptions'!$D$15+3,-SUM('Detailed Project Costs'!$F$16:$F$17)/3,0),0))+IF('Project Assumptions'!$D$16&gt;0,IF('Project Assumptions'!$D$16&lt;=3,IF(BX5='Project Assumptions'!$D$15+1,-SUM('Detailed Project Costs'!$F$16:$F$17),0),0),IF(BX5='Project Assumptions'!$D$15,-SUM('Detailed Project Costs'!$F$16:$F$17),0))</f>
        <v/>
      </c>
      <c r="BY31" s="273">
        <f>IF('Project Assumptions'!$D$16&lt;=3,0,IF(BY5&gt;'Project Assumptions'!$D$15,IF(BY5&lt;='Project Assumptions'!$D$15+3,-SUM('Detailed Project Costs'!$F$16:$F$17)/3,0),0))+IF('Project Assumptions'!$D$16&gt;0,IF('Project Assumptions'!$D$16&lt;=3,IF(BY5='Project Assumptions'!$D$15+1,-SUM('Detailed Project Costs'!$F$16:$F$17),0),0),IF(BY5='Project Assumptions'!$D$15,-SUM('Detailed Project Costs'!$F$16:$F$17),0))</f>
        <v/>
      </c>
      <c r="BZ31" s="273">
        <f>IF('Project Assumptions'!$D$16&lt;=3,0,IF(BZ5&gt;'Project Assumptions'!$D$15,IF(BZ5&lt;='Project Assumptions'!$D$15+3,-SUM('Detailed Project Costs'!$F$16:$F$17)/3,0),0))+IF('Project Assumptions'!$D$16&gt;0,IF('Project Assumptions'!$D$16&lt;=3,IF(BZ5='Project Assumptions'!$D$15+1,-SUM('Detailed Project Costs'!$F$16:$F$17),0),0),IF(BZ5='Project Assumptions'!$D$15,-SUM('Detailed Project Costs'!$F$16:$F$17),0))</f>
        <v/>
      </c>
      <c r="CA31" s="273">
        <f>IF('Project Assumptions'!$D$16&lt;=3,0,IF(CA5&gt;'Project Assumptions'!$D$15,IF(CA5&lt;='Project Assumptions'!$D$15+3,-SUM('Detailed Project Costs'!$F$16:$F$17)/3,0),0))+IF('Project Assumptions'!$D$16&gt;0,IF('Project Assumptions'!$D$16&lt;=3,IF(CA5='Project Assumptions'!$D$15+1,-SUM('Detailed Project Costs'!$F$16:$F$17),0),0),IF(CA5='Project Assumptions'!$D$15,-SUM('Detailed Project Costs'!$F$16:$F$17),0))</f>
        <v/>
      </c>
      <c r="CB31" s="273">
        <f>IF('Project Assumptions'!$D$16&lt;=3,0,IF(CB5&gt;'Project Assumptions'!$D$15,IF(CB5&lt;='Project Assumptions'!$D$15+3,-SUM('Detailed Project Costs'!$F$16:$F$17)/3,0),0))+IF('Project Assumptions'!$D$16&gt;0,IF('Project Assumptions'!$D$16&lt;=3,IF(CB5='Project Assumptions'!$D$15+1,-SUM('Detailed Project Costs'!$F$16:$F$17),0),0),IF(CB5='Project Assumptions'!$D$15,-SUM('Detailed Project Costs'!$F$16:$F$17),0))</f>
        <v/>
      </c>
      <c r="CC31" s="273">
        <f>IF('Project Assumptions'!$D$16&lt;=3,0,IF(CC5&gt;'Project Assumptions'!$D$15,IF(CC5&lt;='Project Assumptions'!$D$15+3,-SUM('Detailed Project Costs'!$F$16:$F$17)/3,0),0))+IF('Project Assumptions'!$D$16&gt;0,IF('Project Assumptions'!$D$16&lt;=3,IF(CC5='Project Assumptions'!$D$15+1,-SUM('Detailed Project Costs'!$F$16:$F$17),0),0),IF(CC5='Project Assumptions'!$D$15,-SUM('Detailed Project Costs'!$F$16:$F$17),0))</f>
        <v/>
      </c>
      <c r="CD31" s="273">
        <f>IF('Project Assumptions'!$D$16&lt;=3,0,IF(CD5&gt;'Project Assumptions'!$D$15,IF(CD5&lt;='Project Assumptions'!$D$15+3,-SUM('Detailed Project Costs'!$F$16:$F$17)/3,0),0))+IF('Project Assumptions'!$D$16&gt;0,IF('Project Assumptions'!$D$16&lt;=3,IF(CD5='Project Assumptions'!$D$15+1,-SUM('Detailed Project Costs'!$F$16:$F$17),0),0),IF(CD5='Project Assumptions'!$D$15,-SUM('Detailed Project Costs'!$F$16:$F$17),0))</f>
        <v/>
      </c>
      <c r="CE31" s="273">
        <f>IF('Project Assumptions'!$D$16&lt;=3,0,IF(CE5&gt;'Project Assumptions'!$D$15,IF(CE5&lt;='Project Assumptions'!$D$15+3,-SUM('Detailed Project Costs'!$F$16:$F$17)/3,0),0))+IF('Project Assumptions'!$D$16&gt;0,IF('Project Assumptions'!$D$16&lt;=3,IF(CE5='Project Assumptions'!$D$15+1,-SUM('Detailed Project Costs'!$F$16:$F$17),0),0),IF(CE5='Project Assumptions'!$D$15,-SUM('Detailed Project Costs'!$F$16:$F$17),0))</f>
        <v/>
      </c>
      <c r="CF31" s="273">
        <f>IF('Project Assumptions'!$D$16&lt;=3,0,IF(CF5&gt;'Project Assumptions'!$D$15,IF(CF5&lt;='Project Assumptions'!$D$15+3,-SUM('Detailed Project Costs'!$F$16:$F$17)/3,0),0))+IF('Project Assumptions'!$D$16&gt;0,IF('Project Assumptions'!$D$16&lt;=3,IF(CF5='Project Assumptions'!$D$15+1,-SUM('Detailed Project Costs'!$F$16:$F$17),0),0),IF(CF5='Project Assumptions'!$D$15,-SUM('Detailed Project Costs'!$F$16:$F$17),0))</f>
        <v/>
      </c>
      <c r="CG31" s="273">
        <f>IF('Project Assumptions'!$D$16&lt;=3,0,IF(CG5&gt;'Project Assumptions'!$D$15,IF(CG5&lt;='Project Assumptions'!$D$15+3,-SUM('Detailed Project Costs'!$F$16:$F$17)/3,0),0))+IF('Project Assumptions'!$D$16&gt;0,IF('Project Assumptions'!$D$16&lt;=3,IF(CG5='Project Assumptions'!$D$15+1,-SUM('Detailed Project Costs'!$F$16:$F$17),0),0),IF(CG5='Project Assumptions'!$D$15,-SUM('Detailed Project Costs'!$F$16:$F$17),0))</f>
        <v/>
      </c>
      <c r="CH31" s="273">
        <f>IF('Project Assumptions'!$D$16&lt;=3,0,IF(CH5&gt;'Project Assumptions'!$D$15,IF(CH5&lt;='Project Assumptions'!$D$15+3,-SUM('Detailed Project Costs'!$F$16:$F$17)/3,0),0))+IF('Project Assumptions'!$D$16&gt;0,IF('Project Assumptions'!$D$16&lt;=3,IF(CH5='Project Assumptions'!$D$15+1,-SUM('Detailed Project Costs'!$F$16:$F$17),0),0),IF(CH5='Project Assumptions'!$D$15,-SUM('Detailed Project Costs'!$F$16:$F$17),0))</f>
        <v/>
      </c>
      <c r="CI31" s="273">
        <f>IF('Project Assumptions'!$D$16&lt;=3,0,IF(CI5&gt;'Project Assumptions'!$D$15,IF(CI5&lt;='Project Assumptions'!$D$15+3,-SUM('Detailed Project Costs'!$F$16:$F$17)/3,0),0))+IF('Project Assumptions'!$D$16&gt;0,IF('Project Assumptions'!$D$16&lt;=3,IF(CI5='Project Assumptions'!$D$15+1,-SUM('Detailed Project Costs'!$F$16:$F$17),0),0),IF(CI5='Project Assumptions'!$D$15,-SUM('Detailed Project Costs'!$F$16:$F$17),0))</f>
        <v/>
      </c>
      <c r="CJ31" s="273">
        <f>IF('Project Assumptions'!$D$16&lt;=3,0,IF(CJ5&gt;'Project Assumptions'!$D$15,IF(CJ5&lt;='Project Assumptions'!$D$15+3,-SUM('Detailed Project Costs'!$F$16:$F$17)/3,0),0))+IF('Project Assumptions'!$D$16&gt;0,IF('Project Assumptions'!$D$16&lt;=3,IF(CJ5='Project Assumptions'!$D$15+1,-SUM('Detailed Project Costs'!$F$16:$F$17),0),0),IF(CJ5='Project Assumptions'!$D$15,-SUM('Detailed Project Costs'!$F$16:$F$17),0))</f>
        <v/>
      </c>
      <c r="CK31" s="273">
        <f>IF('Project Assumptions'!$D$16&lt;=3,0,IF(CK5&gt;'Project Assumptions'!$D$15,IF(CK5&lt;='Project Assumptions'!$D$15+3,-SUM('Detailed Project Costs'!$F$16:$F$17)/3,0),0))+IF('Project Assumptions'!$D$16&gt;0,IF('Project Assumptions'!$D$16&lt;=3,IF(CK5='Project Assumptions'!$D$15+1,-SUM('Detailed Project Costs'!$F$16:$F$17),0),0),IF(CK5='Project Assumptions'!$D$15,-SUM('Detailed Project Costs'!$F$16:$F$17),0))</f>
        <v/>
      </c>
      <c r="CL31" s="273">
        <f>IF('Project Assumptions'!$D$16&lt;=3,0,IF(CL5&gt;'Project Assumptions'!$D$15,IF(CL5&lt;='Project Assumptions'!$D$15+3,-SUM('Detailed Project Costs'!$F$16:$F$17)/3,0),0))+IF('Project Assumptions'!$D$16&gt;0,IF('Project Assumptions'!$D$16&lt;=3,IF(CL5='Project Assumptions'!$D$15+1,-SUM('Detailed Project Costs'!$F$16:$F$17),0),0),IF(CL5='Project Assumptions'!$D$15,-SUM('Detailed Project Costs'!$F$16:$F$17),0))</f>
        <v/>
      </c>
      <c r="CM31" s="273">
        <f>IF('Project Assumptions'!$D$16&lt;=3,0,IF(CM5&gt;'Project Assumptions'!$D$15,IF(CM5&lt;='Project Assumptions'!$D$15+3,-SUM('Detailed Project Costs'!$F$16:$F$17)/3,0),0))+IF('Project Assumptions'!$D$16&gt;0,IF('Project Assumptions'!$D$16&lt;=3,IF(CM5='Project Assumptions'!$D$15+1,-SUM('Detailed Project Costs'!$F$16:$F$17),0),0),IF(CM5='Project Assumptions'!$D$15,-SUM('Detailed Project Costs'!$F$16:$F$17),0))</f>
        <v/>
      </c>
      <c r="CN31" s="273">
        <f>IF('Project Assumptions'!$D$16&lt;=3,0,IF(CN5&gt;'Project Assumptions'!$D$15,IF(CN5&lt;='Project Assumptions'!$D$15+3,-SUM('Detailed Project Costs'!$F$16:$F$17)/3,0),0))+IF('Project Assumptions'!$D$16&gt;0,IF('Project Assumptions'!$D$16&lt;=3,IF(CN5='Project Assumptions'!$D$15+1,-SUM('Detailed Project Costs'!$F$16:$F$17),0),0),IF(CN5='Project Assumptions'!$D$15,-SUM('Detailed Project Costs'!$F$16:$F$17),0))</f>
        <v/>
      </c>
      <c r="CO31" s="273">
        <f>IF('Project Assumptions'!$D$16&lt;=3,0,IF(CO5&gt;'Project Assumptions'!$D$15,IF(CO5&lt;='Project Assumptions'!$D$15+3,-SUM('Detailed Project Costs'!$F$16:$F$17)/3,0),0))+IF('Project Assumptions'!$D$16&gt;0,IF('Project Assumptions'!$D$16&lt;=3,IF(CO5='Project Assumptions'!$D$15+1,-SUM('Detailed Project Costs'!$F$16:$F$17),0),0),IF(CO5='Project Assumptions'!$D$15,-SUM('Detailed Project Costs'!$F$16:$F$17),0))</f>
        <v/>
      </c>
      <c r="CP31" s="273">
        <f>IF('Project Assumptions'!$D$16&lt;=3,0,IF(CP5&gt;'Project Assumptions'!$D$15,IF(CP5&lt;='Project Assumptions'!$D$15+3,-SUM('Detailed Project Costs'!$F$16:$F$17)/3,0),0))+IF('Project Assumptions'!$D$16&gt;0,IF('Project Assumptions'!$D$16&lt;=3,IF(CP5='Project Assumptions'!$D$15+1,-SUM('Detailed Project Costs'!$F$16:$F$17),0),0),IF(CP5='Project Assumptions'!$D$15,-SUM('Detailed Project Costs'!$F$16:$F$17),0))</f>
        <v/>
      </c>
      <c r="CQ31" s="273">
        <f>IF('Project Assumptions'!$D$16&lt;=3,0,IF(CQ5&gt;'Project Assumptions'!$D$15,IF(CQ5&lt;='Project Assumptions'!$D$15+3,-SUM('Detailed Project Costs'!$F$16:$F$17)/3,0),0))+IF('Project Assumptions'!$D$16&gt;0,IF('Project Assumptions'!$D$16&lt;=3,IF(CQ5='Project Assumptions'!$D$15+1,-SUM('Detailed Project Costs'!$F$16:$F$17),0),0),IF(CQ5='Project Assumptions'!$D$15,-SUM('Detailed Project Costs'!$F$16:$F$17),0))</f>
        <v/>
      </c>
      <c r="CR31" s="273">
        <f>IF('Project Assumptions'!$D$16&lt;=3,0,IF(CR5&gt;'Project Assumptions'!$D$15,IF(CR5&lt;='Project Assumptions'!$D$15+3,-SUM('Detailed Project Costs'!$F$16:$F$17)/3,0),0))+IF('Project Assumptions'!$D$16&gt;0,IF('Project Assumptions'!$D$16&lt;=3,IF(CR5='Project Assumptions'!$D$15+1,-SUM('Detailed Project Costs'!$F$16:$F$17),0),0),IF(CR5='Project Assumptions'!$D$15,-SUM('Detailed Project Costs'!$F$16:$F$17),0))</f>
        <v/>
      </c>
      <c r="CS31" s="273">
        <f>IF('Project Assumptions'!$D$16&lt;=3,0,IF(CS5&gt;'Project Assumptions'!$D$15,IF(CS5&lt;='Project Assumptions'!$D$15+3,-SUM('Detailed Project Costs'!$F$16:$F$17)/3,0),0))+IF('Project Assumptions'!$D$16&gt;0,IF('Project Assumptions'!$D$16&lt;=3,IF(CS5='Project Assumptions'!$D$15+1,-SUM('Detailed Project Costs'!$F$16:$F$17),0),0),IF(CS5='Project Assumptions'!$D$15,-SUM('Detailed Project Costs'!$F$16:$F$17),0))</f>
        <v/>
      </c>
      <c r="CT31" s="273">
        <f>IF('Project Assumptions'!$D$16&lt;=3,0,IF(CT5&gt;'Project Assumptions'!$D$15,IF(CT5&lt;='Project Assumptions'!$D$15+3,-SUM('Detailed Project Costs'!$F$16:$F$17)/3,0),0))+IF('Project Assumptions'!$D$16&gt;0,IF('Project Assumptions'!$D$16&lt;=3,IF(CT5='Project Assumptions'!$D$15+1,-SUM('Detailed Project Costs'!$F$16:$F$17),0),0),IF(CT5='Project Assumptions'!$D$15,-SUM('Detailed Project Costs'!$F$16:$F$17),0))</f>
        <v/>
      </c>
      <c r="CU31" s="273">
        <f>IF('Project Assumptions'!$D$16&lt;=3,0,IF(CU5&gt;'Project Assumptions'!$D$15,IF(CU5&lt;='Project Assumptions'!$D$15+3,-SUM('Detailed Project Costs'!$F$16:$F$17)/3,0),0))+IF('Project Assumptions'!$D$16&gt;0,IF('Project Assumptions'!$D$16&lt;=3,IF(CU5='Project Assumptions'!$D$15+1,-SUM('Detailed Project Costs'!$F$16:$F$17),0),0),IF(CU5='Project Assumptions'!$D$15,-SUM('Detailed Project Costs'!$F$16:$F$17),0))</f>
        <v/>
      </c>
      <c r="CV31" s="273">
        <f>IF('Project Assumptions'!$D$16&lt;=3,0,IF(CV5&gt;'Project Assumptions'!$D$15,IF(CV5&lt;='Project Assumptions'!$D$15+3,-SUM('Detailed Project Costs'!$F$16:$F$17)/3,0),0))+IF('Project Assumptions'!$D$16&gt;0,IF('Project Assumptions'!$D$16&lt;=3,IF(CV5='Project Assumptions'!$D$15+1,-SUM('Detailed Project Costs'!$F$16:$F$17),0),0),IF(CV5='Project Assumptions'!$D$15,-SUM('Detailed Project Costs'!$F$16:$F$17),0))</f>
        <v/>
      </c>
      <c r="CW31" s="273">
        <f>IF('Project Assumptions'!$D$16&lt;=3,0,IF(CW5&gt;'Project Assumptions'!$D$15,IF(CW5&lt;='Project Assumptions'!$D$15+3,-SUM('Detailed Project Costs'!$F$16:$F$17)/3,0),0))+IF('Project Assumptions'!$D$16&gt;0,IF('Project Assumptions'!$D$16&lt;=3,IF(CW5='Project Assumptions'!$D$15+1,-SUM('Detailed Project Costs'!$F$16:$F$17),0),0),IF(CW5='Project Assumptions'!$D$15,-SUM('Detailed Project Costs'!$F$16:$F$17),0))</f>
        <v/>
      </c>
      <c r="CX31" s="273">
        <f>IF('Project Assumptions'!$D$16&lt;=3,0,IF(CX5&gt;'Project Assumptions'!$D$15,IF(CX5&lt;='Project Assumptions'!$D$15+3,-SUM('Detailed Project Costs'!$F$16:$F$17)/3,0),0))+IF('Project Assumptions'!$D$16&gt;0,IF('Project Assumptions'!$D$16&lt;=3,IF(CX5='Project Assumptions'!$D$15+1,-SUM('Detailed Project Costs'!$F$16:$F$17),0),0),IF(CX5='Project Assumptions'!$D$15,-SUM('Detailed Project Costs'!$F$16:$F$17),0))</f>
        <v/>
      </c>
      <c r="CY31" s="273">
        <f>IF('Project Assumptions'!$D$16&lt;=3,0,IF(CY5&gt;'Project Assumptions'!$D$15,IF(CY5&lt;='Project Assumptions'!$D$15+3,-SUM('Detailed Project Costs'!$F$16:$F$17)/3,0),0))+IF('Project Assumptions'!$D$16&gt;0,IF('Project Assumptions'!$D$16&lt;=3,IF(CY5='Project Assumptions'!$D$15+1,-SUM('Detailed Project Costs'!$F$16:$F$17),0),0),IF(CY5='Project Assumptions'!$D$15,-SUM('Detailed Project Costs'!$F$16:$F$17),0))</f>
        <v/>
      </c>
      <c r="CZ31" s="273">
        <f>IF('Project Assumptions'!$D$16&lt;=3,0,IF(CZ5&gt;'Project Assumptions'!$D$15,IF(CZ5&lt;='Project Assumptions'!$D$15+3,-SUM('Detailed Project Costs'!$F$16:$F$17)/3,0),0))+IF('Project Assumptions'!$D$16&gt;0,IF('Project Assumptions'!$D$16&lt;=3,IF(CZ5='Project Assumptions'!$D$15+1,-SUM('Detailed Project Costs'!$F$16:$F$17),0),0),IF(CZ5='Project Assumptions'!$D$15,-SUM('Detailed Project Costs'!$F$16:$F$17),0))</f>
        <v/>
      </c>
      <c r="DA31" s="273">
        <f>IF('Project Assumptions'!$D$16&lt;=3,0,IF(DA5&gt;'Project Assumptions'!$D$15,IF(DA5&lt;='Project Assumptions'!$D$15+3,-SUM('Detailed Project Costs'!$F$16:$F$17)/3,0),0))+IF('Project Assumptions'!$D$16&gt;0,IF('Project Assumptions'!$D$16&lt;=3,IF(DA5='Project Assumptions'!$D$15+1,-SUM('Detailed Project Costs'!$F$16:$F$17),0),0),IF(DA5='Project Assumptions'!$D$15,-SUM('Detailed Project Costs'!$F$16:$F$17),0))</f>
        <v/>
      </c>
      <c r="DB31" s="273">
        <f>IF('Project Assumptions'!$D$16&lt;=3,0,IF(DB5&gt;'Project Assumptions'!$D$15,IF(DB5&lt;='Project Assumptions'!$D$15+3,-SUM('Detailed Project Costs'!$F$16:$F$17)/3,0),0))+IF('Project Assumptions'!$D$16&gt;0,IF('Project Assumptions'!$D$16&lt;=3,IF(DB5='Project Assumptions'!$D$15+1,-SUM('Detailed Project Costs'!$F$16:$F$17),0),0),IF(DB5='Project Assumptions'!$D$15,-SUM('Detailed Project Costs'!$F$16:$F$17),0))</f>
        <v/>
      </c>
      <c r="DC31" s="273" t="n"/>
      <c r="DD31" s="295">
        <f>SUM(F31:DB31)</f>
        <v/>
      </c>
    </row>
    <row r="32">
      <c r="A32" s="1005" t="n"/>
      <c r="B32" s="296" t="inlineStr">
        <is>
          <t xml:space="preserve">   Landscaping and Irrigation</t>
        </is>
      </c>
      <c r="C32" s="337" t="n"/>
      <c r="D32" s="297">
        <f>DD32</f>
        <v/>
      </c>
      <c r="E32" s="276" t="n"/>
      <c r="F32" s="890">
        <f>+IF(F5='Project Assumptions'!$D$15+'Project Assumptions'!$D$16,-SUM('Detailed Project Costs'!$F$18:$F$19),0)</f>
        <v/>
      </c>
      <c r="G32" s="890">
        <f>+IF(G5='Project Assumptions'!$D$15+'Project Assumptions'!$D$16,-SUM('Detailed Project Costs'!$F$18:$F$19),0)</f>
        <v/>
      </c>
      <c r="H32" s="890">
        <f>+IF(H5='Project Assumptions'!$D$15+'Project Assumptions'!$D$16,-SUM('Detailed Project Costs'!$F$18:$F$19),0)</f>
        <v/>
      </c>
      <c r="I32" s="890">
        <f>+IF(I5='Project Assumptions'!$D$15+'Project Assumptions'!$D$16,-SUM('Detailed Project Costs'!$F$18:$F$19),0)</f>
        <v/>
      </c>
      <c r="J32" s="890">
        <f>+IF(J5='Project Assumptions'!$D$15+'Project Assumptions'!$D$16,-SUM('Detailed Project Costs'!$F$18:$F$19),0)</f>
        <v/>
      </c>
      <c r="K32" s="890">
        <f>+IF(K5='Project Assumptions'!$D$15+'Project Assumptions'!$D$16,-SUM('Detailed Project Costs'!$F$18:$F$19),0)</f>
        <v/>
      </c>
      <c r="L32" s="890">
        <f>+IF(L5='Project Assumptions'!$D$15+'Project Assumptions'!$D$16,-SUM('Detailed Project Costs'!$F$18:$F$19),0)</f>
        <v/>
      </c>
      <c r="M32" s="890">
        <f>+IF(M5='Project Assumptions'!$D$15+'Project Assumptions'!$D$16,-SUM('Detailed Project Costs'!$F$18:$F$19),0)</f>
        <v/>
      </c>
      <c r="N32" s="890">
        <f>+IF(N5='Project Assumptions'!$D$15+'Project Assumptions'!$D$16,-SUM('Detailed Project Costs'!$F$18:$F$19),0)</f>
        <v/>
      </c>
      <c r="O32" s="890">
        <f>+IF(O5='Project Assumptions'!$D$15+'Project Assumptions'!$D$16,-SUM('Detailed Project Costs'!$F$18:$F$19),0)</f>
        <v/>
      </c>
      <c r="P32" s="890">
        <f>+IF(P5='Project Assumptions'!$D$15+'Project Assumptions'!$D$16,-SUM('Detailed Project Costs'!$F$18:$F$19),0)</f>
        <v/>
      </c>
      <c r="Q32" s="890">
        <f>+IF(Q5='Project Assumptions'!$D$15+'Project Assumptions'!$D$16,-SUM('Detailed Project Costs'!$F$18:$F$19),0)</f>
        <v/>
      </c>
      <c r="R32" s="890">
        <f>+IF(R5='Project Assumptions'!$D$15+'Project Assumptions'!$D$16,-SUM('Detailed Project Costs'!$F$18:$F$19),0)</f>
        <v/>
      </c>
      <c r="S32" s="890">
        <f>+IF(S5='Project Assumptions'!$D$15+'Project Assumptions'!$D$16,-SUM('Detailed Project Costs'!$F$18:$F$19),0)</f>
        <v/>
      </c>
      <c r="T32" s="890">
        <f>+IF(T5='Project Assumptions'!$D$15+'Project Assumptions'!$D$16,-SUM('Detailed Project Costs'!$F$18:$F$19),0)</f>
        <v/>
      </c>
      <c r="U32" s="890">
        <f>+IF(U5='Project Assumptions'!$D$15+'Project Assumptions'!$D$16,-SUM('Detailed Project Costs'!$F$18:$F$19),0)</f>
        <v/>
      </c>
      <c r="V32" s="890">
        <f>+IF(V5='Project Assumptions'!$D$15+'Project Assumptions'!$D$16,-SUM('Detailed Project Costs'!$F$18:$F$19),0)</f>
        <v/>
      </c>
      <c r="W32" s="890">
        <f>+IF(W5='Project Assumptions'!$D$15+'Project Assumptions'!$D$16,-SUM('Detailed Project Costs'!$F$18:$F$19),0)</f>
        <v/>
      </c>
      <c r="X32" s="890">
        <f>+IF(X5='Project Assumptions'!$D$15+'Project Assumptions'!$D$16,-SUM('Detailed Project Costs'!$F$18:$F$19),0)</f>
        <v/>
      </c>
      <c r="Y32" s="890">
        <f>+IF(Y5='Project Assumptions'!$D$15+'Project Assumptions'!$D$16,-SUM('Detailed Project Costs'!$F$18:$F$19),0)</f>
        <v/>
      </c>
      <c r="Z32" s="890">
        <f>+IF(Z5='Project Assumptions'!$D$15+'Project Assumptions'!$D$16,-SUM('Detailed Project Costs'!$F$18:$F$19),0)</f>
        <v/>
      </c>
      <c r="AA32" s="890">
        <f>+IF(AA5='Project Assumptions'!$D$15+'Project Assumptions'!$D$16,-SUM('Detailed Project Costs'!$F$18:$F$19),0)</f>
        <v/>
      </c>
      <c r="AB32" s="890">
        <f>+IF(AB5='Project Assumptions'!$D$15+'Project Assumptions'!$D$16,-SUM('Detailed Project Costs'!$F$18:$F$19),0)</f>
        <v/>
      </c>
      <c r="AC32" s="890">
        <f>+IF(AC5='Project Assumptions'!$D$15+'Project Assumptions'!$D$16,-SUM('Detailed Project Costs'!$F$18:$F$19),0)</f>
        <v/>
      </c>
      <c r="AD32" s="890">
        <f>+IF(AD5='Project Assumptions'!$D$15+'Project Assumptions'!$D$16,-SUM('Detailed Project Costs'!$F$18:$F$19),0)</f>
        <v/>
      </c>
      <c r="AE32" s="890">
        <f>+IF(AE5='Project Assumptions'!$D$15+'Project Assumptions'!$D$16,-SUM('Detailed Project Costs'!$F$18:$F$19),0)</f>
        <v/>
      </c>
      <c r="AF32" s="890">
        <f>+IF(AF5='Project Assumptions'!$D$15+'Project Assumptions'!$D$16,-SUM('Detailed Project Costs'!$F$18:$F$19),0)</f>
        <v/>
      </c>
      <c r="AG32" s="890">
        <f>+IF(AG5='Project Assumptions'!$D$15+'Project Assumptions'!$D$16,-SUM('Detailed Project Costs'!$F$18:$F$19),0)</f>
        <v/>
      </c>
      <c r="AH32" s="890">
        <f>+IF(AH5='Project Assumptions'!$D$15+'Project Assumptions'!$D$16,-SUM('Detailed Project Costs'!$F$18:$F$19),0)</f>
        <v/>
      </c>
      <c r="AI32" s="890">
        <f>+IF(AI5='Project Assumptions'!$D$15+'Project Assumptions'!$D$16,-SUM('Detailed Project Costs'!$F$18:$F$19),0)</f>
        <v/>
      </c>
      <c r="AJ32" s="890">
        <f>+IF(AJ5='Project Assumptions'!$D$15+'Project Assumptions'!$D$16,-SUM('Detailed Project Costs'!$F$18:$F$19),0)</f>
        <v/>
      </c>
      <c r="AK32" s="890">
        <f>+IF(AK5='Project Assumptions'!$D$15+'Project Assumptions'!$D$16,-SUM('Detailed Project Costs'!$F$18:$F$19),0)</f>
        <v/>
      </c>
      <c r="AL32" s="890">
        <f>+IF(AL5='Project Assumptions'!$D$15+'Project Assumptions'!$D$16,-SUM('Detailed Project Costs'!$F$18:$F$19),0)</f>
        <v/>
      </c>
      <c r="AM32" s="890">
        <f>+IF(AM5='Project Assumptions'!$D$15+'Project Assumptions'!$D$16,-SUM('Detailed Project Costs'!$F$18:$F$19),0)</f>
        <v/>
      </c>
      <c r="AN32" s="890">
        <f>+IF(AN5='Project Assumptions'!$D$15+'Project Assumptions'!$D$16,-SUM('Detailed Project Costs'!$F$18:$F$19),0)</f>
        <v/>
      </c>
      <c r="AO32" s="890">
        <f>+IF(AO5='Project Assumptions'!$D$15+'Project Assumptions'!$D$16,-SUM('Detailed Project Costs'!$F$18:$F$19),0)</f>
        <v/>
      </c>
      <c r="AP32" s="890">
        <f>+IF(AP5='Project Assumptions'!$D$15+'Project Assumptions'!$D$16,-SUM('Detailed Project Costs'!$F$18:$F$19),0)</f>
        <v/>
      </c>
      <c r="AQ32" s="890">
        <f>+IF(AQ5='Project Assumptions'!$D$15+'Project Assumptions'!$D$16,-SUM('Detailed Project Costs'!$F$18:$F$19),0)</f>
        <v/>
      </c>
      <c r="AR32" s="890">
        <f>+IF(AR5='Project Assumptions'!$D$15+'Project Assumptions'!$D$16,-SUM('Detailed Project Costs'!$F$18:$F$19),0)</f>
        <v/>
      </c>
      <c r="AS32" s="890">
        <f>+IF(AS5='Project Assumptions'!$D$15+'Project Assumptions'!$D$16,-SUM('Detailed Project Costs'!$F$18:$F$19),0)</f>
        <v/>
      </c>
      <c r="AT32" s="890">
        <f>+IF(AT5='Project Assumptions'!$D$15+'Project Assumptions'!$D$16,-SUM('Detailed Project Costs'!$F$18:$F$19),0)</f>
        <v/>
      </c>
      <c r="AU32" s="890">
        <f>+IF(AU5='Project Assumptions'!$D$15+'Project Assumptions'!$D$16,-SUM('Detailed Project Costs'!$F$18:$F$19),0)</f>
        <v/>
      </c>
      <c r="AV32" s="890">
        <f>+IF(AV5='Project Assumptions'!$D$15+'Project Assumptions'!$D$16,-SUM('Detailed Project Costs'!$F$18:$F$19),0)</f>
        <v/>
      </c>
      <c r="AW32" s="890">
        <f>+IF(AW5='Project Assumptions'!$D$15+'Project Assumptions'!$D$16,-SUM('Detailed Project Costs'!$F$18:$F$19),0)</f>
        <v/>
      </c>
      <c r="AX32" s="890">
        <f>+IF(AX5='Project Assumptions'!$D$15+'Project Assumptions'!$D$16,-SUM('Detailed Project Costs'!$F$18:$F$19),0)</f>
        <v/>
      </c>
      <c r="AY32" s="890">
        <f>+IF(AY5='Project Assumptions'!$D$15+'Project Assumptions'!$D$16,-SUM('Detailed Project Costs'!$F$18:$F$19),0)</f>
        <v/>
      </c>
      <c r="AZ32" s="890">
        <f>+IF(AZ5='Project Assumptions'!$D$15+'Project Assumptions'!$D$16,-SUM('Detailed Project Costs'!$F$18:$F$19),0)</f>
        <v/>
      </c>
      <c r="BA32" s="890">
        <f>+IF(BA5='Project Assumptions'!$D$15+'Project Assumptions'!$D$16,-SUM('Detailed Project Costs'!$F$18:$F$19),0)</f>
        <v/>
      </c>
      <c r="BB32" s="890">
        <f>+IF(BB5='Project Assumptions'!$D$15+'Project Assumptions'!$D$16,-SUM('Detailed Project Costs'!$F$18:$F$19),0)</f>
        <v/>
      </c>
      <c r="BC32" s="890">
        <f>+IF(BC5='Project Assumptions'!$D$15+'Project Assumptions'!$D$16,-SUM('Detailed Project Costs'!$F$18:$F$19),0)</f>
        <v/>
      </c>
      <c r="BD32" s="890">
        <f>+IF(BD5='Project Assumptions'!$D$15+'Project Assumptions'!$D$16,-SUM('Detailed Project Costs'!$F$18:$F$19),0)</f>
        <v/>
      </c>
      <c r="BE32" s="890">
        <f>+IF(BE5='Project Assumptions'!$D$15+'Project Assumptions'!$D$16,-SUM('Detailed Project Costs'!$F$18:$F$19),0)</f>
        <v/>
      </c>
      <c r="BF32" s="890">
        <f>+IF(BF5='Project Assumptions'!$D$15+'Project Assumptions'!$D$16,-SUM('Detailed Project Costs'!$F$18:$F$19),0)</f>
        <v/>
      </c>
      <c r="BG32" s="890">
        <f>+IF(BG5='Project Assumptions'!$D$15+'Project Assumptions'!$D$16,-SUM('Detailed Project Costs'!$F$18:$F$19),0)</f>
        <v/>
      </c>
      <c r="BH32" s="890">
        <f>+IF(BH5='Project Assumptions'!$D$15+'Project Assumptions'!$D$16,-SUM('Detailed Project Costs'!$F$18:$F$19),0)</f>
        <v/>
      </c>
      <c r="BI32" s="890">
        <f>+IF(BI5='Project Assumptions'!$D$15+'Project Assumptions'!$D$16,-SUM('Detailed Project Costs'!$F$18:$F$19),0)</f>
        <v/>
      </c>
      <c r="BJ32" s="890">
        <f>+IF(BJ5='Project Assumptions'!$D$15+'Project Assumptions'!$D$16,-SUM('Detailed Project Costs'!$F$18:$F$19),0)</f>
        <v/>
      </c>
      <c r="BK32" s="890">
        <f>+IF(BK5='Project Assumptions'!$D$15+'Project Assumptions'!$D$16,-SUM('Detailed Project Costs'!$F$18:$F$19),0)</f>
        <v/>
      </c>
      <c r="BL32" s="890">
        <f>+IF(BL5='Project Assumptions'!$D$15+'Project Assumptions'!$D$16,-SUM('Detailed Project Costs'!$F$18:$F$19),0)</f>
        <v/>
      </c>
      <c r="BM32" s="890">
        <f>+IF(BM5='Project Assumptions'!$D$15+'Project Assumptions'!$D$16,-SUM('Detailed Project Costs'!$F$18:$F$19),0)</f>
        <v/>
      </c>
      <c r="BN32" s="890">
        <f>+IF(BN5='Project Assumptions'!$D$15+'Project Assumptions'!$D$16,-SUM('Detailed Project Costs'!$F$18:$F$19),0)</f>
        <v/>
      </c>
      <c r="BO32" s="890">
        <f>+IF(BO5='Project Assumptions'!$D$15+'Project Assumptions'!$D$16,-SUM('Detailed Project Costs'!$F$18:$F$19),0)</f>
        <v/>
      </c>
      <c r="BP32" s="890">
        <f>+IF(BP5='Project Assumptions'!$D$15+'Project Assumptions'!$D$16,-SUM('Detailed Project Costs'!$F$18:$F$19),0)</f>
        <v/>
      </c>
      <c r="BQ32" s="890">
        <f>+IF(BQ5='Project Assumptions'!$D$15+'Project Assumptions'!$D$16,-SUM('Detailed Project Costs'!$F$18:$F$19),0)</f>
        <v/>
      </c>
      <c r="BR32" s="890">
        <f>+IF(BR5='Project Assumptions'!$D$15+'Project Assumptions'!$D$16,-SUM('Detailed Project Costs'!$F$18:$F$19),0)</f>
        <v/>
      </c>
      <c r="BS32" s="890">
        <f>+IF(BS5='Project Assumptions'!$D$15+'Project Assumptions'!$D$16,-SUM('Detailed Project Costs'!$F$18:$F$19),0)</f>
        <v/>
      </c>
      <c r="BT32" s="890">
        <f>+IF(BT5='Project Assumptions'!$D$15+'Project Assumptions'!$D$16,-SUM('Detailed Project Costs'!$F$18:$F$19),0)</f>
        <v/>
      </c>
      <c r="BU32" s="890">
        <f>+IF(BU5='Project Assumptions'!$D$15+'Project Assumptions'!$D$16,-SUM('Detailed Project Costs'!$F$18:$F$19),0)</f>
        <v/>
      </c>
      <c r="BV32" s="890">
        <f>+IF(BV5='Project Assumptions'!$D$15+'Project Assumptions'!$D$16,-SUM('Detailed Project Costs'!$F$18:$F$19),0)</f>
        <v/>
      </c>
      <c r="BW32" s="890">
        <f>+IF(BW5='Project Assumptions'!$D$15+'Project Assumptions'!$D$16,-SUM('Detailed Project Costs'!$F$18:$F$19),0)</f>
        <v/>
      </c>
      <c r="BX32" s="890">
        <f>+IF(BX5='Project Assumptions'!$D$15+'Project Assumptions'!$D$16,-SUM('Detailed Project Costs'!$F$18:$F$19),0)</f>
        <v/>
      </c>
      <c r="BY32" s="890">
        <f>+IF(BY5='Project Assumptions'!$D$15+'Project Assumptions'!$D$16,-SUM('Detailed Project Costs'!$F$18:$F$19),0)</f>
        <v/>
      </c>
      <c r="BZ32" s="890">
        <f>+IF(BZ5='Project Assumptions'!$D$15+'Project Assumptions'!$D$16,-SUM('Detailed Project Costs'!$F$18:$F$19),0)</f>
        <v/>
      </c>
      <c r="CA32" s="890">
        <f>+IF(CA5='Project Assumptions'!$D$15+'Project Assumptions'!$D$16,-SUM('Detailed Project Costs'!$F$18:$F$19),0)</f>
        <v/>
      </c>
      <c r="CB32" s="890">
        <f>+IF(CB5='Project Assumptions'!$D$15+'Project Assumptions'!$D$16,-SUM('Detailed Project Costs'!$F$18:$F$19),0)</f>
        <v/>
      </c>
      <c r="CC32" s="890">
        <f>+IF(CC5='Project Assumptions'!$D$15+'Project Assumptions'!$D$16,-SUM('Detailed Project Costs'!$F$18:$F$19),0)</f>
        <v/>
      </c>
      <c r="CD32" s="890">
        <f>+IF(CD5='Project Assumptions'!$D$15+'Project Assumptions'!$D$16,-SUM('Detailed Project Costs'!$F$18:$F$19),0)</f>
        <v/>
      </c>
      <c r="CE32" s="890">
        <f>+IF(CE5='Project Assumptions'!$D$15+'Project Assumptions'!$D$16,-SUM('Detailed Project Costs'!$F$18:$F$19),0)</f>
        <v/>
      </c>
      <c r="CF32" s="890">
        <f>+IF(CF5='Project Assumptions'!$D$15+'Project Assumptions'!$D$16,-SUM('Detailed Project Costs'!$F$18:$F$19),0)</f>
        <v/>
      </c>
      <c r="CG32" s="890">
        <f>+IF(CG5='Project Assumptions'!$D$15+'Project Assumptions'!$D$16,-SUM('Detailed Project Costs'!$F$18:$F$19),0)</f>
        <v/>
      </c>
      <c r="CH32" s="890">
        <f>+IF(CH5='Project Assumptions'!$D$15+'Project Assumptions'!$D$16,-SUM('Detailed Project Costs'!$F$18:$F$19),0)</f>
        <v/>
      </c>
      <c r="CI32" s="890">
        <f>+IF(CI5='Project Assumptions'!$D$15+'Project Assumptions'!$D$16,-SUM('Detailed Project Costs'!$F$18:$F$19),0)</f>
        <v/>
      </c>
      <c r="CJ32" s="890">
        <f>+IF(CJ5='Project Assumptions'!$D$15+'Project Assumptions'!$D$16,-SUM('Detailed Project Costs'!$F$18:$F$19),0)</f>
        <v/>
      </c>
      <c r="CK32" s="890">
        <f>+IF(CK5='Project Assumptions'!$D$15+'Project Assumptions'!$D$16,-SUM('Detailed Project Costs'!$F$18:$F$19),0)</f>
        <v/>
      </c>
      <c r="CL32" s="890">
        <f>+IF(CL5='Project Assumptions'!$D$15+'Project Assumptions'!$D$16,-SUM('Detailed Project Costs'!$F$18:$F$19),0)</f>
        <v/>
      </c>
      <c r="CM32" s="890">
        <f>+IF(CM5='Project Assumptions'!$D$15+'Project Assumptions'!$D$16,-SUM('Detailed Project Costs'!$F$18:$F$19),0)</f>
        <v/>
      </c>
      <c r="CN32" s="890">
        <f>+IF(CN5='Project Assumptions'!$D$15+'Project Assumptions'!$D$16,-SUM('Detailed Project Costs'!$F$18:$F$19),0)</f>
        <v/>
      </c>
      <c r="CO32" s="890">
        <f>+IF(CO5='Project Assumptions'!$D$15+'Project Assumptions'!$D$16,-SUM('Detailed Project Costs'!$F$18:$F$19),0)</f>
        <v/>
      </c>
      <c r="CP32" s="890">
        <f>+IF(CP5='Project Assumptions'!$D$15+'Project Assumptions'!$D$16,-SUM('Detailed Project Costs'!$F$18:$F$19),0)</f>
        <v/>
      </c>
      <c r="CQ32" s="890">
        <f>+IF(CQ5='Project Assumptions'!$D$15+'Project Assumptions'!$D$16,-SUM('Detailed Project Costs'!$F$18:$F$19),0)</f>
        <v/>
      </c>
      <c r="CR32" s="890">
        <f>+IF(CR5='Project Assumptions'!$D$15+'Project Assumptions'!$D$16,-SUM('Detailed Project Costs'!$F$18:$F$19),0)</f>
        <v/>
      </c>
      <c r="CS32" s="890">
        <f>+IF(CS5='Project Assumptions'!$D$15+'Project Assumptions'!$D$16,-SUM('Detailed Project Costs'!$F$18:$F$19),0)</f>
        <v/>
      </c>
      <c r="CT32" s="890">
        <f>+IF(CT5='Project Assumptions'!$D$15+'Project Assumptions'!$D$16,-SUM('Detailed Project Costs'!$F$18:$F$19),0)</f>
        <v/>
      </c>
      <c r="CU32" s="890">
        <f>+IF(CU5='Project Assumptions'!$D$15+'Project Assumptions'!$D$16,-SUM('Detailed Project Costs'!$F$18:$F$19),0)</f>
        <v/>
      </c>
      <c r="CV32" s="890">
        <f>+IF(CV5='Project Assumptions'!$D$15+'Project Assumptions'!$D$16,-SUM('Detailed Project Costs'!$F$18:$F$19),0)</f>
        <v/>
      </c>
      <c r="CW32" s="890">
        <f>+IF(CW5='Project Assumptions'!$D$15+'Project Assumptions'!$D$16,-SUM('Detailed Project Costs'!$F$18:$F$19),0)</f>
        <v/>
      </c>
      <c r="CX32" s="890">
        <f>+IF(CX5='Project Assumptions'!$D$15+'Project Assumptions'!$D$16,-SUM('Detailed Project Costs'!$F$18:$F$19),0)</f>
        <v/>
      </c>
      <c r="CY32" s="890">
        <f>+IF(CY5='Project Assumptions'!$D$15+'Project Assumptions'!$D$16,-SUM('Detailed Project Costs'!$F$18:$F$19),0)</f>
        <v/>
      </c>
      <c r="CZ32" s="890">
        <f>+IF(CZ5='Project Assumptions'!$D$15+'Project Assumptions'!$D$16,-SUM('Detailed Project Costs'!$F$18:$F$19),0)</f>
        <v/>
      </c>
      <c r="DA32" s="890">
        <f>+IF(DA5='Project Assumptions'!$D$15+'Project Assumptions'!$D$16,-SUM('Detailed Project Costs'!$F$18:$F$19),0)</f>
        <v/>
      </c>
      <c r="DB32" s="890">
        <f>+IF(DB5='Project Assumptions'!$D$15+'Project Assumptions'!$D$16,-SUM('Detailed Project Costs'!$F$18:$F$19),0)</f>
        <v/>
      </c>
      <c r="DC32" s="890" t="n"/>
      <c r="DD32" s="297">
        <f>SUM(F32:DB32)</f>
        <v/>
      </c>
    </row>
    <row r="33">
      <c r="A33" s="699" t="inlineStr">
        <is>
          <t>Building Shell</t>
        </is>
      </c>
      <c r="B33" s="791" t="inlineStr">
        <is>
          <t xml:space="preserve">   Building Shell</t>
        </is>
      </c>
      <c r="C33" s="700" t="n"/>
      <c r="D33" s="292">
        <f>DD33</f>
        <v/>
      </c>
      <c r="E33" s="641" t="n"/>
      <c r="F33" s="293">
        <f>IF(F5&gt;'Project Assumptions'!$D$15,IF(F5&lt;='Project Assumptions'!$D$15+'Project Assumptions'!$D$16,-SUM('Detailed Project Costs'!$F$20:$F$22)/'Project Assumptions'!$D$16,0),0)+IF('Project Assumptions'!$D$16=0,IF(F5='Project Assumptions'!$D$15,-SUM('Detailed Project Costs'!$F$20:$F$22),0),0)</f>
        <v/>
      </c>
      <c r="G33" s="293">
        <f>IF(G5&gt;'Project Assumptions'!$D$15,IF(G5&lt;='Project Assumptions'!$D$15+'Project Assumptions'!$D$16,-SUM('Detailed Project Costs'!$F$20:$F$22)/'Project Assumptions'!$D$16,0),0)+IF('Project Assumptions'!$D$16=0,IF(G5='Project Assumptions'!$D$15,-SUM('Detailed Project Costs'!$F$20:$F$22),0),0)</f>
        <v/>
      </c>
      <c r="H33" s="293">
        <f>IF(H5&gt;'Project Assumptions'!$D$15,IF(H5&lt;='Project Assumptions'!$D$15+'Project Assumptions'!$D$16,-SUM('Detailed Project Costs'!$F$20:$F$22)/'Project Assumptions'!$D$16,0),0)+IF('Project Assumptions'!$D$16=0,IF(H5='Project Assumptions'!$D$15,-SUM('Detailed Project Costs'!$F$20:$F$22),0),0)</f>
        <v/>
      </c>
      <c r="I33" s="293">
        <f>IF(I5&gt;'Project Assumptions'!$D$15,IF(I5&lt;='Project Assumptions'!$D$15+'Project Assumptions'!$D$16,-SUM('Detailed Project Costs'!$F$20:$F$22)/'Project Assumptions'!$D$16,0),0)+IF('Project Assumptions'!$D$16=0,IF(I5='Project Assumptions'!$D$15,-SUM('Detailed Project Costs'!$F$20:$F$22),0),0)</f>
        <v/>
      </c>
      <c r="J33" s="293">
        <f>IF(J5&gt;'Project Assumptions'!$D$15,IF(J5&lt;='Project Assumptions'!$D$15+'Project Assumptions'!$D$16,-SUM('Detailed Project Costs'!$F$20:$F$22)/'Project Assumptions'!$D$16,0),0)+IF('Project Assumptions'!$D$16=0,IF(J5='Project Assumptions'!$D$15,-SUM('Detailed Project Costs'!$F$20:$F$22),0),0)</f>
        <v/>
      </c>
      <c r="K33" s="293">
        <f>IF(K5&gt;'Project Assumptions'!$D$15,IF(K5&lt;='Project Assumptions'!$D$15+'Project Assumptions'!$D$16,-SUM('Detailed Project Costs'!$F$20:$F$22)/'Project Assumptions'!$D$16,0),0)+IF('Project Assumptions'!$D$16=0,IF(K5='Project Assumptions'!$D$15,-SUM('Detailed Project Costs'!$F$20:$F$22),0),0)</f>
        <v/>
      </c>
      <c r="L33" s="293">
        <f>IF(L5&gt;'Project Assumptions'!$D$15,IF(L5&lt;='Project Assumptions'!$D$15+'Project Assumptions'!$D$16,-SUM('Detailed Project Costs'!$F$20:$F$22)/'Project Assumptions'!$D$16,0),0)+IF('Project Assumptions'!$D$16=0,IF(L5='Project Assumptions'!$D$15,-SUM('Detailed Project Costs'!$F$20:$F$22),0),0)</f>
        <v/>
      </c>
      <c r="M33" s="293">
        <f>IF(M5&gt;'Project Assumptions'!$D$15,IF(M5&lt;='Project Assumptions'!$D$15+'Project Assumptions'!$D$16,-SUM('Detailed Project Costs'!$F$20:$F$22)/'Project Assumptions'!$D$16,0),0)+IF('Project Assumptions'!$D$16=0,IF(M5='Project Assumptions'!$D$15,-SUM('Detailed Project Costs'!$F$20:$F$22),0),0)</f>
        <v/>
      </c>
      <c r="N33" s="293">
        <f>IF(N5&gt;'Project Assumptions'!$D$15,IF(N5&lt;='Project Assumptions'!$D$15+'Project Assumptions'!$D$16,-SUM('Detailed Project Costs'!$F$20:$F$22)/'Project Assumptions'!$D$16,0),0)+IF('Project Assumptions'!$D$16=0,IF(N5='Project Assumptions'!$D$15,-SUM('Detailed Project Costs'!$F$20:$F$22),0),0)</f>
        <v/>
      </c>
      <c r="O33" s="293">
        <f>IF(O5&gt;'Project Assumptions'!$D$15,IF(O5&lt;='Project Assumptions'!$D$15+'Project Assumptions'!$D$16,-SUM('Detailed Project Costs'!$F$20:$F$22)/'Project Assumptions'!$D$16,0),0)+IF('Project Assumptions'!$D$16=0,IF(O5='Project Assumptions'!$D$15,-SUM('Detailed Project Costs'!$F$20:$F$22),0),0)</f>
        <v/>
      </c>
      <c r="P33" s="293">
        <f>IF(P5&gt;'Project Assumptions'!$D$15,IF(P5&lt;='Project Assumptions'!$D$15+'Project Assumptions'!$D$16,-SUM('Detailed Project Costs'!$F$20:$F$22)/'Project Assumptions'!$D$16,0),0)+IF('Project Assumptions'!$D$16=0,IF(P5='Project Assumptions'!$D$15,-SUM('Detailed Project Costs'!$F$20:$F$22),0),0)</f>
        <v/>
      </c>
      <c r="Q33" s="293">
        <f>IF(Q5&gt;'Project Assumptions'!$D$15,IF(Q5&lt;='Project Assumptions'!$D$15+'Project Assumptions'!$D$16,-SUM('Detailed Project Costs'!$F$20:$F$22)/'Project Assumptions'!$D$16,0),0)+IF('Project Assumptions'!$D$16=0,IF(Q5='Project Assumptions'!$D$15,-SUM('Detailed Project Costs'!$F$20:$F$22),0),0)</f>
        <v/>
      </c>
      <c r="R33" s="293">
        <f>IF(R5&gt;'Project Assumptions'!$D$15,IF(R5&lt;='Project Assumptions'!$D$15+'Project Assumptions'!$D$16,-SUM('Detailed Project Costs'!$F$20:$F$22)/'Project Assumptions'!$D$16,0),0)+IF('Project Assumptions'!$D$16=0,IF(R5='Project Assumptions'!$D$15,-SUM('Detailed Project Costs'!$F$20:$F$22),0),0)</f>
        <v/>
      </c>
      <c r="S33" s="293">
        <f>IF(S5&gt;'Project Assumptions'!$D$15,IF(S5&lt;='Project Assumptions'!$D$15+'Project Assumptions'!$D$16,-SUM('Detailed Project Costs'!$F$20:$F$22)/'Project Assumptions'!$D$16,0),0)+IF('Project Assumptions'!$D$16=0,IF(S5='Project Assumptions'!$D$15,-SUM('Detailed Project Costs'!$F$20:$F$22),0),0)</f>
        <v/>
      </c>
      <c r="T33" s="293">
        <f>IF(T5&gt;'Project Assumptions'!$D$15,IF(T5&lt;='Project Assumptions'!$D$15+'Project Assumptions'!$D$16,-SUM('Detailed Project Costs'!$F$20:$F$22)/'Project Assumptions'!$D$16,0),0)+IF('Project Assumptions'!$D$16=0,IF(T5='Project Assumptions'!$D$15,-SUM('Detailed Project Costs'!$F$20:$F$22),0),0)</f>
        <v/>
      </c>
      <c r="U33" s="293">
        <f>IF(U5&gt;'Project Assumptions'!$D$15,IF(U5&lt;='Project Assumptions'!$D$15+'Project Assumptions'!$D$16,-SUM('Detailed Project Costs'!$F$20:$F$22)/'Project Assumptions'!$D$16,0),0)+IF('Project Assumptions'!$D$16=0,IF(U5='Project Assumptions'!$D$15,-SUM('Detailed Project Costs'!$F$20:$F$22),0),0)</f>
        <v/>
      </c>
      <c r="V33" s="293">
        <f>IF(V5&gt;'Project Assumptions'!$D$15,IF(V5&lt;='Project Assumptions'!$D$15+'Project Assumptions'!$D$16,-SUM('Detailed Project Costs'!$F$20:$F$22)/'Project Assumptions'!$D$16,0),0)+IF('Project Assumptions'!$D$16=0,IF(V5='Project Assumptions'!$D$15,-SUM('Detailed Project Costs'!$F$20:$F$22),0),0)</f>
        <v/>
      </c>
      <c r="W33" s="293">
        <f>IF(W5&gt;'Project Assumptions'!$D$15,IF(W5&lt;='Project Assumptions'!$D$15+'Project Assumptions'!$D$16,-SUM('Detailed Project Costs'!$F$20:$F$22)/'Project Assumptions'!$D$16,0),0)+IF('Project Assumptions'!$D$16=0,IF(W5='Project Assumptions'!$D$15,-SUM('Detailed Project Costs'!$F$20:$F$22),0),0)</f>
        <v/>
      </c>
      <c r="X33" s="293">
        <f>IF(X5&gt;'Project Assumptions'!$D$15,IF(X5&lt;='Project Assumptions'!$D$15+'Project Assumptions'!$D$16,-SUM('Detailed Project Costs'!$F$20:$F$22)/'Project Assumptions'!$D$16,0),0)+IF('Project Assumptions'!$D$16=0,IF(X5='Project Assumptions'!$D$15,-SUM('Detailed Project Costs'!$F$20:$F$22),0),0)</f>
        <v/>
      </c>
      <c r="Y33" s="293">
        <f>IF(Y5&gt;'Project Assumptions'!$D$15,IF(Y5&lt;='Project Assumptions'!$D$15+'Project Assumptions'!$D$16,-SUM('Detailed Project Costs'!$F$20:$F$22)/'Project Assumptions'!$D$16,0),0)+IF('Project Assumptions'!$D$16=0,IF(Y5='Project Assumptions'!$D$15,-SUM('Detailed Project Costs'!$F$20:$F$22),0),0)</f>
        <v/>
      </c>
      <c r="Z33" s="293">
        <f>IF(Z5&gt;'Project Assumptions'!$D$15,IF(Z5&lt;='Project Assumptions'!$D$15+'Project Assumptions'!$D$16,-SUM('Detailed Project Costs'!$F$20:$F$22)/'Project Assumptions'!$D$16,0),0)+IF('Project Assumptions'!$D$16=0,IF(Z5='Project Assumptions'!$D$15,-SUM('Detailed Project Costs'!$F$20:$F$22),0),0)</f>
        <v/>
      </c>
      <c r="AA33" s="293">
        <f>IF(AA5&gt;'Project Assumptions'!$D$15,IF(AA5&lt;='Project Assumptions'!$D$15+'Project Assumptions'!$D$16,-SUM('Detailed Project Costs'!$F$20:$F$22)/'Project Assumptions'!$D$16,0),0)+IF('Project Assumptions'!$D$16=0,IF(AA5='Project Assumptions'!$D$15,-SUM('Detailed Project Costs'!$F$20:$F$22),0),0)</f>
        <v/>
      </c>
      <c r="AB33" s="293">
        <f>IF(AB5&gt;'Project Assumptions'!$D$15,IF(AB5&lt;='Project Assumptions'!$D$15+'Project Assumptions'!$D$16,-SUM('Detailed Project Costs'!$F$20:$F$22)/'Project Assumptions'!$D$16,0),0)+IF('Project Assumptions'!$D$16=0,IF(AB5='Project Assumptions'!$D$15,-SUM('Detailed Project Costs'!$F$20:$F$22),0),0)</f>
        <v/>
      </c>
      <c r="AC33" s="293">
        <f>IF(AC5&gt;'Project Assumptions'!$D$15,IF(AC5&lt;='Project Assumptions'!$D$15+'Project Assumptions'!$D$16,-SUM('Detailed Project Costs'!$F$20:$F$22)/'Project Assumptions'!$D$16,0),0)+IF('Project Assumptions'!$D$16=0,IF(AC5='Project Assumptions'!$D$15,-SUM('Detailed Project Costs'!$F$20:$F$22),0),0)</f>
        <v/>
      </c>
      <c r="AD33" s="293">
        <f>IF(AD5&gt;'Project Assumptions'!$D$15,IF(AD5&lt;='Project Assumptions'!$D$15+'Project Assumptions'!$D$16,-SUM('Detailed Project Costs'!$F$20:$F$22)/'Project Assumptions'!$D$16,0),0)+IF('Project Assumptions'!$D$16=0,IF(AD5='Project Assumptions'!$D$15,-SUM('Detailed Project Costs'!$F$20:$F$22),0),0)</f>
        <v/>
      </c>
      <c r="AE33" s="293">
        <f>IF(AE5&gt;'Project Assumptions'!$D$15,IF(AE5&lt;='Project Assumptions'!$D$15+'Project Assumptions'!$D$16,-SUM('Detailed Project Costs'!$F$20:$F$22)/'Project Assumptions'!$D$16,0),0)+IF('Project Assumptions'!$D$16=0,IF(AE5='Project Assumptions'!$D$15,-SUM('Detailed Project Costs'!$F$20:$F$22),0),0)</f>
        <v/>
      </c>
      <c r="AF33" s="293">
        <f>IF(AF5&gt;'Project Assumptions'!$D$15,IF(AF5&lt;='Project Assumptions'!$D$15+'Project Assumptions'!$D$16,-SUM('Detailed Project Costs'!$F$20:$F$22)/'Project Assumptions'!$D$16,0),0)+IF('Project Assumptions'!$D$16=0,IF(AF5='Project Assumptions'!$D$15,-SUM('Detailed Project Costs'!$F$20:$F$22),0),0)</f>
        <v/>
      </c>
      <c r="AG33" s="293">
        <f>IF(AG5&gt;'Project Assumptions'!$D$15,IF(AG5&lt;='Project Assumptions'!$D$15+'Project Assumptions'!$D$16,-SUM('Detailed Project Costs'!$F$20:$F$22)/'Project Assumptions'!$D$16,0),0)+IF('Project Assumptions'!$D$16=0,IF(AG5='Project Assumptions'!$D$15,-SUM('Detailed Project Costs'!$F$20:$F$22),0),0)</f>
        <v/>
      </c>
      <c r="AH33" s="293">
        <f>IF(AH5&gt;'Project Assumptions'!$D$15,IF(AH5&lt;='Project Assumptions'!$D$15+'Project Assumptions'!$D$16,-SUM('Detailed Project Costs'!$F$20:$F$22)/'Project Assumptions'!$D$16,0),0)+IF('Project Assumptions'!$D$16=0,IF(AH5='Project Assumptions'!$D$15,-SUM('Detailed Project Costs'!$F$20:$F$22),0),0)</f>
        <v/>
      </c>
      <c r="AI33" s="293">
        <f>IF(AI5&gt;'Project Assumptions'!$D$15,IF(AI5&lt;='Project Assumptions'!$D$15+'Project Assumptions'!$D$16,-SUM('Detailed Project Costs'!$F$20:$F$22)/'Project Assumptions'!$D$16,0),0)+IF('Project Assumptions'!$D$16=0,IF(AI5='Project Assumptions'!$D$15,-SUM('Detailed Project Costs'!$F$20:$F$22),0),0)</f>
        <v/>
      </c>
      <c r="AJ33" s="293">
        <f>IF(AJ5&gt;'Project Assumptions'!$D$15,IF(AJ5&lt;='Project Assumptions'!$D$15+'Project Assumptions'!$D$16,-SUM('Detailed Project Costs'!$F$20:$F$22)/'Project Assumptions'!$D$16,0),0)+IF('Project Assumptions'!$D$16=0,IF(AJ5='Project Assumptions'!$D$15,-SUM('Detailed Project Costs'!$F$20:$F$22),0),0)</f>
        <v/>
      </c>
      <c r="AK33" s="293">
        <f>IF(AK5&gt;'Project Assumptions'!$D$15,IF(AK5&lt;='Project Assumptions'!$D$15+'Project Assumptions'!$D$16,-SUM('Detailed Project Costs'!$F$20:$F$22)/'Project Assumptions'!$D$16,0),0)+IF('Project Assumptions'!$D$16=0,IF(AK5='Project Assumptions'!$D$15,-SUM('Detailed Project Costs'!$F$20:$F$22),0),0)</f>
        <v/>
      </c>
      <c r="AL33" s="293">
        <f>IF(AL5&gt;'Project Assumptions'!$D$15,IF(AL5&lt;='Project Assumptions'!$D$15+'Project Assumptions'!$D$16,-SUM('Detailed Project Costs'!$F$20:$F$22)/'Project Assumptions'!$D$16,0),0)+IF('Project Assumptions'!$D$16=0,IF(AL5='Project Assumptions'!$D$15,-SUM('Detailed Project Costs'!$F$20:$F$22),0),0)</f>
        <v/>
      </c>
      <c r="AM33" s="293">
        <f>IF(AM5&gt;'Project Assumptions'!$D$15,IF(AM5&lt;='Project Assumptions'!$D$15+'Project Assumptions'!$D$16,-SUM('Detailed Project Costs'!$F$20:$F$22)/'Project Assumptions'!$D$16,0),0)+IF('Project Assumptions'!$D$16=0,IF(AM5='Project Assumptions'!$D$15,-SUM('Detailed Project Costs'!$F$20:$F$22),0),0)</f>
        <v/>
      </c>
      <c r="AN33" s="293">
        <f>IF(AN5&gt;'Project Assumptions'!$D$15,IF(AN5&lt;='Project Assumptions'!$D$15+'Project Assumptions'!$D$16,-SUM('Detailed Project Costs'!$F$20:$F$22)/'Project Assumptions'!$D$16,0),0)+IF('Project Assumptions'!$D$16=0,IF(AN5='Project Assumptions'!$D$15,-SUM('Detailed Project Costs'!$F$20:$F$22),0),0)</f>
        <v/>
      </c>
      <c r="AO33" s="293">
        <f>IF(AO5&gt;'Project Assumptions'!$D$15,IF(AO5&lt;='Project Assumptions'!$D$15+'Project Assumptions'!$D$16,-SUM('Detailed Project Costs'!$F$20:$F$22)/'Project Assumptions'!$D$16,0),0)+IF('Project Assumptions'!$D$16=0,IF(AO5='Project Assumptions'!$D$15,-SUM('Detailed Project Costs'!$F$20:$F$22),0),0)</f>
        <v/>
      </c>
      <c r="AP33" s="293">
        <f>IF(AP5&gt;'Project Assumptions'!$D$15,IF(AP5&lt;='Project Assumptions'!$D$15+'Project Assumptions'!$D$16,-SUM('Detailed Project Costs'!$F$20:$F$22)/'Project Assumptions'!$D$16,0),0)+IF('Project Assumptions'!$D$16=0,IF(AP5='Project Assumptions'!$D$15,-SUM('Detailed Project Costs'!$F$20:$F$22),0),0)</f>
        <v/>
      </c>
      <c r="AQ33" s="293">
        <f>IF(AQ5&gt;'Project Assumptions'!$D$15,IF(AQ5&lt;='Project Assumptions'!$D$15+'Project Assumptions'!$D$16,-SUM('Detailed Project Costs'!$F$20:$F$22)/'Project Assumptions'!$D$16,0),0)+IF('Project Assumptions'!$D$16=0,IF(AQ5='Project Assumptions'!$D$15,-SUM('Detailed Project Costs'!$F$20:$F$22),0),0)</f>
        <v/>
      </c>
      <c r="AR33" s="293">
        <f>IF(AR5&gt;'Project Assumptions'!$D$15,IF(AR5&lt;='Project Assumptions'!$D$15+'Project Assumptions'!$D$16,-SUM('Detailed Project Costs'!$F$20:$F$22)/'Project Assumptions'!$D$16,0),0)+IF('Project Assumptions'!$D$16=0,IF(AR5='Project Assumptions'!$D$15,-SUM('Detailed Project Costs'!$F$20:$F$22),0),0)</f>
        <v/>
      </c>
      <c r="AS33" s="293">
        <f>IF(AS5&gt;'Project Assumptions'!$D$15,IF(AS5&lt;='Project Assumptions'!$D$15+'Project Assumptions'!$D$16,-SUM('Detailed Project Costs'!$F$20:$F$22)/'Project Assumptions'!$D$16,0),0)+IF('Project Assumptions'!$D$16=0,IF(AS5='Project Assumptions'!$D$15,-SUM('Detailed Project Costs'!$F$20:$F$22),0),0)</f>
        <v/>
      </c>
      <c r="AT33" s="293">
        <f>IF(AT5&gt;'Project Assumptions'!$D$15,IF(AT5&lt;='Project Assumptions'!$D$15+'Project Assumptions'!$D$16,-SUM('Detailed Project Costs'!$F$20:$F$22)/'Project Assumptions'!$D$16,0),0)+IF('Project Assumptions'!$D$16=0,IF(AT5='Project Assumptions'!$D$15,-SUM('Detailed Project Costs'!$F$20:$F$22),0),0)</f>
        <v/>
      </c>
      <c r="AU33" s="293">
        <f>IF(AU5&gt;'Project Assumptions'!$D$15,IF(AU5&lt;='Project Assumptions'!$D$15+'Project Assumptions'!$D$16,-SUM('Detailed Project Costs'!$F$20:$F$22)/'Project Assumptions'!$D$16,0),0)+IF('Project Assumptions'!$D$16=0,IF(AU5='Project Assumptions'!$D$15,-SUM('Detailed Project Costs'!$F$20:$F$22),0),0)</f>
        <v/>
      </c>
      <c r="AV33" s="293">
        <f>IF(AV5&gt;'Project Assumptions'!$D$15,IF(AV5&lt;='Project Assumptions'!$D$15+'Project Assumptions'!$D$16,-SUM('Detailed Project Costs'!$F$20:$F$22)/'Project Assumptions'!$D$16,0),0)+IF('Project Assumptions'!$D$16=0,IF(AV5='Project Assumptions'!$D$15,-SUM('Detailed Project Costs'!$F$20:$F$22),0),0)</f>
        <v/>
      </c>
      <c r="AW33" s="293">
        <f>IF(AW5&gt;'Project Assumptions'!$D$15,IF(AW5&lt;='Project Assumptions'!$D$15+'Project Assumptions'!$D$16,-SUM('Detailed Project Costs'!$F$20:$F$22)/'Project Assumptions'!$D$16,0),0)+IF('Project Assumptions'!$D$16=0,IF(AW5='Project Assumptions'!$D$15,-SUM('Detailed Project Costs'!$F$20:$F$22),0),0)</f>
        <v/>
      </c>
      <c r="AX33" s="293">
        <f>IF(AX5&gt;'Project Assumptions'!$D$15,IF(AX5&lt;='Project Assumptions'!$D$15+'Project Assumptions'!$D$16,-SUM('Detailed Project Costs'!$F$20:$F$22)/'Project Assumptions'!$D$16,0),0)+IF('Project Assumptions'!$D$16=0,IF(AX5='Project Assumptions'!$D$15,-SUM('Detailed Project Costs'!$F$20:$F$22),0),0)</f>
        <v/>
      </c>
      <c r="AY33" s="293">
        <f>IF(AY5&gt;'Project Assumptions'!$D$15,IF(AY5&lt;='Project Assumptions'!$D$15+'Project Assumptions'!$D$16,-SUM('Detailed Project Costs'!$F$20:$F$22)/'Project Assumptions'!$D$16,0),0)+IF('Project Assumptions'!$D$16=0,IF(AY5='Project Assumptions'!$D$15,-SUM('Detailed Project Costs'!$F$20:$F$22),0),0)</f>
        <v/>
      </c>
      <c r="AZ33" s="293">
        <f>IF(AZ5&gt;'Project Assumptions'!$D$15,IF(AZ5&lt;='Project Assumptions'!$D$15+'Project Assumptions'!$D$16,-SUM('Detailed Project Costs'!$F$20:$F$22)/'Project Assumptions'!$D$16,0),0)+IF('Project Assumptions'!$D$16=0,IF(AZ5='Project Assumptions'!$D$15,-SUM('Detailed Project Costs'!$F$20:$F$22),0),0)</f>
        <v/>
      </c>
      <c r="BA33" s="293">
        <f>IF(BA5&gt;'Project Assumptions'!$D$15,IF(BA5&lt;='Project Assumptions'!$D$15+'Project Assumptions'!$D$16,-SUM('Detailed Project Costs'!$F$20:$F$22)/'Project Assumptions'!$D$16,0),0)+IF('Project Assumptions'!$D$16=0,IF(BA5='Project Assumptions'!$D$15,-SUM('Detailed Project Costs'!$F$20:$F$22),0),0)</f>
        <v/>
      </c>
      <c r="BB33" s="293">
        <f>IF(BB5&gt;'Project Assumptions'!$D$15,IF(BB5&lt;='Project Assumptions'!$D$15+'Project Assumptions'!$D$16,-SUM('Detailed Project Costs'!$F$20:$F$22)/'Project Assumptions'!$D$16,0),0)+IF('Project Assumptions'!$D$16=0,IF(BB5='Project Assumptions'!$D$15,-SUM('Detailed Project Costs'!$F$20:$F$22),0),0)</f>
        <v/>
      </c>
      <c r="BC33" s="293">
        <f>IF(BC5&gt;'Project Assumptions'!$D$15,IF(BC5&lt;='Project Assumptions'!$D$15+'Project Assumptions'!$D$16,-SUM('Detailed Project Costs'!$F$20:$F$22)/'Project Assumptions'!$D$16,0),0)+IF('Project Assumptions'!$D$16=0,IF(BC5='Project Assumptions'!$D$15,-SUM('Detailed Project Costs'!$F$20:$F$22),0),0)</f>
        <v/>
      </c>
      <c r="BD33" s="293">
        <f>IF(BD5&gt;'Project Assumptions'!$D$15,IF(BD5&lt;='Project Assumptions'!$D$15+'Project Assumptions'!$D$16,-SUM('Detailed Project Costs'!$F$20:$F$22)/'Project Assumptions'!$D$16,0),0)+IF('Project Assumptions'!$D$16=0,IF(BD5='Project Assumptions'!$D$15,-SUM('Detailed Project Costs'!$F$20:$F$22),0),0)</f>
        <v/>
      </c>
      <c r="BE33" s="293">
        <f>IF(BE5&gt;'Project Assumptions'!$D$15,IF(BE5&lt;='Project Assumptions'!$D$15+'Project Assumptions'!$D$16,-SUM('Detailed Project Costs'!$F$20:$F$22)/'Project Assumptions'!$D$16,0),0)+IF('Project Assumptions'!$D$16=0,IF(BE5='Project Assumptions'!$D$15,-SUM('Detailed Project Costs'!$F$20:$F$22),0),0)</f>
        <v/>
      </c>
      <c r="BF33" s="293">
        <f>IF(BF5&gt;'Project Assumptions'!$D$15,IF(BF5&lt;='Project Assumptions'!$D$15+'Project Assumptions'!$D$16,-SUM('Detailed Project Costs'!$F$20:$F$22)/'Project Assumptions'!$D$16,0),0)+IF('Project Assumptions'!$D$16=0,IF(BF5='Project Assumptions'!$D$15,-SUM('Detailed Project Costs'!$F$20:$F$22),0),0)</f>
        <v/>
      </c>
      <c r="BG33" s="293">
        <f>IF(BG5&gt;'Project Assumptions'!$D$15,IF(BG5&lt;='Project Assumptions'!$D$15+'Project Assumptions'!$D$16,-SUM('Detailed Project Costs'!$F$20:$F$22)/'Project Assumptions'!$D$16,0),0)+IF('Project Assumptions'!$D$16=0,IF(BG5='Project Assumptions'!$D$15,-SUM('Detailed Project Costs'!$F$20:$F$22),0),0)</f>
        <v/>
      </c>
      <c r="BH33" s="293">
        <f>IF(BH5&gt;'Project Assumptions'!$D$15,IF(BH5&lt;='Project Assumptions'!$D$15+'Project Assumptions'!$D$16,-SUM('Detailed Project Costs'!$F$20:$F$22)/'Project Assumptions'!$D$16,0),0)+IF('Project Assumptions'!$D$16=0,IF(BH5='Project Assumptions'!$D$15,-SUM('Detailed Project Costs'!$F$20:$F$22),0),0)</f>
        <v/>
      </c>
      <c r="BI33" s="293">
        <f>IF(BI5&gt;'Project Assumptions'!$D$15,IF(BI5&lt;='Project Assumptions'!$D$15+'Project Assumptions'!$D$16,-SUM('Detailed Project Costs'!$F$20:$F$22)/'Project Assumptions'!$D$16,0),0)+IF('Project Assumptions'!$D$16=0,IF(BI5='Project Assumptions'!$D$15,-SUM('Detailed Project Costs'!$F$20:$F$22),0),0)</f>
        <v/>
      </c>
      <c r="BJ33" s="293">
        <f>IF(BJ5&gt;'Project Assumptions'!$D$15,IF(BJ5&lt;='Project Assumptions'!$D$15+'Project Assumptions'!$D$16,-SUM('Detailed Project Costs'!$F$20:$F$22)/'Project Assumptions'!$D$16,0),0)+IF('Project Assumptions'!$D$16=0,IF(BJ5='Project Assumptions'!$D$15,-SUM('Detailed Project Costs'!$F$20:$F$22),0),0)</f>
        <v/>
      </c>
      <c r="BK33" s="293">
        <f>IF(BK5&gt;'Project Assumptions'!$D$15,IF(BK5&lt;='Project Assumptions'!$D$15+'Project Assumptions'!$D$16,-SUM('Detailed Project Costs'!$F$20:$F$22)/'Project Assumptions'!$D$16,0),0)+IF('Project Assumptions'!$D$16=0,IF(BK5='Project Assumptions'!$D$15,-SUM('Detailed Project Costs'!$F$20:$F$22),0),0)</f>
        <v/>
      </c>
      <c r="BL33" s="293">
        <f>IF(BL5&gt;'Project Assumptions'!$D$15,IF(BL5&lt;='Project Assumptions'!$D$15+'Project Assumptions'!$D$16,-SUM('Detailed Project Costs'!$F$20:$F$22)/'Project Assumptions'!$D$16,0),0)+IF('Project Assumptions'!$D$16=0,IF(BL5='Project Assumptions'!$D$15,-SUM('Detailed Project Costs'!$F$20:$F$22),0),0)</f>
        <v/>
      </c>
      <c r="BM33" s="293">
        <f>IF(BM5&gt;'Project Assumptions'!$D$15,IF(BM5&lt;='Project Assumptions'!$D$15+'Project Assumptions'!$D$16,-SUM('Detailed Project Costs'!$F$20:$F$22)/'Project Assumptions'!$D$16,0),0)+IF('Project Assumptions'!$D$16=0,IF(BM5='Project Assumptions'!$D$15,-SUM('Detailed Project Costs'!$F$20:$F$22),0),0)</f>
        <v/>
      </c>
      <c r="BN33" s="293">
        <f>IF(BN5&gt;'Project Assumptions'!$D$15,IF(BN5&lt;='Project Assumptions'!$D$15+'Project Assumptions'!$D$16,-SUM('Detailed Project Costs'!$F$20:$F$22)/'Project Assumptions'!$D$16,0),0)+IF('Project Assumptions'!$D$16=0,IF(BN5='Project Assumptions'!$D$15,-SUM('Detailed Project Costs'!$F$20:$F$22),0),0)</f>
        <v/>
      </c>
      <c r="BO33" s="293">
        <f>IF(BO5&gt;'Project Assumptions'!$D$15,IF(BO5&lt;='Project Assumptions'!$D$15+'Project Assumptions'!$D$16,-SUM('Detailed Project Costs'!$F$20:$F$22)/'Project Assumptions'!$D$16,0),0)+IF('Project Assumptions'!$D$16=0,IF(BO5='Project Assumptions'!$D$15,-SUM('Detailed Project Costs'!$F$20:$F$22),0),0)</f>
        <v/>
      </c>
      <c r="BP33" s="293">
        <f>IF(BP5&gt;'Project Assumptions'!$D$15,IF(BP5&lt;='Project Assumptions'!$D$15+'Project Assumptions'!$D$16,-SUM('Detailed Project Costs'!$F$20:$F$22)/'Project Assumptions'!$D$16,0),0)+IF('Project Assumptions'!$D$16=0,IF(BP5='Project Assumptions'!$D$15,-SUM('Detailed Project Costs'!$F$20:$F$22),0),0)</f>
        <v/>
      </c>
      <c r="BQ33" s="293">
        <f>IF(BQ5&gt;'Project Assumptions'!$D$15,IF(BQ5&lt;='Project Assumptions'!$D$15+'Project Assumptions'!$D$16,-SUM('Detailed Project Costs'!$F$20:$F$22)/'Project Assumptions'!$D$16,0),0)+IF('Project Assumptions'!$D$16=0,IF(BQ5='Project Assumptions'!$D$15,-SUM('Detailed Project Costs'!$F$20:$F$22),0),0)</f>
        <v/>
      </c>
      <c r="BR33" s="293">
        <f>IF(BR5&gt;'Project Assumptions'!$D$15,IF(BR5&lt;='Project Assumptions'!$D$15+'Project Assumptions'!$D$16,-SUM('Detailed Project Costs'!$F$20:$F$22)/'Project Assumptions'!$D$16,0),0)+IF('Project Assumptions'!$D$16=0,IF(BR5='Project Assumptions'!$D$15,-SUM('Detailed Project Costs'!$F$20:$F$22),0),0)</f>
        <v/>
      </c>
      <c r="BS33" s="293">
        <f>IF(BS5&gt;'Project Assumptions'!$D$15,IF(BS5&lt;='Project Assumptions'!$D$15+'Project Assumptions'!$D$16,-SUM('Detailed Project Costs'!$F$20:$F$22)/'Project Assumptions'!$D$16,0),0)+IF('Project Assumptions'!$D$16=0,IF(BS5='Project Assumptions'!$D$15,-SUM('Detailed Project Costs'!$F$20:$F$22),0),0)</f>
        <v/>
      </c>
      <c r="BT33" s="293">
        <f>IF(BT5&gt;'Project Assumptions'!$D$15,IF(BT5&lt;='Project Assumptions'!$D$15+'Project Assumptions'!$D$16,-SUM('Detailed Project Costs'!$F$20:$F$22)/'Project Assumptions'!$D$16,0),0)+IF('Project Assumptions'!$D$16=0,IF(BT5='Project Assumptions'!$D$15,-SUM('Detailed Project Costs'!$F$20:$F$22),0),0)</f>
        <v/>
      </c>
      <c r="BU33" s="293">
        <f>IF(BU5&gt;'Project Assumptions'!$D$15,IF(BU5&lt;='Project Assumptions'!$D$15+'Project Assumptions'!$D$16,-SUM('Detailed Project Costs'!$F$20:$F$22)/'Project Assumptions'!$D$16,0),0)+IF('Project Assumptions'!$D$16=0,IF(BU5='Project Assumptions'!$D$15,-SUM('Detailed Project Costs'!$F$20:$F$22),0),0)</f>
        <v/>
      </c>
      <c r="BV33" s="293">
        <f>IF(BV5&gt;'Project Assumptions'!$D$15,IF(BV5&lt;='Project Assumptions'!$D$15+'Project Assumptions'!$D$16,-SUM('Detailed Project Costs'!$F$20:$F$22)/'Project Assumptions'!$D$16,0),0)+IF('Project Assumptions'!$D$16=0,IF(BV5='Project Assumptions'!$D$15,-SUM('Detailed Project Costs'!$F$20:$F$22),0),0)</f>
        <v/>
      </c>
      <c r="BW33" s="293">
        <f>IF(BW5&gt;'Project Assumptions'!$D$15,IF(BW5&lt;='Project Assumptions'!$D$15+'Project Assumptions'!$D$16,-SUM('Detailed Project Costs'!$F$20:$F$22)/'Project Assumptions'!$D$16,0),0)+IF('Project Assumptions'!$D$16=0,IF(BW5='Project Assumptions'!$D$15,-SUM('Detailed Project Costs'!$F$20:$F$22),0),0)</f>
        <v/>
      </c>
      <c r="BX33" s="293">
        <f>IF(BX5&gt;'Project Assumptions'!$D$15,IF(BX5&lt;='Project Assumptions'!$D$15+'Project Assumptions'!$D$16,-SUM('Detailed Project Costs'!$F$20:$F$22)/'Project Assumptions'!$D$16,0),0)+IF('Project Assumptions'!$D$16=0,IF(BX5='Project Assumptions'!$D$15,-SUM('Detailed Project Costs'!$F$20:$F$22),0),0)</f>
        <v/>
      </c>
      <c r="BY33" s="293">
        <f>IF(BY5&gt;'Project Assumptions'!$D$15,IF(BY5&lt;='Project Assumptions'!$D$15+'Project Assumptions'!$D$16,-SUM('Detailed Project Costs'!$F$20:$F$22)/'Project Assumptions'!$D$16,0),0)+IF('Project Assumptions'!$D$16=0,IF(BY5='Project Assumptions'!$D$15,-SUM('Detailed Project Costs'!$F$20:$F$22),0),0)</f>
        <v/>
      </c>
      <c r="BZ33" s="293">
        <f>IF(BZ5&gt;'Project Assumptions'!$D$15,IF(BZ5&lt;='Project Assumptions'!$D$15+'Project Assumptions'!$D$16,-SUM('Detailed Project Costs'!$F$20:$F$22)/'Project Assumptions'!$D$16,0),0)+IF('Project Assumptions'!$D$16=0,IF(BZ5='Project Assumptions'!$D$15,-SUM('Detailed Project Costs'!$F$20:$F$22),0),0)</f>
        <v/>
      </c>
      <c r="CA33" s="293">
        <f>IF(CA5&gt;'Project Assumptions'!$D$15,IF(CA5&lt;='Project Assumptions'!$D$15+'Project Assumptions'!$D$16,-SUM('Detailed Project Costs'!$F$20:$F$22)/'Project Assumptions'!$D$16,0),0)+IF('Project Assumptions'!$D$16=0,IF(CA5='Project Assumptions'!$D$15,-SUM('Detailed Project Costs'!$F$20:$F$22),0),0)</f>
        <v/>
      </c>
      <c r="CB33" s="293">
        <f>IF(CB5&gt;'Project Assumptions'!$D$15,IF(CB5&lt;='Project Assumptions'!$D$15+'Project Assumptions'!$D$16,-SUM('Detailed Project Costs'!$F$20:$F$22)/'Project Assumptions'!$D$16,0),0)+IF('Project Assumptions'!$D$16=0,IF(CB5='Project Assumptions'!$D$15,-SUM('Detailed Project Costs'!$F$20:$F$22),0),0)</f>
        <v/>
      </c>
      <c r="CC33" s="293">
        <f>IF(CC5&gt;'Project Assumptions'!$D$15,IF(CC5&lt;='Project Assumptions'!$D$15+'Project Assumptions'!$D$16,-SUM('Detailed Project Costs'!$F$20:$F$22)/'Project Assumptions'!$D$16,0),0)+IF('Project Assumptions'!$D$16=0,IF(CC5='Project Assumptions'!$D$15,-SUM('Detailed Project Costs'!$F$20:$F$22),0),0)</f>
        <v/>
      </c>
      <c r="CD33" s="293">
        <f>IF(CD5&gt;'Project Assumptions'!$D$15,IF(CD5&lt;='Project Assumptions'!$D$15+'Project Assumptions'!$D$16,-SUM('Detailed Project Costs'!$F$20:$F$22)/'Project Assumptions'!$D$16,0),0)+IF('Project Assumptions'!$D$16=0,IF(CD5='Project Assumptions'!$D$15,-SUM('Detailed Project Costs'!$F$20:$F$22),0),0)</f>
        <v/>
      </c>
      <c r="CE33" s="293">
        <f>IF(CE5&gt;'Project Assumptions'!$D$15,IF(CE5&lt;='Project Assumptions'!$D$15+'Project Assumptions'!$D$16,-SUM('Detailed Project Costs'!$F$20:$F$22)/'Project Assumptions'!$D$16,0),0)+IF('Project Assumptions'!$D$16=0,IF(CE5='Project Assumptions'!$D$15,-SUM('Detailed Project Costs'!$F$20:$F$22),0),0)</f>
        <v/>
      </c>
      <c r="CF33" s="293">
        <f>IF(CF5&gt;'Project Assumptions'!$D$15,IF(CF5&lt;='Project Assumptions'!$D$15+'Project Assumptions'!$D$16,-SUM('Detailed Project Costs'!$F$20:$F$22)/'Project Assumptions'!$D$16,0),0)+IF('Project Assumptions'!$D$16=0,IF(CF5='Project Assumptions'!$D$15,-SUM('Detailed Project Costs'!$F$20:$F$22),0),0)</f>
        <v/>
      </c>
      <c r="CG33" s="293">
        <f>IF(CG5&gt;'Project Assumptions'!$D$15,IF(CG5&lt;='Project Assumptions'!$D$15+'Project Assumptions'!$D$16,-SUM('Detailed Project Costs'!$F$20:$F$22)/'Project Assumptions'!$D$16,0),0)+IF('Project Assumptions'!$D$16=0,IF(CG5='Project Assumptions'!$D$15,-SUM('Detailed Project Costs'!$F$20:$F$22),0),0)</f>
        <v/>
      </c>
      <c r="CH33" s="293">
        <f>IF(CH5&gt;'Project Assumptions'!$D$15,IF(CH5&lt;='Project Assumptions'!$D$15+'Project Assumptions'!$D$16,-SUM('Detailed Project Costs'!$F$20:$F$22)/'Project Assumptions'!$D$16,0),0)+IF('Project Assumptions'!$D$16=0,IF(CH5='Project Assumptions'!$D$15,-SUM('Detailed Project Costs'!$F$20:$F$22),0),0)</f>
        <v/>
      </c>
      <c r="CI33" s="293">
        <f>IF(CI5&gt;'Project Assumptions'!$D$15,IF(CI5&lt;='Project Assumptions'!$D$15+'Project Assumptions'!$D$16,-SUM('Detailed Project Costs'!$F$20:$F$22)/'Project Assumptions'!$D$16,0),0)+IF('Project Assumptions'!$D$16=0,IF(CI5='Project Assumptions'!$D$15,-SUM('Detailed Project Costs'!$F$20:$F$22),0),0)</f>
        <v/>
      </c>
      <c r="CJ33" s="293">
        <f>IF(CJ5&gt;'Project Assumptions'!$D$15,IF(CJ5&lt;='Project Assumptions'!$D$15+'Project Assumptions'!$D$16,-SUM('Detailed Project Costs'!$F$20:$F$22)/'Project Assumptions'!$D$16,0),0)+IF('Project Assumptions'!$D$16=0,IF(CJ5='Project Assumptions'!$D$15,-SUM('Detailed Project Costs'!$F$20:$F$22),0),0)</f>
        <v/>
      </c>
      <c r="CK33" s="293">
        <f>IF(CK5&gt;'Project Assumptions'!$D$15,IF(CK5&lt;='Project Assumptions'!$D$15+'Project Assumptions'!$D$16,-SUM('Detailed Project Costs'!$F$20:$F$22)/'Project Assumptions'!$D$16,0),0)+IF('Project Assumptions'!$D$16=0,IF(CK5='Project Assumptions'!$D$15,-SUM('Detailed Project Costs'!$F$20:$F$22),0),0)</f>
        <v/>
      </c>
      <c r="CL33" s="293">
        <f>IF(CL5&gt;'Project Assumptions'!$D$15,IF(CL5&lt;='Project Assumptions'!$D$15+'Project Assumptions'!$D$16,-SUM('Detailed Project Costs'!$F$20:$F$22)/'Project Assumptions'!$D$16,0),0)+IF('Project Assumptions'!$D$16=0,IF(CL5='Project Assumptions'!$D$15,-SUM('Detailed Project Costs'!$F$20:$F$22),0),0)</f>
        <v/>
      </c>
      <c r="CM33" s="293">
        <f>IF(CM5&gt;'Project Assumptions'!$D$15,IF(CM5&lt;='Project Assumptions'!$D$15+'Project Assumptions'!$D$16,-SUM('Detailed Project Costs'!$F$20:$F$22)/'Project Assumptions'!$D$16,0),0)+IF('Project Assumptions'!$D$16=0,IF(CM5='Project Assumptions'!$D$15,-SUM('Detailed Project Costs'!$F$20:$F$22),0),0)</f>
        <v/>
      </c>
      <c r="CN33" s="293">
        <f>IF(CN5&gt;'Project Assumptions'!$D$15,IF(CN5&lt;='Project Assumptions'!$D$15+'Project Assumptions'!$D$16,-SUM('Detailed Project Costs'!$F$20:$F$22)/'Project Assumptions'!$D$16,0),0)+IF('Project Assumptions'!$D$16=0,IF(CN5='Project Assumptions'!$D$15,-SUM('Detailed Project Costs'!$F$20:$F$22),0),0)</f>
        <v/>
      </c>
      <c r="CO33" s="293">
        <f>IF(CO5&gt;'Project Assumptions'!$D$15,IF(CO5&lt;='Project Assumptions'!$D$15+'Project Assumptions'!$D$16,-SUM('Detailed Project Costs'!$F$20:$F$22)/'Project Assumptions'!$D$16,0),0)+IF('Project Assumptions'!$D$16=0,IF(CO5='Project Assumptions'!$D$15,-SUM('Detailed Project Costs'!$F$20:$F$22),0),0)</f>
        <v/>
      </c>
      <c r="CP33" s="293">
        <f>IF(CP5&gt;'Project Assumptions'!$D$15,IF(CP5&lt;='Project Assumptions'!$D$15+'Project Assumptions'!$D$16,-SUM('Detailed Project Costs'!$F$20:$F$22)/'Project Assumptions'!$D$16,0),0)+IF('Project Assumptions'!$D$16=0,IF(CP5='Project Assumptions'!$D$15,-SUM('Detailed Project Costs'!$F$20:$F$22),0),0)</f>
        <v/>
      </c>
      <c r="CQ33" s="293">
        <f>IF(CQ5&gt;'Project Assumptions'!$D$15,IF(CQ5&lt;='Project Assumptions'!$D$15+'Project Assumptions'!$D$16,-SUM('Detailed Project Costs'!$F$20:$F$22)/'Project Assumptions'!$D$16,0),0)+IF('Project Assumptions'!$D$16=0,IF(CQ5='Project Assumptions'!$D$15,-SUM('Detailed Project Costs'!$F$20:$F$22),0),0)</f>
        <v/>
      </c>
      <c r="CR33" s="293">
        <f>IF(CR5&gt;'Project Assumptions'!$D$15,IF(CR5&lt;='Project Assumptions'!$D$15+'Project Assumptions'!$D$16,-SUM('Detailed Project Costs'!$F$20:$F$22)/'Project Assumptions'!$D$16,0),0)+IF('Project Assumptions'!$D$16=0,IF(CR5='Project Assumptions'!$D$15,-SUM('Detailed Project Costs'!$F$20:$F$22),0),0)</f>
        <v/>
      </c>
      <c r="CS33" s="293">
        <f>IF(CS5&gt;'Project Assumptions'!$D$15,IF(CS5&lt;='Project Assumptions'!$D$15+'Project Assumptions'!$D$16,-SUM('Detailed Project Costs'!$F$20:$F$22)/'Project Assumptions'!$D$16,0),0)+IF('Project Assumptions'!$D$16=0,IF(CS5='Project Assumptions'!$D$15,-SUM('Detailed Project Costs'!$F$20:$F$22),0),0)</f>
        <v/>
      </c>
      <c r="CT33" s="293">
        <f>IF(CT5&gt;'Project Assumptions'!$D$15,IF(CT5&lt;='Project Assumptions'!$D$15+'Project Assumptions'!$D$16,-SUM('Detailed Project Costs'!$F$20:$F$22)/'Project Assumptions'!$D$16,0),0)+IF('Project Assumptions'!$D$16=0,IF(CT5='Project Assumptions'!$D$15,-SUM('Detailed Project Costs'!$F$20:$F$22),0),0)</f>
        <v/>
      </c>
      <c r="CU33" s="293">
        <f>IF(CU5&gt;'Project Assumptions'!$D$15,IF(CU5&lt;='Project Assumptions'!$D$15+'Project Assumptions'!$D$16,-SUM('Detailed Project Costs'!$F$20:$F$22)/'Project Assumptions'!$D$16,0),0)+IF('Project Assumptions'!$D$16=0,IF(CU5='Project Assumptions'!$D$15,-SUM('Detailed Project Costs'!$F$20:$F$22),0),0)</f>
        <v/>
      </c>
      <c r="CV33" s="293">
        <f>IF(CV5&gt;'Project Assumptions'!$D$15,IF(CV5&lt;='Project Assumptions'!$D$15+'Project Assumptions'!$D$16,-SUM('Detailed Project Costs'!$F$20:$F$22)/'Project Assumptions'!$D$16,0),0)+IF('Project Assumptions'!$D$16=0,IF(CV5='Project Assumptions'!$D$15,-SUM('Detailed Project Costs'!$F$20:$F$22),0),0)</f>
        <v/>
      </c>
      <c r="CW33" s="293">
        <f>IF(CW5&gt;'Project Assumptions'!$D$15,IF(CW5&lt;='Project Assumptions'!$D$15+'Project Assumptions'!$D$16,-SUM('Detailed Project Costs'!$F$20:$F$22)/'Project Assumptions'!$D$16,0),0)+IF('Project Assumptions'!$D$16=0,IF(CW5='Project Assumptions'!$D$15,-SUM('Detailed Project Costs'!$F$20:$F$22),0),0)</f>
        <v/>
      </c>
      <c r="CX33" s="293">
        <f>IF(CX5&gt;'Project Assumptions'!$D$15,IF(CX5&lt;='Project Assumptions'!$D$15+'Project Assumptions'!$D$16,-SUM('Detailed Project Costs'!$F$20:$F$22)/'Project Assumptions'!$D$16,0),0)+IF('Project Assumptions'!$D$16=0,IF(CX5='Project Assumptions'!$D$15,-SUM('Detailed Project Costs'!$F$20:$F$22),0),0)</f>
        <v/>
      </c>
      <c r="CY33" s="293">
        <f>IF(CY5&gt;'Project Assumptions'!$D$15,IF(CY5&lt;='Project Assumptions'!$D$15+'Project Assumptions'!$D$16,-SUM('Detailed Project Costs'!$F$20:$F$22)/'Project Assumptions'!$D$16,0),0)+IF('Project Assumptions'!$D$16=0,IF(CY5='Project Assumptions'!$D$15,-SUM('Detailed Project Costs'!$F$20:$F$22),0),0)</f>
        <v/>
      </c>
      <c r="CZ33" s="293">
        <f>IF(CZ5&gt;'Project Assumptions'!$D$15,IF(CZ5&lt;='Project Assumptions'!$D$15+'Project Assumptions'!$D$16,-SUM('Detailed Project Costs'!$F$20:$F$22)/'Project Assumptions'!$D$16,0),0)+IF('Project Assumptions'!$D$16=0,IF(CZ5='Project Assumptions'!$D$15,-SUM('Detailed Project Costs'!$F$20:$F$22),0),0)</f>
        <v/>
      </c>
      <c r="DA33" s="293">
        <f>IF(DA5&gt;'Project Assumptions'!$D$15,IF(DA5&lt;='Project Assumptions'!$D$15+'Project Assumptions'!$D$16,-SUM('Detailed Project Costs'!$F$20:$F$22)/'Project Assumptions'!$D$16,0),0)+IF('Project Assumptions'!$D$16=0,IF(DA5='Project Assumptions'!$D$15,-SUM('Detailed Project Costs'!$F$20:$F$22),0),0)</f>
        <v/>
      </c>
      <c r="DB33" s="293">
        <f>IF(DB5&gt;'Project Assumptions'!$D$15,IF(DB5&lt;='Project Assumptions'!$D$15+'Project Assumptions'!$D$16,-SUM('Detailed Project Costs'!$F$20:$F$22)/'Project Assumptions'!$D$16,0),0)+IF('Project Assumptions'!$D$16=0,IF(DB5='Project Assumptions'!$D$15,-SUM('Detailed Project Costs'!$F$20:$F$22),0),0)</f>
        <v/>
      </c>
      <c r="DC33" s="293" t="n"/>
      <c r="DD33" s="292">
        <f>SUM(F33:DB33)</f>
        <v/>
      </c>
    </row>
    <row r="34">
      <c r="A34" s="1005" t="n"/>
      <c r="B34" s="296" t="inlineStr">
        <is>
          <t xml:space="preserve">   Structured Parking</t>
        </is>
      </c>
      <c r="C34" s="337" t="n"/>
      <c r="D34" s="297">
        <f>DD34</f>
        <v/>
      </c>
      <c r="E34" s="276" t="n"/>
      <c r="F34" s="890">
        <f>IF(F5&gt;'Project Assumptions'!$D$15,IF(F5&lt;='Project Assumptions'!$D$15+'Project Assumptions'!$D$16,-SUM('Detailed Project Costs'!$F$23:$F$24)/'Project Assumptions'!$D$16,0),0)+IF('Project Assumptions'!$D$16=0,IF(F5='Project Assumptions'!$D$15,-SUM('Detailed Project Costs'!$F$23:$F$24),0),0)</f>
        <v/>
      </c>
      <c r="G34" s="890">
        <f>IF(G5&gt;'Project Assumptions'!$D$15,IF(G5&lt;='Project Assumptions'!$D$15+'Project Assumptions'!$D$16,-SUM('Detailed Project Costs'!$F$23:$F$24)/'Project Assumptions'!$D$16,0),0)+IF('Project Assumptions'!$D$16=0,IF(G5='Project Assumptions'!$D$15,-SUM('Detailed Project Costs'!$F$23:$F$24),0),0)</f>
        <v/>
      </c>
      <c r="H34" s="890">
        <f>IF(H5&gt;'Project Assumptions'!$D$15,IF(H5&lt;='Project Assumptions'!$D$15+'Project Assumptions'!$D$16,-SUM('Detailed Project Costs'!$F$23:$F$24)/'Project Assumptions'!$D$16,0),0)+IF('Project Assumptions'!$D$16=0,IF(H5='Project Assumptions'!$D$15,-SUM('Detailed Project Costs'!$F$23:$F$24),0),0)</f>
        <v/>
      </c>
      <c r="I34" s="890">
        <f>IF(I5&gt;'Project Assumptions'!$D$15,IF(I5&lt;='Project Assumptions'!$D$15+'Project Assumptions'!$D$16,-SUM('Detailed Project Costs'!$F$23:$F$24)/'Project Assumptions'!$D$16,0),0)+IF('Project Assumptions'!$D$16=0,IF(I5='Project Assumptions'!$D$15,-SUM('Detailed Project Costs'!$F$23:$F$24),0),0)</f>
        <v/>
      </c>
      <c r="J34" s="890">
        <f>IF(J5&gt;'Project Assumptions'!$D$15,IF(J5&lt;='Project Assumptions'!$D$15+'Project Assumptions'!$D$16,-SUM('Detailed Project Costs'!$F$23:$F$24)/'Project Assumptions'!$D$16,0),0)+IF('Project Assumptions'!$D$16=0,IF(J5='Project Assumptions'!$D$15,-SUM('Detailed Project Costs'!$F$23:$F$24),0),0)</f>
        <v/>
      </c>
      <c r="K34" s="890">
        <f>IF(K5&gt;'Project Assumptions'!$D$15,IF(K5&lt;='Project Assumptions'!$D$15+'Project Assumptions'!$D$16,-SUM('Detailed Project Costs'!$F$23:$F$24)/'Project Assumptions'!$D$16,0),0)+IF('Project Assumptions'!$D$16=0,IF(K5='Project Assumptions'!$D$15,-SUM('Detailed Project Costs'!$F$23:$F$24),0),0)</f>
        <v/>
      </c>
      <c r="L34" s="890">
        <f>IF(L5&gt;'Project Assumptions'!$D$15,IF(L5&lt;='Project Assumptions'!$D$15+'Project Assumptions'!$D$16,-SUM('Detailed Project Costs'!$F$23:$F$24)/'Project Assumptions'!$D$16,0),0)+IF('Project Assumptions'!$D$16=0,IF(L5='Project Assumptions'!$D$15,-SUM('Detailed Project Costs'!$F$23:$F$24),0),0)</f>
        <v/>
      </c>
      <c r="M34" s="890">
        <f>IF(M5&gt;'Project Assumptions'!$D$15,IF(M5&lt;='Project Assumptions'!$D$15+'Project Assumptions'!$D$16,-SUM('Detailed Project Costs'!$F$23:$F$24)/'Project Assumptions'!$D$16,0),0)+IF('Project Assumptions'!$D$16=0,IF(M5='Project Assumptions'!$D$15,-SUM('Detailed Project Costs'!$F$23:$F$24),0),0)</f>
        <v/>
      </c>
      <c r="N34" s="890">
        <f>IF(N5&gt;'Project Assumptions'!$D$15,IF(N5&lt;='Project Assumptions'!$D$15+'Project Assumptions'!$D$16,-SUM('Detailed Project Costs'!$F$23:$F$24)/'Project Assumptions'!$D$16,0),0)+IF('Project Assumptions'!$D$16=0,IF(N5='Project Assumptions'!$D$15,-SUM('Detailed Project Costs'!$F$23:$F$24),0),0)</f>
        <v/>
      </c>
      <c r="O34" s="890">
        <f>IF(O5&gt;'Project Assumptions'!$D$15,IF(O5&lt;='Project Assumptions'!$D$15+'Project Assumptions'!$D$16,-SUM('Detailed Project Costs'!$F$23:$F$24)/'Project Assumptions'!$D$16,0),0)+IF('Project Assumptions'!$D$16=0,IF(O5='Project Assumptions'!$D$15,-SUM('Detailed Project Costs'!$F$23:$F$24),0),0)</f>
        <v/>
      </c>
      <c r="P34" s="890">
        <f>IF(P5&gt;'Project Assumptions'!$D$15,IF(P5&lt;='Project Assumptions'!$D$15+'Project Assumptions'!$D$16,-SUM('Detailed Project Costs'!$F$23:$F$24)/'Project Assumptions'!$D$16,0),0)+IF('Project Assumptions'!$D$16=0,IF(P5='Project Assumptions'!$D$15,-SUM('Detailed Project Costs'!$F$23:$F$24),0),0)</f>
        <v/>
      </c>
      <c r="Q34" s="890">
        <f>IF(Q5&gt;'Project Assumptions'!$D$15,IF(Q5&lt;='Project Assumptions'!$D$15+'Project Assumptions'!$D$16,-SUM('Detailed Project Costs'!$F$23:$F$24)/'Project Assumptions'!$D$16,0),0)+IF('Project Assumptions'!$D$16=0,IF(Q5='Project Assumptions'!$D$15,-SUM('Detailed Project Costs'!$F$23:$F$24),0),0)</f>
        <v/>
      </c>
      <c r="R34" s="890">
        <f>IF(R5&gt;'Project Assumptions'!$D$15,IF(R5&lt;='Project Assumptions'!$D$15+'Project Assumptions'!$D$16,-SUM('Detailed Project Costs'!$F$23:$F$24)/'Project Assumptions'!$D$16,0),0)+IF('Project Assumptions'!$D$16=0,IF(R5='Project Assumptions'!$D$15,-SUM('Detailed Project Costs'!$F$23:$F$24),0),0)</f>
        <v/>
      </c>
      <c r="S34" s="890">
        <f>IF(S5&gt;'Project Assumptions'!$D$15,IF(S5&lt;='Project Assumptions'!$D$15+'Project Assumptions'!$D$16,-SUM('Detailed Project Costs'!$F$23:$F$24)/'Project Assumptions'!$D$16,0),0)+IF('Project Assumptions'!$D$16=0,IF(S5='Project Assumptions'!$D$15,-SUM('Detailed Project Costs'!$F$23:$F$24),0),0)</f>
        <v/>
      </c>
      <c r="T34" s="890">
        <f>IF(T5&gt;'Project Assumptions'!$D$15,IF(T5&lt;='Project Assumptions'!$D$15+'Project Assumptions'!$D$16,-SUM('Detailed Project Costs'!$F$23:$F$24)/'Project Assumptions'!$D$16,0),0)+IF('Project Assumptions'!$D$16=0,IF(T5='Project Assumptions'!$D$15,-SUM('Detailed Project Costs'!$F$23:$F$24),0),0)</f>
        <v/>
      </c>
      <c r="U34" s="890">
        <f>IF(U5&gt;'Project Assumptions'!$D$15,IF(U5&lt;='Project Assumptions'!$D$15+'Project Assumptions'!$D$16,-SUM('Detailed Project Costs'!$F$23:$F$24)/'Project Assumptions'!$D$16,0),0)+IF('Project Assumptions'!$D$16=0,IF(U5='Project Assumptions'!$D$15,-SUM('Detailed Project Costs'!$F$23:$F$24),0),0)</f>
        <v/>
      </c>
      <c r="V34" s="890">
        <f>IF(V5&gt;'Project Assumptions'!$D$15,IF(V5&lt;='Project Assumptions'!$D$15+'Project Assumptions'!$D$16,-SUM('Detailed Project Costs'!$F$23:$F$24)/'Project Assumptions'!$D$16,0),0)+IF('Project Assumptions'!$D$16=0,IF(V5='Project Assumptions'!$D$15,-SUM('Detailed Project Costs'!$F$23:$F$24),0),0)</f>
        <v/>
      </c>
      <c r="W34" s="890">
        <f>IF(W5&gt;'Project Assumptions'!$D$15,IF(W5&lt;='Project Assumptions'!$D$15+'Project Assumptions'!$D$16,-SUM('Detailed Project Costs'!$F$23:$F$24)/'Project Assumptions'!$D$16,0),0)+IF('Project Assumptions'!$D$16=0,IF(W5='Project Assumptions'!$D$15,-SUM('Detailed Project Costs'!$F$23:$F$24),0),0)</f>
        <v/>
      </c>
      <c r="X34" s="890">
        <f>IF(X5&gt;'Project Assumptions'!$D$15,IF(X5&lt;='Project Assumptions'!$D$15+'Project Assumptions'!$D$16,-SUM('Detailed Project Costs'!$F$23:$F$24)/'Project Assumptions'!$D$16,0),0)+IF('Project Assumptions'!$D$16=0,IF(X5='Project Assumptions'!$D$15,-SUM('Detailed Project Costs'!$F$23:$F$24),0),0)</f>
        <v/>
      </c>
      <c r="Y34" s="890">
        <f>IF(Y5&gt;'Project Assumptions'!$D$15,IF(Y5&lt;='Project Assumptions'!$D$15+'Project Assumptions'!$D$16,-SUM('Detailed Project Costs'!$F$23:$F$24)/'Project Assumptions'!$D$16,0),0)+IF('Project Assumptions'!$D$16=0,IF(Y5='Project Assumptions'!$D$15,-SUM('Detailed Project Costs'!$F$23:$F$24),0),0)</f>
        <v/>
      </c>
      <c r="Z34" s="890">
        <f>IF(Z5&gt;'Project Assumptions'!$D$15,IF(Z5&lt;='Project Assumptions'!$D$15+'Project Assumptions'!$D$16,-SUM('Detailed Project Costs'!$F$23:$F$24)/'Project Assumptions'!$D$16,0),0)+IF('Project Assumptions'!$D$16=0,IF(Z5='Project Assumptions'!$D$15,-SUM('Detailed Project Costs'!$F$23:$F$24),0),0)</f>
        <v/>
      </c>
      <c r="AA34" s="890">
        <f>IF(AA5&gt;'Project Assumptions'!$D$15,IF(AA5&lt;='Project Assumptions'!$D$15+'Project Assumptions'!$D$16,-SUM('Detailed Project Costs'!$F$23:$F$24)/'Project Assumptions'!$D$16,0),0)+IF('Project Assumptions'!$D$16=0,IF(AA5='Project Assumptions'!$D$15,-SUM('Detailed Project Costs'!$F$23:$F$24),0),0)</f>
        <v/>
      </c>
      <c r="AB34" s="890">
        <f>IF(AB5&gt;'Project Assumptions'!$D$15,IF(AB5&lt;='Project Assumptions'!$D$15+'Project Assumptions'!$D$16,-SUM('Detailed Project Costs'!$F$23:$F$24)/'Project Assumptions'!$D$16,0),0)+IF('Project Assumptions'!$D$16=0,IF(AB5='Project Assumptions'!$D$15,-SUM('Detailed Project Costs'!$F$23:$F$24),0),0)</f>
        <v/>
      </c>
      <c r="AC34" s="890">
        <f>IF(AC5&gt;'Project Assumptions'!$D$15,IF(AC5&lt;='Project Assumptions'!$D$15+'Project Assumptions'!$D$16,-SUM('Detailed Project Costs'!$F$23:$F$24)/'Project Assumptions'!$D$16,0),0)+IF('Project Assumptions'!$D$16=0,IF(AC5='Project Assumptions'!$D$15,-SUM('Detailed Project Costs'!$F$23:$F$24),0),0)</f>
        <v/>
      </c>
      <c r="AD34" s="890">
        <f>IF(AD5&gt;'Project Assumptions'!$D$15,IF(AD5&lt;='Project Assumptions'!$D$15+'Project Assumptions'!$D$16,-SUM('Detailed Project Costs'!$F$23:$F$24)/'Project Assumptions'!$D$16,0),0)+IF('Project Assumptions'!$D$16=0,IF(AD5='Project Assumptions'!$D$15,-SUM('Detailed Project Costs'!$F$23:$F$24),0),0)</f>
        <v/>
      </c>
      <c r="AE34" s="890">
        <f>IF(AE5&gt;'Project Assumptions'!$D$15,IF(AE5&lt;='Project Assumptions'!$D$15+'Project Assumptions'!$D$16,-SUM('Detailed Project Costs'!$F$23:$F$24)/'Project Assumptions'!$D$16,0),0)+IF('Project Assumptions'!$D$16=0,IF(AE5='Project Assumptions'!$D$15,-SUM('Detailed Project Costs'!$F$23:$F$24),0),0)</f>
        <v/>
      </c>
      <c r="AF34" s="890">
        <f>IF(AF5&gt;'Project Assumptions'!$D$15,IF(AF5&lt;='Project Assumptions'!$D$15+'Project Assumptions'!$D$16,-SUM('Detailed Project Costs'!$F$23:$F$24)/'Project Assumptions'!$D$16,0),0)+IF('Project Assumptions'!$D$16=0,IF(AF5='Project Assumptions'!$D$15,-SUM('Detailed Project Costs'!$F$23:$F$24),0),0)</f>
        <v/>
      </c>
      <c r="AG34" s="890">
        <f>IF(AG5&gt;'Project Assumptions'!$D$15,IF(AG5&lt;='Project Assumptions'!$D$15+'Project Assumptions'!$D$16,-SUM('Detailed Project Costs'!$F$23:$F$24)/'Project Assumptions'!$D$16,0),0)+IF('Project Assumptions'!$D$16=0,IF(AG5='Project Assumptions'!$D$15,-SUM('Detailed Project Costs'!$F$23:$F$24),0),0)</f>
        <v/>
      </c>
      <c r="AH34" s="890">
        <f>IF(AH5&gt;'Project Assumptions'!$D$15,IF(AH5&lt;='Project Assumptions'!$D$15+'Project Assumptions'!$D$16,-SUM('Detailed Project Costs'!$F$23:$F$24)/'Project Assumptions'!$D$16,0),0)+IF('Project Assumptions'!$D$16=0,IF(AH5='Project Assumptions'!$D$15,-SUM('Detailed Project Costs'!$F$23:$F$24),0),0)</f>
        <v/>
      </c>
      <c r="AI34" s="890">
        <f>IF(AI5&gt;'Project Assumptions'!$D$15,IF(AI5&lt;='Project Assumptions'!$D$15+'Project Assumptions'!$D$16,-SUM('Detailed Project Costs'!$F$23:$F$24)/'Project Assumptions'!$D$16,0),0)+IF('Project Assumptions'!$D$16=0,IF(AI5='Project Assumptions'!$D$15,-SUM('Detailed Project Costs'!$F$23:$F$24),0),0)</f>
        <v/>
      </c>
      <c r="AJ34" s="890">
        <f>IF(AJ5&gt;'Project Assumptions'!$D$15,IF(AJ5&lt;='Project Assumptions'!$D$15+'Project Assumptions'!$D$16,-SUM('Detailed Project Costs'!$F$23:$F$24)/'Project Assumptions'!$D$16,0),0)+IF('Project Assumptions'!$D$16=0,IF(AJ5='Project Assumptions'!$D$15,-SUM('Detailed Project Costs'!$F$23:$F$24),0),0)</f>
        <v/>
      </c>
      <c r="AK34" s="890">
        <f>IF(AK5&gt;'Project Assumptions'!$D$15,IF(AK5&lt;='Project Assumptions'!$D$15+'Project Assumptions'!$D$16,-SUM('Detailed Project Costs'!$F$23:$F$24)/'Project Assumptions'!$D$16,0),0)+IF('Project Assumptions'!$D$16=0,IF(AK5='Project Assumptions'!$D$15,-SUM('Detailed Project Costs'!$F$23:$F$24),0),0)</f>
        <v/>
      </c>
      <c r="AL34" s="890">
        <f>IF(AL5&gt;'Project Assumptions'!$D$15,IF(AL5&lt;='Project Assumptions'!$D$15+'Project Assumptions'!$D$16,-SUM('Detailed Project Costs'!$F$23:$F$24)/'Project Assumptions'!$D$16,0),0)+IF('Project Assumptions'!$D$16=0,IF(AL5='Project Assumptions'!$D$15,-SUM('Detailed Project Costs'!$F$23:$F$24),0),0)</f>
        <v/>
      </c>
      <c r="AM34" s="890">
        <f>IF(AM5&gt;'Project Assumptions'!$D$15,IF(AM5&lt;='Project Assumptions'!$D$15+'Project Assumptions'!$D$16,-SUM('Detailed Project Costs'!$F$23:$F$24)/'Project Assumptions'!$D$16,0),0)+IF('Project Assumptions'!$D$16=0,IF(AM5='Project Assumptions'!$D$15,-SUM('Detailed Project Costs'!$F$23:$F$24),0),0)</f>
        <v/>
      </c>
      <c r="AN34" s="890">
        <f>IF(AN5&gt;'Project Assumptions'!$D$15,IF(AN5&lt;='Project Assumptions'!$D$15+'Project Assumptions'!$D$16,-SUM('Detailed Project Costs'!$F$23:$F$24)/'Project Assumptions'!$D$16,0),0)+IF('Project Assumptions'!$D$16=0,IF(AN5='Project Assumptions'!$D$15,-SUM('Detailed Project Costs'!$F$23:$F$24),0),0)</f>
        <v/>
      </c>
      <c r="AO34" s="890">
        <f>IF(AO5&gt;'Project Assumptions'!$D$15,IF(AO5&lt;='Project Assumptions'!$D$15+'Project Assumptions'!$D$16,-SUM('Detailed Project Costs'!$F$23:$F$24)/'Project Assumptions'!$D$16,0),0)+IF('Project Assumptions'!$D$16=0,IF(AO5='Project Assumptions'!$D$15,-SUM('Detailed Project Costs'!$F$23:$F$24),0),0)</f>
        <v/>
      </c>
      <c r="AP34" s="890">
        <f>IF(AP5&gt;'Project Assumptions'!$D$15,IF(AP5&lt;='Project Assumptions'!$D$15+'Project Assumptions'!$D$16,-SUM('Detailed Project Costs'!$F$23:$F$24)/'Project Assumptions'!$D$16,0),0)+IF('Project Assumptions'!$D$16=0,IF(AP5='Project Assumptions'!$D$15,-SUM('Detailed Project Costs'!$F$23:$F$24),0),0)</f>
        <v/>
      </c>
      <c r="AQ34" s="890">
        <f>IF(AQ5&gt;'Project Assumptions'!$D$15,IF(AQ5&lt;='Project Assumptions'!$D$15+'Project Assumptions'!$D$16,-SUM('Detailed Project Costs'!$F$23:$F$24)/'Project Assumptions'!$D$16,0),0)+IF('Project Assumptions'!$D$16=0,IF(AQ5='Project Assumptions'!$D$15,-SUM('Detailed Project Costs'!$F$23:$F$24),0),0)</f>
        <v/>
      </c>
      <c r="AR34" s="890">
        <f>IF(AR5&gt;'Project Assumptions'!$D$15,IF(AR5&lt;='Project Assumptions'!$D$15+'Project Assumptions'!$D$16,-SUM('Detailed Project Costs'!$F$23:$F$24)/'Project Assumptions'!$D$16,0),0)+IF('Project Assumptions'!$D$16=0,IF(AR5='Project Assumptions'!$D$15,-SUM('Detailed Project Costs'!$F$23:$F$24),0),0)</f>
        <v/>
      </c>
      <c r="AS34" s="890">
        <f>IF(AS5&gt;'Project Assumptions'!$D$15,IF(AS5&lt;='Project Assumptions'!$D$15+'Project Assumptions'!$D$16,-SUM('Detailed Project Costs'!$F$23:$F$24)/'Project Assumptions'!$D$16,0),0)+IF('Project Assumptions'!$D$16=0,IF(AS5='Project Assumptions'!$D$15,-SUM('Detailed Project Costs'!$F$23:$F$24),0),0)</f>
        <v/>
      </c>
      <c r="AT34" s="890">
        <f>IF(AT5&gt;'Project Assumptions'!$D$15,IF(AT5&lt;='Project Assumptions'!$D$15+'Project Assumptions'!$D$16,-SUM('Detailed Project Costs'!$F$23:$F$24)/'Project Assumptions'!$D$16,0),0)+IF('Project Assumptions'!$D$16=0,IF(AT5='Project Assumptions'!$D$15,-SUM('Detailed Project Costs'!$F$23:$F$24),0),0)</f>
        <v/>
      </c>
      <c r="AU34" s="890">
        <f>IF(AU5&gt;'Project Assumptions'!$D$15,IF(AU5&lt;='Project Assumptions'!$D$15+'Project Assumptions'!$D$16,-SUM('Detailed Project Costs'!$F$23:$F$24)/'Project Assumptions'!$D$16,0),0)+IF('Project Assumptions'!$D$16=0,IF(AU5='Project Assumptions'!$D$15,-SUM('Detailed Project Costs'!$F$23:$F$24),0),0)</f>
        <v/>
      </c>
      <c r="AV34" s="890">
        <f>IF(AV5&gt;'Project Assumptions'!$D$15,IF(AV5&lt;='Project Assumptions'!$D$15+'Project Assumptions'!$D$16,-SUM('Detailed Project Costs'!$F$23:$F$24)/'Project Assumptions'!$D$16,0),0)+IF('Project Assumptions'!$D$16=0,IF(AV5='Project Assumptions'!$D$15,-SUM('Detailed Project Costs'!$F$23:$F$24),0),0)</f>
        <v/>
      </c>
      <c r="AW34" s="890">
        <f>IF(AW5&gt;'Project Assumptions'!$D$15,IF(AW5&lt;='Project Assumptions'!$D$15+'Project Assumptions'!$D$16,-SUM('Detailed Project Costs'!$F$23:$F$24)/'Project Assumptions'!$D$16,0),0)+IF('Project Assumptions'!$D$16=0,IF(AW5='Project Assumptions'!$D$15,-SUM('Detailed Project Costs'!$F$23:$F$24),0),0)</f>
        <v/>
      </c>
      <c r="AX34" s="890">
        <f>IF(AX5&gt;'Project Assumptions'!$D$15,IF(AX5&lt;='Project Assumptions'!$D$15+'Project Assumptions'!$D$16,-SUM('Detailed Project Costs'!$F$23:$F$24)/'Project Assumptions'!$D$16,0),0)+IF('Project Assumptions'!$D$16=0,IF(AX5='Project Assumptions'!$D$15,-SUM('Detailed Project Costs'!$F$23:$F$24),0),0)</f>
        <v/>
      </c>
      <c r="AY34" s="890">
        <f>IF(AY5&gt;'Project Assumptions'!$D$15,IF(AY5&lt;='Project Assumptions'!$D$15+'Project Assumptions'!$D$16,-SUM('Detailed Project Costs'!$F$23:$F$24)/'Project Assumptions'!$D$16,0),0)+IF('Project Assumptions'!$D$16=0,IF(AY5='Project Assumptions'!$D$15,-SUM('Detailed Project Costs'!$F$23:$F$24),0),0)</f>
        <v/>
      </c>
      <c r="AZ34" s="890">
        <f>IF(AZ5&gt;'Project Assumptions'!$D$15,IF(AZ5&lt;='Project Assumptions'!$D$15+'Project Assumptions'!$D$16,-SUM('Detailed Project Costs'!$F$23:$F$24)/'Project Assumptions'!$D$16,0),0)+IF('Project Assumptions'!$D$16=0,IF(AZ5='Project Assumptions'!$D$15,-SUM('Detailed Project Costs'!$F$23:$F$24),0),0)</f>
        <v/>
      </c>
      <c r="BA34" s="890">
        <f>IF(BA5&gt;'Project Assumptions'!$D$15,IF(BA5&lt;='Project Assumptions'!$D$15+'Project Assumptions'!$D$16,-SUM('Detailed Project Costs'!$F$23:$F$24)/'Project Assumptions'!$D$16,0),0)+IF('Project Assumptions'!$D$16=0,IF(BA5='Project Assumptions'!$D$15,-SUM('Detailed Project Costs'!$F$23:$F$24),0),0)</f>
        <v/>
      </c>
      <c r="BB34" s="890">
        <f>IF(BB5&gt;'Project Assumptions'!$D$15,IF(BB5&lt;='Project Assumptions'!$D$15+'Project Assumptions'!$D$16,-SUM('Detailed Project Costs'!$F$23:$F$24)/'Project Assumptions'!$D$16,0),0)+IF('Project Assumptions'!$D$16=0,IF(BB5='Project Assumptions'!$D$15,-SUM('Detailed Project Costs'!$F$23:$F$24),0),0)</f>
        <v/>
      </c>
      <c r="BC34" s="890">
        <f>IF(BC5&gt;'Project Assumptions'!$D$15,IF(BC5&lt;='Project Assumptions'!$D$15+'Project Assumptions'!$D$16,-SUM('Detailed Project Costs'!$F$23:$F$24)/'Project Assumptions'!$D$16,0),0)+IF('Project Assumptions'!$D$16=0,IF(BC5='Project Assumptions'!$D$15,-SUM('Detailed Project Costs'!$F$23:$F$24),0),0)</f>
        <v/>
      </c>
      <c r="BD34" s="890">
        <f>IF(BD5&gt;'Project Assumptions'!$D$15,IF(BD5&lt;='Project Assumptions'!$D$15+'Project Assumptions'!$D$16,-SUM('Detailed Project Costs'!$F$23:$F$24)/'Project Assumptions'!$D$16,0),0)+IF('Project Assumptions'!$D$16=0,IF(BD5='Project Assumptions'!$D$15,-SUM('Detailed Project Costs'!$F$23:$F$24),0),0)</f>
        <v/>
      </c>
      <c r="BE34" s="890">
        <f>IF(BE5&gt;'Project Assumptions'!$D$15,IF(BE5&lt;='Project Assumptions'!$D$15+'Project Assumptions'!$D$16,-SUM('Detailed Project Costs'!$F$23:$F$24)/'Project Assumptions'!$D$16,0),0)+IF('Project Assumptions'!$D$16=0,IF(BE5='Project Assumptions'!$D$15,-SUM('Detailed Project Costs'!$F$23:$F$24),0),0)</f>
        <v/>
      </c>
      <c r="BF34" s="890">
        <f>IF(BF5&gt;'Project Assumptions'!$D$15,IF(BF5&lt;='Project Assumptions'!$D$15+'Project Assumptions'!$D$16,-SUM('Detailed Project Costs'!$F$23:$F$24)/'Project Assumptions'!$D$16,0),0)+IF('Project Assumptions'!$D$16=0,IF(BF5='Project Assumptions'!$D$15,-SUM('Detailed Project Costs'!$F$23:$F$24),0),0)</f>
        <v/>
      </c>
      <c r="BG34" s="890">
        <f>IF(BG5&gt;'Project Assumptions'!$D$15,IF(BG5&lt;='Project Assumptions'!$D$15+'Project Assumptions'!$D$16,-SUM('Detailed Project Costs'!$F$23:$F$24)/'Project Assumptions'!$D$16,0),0)+IF('Project Assumptions'!$D$16=0,IF(BG5='Project Assumptions'!$D$15,-SUM('Detailed Project Costs'!$F$23:$F$24),0),0)</f>
        <v/>
      </c>
      <c r="BH34" s="890">
        <f>IF(BH5&gt;'Project Assumptions'!$D$15,IF(BH5&lt;='Project Assumptions'!$D$15+'Project Assumptions'!$D$16,-SUM('Detailed Project Costs'!$F$23:$F$24)/'Project Assumptions'!$D$16,0),0)+IF('Project Assumptions'!$D$16=0,IF(BH5='Project Assumptions'!$D$15,-SUM('Detailed Project Costs'!$F$23:$F$24),0),0)</f>
        <v/>
      </c>
      <c r="BI34" s="890">
        <f>IF(BI5&gt;'Project Assumptions'!$D$15,IF(BI5&lt;='Project Assumptions'!$D$15+'Project Assumptions'!$D$16,-SUM('Detailed Project Costs'!$F$23:$F$24)/'Project Assumptions'!$D$16,0),0)+IF('Project Assumptions'!$D$16=0,IF(BI5='Project Assumptions'!$D$15,-SUM('Detailed Project Costs'!$F$23:$F$24),0),0)</f>
        <v/>
      </c>
      <c r="BJ34" s="890">
        <f>IF(BJ5&gt;'Project Assumptions'!$D$15,IF(BJ5&lt;='Project Assumptions'!$D$15+'Project Assumptions'!$D$16,-SUM('Detailed Project Costs'!$F$23:$F$24)/'Project Assumptions'!$D$16,0),0)+IF('Project Assumptions'!$D$16=0,IF(BJ5='Project Assumptions'!$D$15,-SUM('Detailed Project Costs'!$F$23:$F$24),0),0)</f>
        <v/>
      </c>
      <c r="BK34" s="890">
        <f>IF(BK5&gt;'Project Assumptions'!$D$15,IF(BK5&lt;='Project Assumptions'!$D$15+'Project Assumptions'!$D$16,-SUM('Detailed Project Costs'!$F$23:$F$24)/'Project Assumptions'!$D$16,0),0)+IF('Project Assumptions'!$D$16=0,IF(BK5='Project Assumptions'!$D$15,-SUM('Detailed Project Costs'!$F$23:$F$24),0),0)</f>
        <v/>
      </c>
      <c r="BL34" s="890">
        <f>IF(BL5&gt;'Project Assumptions'!$D$15,IF(BL5&lt;='Project Assumptions'!$D$15+'Project Assumptions'!$D$16,-SUM('Detailed Project Costs'!$F$23:$F$24)/'Project Assumptions'!$D$16,0),0)+IF('Project Assumptions'!$D$16=0,IF(BL5='Project Assumptions'!$D$15,-SUM('Detailed Project Costs'!$F$23:$F$24),0),0)</f>
        <v/>
      </c>
      <c r="BM34" s="890">
        <f>IF(BM5&gt;'Project Assumptions'!$D$15,IF(BM5&lt;='Project Assumptions'!$D$15+'Project Assumptions'!$D$16,-SUM('Detailed Project Costs'!$F$23:$F$24)/'Project Assumptions'!$D$16,0),0)+IF('Project Assumptions'!$D$16=0,IF(BM5='Project Assumptions'!$D$15,-SUM('Detailed Project Costs'!$F$23:$F$24),0),0)</f>
        <v/>
      </c>
      <c r="BN34" s="890">
        <f>IF(BN5&gt;'Project Assumptions'!$D$15,IF(BN5&lt;='Project Assumptions'!$D$15+'Project Assumptions'!$D$16,-SUM('Detailed Project Costs'!$F$23:$F$24)/'Project Assumptions'!$D$16,0),0)+IF('Project Assumptions'!$D$16=0,IF(BN5='Project Assumptions'!$D$15,-SUM('Detailed Project Costs'!$F$23:$F$24),0),0)</f>
        <v/>
      </c>
      <c r="BO34" s="890">
        <f>IF(BO5&gt;'Project Assumptions'!$D$15,IF(BO5&lt;='Project Assumptions'!$D$15+'Project Assumptions'!$D$16,-SUM('Detailed Project Costs'!$F$23:$F$24)/'Project Assumptions'!$D$16,0),0)+IF('Project Assumptions'!$D$16=0,IF(BO5='Project Assumptions'!$D$15,-SUM('Detailed Project Costs'!$F$23:$F$24),0),0)</f>
        <v/>
      </c>
      <c r="BP34" s="890">
        <f>IF(BP5&gt;'Project Assumptions'!$D$15,IF(BP5&lt;='Project Assumptions'!$D$15+'Project Assumptions'!$D$16,-SUM('Detailed Project Costs'!$F$23:$F$24)/'Project Assumptions'!$D$16,0),0)+IF('Project Assumptions'!$D$16=0,IF(BP5='Project Assumptions'!$D$15,-SUM('Detailed Project Costs'!$F$23:$F$24),0),0)</f>
        <v/>
      </c>
      <c r="BQ34" s="890">
        <f>IF(BQ5&gt;'Project Assumptions'!$D$15,IF(BQ5&lt;='Project Assumptions'!$D$15+'Project Assumptions'!$D$16,-SUM('Detailed Project Costs'!$F$23:$F$24)/'Project Assumptions'!$D$16,0),0)+IF('Project Assumptions'!$D$16=0,IF(BQ5='Project Assumptions'!$D$15,-SUM('Detailed Project Costs'!$F$23:$F$24),0),0)</f>
        <v/>
      </c>
      <c r="BR34" s="890">
        <f>IF(BR5&gt;'Project Assumptions'!$D$15,IF(BR5&lt;='Project Assumptions'!$D$15+'Project Assumptions'!$D$16,-SUM('Detailed Project Costs'!$F$23:$F$24)/'Project Assumptions'!$D$16,0),0)+IF('Project Assumptions'!$D$16=0,IF(BR5='Project Assumptions'!$D$15,-SUM('Detailed Project Costs'!$F$23:$F$24),0),0)</f>
        <v/>
      </c>
      <c r="BS34" s="890">
        <f>IF(BS5&gt;'Project Assumptions'!$D$15,IF(BS5&lt;='Project Assumptions'!$D$15+'Project Assumptions'!$D$16,-SUM('Detailed Project Costs'!$F$23:$F$24)/'Project Assumptions'!$D$16,0),0)+IF('Project Assumptions'!$D$16=0,IF(BS5='Project Assumptions'!$D$15,-SUM('Detailed Project Costs'!$F$23:$F$24),0),0)</f>
        <v/>
      </c>
      <c r="BT34" s="890">
        <f>IF(BT5&gt;'Project Assumptions'!$D$15,IF(BT5&lt;='Project Assumptions'!$D$15+'Project Assumptions'!$D$16,-SUM('Detailed Project Costs'!$F$23:$F$24)/'Project Assumptions'!$D$16,0),0)+IF('Project Assumptions'!$D$16=0,IF(BT5='Project Assumptions'!$D$15,-SUM('Detailed Project Costs'!$F$23:$F$24),0),0)</f>
        <v/>
      </c>
      <c r="BU34" s="890">
        <f>IF(BU5&gt;'Project Assumptions'!$D$15,IF(BU5&lt;='Project Assumptions'!$D$15+'Project Assumptions'!$D$16,-SUM('Detailed Project Costs'!$F$23:$F$24)/'Project Assumptions'!$D$16,0),0)+IF('Project Assumptions'!$D$16=0,IF(BU5='Project Assumptions'!$D$15,-SUM('Detailed Project Costs'!$F$23:$F$24),0),0)</f>
        <v/>
      </c>
      <c r="BV34" s="890">
        <f>IF(BV5&gt;'Project Assumptions'!$D$15,IF(BV5&lt;='Project Assumptions'!$D$15+'Project Assumptions'!$D$16,-SUM('Detailed Project Costs'!$F$23:$F$24)/'Project Assumptions'!$D$16,0),0)+IF('Project Assumptions'!$D$16=0,IF(BV5='Project Assumptions'!$D$15,-SUM('Detailed Project Costs'!$F$23:$F$24),0),0)</f>
        <v/>
      </c>
      <c r="BW34" s="890">
        <f>IF(BW5&gt;'Project Assumptions'!$D$15,IF(BW5&lt;='Project Assumptions'!$D$15+'Project Assumptions'!$D$16,-SUM('Detailed Project Costs'!$F$23:$F$24)/'Project Assumptions'!$D$16,0),0)+IF('Project Assumptions'!$D$16=0,IF(BW5='Project Assumptions'!$D$15,-SUM('Detailed Project Costs'!$F$23:$F$24),0),0)</f>
        <v/>
      </c>
      <c r="BX34" s="890">
        <f>IF(BX5&gt;'Project Assumptions'!$D$15,IF(BX5&lt;='Project Assumptions'!$D$15+'Project Assumptions'!$D$16,-SUM('Detailed Project Costs'!$F$23:$F$24)/'Project Assumptions'!$D$16,0),0)+IF('Project Assumptions'!$D$16=0,IF(BX5='Project Assumptions'!$D$15,-SUM('Detailed Project Costs'!$F$23:$F$24),0),0)</f>
        <v/>
      </c>
      <c r="BY34" s="890">
        <f>IF(BY5&gt;'Project Assumptions'!$D$15,IF(BY5&lt;='Project Assumptions'!$D$15+'Project Assumptions'!$D$16,-SUM('Detailed Project Costs'!$F$23:$F$24)/'Project Assumptions'!$D$16,0),0)+IF('Project Assumptions'!$D$16=0,IF(BY5='Project Assumptions'!$D$15,-SUM('Detailed Project Costs'!$F$23:$F$24),0),0)</f>
        <v/>
      </c>
      <c r="BZ34" s="890">
        <f>IF(BZ5&gt;'Project Assumptions'!$D$15,IF(BZ5&lt;='Project Assumptions'!$D$15+'Project Assumptions'!$D$16,-SUM('Detailed Project Costs'!$F$23:$F$24)/'Project Assumptions'!$D$16,0),0)+IF('Project Assumptions'!$D$16=0,IF(BZ5='Project Assumptions'!$D$15,-SUM('Detailed Project Costs'!$F$23:$F$24),0),0)</f>
        <v/>
      </c>
      <c r="CA34" s="890">
        <f>IF(CA5&gt;'Project Assumptions'!$D$15,IF(CA5&lt;='Project Assumptions'!$D$15+'Project Assumptions'!$D$16,-SUM('Detailed Project Costs'!$F$23:$F$24)/'Project Assumptions'!$D$16,0),0)+IF('Project Assumptions'!$D$16=0,IF(CA5='Project Assumptions'!$D$15,-SUM('Detailed Project Costs'!$F$23:$F$24),0),0)</f>
        <v/>
      </c>
      <c r="CB34" s="890">
        <f>IF(CB5&gt;'Project Assumptions'!$D$15,IF(CB5&lt;='Project Assumptions'!$D$15+'Project Assumptions'!$D$16,-SUM('Detailed Project Costs'!$F$23:$F$24)/'Project Assumptions'!$D$16,0),0)+IF('Project Assumptions'!$D$16=0,IF(CB5='Project Assumptions'!$D$15,-SUM('Detailed Project Costs'!$F$23:$F$24),0),0)</f>
        <v/>
      </c>
      <c r="CC34" s="890">
        <f>IF(CC5&gt;'Project Assumptions'!$D$15,IF(CC5&lt;='Project Assumptions'!$D$15+'Project Assumptions'!$D$16,-SUM('Detailed Project Costs'!$F$23:$F$24)/'Project Assumptions'!$D$16,0),0)+IF('Project Assumptions'!$D$16=0,IF(CC5='Project Assumptions'!$D$15,-SUM('Detailed Project Costs'!$F$23:$F$24),0),0)</f>
        <v/>
      </c>
      <c r="CD34" s="890">
        <f>IF(CD5&gt;'Project Assumptions'!$D$15,IF(CD5&lt;='Project Assumptions'!$D$15+'Project Assumptions'!$D$16,-SUM('Detailed Project Costs'!$F$23:$F$24)/'Project Assumptions'!$D$16,0),0)+IF('Project Assumptions'!$D$16=0,IF(CD5='Project Assumptions'!$D$15,-SUM('Detailed Project Costs'!$F$23:$F$24),0),0)</f>
        <v/>
      </c>
      <c r="CE34" s="890">
        <f>IF(CE5&gt;'Project Assumptions'!$D$15,IF(CE5&lt;='Project Assumptions'!$D$15+'Project Assumptions'!$D$16,-SUM('Detailed Project Costs'!$F$23:$F$24)/'Project Assumptions'!$D$16,0),0)+IF('Project Assumptions'!$D$16=0,IF(CE5='Project Assumptions'!$D$15,-SUM('Detailed Project Costs'!$F$23:$F$24),0),0)</f>
        <v/>
      </c>
      <c r="CF34" s="890">
        <f>IF(CF5&gt;'Project Assumptions'!$D$15,IF(CF5&lt;='Project Assumptions'!$D$15+'Project Assumptions'!$D$16,-SUM('Detailed Project Costs'!$F$23:$F$24)/'Project Assumptions'!$D$16,0),0)+IF('Project Assumptions'!$D$16=0,IF(CF5='Project Assumptions'!$D$15,-SUM('Detailed Project Costs'!$F$23:$F$24),0),0)</f>
        <v/>
      </c>
      <c r="CG34" s="890">
        <f>IF(CG5&gt;'Project Assumptions'!$D$15,IF(CG5&lt;='Project Assumptions'!$D$15+'Project Assumptions'!$D$16,-SUM('Detailed Project Costs'!$F$23:$F$24)/'Project Assumptions'!$D$16,0),0)+IF('Project Assumptions'!$D$16=0,IF(CG5='Project Assumptions'!$D$15,-SUM('Detailed Project Costs'!$F$23:$F$24),0),0)</f>
        <v/>
      </c>
      <c r="CH34" s="890">
        <f>IF(CH5&gt;'Project Assumptions'!$D$15,IF(CH5&lt;='Project Assumptions'!$D$15+'Project Assumptions'!$D$16,-SUM('Detailed Project Costs'!$F$23:$F$24)/'Project Assumptions'!$D$16,0),0)+IF('Project Assumptions'!$D$16=0,IF(CH5='Project Assumptions'!$D$15,-SUM('Detailed Project Costs'!$F$23:$F$24),0),0)</f>
        <v/>
      </c>
      <c r="CI34" s="890">
        <f>IF(CI5&gt;'Project Assumptions'!$D$15,IF(CI5&lt;='Project Assumptions'!$D$15+'Project Assumptions'!$D$16,-SUM('Detailed Project Costs'!$F$23:$F$24)/'Project Assumptions'!$D$16,0),0)+IF('Project Assumptions'!$D$16=0,IF(CI5='Project Assumptions'!$D$15,-SUM('Detailed Project Costs'!$F$23:$F$24),0),0)</f>
        <v/>
      </c>
      <c r="CJ34" s="890">
        <f>IF(CJ5&gt;'Project Assumptions'!$D$15,IF(CJ5&lt;='Project Assumptions'!$D$15+'Project Assumptions'!$D$16,-SUM('Detailed Project Costs'!$F$23:$F$24)/'Project Assumptions'!$D$16,0),0)+IF('Project Assumptions'!$D$16=0,IF(CJ5='Project Assumptions'!$D$15,-SUM('Detailed Project Costs'!$F$23:$F$24),0),0)</f>
        <v/>
      </c>
      <c r="CK34" s="890">
        <f>IF(CK5&gt;'Project Assumptions'!$D$15,IF(CK5&lt;='Project Assumptions'!$D$15+'Project Assumptions'!$D$16,-SUM('Detailed Project Costs'!$F$23:$F$24)/'Project Assumptions'!$D$16,0),0)+IF('Project Assumptions'!$D$16=0,IF(CK5='Project Assumptions'!$D$15,-SUM('Detailed Project Costs'!$F$23:$F$24),0),0)</f>
        <v/>
      </c>
      <c r="CL34" s="890">
        <f>IF(CL5&gt;'Project Assumptions'!$D$15,IF(CL5&lt;='Project Assumptions'!$D$15+'Project Assumptions'!$D$16,-SUM('Detailed Project Costs'!$F$23:$F$24)/'Project Assumptions'!$D$16,0),0)+IF('Project Assumptions'!$D$16=0,IF(CL5='Project Assumptions'!$D$15,-SUM('Detailed Project Costs'!$F$23:$F$24),0),0)</f>
        <v/>
      </c>
      <c r="CM34" s="890">
        <f>IF(CM5&gt;'Project Assumptions'!$D$15,IF(CM5&lt;='Project Assumptions'!$D$15+'Project Assumptions'!$D$16,-SUM('Detailed Project Costs'!$F$23:$F$24)/'Project Assumptions'!$D$16,0),0)+IF('Project Assumptions'!$D$16=0,IF(CM5='Project Assumptions'!$D$15,-SUM('Detailed Project Costs'!$F$23:$F$24),0),0)</f>
        <v/>
      </c>
      <c r="CN34" s="890">
        <f>IF(CN5&gt;'Project Assumptions'!$D$15,IF(CN5&lt;='Project Assumptions'!$D$15+'Project Assumptions'!$D$16,-SUM('Detailed Project Costs'!$F$23:$F$24)/'Project Assumptions'!$D$16,0),0)+IF('Project Assumptions'!$D$16=0,IF(CN5='Project Assumptions'!$D$15,-SUM('Detailed Project Costs'!$F$23:$F$24),0),0)</f>
        <v/>
      </c>
      <c r="CO34" s="890">
        <f>IF(CO5&gt;'Project Assumptions'!$D$15,IF(CO5&lt;='Project Assumptions'!$D$15+'Project Assumptions'!$D$16,-SUM('Detailed Project Costs'!$F$23:$F$24)/'Project Assumptions'!$D$16,0),0)+IF('Project Assumptions'!$D$16=0,IF(CO5='Project Assumptions'!$D$15,-SUM('Detailed Project Costs'!$F$23:$F$24),0),0)</f>
        <v/>
      </c>
      <c r="CP34" s="890">
        <f>IF(CP5&gt;'Project Assumptions'!$D$15,IF(CP5&lt;='Project Assumptions'!$D$15+'Project Assumptions'!$D$16,-SUM('Detailed Project Costs'!$F$23:$F$24)/'Project Assumptions'!$D$16,0),0)+IF('Project Assumptions'!$D$16=0,IF(CP5='Project Assumptions'!$D$15,-SUM('Detailed Project Costs'!$F$23:$F$24),0),0)</f>
        <v/>
      </c>
      <c r="CQ34" s="890">
        <f>IF(CQ5&gt;'Project Assumptions'!$D$15,IF(CQ5&lt;='Project Assumptions'!$D$15+'Project Assumptions'!$D$16,-SUM('Detailed Project Costs'!$F$23:$F$24)/'Project Assumptions'!$D$16,0),0)+IF('Project Assumptions'!$D$16=0,IF(CQ5='Project Assumptions'!$D$15,-SUM('Detailed Project Costs'!$F$23:$F$24),0),0)</f>
        <v/>
      </c>
      <c r="CR34" s="890">
        <f>IF(CR5&gt;'Project Assumptions'!$D$15,IF(CR5&lt;='Project Assumptions'!$D$15+'Project Assumptions'!$D$16,-SUM('Detailed Project Costs'!$F$23:$F$24)/'Project Assumptions'!$D$16,0),0)+IF('Project Assumptions'!$D$16=0,IF(CR5='Project Assumptions'!$D$15,-SUM('Detailed Project Costs'!$F$23:$F$24),0),0)</f>
        <v/>
      </c>
      <c r="CS34" s="890">
        <f>IF(CS5&gt;'Project Assumptions'!$D$15,IF(CS5&lt;='Project Assumptions'!$D$15+'Project Assumptions'!$D$16,-SUM('Detailed Project Costs'!$F$23:$F$24)/'Project Assumptions'!$D$16,0),0)+IF('Project Assumptions'!$D$16=0,IF(CS5='Project Assumptions'!$D$15,-SUM('Detailed Project Costs'!$F$23:$F$24),0),0)</f>
        <v/>
      </c>
      <c r="CT34" s="890">
        <f>IF(CT5&gt;'Project Assumptions'!$D$15,IF(CT5&lt;='Project Assumptions'!$D$15+'Project Assumptions'!$D$16,-SUM('Detailed Project Costs'!$F$23:$F$24)/'Project Assumptions'!$D$16,0),0)+IF('Project Assumptions'!$D$16=0,IF(CT5='Project Assumptions'!$D$15,-SUM('Detailed Project Costs'!$F$23:$F$24),0),0)</f>
        <v/>
      </c>
      <c r="CU34" s="890">
        <f>IF(CU5&gt;'Project Assumptions'!$D$15,IF(CU5&lt;='Project Assumptions'!$D$15+'Project Assumptions'!$D$16,-SUM('Detailed Project Costs'!$F$23:$F$24)/'Project Assumptions'!$D$16,0),0)+IF('Project Assumptions'!$D$16=0,IF(CU5='Project Assumptions'!$D$15,-SUM('Detailed Project Costs'!$F$23:$F$24),0),0)</f>
        <v/>
      </c>
      <c r="CV34" s="890">
        <f>IF(CV5&gt;'Project Assumptions'!$D$15,IF(CV5&lt;='Project Assumptions'!$D$15+'Project Assumptions'!$D$16,-SUM('Detailed Project Costs'!$F$23:$F$24)/'Project Assumptions'!$D$16,0),0)+IF('Project Assumptions'!$D$16=0,IF(CV5='Project Assumptions'!$D$15,-SUM('Detailed Project Costs'!$F$23:$F$24),0),0)</f>
        <v/>
      </c>
      <c r="CW34" s="890">
        <f>IF(CW5&gt;'Project Assumptions'!$D$15,IF(CW5&lt;='Project Assumptions'!$D$15+'Project Assumptions'!$D$16,-SUM('Detailed Project Costs'!$F$23:$F$24)/'Project Assumptions'!$D$16,0),0)+IF('Project Assumptions'!$D$16=0,IF(CW5='Project Assumptions'!$D$15,-SUM('Detailed Project Costs'!$F$23:$F$24),0),0)</f>
        <v/>
      </c>
      <c r="CX34" s="890">
        <f>IF(CX5&gt;'Project Assumptions'!$D$15,IF(CX5&lt;='Project Assumptions'!$D$15+'Project Assumptions'!$D$16,-SUM('Detailed Project Costs'!$F$23:$F$24)/'Project Assumptions'!$D$16,0),0)+IF('Project Assumptions'!$D$16=0,IF(CX5='Project Assumptions'!$D$15,-SUM('Detailed Project Costs'!$F$23:$F$24),0),0)</f>
        <v/>
      </c>
      <c r="CY34" s="890">
        <f>IF(CY5&gt;'Project Assumptions'!$D$15,IF(CY5&lt;='Project Assumptions'!$D$15+'Project Assumptions'!$D$16,-SUM('Detailed Project Costs'!$F$23:$F$24)/'Project Assumptions'!$D$16,0),0)+IF('Project Assumptions'!$D$16=0,IF(CY5='Project Assumptions'!$D$15,-SUM('Detailed Project Costs'!$F$23:$F$24),0),0)</f>
        <v/>
      </c>
      <c r="CZ34" s="890">
        <f>IF(CZ5&gt;'Project Assumptions'!$D$15,IF(CZ5&lt;='Project Assumptions'!$D$15+'Project Assumptions'!$D$16,-SUM('Detailed Project Costs'!$F$23:$F$24)/'Project Assumptions'!$D$16,0),0)+IF('Project Assumptions'!$D$16=0,IF(CZ5='Project Assumptions'!$D$15,-SUM('Detailed Project Costs'!$F$23:$F$24),0),0)</f>
        <v/>
      </c>
      <c r="DA34" s="890">
        <f>IF(DA5&gt;'Project Assumptions'!$D$15,IF(DA5&lt;='Project Assumptions'!$D$15+'Project Assumptions'!$D$16,-SUM('Detailed Project Costs'!$F$23:$F$24)/'Project Assumptions'!$D$16,0),0)+IF('Project Assumptions'!$D$16=0,IF(DA5='Project Assumptions'!$D$15,-SUM('Detailed Project Costs'!$F$23:$F$24),0),0)</f>
        <v/>
      </c>
      <c r="DB34" s="890">
        <f>IF(DB5&gt;'Project Assumptions'!$D$15,IF(DB5&lt;='Project Assumptions'!$D$15+'Project Assumptions'!$D$16,-SUM('Detailed Project Costs'!$F$23:$F$24)/'Project Assumptions'!$D$16,0),0)+IF('Project Assumptions'!$D$16=0,IF(DB5='Project Assumptions'!$D$15,-SUM('Detailed Project Costs'!$F$23:$F$24),0),0)</f>
        <v/>
      </c>
      <c r="DC34" s="890" t="n"/>
      <c r="DD34" s="297">
        <f>SUM(F34:DB34)</f>
        <v/>
      </c>
    </row>
    <row r="35">
      <c r="A35" s="699" t="inlineStr">
        <is>
          <t>Tenant Improvements</t>
        </is>
      </c>
      <c r="B35" s="791" t="inlineStr">
        <is>
          <t xml:space="preserve">   Hard Costs</t>
        </is>
      </c>
      <c r="C35" s="700" t="n"/>
      <c r="D35" s="292">
        <f>DD35</f>
        <v/>
      </c>
      <c r="E35" s="641" t="n"/>
      <c r="F35" s="293">
        <f>SUM(F36:F45)</f>
        <v/>
      </c>
      <c r="G35" s="293">
        <f>SUM(G36:G45)</f>
        <v/>
      </c>
      <c r="H35" s="293">
        <f>SUM(H36:H45)</f>
        <v/>
      </c>
      <c r="I35" s="293">
        <f>SUM(I36:I45)</f>
        <v/>
      </c>
      <c r="J35" s="293">
        <f>SUM(J36:J45)</f>
        <v/>
      </c>
      <c r="K35" s="293">
        <f>SUM(K36:K45)</f>
        <v/>
      </c>
      <c r="L35" s="293">
        <f>SUM(L36:L45)</f>
        <v/>
      </c>
      <c r="M35" s="293">
        <f>SUM(M36:M45)</f>
        <v/>
      </c>
      <c r="N35" s="293">
        <f>SUM(N36:N45)</f>
        <v/>
      </c>
      <c r="O35" s="293">
        <f>SUM(O36:O45)</f>
        <v/>
      </c>
      <c r="P35" s="293">
        <f>SUM(P36:P45)</f>
        <v/>
      </c>
      <c r="Q35" s="293">
        <f>SUM(Q36:Q45)</f>
        <v/>
      </c>
      <c r="R35" s="293">
        <f>SUM(R36:R45)</f>
        <v/>
      </c>
      <c r="S35" s="293">
        <f>SUM(S36:S45)</f>
        <v/>
      </c>
      <c r="T35" s="293">
        <f>SUM(T36:T45)</f>
        <v/>
      </c>
      <c r="U35" s="293">
        <f>SUM(U36:U45)</f>
        <v/>
      </c>
      <c r="V35" s="293">
        <f>SUM(V36:V45)</f>
        <v/>
      </c>
      <c r="W35" s="293">
        <f>SUM(W36:W45)</f>
        <v/>
      </c>
      <c r="X35" s="293">
        <f>SUM(X36:X45)</f>
        <v/>
      </c>
      <c r="Y35" s="293">
        <f>SUM(Y36:Y45)</f>
        <v/>
      </c>
      <c r="Z35" s="293">
        <f>SUM(Z36:Z45)</f>
        <v/>
      </c>
      <c r="AA35" s="293">
        <f>SUM(AA36:AA45)</f>
        <v/>
      </c>
      <c r="AB35" s="293">
        <f>SUM(AB36:AB45)</f>
        <v/>
      </c>
      <c r="AC35" s="293">
        <f>SUM(AC36:AC45)</f>
        <v/>
      </c>
      <c r="AD35" s="293">
        <f>SUM(AD36:AD45)</f>
        <v/>
      </c>
      <c r="AE35" s="293">
        <f>SUM(AE36:AE45)</f>
        <v/>
      </c>
      <c r="AF35" s="293">
        <f>SUM(AF36:AF45)</f>
        <v/>
      </c>
      <c r="AG35" s="293">
        <f>SUM(AG36:AG45)</f>
        <v/>
      </c>
      <c r="AH35" s="293">
        <f>SUM(AH36:AH45)</f>
        <v/>
      </c>
      <c r="AI35" s="293">
        <f>SUM(AI36:AI45)</f>
        <v/>
      </c>
      <c r="AJ35" s="293">
        <f>SUM(AJ36:AJ45)</f>
        <v/>
      </c>
      <c r="AK35" s="293">
        <f>SUM(AK36:AK45)</f>
        <v/>
      </c>
      <c r="AL35" s="293">
        <f>SUM(AL36:AL45)</f>
        <v/>
      </c>
      <c r="AM35" s="293">
        <f>SUM(AM36:AM45)</f>
        <v/>
      </c>
      <c r="AN35" s="293">
        <f>SUM(AN36:AN45)</f>
        <v/>
      </c>
      <c r="AO35" s="293">
        <f>SUM(AO36:AO45)</f>
        <v/>
      </c>
      <c r="AP35" s="293">
        <f>SUM(AP36:AP45)</f>
        <v/>
      </c>
      <c r="AQ35" s="293">
        <f>SUM(AQ36:AQ45)</f>
        <v/>
      </c>
      <c r="AR35" s="293">
        <f>SUM(AR36:AR45)</f>
        <v/>
      </c>
      <c r="AS35" s="293">
        <f>SUM(AS36:AS45)</f>
        <v/>
      </c>
      <c r="AT35" s="293">
        <f>SUM(AT36:AT45)</f>
        <v/>
      </c>
      <c r="AU35" s="293">
        <f>SUM(AU36:AU45)</f>
        <v/>
      </c>
      <c r="AV35" s="293">
        <f>SUM(AV36:AV45)</f>
        <v/>
      </c>
      <c r="AW35" s="293">
        <f>SUM(AW36:AW45)</f>
        <v/>
      </c>
      <c r="AX35" s="293">
        <f>SUM(AX36:AX45)</f>
        <v/>
      </c>
      <c r="AY35" s="293">
        <f>SUM(AY36:AY45)</f>
        <v/>
      </c>
      <c r="AZ35" s="293">
        <f>SUM(AZ36:AZ45)</f>
        <v/>
      </c>
      <c r="BA35" s="293">
        <f>SUM(BA36:BA45)</f>
        <v/>
      </c>
      <c r="BB35" s="293">
        <f>SUM(BB36:BB45)</f>
        <v/>
      </c>
      <c r="BC35" s="293">
        <f>SUM(BC36:BC45)</f>
        <v/>
      </c>
      <c r="BD35" s="293">
        <f>SUM(BD36:BD45)</f>
        <v/>
      </c>
      <c r="BE35" s="293">
        <f>SUM(BE36:BE45)</f>
        <v/>
      </c>
      <c r="BF35" s="293">
        <f>SUM(BF36:BF45)</f>
        <v/>
      </c>
      <c r="BG35" s="293">
        <f>SUM(BG36:BG45)</f>
        <v/>
      </c>
      <c r="BH35" s="293">
        <f>SUM(BH36:BH45)</f>
        <v/>
      </c>
      <c r="BI35" s="293">
        <f>SUM(BI36:BI45)</f>
        <v/>
      </c>
      <c r="BJ35" s="293">
        <f>SUM(BJ36:BJ45)</f>
        <v/>
      </c>
      <c r="BK35" s="293">
        <f>SUM(BK36:BK45)</f>
        <v/>
      </c>
      <c r="BL35" s="293">
        <f>SUM(BL36:BL45)</f>
        <v/>
      </c>
      <c r="BM35" s="293">
        <f>SUM(BM36:BM45)</f>
        <v/>
      </c>
      <c r="BN35" s="293">
        <f>SUM(BN36:BN45)</f>
        <v/>
      </c>
      <c r="BO35" s="293">
        <f>SUM(BO36:BO45)</f>
        <v/>
      </c>
      <c r="BP35" s="293">
        <f>SUM(BP36:BP45)</f>
        <v/>
      </c>
      <c r="BQ35" s="293">
        <f>SUM(BQ36:BQ45)</f>
        <v/>
      </c>
      <c r="BR35" s="293">
        <f>SUM(BR36:BR45)</f>
        <v/>
      </c>
      <c r="BS35" s="293">
        <f>SUM(BS36:BS45)</f>
        <v/>
      </c>
      <c r="BT35" s="293">
        <f>SUM(BT36:BT45)</f>
        <v/>
      </c>
      <c r="BU35" s="293">
        <f>SUM(BU36:BU45)</f>
        <v/>
      </c>
      <c r="BV35" s="293">
        <f>SUM(BV36:BV45)</f>
        <v/>
      </c>
      <c r="BW35" s="293">
        <f>SUM(BW36:BW45)</f>
        <v/>
      </c>
      <c r="BX35" s="293">
        <f>SUM(BX36:BX45)</f>
        <v/>
      </c>
      <c r="BY35" s="293">
        <f>SUM(BY36:BY45)</f>
        <v/>
      </c>
      <c r="BZ35" s="293">
        <f>SUM(BZ36:BZ45)</f>
        <v/>
      </c>
      <c r="CA35" s="293">
        <f>SUM(CA36:CA45)</f>
        <v/>
      </c>
      <c r="CB35" s="293">
        <f>SUM(CB36:CB45)</f>
        <v/>
      </c>
      <c r="CC35" s="293">
        <f>SUM(CC36:CC45)</f>
        <v/>
      </c>
      <c r="CD35" s="293">
        <f>SUM(CD36:CD45)</f>
        <v/>
      </c>
      <c r="CE35" s="293">
        <f>SUM(CE36:CE45)</f>
        <v/>
      </c>
      <c r="CF35" s="293">
        <f>SUM(CF36:CF45)</f>
        <v/>
      </c>
      <c r="CG35" s="293">
        <f>SUM(CG36:CG45)</f>
        <v/>
      </c>
      <c r="CH35" s="293">
        <f>SUM(CH36:CH45)</f>
        <v/>
      </c>
      <c r="CI35" s="293">
        <f>SUM(CI36:CI45)</f>
        <v/>
      </c>
      <c r="CJ35" s="293">
        <f>SUM(CJ36:CJ45)</f>
        <v/>
      </c>
      <c r="CK35" s="293">
        <f>SUM(CK36:CK45)</f>
        <v/>
      </c>
      <c r="CL35" s="293">
        <f>SUM(CL36:CL45)</f>
        <v/>
      </c>
      <c r="CM35" s="293">
        <f>SUM(CM36:CM45)</f>
        <v/>
      </c>
      <c r="CN35" s="293">
        <f>SUM(CN36:CN45)</f>
        <v/>
      </c>
      <c r="CO35" s="293">
        <f>SUM(CO36:CO45)</f>
        <v/>
      </c>
      <c r="CP35" s="293">
        <f>SUM(CP36:CP45)</f>
        <v/>
      </c>
      <c r="CQ35" s="293">
        <f>SUM(CQ36:CQ45)</f>
        <v/>
      </c>
      <c r="CR35" s="293">
        <f>SUM(CR36:CR45)</f>
        <v/>
      </c>
      <c r="CS35" s="293">
        <f>SUM(CS36:CS45)</f>
        <v/>
      </c>
      <c r="CT35" s="293">
        <f>SUM(CT36:CT45)</f>
        <v/>
      </c>
      <c r="CU35" s="293">
        <f>SUM(CU36:CU45)</f>
        <v/>
      </c>
      <c r="CV35" s="293">
        <f>SUM(CV36:CV45)</f>
        <v/>
      </c>
      <c r="CW35" s="293">
        <f>SUM(CW36:CW45)</f>
        <v/>
      </c>
      <c r="CX35" s="293">
        <f>SUM(CX36:CX45)</f>
        <v/>
      </c>
      <c r="CY35" s="293">
        <f>SUM(CY36:CY45)</f>
        <v/>
      </c>
      <c r="CZ35" s="293">
        <f>SUM(CZ36:CZ45)</f>
        <v/>
      </c>
      <c r="DA35" s="293">
        <f>SUM(DA36:DA45)</f>
        <v/>
      </c>
      <c r="DB35" s="293">
        <f>SUM(DB36:DB45)</f>
        <v/>
      </c>
      <c r="DC35" s="293" t="n"/>
      <c r="DD35" s="292">
        <f>SUM(F35:DB35)</f>
        <v/>
      </c>
    </row>
    <row r="36" hidden="1" outlineLevel="1" ht="14.1" customFormat="1" customHeight="1" s="302">
      <c r="A36" s="1000" t="n"/>
      <c r="B36" s="640">
        <f>'Economic Assumptions'!$A$10</f>
        <v/>
      </c>
      <c r="C36" s="298" t="n"/>
      <c r="D36" s="299">
        <f>DD36</f>
        <v/>
      </c>
      <c r="E36" s="300" t="n"/>
      <c r="F36" s="301">
        <f>IF('Economic Assumptions'!$B10+'Project Assumptions'!$D$15+'Project Assumptions'!$D$16-1='Detailed Cashflows'!F$5,-'Economic Assumptions'!$C10*'Economic Assumptions'!$K10,0)</f>
        <v/>
      </c>
      <c r="G36" s="301">
        <f>IF('Economic Assumptions'!$B10+'Project Assumptions'!$D$15+'Project Assumptions'!$D$16-1='Detailed Cashflows'!G$5,-'Economic Assumptions'!$C10*'Economic Assumptions'!$K10,0)</f>
        <v/>
      </c>
      <c r="H36" s="301">
        <f>IF('Economic Assumptions'!$B10+'Project Assumptions'!$D$15+'Project Assumptions'!$D$16-1='Detailed Cashflows'!H$5,-'Economic Assumptions'!$C10*'Economic Assumptions'!$K10,0)</f>
        <v/>
      </c>
      <c r="I36" s="301">
        <f>IF('Economic Assumptions'!$B10+'Project Assumptions'!$D$15+'Project Assumptions'!$D$16-1='Detailed Cashflows'!I$5,-'Economic Assumptions'!$C10*'Economic Assumptions'!$K10,0)</f>
        <v/>
      </c>
      <c r="J36" s="301">
        <f>IF('Economic Assumptions'!$B10+'Project Assumptions'!$D$15+'Project Assumptions'!$D$16-1='Detailed Cashflows'!J$5,-'Economic Assumptions'!$C10*'Economic Assumptions'!$K10,0)</f>
        <v/>
      </c>
      <c r="K36" s="301">
        <f>IF('Economic Assumptions'!$B10+'Project Assumptions'!$D$15+'Project Assumptions'!$D$16-1='Detailed Cashflows'!K$5,-'Economic Assumptions'!$C10*'Economic Assumptions'!$K10,0)</f>
        <v/>
      </c>
      <c r="L36" s="301">
        <f>IF('Economic Assumptions'!$B10+'Project Assumptions'!$D$15+'Project Assumptions'!$D$16-1='Detailed Cashflows'!L$5,-'Economic Assumptions'!$C10*'Economic Assumptions'!$K10,0)</f>
        <v/>
      </c>
      <c r="M36" s="301">
        <f>IF('Economic Assumptions'!$B10+'Project Assumptions'!$D$15+'Project Assumptions'!$D$16-1='Detailed Cashflows'!M$5,-'Economic Assumptions'!$C10*'Economic Assumptions'!$K10,0)</f>
        <v/>
      </c>
      <c r="N36" s="301">
        <f>IF('Economic Assumptions'!$B10+'Project Assumptions'!$D$15+'Project Assumptions'!$D$16-1='Detailed Cashflows'!N$5,-'Economic Assumptions'!$C10*'Economic Assumptions'!$K10,0)</f>
        <v/>
      </c>
      <c r="O36" s="301">
        <f>IF('Economic Assumptions'!$B10+'Project Assumptions'!$D$15+'Project Assumptions'!$D$16-1='Detailed Cashflows'!O$5,-'Economic Assumptions'!$C10*'Economic Assumptions'!$K10,0)</f>
        <v/>
      </c>
      <c r="P36" s="301">
        <f>IF('Economic Assumptions'!$B10+'Project Assumptions'!$D$15+'Project Assumptions'!$D$16-1='Detailed Cashflows'!P$5,-'Economic Assumptions'!$C10*'Economic Assumptions'!$K10,0)</f>
        <v/>
      </c>
      <c r="Q36" s="301">
        <f>IF('Economic Assumptions'!$B10+'Project Assumptions'!$D$15+'Project Assumptions'!$D$16-1='Detailed Cashflows'!Q$5,-'Economic Assumptions'!$C10*'Economic Assumptions'!$K10,0)</f>
        <v/>
      </c>
      <c r="R36" s="301">
        <f>IF('Economic Assumptions'!$B10+'Project Assumptions'!$D$15+'Project Assumptions'!$D$16-1='Detailed Cashflows'!R$5,-'Economic Assumptions'!$C10*'Economic Assumptions'!$K10,0)</f>
        <v/>
      </c>
      <c r="S36" s="301">
        <f>IF('Economic Assumptions'!$B10+'Project Assumptions'!$D$15+'Project Assumptions'!$D$16-1='Detailed Cashflows'!S$5,-'Economic Assumptions'!$C10*'Economic Assumptions'!$K10,0)</f>
        <v/>
      </c>
      <c r="T36" s="301">
        <f>IF('Economic Assumptions'!$B10+'Project Assumptions'!$D$15+'Project Assumptions'!$D$16-1='Detailed Cashflows'!T$5,-'Economic Assumptions'!$C10*'Economic Assumptions'!$K10,0)</f>
        <v/>
      </c>
      <c r="U36" s="301">
        <f>IF('Economic Assumptions'!$B10+'Project Assumptions'!$D$15+'Project Assumptions'!$D$16-1='Detailed Cashflows'!U$5,-'Economic Assumptions'!$C10*'Economic Assumptions'!$K10,0)</f>
        <v/>
      </c>
      <c r="V36" s="301">
        <f>IF('Economic Assumptions'!$B10+'Project Assumptions'!$D$15+'Project Assumptions'!$D$16-1='Detailed Cashflows'!V$5,-'Economic Assumptions'!$C10*'Economic Assumptions'!$K10,0)</f>
        <v/>
      </c>
      <c r="W36" s="301">
        <f>IF('Economic Assumptions'!$B10+'Project Assumptions'!$D$15+'Project Assumptions'!$D$16-1='Detailed Cashflows'!W$5,-'Economic Assumptions'!$C10*'Economic Assumptions'!$K10,0)</f>
        <v/>
      </c>
      <c r="X36" s="301">
        <f>IF('Economic Assumptions'!$B10+'Project Assumptions'!$D$15+'Project Assumptions'!$D$16-1='Detailed Cashflows'!X$5,-'Economic Assumptions'!$C10*'Economic Assumptions'!$K10,0)</f>
        <v/>
      </c>
      <c r="Y36" s="301">
        <f>IF('Economic Assumptions'!$B10+'Project Assumptions'!$D$15+'Project Assumptions'!$D$16-1='Detailed Cashflows'!Y$5,-'Economic Assumptions'!$C10*'Economic Assumptions'!$K10,0)</f>
        <v/>
      </c>
      <c r="Z36" s="301">
        <f>IF('Economic Assumptions'!$B10+'Project Assumptions'!$D$15+'Project Assumptions'!$D$16-1='Detailed Cashflows'!Z$5,-'Economic Assumptions'!$C10*'Economic Assumptions'!$K10,0)</f>
        <v/>
      </c>
      <c r="AA36" s="301">
        <f>IF('Economic Assumptions'!$B10+'Project Assumptions'!$D$15+'Project Assumptions'!$D$16-1='Detailed Cashflows'!AA$5,-'Economic Assumptions'!$C10*'Economic Assumptions'!$K10,0)</f>
        <v/>
      </c>
      <c r="AB36" s="301">
        <f>IF('Economic Assumptions'!$B10+'Project Assumptions'!$D$15+'Project Assumptions'!$D$16-1='Detailed Cashflows'!AB$5,-'Economic Assumptions'!$C10*'Economic Assumptions'!$K10,0)</f>
        <v/>
      </c>
      <c r="AC36" s="301">
        <f>IF('Economic Assumptions'!$B10+'Project Assumptions'!$D$15+'Project Assumptions'!$D$16-1='Detailed Cashflows'!AC$5,-'Economic Assumptions'!$C10*'Economic Assumptions'!$K10,0)</f>
        <v/>
      </c>
      <c r="AD36" s="301">
        <f>IF('Economic Assumptions'!$B10+'Project Assumptions'!$D$15+'Project Assumptions'!$D$16-1='Detailed Cashflows'!AD$5,-'Economic Assumptions'!$C10*'Economic Assumptions'!$K10,0)</f>
        <v/>
      </c>
      <c r="AE36" s="301">
        <f>IF('Economic Assumptions'!$B10+'Project Assumptions'!$D$15+'Project Assumptions'!$D$16-1='Detailed Cashflows'!AE$5,-'Economic Assumptions'!$C10*'Economic Assumptions'!$K10,0)</f>
        <v/>
      </c>
      <c r="AF36" s="301">
        <f>IF('Economic Assumptions'!$B10+'Project Assumptions'!$D$15+'Project Assumptions'!$D$16-1='Detailed Cashflows'!AF$5,-'Economic Assumptions'!$C10*'Economic Assumptions'!$K10,0)</f>
        <v/>
      </c>
      <c r="AG36" s="301">
        <f>IF('Economic Assumptions'!$B10+'Project Assumptions'!$D$15+'Project Assumptions'!$D$16-1='Detailed Cashflows'!AG$5,-'Economic Assumptions'!$C10*'Economic Assumptions'!$K10,0)</f>
        <v/>
      </c>
      <c r="AH36" s="301">
        <f>IF('Economic Assumptions'!$B10+'Project Assumptions'!$D$15+'Project Assumptions'!$D$16-1='Detailed Cashflows'!AH$5,-'Economic Assumptions'!$C10*'Economic Assumptions'!$K10,0)</f>
        <v/>
      </c>
      <c r="AI36" s="301">
        <f>IF('Economic Assumptions'!$B10+'Project Assumptions'!$D$15+'Project Assumptions'!$D$16-1='Detailed Cashflows'!AI$5,-'Economic Assumptions'!$C10*'Economic Assumptions'!$K10,0)</f>
        <v/>
      </c>
      <c r="AJ36" s="301">
        <f>IF('Economic Assumptions'!$B10+'Project Assumptions'!$D$15+'Project Assumptions'!$D$16-1='Detailed Cashflows'!AJ$5,-'Economic Assumptions'!$C10*'Economic Assumptions'!$K10,0)</f>
        <v/>
      </c>
      <c r="AK36" s="301">
        <f>IF('Economic Assumptions'!$B10+'Project Assumptions'!$D$15+'Project Assumptions'!$D$16-1='Detailed Cashflows'!AK$5,-'Economic Assumptions'!$C10*'Economic Assumptions'!$K10,0)</f>
        <v/>
      </c>
      <c r="AL36" s="301">
        <f>IF('Economic Assumptions'!$B10+'Project Assumptions'!$D$15+'Project Assumptions'!$D$16-1='Detailed Cashflows'!AL$5,-'Economic Assumptions'!$C10*'Economic Assumptions'!$K10,0)</f>
        <v/>
      </c>
      <c r="AM36" s="301">
        <f>IF('Economic Assumptions'!$B10+'Project Assumptions'!$D$15+'Project Assumptions'!$D$16-1='Detailed Cashflows'!AM$5,-'Economic Assumptions'!$C10*'Economic Assumptions'!$K10,0)</f>
        <v/>
      </c>
      <c r="AN36" s="301">
        <f>IF('Economic Assumptions'!$B10+'Project Assumptions'!$D$15+'Project Assumptions'!$D$16-1='Detailed Cashflows'!AN$5,-'Economic Assumptions'!$C10*'Economic Assumptions'!$K10,0)</f>
        <v/>
      </c>
      <c r="AO36" s="301">
        <f>IF('Economic Assumptions'!$B10+'Project Assumptions'!$D$15+'Project Assumptions'!$D$16-1='Detailed Cashflows'!AO$5,-'Economic Assumptions'!$C10*'Economic Assumptions'!$K10,0)</f>
        <v/>
      </c>
      <c r="AP36" s="301">
        <f>IF('Economic Assumptions'!$B10+'Project Assumptions'!$D$15+'Project Assumptions'!$D$16-1='Detailed Cashflows'!AP$5,-'Economic Assumptions'!$C10*'Economic Assumptions'!$K10,0)</f>
        <v/>
      </c>
      <c r="AQ36" s="301">
        <f>IF('Economic Assumptions'!$B10+'Project Assumptions'!$D$15+'Project Assumptions'!$D$16-1='Detailed Cashflows'!AQ$5,-'Economic Assumptions'!$C10*'Economic Assumptions'!$K10,0)</f>
        <v/>
      </c>
      <c r="AR36" s="301">
        <f>IF('Economic Assumptions'!$B10+'Project Assumptions'!$D$15+'Project Assumptions'!$D$16-1='Detailed Cashflows'!AR$5,-'Economic Assumptions'!$C10*'Economic Assumptions'!$K10,0)</f>
        <v/>
      </c>
      <c r="AS36" s="301">
        <f>IF('Economic Assumptions'!$B10+'Project Assumptions'!$D$15+'Project Assumptions'!$D$16-1='Detailed Cashflows'!AS$5,-'Economic Assumptions'!$C10*'Economic Assumptions'!$K10,0)</f>
        <v/>
      </c>
      <c r="AT36" s="301">
        <f>IF('Economic Assumptions'!$B10+'Project Assumptions'!$D$15+'Project Assumptions'!$D$16-1='Detailed Cashflows'!AT$5,-'Economic Assumptions'!$C10*'Economic Assumptions'!$K10,0)</f>
        <v/>
      </c>
      <c r="AU36" s="301">
        <f>IF('Economic Assumptions'!$B10+'Project Assumptions'!$D$15+'Project Assumptions'!$D$16-1='Detailed Cashflows'!AU$5,-'Economic Assumptions'!$C10*'Economic Assumptions'!$K10,0)</f>
        <v/>
      </c>
      <c r="AV36" s="301">
        <f>IF('Economic Assumptions'!$B10+'Project Assumptions'!$D$15+'Project Assumptions'!$D$16-1='Detailed Cashflows'!AV$5,-'Economic Assumptions'!$C10*'Economic Assumptions'!$K10,0)</f>
        <v/>
      </c>
      <c r="AW36" s="301">
        <f>IF('Economic Assumptions'!$B10+'Project Assumptions'!$D$15+'Project Assumptions'!$D$16-1='Detailed Cashflows'!AW$5,-'Economic Assumptions'!$C10*'Economic Assumptions'!$K10,0)</f>
        <v/>
      </c>
      <c r="AX36" s="301">
        <f>IF('Economic Assumptions'!$B10+'Project Assumptions'!$D$15+'Project Assumptions'!$D$16-1='Detailed Cashflows'!AX$5,-'Economic Assumptions'!$C10*'Economic Assumptions'!$K10,0)</f>
        <v/>
      </c>
      <c r="AY36" s="301">
        <f>IF('Economic Assumptions'!$B10+'Project Assumptions'!$D$15+'Project Assumptions'!$D$16-1='Detailed Cashflows'!AY$5,-'Economic Assumptions'!$C10*'Economic Assumptions'!$K10,0)</f>
        <v/>
      </c>
      <c r="AZ36" s="301">
        <f>IF('Economic Assumptions'!$B10+'Project Assumptions'!$D$15+'Project Assumptions'!$D$16-1='Detailed Cashflows'!AZ$5,-'Economic Assumptions'!$C10*'Economic Assumptions'!$K10,0)</f>
        <v/>
      </c>
      <c r="BA36" s="301">
        <f>IF('Economic Assumptions'!$B10+'Project Assumptions'!$D$15+'Project Assumptions'!$D$16-1='Detailed Cashflows'!BA$5,-'Economic Assumptions'!$C10*'Economic Assumptions'!$K10,0)</f>
        <v/>
      </c>
      <c r="BB36" s="301">
        <f>IF('Economic Assumptions'!$B10+'Project Assumptions'!$D$15+'Project Assumptions'!$D$16-1='Detailed Cashflows'!BB$5,-'Economic Assumptions'!$C10*'Economic Assumptions'!$K10,0)</f>
        <v/>
      </c>
      <c r="BC36" s="301">
        <f>IF('Economic Assumptions'!$B10+'Project Assumptions'!$D$15+'Project Assumptions'!$D$16-1='Detailed Cashflows'!BC$5,-'Economic Assumptions'!$C10*'Economic Assumptions'!$K10,0)</f>
        <v/>
      </c>
      <c r="BD36" s="301">
        <f>IF('Economic Assumptions'!$B10+'Project Assumptions'!$D$15+'Project Assumptions'!$D$16-1='Detailed Cashflows'!BD$5,-'Economic Assumptions'!$C10*'Economic Assumptions'!$K10,0)</f>
        <v/>
      </c>
      <c r="BE36" s="301">
        <f>IF('Economic Assumptions'!$B10+'Project Assumptions'!$D$15+'Project Assumptions'!$D$16-1='Detailed Cashflows'!BE$5,-'Economic Assumptions'!$C10*'Economic Assumptions'!$K10,0)</f>
        <v/>
      </c>
      <c r="BF36" s="301">
        <f>IF('Economic Assumptions'!$B10+'Project Assumptions'!$D$15+'Project Assumptions'!$D$16-1='Detailed Cashflows'!BF$5,-'Economic Assumptions'!$C10*'Economic Assumptions'!$K10,0)</f>
        <v/>
      </c>
      <c r="BG36" s="301">
        <f>IF('Economic Assumptions'!$B10+'Project Assumptions'!$D$15+'Project Assumptions'!$D$16-1='Detailed Cashflows'!BG$5,-'Economic Assumptions'!$C10*'Economic Assumptions'!$K10,0)</f>
        <v/>
      </c>
      <c r="BH36" s="301">
        <f>IF('Economic Assumptions'!$B10+'Project Assumptions'!$D$15+'Project Assumptions'!$D$16-1='Detailed Cashflows'!BH$5,-'Economic Assumptions'!$C10*'Economic Assumptions'!$K10,0)</f>
        <v/>
      </c>
      <c r="BI36" s="301">
        <f>IF('Economic Assumptions'!$B10+'Project Assumptions'!$D$15+'Project Assumptions'!$D$16-1='Detailed Cashflows'!BI$5,-'Economic Assumptions'!$C10*'Economic Assumptions'!$K10,0)</f>
        <v/>
      </c>
      <c r="BJ36" s="301">
        <f>IF('Economic Assumptions'!$B10+'Project Assumptions'!$D$15+'Project Assumptions'!$D$16-1='Detailed Cashflows'!BJ$5,-'Economic Assumptions'!$C10*'Economic Assumptions'!$K10,0)</f>
        <v/>
      </c>
      <c r="BK36" s="301">
        <f>IF('Economic Assumptions'!$B10+'Project Assumptions'!$D$15+'Project Assumptions'!$D$16-1='Detailed Cashflows'!BK$5,-'Economic Assumptions'!$C10*'Economic Assumptions'!$K10,0)</f>
        <v/>
      </c>
      <c r="BL36" s="301">
        <f>IF('Economic Assumptions'!$B10+'Project Assumptions'!$D$15+'Project Assumptions'!$D$16-1='Detailed Cashflows'!BL$5,-'Economic Assumptions'!$C10*'Economic Assumptions'!$K10,0)</f>
        <v/>
      </c>
      <c r="BM36" s="301">
        <f>IF('Economic Assumptions'!$B10+'Project Assumptions'!$D$15+'Project Assumptions'!$D$16-1='Detailed Cashflows'!BM$5,-'Economic Assumptions'!$C10*'Economic Assumptions'!$K10,0)</f>
        <v/>
      </c>
      <c r="BN36" s="301">
        <f>IF('Economic Assumptions'!$B10+'Project Assumptions'!$D$15+'Project Assumptions'!$D$16-1='Detailed Cashflows'!BN$5,-'Economic Assumptions'!$C10*'Economic Assumptions'!$K10,0)</f>
        <v/>
      </c>
      <c r="BO36" s="301">
        <f>IF('Economic Assumptions'!$B10+'Project Assumptions'!$D$15+'Project Assumptions'!$D$16-1='Detailed Cashflows'!BO$5,-'Economic Assumptions'!$C10*'Economic Assumptions'!$K10,0)</f>
        <v/>
      </c>
      <c r="BP36" s="301">
        <f>IF('Economic Assumptions'!$B10+'Project Assumptions'!$D$15+'Project Assumptions'!$D$16-1='Detailed Cashflows'!BP$5,-'Economic Assumptions'!$C10*'Economic Assumptions'!$K10,0)</f>
        <v/>
      </c>
      <c r="BQ36" s="301">
        <f>IF('Economic Assumptions'!$B10+'Project Assumptions'!$D$15+'Project Assumptions'!$D$16-1='Detailed Cashflows'!BQ$5,-'Economic Assumptions'!$C10*'Economic Assumptions'!$K10,0)</f>
        <v/>
      </c>
      <c r="BR36" s="301">
        <f>IF('Economic Assumptions'!$B10+'Project Assumptions'!$D$15+'Project Assumptions'!$D$16-1='Detailed Cashflows'!BR$5,-'Economic Assumptions'!$C10*'Economic Assumptions'!$K10,0)</f>
        <v/>
      </c>
      <c r="BS36" s="301">
        <f>IF('Economic Assumptions'!$B10+'Project Assumptions'!$D$15+'Project Assumptions'!$D$16-1='Detailed Cashflows'!BS$5,-'Economic Assumptions'!$C10*'Economic Assumptions'!$K10,0)</f>
        <v/>
      </c>
      <c r="BT36" s="301">
        <f>IF('Economic Assumptions'!$B10+'Project Assumptions'!$D$15+'Project Assumptions'!$D$16-1='Detailed Cashflows'!BT$5,-'Economic Assumptions'!$C10*'Economic Assumptions'!$K10,0)</f>
        <v/>
      </c>
      <c r="BU36" s="301">
        <f>IF('Economic Assumptions'!$B10+'Project Assumptions'!$D$15+'Project Assumptions'!$D$16-1='Detailed Cashflows'!BU$5,-'Economic Assumptions'!$C10*'Economic Assumptions'!$K10,0)</f>
        <v/>
      </c>
      <c r="BV36" s="301">
        <f>IF('Economic Assumptions'!$B10+'Project Assumptions'!$D$15+'Project Assumptions'!$D$16-1='Detailed Cashflows'!BV$5,-'Economic Assumptions'!$C10*'Economic Assumptions'!$K10,0)</f>
        <v/>
      </c>
      <c r="BW36" s="301">
        <f>IF('Economic Assumptions'!$B10+'Project Assumptions'!$D$15+'Project Assumptions'!$D$16-1='Detailed Cashflows'!BW$5,-'Economic Assumptions'!$C10*'Economic Assumptions'!$K10,0)</f>
        <v/>
      </c>
      <c r="BX36" s="301">
        <f>IF('Economic Assumptions'!$B10+'Project Assumptions'!$D$15+'Project Assumptions'!$D$16-1='Detailed Cashflows'!BX$5,-'Economic Assumptions'!$C10*'Economic Assumptions'!$K10,0)</f>
        <v/>
      </c>
      <c r="BY36" s="301">
        <f>IF('Economic Assumptions'!$B10+'Project Assumptions'!$D$15+'Project Assumptions'!$D$16-1='Detailed Cashflows'!BY$5,-'Economic Assumptions'!$C10*'Economic Assumptions'!$K10,0)</f>
        <v/>
      </c>
      <c r="BZ36" s="301">
        <f>IF('Economic Assumptions'!$B10+'Project Assumptions'!$D$15+'Project Assumptions'!$D$16-1='Detailed Cashflows'!BZ$5,-'Economic Assumptions'!$C10*'Economic Assumptions'!$K10,0)</f>
        <v/>
      </c>
      <c r="CA36" s="301">
        <f>IF('Economic Assumptions'!$B10+'Project Assumptions'!$D$15+'Project Assumptions'!$D$16-1='Detailed Cashflows'!CA$5,-'Economic Assumptions'!$C10*'Economic Assumptions'!$K10,0)</f>
        <v/>
      </c>
      <c r="CB36" s="301">
        <f>IF('Economic Assumptions'!$B10+'Project Assumptions'!$D$15+'Project Assumptions'!$D$16-1='Detailed Cashflows'!CB$5,-'Economic Assumptions'!$C10*'Economic Assumptions'!$K10,0)</f>
        <v/>
      </c>
      <c r="CC36" s="301">
        <f>IF('Economic Assumptions'!$B10+'Project Assumptions'!$D$15+'Project Assumptions'!$D$16-1='Detailed Cashflows'!CC$5,-'Economic Assumptions'!$C10*'Economic Assumptions'!$K10,0)</f>
        <v/>
      </c>
      <c r="CD36" s="301">
        <f>IF('Economic Assumptions'!$B10+'Project Assumptions'!$D$15+'Project Assumptions'!$D$16-1='Detailed Cashflows'!CD$5,-'Economic Assumptions'!$C10*'Economic Assumptions'!$K10,0)</f>
        <v/>
      </c>
      <c r="CE36" s="301">
        <f>IF('Economic Assumptions'!$B10+'Project Assumptions'!$D$15+'Project Assumptions'!$D$16-1='Detailed Cashflows'!CE$5,-'Economic Assumptions'!$C10*'Economic Assumptions'!$K10,0)</f>
        <v/>
      </c>
      <c r="CF36" s="301">
        <f>IF('Economic Assumptions'!$B10+'Project Assumptions'!$D$15+'Project Assumptions'!$D$16-1='Detailed Cashflows'!CF$5,-'Economic Assumptions'!$C10*'Economic Assumptions'!$K10,0)</f>
        <v/>
      </c>
      <c r="CG36" s="301">
        <f>IF('Economic Assumptions'!$B10+'Project Assumptions'!$D$15+'Project Assumptions'!$D$16-1='Detailed Cashflows'!CG$5,-'Economic Assumptions'!$C10*'Economic Assumptions'!$K10,0)</f>
        <v/>
      </c>
      <c r="CH36" s="301">
        <f>IF('Economic Assumptions'!$B10+'Project Assumptions'!$D$15+'Project Assumptions'!$D$16-1='Detailed Cashflows'!CH$5,-'Economic Assumptions'!$C10*'Economic Assumptions'!$K10,0)</f>
        <v/>
      </c>
      <c r="CI36" s="301">
        <f>IF('Economic Assumptions'!$B10+'Project Assumptions'!$D$15+'Project Assumptions'!$D$16-1='Detailed Cashflows'!CI$5,-'Economic Assumptions'!$C10*'Economic Assumptions'!$K10,0)</f>
        <v/>
      </c>
      <c r="CJ36" s="301">
        <f>IF('Economic Assumptions'!$B10+'Project Assumptions'!$D$15+'Project Assumptions'!$D$16-1='Detailed Cashflows'!CJ$5,-'Economic Assumptions'!$C10*'Economic Assumptions'!$K10,0)</f>
        <v/>
      </c>
      <c r="CK36" s="301">
        <f>IF('Economic Assumptions'!$B10+'Project Assumptions'!$D$15+'Project Assumptions'!$D$16-1='Detailed Cashflows'!CK$5,-'Economic Assumptions'!$C10*'Economic Assumptions'!$K10,0)</f>
        <v/>
      </c>
      <c r="CL36" s="301">
        <f>IF('Economic Assumptions'!$B10+'Project Assumptions'!$D$15+'Project Assumptions'!$D$16-1='Detailed Cashflows'!CL$5,-'Economic Assumptions'!$C10*'Economic Assumptions'!$K10,0)</f>
        <v/>
      </c>
      <c r="CM36" s="301">
        <f>IF('Economic Assumptions'!$B10+'Project Assumptions'!$D$15+'Project Assumptions'!$D$16-1='Detailed Cashflows'!CM$5,-'Economic Assumptions'!$C10*'Economic Assumptions'!$K10,0)</f>
        <v/>
      </c>
      <c r="CN36" s="301">
        <f>IF('Economic Assumptions'!$B10+'Project Assumptions'!$D$15+'Project Assumptions'!$D$16-1='Detailed Cashflows'!CN$5,-'Economic Assumptions'!$C10*'Economic Assumptions'!$K10,0)</f>
        <v/>
      </c>
      <c r="CO36" s="301">
        <f>IF('Economic Assumptions'!$B10+'Project Assumptions'!$D$15+'Project Assumptions'!$D$16-1='Detailed Cashflows'!CO$5,-'Economic Assumptions'!$C10*'Economic Assumptions'!$K10,0)</f>
        <v/>
      </c>
      <c r="CP36" s="301">
        <f>IF('Economic Assumptions'!$B10+'Project Assumptions'!$D$15+'Project Assumptions'!$D$16-1='Detailed Cashflows'!CP$5,-'Economic Assumptions'!$C10*'Economic Assumptions'!$K10,0)</f>
        <v/>
      </c>
      <c r="CQ36" s="301">
        <f>IF('Economic Assumptions'!$B10+'Project Assumptions'!$D$15+'Project Assumptions'!$D$16-1='Detailed Cashflows'!CQ$5,-'Economic Assumptions'!$C10*'Economic Assumptions'!$K10,0)</f>
        <v/>
      </c>
      <c r="CR36" s="301">
        <f>IF('Economic Assumptions'!$B10+'Project Assumptions'!$D$15+'Project Assumptions'!$D$16-1='Detailed Cashflows'!CR$5,-'Economic Assumptions'!$C10*'Economic Assumptions'!$K10,0)</f>
        <v/>
      </c>
      <c r="CS36" s="301">
        <f>IF('Economic Assumptions'!$B10+'Project Assumptions'!$D$15+'Project Assumptions'!$D$16-1='Detailed Cashflows'!CS$5,-'Economic Assumptions'!$C10*'Economic Assumptions'!$K10,0)</f>
        <v/>
      </c>
      <c r="CT36" s="301">
        <f>IF('Economic Assumptions'!$B10+'Project Assumptions'!$D$15+'Project Assumptions'!$D$16-1='Detailed Cashflows'!CT$5,-'Economic Assumptions'!$C10*'Economic Assumptions'!$K10,0)</f>
        <v/>
      </c>
      <c r="CU36" s="301">
        <f>IF('Economic Assumptions'!$B10+'Project Assumptions'!$D$15+'Project Assumptions'!$D$16-1='Detailed Cashflows'!CU$5,-'Economic Assumptions'!$C10*'Economic Assumptions'!$K10,0)</f>
        <v/>
      </c>
      <c r="CV36" s="301">
        <f>IF('Economic Assumptions'!$B10+'Project Assumptions'!$D$15+'Project Assumptions'!$D$16-1='Detailed Cashflows'!CV$5,-'Economic Assumptions'!$C10*'Economic Assumptions'!$K10,0)</f>
        <v/>
      </c>
      <c r="CW36" s="301">
        <f>IF('Economic Assumptions'!$B10+'Project Assumptions'!$D$15+'Project Assumptions'!$D$16-1='Detailed Cashflows'!CW$5,-'Economic Assumptions'!$C10*'Economic Assumptions'!$K10,0)</f>
        <v/>
      </c>
      <c r="CX36" s="301">
        <f>IF('Economic Assumptions'!$B10+'Project Assumptions'!$D$15+'Project Assumptions'!$D$16-1='Detailed Cashflows'!CX$5,-'Economic Assumptions'!$C10*'Economic Assumptions'!$K10,0)</f>
        <v/>
      </c>
      <c r="CY36" s="301">
        <f>IF('Economic Assumptions'!$B10+'Project Assumptions'!$D$15+'Project Assumptions'!$D$16-1='Detailed Cashflows'!CY$5,-'Economic Assumptions'!$C10*'Economic Assumptions'!$K10,0)</f>
        <v/>
      </c>
      <c r="CZ36" s="301">
        <f>IF('Economic Assumptions'!$B10+'Project Assumptions'!$D$15+'Project Assumptions'!$D$16-1='Detailed Cashflows'!CZ$5,-'Economic Assumptions'!$C10*'Economic Assumptions'!$K10,0)</f>
        <v/>
      </c>
      <c r="DA36" s="301">
        <f>IF('Economic Assumptions'!$B10+'Project Assumptions'!$D$15+'Project Assumptions'!$D$16-1='Detailed Cashflows'!DA$5,-'Economic Assumptions'!$C10*'Economic Assumptions'!$K10,0)</f>
        <v/>
      </c>
      <c r="DB36" s="301">
        <f>IF('Economic Assumptions'!$B10+'Project Assumptions'!$D$15+'Project Assumptions'!$D$16-1='Detailed Cashflows'!DB$5,-'Economic Assumptions'!$C10*'Economic Assumptions'!$K10,0)</f>
        <v/>
      </c>
      <c r="DC36" s="301" t="n"/>
      <c r="DD36" s="299">
        <f>SUM(F36:DB36)</f>
        <v/>
      </c>
    </row>
    <row r="37" hidden="1" outlineLevel="1" ht="14.1" customFormat="1" customHeight="1" s="302">
      <c r="A37" s="1000" t="n"/>
      <c r="B37" s="640">
        <f>'Economic Assumptions'!$A$11</f>
        <v/>
      </c>
      <c r="C37" s="298" t="n"/>
      <c r="D37" s="299">
        <f>DD37</f>
        <v/>
      </c>
      <c r="E37" s="300" t="n"/>
      <c r="F37" s="301">
        <f>IF('Economic Assumptions'!$B11+'Project Assumptions'!$D$15+'Project Assumptions'!$D$16-1='Detailed Cashflows'!F$5,-'Economic Assumptions'!$C11*'Economic Assumptions'!$K11,0)</f>
        <v/>
      </c>
      <c r="G37" s="301">
        <f>IF('Economic Assumptions'!$B11+'Project Assumptions'!$D$15+'Project Assumptions'!$D$16-1='Detailed Cashflows'!G$5,-'Economic Assumptions'!$C11*'Economic Assumptions'!$K11,0)</f>
        <v/>
      </c>
      <c r="H37" s="301">
        <f>IF('Economic Assumptions'!$B11+'Project Assumptions'!$D$15+'Project Assumptions'!$D$16-1='Detailed Cashflows'!H$5,-'Economic Assumptions'!$C11*'Economic Assumptions'!$K11,0)</f>
        <v/>
      </c>
      <c r="I37" s="301">
        <f>IF('Economic Assumptions'!$B11+'Project Assumptions'!$D$15+'Project Assumptions'!$D$16-1='Detailed Cashflows'!I$5,-'Economic Assumptions'!$C11*'Economic Assumptions'!$K11,0)</f>
        <v/>
      </c>
      <c r="J37" s="301">
        <f>IF('Economic Assumptions'!$B11+'Project Assumptions'!$D$15+'Project Assumptions'!$D$16-1='Detailed Cashflows'!J$5,-'Economic Assumptions'!$C11*'Economic Assumptions'!$K11,0)</f>
        <v/>
      </c>
      <c r="K37" s="301">
        <f>IF('Economic Assumptions'!$B11+'Project Assumptions'!$D$15+'Project Assumptions'!$D$16-1='Detailed Cashflows'!K$5,-'Economic Assumptions'!$C11*'Economic Assumptions'!$K11,0)</f>
        <v/>
      </c>
      <c r="L37" s="301">
        <f>IF('Economic Assumptions'!$B11+'Project Assumptions'!$D$15+'Project Assumptions'!$D$16-1='Detailed Cashflows'!L$5,-'Economic Assumptions'!$C11*'Economic Assumptions'!$K11,0)</f>
        <v/>
      </c>
      <c r="M37" s="301">
        <f>IF('Economic Assumptions'!$B11+'Project Assumptions'!$D$15+'Project Assumptions'!$D$16-1='Detailed Cashflows'!M$5,-'Economic Assumptions'!$C11*'Economic Assumptions'!$K11,0)</f>
        <v/>
      </c>
      <c r="N37" s="301">
        <f>IF('Economic Assumptions'!$B11+'Project Assumptions'!$D$15+'Project Assumptions'!$D$16-1='Detailed Cashflows'!N$5,-'Economic Assumptions'!$C11*'Economic Assumptions'!$K11,0)</f>
        <v/>
      </c>
      <c r="O37" s="301">
        <f>IF('Economic Assumptions'!$B11+'Project Assumptions'!$D$15+'Project Assumptions'!$D$16-1='Detailed Cashflows'!O$5,-'Economic Assumptions'!$C11*'Economic Assumptions'!$K11,0)</f>
        <v/>
      </c>
      <c r="P37" s="301">
        <f>IF('Economic Assumptions'!$B11+'Project Assumptions'!$D$15+'Project Assumptions'!$D$16-1='Detailed Cashflows'!P$5,-'Economic Assumptions'!$C11*'Economic Assumptions'!$K11,0)</f>
        <v/>
      </c>
      <c r="Q37" s="301">
        <f>IF('Economic Assumptions'!$B11+'Project Assumptions'!$D$15+'Project Assumptions'!$D$16-1='Detailed Cashflows'!Q$5,-'Economic Assumptions'!$C11*'Economic Assumptions'!$K11,0)</f>
        <v/>
      </c>
      <c r="R37" s="301">
        <f>IF('Economic Assumptions'!$B11+'Project Assumptions'!$D$15+'Project Assumptions'!$D$16-1='Detailed Cashflows'!R$5,-'Economic Assumptions'!$C11*'Economic Assumptions'!$K11,0)</f>
        <v/>
      </c>
      <c r="S37" s="301">
        <f>IF('Economic Assumptions'!$B11+'Project Assumptions'!$D$15+'Project Assumptions'!$D$16-1='Detailed Cashflows'!S$5,-'Economic Assumptions'!$C11*'Economic Assumptions'!$K11,0)</f>
        <v/>
      </c>
      <c r="T37" s="301">
        <f>IF('Economic Assumptions'!$B11+'Project Assumptions'!$D$15+'Project Assumptions'!$D$16-1='Detailed Cashflows'!T$5,-'Economic Assumptions'!$C11*'Economic Assumptions'!$K11,0)</f>
        <v/>
      </c>
      <c r="U37" s="301">
        <f>IF('Economic Assumptions'!$B11+'Project Assumptions'!$D$15+'Project Assumptions'!$D$16-1='Detailed Cashflows'!U$5,-'Economic Assumptions'!$C11*'Economic Assumptions'!$K11,0)</f>
        <v/>
      </c>
      <c r="V37" s="301">
        <f>IF('Economic Assumptions'!$B11+'Project Assumptions'!$D$15+'Project Assumptions'!$D$16-1='Detailed Cashflows'!V$5,-'Economic Assumptions'!$C11*'Economic Assumptions'!$K11,0)</f>
        <v/>
      </c>
      <c r="W37" s="301">
        <f>IF('Economic Assumptions'!$B11+'Project Assumptions'!$D$15+'Project Assumptions'!$D$16-1='Detailed Cashflows'!W$5,-'Economic Assumptions'!$C11*'Economic Assumptions'!$K11,0)</f>
        <v/>
      </c>
      <c r="X37" s="301">
        <f>IF('Economic Assumptions'!$B11+'Project Assumptions'!$D$15+'Project Assumptions'!$D$16-1='Detailed Cashflows'!X$5,-'Economic Assumptions'!$C11*'Economic Assumptions'!$K11,0)</f>
        <v/>
      </c>
      <c r="Y37" s="301">
        <f>IF('Economic Assumptions'!$B11+'Project Assumptions'!$D$15+'Project Assumptions'!$D$16-1='Detailed Cashflows'!Y$5,-'Economic Assumptions'!$C11*'Economic Assumptions'!$K11,0)</f>
        <v/>
      </c>
      <c r="Z37" s="301">
        <f>IF('Economic Assumptions'!$B11+'Project Assumptions'!$D$15+'Project Assumptions'!$D$16-1='Detailed Cashflows'!Z$5,-'Economic Assumptions'!$C11*'Economic Assumptions'!$K11,0)</f>
        <v/>
      </c>
      <c r="AA37" s="301">
        <f>IF('Economic Assumptions'!$B11+'Project Assumptions'!$D$15+'Project Assumptions'!$D$16-1='Detailed Cashflows'!AA$5,-'Economic Assumptions'!$C11*'Economic Assumptions'!$K11,0)</f>
        <v/>
      </c>
      <c r="AB37" s="301">
        <f>IF('Economic Assumptions'!$B11+'Project Assumptions'!$D$15+'Project Assumptions'!$D$16-1='Detailed Cashflows'!AB$5,-'Economic Assumptions'!$C11*'Economic Assumptions'!$K11,0)</f>
        <v/>
      </c>
      <c r="AC37" s="301">
        <f>IF('Economic Assumptions'!$B11+'Project Assumptions'!$D$15+'Project Assumptions'!$D$16-1='Detailed Cashflows'!AC$5,-'Economic Assumptions'!$C11*'Economic Assumptions'!$K11,0)</f>
        <v/>
      </c>
      <c r="AD37" s="301">
        <f>IF('Economic Assumptions'!$B11+'Project Assumptions'!$D$15+'Project Assumptions'!$D$16-1='Detailed Cashflows'!AD$5,-'Economic Assumptions'!$C11*'Economic Assumptions'!$K11,0)</f>
        <v/>
      </c>
      <c r="AE37" s="301">
        <f>IF('Economic Assumptions'!$B11+'Project Assumptions'!$D$15+'Project Assumptions'!$D$16-1='Detailed Cashflows'!AE$5,-'Economic Assumptions'!$C11*'Economic Assumptions'!$K11,0)</f>
        <v/>
      </c>
      <c r="AF37" s="301">
        <f>IF('Economic Assumptions'!$B11+'Project Assumptions'!$D$15+'Project Assumptions'!$D$16-1='Detailed Cashflows'!AF$5,-'Economic Assumptions'!$C11*'Economic Assumptions'!$K11,0)</f>
        <v/>
      </c>
      <c r="AG37" s="301">
        <f>IF('Economic Assumptions'!$B11+'Project Assumptions'!$D$15+'Project Assumptions'!$D$16-1='Detailed Cashflows'!AG$5,-'Economic Assumptions'!$C11*'Economic Assumptions'!$K11,0)</f>
        <v/>
      </c>
      <c r="AH37" s="301">
        <f>IF('Economic Assumptions'!$B11+'Project Assumptions'!$D$15+'Project Assumptions'!$D$16-1='Detailed Cashflows'!AH$5,-'Economic Assumptions'!$C11*'Economic Assumptions'!$K11,0)</f>
        <v/>
      </c>
      <c r="AI37" s="301">
        <f>IF('Economic Assumptions'!$B11+'Project Assumptions'!$D$15+'Project Assumptions'!$D$16-1='Detailed Cashflows'!AI$5,-'Economic Assumptions'!$C11*'Economic Assumptions'!$K11,0)</f>
        <v/>
      </c>
      <c r="AJ37" s="301">
        <f>IF('Economic Assumptions'!$B11+'Project Assumptions'!$D$15+'Project Assumptions'!$D$16-1='Detailed Cashflows'!AJ$5,-'Economic Assumptions'!$C11*'Economic Assumptions'!$K11,0)</f>
        <v/>
      </c>
      <c r="AK37" s="301">
        <f>IF('Economic Assumptions'!$B11+'Project Assumptions'!$D$15+'Project Assumptions'!$D$16-1='Detailed Cashflows'!AK$5,-'Economic Assumptions'!$C11*'Economic Assumptions'!$K11,0)</f>
        <v/>
      </c>
      <c r="AL37" s="301">
        <f>IF('Economic Assumptions'!$B11+'Project Assumptions'!$D$15+'Project Assumptions'!$D$16-1='Detailed Cashflows'!AL$5,-'Economic Assumptions'!$C11*'Economic Assumptions'!$K11,0)</f>
        <v/>
      </c>
      <c r="AM37" s="301">
        <f>IF('Economic Assumptions'!$B11+'Project Assumptions'!$D$15+'Project Assumptions'!$D$16-1='Detailed Cashflows'!AM$5,-'Economic Assumptions'!$C11*'Economic Assumptions'!$K11,0)</f>
        <v/>
      </c>
      <c r="AN37" s="301">
        <f>IF('Economic Assumptions'!$B11+'Project Assumptions'!$D$15+'Project Assumptions'!$D$16-1='Detailed Cashflows'!AN$5,-'Economic Assumptions'!$C11*'Economic Assumptions'!$K11,0)</f>
        <v/>
      </c>
      <c r="AO37" s="301">
        <f>IF('Economic Assumptions'!$B11+'Project Assumptions'!$D$15+'Project Assumptions'!$D$16-1='Detailed Cashflows'!AO$5,-'Economic Assumptions'!$C11*'Economic Assumptions'!$K11,0)</f>
        <v/>
      </c>
      <c r="AP37" s="301">
        <f>IF('Economic Assumptions'!$B11+'Project Assumptions'!$D$15+'Project Assumptions'!$D$16-1='Detailed Cashflows'!AP$5,-'Economic Assumptions'!$C11*'Economic Assumptions'!$K11,0)</f>
        <v/>
      </c>
      <c r="AQ37" s="301">
        <f>IF('Economic Assumptions'!$B11+'Project Assumptions'!$D$15+'Project Assumptions'!$D$16-1='Detailed Cashflows'!AQ$5,-'Economic Assumptions'!$C11*'Economic Assumptions'!$K11,0)</f>
        <v/>
      </c>
      <c r="AR37" s="301">
        <f>IF('Economic Assumptions'!$B11+'Project Assumptions'!$D$15+'Project Assumptions'!$D$16-1='Detailed Cashflows'!AR$5,-'Economic Assumptions'!$C11*'Economic Assumptions'!$K11,0)</f>
        <v/>
      </c>
      <c r="AS37" s="301">
        <f>IF('Economic Assumptions'!$B11+'Project Assumptions'!$D$15+'Project Assumptions'!$D$16-1='Detailed Cashflows'!AS$5,-'Economic Assumptions'!$C11*'Economic Assumptions'!$K11,0)</f>
        <v/>
      </c>
      <c r="AT37" s="301">
        <f>IF('Economic Assumptions'!$B11+'Project Assumptions'!$D$15+'Project Assumptions'!$D$16-1='Detailed Cashflows'!AT$5,-'Economic Assumptions'!$C11*'Economic Assumptions'!$K11,0)</f>
        <v/>
      </c>
      <c r="AU37" s="301">
        <f>IF('Economic Assumptions'!$B11+'Project Assumptions'!$D$15+'Project Assumptions'!$D$16-1='Detailed Cashflows'!AU$5,-'Economic Assumptions'!$C11*'Economic Assumptions'!$K11,0)</f>
        <v/>
      </c>
      <c r="AV37" s="301">
        <f>IF('Economic Assumptions'!$B11+'Project Assumptions'!$D$15+'Project Assumptions'!$D$16-1='Detailed Cashflows'!AV$5,-'Economic Assumptions'!$C11*'Economic Assumptions'!$K11,0)</f>
        <v/>
      </c>
      <c r="AW37" s="301">
        <f>IF('Economic Assumptions'!$B11+'Project Assumptions'!$D$15+'Project Assumptions'!$D$16-1='Detailed Cashflows'!AW$5,-'Economic Assumptions'!$C11*'Economic Assumptions'!$K11,0)</f>
        <v/>
      </c>
      <c r="AX37" s="301">
        <f>IF('Economic Assumptions'!$B11+'Project Assumptions'!$D$15+'Project Assumptions'!$D$16-1='Detailed Cashflows'!AX$5,-'Economic Assumptions'!$C11*'Economic Assumptions'!$K11,0)</f>
        <v/>
      </c>
      <c r="AY37" s="301">
        <f>IF('Economic Assumptions'!$B11+'Project Assumptions'!$D$15+'Project Assumptions'!$D$16-1='Detailed Cashflows'!AY$5,-'Economic Assumptions'!$C11*'Economic Assumptions'!$K11,0)</f>
        <v/>
      </c>
      <c r="AZ37" s="301">
        <f>IF('Economic Assumptions'!$B11+'Project Assumptions'!$D$15+'Project Assumptions'!$D$16-1='Detailed Cashflows'!AZ$5,-'Economic Assumptions'!$C11*'Economic Assumptions'!$K11,0)</f>
        <v/>
      </c>
      <c r="BA37" s="301">
        <f>IF('Economic Assumptions'!$B11+'Project Assumptions'!$D$15+'Project Assumptions'!$D$16-1='Detailed Cashflows'!BA$5,-'Economic Assumptions'!$C11*'Economic Assumptions'!$K11,0)</f>
        <v/>
      </c>
      <c r="BB37" s="301">
        <f>IF('Economic Assumptions'!$B11+'Project Assumptions'!$D$15+'Project Assumptions'!$D$16-1='Detailed Cashflows'!BB$5,-'Economic Assumptions'!$C11*'Economic Assumptions'!$K11,0)</f>
        <v/>
      </c>
      <c r="BC37" s="301">
        <f>IF('Economic Assumptions'!$B11+'Project Assumptions'!$D$15+'Project Assumptions'!$D$16-1='Detailed Cashflows'!BC$5,-'Economic Assumptions'!$C11*'Economic Assumptions'!$K11,0)</f>
        <v/>
      </c>
      <c r="BD37" s="301">
        <f>IF('Economic Assumptions'!$B11+'Project Assumptions'!$D$15+'Project Assumptions'!$D$16-1='Detailed Cashflows'!BD$5,-'Economic Assumptions'!$C11*'Economic Assumptions'!$K11,0)</f>
        <v/>
      </c>
      <c r="BE37" s="301">
        <f>IF('Economic Assumptions'!$B11+'Project Assumptions'!$D$15+'Project Assumptions'!$D$16-1='Detailed Cashflows'!BE$5,-'Economic Assumptions'!$C11*'Economic Assumptions'!$K11,0)</f>
        <v/>
      </c>
      <c r="BF37" s="301">
        <f>IF('Economic Assumptions'!$B11+'Project Assumptions'!$D$15+'Project Assumptions'!$D$16-1='Detailed Cashflows'!BF$5,-'Economic Assumptions'!$C11*'Economic Assumptions'!$K11,0)</f>
        <v/>
      </c>
      <c r="BG37" s="301">
        <f>IF('Economic Assumptions'!$B11+'Project Assumptions'!$D$15+'Project Assumptions'!$D$16-1='Detailed Cashflows'!BG$5,-'Economic Assumptions'!$C11*'Economic Assumptions'!$K11,0)</f>
        <v/>
      </c>
      <c r="BH37" s="301">
        <f>IF('Economic Assumptions'!$B11+'Project Assumptions'!$D$15+'Project Assumptions'!$D$16-1='Detailed Cashflows'!BH$5,-'Economic Assumptions'!$C11*'Economic Assumptions'!$K11,0)</f>
        <v/>
      </c>
      <c r="BI37" s="301">
        <f>IF('Economic Assumptions'!$B11+'Project Assumptions'!$D$15+'Project Assumptions'!$D$16-1='Detailed Cashflows'!BI$5,-'Economic Assumptions'!$C11*'Economic Assumptions'!$K11,0)</f>
        <v/>
      </c>
      <c r="BJ37" s="301">
        <f>IF('Economic Assumptions'!$B11+'Project Assumptions'!$D$15+'Project Assumptions'!$D$16-1='Detailed Cashflows'!BJ$5,-'Economic Assumptions'!$C11*'Economic Assumptions'!$K11,0)</f>
        <v/>
      </c>
      <c r="BK37" s="301">
        <f>IF('Economic Assumptions'!$B11+'Project Assumptions'!$D$15+'Project Assumptions'!$D$16-1='Detailed Cashflows'!BK$5,-'Economic Assumptions'!$C11*'Economic Assumptions'!$K11,0)</f>
        <v/>
      </c>
      <c r="BL37" s="301">
        <f>IF('Economic Assumptions'!$B11+'Project Assumptions'!$D$15+'Project Assumptions'!$D$16-1='Detailed Cashflows'!BL$5,-'Economic Assumptions'!$C11*'Economic Assumptions'!$K11,0)</f>
        <v/>
      </c>
      <c r="BM37" s="301">
        <f>IF('Economic Assumptions'!$B11+'Project Assumptions'!$D$15+'Project Assumptions'!$D$16-1='Detailed Cashflows'!BM$5,-'Economic Assumptions'!$C11*'Economic Assumptions'!$K11,0)</f>
        <v/>
      </c>
      <c r="BN37" s="301">
        <f>IF('Economic Assumptions'!$B11+'Project Assumptions'!$D$15+'Project Assumptions'!$D$16-1='Detailed Cashflows'!BN$5,-'Economic Assumptions'!$C11*'Economic Assumptions'!$K11,0)</f>
        <v/>
      </c>
      <c r="BO37" s="301">
        <f>IF('Economic Assumptions'!$B11+'Project Assumptions'!$D$15+'Project Assumptions'!$D$16-1='Detailed Cashflows'!BO$5,-'Economic Assumptions'!$C11*'Economic Assumptions'!$K11,0)</f>
        <v/>
      </c>
      <c r="BP37" s="301">
        <f>IF('Economic Assumptions'!$B11+'Project Assumptions'!$D$15+'Project Assumptions'!$D$16-1='Detailed Cashflows'!BP$5,-'Economic Assumptions'!$C11*'Economic Assumptions'!$K11,0)</f>
        <v/>
      </c>
      <c r="BQ37" s="301">
        <f>IF('Economic Assumptions'!$B11+'Project Assumptions'!$D$15+'Project Assumptions'!$D$16-1='Detailed Cashflows'!BQ$5,-'Economic Assumptions'!$C11*'Economic Assumptions'!$K11,0)</f>
        <v/>
      </c>
      <c r="BR37" s="301">
        <f>IF('Economic Assumptions'!$B11+'Project Assumptions'!$D$15+'Project Assumptions'!$D$16-1='Detailed Cashflows'!BR$5,-'Economic Assumptions'!$C11*'Economic Assumptions'!$K11,0)</f>
        <v/>
      </c>
      <c r="BS37" s="301">
        <f>IF('Economic Assumptions'!$B11+'Project Assumptions'!$D$15+'Project Assumptions'!$D$16-1='Detailed Cashflows'!BS$5,-'Economic Assumptions'!$C11*'Economic Assumptions'!$K11,0)</f>
        <v/>
      </c>
      <c r="BT37" s="301">
        <f>IF('Economic Assumptions'!$B11+'Project Assumptions'!$D$15+'Project Assumptions'!$D$16-1='Detailed Cashflows'!BT$5,-'Economic Assumptions'!$C11*'Economic Assumptions'!$K11,0)</f>
        <v/>
      </c>
      <c r="BU37" s="301">
        <f>IF('Economic Assumptions'!$B11+'Project Assumptions'!$D$15+'Project Assumptions'!$D$16-1='Detailed Cashflows'!BU$5,-'Economic Assumptions'!$C11*'Economic Assumptions'!$K11,0)</f>
        <v/>
      </c>
      <c r="BV37" s="301">
        <f>IF('Economic Assumptions'!$B11+'Project Assumptions'!$D$15+'Project Assumptions'!$D$16-1='Detailed Cashflows'!BV$5,-'Economic Assumptions'!$C11*'Economic Assumptions'!$K11,0)</f>
        <v/>
      </c>
      <c r="BW37" s="301">
        <f>IF('Economic Assumptions'!$B11+'Project Assumptions'!$D$15+'Project Assumptions'!$D$16-1='Detailed Cashflows'!BW$5,-'Economic Assumptions'!$C11*'Economic Assumptions'!$K11,0)</f>
        <v/>
      </c>
      <c r="BX37" s="301">
        <f>IF('Economic Assumptions'!$B11+'Project Assumptions'!$D$15+'Project Assumptions'!$D$16-1='Detailed Cashflows'!BX$5,-'Economic Assumptions'!$C11*'Economic Assumptions'!$K11,0)</f>
        <v/>
      </c>
      <c r="BY37" s="301">
        <f>IF('Economic Assumptions'!$B11+'Project Assumptions'!$D$15+'Project Assumptions'!$D$16-1='Detailed Cashflows'!BY$5,-'Economic Assumptions'!$C11*'Economic Assumptions'!$K11,0)</f>
        <v/>
      </c>
      <c r="BZ37" s="301">
        <f>IF('Economic Assumptions'!$B11+'Project Assumptions'!$D$15+'Project Assumptions'!$D$16-1='Detailed Cashflows'!BZ$5,-'Economic Assumptions'!$C11*'Economic Assumptions'!$K11,0)</f>
        <v/>
      </c>
      <c r="CA37" s="301">
        <f>IF('Economic Assumptions'!$B11+'Project Assumptions'!$D$15+'Project Assumptions'!$D$16-1='Detailed Cashflows'!CA$5,-'Economic Assumptions'!$C11*'Economic Assumptions'!$K11,0)</f>
        <v/>
      </c>
      <c r="CB37" s="301">
        <f>IF('Economic Assumptions'!$B11+'Project Assumptions'!$D$15+'Project Assumptions'!$D$16-1='Detailed Cashflows'!CB$5,-'Economic Assumptions'!$C11*'Economic Assumptions'!$K11,0)</f>
        <v/>
      </c>
      <c r="CC37" s="301">
        <f>IF('Economic Assumptions'!$B11+'Project Assumptions'!$D$15+'Project Assumptions'!$D$16-1='Detailed Cashflows'!CC$5,-'Economic Assumptions'!$C11*'Economic Assumptions'!$K11,0)</f>
        <v/>
      </c>
      <c r="CD37" s="301">
        <f>IF('Economic Assumptions'!$B11+'Project Assumptions'!$D$15+'Project Assumptions'!$D$16-1='Detailed Cashflows'!CD$5,-'Economic Assumptions'!$C11*'Economic Assumptions'!$K11,0)</f>
        <v/>
      </c>
      <c r="CE37" s="301">
        <f>IF('Economic Assumptions'!$B11+'Project Assumptions'!$D$15+'Project Assumptions'!$D$16-1='Detailed Cashflows'!CE$5,-'Economic Assumptions'!$C11*'Economic Assumptions'!$K11,0)</f>
        <v/>
      </c>
      <c r="CF37" s="301">
        <f>IF('Economic Assumptions'!$B11+'Project Assumptions'!$D$15+'Project Assumptions'!$D$16-1='Detailed Cashflows'!CF$5,-'Economic Assumptions'!$C11*'Economic Assumptions'!$K11,0)</f>
        <v/>
      </c>
      <c r="CG37" s="301">
        <f>IF('Economic Assumptions'!$B11+'Project Assumptions'!$D$15+'Project Assumptions'!$D$16-1='Detailed Cashflows'!CG$5,-'Economic Assumptions'!$C11*'Economic Assumptions'!$K11,0)</f>
        <v/>
      </c>
      <c r="CH37" s="301">
        <f>IF('Economic Assumptions'!$B11+'Project Assumptions'!$D$15+'Project Assumptions'!$D$16-1='Detailed Cashflows'!CH$5,-'Economic Assumptions'!$C11*'Economic Assumptions'!$K11,0)</f>
        <v/>
      </c>
      <c r="CI37" s="301">
        <f>IF('Economic Assumptions'!$B11+'Project Assumptions'!$D$15+'Project Assumptions'!$D$16-1='Detailed Cashflows'!CI$5,-'Economic Assumptions'!$C11*'Economic Assumptions'!$K11,0)</f>
        <v/>
      </c>
      <c r="CJ37" s="301">
        <f>IF('Economic Assumptions'!$B11+'Project Assumptions'!$D$15+'Project Assumptions'!$D$16-1='Detailed Cashflows'!CJ$5,-'Economic Assumptions'!$C11*'Economic Assumptions'!$K11,0)</f>
        <v/>
      </c>
      <c r="CK37" s="301">
        <f>IF('Economic Assumptions'!$B11+'Project Assumptions'!$D$15+'Project Assumptions'!$D$16-1='Detailed Cashflows'!CK$5,-'Economic Assumptions'!$C11*'Economic Assumptions'!$K11,0)</f>
        <v/>
      </c>
      <c r="CL37" s="301">
        <f>IF('Economic Assumptions'!$B11+'Project Assumptions'!$D$15+'Project Assumptions'!$D$16-1='Detailed Cashflows'!CL$5,-'Economic Assumptions'!$C11*'Economic Assumptions'!$K11,0)</f>
        <v/>
      </c>
      <c r="CM37" s="301">
        <f>IF('Economic Assumptions'!$B11+'Project Assumptions'!$D$15+'Project Assumptions'!$D$16-1='Detailed Cashflows'!CM$5,-'Economic Assumptions'!$C11*'Economic Assumptions'!$K11,0)</f>
        <v/>
      </c>
      <c r="CN37" s="301">
        <f>IF('Economic Assumptions'!$B11+'Project Assumptions'!$D$15+'Project Assumptions'!$D$16-1='Detailed Cashflows'!CN$5,-'Economic Assumptions'!$C11*'Economic Assumptions'!$K11,0)</f>
        <v/>
      </c>
      <c r="CO37" s="301">
        <f>IF('Economic Assumptions'!$B11+'Project Assumptions'!$D$15+'Project Assumptions'!$D$16-1='Detailed Cashflows'!CO$5,-'Economic Assumptions'!$C11*'Economic Assumptions'!$K11,0)</f>
        <v/>
      </c>
      <c r="CP37" s="301">
        <f>IF('Economic Assumptions'!$B11+'Project Assumptions'!$D$15+'Project Assumptions'!$D$16-1='Detailed Cashflows'!CP$5,-'Economic Assumptions'!$C11*'Economic Assumptions'!$K11,0)</f>
        <v/>
      </c>
      <c r="CQ37" s="301">
        <f>IF('Economic Assumptions'!$B11+'Project Assumptions'!$D$15+'Project Assumptions'!$D$16-1='Detailed Cashflows'!CQ$5,-'Economic Assumptions'!$C11*'Economic Assumptions'!$K11,0)</f>
        <v/>
      </c>
      <c r="CR37" s="301">
        <f>IF('Economic Assumptions'!$B11+'Project Assumptions'!$D$15+'Project Assumptions'!$D$16-1='Detailed Cashflows'!CR$5,-'Economic Assumptions'!$C11*'Economic Assumptions'!$K11,0)</f>
        <v/>
      </c>
      <c r="CS37" s="301">
        <f>IF('Economic Assumptions'!$B11+'Project Assumptions'!$D$15+'Project Assumptions'!$D$16-1='Detailed Cashflows'!CS$5,-'Economic Assumptions'!$C11*'Economic Assumptions'!$K11,0)</f>
        <v/>
      </c>
      <c r="CT37" s="301">
        <f>IF('Economic Assumptions'!$B11+'Project Assumptions'!$D$15+'Project Assumptions'!$D$16-1='Detailed Cashflows'!CT$5,-'Economic Assumptions'!$C11*'Economic Assumptions'!$K11,0)</f>
        <v/>
      </c>
      <c r="CU37" s="301">
        <f>IF('Economic Assumptions'!$B11+'Project Assumptions'!$D$15+'Project Assumptions'!$D$16-1='Detailed Cashflows'!CU$5,-'Economic Assumptions'!$C11*'Economic Assumptions'!$K11,0)</f>
        <v/>
      </c>
      <c r="CV37" s="301">
        <f>IF('Economic Assumptions'!$B11+'Project Assumptions'!$D$15+'Project Assumptions'!$D$16-1='Detailed Cashflows'!CV$5,-'Economic Assumptions'!$C11*'Economic Assumptions'!$K11,0)</f>
        <v/>
      </c>
      <c r="CW37" s="301">
        <f>IF('Economic Assumptions'!$B11+'Project Assumptions'!$D$15+'Project Assumptions'!$D$16-1='Detailed Cashflows'!CW$5,-'Economic Assumptions'!$C11*'Economic Assumptions'!$K11,0)</f>
        <v/>
      </c>
      <c r="CX37" s="301">
        <f>IF('Economic Assumptions'!$B11+'Project Assumptions'!$D$15+'Project Assumptions'!$D$16-1='Detailed Cashflows'!CX$5,-'Economic Assumptions'!$C11*'Economic Assumptions'!$K11,0)</f>
        <v/>
      </c>
      <c r="CY37" s="301">
        <f>IF('Economic Assumptions'!$B11+'Project Assumptions'!$D$15+'Project Assumptions'!$D$16-1='Detailed Cashflows'!CY$5,-'Economic Assumptions'!$C11*'Economic Assumptions'!$K11,0)</f>
        <v/>
      </c>
      <c r="CZ37" s="301">
        <f>IF('Economic Assumptions'!$B11+'Project Assumptions'!$D$15+'Project Assumptions'!$D$16-1='Detailed Cashflows'!CZ$5,-'Economic Assumptions'!$C11*'Economic Assumptions'!$K11,0)</f>
        <v/>
      </c>
      <c r="DA37" s="301">
        <f>IF('Economic Assumptions'!$B11+'Project Assumptions'!$D$15+'Project Assumptions'!$D$16-1='Detailed Cashflows'!DA$5,-'Economic Assumptions'!$C11*'Economic Assumptions'!$K11,0)</f>
        <v/>
      </c>
      <c r="DB37" s="301">
        <f>IF('Economic Assumptions'!$B11+'Project Assumptions'!$D$15+'Project Assumptions'!$D$16-1='Detailed Cashflows'!DB$5,-'Economic Assumptions'!$C11*'Economic Assumptions'!$K11,0)</f>
        <v/>
      </c>
      <c r="DC37" s="301" t="n"/>
      <c r="DD37" s="299">
        <f>SUM(F37:DB37)</f>
        <v/>
      </c>
    </row>
    <row r="38" hidden="1" outlineLevel="1" ht="14.1" customFormat="1" customHeight="1" s="302">
      <c r="A38" s="1000" t="n"/>
      <c r="B38" s="640">
        <f>'Economic Assumptions'!$A$12</f>
        <v/>
      </c>
      <c r="C38" s="298" t="n"/>
      <c r="D38" s="299">
        <f>DD38</f>
        <v/>
      </c>
      <c r="E38" s="300" t="n"/>
      <c r="F38" s="301">
        <f>IF('Economic Assumptions'!$B12+'Project Assumptions'!$D$15+'Project Assumptions'!$D$16-1='Detailed Cashflows'!F$5,-'Economic Assumptions'!$C12*'Economic Assumptions'!$K12,0)</f>
        <v/>
      </c>
      <c r="G38" s="301">
        <f>IF('Economic Assumptions'!$B12+'Project Assumptions'!$D$15+'Project Assumptions'!$D$16-1='Detailed Cashflows'!G$5,-'Economic Assumptions'!$C12*'Economic Assumptions'!$K12,0)</f>
        <v/>
      </c>
      <c r="H38" s="301">
        <f>IF('Economic Assumptions'!$B12+'Project Assumptions'!$D$15+'Project Assumptions'!$D$16-1='Detailed Cashflows'!H$5,-'Economic Assumptions'!$C12*'Economic Assumptions'!$K12,0)</f>
        <v/>
      </c>
      <c r="I38" s="301">
        <f>IF('Economic Assumptions'!$B12+'Project Assumptions'!$D$15+'Project Assumptions'!$D$16-1='Detailed Cashflows'!I$5,-'Economic Assumptions'!$C12*'Economic Assumptions'!$K12,0)</f>
        <v/>
      </c>
      <c r="J38" s="301">
        <f>IF('Economic Assumptions'!$B12+'Project Assumptions'!$D$15+'Project Assumptions'!$D$16-1='Detailed Cashflows'!J$5,-'Economic Assumptions'!$C12*'Economic Assumptions'!$K12,0)</f>
        <v/>
      </c>
      <c r="K38" s="301">
        <f>IF('Economic Assumptions'!$B12+'Project Assumptions'!$D$15+'Project Assumptions'!$D$16-1='Detailed Cashflows'!K$5,-'Economic Assumptions'!$C12*'Economic Assumptions'!$K12,0)</f>
        <v/>
      </c>
      <c r="L38" s="301">
        <f>IF('Economic Assumptions'!$B12+'Project Assumptions'!$D$15+'Project Assumptions'!$D$16-1='Detailed Cashflows'!L$5,-'Economic Assumptions'!$C12*'Economic Assumptions'!$K12,0)</f>
        <v/>
      </c>
      <c r="M38" s="301">
        <f>IF('Economic Assumptions'!$B12+'Project Assumptions'!$D$15+'Project Assumptions'!$D$16-1='Detailed Cashflows'!M$5,-'Economic Assumptions'!$C12*'Economic Assumptions'!$K12,0)</f>
        <v/>
      </c>
      <c r="N38" s="301">
        <f>IF('Economic Assumptions'!$B12+'Project Assumptions'!$D$15+'Project Assumptions'!$D$16-1='Detailed Cashflows'!N$5,-'Economic Assumptions'!$C12*'Economic Assumptions'!$K12,0)</f>
        <v/>
      </c>
      <c r="O38" s="301">
        <f>IF('Economic Assumptions'!$B12+'Project Assumptions'!$D$15+'Project Assumptions'!$D$16-1='Detailed Cashflows'!O$5,-'Economic Assumptions'!$C12*'Economic Assumptions'!$K12,0)</f>
        <v/>
      </c>
      <c r="P38" s="301">
        <f>IF('Economic Assumptions'!$B12+'Project Assumptions'!$D$15+'Project Assumptions'!$D$16-1='Detailed Cashflows'!P$5,-'Economic Assumptions'!$C12*'Economic Assumptions'!$K12,0)</f>
        <v/>
      </c>
      <c r="Q38" s="301">
        <f>IF('Economic Assumptions'!$B12+'Project Assumptions'!$D$15+'Project Assumptions'!$D$16-1='Detailed Cashflows'!Q$5,-'Economic Assumptions'!$C12*'Economic Assumptions'!$K12,0)</f>
        <v/>
      </c>
      <c r="R38" s="301">
        <f>IF('Economic Assumptions'!$B12+'Project Assumptions'!$D$15+'Project Assumptions'!$D$16-1='Detailed Cashflows'!R$5,-'Economic Assumptions'!$C12*'Economic Assumptions'!$K12,0)</f>
        <v/>
      </c>
      <c r="S38" s="301">
        <f>IF('Economic Assumptions'!$B12+'Project Assumptions'!$D$15+'Project Assumptions'!$D$16-1='Detailed Cashflows'!S$5,-'Economic Assumptions'!$C12*'Economic Assumptions'!$K12,0)</f>
        <v/>
      </c>
      <c r="T38" s="301">
        <f>IF('Economic Assumptions'!$B12+'Project Assumptions'!$D$15+'Project Assumptions'!$D$16-1='Detailed Cashflows'!T$5,-'Economic Assumptions'!$C12*'Economic Assumptions'!$K12,0)</f>
        <v/>
      </c>
      <c r="U38" s="301">
        <f>IF('Economic Assumptions'!$B12+'Project Assumptions'!$D$15+'Project Assumptions'!$D$16-1='Detailed Cashflows'!U$5,-'Economic Assumptions'!$C12*'Economic Assumptions'!$K12,0)</f>
        <v/>
      </c>
      <c r="V38" s="301">
        <f>IF('Economic Assumptions'!$B12+'Project Assumptions'!$D$15+'Project Assumptions'!$D$16-1='Detailed Cashflows'!V$5,-'Economic Assumptions'!$C12*'Economic Assumptions'!$K12,0)</f>
        <v/>
      </c>
      <c r="W38" s="301">
        <f>IF('Economic Assumptions'!$B12+'Project Assumptions'!$D$15+'Project Assumptions'!$D$16-1='Detailed Cashflows'!W$5,-'Economic Assumptions'!$C12*'Economic Assumptions'!$K12,0)</f>
        <v/>
      </c>
      <c r="X38" s="301">
        <f>IF('Economic Assumptions'!$B12+'Project Assumptions'!$D$15+'Project Assumptions'!$D$16-1='Detailed Cashflows'!X$5,-'Economic Assumptions'!$C12*'Economic Assumptions'!$K12,0)</f>
        <v/>
      </c>
      <c r="Y38" s="301">
        <f>IF('Economic Assumptions'!$B12+'Project Assumptions'!$D$15+'Project Assumptions'!$D$16-1='Detailed Cashflows'!Y$5,-'Economic Assumptions'!$C12*'Economic Assumptions'!$K12,0)</f>
        <v/>
      </c>
      <c r="Z38" s="301">
        <f>IF('Economic Assumptions'!$B12+'Project Assumptions'!$D$15+'Project Assumptions'!$D$16-1='Detailed Cashflows'!Z$5,-'Economic Assumptions'!$C12*'Economic Assumptions'!$K12,0)</f>
        <v/>
      </c>
      <c r="AA38" s="301">
        <f>IF('Economic Assumptions'!$B12+'Project Assumptions'!$D$15+'Project Assumptions'!$D$16-1='Detailed Cashflows'!AA$5,-'Economic Assumptions'!$C12*'Economic Assumptions'!$K12,0)</f>
        <v/>
      </c>
      <c r="AB38" s="301">
        <f>IF('Economic Assumptions'!$B12+'Project Assumptions'!$D$15+'Project Assumptions'!$D$16-1='Detailed Cashflows'!AB$5,-'Economic Assumptions'!$C12*'Economic Assumptions'!$K12,0)</f>
        <v/>
      </c>
      <c r="AC38" s="301">
        <f>IF('Economic Assumptions'!$B12+'Project Assumptions'!$D$15+'Project Assumptions'!$D$16-1='Detailed Cashflows'!AC$5,-'Economic Assumptions'!$C12*'Economic Assumptions'!$K12,0)</f>
        <v/>
      </c>
      <c r="AD38" s="301">
        <f>IF('Economic Assumptions'!$B12+'Project Assumptions'!$D$15+'Project Assumptions'!$D$16-1='Detailed Cashflows'!AD$5,-'Economic Assumptions'!$C12*'Economic Assumptions'!$K12,0)</f>
        <v/>
      </c>
      <c r="AE38" s="301">
        <f>IF('Economic Assumptions'!$B12+'Project Assumptions'!$D$15+'Project Assumptions'!$D$16-1='Detailed Cashflows'!AE$5,-'Economic Assumptions'!$C12*'Economic Assumptions'!$K12,0)</f>
        <v/>
      </c>
      <c r="AF38" s="301">
        <f>IF('Economic Assumptions'!$B12+'Project Assumptions'!$D$15+'Project Assumptions'!$D$16-1='Detailed Cashflows'!AF$5,-'Economic Assumptions'!$C12*'Economic Assumptions'!$K12,0)</f>
        <v/>
      </c>
      <c r="AG38" s="301">
        <f>IF('Economic Assumptions'!$B12+'Project Assumptions'!$D$15+'Project Assumptions'!$D$16-1='Detailed Cashflows'!AG$5,-'Economic Assumptions'!$C12*'Economic Assumptions'!$K12,0)</f>
        <v/>
      </c>
      <c r="AH38" s="301">
        <f>IF('Economic Assumptions'!$B12+'Project Assumptions'!$D$15+'Project Assumptions'!$D$16-1='Detailed Cashflows'!AH$5,-'Economic Assumptions'!$C12*'Economic Assumptions'!$K12,0)</f>
        <v/>
      </c>
      <c r="AI38" s="301">
        <f>IF('Economic Assumptions'!$B12+'Project Assumptions'!$D$15+'Project Assumptions'!$D$16-1='Detailed Cashflows'!AI$5,-'Economic Assumptions'!$C12*'Economic Assumptions'!$K12,0)</f>
        <v/>
      </c>
      <c r="AJ38" s="301">
        <f>IF('Economic Assumptions'!$B12+'Project Assumptions'!$D$15+'Project Assumptions'!$D$16-1='Detailed Cashflows'!AJ$5,-'Economic Assumptions'!$C12*'Economic Assumptions'!$K12,0)</f>
        <v/>
      </c>
      <c r="AK38" s="301">
        <f>IF('Economic Assumptions'!$B12+'Project Assumptions'!$D$15+'Project Assumptions'!$D$16-1='Detailed Cashflows'!AK$5,-'Economic Assumptions'!$C12*'Economic Assumptions'!$K12,0)</f>
        <v/>
      </c>
      <c r="AL38" s="301">
        <f>IF('Economic Assumptions'!$B12+'Project Assumptions'!$D$15+'Project Assumptions'!$D$16-1='Detailed Cashflows'!AL$5,-'Economic Assumptions'!$C12*'Economic Assumptions'!$K12,0)</f>
        <v/>
      </c>
      <c r="AM38" s="301">
        <f>IF('Economic Assumptions'!$B12+'Project Assumptions'!$D$15+'Project Assumptions'!$D$16-1='Detailed Cashflows'!AM$5,-'Economic Assumptions'!$C12*'Economic Assumptions'!$K12,0)</f>
        <v/>
      </c>
      <c r="AN38" s="301">
        <f>IF('Economic Assumptions'!$B12+'Project Assumptions'!$D$15+'Project Assumptions'!$D$16-1='Detailed Cashflows'!AN$5,-'Economic Assumptions'!$C12*'Economic Assumptions'!$K12,0)</f>
        <v/>
      </c>
      <c r="AO38" s="301">
        <f>IF('Economic Assumptions'!$B12+'Project Assumptions'!$D$15+'Project Assumptions'!$D$16-1='Detailed Cashflows'!AO$5,-'Economic Assumptions'!$C12*'Economic Assumptions'!$K12,0)</f>
        <v/>
      </c>
      <c r="AP38" s="301">
        <f>IF('Economic Assumptions'!$B12+'Project Assumptions'!$D$15+'Project Assumptions'!$D$16-1='Detailed Cashflows'!AP$5,-'Economic Assumptions'!$C12*'Economic Assumptions'!$K12,0)</f>
        <v/>
      </c>
      <c r="AQ38" s="301">
        <f>IF('Economic Assumptions'!$B12+'Project Assumptions'!$D$15+'Project Assumptions'!$D$16-1='Detailed Cashflows'!AQ$5,-'Economic Assumptions'!$C12*'Economic Assumptions'!$K12,0)</f>
        <v/>
      </c>
      <c r="AR38" s="301">
        <f>IF('Economic Assumptions'!$B12+'Project Assumptions'!$D$15+'Project Assumptions'!$D$16-1='Detailed Cashflows'!AR$5,-'Economic Assumptions'!$C12*'Economic Assumptions'!$K12,0)</f>
        <v/>
      </c>
      <c r="AS38" s="301">
        <f>IF('Economic Assumptions'!$B12+'Project Assumptions'!$D$15+'Project Assumptions'!$D$16-1='Detailed Cashflows'!AS$5,-'Economic Assumptions'!$C12*'Economic Assumptions'!$K12,0)</f>
        <v/>
      </c>
      <c r="AT38" s="301">
        <f>IF('Economic Assumptions'!$B12+'Project Assumptions'!$D$15+'Project Assumptions'!$D$16-1='Detailed Cashflows'!AT$5,-'Economic Assumptions'!$C12*'Economic Assumptions'!$K12,0)</f>
        <v/>
      </c>
      <c r="AU38" s="301">
        <f>IF('Economic Assumptions'!$B12+'Project Assumptions'!$D$15+'Project Assumptions'!$D$16-1='Detailed Cashflows'!AU$5,-'Economic Assumptions'!$C12*'Economic Assumptions'!$K12,0)</f>
        <v/>
      </c>
      <c r="AV38" s="301">
        <f>IF('Economic Assumptions'!$B12+'Project Assumptions'!$D$15+'Project Assumptions'!$D$16-1='Detailed Cashflows'!AV$5,-'Economic Assumptions'!$C12*'Economic Assumptions'!$K12,0)</f>
        <v/>
      </c>
      <c r="AW38" s="301">
        <f>IF('Economic Assumptions'!$B12+'Project Assumptions'!$D$15+'Project Assumptions'!$D$16-1='Detailed Cashflows'!AW$5,-'Economic Assumptions'!$C12*'Economic Assumptions'!$K12,0)</f>
        <v/>
      </c>
      <c r="AX38" s="301">
        <f>IF('Economic Assumptions'!$B12+'Project Assumptions'!$D$15+'Project Assumptions'!$D$16-1='Detailed Cashflows'!AX$5,-'Economic Assumptions'!$C12*'Economic Assumptions'!$K12,0)</f>
        <v/>
      </c>
      <c r="AY38" s="301">
        <f>IF('Economic Assumptions'!$B12+'Project Assumptions'!$D$15+'Project Assumptions'!$D$16-1='Detailed Cashflows'!AY$5,-'Economic Assumptions'!$C12*'Economic Assumptions'!$K12,0)</f>
        <v/>
      </c>
      <c r="AZ38" s="301">
        <f>IF('Economic Assumptions'!$B12+'Project Assumptions'!$D$15+'Project Assumptions'!$D$16-1='Detailed Cashflows'!AZ$5,-'Economic Assumptions'!$C12*'Economic Assumptions'!$K12,0)</f>
        <v/>
      </c>
      <c r="BA38" s="301">
        <f>IF('Economic Assumptions'!$B12+'Project Assumptions'!$D$15+'Project Assumptions'!$D$16-1='Detailed Cashflows'!BA$5,-'Economic Assumptions'!$C12*'Economic Assumptions'!$K12,0)</f>
        <v/>
      </c>
      <c r="BB38" s="301">
        <f>IF('Economic Assumptions'!$B12+'Project Assumptions'!$D$15+'Project Assumptions'!$D$16-1='Detailed Cashflows'!BB$5,-'Economic Assumptions'!$C12*'Economic Assumptions'!$K12,0)</f>
        <v/>
      </c>
      <c r="BC38" s="301">
        <f>IF('Economic Assumptions'!$B12+'Project Assumptions'!$D$15+'Project Assumptions'!$D$16-1='Detailed Cashflows'!BC$5,-'Economic Assumptions'!$C12*'Economic Assumptions'!$K12,0)</f>
        <v/>
      </c>
      <c r="BD38" s="301">
        <f>IF('Economic Assumptions'!$B12+'Project Assumptions'!$D$15+'Project Assumptions'!$D$16-1='Detailed Cashflows'!BD$5,-'Economic Assumptions'!$C12*'Economic Assumptions'!$K12,0)</f>
        <v/>
      </c>
      <c r="BE38" s="301">
        <f>IF('Economic Assumptions'!$B12+'Project Assumptions'!$D$15+'Project Assumptions'!$D$16-1='Detailed Cashflows'!BE$5,-'Economic Assumptions'!$C12*'Economic Assumptions'!$K12,0)</f>
        <v/>
      </c>
      <c r="BF38" s="301">
        <f>IF('Economic Assumptions'!$B12+'Project Assumptions'!$D$15+'Project Assumptions'!$D$16-1='Detailed Cashflows'!BF$5,-'Economic Assumptions'!$C12*'Economic Assumptions'!$K12,0)</f>
        <v/>
      </c>
      <c r="BG38" s="301">
        <f>IF('Economic Assumptions'!$B12+'Project Assumptions'!$D$15+'Project Assumptions'!$D$16-1='Detailed Cashflows'!BG$5,-'Economic Assumptions'!$C12*'Economic Assumptions'!$K12,0)</f>
        <v/>
      </c>
      <c r="BH38" s="301">
        <f>IF('Economic Assumptions'!$B12+'Project Assumptions'!$D$15+'Project Assumptions'!$D$16-1='Detailed Cashflows'!BH$5,-'Economic Assumptions'!$C12*'Economic Assumptions'!$K12,0)</f>
        <v/>
      </c>
      <c r="BI38" s="301">
        <f>IF('Economic Assumptions'!$B12+'Project Assumptions'!$D$15+'Project Assumptions'!$D$16-1='Detailed Cashflows'!BI$5,-'Economic Assumptions'!$C12*'Economic Assumptions'!$K12,0)</f>
        <v/>
      </c>
      <c r="BJ38" s="301">
        <f>IF('Economic Assumptions'!$B12+'Project Assumptions'!$D$15+'Project Assumptions'!$D$16-1='Detailed Cashflows'!BJ$5,-'Economic Assumptions'!$C12*'Economic Assumptions'!$K12,0)</f>
        <v/>
      </c>
      <c r="BK38" s="301">
        <f>IF('Economic Assumptions'!$B12+'Project Assumptions'!$D$15+'Project Assumptions'!$D$16-1='Detailed Cashflows'!BK$5,-'Economic Assumptions'!$C12*'Economic Assumptions'!$K12,0)</f>
        <v/>
      </c>
      <c r="BL38" s="301">
        <f>IF('Economic Assumptions'!$B12+'Project Assumptions'!$D$15+'Project Assumptions'!$D$16-1='Detailed Cashflows'!BL$5,-'Economic Assumptions'!$C12*'Economic Assumptions'!$K12,0)</f>
        <v/>
      </c>
      <c r="BM38" s="301">
        <f>IF('Economic Assumptions'!$B12+'Project Assumptions'!$D$15+'Project Assumptions'!$D$16-1='Detailed Cashflows'!BM$5,-'Economic Assumptions'!$C12*'Economic Assumptions'!$K12,0)</f>
        <v/>
      </c>
      <c r="BN38" s="301">
        <f>IF('Economic Assumptions'!$B12+'Project Assumptions'!$D$15+'Project Assumptions'!$D$16-1='Detailed Cashflows'!BN$5,-'Economic Assumptions'!$C12*'Economic Assumptions'!$K12,0)</f>
        <v/>
      </c>
      <c r="BO38" s="301">
        <f>IF('Economic Assumptions'!$B12+'Project Assumptions'!$D$15+'Project Assumptions'!$D$16-1='Detailed Cashflows'!BO$5,-'Economic Assumptions'!$C12*'Economic Assumptions'!$K12,0)</f>
        <v/>
      </c>
      <c r="BP38" s="301">
        <f>IF('Economic Assumptions'!$B12+'Project Assumptions'!$D$15+'Project Assumptions'!$D$16-1='Detailed Cashflows'!BP$5,-'Economic Assumptions'!$C12*'Economic Assumptions'!$K12,0)</f>
        <v/>
      </c>
      <c r="BQ38" s="301">
        <f>IF('Economic Assumptions'!$B12+'Project Assumptions'!$D$15+'Project Assumptions'!$D$16-1='Detailed Cashflows'!BQ$5,-'Economic Assumptions'!$C12*'Economic Assumptions'!$K12,0)</f>
        <v/>
      </c>
      <c r="BR38" s="301">
        <f>IF('Economic Assumptions'!$B12+'Project Assumptions'!$D$15+'Project Assumptions'!$D$16-1='Detailed Cashflows'!BR$5,-'Economic Assumptions'!$C12*'Economic Assumptions'!$K12,0)</f>
        <v/>
      </c>
      <c r="BS38" s="301">
        <f>IF('Economic Assumptions'!$B12+'Project Assumptions'!$D$15+'Project Assumptions'!$D$16-1='Detailed Cashflows'!BS$5,-'Economic Assumptions'!$C12*'Economic Assumptions'!$K12,0)</f>
        <v/>
      </c>
      <c r="BT38" s="301">
        <f>IF('Economic Assumptions'!$B12+'Project Assumptions'!$D$15+'Project Assumptions'!$D$16-1='Detailed Cashflows'!BT$5,-'Economic Assumptions'!$C12*'Economic Assumptions'!$K12,0)</f>
        <v/>
      </c>
      <c r="BU38" s="301">
        <f>IF('Economic Assumptions'!$B12+'Project Assumptions'!$D$15+'Project Assumptions'!$D$16-1='Detailed Cashflows'!BU$5,-'Economic Assumptions'!$C12*'Economic Assumptions'!$K12,0)</f>
        <v/>
      </c>
      <c r="BV38" s="301">
        <f>IF('Economic Assumptions'!$B12+'Project Assumptions'!$D$15+'Project Assumptions'!$D$16-1='Detailed Cashflows'!BV$5,-'Economic Assumptions'!$C12*'Economic Assumptions'!$K12,0)</f>
        <v/>
      </c>
      <c r="BW38" s="301">
        <f>IF('Economic Assumptions'!$B12+'Project Assumptions'!$D$15+'Project Assumptions'!$D$16-1='Detailed Cashflows'!BW$5,-'Economic Assumptions'!$C12*'Economic Assumptions'!$K12,0)</f>
        <v/>
      </c>
      <c r="BX38" s="301">
        <f>IF('Economic Assumptions'!$B12+'Project Assumptions'!$D$15+'Project Assumptions'!$D$16-1='Detailed Cashflows'!BX$5,-'Economic Assumptions'!$C12*'Economic Assumptions'!$K12,0)</f>
        <v/>
      </c>
      <c r="BY38" s="301">
        <f>IF('Economic Assumptions'!$B12+'Project Assumptions'!$D$15+'Project Assumptions'!$D$16-1='Detailed Cashflows'!BY$5,-'Economic Assumptions'!$C12*'Economic Assumptions'!$K12,0)</f>
        <v/>
      </c>
      <c r="BZ38" s="301">
        <f>IF('Economic Assumptions'!$B12+'Project Assumptions'!$D$15+'Project Assumptions'!$D$16-1='Detailed Cashflows'!BZ$5,-'Economic Assumptions'!$C12*'Economic Assumptions'!$K12,0)</f>
        <v/>
      </c>
      <c r="CA38" s="301">
        <f>IF('Economic Assumptions'!$B12+'Project Assumptions'!$D$15+'Project Assumptions'!$D$16-1='Detailed Cashflows'!CA$5,-'Economic Assumptions'!$C12*'Economic Assumptions'!$K12,0)</f>
        <v/>
      </c>
      <c r="CB38" s="301">
        <f>IF('Economic Assumptions'!$B12+'Project Assumptions'!$D$15+'Project Assumptions'!$D$16-1='Detailed Cashflows'!CB$5,-'Economic Assumptions'!$C12*'Economic Assumptions'!$K12,0)</f>
        <v/>
      </c>
      <c r="CC38" s="301">
        <f>IF('Economic Assumptions'!$B12+'Project Assumptions'!$D$15+'Project Assumptions'!$D$16-1='Detailed Cashflows'!CC$5,-'Economic Assumptions'!$C12*'Economic Assumptions'!$K12,0)</f>
        <v/>
      </c>
      <c r="CD38" s="301">
        <f>IF('Economic Assumptions'!$B12+'Project Assumptions'!$D$15+'Project Assumptions'!$D$16-1='Detailed Cashflows'!CD$5,-'Economic Assumptions'!$C12*'Economic Assumptions'!$K12,0)</f>
        <v/>
      </c>
      <c r="CE38" s="301">
        <f>IF('Economic Assumptions'!$B12+'Project Assumptions'!$D$15+'Project Assumptions'!$D$16-1='Detailed Cashflows'!CE$5,-'Economic Assumptions'!$C12*'Economic Assumptions'!$K12,0)</f>
        <v/>
      </c>
      <c r="CF38" s="301">
        <f>IF('Economic Assumptions'!$B12+'Project Assumptions'!$D$15+'Project Assumptions'!$D$16-1='Detailed Cashflows'!CF$5,-'Economic Assumptions'!$C12*'Economic Assumptions'!$K12,0)</f>
        <v/>
      </c>
      <c r="CG38" s="301">
        <f>IF('Economic Assumptions'!$B12+'Project Assumptions'!$D$15+'Project Assumptions'!$D$16-1='Detailed Cashflows'!CG$5,-'Economic Assumptions'!$C12*'Economic Assumptions'!$K12,0)</f>
        <v/>
      </c>
      <c r="CH38" s="301">
        <f>IF('Economic Assumptions'!$B12+'Project Assumptions'!$D$15+'Project Assumptions'!$D$16-1='Detailed Cashflows'!CH$5,-'Economic Assumptions'!$C12*'Economic Assumptions'!$K12,0)</f>
        <v/>
      </c>
      <c r="CI38" s="301">
        <f>IF('Economic Assumptions'!$B12+'Project Assumptions'!$D$15+'Project Assumptions'!$D$16-1='Detailed Cashflows'!CI$5,-'Economic Assumptions'!$C12*'Economic Assumptions'!$K12,0)</f>
        <v/>
      </c>
      <c r="CJ38" s="301">
        <f>IF('Economic Assumptions'!$B12+'Project Assumptions'!$D$15+'Project Assumptions'!$D$16-1='Detailed Cashflows'!CJ$5,-'Economic Assumptions'!$C12*'Economic Assumptions'!$K12,0)</f>
        <v/>
      </c>
      <c r="CK38" s="301">
        <f>IF('Economic Assumptions'!$B12+'Project Assumptions'!$D$15+'Project Assumptions'!$D$16-1='Detailed Cashflows'!CK$5,-'Economic Assumptions'!$C12*'Economic Assumptions'!$K12,0)</f>
        <v/>
      </c>
      <c r="CL38" s="301">
        <f>IF('Economic Assumptions'!$B12+'Project Assumptions'!$D$15+'Project Assumptions'!$D$16-1='Detailed Cashflows'!CL$5,-'Economic Assumptions'!$C12*'Economic Assumptions'!$K12,0)</f>
        <v/>
      </c>
      <c r="CM38" s="301">
        <f>IF('Economic Assumptions'!$B12+'Project Assumptions'!$D$15+'Project Assumptions'!$D$16-1='Detailed Cashflows'!CM$5,-'Economic Assumptions'!$C12*'Economic Assumptions'!$K12,0)</f>
        <v/>
      </c>
      <c r="CN38" s="301">
        <f>IF('Economic Assumptions'!$B12+'Project Assumptions'!$D$15+'Project Assumptions'!$D$16-1='Detailed Cashflows'!CN$5,-'Economic Assumptions'!$C12*'Economic Assumptions'!$K12,0)</f>
        <v/>
      </c>
      <c r="CO38" s="301">
        <f>IF('Economic Assumptions'!$B12+'Project Assumptions'!$D$15+'Project Assumptions'!$D$16-1='Detailed Cashflows'!CO$5,-'Economic Assumptions'!$C12*'Economic Assumptions'!$K12,0)</f>
        <v/>
      </c>
      <c r="CP38" s="301">
        <f>IF('Economic Assumptions'!$B12+'Project Assumptions'!$D$15+'Project Assumptions'!$D$16-1='Detailed Cashflows'!CP$5,-'Economic Assumptions'!$C12*'Economic Assumptions'!$K12,0)</f>
        <v/>
      </c>
      <c r="CQ38" s="301">
        <f>IF('Economic Assumptions'!$B12+'Project Assumptions'!$D$15+'Project Assumptions'!$D$16-1='Detailed Cashflows'!CQ$5,-'Economic Assumptions'!$C12*'Economic Assumptions'!$K12,0)</f>
        <v/>
      </c>
      <c r="CR38" s="301">
        <f>IF('Economic Assumptions'!$B12+'Project Assumptions'!$D$15+'Project Assumptions'!$D$16-1='Detailed Cashflows'!CR$5,-'Economic Assumptions'!$C12*'Economic Assumptions'!$K12,0)</f>
        <v/>
      </c>
      <c r="CS38" s="301">
        <f>IF('Economic Assumptions'!$B12+'Project Assumptions'!$D$15+'Project Assumptions'!$D$16-1='Detailed Cashflows'!CS$5,-'Economic Assumptions'!$C12*'Economic Assumptions'!$K12,0)</f>
        <v/>
      </c>
      <c r="CT38" s="301">
        <f>IF('Economic Assumptions'!$B12+'Project Assumptions'!$D$15+'Project Assumptions'!$D$16-1='Detailed Cashflows'!CT$5,-'Economic Assumptions'!$C12*'Economic Assumptions'!$K12,0)</f>
        <v/>
      </c>
      <c r="CU38" s="301">
        <f>IF('Economic Assumptions'!$B12+'Project Assumptions'!$D$15+'Project Assumptions'!$D$16-1='Detailed Cashflows'!CU$5,-'Economic Assumptions'!$C12*'Economic Assumptions'!$K12,0)</f>
        <v/>
      </c>
      <c r="CV38" s="301">
        <f>IF('Economic Assumptions'!$B12+'Project Assumptions'!$D$15+'Project Assumptions'!$D$16-1='Detailed Cashflows'!CV$5,-'Economic Assumptions'!$C12*'Economic Assumptions'!$K12,0)</f>
        <v/>
      </c>
      <c r="CW38" s="301">
        <f>IF('Economic Assumptions'!$B12+'Project Assumptions'!$D$15+'Project Assumptions'!$D$16-1='Detailed Cashflows'!CW$5,-'Economic Assumptions'!$C12*'Economic Assumptions'!$K12,0)</f>
        <v/>
      </c>
      <c r="CX38" s="301">
        <f>IF('Economic Assumptions'!$B12+'Project Assumptions'!$D$15+'Project Assumptions'!$D$16-1='Detailed Cashflows'!CX$5,-'Economic Assumptions'!$C12*'Economic Assumptions'!$K12,0)</f>
        <v/>
      </c>
      <c r="CY38" s="301">
        <f>IF('Economic Assumptions'!$B12+'Project Assumptions'!$D$15+'Project Assumptions'!$D$16-1='Detailed Cashflows'!CY$5,-'Economic Assumptions'!$C12*'Economic Assumptions'!$K12,0)</f>
        <v/>
      </c>
      <c r="CZ38" s="301">
        <f>IF('Economic Assumptions'!$B12+'Project Assumptions'!$D$15+'Project Assumptions'!$D$16-1='Detailed Cashflows'!CZ$5,-'Economic Assumptions'!$C12*'Economic Assumptions'!$K12,0)</f>
        <v/>
      </c>
      <c r="DA38" s="301">
        <f>IF('Economic Assumptions'!$B12+'Project Assumptions'!$D$15+'Project Assumptions'!$D$16-1='Detailed Cashflows'!DA$5,-'Economic Assumptions'!$C12*'Economic Assumptions'!$K12,0)</f>
        <v/>
      </c>
      <c r="DB38" s="301">
        <f>IF('Economic Assumptions'!$B12+'Project Assumptions'!$D$15+'Project Assumptions'!$D$16-1='Detailed Cashflows'!DB$5,-'Economic Assumptions'!$C12*'Economic Assumptions'!$K12,0)</f>
        <v/>
      </c>
      <c r="DC38" s="301" t="n"/>
      <c r="DD38" s="299">
        <f>SUM(F38:DB38)</f>
        <v/>
      </c>
    </row>
    <row r="39" hidden="1" outlineLevel="1" ht="14.1" customFormat="1" customHeight="1" s="302">
      <c r="A39" s="1000" t="n"/>
      <c r="B39" s="640">
        <f>'Economic Assumptions'!$A$13</f>
        <v/>
      </c>
      <c r="C39" s="298" t="n"/>
      <c r="D39" s="299">
        <f>DD39</f>
        <v/>
      </c>
      <c r="E39" s="300" t="n"/>
      <c r="F39" s="301">
        <f>IF('Economic Assumptions'!$B13+'Project Assumptions'!$D$15+'Project Assumptions'!$D$16-1='Detailed Cashflows'!F$5,-'Economic Assumptions'!$C13*'Economic Assumptions'!$K13,0)</f>
        <v/>
      </c>
      <c r="G39" s="301">
        <f>IF('Economic Assumptions'!$B13+'Project Assumptions'!$D$15+'Project Assumptions'!$D$16-1='Detailed Cashflows'!G$5,-'Economic Assumptions'!$C13*'Economic Assumptions'!$K13,0)</f>
        <v/>
      </c>
      <c r="H39" s="301">
        <f>IF('Economic Assumptions'!$B13+'Project Assumptions'!$D$15+'Project Assumptions'!$D$16-1='Detailed Cashflows'!H$5,-'Economic Assumptions'!$C13*'Economic Assumptions'!$K13,0)</f>
        <v/>
      </c>
      <c r="I39" s="301">
        <f>IF('Economic Assumptions'!$B13+'Project Assumptions'!$D$15+'Project Assumptions'!$D$16-1='Detailed Cashflows'!I$5,-'Economic Assumptions'!$C13*'Economic Assumptions'!$K13,0)</f>
        <v/>
      </c>
      <c r="J39" s="301">
        <f>IF('Economic Assumptions'!$B13+'Project Assumptions'!$D$15+'Project Assumptions'!$D$16-1='Detailed Cashflows'!J$5,-'Economic Assumptions'!$C13*'Economic Assumptions'!$K13,0)</f>
        <v/>
      </c>
      <c r="K39" s="301">
        <f>IF('Economic Assumptions'!$B13+'Project Assumptions'!$D$15+'Project Assumptions'!$D$16-1='Detailed Cashflows'!K$5,-'Economic Assumptions'!$C13*'Economic Assumptions'!$K13,0)</f>
        <v/>
      </c>
      <c r="L39" s="301">
        <f>IF('Economic Assumptions'!$B13+'Project Assumptions'!$D$15+'Project Assumptions'!$D$16-1='Detailed Cashflows'!L$5,-'Economic Assumptions'!$C13*'Economic Assumptions'!$K13,0)</f>
        <v/>
      </c>
      <c r="M39" s="301">
        <f>IF('Economic Assumptions'!$B13+'Project Assumptions'!$D$15+'Project Assumptions'!$D$16-1='Detailed Cashflows'!M$5,-'Economic Assumptions'!$C13*'Economic Assumptions'!$K13,0)</f>
        <v/>
      </c>
      <c r="N39" s="301">
        <f>IF('Economic Assumptions'!$B13+'Project Assumptions'!$D$15+'Project Assumptions'!$D$16-1='Detailed Cashflows'!N$5,-'Economic Assumptions'!$C13*'Economic Assumptions'!$K13,0)</f>
        <v/>
      </c>
      <c r="O39" s="301">
        <f>IF('Economic Assumptions'!$B13+'Project Assumptions'!$D$15+'Project Assumptions'!$D$16-1='Detailed Cashflows'!O$5,-'Economic Assumptions'!$C13*'Economic Assumptions'!$K13,0)</f>
        <v/>
      </c>
      <c r="P39" s="301">
        <f>IF('Economic Assumptions'!$B13+'Project Assumptions'!$D$15+'Project Assumptions'!$D$16-1='Detailed Cashflows'!P$5,-'Economic Assumptions'!$C13*'Economic Assumptions'!$K13,0)</f>
        <v/>
      </c>
      <c r="Q39" s="301">
        <f>IF('Economic Assumptions'!$B13+'Project Assumptions'!$D$15+'Project Assumptions'!$D$16-1='Detailed Cashflows'!Q$5,-'Economic Assumptions'!$C13*'Economic Assumptions'!$K13,0)</f>
        <v/>
      </c>
      <c r="R39" s="301">
        <f>IF('Economic Assumptions'!$B13+'Project Assumptions'!$D$15+'Project Assumptions'!$D$16-1='Detailed Cashflows'!R$5,-'Economic Assumptions'!$C13*'Economic Assumptions'!$K13,0)</f>
        <v/>
      </c>
      <c r="S39" s="301">
        <f>IF('Economic Assumptions'!$B13+'Project Assumptions'!$D$15+'Project Assumptions'!$D$16-1='Detailed Cashflows'!S$5,-'Economic Assumptions'!$C13*'Economic Assumptions'!$K13,0)</f>
        <v/>
      </c>
      <c r="T39" s="301">
        <f>IF('Economic Assumptions'!$B13+'Project Assumptions'!$D$15+'Project Assumptions'!$D$16-1='Detailed Cashflows'!T$5,-'Economic Assumptions'!$C13*'Economic Assumptions'!$K13,0)</f>
        <v/>
      </c>
      <c r="U39" s="301">
        <f>IF('Economic Assumptions'!$B13+'Project Assumptions'!$D$15+'Project Assumptions'!$D$16-1='Detailed Cashflows'!U$5,-'Economic Assumptions'!$C13*'Economic Assumptions'!$K13,0)</f>
        <v/>
      </c>
      <c r="V39" s="301">
        <f>IF('Economic Assumptions'!$B13+'Project Assumptions'!$D$15+'Project Assumptions'!$D$16-1='Detailed Cashflows'!V$5,-'Economic Assumptions'!$C13*'Economic Assumptions'!$K13,0)</f>
        <v/>
      </c>
      <c r="W39" s="301">
        <f>IF('Economic Assumptions'!$B13+'Project Assumptions'!$D$15+'Project Assumptions'!$D$16-1='Detailed Cashflows'!W$5,-'Economic Assumptions'!$C13*'Economic Assumptions'!$K13,0)</f>
        <v/>
      </c>
      <c r="X39" s="301">
        <f>IF('Economic Assumptions'!$B13+'Project Assumptions'!$D$15+'Project Assumptions'!$D$16-1='Detailed Cashflows'!X$5,-'Economic Assumptions'!$C13*'Economic Assumptions'!$K13,0)</f>
        <v/>
      </c>
      <c r="Y39" s="301">
        <f>IF('Economic Assumptions'!$B13+'Project Assumptions'!$D$15+'Project Assumptions'!$D$16-1='Detailed Cashflows'!Y$5,-'Economic Assumptions'!$C13*'Economic Assumptions'!$K13,0)</f>
        <v/>
      </c>
      <c r="Z39" s="301">
        <f>IF('Economic Assumptions'!$B13+'Project Assumptions'!$D$15+'Project Assumptions'!$D$16-1='Detailed Cashflows'!Z$5,-'Economic Assumptions'!$C13*'Economic Assumptions'!$K13,0)</f>
        <v/>
      </c>
      <c r="AA39" s="301">
        <f>IF('Economic Assumptions'!$B13+'Project Assumptions'!$D$15+'Project Assumptions'!$D$16-1='Detailed Cashflows'!AA$5,-'Economic Assumptions'!$C13*'Economic Assumptions'!$K13,0)</f>
        <v/>
      </c>
      <c r="AB39" s="301">
        <f>IF('Economic Assumptions'!$B13+'Project Assumptions'!$D$15+'Project Assumptions'!$D$16-1='Detailed Cashflows'!AB$5,-'Economic Assumptions'!$C13*'Economic Assumptions'!$K13,0)</f>
        <v/>
      </c>
      <c r="AC39" s="301">
        <f>IF('Economic Assumptions'!$B13+'Project Assumptions'!$D$15+'Project Assumptions'!$D$16-1='Detailed Cashflows'!AC$5,-'Economic Assumptions'!$C13*'Economic Assumptions'!$K13,0)</f>
        <v/>
      </c>
      <c r="AD39" s="301">
        <f>IF('Economic Assumptions'!$B13+'Project Assumptions'!$D$15+'Project Assumptions'!$D$16-1='Detailed Cashflows'!AD$5,-'Economic Assumptions'!$C13*'Economic Assumptions'!$K13,0)</f>
        <v/>
      </c>
      <c r="AE39" s="301">
        <f>IF('Economic Assumptions'!$B13+'Project Assumptions'!$D$15+'Project Assumptions'!$D$16-1='Detailed Cashflows'!AE$5,-'Economic Assumptions'!$C13*'Economic Assumptions'!$K13,0)</f>
        <v/>
      </c>
      <c r="AF39" s="301">
        <f>IF('Economic Assumptions'!$B13+'Project Assumptions'!$D$15+'Project Assumptions'!$D$16-1='Detailed Cashflows'!AF$5,-'Economic Assumptions'!$C13*'Economic Assumptions'!$K13,0)</f>
        <v/>
      </c>
      <c r="AG39" s="301">
        <f>IF('Economic Assumptions'!$B13+'Project Assumptions'!$D$15+'Project Assumptions'!$D$16-1='Detailed Cashflows'!AG$5,-'Economic Assumptions'!$C13*'Economic Assumptions'!$K13,0)</f>
        <v/>
      </c>
      <c r="AH39" s="301">
        <f>IF('Economic Assumptions'!$B13+'Project Assumptions'!$D$15+'Project Assumptions'!$D$16-1='Detailed Cashflows'!AH$5,-'Economic Assumptions'!$C13*'Economic Assumptions'!$K13,0)</f>
        <v/>
      </c>
      <c r="AI39" s="301">
        <f>IF('Economic Assumptions'!$B13+'Project Assumptions'!$D$15+'Project Assumptions'!$D$16-1='Detailed Cashflows'!AI$5,-'Economic Assumptions'!$C13*'Economic Assumptions'!$K13,0)</f>
        <v/>
      </c>
      <c r="AJ39" s="301">
        <f>IF('Economic Assumptions'!$B13+'Project Assumptions'!$D$15+'Project Assumptions'!$D$16-1='Detailed Cashflows'!AJ$5,-'Economic Assumptions'!$C13*'Economic Assumptions'!$K13,0)</f>
        <v/>
      </c>
      <c r="AK39" s="301">
        <f>IF('Economic Assumptions'!$B13+'Project Assumptions'!$D$15+'Project Assumptions'!$D$16-1='Detailed Cashflows'!AK$5,-'Economic Assumptions'!$C13*'Economic Assumptions'!$K13,0)</f>
        <v/>
      </c>
      <c r="AL39" s="301">
        <f>IF('Economic Assumptions'!$B13+'Project Assumptions'!$D$15+'Project Assumptions'!$D$16-1='Detailed Cashflows'!AL$5,-'Economic Assumptions'!$C13*'Economic Assumptions'!$K13,0)</f>
        <v/>
      </c>
      <c r="AM39" s="301">
        <f>IF('Economic Assumptions'!$B13+'Project Assumptions'!$D$15+'Project Assumptions'!$D$16-1='Detailed Cashflows'!AM$5,-'Economic Assumptions'!$C13*'Economic Assumptions'!$K13,0)</f>
        <v/>
      </c>
      <c r="AN39" s="301">
        <f>IF('Economic Assumptions'!$B13+'Project Assumptions'!$D$15+'Project Assumptions'!$D$16-1='Detailed Cashflows'!AN$5,-'Economic Assumptions'!$C13*'Economic Assumptions'!$K13,0)</f>
        <v/>
      </c>
      <c r="AO39" s="301">
        <f>IF('Economic Assumptions'!$B13+'Project Assumptions'!$D$15+'Project Assumptions'!$D$16-1='Detailed Cashflows'!AO$5,-'Economic Assumptions'!$C13*'Economic Assumptions'!$K13,0)</f>
        <v/>
      </c>
      <c r="AP39" s="301">
        <f>IF('Economic Assumptions'!$B13+'Project Assumptions'!$D$15+'Project Assumptions'!$D$16-1='Detailed Cashflows'!AP$5,-'Economic Assumptions'!$C13*'Economic Assumptions'!$K13,0)</f>
        <v/>
      </c>
      <c r="AQ39" s="301">
        <f>IF('Economic Assumptions'!$B13+'Project Assumptions'!$D$15+'Project Assumptions'!$D$16-1='Detailed Cashflows'!AQ$5,-'Economic Assumptions'!$C13*'Economic Assumptions'!$K13,0)</f>
        <v/>
      </c>
      <c r="AR39" s="301">
        <f>IF('Economic Assumptions'!$B13+'Project Assumptions'!$D$15+'Project Assumptions'!$D$16-1='Detailed Cashflows'!AR$5,-'Economic Assumptions'!$C13*'Economic Assumptions'!$K13,0)</f>
        <v/>
      </c>
      <c r="AS39" s="301">
        <f>IF('Economic Assumptions'!$B13+'Project Assumptions'!$D$15+'Project Assumptions'!$D$16-1='Detailed Cashflows'!AS$5,-'Economic Assumptions'!$C13*'Economic Assumptions'!$K13,0)</f>
        <v/>
      </c>
      <c r="AT39" s="301">
        <f>IF('Economic Assumptions'!$B13+'Project Assumptions'!$D$15+'Project Assumptions'!$D$16-1='Detailed Cashflows'!AT$5,-'Economic Assumptions'!$C13*'Economic Assumptions'!$K13,0)</f>
        <v/>
      </c>
      <c r="AU39" s="301">
        <f>IF('Economic Assumptions'!$B13+'Project Assumptions'!$D$15+'Project Assumptions'!$D$16-1='Detailed Cashflows'!AU$5,-'Economic Assumptions'!$C13*'Economic Assumptions'!$K13,0)</f>
        <v/>
      </c>
      <c r="AV39" s="301">
        <f>IF('Economic Assumptions'!$B13+'Project Assumptions'!$D$15+'Project Assumptions'!$D$16-1='Detailed Cashflows'!AV$5,-'Economic Assumptions'!$C13*'Economic Assumptions'!$K13,0)</f>
        <v/>
      </c>
      <c r="AW39" s="301">
        <f>IF('Economic Assumptions'!$B13+'Project Assumptions'!$D$15+'Project Assumptions'!$D$16-1='Detailed Cashflows'!AW$5,-'Economic Assumptions'!$C13*'Economic Assumptions'!$K13,0)</f>
        <v/>
      </c>
      <c r="AX39" s="301">
        <f>IF('Economic Assumptions'!$B13+'Project Assumptions'!$D$15+'Project Assumptions'!$D$16-1='Detailed Cashflows'!AX$5,-'Economic Assumptions'!$C13*'Economic Assumptions'!$K13,0)</f>
        <v/>
      </c>
      <c r="AY39" s="301">
        <f>IF('Economic Assumptions'!$B13+'Project Assumptions'!$D$15+'Project Assumptions'!$D$16-1='Detailed Cashflows'!AY$5,-'Economic Assumptions'!$C13*'Economic Assumptions'!$K13,0)</f>
        <v/>
      </c>
      <c r="AZ39" s="301">
        <f>IF('Economic Assumptions'!$B13+'Project Assumptions'!$D$15+'Project Assumptions'!$D$16-1='Detailed Cashflows'!AZ$5,-'Economic Assumptions'!$C13*'Economic Assumptions'!$K13,0)</f>
        <v/>
      </c>
      <c r="BA39" s="301">
        <f>IF('Economic Assumptions'!$B13+'Project Assumptions'!$D$15+'Project Assumptions'!$D$16-1='Detailed Cashflows'!BA$5,-'Economic Assumptions'!$C13*'Economic Assumptions'!$K13,0)</f>
        <v/>
      </c>
      <c r="BB39" s="301">
        <f>IF('Economic Assumptions'!$B13+'Project Assumptions'!$D$15+'Project Assumptions'!$D$16-1='Detailed Cashflows'!BB$5,-'Economic Assumptions'!$C13*'Economic Assumptions'!$K13,0)</f>
        <v/>
      </c>
      <c r="BC39" s="301">
        <f>IF('Economic Assumptions'!$B13+'Project Assumptions'!$D$15+'Project Assumptions'!$D$16-1='Detailed Cashflows'!BC$5,-'Economic Assumptions'!$C13*'Economic Assumptions'!$K13,0)</f>
        <v/>
      </c>
      <c r="BD39" s="301">
        <f>IF('Economic Assumptions'!$B13+'Project Assumptions'!$D$15+'Project Assumptions'!$D$16-1='Detailed Cashflows'!BD$5,-'Economic Assumptions'!$C13*'Economic Assumptions'!$K13,0)</f>
        <v/>
      </c>
      <c r="BE39" s="301">
        <f>IF('Economic Assumptions'!$B13+'Project Assumptions'!$D$15+'Project Assumptions'!$D$16-1='Detailed Cashflows'!BE$5,-'Economic Assumptions'!$C13*'Economic Assumptions'!$K13,0)</f>
        <v/>
      </c>
      <c r="BF39" s="301">
        <f>IF('Economic Assumptions'!$B13+'Project Assumptions'!$D$15+'Project Assumptions'!$D$16-1='Detailed Cashflows'!BF$5,-'Economic Assumptions'!$C13*'Economic Assumptions'!$K13,0)</f>
        <v/>
      </c>
      <c r="BG39" s="301">
        <f>IF('Economic Assumptions'!$B13+'Project Assumptions'!$D$15+'Project Assumptions'!$D$16-1='Detailed Cashflows'!BG$5,-'Economic Assumptions'!$C13*'Economic Assumptions'!$K13,0)</f>
        <v/>
      </c>
      <c r="BH39" s="301">
        <f>IF('Economic Assumptions'!$B13+'Project Assumptions'!$D$15+'Project Assumptions'!$D$16-1='Detailed Cashflows'!BH$5,-'Economic Assumptions'!$C13*'Economic Assumptions'!$K13,0)</f>
        <v/>
      </c>
      <c r="BI39" s="301">
        <f>IF('Economic Assumptions'!$B13+'Project Assumptions'!$D$15+'Project Assumptions'!$D$16-1='Detailed Cashflows'!BI$5,-'Economic Assumptions'!$C13*'Economic Assumptions'!$K13,0)</f>
        <v/>
      </c>
      <c r="BJ39" s="301">
        <f>IF('Economic Assumptions'!$B13+'Project Assumptions'!$D$15+'Project Assumptions'!$D$16-1='Detailed Cashflows'!BJ$5,-'Economic Assumptions'!$C13*'Economic Assumptions'!$K13,0)</f>
        <v/>
      </c>
      <c r="BK39" s="301">
        <f>IF('Economic Assumptions'!$B13+'Project Assumptions'!$D$15+'Project Assumptions'!$D$16-1='Detailed Cashflows'!BK$5,-'Economic Assumptions'!$C13*'Economic Assumptions'!$K13,0)</f>
        <v/>
      </c>
      <c r="BL39" s="301">
        <f>IF('Economic Assumptions'!$B13+'Project Assumptions'!$D$15+'Project Assumptions'!$D$16-1='Detailed Cashflows'!BL$5,-'Economic Assumptions'!$C13*'Economic Assumptions'!$K13,0)</f>
        <v/>
      </c>
      <c r="BM39" s="301">
        <f>IF('Economic Assumptions'!$B13+'Project Assumptions'!$D$15+'Project Assumptions'!$D$16-1='Detailed Cashflows'!BM$5,-'Economic Assumptions'!$C13*'Economic Assumptions'!$K13,0)</f>
        <v/>
      </c>
      <c r="BN39" s="301">
        <f>IF('Economic Assumptions'!$B13+'Project Assumptions'!$D$15+'Project Assumptions'!$D$16-1='Detailed Cashflows'!BN$5,-'Economic Assumptions'!$C13*'Economic Assumptions'!$K13,0)</f>
        <v/>
      </c>
      <c r="BO39" s="301">
        <f>IF('Economic Assumptions'!$B13+'Project Assumptions'!$D$15+'Project Assumptions'!$D$16-1='Detailed Cashflows'!BO$5,-'Economic Assumptions'!$C13*'Economic Assumptions'!$K13,0)</f>
        <v/>
      </c>
      <c r="BP39" s="301">
        <f>IF('Economic Assumptions'!$B13+'Project Assumptions'!$D$15+'Project Assumptions'!$D$16-1='Detailed Cashflows'!BP$5,-'Economic Assumptions'!$C13*'Economic Assumptions'!$K13,0)</f>
        <v/>
      </c>
      <c r="BQ39" s="301">
        <f>IF('Economic Assumptions'!$B13+'Project Assumptions'!$D$15+'Project Assumptions'!$D$16-1='Detailed Cashflows'!BQ$5,-'Economic Assumptions'!$C13*'Economic Assumptions'!$K13,0)</f>
        <v/>
      </c>
      <c r="BR39" s="301">
        <f>IF('Economic Assumptions'!$B13+'Project Assumptions'!$D$15+'Project Assumptions'!$D$16-1='Detailed Cashflows'!BR$5,-'Economic Assumptions'!$C13*'Economic Assumptions'!$K13,0)</f>
        <v/>
      </c>
      <c r="BS39" s="301">
        <f>IF('Economic Assumptions'!$B13+'Project Assumptions'!$D$15+'Project Assumptions'!$D$16-1='Detailed Cashflows'!BS$5,-'Economic Assumptions'!$C13*'Economic Assumptions'!$K13,0)</f>
        <v/>
      </c>
      <c r="BT39" s="301">
        <f>IF('Economic Assumptions'!$B13+'Project Assumptions'!$D$15+'Project Assumptions'!$D$16-1='Detailed Cashflows'!BT$5,-'Economic Assumptions'!$C13*'Economic Assumptions'!$K13,0)</f>
        <v/>
      </c>
      <c r="BU39" s="301">
        <f>IF('Economic Assumptions'!$B13+'Project Assumptions'!$D$15+'Project Assumptions'!$D$16-1='Detailed Cashflows'!BU$5,-'Economic Assumptions'!$C13*'Economic Assumptions'!$K13,0)</f>
        <v/>
      </c>
      <c r="BV39" s="301">
        <f>IF('Economic Assumptions'!$B13+'Project Assumptions'!$D$15+'Project Assumptions'!$D$16-1='Detailed Cashflows'!BV$5,-'Economic Assumptions'!$C13*'Economic Assumptions'!$K13,0)</f>
        <v/>
      </c>
      <c r="BW39" s="301">
        <f>IF('Economic Assumptions'!$B13+'Project Assumptions'!$D$15+'Project Assumptions'!$D$16-1='Detailed Cashflows'!BW$5,-'Economic Assumptions'!$C13*'Economic Assumptions'!$K13,0)</f>
        <v/>
      </c>
      <c r="BX39" s="301">
        <f>IF('Economic Assumptions'!$B13+'Project Assumptions'!$D$15+'Project Assumptions'!$D$16-1='Detailed Cashflows'!BX$5,-'Economic Assumptions'!$C13*'Economic Assumptions'!$K13,0)</f>
        <v/>
      </c>
      <c r="BY39" s="301">
        <f>IF('Economic Assumptions'!$B13+'Project Assumptions'!$D$15+'Project Assumptions'!$D$16-1='Detailed Cashflows'!BY$5,-'Economic Assumptions'!$C13*'Economic Assumptions'!$K13,0)</f>
        <v/>
      </c>
      <c r="BZ39" s="301">
        <f>IF('Economic Assumptions'!$B13+'Project Assumptions'!$D$15+'Project Assumptions'!$D$16-1='Detailed Cashflows'!BZ$5,-'Economic Assumptions'!$C13*'Economic Assumptions'!$K13,0)</f>
        <v/>
      </c>
      <c r="CA39" s="301">
        <f>IF('Economic Assumptions'!$B13+'Project Assumptions'!$D$15+'Project Assumptions'!$D$16-1='Detailed Cashflows'!CA$5,-'Economic Assumptions'!$C13*'Economic Assumptions'!$K13,0)</f>
        <v/>
      </c>
      <c r="CB39" s="301">
        <f>IF('Economic Assumptions'!$B13+'Project Assumptions'!$D$15+'Project Assumptions'!$D$16-1='Detailed Cashflows'!CB$5,-'Economic Assumptions'!$C13*'Economic Assumptions'!$K13,0)</f>
        <v/>
      </c>
      <c r="CC39" s="301">
        <f>IF('Economic Assumptions'!$B13+'Project Assumptions'!$D$15+'Project Assumptions'!$D$16-1='Detailed Cashflows'!CC$5,-'Economic Assumptions'!$C13*'Economic Assumptions'!$K13,0)</f>
        <v/>
      </c>
      <c r="CD39" s="301">
        <f>IF('Economic Assumptions'!$B13+'Project Assumptions'!$D$15+'Project Assumptions'!$D$16-1='Detailed Cashflows'!CD$5,-'Economic Assumptions'!$C13*'Economic Assumptions'!$K13,0)</f>
        <v/>
      </c>
      <c r="CE39" s="301">
        <f>IF('Economic Assumptions'!$B13+'Project Assumptions'!$D$15+'Project Assumptions'!$D$16-1='Detailed Cashflows'!CE$5,-'Economic Assumptions'!$C13*'Economic Assumptions'!$K13,0)</f>
        <v/>
      </c>
      <c r="CF39" s="301">
        <f>IF('Economic Assumptions'!$B13+'Project Assumptions'!$D$15+'Project Assumptions'!$D$16-1='Detailed Cashflows'!CF$5,-'Economic Assumptions'!$C13*'Economic Assumptions'!$K13,0)</f>
        <v/>
      </c>
      <c r="CG39" s="301">
        <f>IF('Economic Assumptions'!$B13+'Project Assumptions'!$D$15+'Project Assumptions'!$D$16-1='Detailed Cashflows'!CG$5,-'Economic Assumptions'!$C13*'Economic Assumptions'!$K13,0)</f>
        <v/>
      </c>
      <c r="CH39" s="301">
        <f>IF('Economic Assumptions'!$B13+'Project Assumptions'!$D$15+'Project Assumptions'!$D$16-1='Detailed Cashflows'!CH$5,-'Economic Assumptions'!$C13*'Economic Assumptions'!$K13,0)</f>
        <v/>
      </c>
      <c r="CI39" s="301">
        <f>IF('Economic Assumptions'!$B13+'Project Assumptions'!$D$15+'Project Assumptions'!$D$16-1='Detailed Cashflows'!CI$5,-'Economic Assumptions'!$C13*'Economic Assumptions'!$K13,0)</f>
        <v/>
      </c>
      <c r="CJ39" s="301">
        <f>IF('Economic Assumptions'!$B13+'Project Assumptions'!$D$15+'Project Assumptions'!$D$16-1='Detailed Cashflows'!CJ$5,-'Economic Assumptions'!$C13*'Economic Assumptions'!$K13,0)</f>
        <v/>
      </c>
      <c r="CK39" s="301">
        <f>IF('Economic Assumptions'!$B13+'Project Assumptions'!$D$15+'Project Assumptions'!$D$16-1='Detailed Cashflows'!CK$5,-'Economic Assumptions'!$C13*'Economic Assumptions'!$K13,0)</f>
        <v/>
      </c>
      <c r="CL39" s="301">
        <f>IF('Economic Assumptions'!$B13+'Project Assumptions'!$D$15+'Project Assumptions'!$D$16-1='Detailed Cashflows'!CL$5,-'Economic Assumptions'!$C13*'Economic Assumptions'!$K13,0)</f>
        <v/>
      </c>
      <c r="CM39" s="301">
        <f>IF('Economic Assumptions'!$B13+'Project Assumptions'!$D$15+'Project Assumptions'!$D$16-1='Detailed Cashflows'!CM$5,-'Economic Assumptions'!$C13*'Economic Assumptions'!$K13,0)</f>
        <v/>
      </c>
      <c r="CN39" s="301">
        <f>IF('Economic Assumptions'!$B13+'Project Assumptions'!$D$15+'Project Assumptions'!$D$16-1='Detailed Cashflows'!CN$5,-'Economic Assumptions'!$C13*'Economic Assumptions'!$K13,0)</f>
        <v/>
      </c>
      <c r="CO39" s="301">
        <f>IF('Economic Assumptions'!$B13+'Project Assumptions'!$D$15+'Project Assumptions'!$D$16-1='Detailed Cashflows'!CO$5,-'Economic Assumptions'!$C13*'Economic Assumptions'!$K13,0)</f>
        <v/>
      </c>
      <c r="CP39" s="301">
        <f>IF('Economic Assumptions'!$B13+'Project Assumptions'!$D$15+'Project Assumptions'!$D$16-1='Detailed Cashflows'!CP$5,-'Economic Assumptions'!$C13*'Economic Assumptions'!$K13,0)</f>
        <v/>
      </c>
      <c r="CQ39" s="301">
        <f>IF('Economic Assumptions'!$B13+'Project Assumptions'!$D$15+'Project Assumptions'!$D$16-1='Detailed Cashflows'!CQ$5,-'Economic Assumptions'!$C13*'Economic Assumptions'!$K13,0)</f>
        <v/>
      </c>
      <c r="CR39" s="301">
        <f>IF('Economic Assumptions'!$B13+'Project Assumptions'!$D$15+'Project Assumptions'!$D$16-1='Detailed Cashflows'!CR$5,-'Economic Assumptions'!$C13*'Economic Assumptions'!$K13,0)</f>
        <v/>
      </c>
      <c r="CS39" s="301">
        <f>IF('Economic Assumptions'!$B13+'Project Assumptions'!$D$15+'Project Assumptions'!$D$16-1='Detailed Cashflows'!CS$5,-'Economic Assumptions'!$C13*'Economic Assumptions'!$K13,0)</f>
        <v/>
      </c>
      <c r="CT39" s="301">
        <f>IF('Economic Assumptions'!$B13+'Project Assumptions'!$D$15+'Project Assumptions'!$D$16-1='Detailed Cashflows'!CT$5,-'Economic Assumptions'!$C13*'Economic Assumptions'!$K13,0)</f>
        <v/>
      </c>
      <c r="CU39" s="301">
        <f>IF('Economic Assumptions'!$B13+'Project Assumptions'!$D$15+'Project Assumptions'!$D$16-1='Detailed Cashflows'!CU$5,-'Economic Assumptions'!$C13*'Economic Assumptions'!$K13,0)</f>
        <v/>
      </c>
      <c r="CV39" s="301">
        <f>IF('Economic Assumptions'!$B13+'Project Assumptions'!$D$15+'Project Assumptions'!$D$16-1='Detailed Cashflows'!CV$5,-'Economic Assumptions'!$C13*'Economic Assumptions'!$K13,0)</f>
        <v/>
      </c>
      <c r="CW39" s="301">
        <f>IF('Economic Assumptions'!$B13+'Project Assumptions'!$D$15+'Project Assumptions'!$D$16-1='Detailed Cashflows'!CW$5,-'Economic Assumptions'!$C13*'Economic Assumptions'!$K13,0)</f>
        <v/>
      </c>
      <c r="CX39" s="301">
        <f>IF('Economic Assumptions'!$B13+'Project Assumptions'!$D$15+'Project Assumptions'!$D$16-1='Detailed Cashflows'!CX$5,-'Economic Assumptions'!$C13*'Economic Assumptions'!$K13,0)</f>
        <v/>
      </c>
      <c r="CY39" s="301">
        <f>IF('Economic Assumptions'!$B13+'Project Assumptions'!$D$15+'Project Assumptions'!$D$16-1='Detailed Cashflows'!CY$5,-'Economic Assumptions'!$C13*'Economic Assumptions'!$K13,0)</f>
        <v/>
      </c>
      <c r="CZ39" s="301">
        <f>IF('Economic Assumptions'!$B13+'Project Assumptions'!$D$15+'Project Assumptions'!$D$16-1='Detailed Cashflows'!CZ$5,-'Economic Assumptions'!$C13*'Economic Assumptions'!$K13,0)</f>
        <v/>
      </c>
      <c r="DA39" s="301">
        <f>IF('Economic Assumptions'!$B13+'Project Assumptions'!$D$15+'Project Assumptions'!$D$16-1='Detailed Cashflows'!DA$5,-'Economic Assumptions'!$C13*'Economic Assumptions'!$K13,0)</f>
        <v/>
      </c>
      <c r="DB39" s="301">
        <f>IF('Economic Assumptions'!$B13+'Project Assumptions'!$D$15+'Project Assumptions'!$D$16-1='Detailed Cashflows'!DB$5,-'Economic Assumptions'!$C13*'Economic Assumptions'!$K13,0)</f>
        <v/>
      </c>
      <c r="DC39" s="301" t="n"/>
      <c r="DD39" s="299">
        <f>SUM(F39:DB39)</f>
        <v/>
      </c>
    </row>
    <row r="40" hidden="1" outlineLevel="1" ht="14.1" customFormat="1" customHeight="1" s="302">
      <c r="A40" s="1000" t="n"/>
      <c r="B40" s="640">
        <f>'Economic Assumptions'!$A$14</f>
        <v/>
      </c>
      <c r="C40" s="298" t="n"/>
      <c r="D40" s="299">
        <f>DD40</f>
        <v/>
      </c>
      <c r="E40" s="300" t="n"/>
      <c r="F40" s="301">
        <f>IF('Economic Assumptions'!$B14+'Project Assumptions'!$D$15+'Project Assumptions'!$D$16-1='Detailed Cashflows'!F$5,-'Economic Assumptions'!$C14*'Economic Assumptions'!$K14,0)</f>
        <v/>
      </c>
      <c r="G40" s="301">
        <f>IF('Economic Assumptions'!$B14+'Project Assumptions'!$D$15+'Project Assumptions'!$D$16-1='Detailed Cashflows'!G$5,-'Economic Assumptions'!$C14*'Economic Assumptions'!$K14,0)</f>
        <v/>
      </c>
      <c r="H40" s="301">
        <f>IF('Economic Assumptions'!$B14+'Project Assumptions'!$D$15+'Project Assumptions'!$D$16-1='Detailed Cashflows'!H$5,-'Economic Assumptions'!$C14*'Economic Assumptions'!$K14,0)</f>
        <v/>
      </c>
      <c r="I40" s="301">
        <f>IF('Economic Assumptions'!$B14+'Project Assumptions'!$D$15+'Project Assumptions'!$D$16-1='Detailed Cashflows'!I$5,-'Economic Assumptions'!$C14*'Economic Assumptions'!$K14,0)</f>
        <v/>
      </c>
      <c r="J40" s="301">
        <f>IF('Economic Assumptions'!$B14+'Project Assumptions'!$D$15+'Project Assumptions'!$D$16-1='Detailed Cashflows'!J$5,-'Economic Assumptions'!$C14*'Economic Assumptions'!$K14,0)</f>
        <v/>
      </c>
      <c r="K40" s="301">
        <f>IF('Economic Assumptions'!$B14+'Project Assumptions'!$D$15+'Project Assumptions'!$D$16-1='Detailed Cashflows'!K$5,-'Economic Assumptions'!$C14*'Economic Assumptions'!$K14,0)</f>
        <v/>
      </c>
      <c r="L40" s="301">
        <f>IF('Economic Assumptions'!$B14+'Project Assumptions'!$D$15+'Project Assumptions'!$D$16-1='Detailed Cashflows'!L$5,-'Economic Assumptions'!$C14*'Economic Assumptions'!$K14,0)</f>
        <v/>
      </c>
      <c r="M40" s="301">
        <f>IF('Economic Assumptions'!$B14+'Project Assumptions'!$D$15+'Project Assumptions'!$D$16-1='Detailed Cashflows'!M$5,-'Economic Assumptions'!$C14*'Economic Assumptions'!$K14,0)</f>
        <v/>
      </c>
      <c r="N40" s="301">
        <f>IF('Economic Assumptions'!$B14+'Project Assumptions'!$D$15+'Project Assumptions'!$D$16-1='Detailed Cashflows'!N$5,-'Economic Assumptions'!$C14*'Economic Assumptions'!$K14,0)</f>
        <v/>
      </c>
      <c r="O40" s="301">
        <f>IF('Economic Assumptions'!$B14+'Project Assumptions'!$D$15+'Project Assumptions'!$D$16-1='Detailed Cashflows'!O$5,-'Economic Assumptions'!$C14*'Economic Assumptions'!$K14,0)</f>
        <v/>
      </c>
      <c r="P40" s="301">
        <f>IF('Economic Assumptions'!$B14+'Project Assumptions'!$D$15+'Project Assumptions'!$D$16-1='Detailed Cashflows'!P$5,-'Economic Assumptions'!$C14*'Economic Assumptions'!$K14,0)</f>
        <v/>
      </c>
      <c r="Q40" s="301">
        <f>IF('Economic Assumptions'!$B14+'Project Assumptions'!$D$15+'Project Assumptions'!$D$16-1='Detailed Cashflows'!Q$5,-'Economic Assumptions'!$C14*'Economic Assumptions'!$K14,0)</f>
        <v/>
      </c>
      <c r="R40" s="301">
        <f>IF('Economic Assumptions'!$B14+'Project Assumptions'!$D$15+'Project Assumptions'!$D$16-1='Detailed Cashflows'!R$5,-'Economic Assumptions'!$C14*'Economic Assumptions'!$K14,0)</f>
        <v/>
      </c>
      <c r="S40" s="301">
        <f>IF('Economic Assumptions'!$B14+'Project Assumptions'!$D$15+'Project Assumptions'!$D$16-1='Detailed Cashflows'!S$5,-'Economic Assumptions'!$C14*'Economic Assumptions'!$K14,0)</f>
        <v/>
      </c>
      <c r="T40" s="301">
        <f>IF('Economic Assumptions'!$B14+'Project Assumptions'!$D$15+'Project Assumptions'!$D$16-1='Detailed Cashflows'!T$5,-'Economic Assumptions'!$C14*'Economic Assumptions'!$K14,0)</f>
        <v/>
      </c>
      <c r="U40" s="301">
        <f>IF('Economic Assumptions'!$B14+'Project Assumptions'!$D$15+'Project Assumptions'!$D$16-1='Detailed Cashflows'!U$5,-'Economic Assumptions'!$C14*'Economic Assumptions'!$K14,0)</f>
        <v/>
      </c>
      <c r="V40" s="301">
        <f>IF('Economic Assumptions'!$B14+'Project Assumptions'!$D$15+'Project Assumptions'!$D$16-1='Detailed Cashflows'!V$5,-'Economic Assumptions'!$C14*'Economic Assumptions'!$K14,0)</f>
        <v/>
      </c>
      <c r="W40" s="301">
        <f>IF('Economic Assumptions'!$B14+'Project Assumptions'!$D$15+'Project Assumptions'!$D$16-1='Detailed Cashflows'!W$5,-'Economic Assumptions'!$C14*'Economic Assumptions'!$K14,0)</f>
        <v/>
      </c>
      <c r="X40" s="301">
        <f>IF('Economic Assumptions'!$B14+'Project Assumptions'!$D$15+'Project Assumptions'!$D$16-1='Detailed Cashflows'!X$5,-'Economic Assumptions'!$C14*'Economic Assumptions'!$K14,0)</f>
        <v/>
      </c>
      <c r="Y40" s="301">
        <f>IF('Economic Assumptions'!$B14+'Project Assumptions'!$D$15+'Project Assumptions'!$D$16-1='Detailed Cashflows'!Y$5,-'Economic Assumptions'!$C14*'Economic Assumptions'!$K14,0)</f>
        <v/>
      </c>
      <c r="Z40" s="301">
        <f>IF('Economic Assumptions'!$B14+'Project Assumptions'!$D$15+'Project Assumptions'!$D$16-1='Detailed Cashflows'!Z$5,-'Economic Assumptions'!$C14*'Economic Assumptions'!$K14,0)</f>
        <v/>
      </c>
      <c r="AA40" s="301">
        <f>IF('Economic Assumptions'!$B14+'Project Assumptions'!$D$15+'Project Assumptions'!$D$16-1='Detailed Cashflows'!AA$5,-'Economic Assumptions'!$C14*'Economic Assumptions'!$K14,0)</f>
        <v/>
      </c>
      <c r="AB40" s="301">
        <f>IF('Economic Assumptions'!$B14+'Project Assumptions'!$D$15+'Project Assumptions'!$D$16-1='Detailed Cashflows'!AB$5,-'Economic Assumptions'!$C14*'Economic Assumptions'!$K14,0)</f>
        <v/>
      </c>
      <c r="AC40" s="301">
        <f>IF('Economic Assumptions'!$B14+'Project Assumptions'!$D$15+'Project Assumptions'!$D$16-1='Detailed Cashflows'!AC$5,-'Economic Assumptions'!$C14*'Economic Assumptions'!$K14,0)</f>
        <v/>
      </c>
      <c r="AD40" s="301">
        <f>IF('Economic Assumptions'!$B14+'Project Assumptions'!$D$15+'Project Assumptions'!$D$16-1='Detailed Cashflows'!AD$5,-'Economic Assumptions'!$C14*'Economic Assumptions'!$K14,0)</f>
        <v/>
      </c>
      <c r="AE40" s="301">
        <f>IF('Economic Assumptions'!$B14+'Project Assumptions'!$D$15+'Project Assumptions'!$D$16-1='Detailed Cashflows'!AE$5,-'Economic Assumptions'!$C14*'Economic Assumptions'!$K14,0)</f>
        <v/>
      </c>
      <c r="AF40" s="301">
        <f>IF('Economic Assumptions'!$B14+'Project Assumptions'!$D$15+'Project Assumptions'!$D$16-1='Detailed Cashflows'!AF$5,-'Economic Assumptions'!$C14*'Economic Assumptions'!$K14,0)</f>
        <v/>
      </c>
      <c r="AG40" s="301">
        <f>IF('Economic Assumptions'!$B14+'Project Assumptions'!$D$15+'Project Assumptions'!$D$16-1='Detailed Cashflows'!AG$5,-'Economic Assumptions'!$C14*'Economic Assumptions'!$K14,0)</f>
        <v/>
      </c>
      <c r="AH40" s="301">
        <f>IF('Economic Assumptions'!$B14+'Project Assumptions'!$D$15+'Project Assumptions'!$D$16-1='Detailed Cashflows'!AH$5,-'Economic Assumptions'!$C14*'Economic Assumptions'!$K14,0)</f>
        <v/>
      </c>
      <c r="AI40" s="301">
        <f>IF('Economic Assumptions'!$B14+'Project Assumptions'!$D$15+'Project Assumptions'!$D$16-1='Detailed Cashflows'!AI$5,-'Economic Assumptions'!$C14*'Economic Assumptions'!$K14,0)</f>
        <v/>
      </c>
      <c r="AJ40" s="301">
        <f>IF('Economic Assumptions'!$B14+'Project Assumptions'!$D$15+'Project Assumptions'!$D$16-1='Detailed Cashflows'!AJ$5,-'Economic Assumptions'!$C14*'Economic Assumptions'!$K14,0)</f>
        <v/>
      </c>
      <c r="AK40" s="301">
        <f>IF('Economic Assumptions'!$B14+'Project Assumptions'!$D$15+'Project Assumptions'!$D$16-1='Detailed Cashflows'!AK$5,-'Economic Assumptions'!$C14*'Economic Assumptions'!$K14,0)</f>
        <v/>
      </c>
      <c r="AL40" s="301">
        <f>IF('Economic Assumptions'!$B14+'Project Assumptions'!$D$15+'Project Assumptions'!$D$16-1='Detailed Cashflows'!AL$5,-'Economic Assumptions'!$C14*'Economic Assumptions'!$K14,0)</f>
        <v/>
      </c>
      <c r="AM40" s="301">
        <f>IF('Economic Assumptions'!$B14+'Project Assumptions'!$D$15+'Project Assumptions'!$D$16-1='Detailed Cashflows'!AM$5,-'Economic Assumptions'!$C14*'Economic Assumptions'!$K14,0)</f>
        <v/>
      </c>
      <c r="AN40" s="301">
        <f>IF('Economic Assumptions'!$B14+'Project Assumptions'!$D$15+'Project Assumptions'!$D$16-1='Detailed Cashflows'!AN$5,-'Economic Assumptions'!$C14*'Economic Assumptions'!$K14,0)</f>
        <v/>
      </c>
      <c r="AO40" s="301">
        <f>IF('Economic Assumptions'!$B14+'Project Assumptions'!$D$15+'Project Assumptions'!$D$16-1='Detailed Cashflows'!AO$5,-'Economic Assumptions'!$C14*'Economic Assumptions'!$K14,0)</f>
        <v/>
      </c>
      <c r="AP40" s="301">
        <f>IF('Economic Assumptions'!$B14+'Project Assumptions'!$D$15+'Project Assumptions'!$D$16-1='Detailed Cashflows'!AP$5,-'Economic Assumptions'!$C14*'Economic Assumptions'!$K14,0)</f>
        <v/>
      </c>
      <c r="AQ40" s="301">
        <f>IF('Economic Assumptions'!$B14+'Project Assumptions'!$D$15+'Project Assumptions'!$D$16-1='Detailed Cashflows'!AQ$5,-'Economic Assumptions'!$C14*'Economic Assumptions'!$K14,0)</f>
        <v/>
      </c>
      <c r="AR40" s="301">
        <f>IF('Economic Assumptions'!$B14+'Project Assumptions'!$D$15+'Project Assumptions'!$D$16-1='Detailed Cashflows'!AR$5,-'Economic Assumptions'!$C14*'Economic Assumptions'!$K14,0)</f>
        <v/>
      </c>
      <c r="AS40" s="301">
        <f>IF('Economic Assumptions'!$B14+'Project Assumptions'!$D$15+'Project Assumptions'!$D$16-1='Detailed Cashflows'!AS$5,-'Economic Assumptions'!$C14*'Economic Assumptions'!$K14,0)</f>
        <v/>
      </c>
      <c r="AT40" s="301">
        <f>IF('Economic Assumptions'!$B14+'Project Assumptions'!$D$15+'Project Assumptions'!$D$16-1='Detailed Cashflows'!AT$5,-'Economic Assumptions'!$C14*'Economic Assumptions'!$K14,0)</f>
        <v/>
      </c>
      <c r="AU40" s="301">
        <f>IF('Economic Assumptions'!$B14+'Project Assumptions'!$D$15+'Project Assumptions'!$D$16-1='Detailed Cashflows'!AU$5,-'Economic Assumptions'!$C14*'Economic Assumptions'!$K14,0)</f>
        <v/>
      </c>
      <c r="AV40" s="301">
        <f>IF('Economic Assumptions'!$B14+'Project Assumptions'!$D$15+'Project Assumptions'!$D$16-1='Detailed Cashflows'!AV$5,-'Economic Assumptions'!$C14*'Economic Assumptions'!$K14,0)</f>
        <v/>
      </c>
      <c r="AW40" s="301">
        <f>IF('Economic Assumptions'!$B14+'Project Assumptions'!$D$15+'Project Assumptions'!$D$16-1='Detailed Cashflows'!AW$5,-'Economic Assumptions'!$C14*'Economic Assumptions'!$K14,0)</f>
        <v/>
      </c>
      <c r="AX40" s="301">
        <f>IF('Economic Assumptions'!$B14+'Project Assumptions'!$D$15+'Project Assumptions'!$D$16-1='Detailed Cashflows'!AX$5,-'Economic Assumptions'!$C14*'Economic Assumptions'!$K14,0)</f>
        <v/>
      </c>
      <c r="AY40" s="301">
        <f>IF('Economic Assumptions'!$B14+'Project Assumptions'!$D$15+'Project Assumptions'!$D$16-1='Detailed Cashflows'!AY$5,-'Economic Assumptions'!$C14*'Economic Assumptions'!$K14,0)</f>
        <v/>
      </c>
      <c r="AZ40" s="301">
        <f>IF('Economic Assumptions'!$B14+'Project Assumptions'!$D$15+'Project Assumptions'!$D$16-1='Detailed Cashflows'!AZ$5,-'Economic Assumptions'!$C14*'Economic Assumptions'!$K14,0)</f>
        <v/>
      </c>
      <c r="BA40" s="301">
        <f>IF('Economic Assumptions'!$B14+'Project Assumptions'!$D$15+'Project Assumptions'!$D$16-1='Detailed Cashflows'!BA$5,-'Economic Assumptions'!$C14*'Economic Assumptions'!$K14,0)</f>
        <v/>
      </c>
      <c r="BB40" s="301">
        <f>IF('Economic Assumptions'!$B14+'Project Assumptions'!$D$15+'Project Assumptions'!$D$16-1='Detailed Cashflows'!BB$5,-'Economic Assumptions'!$C14*'Economic Assumptions'!$K14,0)</f>
        <v/>
      </c>
      <c r="BC40" s="301">
        <f>IF('Economic Assumptions'!$B14+'Project Assumptions'!$D$15+'Project Assumptions'!$D$16-1='Detailed Cashflows'!BC$5,-'Economic Assumptions'!$C14*'Economic Assumptions'!$K14,0)</f>
        <v/>
      </c>
      <c r="BD40" s="301">
        <f>IF('Economic Assumptions'!$B14+'Project Assumptions'!$D$15+'Project Assumptions'!$D$16-1='Detailed Cashflows'!BD$5,-'Economic Assumptions'!$C14*'Economic Assumptions'!$K14,0)</f>
        <v/>
      </c>
      <c r="BE40" s="301">
        <f>IF('Economic Assumptions'!$B14+'Project Assumptions'!$D$15+'Project Assumptions'!$D$16-1='Detailed Cashflows'!BE$5,-'Economic Assumptions'!$C14*'Economic Assumptions'!$K14,0)</f>
        <v/>
      </c>
      <c r="BF40" s="301">
        <f>IF('Economic Assumptions'!$B14+'Project Assumptions'!$D$15+'Project Assumptions'!$D$16-1='Detailed Cashflows'!BF$5,-'Economic Assumptions'!$C14*'Economic Assumptions'!$K14,0)</f>
        <v/>
      </c>
      <c r="BG40" s="301">
        <f>IF('Economic Assumptions'!$B14+'Project Assumptions'!$D$15+'Project Assumptions'!$D$16-1='Detailed Cashflows'!BG$5,-'Economic Assumptions'!$C14*'Economic Assumptions'!$K14,0)</f>
        <v/>
      </c>
      <c r="BH40" s="301">
        <f>IF('Economic Assumptions'!$B14+'Project Assumptions'!$D$15+'Project Assumptions'!$D$16-1='Detailed Cashflows'!BH$5,-'Economic Assumptions'!$C14*'Economic Assumptions'!$K14,0)</f>
        <v/>
      </c>
      <c r="BI40" s="301">
        <f>IF('Economic Assumptions'!$B14+'Project Assumptions'!$D$15+'Project Assumptions'!$D$16-1='Detailed Cashflows'!BI$5,-'Economic Assumptions'!$C14*'Economic Assumptions'!$K14,0)</f>
        <v/>
      </c>
      <c r="BJ40" s="301">
        <f>IF('Economic Assumptions'!$B14+'Project Assumptions'!$D$15+'Project Assumptions'!$D$16-1='Detailed Cashflows'!BJ$5,-'Economic Assumptions'!$C14*'Economic Assumptions'!$K14,0)</f>
        <v/>
      </c>
      <c r="BK40" s="301">
        <f>IF('Economic Assumptions'!$B14+'Project Assumptions'!$D$15+'Project Assumptions'!$D$16-1='Detailed Cashflows'!BK$5,-'Economic Assumptions'!$C14*'Economic Assumptions'!$K14,0)</f>
        <v/>
      </c>
      <c r="BL40" s="301">
        <f>IF('Economic Assumptions'!$B14+'Project Assumptions'!$D$15+'Project Assumptions'!$D$16-1='Detailed Cashflows'!BL$5,-'Economic Assumptions'!$C14*'Economic Assumptions'!$K14,0)</f>
        <v/>
      </c>
      <c r="BM40" s="301">
        <f>IF('Economic Assumptions'!$B14+'Project Assumptions'!$D$15+'Project Assumptions'!$D$16-1='Detailed Cashflows'!BM$5,-'Economic Assumptions'!$C14*'Economic Assumptions'!$K14,0)</f>
        <v/>
      </c>
      <c r="BN40" s="301">
        <f>IF('Economic Assumptions'!$B14+'Project Assumptions'!$D$15+'Project Assumptions'!$D$16-1='Detailed Cashflows'!BN$5,-'Economic Assumptions'!$C14*'Economic Assumptions'!$K14,0)</f>
        <v/>
      </c>
      <c r="BO40" s="301">
        <f>IF('Economic Assumptions'!$B14+'Project Assumptions'!$D$15+'Project Assumptions'!$D$16-1='Detailed Cashflows'!BO$5,-'Economic Assumptions'!$C14*'Economic Assumptions'!$K14,0)</f>
        <v/>
      </c>
      <c r="BP40" s="301">
        <f>IF('Economic Assumptions'!$B14+'Project Assumptions'!$D$15+'Project Assumptions'!$D$16-1='Detailed Cashflows'!BP$5,-'Economic Assumptions'!$C14*'Economic Assumptions'!$K14,0)</f>
        <v/>
      </c>
      <c r="BQ40" s="301">
        <f>IF('Economic Assumptions'!$B14+'Project Assumptions'!$D$15+'Project Assumptions'!$D$16-1='Detailed Cashflows'!BQ$5,-'Economic Assumptions'!$C14*'Economic Assumptions'!$K14,0)</f>
        <v/>
      </c>
      <c r="BR40" s="301">
        <f>IF('Economic Assumptions'!$B14+'Project Assumptions'!$D$15+'Project Assumptions'!$D$16-1='Detailed Cashflows'!BR$5,-'Economic Assumptions'!$C14*'Economic Assumptions'!$K14,0)</f>
        <v/>
      </c>
      <c r="BS40" s="301">
        <f>IF('Economic Assumptions'!$B14+'Project Assumptions'!$D$15+'Project Assumptions'!$D$16-1='Detailed Cashflows'!BS$5,-'Economic Assumptions'!$C14*'Economic Assumptions'!$K14,0)</f>
        <v/>
      </c>
      <c r="BT40" s="301">
        <f>IF('Economic Assumptions'!$B14+'Project Assumptions'!$D$15+'Project Assumptions'!$D$16-1='Detailed Cashflows'!BT$5,-'Economic Assumptions'!$C14*'Economic Assumptions'!$K14,0)</f>
        <v/>
      </c>
      <c r="BU40" s="301">
        <f>IF('Economic Assumptions'!$B14+'Project Assumptions'!$D$15+'Project Assumptions'!$D$16-1='Detailed Cashflows'!BU$5,-'Economic Assumptions'!$C14*'Economic Assumptions'!$K14,0)</f>
        <v/>
      </c>
      <c r="BV40" s="301">
        <f>IF('Economic Assumptions'!$B14+'Project Assumptions'!$D$15+'Project Assumptions'!$D$16-1='Detailed Cashflows'!BV$5,-'Economic Assumptions'!$C14*'Economic Assumptions'!$K14,0)</f>
        <v/>
      </c>
      <c r="BW40" s="301">
        <f>IF('Economic Assumptions'!$B14+'Project Assumptions'!$D$15+'Project Assumptions'!$D$16-1='Detailed Cashflows'!BW$5,-'Economic Assumptions'!$C14*'Economic Assumptions'!$K14,0)</f>
        <v/>
      </c>
      <c r="BX40" s="301">
        <f>IF('Economic Assumptions'!$B14+'Project Assumptions'!$D$15+'Project Assumptions'!$D$16-1='Detailed Cashflows'!BX$5,-'Economic Assumptions'!$C14*'Economic Assumptions'!$K14,0)</f>
        <v/>
      </c>
      <c r="BY40" s="301">
        <f>IF('Economic Assumptions'!$B14+'Project Assumptions'!$D$15+'Project Assumptions'!$D$16-1='Detailed Cashflows'!BY$5,-'Economic Assumptions'!$C14*'Economic Assumptions'!$K14,0)</f>
        <v/>
      </c>
      <c r="BZ40" s="301">
        <f>IF('Economic Assumptions'!$B14+'Project Assumptions'!$D$15+'Project Assumptions'!$D$16-1='Detailed Cashflows'!BZ$5,-'Economic Assumptions'!$C14*'Economic Assumptions'!$K14,0)</f>
        <v/>
      </c>
      <c r="CA40" s="301">
        <f>IF('Economic Assumptions'!$B14+'Project Assumptions'!$D$15+'Project Assumptions'!$D$16-1='Detailed Cashflows'!CA$5,-'Economic Assumptions'!$C14*'Economic Assumptions'!$K14,0)</f>
        <v/>
      </c>
      <c r="CB40" s="301">
        <f>IF('Economic Assumptions'!$B14+'Project Assumptions'!$D$15+'Project Assumptions'!$D$16-1='Detailed Cashflows'!CB$5,-'Economic Assumptions'!$C14*'Economic Assumptions'!$K14,0)</f>
        <v/>
      </c>
      <c r="CC40" s="301">
        <f>IF('Economic Assumptions'!$B14+'Project Assumptions'!$D$15+'Project Assumptions'!$D$16-1='Detailed Cashflows'!CC$5,-'Economic Assumptions'!$C14*'Economic Assumptions'!$K14,0)</f>
        <v/>
      </c>
      <c r="CD40" s="301">
        <f>IF('Economic Assumptions'!$B14+'Project Assumptions'!$D$15+'Project Assumptions'!$D$16-1='Detailed Cashflows'!CD$5,-'Economic Assumptions'!$C14*'Economic Assumptions'!$K14,0)</f>
        <v/>
      </c>
      <c r="CE40" s="301">
        <f>IF('Economic Assumptions'!$B14+'Project Assumptions'!$D$15+'Project Assumptions'!$D$16-1='Detailed Cashflows'!CE$5,-'Economic Assumptions'!$C14*'Economic Assumptions'!$K14,0)</f>
        <v/>
      </c>
      <c r="CF40" s="301">
        <f>IF('Economic Assumptions'!$B14+'Project Assumptions'!$D$15+'Project Assumptions'!$D$16-1='Detailed Cashflows'!CF$5,-'Economic Assumptions'!$C14*'Economic Assumptions'!$K14,0)</f>
        <v/>
      </c>
      <c r="CG40" s="301">
        <f>IF('Economic Assumptions'!$B14+'Project Assumptions'!$D$15+'Project Assumptions'!$D$16-1='Detailed Cashflows'!CG$5,-'Economic Assumptions'!$C14*'Economic Assumptions'!$K14,0)</f>
        <v/>
      </c>
      <c r="CH40" s="301">
        <f>IF('Economic Assumptions'!$B14+'Project Assumptions'!$D$15+'Project Assumptions'!$D$16-1='Detailed Cashflows'!CH$5,-'Economic Assumptions'!$C14*'Economic Assumptions'!$K14,0)</f>
        <v/>
      </c>
      <c r="CI40" s="301">
        <f>IF('Economic Assumptions'!$B14+'Project Assumptions'!$D$15+'Project Assumptions'!$D$16-1='Detailed Cashflows'!CI$5,-'Economic Assumptions'!$C14*'Economic Assumptions'!$K14,0)</f>
        <v/>
      </c>
      <c r="CJ40" s="301">
        <f>IF('Economic Assumptions'!$B14+'Project Assumptions'!$D$15+'Project Assumptions'!$D$16-1='Detailed Cashflows'!CJ$5,-'Economic Assumptions'!$C14*'Economic Assumptions'!$K14,0)</f>
        <v/>
      </c>
      <c r="CK40" s="301">
        <f>IF('Economic Assumptions'!$B14+'Project Assumptions'!$D$15+'Project Assumptions'!$D$16-1='Detailed Cashflows'!CK$5,-'Economic Assumptions'!$C14*'Economic Assumptions'!$K14,0)</f>
        <v/>
      </c>
      <c r="CL40" s="301">
        <f>IF('Economic Assumptions'!$B14+'Project Assumptions'!$D$15+'Project Assumptions'!$D$16-1='Detailed Cashflows'!CL$5,-'Economic Assumptions'!$C14*'Economic Assumptions'!$K14,0)</f>
        <v/>
      </c>
      <c r="CM40" s="301">
        <f>IF('Economic Assumptions'!$B14+'Project Assumptions'!$D$15+'Project Assumptions'!$D$16-1='Detailed Cashflows'!CM$5,-'Economic Assumptions'!$C14*'Economic Assumptions'!$K14,0)</f>
        <v/>
      </c>
      <c r="CN40" s="301">
        <f>IF('Economic Assumptions'!$B14+'Project Assumptions'!$D$15+'Project Assumptions'!$D$16-1='Detailed Cashflows'!CN$5,-'Economic Assumptions'!$C14*'Economic Assumptions'!$K14,0)</f>
        <v/>
      </c>
      <c r="CO40" s="301">
        <f>IF('Economic Assumptions'!$B14+'Project Assumptions'!$D$15+'Project Assumptions'!$D$16-1='Detailed Cashflows'!CO$5,-'Economic Assumptions'!$C14*'Economic Assumptions'!$K14,0)</f>
        <v/>
      </c>
      <c r="CP40" s="301">
        <f>IF('Economic Assumptions'!$B14+'Project Assumptions'!$D$15+'Project Assumptions'!$D$16-1='Detailed Cashflows'!CP$5,-'Economic Assumptions'!$C14*'Economic Assumptions'!$K14,0)</f>
        <v/>
      </c>
      <c r="CQ40" s="301">
        <f>IF('Economic Assumptions'!$B14+'Project Assumptions'!$D$15+'Project Assumptions'!$D$16-1='Detailed Cashflows'!CQ$5,-'Economic Assumptions'!$C14*'Economic Assumptions'!$K14,0)</f>
        <v/>
      </c>
      <c r="CR40" s="301">
        <f>IF('Economic Assumptions'!$B14+'Project Assumptions'!$D$15+'Project Assumptions'!$D$16-1='Detailed Cashflows'!CR$5,-'Economic Assumptions'!$C14*'Economic Assumptions'!$K14,0)</f>
        <v/>
      </c>
      <c r="CS40" s="301">
        <f>IF('Economic Assumptions'!$B14+'Project Assumptions'!$D$15+'Project Assumptions'!$D$16-1='Detailed Cashflows'!CS$5,-'Economic Assumptions'!$C14*'Economic Assumptions'!$K14,0)</f>
        <v/>
      </c>
      <c r="CT40" s="301">
        <f>IF('Economic Assumptions'!$B14+'Project Assumptions'!$D$15+'Project Assumptions'!$D$16-1='Detailed Cashflows'!CT$5,-'Economic Assumptions'!$C14*'Economic Assumptions'!$K14,0)</f>
        <v/>
      </c>
      <c r="CU40" s="301">
        <f>IF('Economic Assumptions'!$B14+'Project Assumptions'!$D$15+'Project Assumptions'!$D$16-1='Detailed Cashflows'!CU$5,-'Economic Assumptions'!$C14*'Economic Assumptions'!$K14,0)</f>
        <v/>
      </c>
      <c r="CV40" s="301">
        <f>IF('Economic Assumptions'!$B14+'Project Assumptions'!$D$15+'Project Assumptions'!$D$16-1='Detailed Cashflows'!CV$5,-'Economic Assumptions'!$C14*'Economic Assumptions'!$K14,0)</f>
        <v/>
      </c>
      <c r="CW40" s="301">
        <f>IF('Economic Assumptions'!$B14+'Project Assumptions'!$D$15+'Project Assumptions'!$D$16-1='Detailed Cashflows'!CW$5,-'Economic Assumptions'!$C14*'Economic Assumptions'!$K14,0)</f>
        <v/>
      </c>
      <c r="CX40" s="301">
        <f>IF('Economic Assumptions'!$B14+'Project Assumptions'!$D$15+'Project Assumptions'!$D$16-1='Detailed Cashflows'!CX$5,-'Economic Assumptions'!$C14*'Economic Assumptions'!$K14,0)</f>
        <v/>
      </c>
      <c r="CY40" s="301">
        <f>IF('Economic Assumptions'!$B14+'Project Assumptions'!$D$15+'Project Assumptions'!$D$16-1='Detailed Cashflows'!CY$5,-'Economic Assumptions'!$C14*'Economic Assumptions'!$K14,0)</f>
        <v/>
      </c>
      <c r="CZ40" s="301">
        <f>IF('Economic Assumptions'!$B14+'Project Assumptions'!$D$15+'Project Assumptions'!$D$16-1='Detailed Cashflows'!CZ$5,-'Economic Assumptions'!$C14*'Economic Assumptions'!$K14,0)</f>
        <v/>
      </c>
      <c r="DA40" s="301">
        <f>IF('Economic Assumptions'!$B14+'Project Assumptions'!$D$15+'Project Assumptions'!$D$16-1='Detailed Cashflows'!DA$5,-'Economic Assumptions'!$C14*'Economic Assumptions'!$K14,0)</f>
        <v/>
      </c>
      <c r="DB40" s="301">
        <f>IF('Economic Assumptions'!$B14+'Project Assumptions'!$D$15+'Project Assumptions'!$D$16-1='Detailed Cashflows'!DB$5,-'Economic Assumptions'!$C14*'Economic Assumptions'!$K14,0)</f>
        <v/>
      </c>
      <c r="DC40" s="301" t="n"/>
      <c r="DD40" s="299">
        <f>SUM(F40:DB40)</f>
        <v/>
      </c>
    </row>
    <row r="41" hidden="1" outlineLevel="1" ht="14.1" customFormat="1" customHeight="1" s="302">
      <c r="A41" s="1000" t="n"/>
      <c r="B41" s="640">
        <f>'Economic Assumptions'!$A$15</f>
        <v/>
      </c>
      <c r="C41" s="298" t="n"/>
      <c r="D41" s="299">
        <f>DD41</f>
        <v/>
      </c>
      <c r="E41" s="300" t="n"/>
      <c r="F41" s="301">
        <f>IF('Economic Assumptions'!$B15+'Project Assumptions'!$D$15+'Project Assumptions'!$D$16-1='Detailed Cashflows'!F$5,-'Economic Assumptions'!$C15*'Economic Assumptions'!$K15,0)</f>
        <v/>
      </c>
      <c r="G41" s="301">
        <f>IF('Economic Assumptions'!$B15+'Project Assumptions'!$D$15+'Project Assumptions'!$D$16-1='Detailed Cashflows'!G$5,-'Economic Assumptions'!$C15*'Economic Assumptions'!$K15,0)</f>
        <v/>
      </c>
      <c r="H41" s="301">
        <f>IF('Economic Assumptions'!$B15+'Project Assumptions'!$D$15+'Project Assumptions'!$D$16-1='Detailed Cashflows'!H$5,-'Economic Assumptions'!$C15*'Economic Assumptions'!$K15,0)</f>
        <v/>
      </c>
      <c r="I41" s="301">
        <f>IF('Economic Assumptions'!$B15+'Project Assumptions'!$D$15+'Project Assumptions'!$D$16-1='Detailed Cashflows'!I$5,-'Economic Assumptions'!$C15*'Economic Assumptions'!$K15,0)</f>
        <v/>
      </c>
      <c r="J41" s="301">
        <f>IF('Economic Assumptions'!$B15+'Project Assumptions'!$D$15+'Project Assumptions'!$D$16-1='Detailed Cashflows'!J$5,-'Economic Assumptions'!$C15*'Economic Assumptions'!$K15,0)</f>
        <v/>
      </c>
      <c r="K41" s="301">
        <f>IF('Economic Assumptions'!$B15+'Project Assumptions'!$D$15+'Project Assumptions'!$D$16-1='Detailed Cashflows'!K$5,-'Economic Assumptions'!$C15*'Economic Assumptions'!$K15,0)</f>
        <v/>
      </c>
      <c r="L41" s="301">
        <f>IF('Economic Assumptions'!$B15+'Project Assumptions'!$D$15+'Project Assumptions'!$D$16-1='Detailed Cashflows'!L$5,-'Economic Assumptions'!$C15*'Economic Assumptions'!$K15,0)</f>
        <v/>
      </c>
      <c r="M41" s="301">
        <f>IF('Economic Assumptions'!$B15+'Project Assumptions'!$D$15+'Project Assumptions'!$D$16-1='Detailed Cashflows'!M$5,-'Economic Assumptions'!$C15*'Economic Assumptions'!$K15,0)</f>
        <v/>
      </c>
      <c r="N41" s="301">
        <f>IF('Economic Assumptions'!$B15+'Project Assumptions'!$D$15+'Project Assumptions'!$D$16-1='Detailed Cashflows'!N$5,-'Economic Assumptions'!$C15*'Economic Assumptions'!$K15,0)</f>
        <v/>
      </c>
      <c r="O41" s="301">
        <f>IF('Economic Assumptions'!$B15+'Project Assumptions'!$D$15+'Project Assumptions'!$D$16-1='Detailed Cashflows'!O$5,-'Economic Assumptions'!$C15*'Economic Assumptions'!$K15,0)</f>
        <v/>
      </c>
      <c r="P41" s="301">
        <f>IF('Economic Assumptions'!$B15+'Project Assumptions'!$D$15+'Project Assumptions'!$D$16-1='Detailed Cashflows'!P$5,-'Economic Assumptions'!$C15*'Economic Assumptions'!$K15,0)</f>
        <v/>
      </c>
      <c r="Q41" s="301">
        <f>IF('Economic Assumptions'!$B15+'Project Assumptions'!$D$15+'Project Assumptions'!$D$16-1='Detailed Cashflows'!Q$5,-'Economic Assumptions'!$C15*'Economic Assumptions'!$K15,0)</f>
        <v/>
      </c>
      <c r="R41" s="301">
        <f>IF('Economic Assumptions'!$B15+'Project Assumptions'!$D$15+'Project Assumptions'!$D$16-1='Detailed Cashflows'!R$5,-'Economic Assumptions'!$C15*'Economic Assumptions'!$K15,0)</f>
        <v/>
      </c>
      <c r="S41" s="301">
        <f>IF('Economic Assumptions'!$B15+'Project Assumptions'!$D$15+'Project Assumptions'!$D$16-1='Detailed Cashflows'!S$5,-'Economic Assumptions'!$C15*'Economic Assumptions'!$K15,0)</f>
        <v/>
      </c>
      <c r="T41" s="301">
        <f>IF('Economic Assumptions'!$B15+'Project Assumptions'!$D$15+'Project Assumptions'!$D$16-1='Detailed Cashflows'!T$5,-'Economic Assumptions'!$C15*'Economic Assumptions'!$K15,0)</f>
        <v/>
      </c>
      <c r="U41" s="301">
        <f>IF('Economic Assumptions'!$B15+'Project Assumptions'!$D$15+'Project Assumptions'!$D$16-1='Detailed Cashflows'!U$5,-'Economic Assumptions'!$C15*'Economic Assumptions'!$K15,0)</f>
        <v/>
      </c>
      <c r="V41" s="301">
        <f>IF('Economic Assumptions'!$B15+'Project Assumptions'!$D$15+'Project Assumptions'!$D$16-1='Detailed Cashflows'!V$5,-'Economic Assumptions'!$C15*'Economic Assumptions'!$K15,0)</f>
        <v/>
      </c>
      <c r="W41" s="301">
        <f>IF('Economic Assumptions'!$B15+'Project Assumptions'!$D$15+'Project Assumptions'!$D$16-1='Detailed Cashflows'!W$5,-'Economic Assumptions'!$C15*'Economic Assumptions'!$K15,0)</f>
        <v/>
      </c>
      <c r="X41" s="301">
        <f>IF('Economic Assumptions'!$B15+'Project Assumptions'!$D$15+'Project Assumptions'!$D$16-1='Detailed Cashflows'!X$5,-'Economic Assumptions'!$C15*'Economic Assumptions'!$K15,0)</f>
        <v/>
      </c>
      <c r="Y41" s="301">
        <f>IF('Economic Assumptions'!$B15+'Project Assumptions'!$D$15+'Project Assumptions'!$D$16-1='Detailed Cashflows'!Y$5,-'Economic Assumptions'!$C15*'Economic Assumptions'!$K15,0)</f>
        <v/>
      </c>
      <c r="Z41" s="301">
        <f>IF('Economic Assumptions'!$B15+'Project Assumptions'!$D$15+'Project Assumptions'!$D$16-1='Detailed Cashflows'!Z$5,-'Economic Assumptions'!$C15*'Economic Assumptions'!$K15,0)</f>
        <v/>
      </c>
      <c r="AA41" s="301">
        <f>IF('Economic Assumptions'!$B15+'Project Assumptions'!$D$15+'Project Assumptions'!$D$16-1='Detailed Cashflows'!AA$5,-'Economic Assumptions'!$C15*'Economic Assumptions'!$K15,0)</f>
        <v/>
      </c>
      <c r="AB41" s="301">
        <f>IF('Economic Assumptions'!$B15+'Project Assumptions'!$D$15+'Project Assumptions'!$D$16-1='Detailed Cashflows'!AB$5,-'Economic Assumptions'!$C15*'Economic Assumptions'!$K15,0)</f>
        <v/>
      </c>
      <c r="AC41" s="301">
        <f>IF('Economic Assumptions'!$B15+'Project Assumptions'!$D$15+'Project Assumptions'!$D$16-1='Detailed Cashflows'!AC$5,-'Economic Assumptions'!$C15*'Economic Assumptions'!$K15,0)</f>
        <v/>
      </c>
      <c r="AD41" s="301">
        <f>IF('Economic Assumptions'!$B15+'Project Assumptions'!$D$15+'Project Assumptions'!$D$16-1='Detailed Cashflows'!AD$5,-'Economic Assumptions'!$C15*'Economic Assumptions'!$K15,0)</f>
        <v/>
      </c>
      <c r="AE41" s="301">
        <f>IF('Economic Assumptions'!$B15+'Project Assumptions'!$D$15+'Project Assumptions'!$D$16-1='Detailed Cashflows'!AE$5,-'Economic Assumptions'!$C15*'Economic Assumptions'!$K15,0)</f>
        <v/>
      </c>
      <c r="AF41" s="301">
        <f>IF('Economic Assumptions'!$B15+'Project Assumptions'!$D$15+'Project Assumptions'!$D$16-1='Detailed Cashflows'!AF$5,-'Economic Assumptions'!$C15*'Economic Assumptions'!$K15,0)</f>
        <v/>
      </c>
      <c r="AG41" s="301">
        <f>IF('Economic Assumptions'!$B15+'Project Assumptions'!$D$15+'Project Assumptions'!$D$16-1='Detailed Cashflows'!AG$5,-'Economic Assumptions'!$C15*'Economic Assumptions'!$K15,0)</f>
        <v/>
      </c>
      <c r="AH41" s="301">
        <f>IF('Economic Assumptions'!$B15+'Project Assumptions'!$D$15+'Project Assumptions'!$D$16-1='Detailed Cashflows'!AH$5,-'Economic Assumptions'!$C15*'Economic Assumptions'!$K15,0)</f>
        <v/>
      </c>
      <c r="AI41" s="301">
        <f>IF('Economic Assumptions'!$B15+'Project Assumptions'!$D$15+'Project Assumptions'!$D$16-1='Detailed Cashflows'!AI$5,-'Economic Assumptions'!$C15*'Economic Assumptions'!$K15,0)</f>
        <v/>
      </c>
      <c r="AJ41" s="301">
        <f>IF('Economic Assumptions'!$B15+'Project Assumptions'!$D$15+'Project Assumptions'!$D$16-1='Detailed Cashflows'!AJ$5,-'Economic Assumptions'!$C15*'Economic Assumptions'!$K15,0)</f>
        <v/>
      </c>
      <c r="AK41" s="301">
        <f>IF('Economic Assumptions'!$B15+'Project Assumptions'!$D$15+'Project Assumptions'!$D$16-1='Detailed Cashflows'!AK$5,-'Economic Assumptions'!$C15*'Economic Assumptions'!$K15,0)</f>
        <v/>
      </c>
      <c r="AL41" s="301">
        <f>IF('Economic Assumptions'!$B15+'Project Assumptions'!$D$15+'Project Assumptions'!$D$16-1='Detailed Cashflows'!AL$5,-'Economic Assumptions'!$C15*'Economic Assumptions'!$K15,0)</f>
        <v/>
      </c>
      <c r="AM41" s="301">
        <f>IF('Economic Assumptions'!$B15+'Project Assumptions'!$D$15+'Project Assumptions'!$D$16-1='Detailed Cashflows'!AM$5,-'Economic Assumptions'!$C15*'Economic Assumptions'!$K15,0)</f>
        <v/>
      </c>
      <c r="AN41" s="301">
        <f>IF('Economic Assumptions'!$B15+'Project Assumptions'!$D$15+'Project Assumptions'!$D$16-1='Detailed Cashflows'!AN$5,-'Economic Assumptions'!$C15*'Economic Assumptions'!$K15,0)</f>
        <v/>
      </c>
      <c r="AO41" s="301">
        <f>IF('Economic Assumptions'!$B15+'Project Assumptions'!$D$15+'Project Assumptions'!$D$16-1='Detailed Cashflows'!AO$5,-'Economic Assumptions'!$C15*'Economic Assumptions'!$K15,0)</f>
        <v/>
      </c>
      <c r="AP41" s="301">
        <f>IF('Economic Assumptions'!$B15+'Project Assumptions'!$D$15+'Project Assumptions'!$D$16-1='Detailed Cashflows'!AP$5,-'Economic Assumptions'!$C15*'Economic Assumptions'!$K15,0)</f>
        <v/>
      </c>
      <c r="AQ41" s="301">
        <f>IF('Economic Assumptions'!$B15+'Project Assumptions'!$D$15+'Project Assumptions'!$D$16-1='Detailed Cashflows'!AQ$5,-'Economic Assumptions'!$C15*'Economic Assumptions'!$K15,0)</f>
        <v/>
      </c>
      <c r="AR41" s="301">
        <f>IF('Economic Assumptions'!$B15+'Project Assumptions'!$D$15+'Project Assumptions'!$D$16-1='Detailed Cashflows'!AR$5,-'Economic Assumptions'!$C15*'Economic Assumptions'!$K15,0)</f>
        <v/>
      </c>
      <c r="AS41" s="301">
        <f>IF('Economic Assumptions'!$B15+'Project Assumptions'!$D$15+'Project Assumptions'!$D$16-1='Detailed Cashflows'!AS$5,-'Economic Assumptions'!$C15*'Economic Assumptions'!$K15,0)</f>
        <v/>
      </c>
      <c r="AT41" s="301">
        <f>IF('Economic Assumptions'!$B15+'Project Assumptions'!$D$15+'Project Assumptions'!$D$16-1='Detailed Cashflows'!AT$5,-'Economic Assumptions'!$C15*'Economic Assumptions'!$K15,0)</f>
        <v/>
      </c>
      <c r="AU41" s="301">
        <f>IF('Economic Assumptions'!$B15+'Project Assumptions'!$D$15+'Project Assumptions'!$D$16-1='Detailed Cashflows'!AU$5,-'Economic Assumptions'!$C15*'Economic Assumptions'!$K15,0)</f>
        <v/>
      </c>
      <c r="AV41" s="301">
        <f>IF('Economic Assumptions'!$B15+'Project Assumptions'!$D$15+'Project Assumptions'!$D$16-1='Detailed Cashflows'!AV$5,-'Economic Assumptions'!$C15*'Economic Assumptions'!$K15,0)</f>
        <v/>
      </c>
      <c r="AW41" s="301">
        <f>IF('Economic Assumptions'!$B15+'Project Assumptions'!$D$15+'Project Assumptions'!$D$16-1='Detailed Cashflows'!AW$5,-'Economic Assumptions'!$C15*'Economic Assumptions'!$K15,0)</f>
        <v/>
      </c>
      <c r="AX41" s="301">
        <f>IF('Economic Assumptions'!$B15+'Project Assumptions'!$D$15+'Project Assumptions'!$D$16-1='Detailed Cashflows'!AX$5,-'Economic Assumptions'!$C15*'Economic Assumptions'!$K15,0)</f>
        <v/>
      </c>
      <c r="AY41" s="301">
        <f>IF('Economic Assumptions'!$B15+'Project Assumptions'!$D$15+'Project Assumptions'!$D$16-1='Detailed Cashflows'!AY$5,-'Economic Assumptions'!$C15*'Economic Assumptions'!$K15,0)</f>
        <v/>
      </c>
      <c r="AZ41" s="301">
        <f>IF('Economic Assumptions'!$B15+'Project Assumptions'!$D$15+'Project Assumptions'!$D$16-1='Detailed Cashflows'!AZ$5,-'Economic Assumptions'!$C15*'Economic Assumptions'!$K15,0)</f>
        <v/>
      </c>
      <c r="BA41" s="301">
        <f>IF('Economic Assumptions'!$B15+'Project Assumptions'!$D$15+'Project Assumptions'!$D$16-1='Detailed Cashflows'!BA$5,-'Economic Assumptions'!$C15*'Economic Assumptions'!$K15,0)</f>
        <v/>
      </c>
      <c r="BB41" s="301">
        <f>IF('Economic Assumptions'!$B15+'Project Assumptions'!$D$15+'Project Assumptions'!$D$16-1='Detailed Cashflows'!BB$5,-'Economic Assumptions'!$C15*'Economic Assumptions'!$K15,0)</f>
        <v/>
      </c>
      <c r="BC41" s="301">
        <f>IF('Economic Assumptions'!$B15+'Project Assumptions'!$D$15+'Project Assumptions'!$D$16-1='Detailed Cashflows'!BC$5,-'Economic Assumptions'!$C15*'Economic Assumptions'!$K15,0)</f>
        <v/>
      </c>
      <c r="BD41" s="301">
        <f>IF('Economic Assumptions'!$B15+'Project Assumptions'!$D$15+'Project Assumptions'!$D$16-1='Detailed Cashflows'!BD$5,-'Economic Assumptions'!$C15*'Economic Assumptions'!$K15,0)</f>
        <v/>
      </c>
      <c r="BE41" s="301">
        <f>IF('Economic Assumptions'!$B15+'Project Assumptions'!$D$15+'Project Assumptions'!$D$16-1='Detailed Cashflows'!BE$5,-'Economic Assumptions'!$C15*'Economic Assumptions'!$K15,0)</f>
        <v/>
      </c>
      <c r="BF41" s="301">
        <f>IF('Economic Assumptions'!$B15+'Project Assumptions'!$D$15+'Project Assumptions'!$D$16-1='Detailed Cashflows'!BF$5,-'Economic Assumptions'!$C15*'Economic Assumptions'!$K15,0)</f>
        <v/>
      </c>
      <c r="BG41" s="301">
        <f>IF('Economic Assumptions'!$B15+'Project Assumptions'!$D$15+'Project Assumptions'!$D$16-1='Detailed Cashflows'!BG$5,-'Economic Assumptions'!$C15*'Economic Assumptions'!$K15,0)</f>
        <v/>
      </c>
      <c r="BH41" s="301">
        <f>IF('Economic Assumptions'!$B15+'Project Assumptions'!$D$15+'Project Assumptions'!$D$16-1='Detailed Cashflows'!BH$5,-'Economic Assumptions'!$C15*'Economic Assumptions'!$K15,0)</f>
        <v/>
      </c>
      <c r="BI41" s="301">
        <f>IF('Economic Assumptions'!$B15+'Project Assumptions'!$D$15+'Project Assumptions'!$D$16-1='Detailed Cashflows'!BI$5,-'Economic Assumptions'!$C15*'Economic Assumptions'!$K15,0)</f>
        <v/>
      </c>
      <c r="BJ41" s="301">
        <f>IF('Economic Assumptions'!$B15+'Project Assumptions'!$D$15+'Project Assumptions'!$D$16-1='Detailed Cashflows'!BJ$5,-'Economic Assumptions'!$C15*'Economic Assumptions'!$K15,0)</f>
        <v/>
      </c>
      <c r="BK41" s="301">
        <f>IF('Economic Assumptions'!$B15+'Project Assumptions'!$D$15+'Project Assumptions'!$D$16-1='Detailed Cashflows'!BK$5,-'Economic Assumptions'!$C15*'Economic Assumptions'!$K15,0)</f>
        <v/>
      </c>
      <c r="BL41" s="301">
        <f>IF('Economic Assumptions'!$B15+'Project Assumptions'!$D$15+'Project Assumptions'!$D$16-1='Detailed Cashflows'!BL$5,-'Economic Assumptions'!$C15*'Economic Assumptions'!$K15,0)</f>
        <v/>
      </c>
      <c r="BM41" s="301">
        <f>IF('Economic Assumptions'!$B15+'Project Assumptions'!$D$15+'Project Assumptions'!$D$16-1='Detailed Cashflows'!BM$5,-'Economic Assumptions'!$C15*'Economic Assumptions'!$K15,0)</f>
        <v/>
      </c>
      <c r="BN41" s="301">
        <f>IF('Economic Assumptions'!$B15+'Project Assumptions'!$D$15+'Project Assumptions'!$D$16-1='Detailed Cashflows'!BN$5,-'Economic Assumptions'!$C15*'Economic Assumptions'!$K15,0)</f>
        <v/>
      </c>
      <c r="BO41" s="301">
        <f>IF('Economic Assumptions'!$B15+'Project Assumptions'!$D$15+'Project Assumptions'!$D$16-1='Detailed Cashflows'!BO$5,-'Economic Assumptions'!$C15*'Economic Assumptions'!$K15,0)</f>
        <v/>
      </c>
      <c r="BP41" s="301">
        <f>IF('Economic Assumptions'!$B15+'Project Assumptions'!$D$15+'Project Assumptions'!$D$16-1='Detailed Cashflows'!BP$5,-'Economic Assumptions'!$C15*'Economic Assumptions'!$K15,0)</f>
        <v/>
      </c>
      <c r="BQ41" s="301">
        <f>IF('Economic Assumptions'!$B15+'Project Assumptions'!$D$15+'Project Assumptions'!$D$16-1='Detailed Cashflows'!BQ$5,-'Economic Assumptions'!$C15*'Economic Assumptions'!$K15,0)</f>
        <v/>
      </c>
      <c r="BR41" s="301">
        <f>IF('Economic Assumptions'!$B15+'Project Assumptions'!$D$15+'Project Assumptions'!$D$16-1='Detailed Cashflows'!BR$5,-'Economic Assumptions'!$C15*'Economic Assumptions'!$K15,0)</f>
        <v/>
      </c>
      <c r="BS41" s="301">
        <f>IF('Economic Assumptions'!$B15+'Project Assumptions'!$D$15+'Project Assumptions'!$D$16-1='Detailed Cashflows'!BS$5,-'Economic Assumptions'!$C15*'Economic Assumptions'!$K15,0)</f>
        <v/>
      </c>
      <c r="BT41" s="301">
        <f>IF('Economic Assumptions'!$B15+'Project Assumptions'!$D$15+'Project Assumptions'!$D$16-1='Detailed Cashflows'!BT$5,-'Economic Assumptions'!$C15*'Economic Assumptions'!$K15,0)</f>
        <v/>
      </c>
      <c r="BU41" s="301">
        <f>IF('Economic Assumptions'!$B15+'Project Assumptions'!$D$15+'Project Assumptions'!$D$16-1='Detailed Cashflows'!BU$5,-'Economic Assumptions'!$C15*'Economic Assumptions'!$K15,0)</f>
        <v/>
      </c>
      <c r="BV41" s="301">
        <f>IF('Economic Assumptions'!$B15+'Project Assumptions'!$D$15+'Project Assumptions'!$D$16-1='Detailed Cashflows'!BV$5,-'Economic Assumptions'!$C15*'Economic Assumptions'!$K15,0)</f>
        <v/>
      </c>
      <c r="BW41" s="301">
        <f>IF('Economic Assumptions'!$B15+'Project Assumptions'!$D$15+'Project Assumptions'!$D$16-1='Detailed Cashflows'!BW$5,-'Economic Assumptions'!$C15*'Economic Assumptions'!$K15,0)</f>
        <v/>
      </c>
      <c r="BX41" s="301">
        <f>IF('Economic Assumptions'!$B15+'Project Assumptions'!$D$15+'Project Assumptions'!$D$16-1='Detailed Cashflows'!BX$5,-'Economic Assumptions'!$C15*'Economic Assumptions'!$K15,0)</f>
        <v/>
      </c>
      <c r="BY41" s="301">
        <f>IF('Economic Assumptions'!$B15+'Project Assumptions'!$D$15+'Project Assumptions'!$D$16-1='Detailed Cashflows'!BY$5,-'Economic Assumptions'!$C15*'Economic Assumptions'!$K15,0)</f>
        <v/>
      </c>
      <c r="BZ41" s="301">
        <f>IF('Economic Assumptions'!$B15+'Project Assumptions'!$D$15+'Project Assumptions'!$D$16-1='Detailed Cashflows'!BZ$5,-'Economic Assumptions'!$C15*'Economic Assumptions'!$K15,0)</f>
        <v/>
      </c>
      <c r="CA41" s="301">
        <f>IF('Economic Assumptions'!$B15+'Project Assumptions'!$D$15+'Project Assumptions'!$D$16-1='Detailed Cashflows'!CA$5,-'Economic Assumptions'!$C15*'Economic Assumptions'!$K15,0)</f>
        <v/>
      </c>
      <c r="CB41" s="301">
        <f>IF('Economic Assumptions'!$B15+'Project Assumptions'!$D$15+'Project Assumptions'!$D$16-1='Detailed Cashflows'!CB$5,-'Economic Assumptions'!$C15*'Economic Assumptions'!$K15,0)</f>
        <v/>
      </c>
      <c r="CC41" s="301">
        <f>IF('Economic Assumptions'!$B15+'Project Assumptions'!$D$15+'Project Assumptions'!$D$16-1='Detailed Cashflows'!CC$5,-'Economic Assumptions'!$C15*'Economic Assumptions'!$K15,0)</f>
        <v/>
      </c>
      <c r="CD41" s="301">
        <f>IF('Economic Assumptions'!$B15+'Project Assumptions'!$D$15+'Project Assumptions'!$D$16-1='Detailed Cashflows'!CD$5,-'Economic Assumptions'!$C15*'Economic Assumptions'!$K15,0)</f>
        <v/>
      </c>
      <c r="CE41" s="301">
        <f>IF('Economic Assumptions'!$B15+'Project Assumptions'!$D$15+'Project Assumptions'!$D$16-1='Detailed Cashflows'!CE$5,-'Economic Assumptions'!$C15*'Economic Assumptions'!$K15,0)</f>
        <v/>
      </c>
      <c r="CF41" s="301">
        <f>IF('Economic Assumptions'!$B15+'Project Assumptions'!$D$15+'Project Assumptions'!$D$16-1='Detailed Cashflows'!CF$5,-'Economic Assumptions'!$C15*'Economic Assumptions'!$K15,0)</f>
        <v/>
      </c>
      <c r="CG41" s="301">
        <f>IF('Economic Assumptions'!$B15+'Project Assumptions'!$D$15+'Project Assumptions'!$D$16-1='Detailed Cashflows'!CG$5,-'Economic Assumptions'!$C15*'Economic Assumptions'!$K15,0)</f>
        <v/>
      </c>
      <c r="CH41" s="301">
        <f>IF('Economic Assumptions'!$B15+'Project Assumptions'!$D$15+'Project Assumptions'!$D$16-1='Detailed Cashflows'!CH$5,-'Economic Assumptions'!$C15*'Economic Assumptions'!$K15,0)</f>
        <v/>
      </c>
      <c r="CI41" s="301">
        <f>IF('Economic Assumptions'!$B15+'Project Assumptions'!$D$15+'Project Assumptions'!$D$16-1='Detailed Cashflows'!CI$5,-'Economic Assumptions'!$C15*'Economic Assumptions'!$K15,0)</f>
        <v/>
      </c>
      <c r="CJ41" s="301">
        <f>IF('Economic Assumptions'!$B15+'Project Assumptions'!$D$15+'Project Assumptions'!$D$16-1='Detailed Cashflows'!CJ$5,-'Economic Assumptions'!$C15*'Economic Assumptions'!$K15,0)</f>
        <v/>
      </c>
      <c r="CK41" s="301">
        <f>IF('Economic Assumptions'!$B15+'Project Assumptions'!$D$15+'Project Assumptions'!$D$16-1='Detailed Cashflows'!CK$5,-'Economic Assumptions'!$C15*'Economic Assumptions'!$K15,0)</f>
        <v/>
      </c>
      <c r="CL41" s="301">
        <f>IF('Economic Assumptions'!$B15+'Project Assumptions'!$D$15+'Project Assumptions'!$D$16-1='Detailed Cashflows'!CL$5,-'Economic Assumptions'!$C15*'Economic Assumptions'!$K15,0)</f>
        <v/>
      </c>
      <c r="CM41" s="301">
        <f>IF('Economic Assumptions'!$B15+'Project Assumptions'!$D$15+'Project Assumptions'!$D$16-1='Detailed Cashflows'!CM$5,-'Economic Assumptions'!$C15*'Economic Assumptions'!$K15,0)</f>
        <v/>
      </c>
      <c r="CN41" s="301">
        <f>IF('Economic Assumptions'!$B15+'Project Assumptions'!$D$15+'Project Assumptions'!$D$16-1='Detailed Cashflows'!CN$5,-'Economic Assumptions'!$C15*'Economic Assumptions'!$K15,0)</f>
        <v/>
      </c>
      <c r="CO41" s="301">
        <f>IF('Economic Assumptions'!$B15+'Project Assumptions'!$D$15+'Project Assumptions'!$D$16-1='Detailed Cashflows'!CO$5,-'Economic Assumptions'!$C15*'Economic Assumptions'!$K15,0)</f>
        <v/>
      </c>
      <c r="CP41" s="301">
        <f>IF('Economic Assumptions'!$B15+'Project Assumptions'!$D$15+'Project Assumptions'!$D$16-1='Detailed Cashflows'!CP$5,-'Economic Assumptions'!$C15*'Economic Assumptions'!$K15,0)</f>
        <v/>
      </c>
      <c r="CQ41" s="301">
        <f>IF('Economic Assumptions'!$B15+'Project Assumptions'!$D$15+'Project Assumptions'!$D$16-1='Detailed Cashflows'!CQ$5,-'Economic Assumptions'!$C15*'Economic Assumptions'!$K15,0)</f>
        <v/>
      </c>
      <c r="CR41" s="301">
        <f>IF('Economic Assumptions'!$B15+'Project Assumptions'!$D$15+'Project Assumptions'!$D$16-1='Detailed Cashflows'!CR$5,-'Economic Assumptions'!$C15*'Economic Assumptions'!$K15,0)</f>
        <v/>
      </c>
      <c r="CS41" s="301">
        <f>IF('Economic Assumptions'!$B15+'Project Assumptions'!$D$15+'Project Assumptions'!$D$16-1='Detailed Cashflows'!CS$5,-'Economic Assumptions'!$C15*'Economic Assumptions'!$K15,0)</f>
        <v/>
      </c>
      <c r="CT41" s="301">
        <f>IF('Economic Assumptions'!$B15+'Project Assumptions'!$D$15+'Project Assumptions'!$D$16-1='Detailed Cashflows'!CT$5,-'Economic Assumptions'!$C15*'Economic Assumptions'!$K15,0)</f>
        <v/>
      </c>
      <c r="CU41" s="301">
        <f>IF('Economic Assumptions'!$B15+'Project Assumptions'!$D$15+'Project Assumptions'!$D$16-1='Detailed Cashflows'!CU$5,-'Economic Assumptions'!$C15*'Economic Assumptions'!$K15,0)</f>
        <v/>
      </c>
      <c r="CV41" s="301">
        <f>IF('Economic Assumptions'!$B15+'Project Assumptions'!$D$15+'Project Assumptions'!$D$16-1='Detailed Cashflows'!CV$5,-'Economic Assumptions'!$C15*'Economic Assumptions'!$K15,0)</f>
        <v/>
      </c>
      <c r="CW41" s="301">
        <f>IF('Economic Assumptions'!$B15+'Project Assumptions'!$D$15+'Project Assumptions'!$D$16-1='Detailed Cashflows'!CW$5,-'Economic Assumptions'!$C15*'Economic Assumptions'!$K15,0)</f>
        <v/>
      </c>
      <c r="CX41" s="301">
        <f>IF('Economic Assumptions'!$B15+'Project Assumptions'!$D$15+'Project Assumptions'!$D$16-1='Detailed Cashflows'!CX$5,-'Economic Assumptions'!$C15*'Economic Assumptions'!$K15,0)</f>
        <v/>
      </c>
      <c r="CY41" s="301">
        <f>IF('Economic Assumptions'!$B15+'Project Assumptions'!$D$15+'Project Assumptions'!$D$16-1='Detailed Cashflows'!CY$5,-'Economic Assumptions'!$C15*'Economic Assumptions'!$K15,0)</f>
        <v/>
      </c>
      <c r="CZ41" s="301">
        <f>IF('Economic Assumptions'!$B15+'Project Assumptions'!$D$15+'Project Assumptions'!$D$16-1='Detailed Cashflows'!CZ$5,-'Economic Assumptions'!$C15*'Economic Assumptions'!$K15,0)</f>
        <v/>
      </c>
      <c r="DA41" s="301">
        <f>IF('Economic Assumptions'!$B15+'Project Assumptions'!$D$15+'Project Assumptions'!$D$16-1='Detailed Cashflows'!DA$5,-'Economic Assumptions'!$C15*'Economic Assumptions'!$K15,0)</f>
        <v/>
      </c>
      <c r="DB41" s="301">
        <f>IF('Economic Assumptions'!$B15+'Project Assumptions'!$D$15+'Project Assumptions'!$D$16-1='Detailed Cashflows'!DB$5,-'Economic Assumptions'!$C15*'Economic Assumptions'!$K15,0)</f>
        <v/>
      </c>
      <c r="DC41" s="301" t="n"/>
      <c r="DD41" s="299">
        <f>SUM(F41:DB41)</f>
        <v/>
      </c>
    </row>
    <row r="42" hidden="1" outlineLevel="1" ht="14.1" customFormat="1" customHeight="1" s="302">
      <c r="A42" s="1000" t="n"/>
      <c r="B42" s="640">
        <f>'Economic Assumptions'!$A$16</f>
        <v/>
      </c>
      <c r="C42" s="298" t="n"/>
      <c r="D42" s="299">
        <f>DD42</f>
        <v/>
      </c>
      <c r="E42" s="300" t="n"/>
      <c r="F42" s="301">
        <f>IF('Economic Assumptions'!$B16+'Project Assumptions'!$D$15+'Project Assumptions'!$D$16-1='Detailed Cashflows'!F$5,-'Economic Assumptions'!$C16*'Economic Assumptions'!$K16,0)</f>
        <v/>
      </c>
      <c r="G42" s="301">
        <f>IF('Economic Assumptions'!$B16+'Project Assumptions'!$D$15+'Project Assumptions'!$D$16-1='Detailed Cashflows'!G$5,-'Economic Assumptions'!$C16*'Economic Assumptions'!$K16,0)</f>
        <v/>
      </c>
      <c r="H42" s="301">
        <f>IF('Economic Assumptions'!$B16+'Project Assumptions'!$D$15+'Project Assumptions'!$D$16-1='Detailed Cashflows'!H$5,-'Economic Assumptions'!$C16*'Economic Assumptions'!$K16,0)</f>
        <v/>
      </c>
      <c r="I42" s="301">
        <f>IF('Economic Assumptions'!$B16+'Project Assumptions'!$D$15+'Project Assumptions'!$D$16-1='Detailed Cashflows'!I$5,-'Economic Assumptions'!$C16*'Economic Assumptions'!$K16,0)</f>
        <v/>
      </c>
      <c r="J42" s="301">
        <f>IF('Economic Assumptions'!$B16+'Project Assumptions'!$D$15+'Project Assumptions'!$D$16-1='Detailed Cashflows'!J$5,-'Economic Assumptions'!$C16*'Economic Assumptions'!$K16,0)</f>
        <v/>
      </c>
      <c r="K42" s="301">
        <f>IF('Economic Assumptions'!$B16+'Project Assumptions'!$D$15+'Project Assumptions'!$D$16-1='Detailed Cashflows'!K$5,-'Economic Assumptions'!$C16*'Economic Assumptions'!$K16,0)</f>
        <v/>
      </c>
      <c r="L42" s="301">
        <f>IF('Economic Assumptions'!$B16+'Project Assumptions'!$D$15+'Project Assumptions'!$D$16-1='Detailed Cashflows'!L$5,-'Economic Assumptions'!$C16*'Economic Assumptions'!$K16,0)</f>
        <v/>
      </c>
      <c r="M42" s="301">
        <f>IF('Economic Assumptions'!$B16+'Project Assumptions'!$D$15+'Project Assumptions'!$D$16-1='Detailed Cashflows'!M$5,-'Economic Assumptions'!$C16*'Economic Assumptions'!$K16,0)</f>
        <v/>
      </c>
      <c r="N42" s="301">
        <f>IF('Economic Assumptions'!$B16+'Project Assumptions'!$D$15+'Project Assumptions'!$D$16-1='Detailed Cashflows'!N$5,-'Economic Assumptions'!$C16*'Economic Assumptions'!$K16,0)</f>
        <v/>
      </c>
      <c r="O42" s="301">
        <f>IF('Economic Assumptions'!$B16+'Project Assumptions'!$D$15+'Project Assumptions'!$D$16-1='Detailed Cashflows'!O$5,-'Economic Assumptions'!$C16*'Economic Assumptions'!$K16,0)</f>
        <v/>
      </c>
      <c r="P42" s="301">
        <f>IF('Economic Assumptions'!$B16+'Project Assumptions'!$D$15+'Project Assumptions'!$D$16-1='Detailed Cashflows'!P$5,-'Economic Assumptions'!$C16*'Economic Assumptions'!$K16,0)</f>
        <v/>
      </c>
      <c r="Q42" s="301">
        <f>IF('Economic Assumptions'!$B16+'Project Assumptions'!$D$15+'Project Assumptions'!$D$16-1='Detailed Cashflows'!Q$5,-'Economic Assumptions'!$C16*'Economic Assumptions'!$K16,0)</f>
        <v/>
      </c>
      <c r="R42" s="301">
        <f>IF('Economic Assumptions'!$B16+'Project Assumptions'!$D$15+'Project Assumptions'!$D$16-1='Detailed Cashflows'!R$5,-'Economic Assumptions'!$C16*'Economic Assumptions'!$K16,0)</f>
        <v/>
      </c>
      <c r="S42" s="301">
        <f>IF('Economic Assumptions'!$B16+'Project Assumptions'!$D$15+'Project Assumptions'!$D$16-1='Detailed Cashflows'!S$5,-'Economic Assumptions'!$C16*'Economic Assumptions'!$K16,0)</f>
        <v/>
      </c>
      <c r="T42" s="301">
        <f>IF('Economic Assumptions'!$B16+'Project Assumptions'!$D$15+'Project Assumptions'!$D$16-1='Detailed Cashflows'!T$5,-'Economic Assumptions'!$C16*'Economic Assumptions'!$K16,0)</f>
        <v/>
      </c>
      <c r="U42" s="301">
        <f>IF('Economic Assumptions'!$B16+'Project Assumptions'!$D$15+'Project Assumptions'!$D$16-1='Detailed Cashflows'!U$5,-'Economic Assumptions'!$C16*'Economic Assumptions'!$K16,0)</f>
        <v/>
      </c>
      <c r="V42" s="301">
        <f>IF('Economic Assumptions'!$B16+'Project Assumptions'!$D$15+'Project Assumptions'!$D$16-1='Detailed Cashflows'!V$5,-'Economic Assumptions'!$C16*'Economic Assumptions'!$K16,0)</f>
        <v/>
      </c>
      <c r="W42" s="301">
        <f>IF('Economic Assumptions'!$B16+'Project Assumptions'!$D$15+'Project Assumptions'!$D$16-1='Detailed Cashflows'!W$5,-'Economic Assumptions'!$C16*'Economic Assumptions'!$K16,0)</f>
        <v/>
      </c>
      <c r="X42" s="301">
        <f>IF('Economic Assumptions'!$B16+'Project Assumptions'!$D$15+'Project Assumptions'!$D$16-1='Detailed Cashflows'!X$5,-'Economic Assumptions'!$C16*'Economic Assumptions'!$K16,0)</f>
        <v/>
      </c>
      <c r="Y42" s="301">
        <f>IF('Economic Assumptions'!$B16+'Project Assumptions'!$D$15+'Project Assumptions'!$D$16-1='Detailed Cashflows'!Y$5,-'Economic Assumptions'!$C16*'Economic Assumptions'!$K16,0)</f>
        <v/>
      </c>
      <c r="Z42" s="301">
        <f>IF('Economic Assumptions'!$B16+'Project Assumptions'!$D$15+'Project Assumptions'!$D$16-1='Detailed Cashflows'!Z$5,-'Economic Assumptions'!$C16*'Economic Assumptions'!$K16,0)</f>
        <v/>
      </c>
      <c r="AA42" s="301">
        <f>IF('Economic Assumptions'!$B16+'Project Assumptions'!$D$15+'Project Assumptions'!$D$16-1='Detailed Cashflows'!AA$5,-'Economic Assumptions'!$C16*'Economic Assumptions'!$K16,0)</f>
        <v/>
      </c>
      <c r="AB42" s="301">
        <f>IF('Economic Assumptions'!$B16+'Project Assumptions'!$D$15+'Project Assumptions'!$D$16-1='Detailed Cashflows'!AB$5,-'Economic Assumptions'!$C16*'Economic Assumptions'!$K16,0)</f>
        <v/>
      </c>
      <c r="AC42" s="301">
        <f>IF('Economic Assumptions'!$B16+'Project Assumptions'!$D$15+'Project Assumptions'!$D$16-1='Detailed Cashflows'!AC$5,-'Economic Assumptions'!$C16*'Economic Assumptions'!$K16,0)</f>
        <v/>
      </c>
      <c r="AD42" s="301">
        <f>IF('Economic Assumptions'!$B16+'Project Assumptions'!$D$15+'Project Assumptions'!$D$16-1='Detailed Cashflows'!AD$5,-'Economic Assumptions'!$C16*'Economic Assumptions'!$K16,0)</f>
        <v/>
      </c>
      <c r="AE42" s="301">
        <f>IF('Economic Assumptions'!$B16+'Project Assumptions'!$D$15+'Project Assumptions'!$D$16-1='Detailed Cashflows'!AE$5,-'Economic Assumptions'!$C16*'Economic Assumptions'!$K16,0)</f>
        <v/>
      </c>
      <c r="AF42" s="301">
        <f>IF('Economic Assumptions'!$B16+'Project Assumptions'!$D$15+'Project Assumptions'!$D$16-1='Detailed Cashflows'!AF$5,-'Economic Assumptions'!$C16*'Economic Assumptions'!$K16,0)</f>
        <v/>
      </c>
      <c r="AG42" s="301">
        <f>IF('Economic Assumptions'!$B16+'Project Assumptions'!$D$15+'Project Assumptions'!$D$16-1='Detailed Cashflows'!AG$5,-'Economic Assumptions'!$C16*'Economic Assumptions'!$K16,0)</f>
        <v/>
      </c>
      <c r="AH42" s="301">
        <f>IF('Economic Assumptions'!$B16+'Project Assumptions'!$D$15+'Project Assumptions'!$D$16-1='Detailed Cashflows'!AH$5,-'Economic Assumptions'!$C16*'Economic Assumptions'!$K16,0)</f>
        <v/>
      </c>
      <c r="AI42" s="301">
        <f>IF('Economic Assumptions'!$B16+'Project Assumptions'!$D$15+'Project Assumptions'!$D$16-1='Detailed Cashflows'!AI$5,-'Economic Assumptions'!$C16*'Economic Assumptions'!$K16,0)</f>
        <v/>
      </c>
      <c r="AJ42" s="301">
        <f>IF('Economic Assumptions'!$B16+'Project Assumptions'!$D$15+'Project Assumptions'!$D$16-1='Detailed Cashflows'!AJ$5,-'Economic Assumptions'!$C16*'Economic Assumptions'!$K16,0)</f>
        <v/>
      </c>
      <c r="AK42" s="301">
        <f>IF('Economic Assumptions'!$B16+'Project Assumptions'!$D$15+'Project Assumptions'!$D$16-1='Detailed Cashflows'!AK$5,-'Economic Assumptions'!$C16*'Economic Assumptions'!$K16,0)</f>
        <v/>
      </c>
      <c r="AL42" s="301">
        <f>IF('Economic Assumptions'!$B16+'Project Assumptions'!$D$15+'Project Assumptions'!$D$16-1='Detailed Cashflows'!AL$5,-'Economic Assumptions'!$C16*'Economic Assumptions'!$K16,0)</f>
        <v/>
      </c>
      <c r="AM42" s="301">
        <f>IF('Economic Assumptions'!$B16+'Project Assumptions'!$D$15+'Project Assumptions'!$D$16-1='Detailed Cashflows'!AM$5,-'Economic Assumptions'!$C16*'Economic Assumptions'!$K16,0)</f>
        <v/>
      </c>
      <c r="AN42" s="301">
        <f>IF('Economic Assumptions'!$B16+'Project Assumptions'!$D$15+'Project Assumptions'!$D$16-1='Detailed Cashflows'!AN$5,-'Economic Assumptions'!$C16*'Economic Assumptions'!$K16,0)</f>
        <v/>
      </c>
      <c r="AO42" s="301">
        <f>IF('Economic Assumptions'!$B16+'Project Assumptions'!$D$15+'Project Assumptions'!$D$16-1='Detailed Cashflows'!AO$5,-'Economic Assumptions'!$C16*'Economic Assumptions'!$K16,0)</f>
        <v/>
      </c>
      <c r="AP42" s="301">
        <f>IF('Economic Assumptions'!$B16+'Project Assumptions'!$D$15+'Project Assumptions'!$D$16-1='Detailed Cashflows'!AP$5,-'Economic Assumptions'!$C16*'Economic Assumptions'!$K16,0)</f>
        <v/>
      </c>
      <c r="AQ42" s="301">
        <f>IF('Economic Assumptions'!$B16+'Project Assumptions'!$D$15+'Project Assumptions'!$D$16-1='Detailed Cashflows'!AQ$5,-'Economic Assumptions'!$C16*'Economic Assumptions'!$K16,0)</f>
        <v/>
      </c>
      <c r="AR42" s="301">
        <f>IF('Economic Assumptions'!$B16+'Project Assumptions'!$D$15+'Project Assumptions'!$D$16-1='Detailed Cashflows'!AR$5,-'Economic Assumptions'!$C16*'Economic Assumptions'!$K16,0)</f>
        <v/>
      </c>
      <c r="AS42" s="301">
        <f>IF('Economic Assumptions'!$B16+'Project Assumptions'!$D$15+'Project Assumptions'!$D$16-1='Detailed Cashflows'!AS$5,-'Economic Assumptions'!$C16*'Economic Assumptions'!$K16,0)</f>
        <v/>
      </c>
      <c r="AT42" s="301">
        <f>IF('Economic Assumptions'!$B16+'Project Assumptions'!$D$15+'Project Assumptions'!$D$16-1='Detailed Cashflows'!AT$5,-'Economic Assumptions'!$C16*'Economic Assumptions'!$K16,0)</f>
        <v/>
      </c>
      <c r="AU42" s="301">
        <f>IF('Economic Assumptions'!$B16+'Project Assumptions'!$D$15+'Project Assumptions'!$D$16-1='Detailed Cashflows'!AU$5,-'Economic Assumptions'!$C16*'Economic Assumptions'!$K16,0)</f>
        <v/>
      </c>
      <c r="AV42" s="301">
        <f>IF('Economic Assumptions'!$B16+'Project Assumptions'!$D$15+'Project Assumptions'!$D$16-1='Detailed Cashflows'!AV$5,-'Economic Assumptions'!$C16*'Economic Assumptions'!$K16,0)</f>
        <v/>
      </c>
      <c r="AW42" s="301">
        <f>IF('Economic Assumptions'!$B16+'Project Assumptions'!$D$15+'Project Assumptions'!$D$16-1='Detailed Cashflows'!AW$5,-'Economic Assumptions'!$C16*'Economic Assumptions'!$K16,0)</f>
        <v/>
      </c>
      <c r="AX42" s="301">
        <f>IF('Economic Assumptions'!$B16+'Project Assumptions'!$D$15+'Project Assumptions'!$D$16-1='Detailed Cashflows'!AX$5,-'Economic Assumptions'!$C16*'Economic Assumptions'!$K16,0)</f>
        <v/>
      </c>
      <c r="AY42" s="301">
        <f>IF('Economic Assumptions'!$B16+'Project Assumptions'!$D$15+'Project Assumptions'!$D$16-1='Detailed Cashflows'!AY$5,-'Economic Assumptions'!$C16*'Economic Assumptions'!$K16,0)</f>
        <v/>
      </c>
      <c r="AZ42" s="301">
        <f>IF('Economic Assumptions'!$B16+'Project Assumptions'!$D$15+'Project Assumptions'!$D$16-1='Detailed Cashflows'!AZ$5,-'Economic Assumptions'!$C16*'Economic Assumptions'!$K16,0)</f>
        <v/>
      </c>
      <c r="BA42" s="301">
        <f>IF('Economic Assumptions'!$B16+'Project Assumptions'!$D$15+'Project Assumptions'!$D$16-1='Detailed Cashflows'!BA$5,-'Economic Assumptions'!$C16*'Economic Assumptions'!$K16,0)</f>
        <v/>
      </c>
      <c r="BB42" s="301">
        <f>IF('Economic Assumptions'!$B16+'Project Assumptions'!$D$15+'Project Assumptions'!$D$16-1='Detailed Cashflows'!BB$5,-'Economic Assumptions'!$C16*'Economic Assumptions'!$K16,0)</f>
        <v/>
      </c>
      <c r="BC42" s="301">
        <f>IF('Economic Assumptions'!$B16+'Project Assumptions'!$D$15+'Project Assumptions'!$D$16-1='Detailed Cashflows'!BC$5,-'Economic Assumptions'!$C16*'Economic Assumptions'!$K16,0)</f>
        <v/>
      </c>
      <c r="BD42" s="301">
        <f>IF('Economic Assumptions'!$B16+'Project Assumptions'!$D$15+'Project Assumptions'!$D$16-1='Detailed Cashflows'!BD$5,-'Economic Assumptions'!$C16*'Economic Assumptions'!$K16,0)</f>
        <v/>
      </c>
      <c r="BE42" s="301">
        <f>IF('Economic Assumptions'!$B16+'Project Assumptions'!$D$15+'Project Assumptions'!$D$16-1='Detailed Cashflows'!BE$5,-'Economic Assumptions'!$C16*'Economic Assumptions'!$K16,0)</f>
        <v/>
      </c>
      <c r="BF42" s="301">
        <f>IF('Economic Assumptions'!$B16+'Project Assumptions'!$D$15+'Project Assumptions'!$D$16-1='Detailed Cashflows'!BF$5,-'Economic Assumptions'!$C16*'Economic Assumptions'!$K16,0)</f>
        <v/>
      </c>
      <c r="BG42" s="301">
        <f>IF('Economic Assumptions'!$B16+'Project Assumptions'!$D$15+'Project Assumptions'!$D$16-1='Detailed Cashflows'!BG$5,-'Economic Assumptions'!$C16*'Economic Assumptions'!$K16,0)</f>
        <v/>
      </c>
      <c r="BH42" s="301">
        <f>IF('Economic Assumptions'!$B16+'Project Assumptions'!$D$15+'Project Assumptions'!$D$16-1='Detailed Cashflows'!BH$5,-'Economic Assumptions'!$C16*'Economic Assumptions'!$K16,0)</f>
        <v/>
      </c>
      <c r="BI42" s="301">
        <f>IF('Economic Assumptions'!$B16+'Project Assumptions'!$D$15+'Project Assumptions'!$D$16-1='Detailed Cashflows'!BI$5,-'Economic Assumptions'!$C16*'Economic Assumptions'!$K16,0)</f>
        <v/>
      </c>
      <c r="BJ42" s="301">
        <f>IF('Economic Assumptions'!$B16+'Project Assumptions'!$D$15+'Project Assumptions'!$D$16-1='Detailed Cashflows'!BJ$5,-'Economic Assumptions'!$C16*'Economic Assumptions'!$K16,0)</f>
        <v/>
      </c>
      <c r="BK42" s="301">
        <f>IF('Economic Assumptions'!$B16+'Project Assumptions'!$D$15+'Project Assumptions'!$D$16-1='Detailed Cashflows'!BK$5,-'Economic Assumptions'!$C16*'Economic Assumptions'!$K16,0)</f>
        <v/>
      </c>
      <c r="BL42" s="301">
        <f>IF('Economic Assumptions'!$B16+'Project Assumptions'!$D$15+'Project Assumptions'!$D$16-1='Detailed Cashflows'!BL$5,-'Economic Assumptions'!$C16*'Economic Assumptions'!$K16,0)</f>
        <v/>
      </c>
      <c r="BM42" s="301">
        <f>IF('Economic Assumptions'!$B16+'Project Assumptions'!$D$15+'Project Assumptions'!$D$16-1='Detailed Cashflows'!BM$5,-'Economic Assumptions'!$C16*'Economic Assumptions'!$K16,0)</f>
        <v/>
      </c>
      <c r="BN42" s="301">
        <f>IF('Economic Assumptions'!$B16+'Project Assumptions'!$D$15+'Project Assumptions'!$D$16-1='Detailed Cashflows'!BN$5,-'Economic Assumptions'!$C16*'Economic Assumptions'!$K16,0)</f>
        <v/>
      </c>
      <c r="BO42" s="301">
        <f>IF('Economic Assumptions'!$B16+'Project Assumptions'!$D$15+'Project Assumptions'!$D$16-1='Detailed Cashflows'!BO$5,-'Economic Assumptions'!$C16*'Economic Assumptions'!$K16,0)</f>
        <v/>
      </c>
      <c r="BP42" s="301">
        <f>IF('Economic Assumptions'!$B16+'Project Assumptions'!$D$15+'Project Assumptions'!$D$16-1='Detailed Cashflows'!BP$5,-'Economic Assumptions'!$C16*'Economic Assumptions'!$K16,0)</f>
        <v/>
      </c>
      <c r="BQ42" s="301">
        <f>IF('Economic Assumptions'!$B16+'Project Assumptions'!$D$15+'Project Assumptions'!$D$16-1='Detailed Cashflows'!BQ$5,-'Economic Assumptions'!$C16*'Economic Assumptions'!$K16,0)</f>
        <v/>
      </c>
      <c r="BR42" s="301">
        <f>IF('Economic Assumptions'!$B16+'Project Assumptions'!$D$15+'Project Assumptions'!$D$16-1='Detailed Cashflows'!BR$5,-'Economic Assumptions'!$C16*'Economic Assumptions'!$K16,0)</f>
        <v/>
      </c>
      <c r="BS42" s="301">
        <f>IF('Economic Assumptions'!$B16+'Project Assumptions'!$D$15+'Project Assumptions'!$D$16-1='Detailed Cashflows'!BS$5,-'Economic Assumptions'!$C16*'Economic Assumptions'!$K16,0)</f>
        <v/>
      </c>
      <c r="BT42" s="301">
        <f>IF('Economic Assumptions'!$B16+'Project Assumptions'!$D$15+'Project Assumptions'!$D$16-1='Detailed Cashflows'!BT$5,-'Economic Assumptions'!$C16*'Economic Assumptions'!$K16,0)</f>
        <v/>
      </c>
      <c r="BU42" s="301">
        <f>IF('Economic Assumptions'!$B16+'Project Assumptions'!$D$15+'Project Assumptions'!$D$16-1='Detailed Cashflows'!BU$5,-'Economic Assumptions'!$C16*'Economic Assumptions'!$K16,0)</f>
        <v/>
      </c>
      <c r="BV42" s="301">
        <f>IF('Economic Assumptions'!$B16+'Project Assumptions'!$D$15+'Project Assumptions'!$D$16-1='Detailed Cashflows'!BV$5,-'Economic Assumptions'!$C16*'Economic Assumptions'!$K16,0)</f>
        <v/>
      </c>
      <c r="BW42" s="301">
        <f>IF('Economic Assumptions'!$B16+'Project Assumptions'!$D$15+'Project Assumptions'!$D$16-1='Detailed Cashflows'!BW$5,-'Economic Assumptions'!$C16*'Economic Assumptions'!$K16,0)</f>
        <v/>
      </c>
      <c r="BX42" s="301">
        <f>IF('Economic Assumptions'!$B16+'Project Assumptions'!$D$15+'Project Assumptions'!$D$16-1='Detailed Cashflows'!BX$5,-'Economic Assumptions'!$C16*'Economic Assumptions'!$K16,0)</f>
        <v/>
      </c>
      <c r="BY42" s="301">
        <f>IF('Economic Assumptions'!$B16+'Project Assumptions'!$D$15+'Project Assumptions'!$D$16-1='Detailed Cashflows'!BY$5,-'Economic Assumptions'!$C16*'Economic Assumptions'!$K16,0)</f>
        <v/>
      </c>
      <c r="BZ42" s="301">
        <f>IF('Economic Assumptions'!$B16+'Project Assumptions'!$D$15+'Project Assumptions'!$D$16-1='Detailed Cashflows'!BZ$5,-'Economic Assumptions'!$C16*'Economic Assumptions'!$K16,0)</f>
        <v/>
      </c>
      <c r="CA42" s="301">
        <f>IF('Economic Assumptions'!$B16+'Project Assumptions'!$D$15+'Project Assumptions'!$D$16-1='Detailed Cashflows'!CA$5,-'Economic Assumptions'!$C16*'Economic Assumptions'!$K16,0)</f>
        <v/>
      </c>
      <c r="CB42" s="301">
        <f>IF('Economic Assumptions'!$B16+'Project Assumptions'!$D$15+'Project Assumptions'!$D$16-1='Detailed Cashflows'!CB$5,-'Economic Assumptions'!$C16*'Economic Assumptions'!$K16,0)</f>
        <v/>
      </c>
      <c r="CC42" s="301">
        <f>IF('Economic Assumptions'!$B16+'Project Assumptions'!$D$15+'Project Assumptions'!$D$16-1='Detailed Cashflows'!CC$5,-'Economic Assumptions'!$C16*'Economic Assumptions'!$K16,0)</f>
        <v/>
      </c>
      <c r="CD42" s="301">
        <f>IF('Economic Assumptions'!$B16+'Project Assumptions'!$D$15+'Project Assumptions'!$D$16-1='Detailed Cashflows'!CD$5,-'Economic Assumptions'!$C16*'Economic Assumptions'!$K16,0)</f>
        <v/>
      </c>
      <c r="CE42" s="301">
        <f>IF('Economic Assumptions'!$B16+'Project Assumptions'!$D$15+'Project Assumptions'!$D$16-1='Detailed Cashflows'!CE$5,-'Economic Assumptions'!$C16*'Economic Assumptions'!$K16,0)</f>
        <v/>
      </c>
      <c r="CF42" s="301">
        <f>IF('Economic Assumptions'!$B16+'Project Assumptions'!$D$15+'Project Assumptions'!$D$16-1='Detailed Cashflows'!CF$5,-'Economic Assumptions'!$C16*'Economic Assumptions'!$K16,0)</f>
        <v/>
      </c>
      <c r="CG42" s="301">
        <f>IF('Economic Assumptions'!$B16+'Project Assumptions'!$D$15+'Project Assumptions'!$D$16-1='Detailed Cashflows'!CG$5,-'Economic Assumptions'!$C16*'Economic Assumptions'!$K16,0)</f>
        <v/>
      </c>
      <c r="CH42" s="301">
        <f>IF('Economic Assumptions'!$B16+'Project Assumptions'!$D$15+'Project Assumptions'!$D$16-1='Detailed Cashflows'!CH$5,-'Economic Assumptions'!$C16*'Economic Assumptions'!$K16,0)</f>
        <v/>
      </c>
      <c r="CI42" s="301">
        <f>IF('Economic Assumptions'!$B16+'Project Assumptions'!$D$15+'Project Assumptions'!$D$16-1='Detailed Cashflows'!CI$5,-'Economic Assumptions'!$C16*'Economic Assumptions'!$K16,0)</f>
        <v/>
      </c>
      <c r="CJ42" s="301">
        <f>IF('Economic Assumptions'!$B16+'Project Assumptions'!$D$15+'Project Assumptions'!$D$16-1='Detailed Cashflows'!CJ$5,-'Economic Assumptions'!$C16*'Economic Assumptions'!$K16,0)</f>
        <v/>
      </c>
      <c r="CK42" s="301">
        <f>IF('Economic Assumptions'!$B16+'Project Assumptions'!$D$15+'Project Assumptions'!$D$16-1='Detailed Cashflows'!CK$5,-'Economic Assumptions'!$C16*'Economic Assumptions'!$K16,0)</f>
        <v/>
      </c>
      <c r="CL42" s="301">
        <f>IF('Economic Assumptions'!$B16+'Project Assumptions'!$D$15+'Project Assumptions'!$D$16-1='Detailed Cashflows'!CL$5,-'Economic Assumptions'!$C16*'Economic Assumptions'!$K16,0)</f>
        <v/>
      </c>
      <c r="CM42" s="301">
        <f>IF('Economic Assumptions'!$B16+'Project Assumptions'!$D$15+'Project Assumptions'!$D$16-1='Detailed Cashflows'!CM$5,-'Economic Assumptions'!$C16*'Economic Assumptions'!$K16,0)</f>
        <v/>
      </c>
      <c r="CN42" s="301">
        <f>IF('Economic Assumptions'!$B16+'Project Assumptions'!$D$15+'Project Assumptions'!$D$16-1='Detailed Cashflows'!CN$5,-'Economic Assumptions'!$C16*'Economic Assumptions'!$K16,0)</f>
        <v/>
      </c>
      <c r="CO42" s="301">
        <f>IF('Economic Assumptions'!$B16+'Project Assumptions'!$D$15+'Project Assumptions'!$D$16-1='Detailed Cashflows'!CO$5,-'Economic Assumptions'!$C16*'Economic Assumptions'!$K16,0)</f>
        <v/>
      </c>
      <c r="CP42" s="301">
        <f>IF('Economic Assumptions'!$B16+'Project Assumptions'!$D$15+'Project Assumptions'!$D$16-1='Detailed Cashflows'!CP$5,-'Economic Assumptions'!$C16*'Economic Assumptions'!$K16,0)</f>
        <v/>
      </c>
      <c r="CQ42" s="301">
        <f>IF('Economic Assumptions'!$B16+'Project Assumptions'!$D$15+'Project Assumptions'!$D$16-1='Detailed Cashflows'!CQ$5,-'Economic Assumptions'!$C16*'Economic Assumptions'!$K16,0)</f>
        <v/>
      </c>
      <c r="CR42" s="301">
        <f>IF('Economic Assumptions'!$B16+'Project Assumptions'!$D$15+'Project Assumptions'!$D$16-1='Detailed Cashflows'!CR$5,-'Economic Assumptions'!$C16*'Economic Assumptions'!$K16,0)</f>
        <v/>
      </c>
      <c r="CS42" s="301">
        <f>IF('Economic Assumptions'!$B16+'Project Assumptions'!$D$15+'Project Assumptions'!$D$16-1='Detailed Cashflows'!CS$5,-'Economic Assumptions'!$C16*'Economic Assumptions'!$K16,0)</f>
        <v/>
      </c>
      <c r="CT42" s="301">
        <f>IF('Economic Assumptions'!$B16+'Project Assumptions'!$D$15+'Project Assumptions'!$D$16-1='Detailed Cashflows'!CT$5,-'Economic Assumptions'!$C16*'Economic Assumptions'!$K16,0)</f>
        <v/>
      </c>
      <c r="CU42" s="301">
        <f>IF('Economic Assumptions'!$B16+'Project Assumptions'!$D$15+'Project Assumptions'!$D$16-1='Detailed Cashflows'!CU$5,-'Economic Assumptions'!$C16*'Economic Assumptions'!$K16,0)</f>
        <v/>
      </c>
      <c r="CV42" s="301">
        <f>IF('Economic Assumptions'!$B16+'Project Assumptions'!$D$15+'Project Assumptions'!$D$16-1='Detailed Cashflows'!CV$5,-'Economic Assumptions'!$C16*'Economic Assumptions'!$K16,0)</f>
        <v/>
      </c>
      <c r="CW42" s="301">
        <f>IF('Economic Assumptions'!$B16+'Project Assumptions'!$D$15+'Project Assumptions'!$D$16-1='Detailed Cashflows'!CW$5,-'Economic Assumptions'!$C16*'Economic Assumptions'!$K16,0)</f>
        <v/>
      </c>
      <c r="CX42" s="301">
        <f>IF('Economic Assumptions'!$B16+'Project Assumptions'!$D$15+'Project Assumptions'!$D$16-1='Detailed Cashflows'!CX$5,-'Economic Assumptions'!$C16*'Economic Assumptions'!$K16,0)</f>
        <v/>
      </c>
      <c r="CY42" s="301">
        <f>IF('Economic Assumptions'!$B16+'Project Assumptions'!$D$15+'Project Assumptions'!$D$16-1='Detailed Cashflows'!CY$5,-'Economic Assumptions'!$C16*'Economic Assumptions'!$K16,0)</f>
        <v/>
      </c>
      <c r="CZ42" s="301">
        <f>IF('Economic Assumptions'!$B16+'Project Assumptions'!$D$15+'Project Assumptions'!$D$16-1='Detailed Cashflows'!CZ$5,-'Economic Assumptions'!$C16*'Economic Assumptions'!$K16,0)</f>
        <v/>
      </c>
      <c r="DA42" s="301">
        <f>IF('Economic Assumptions'!$B16+'Project Assumptions'!$D$15+'Project Assumptions'!$D$16-1='Detailed Cashflows'!DA$5,-'Economic Assumptions'!$C16*'Economic Assumptions'!$K16,0)</f>
        <v/>
      </c>
      <c r="DB42" s="301">
        <f>IF('Economic Assumptions'!$B16+'Project Assumptions'!$D$15+'Project Assumptions'!$D$16-1='Detailed Cashflows'!DB$5,-'Economic Assumptions'!$C16*'Economic Assumptions'!$K16,0)</f>
        <v/>
      </c>
      <c r="DC42" s="301" t="n"/>
      <c r="DD42" s="299">
        <f>SUM(F42:DB42)</f>
        <v/>
      </c>
    </row>
    <row r="43" hidden="1" outlineLevel="1" ht="14.1" customFormat="1" customHeight="1" s="302">
      <c r="A43" s="1000" t="n"/>
      <c r="B43" s="640">
        <f>'Economic Assumptions'!$A$17</f>
        <v/>
      </c>
      <c r="C43" s="298" t="n"/>
      <c r="D43" s="299">
        <f>DD43</f>
        <v/>
      </c>
      <c r="E43" s="300" t="n"/>
      <c r="F43" s="301">
        <f>IF('Economic Assumptions'!$B17+'Project Assumptions'!$D$15+'Project Assumptions'!$D$16-1='Detailed Cashflows'!F$5,-'Economic Assumptions'!$C17*'Economic Assumptions'!$K17,0)</f>
        <v/>
      </c>
      <c r="G43" s="301">
        <f>IF('Economic Assumptions'!$B17+'Project Assumptions'!$D$15+'Project Assumptions'!$D$16-1='Detailed Cashflows'!G$5,-'Economic Assumptions'!$C17*'Economic Assumptions'!$K17,0)</f>
        <v/>
      </c>
      <c r="H43" s="301">
        <f>IF('Economic Assumptions'!$B17+'Project Assumptions'!$D$15+'Project Assumptions'!$D$16-1='Detailed Cashflows'!H$5,-'Economic Assumptions'!$C17*'Economic Assumptions'!$K17,0)</f>
        <v/>
      </c>
      <c r="I43" s="301">
        <f>IF('Economic Assumptions'!$B17+'Project Assumptions'!$D$15+'Project Assumptions'!$D$16-1='Detailed Cashflows'!I$5,-'Economic Assumptions'!$C17*'Economic Assumptions'!$K17,0)</f>
        <v/>
      </c>
      <c r="J43" s="301">
        <f>IF('Economic Assumptions'!$B17+'Project Assumptions'!$D$15+'Project Assumptions'!$D$16-1='Detailed Cashflows'!J$5,-'Economic Assumptions'!$C17*'Economic Assumptions'!$K17,0)</f>
        <v/>
      </c>
      <c r="K43" s="301">
        <f>IF('Economic Assumptions'!$B17+'Project Assumptions'!$D$15+'Project Assumptions'!$D$16-1='Detailed Cashflows'!K$5,-'Economic Assumptions'!$C17*'Economic Assumptions'!$K17,0)</f>
        <v/>
      </c>
      <c r="L43" s="301">
        <f>IF('Economic Assumptions'!$B17+'Project Assumptions'!$D$15+'Project Assumptions'!$D$16-1='Detailed Cashflows'!L$5,-'Economic Assumptions'!$C17*'Economic Assumptions'!$K17,0)</f>
        <v/>
      </c>
      <c r="M43" s="301">
        <f>IF('Economic Assumptions'!$B17+'Project Assumptions'!$D$15+'Project Assumptions'!$D$16-1='Detailed Cashflows'!M$5,-'Economic Assumptions'!$C17*'Economic Assumptions'!$K17,0)</f>
        <v/>
      </c>
      <c r="N43" s="301">
        <f>IF('Economic Assumptions'!$B17+'Project Assumptions'!$D$15+'Project Assumptions'!$D$16-1='Detailed Cashflows'!N$5,-'Economic Assumptions'!$C17*'Economic Assumptions'!$K17,0)</f>
        <v/>
      </c>
      <c r="O43" s="301">
        <f>IF('Economic Assumptions'!$B17+'Project Assumptions'!$D$15+'Project Assumptions'!$D$16-1='Detailed Cashflows'!O$5,-'Economic Assumptions'!$C17*'Economic Assumptions'!$K17,0)</f>
        <v/>
      </c>
      <c r="P43" s="301">
        <f>IF('Economic Assumptions'!$B17+'Project Assumptions'!$D$15+'Project Assumptions'!$D$16-1='Detailed Cashflows'!P$5,-'Economic Assumptions'!$C17*'Economic Assumptions'!$K17,0)</f>
        <v/>
      </c>
      <c r="Q43" s="301">
        <f>IF('Economic Assumptions'!$B17+'Project Assumptions'!$D$15+'Project Assumptions'!$D$16-1='Detailed Cashflows'!Q$5,-'Economic Assumptions'!$C17*'Economic Assumptions'!$K17,0)</f>
        <v/>
      </c>
      <c r="R43" s="301">
        <f>IF('Economic Assumptions'!$B17+'Project Assumptions'!$D$15+'Project Assumptions'!$D$16-1='Detailed Cashflows'!R$5,-'Economic Assumptions'!$C17*'Economic Assumptions'!$K17,0)</f>
        <v/>
      </c>
      <c r="S43" s="301">
        <f>IF('Economic Assumptions'!$B17+'Project Assumptions'!$D$15+'Project Assumptions'!$D$16-1='Detailed Cashflows'!S$5,-'Economic Assumptions'!$C17*'Economic Assumptions'!$K17,0)</f>
        <v/>
      </c>
      <c r="T43" s="301">
        <f>IF('Economic Assumptions'!$B17+'Project Assumptions'!$D$15+'Project Assumptions'!$D$16-1='Detailed Cashflows'!T$5,-'Economic Assumptions'!$C17*'Economic Assumptions'!$K17,0)</f>
        <v/>
      </c>
      <c r="U43" s="301">
        <f>IF('Economic Assumptions'!$B17+'Project Assumptions'!$D$15+'Project Assumptions'!$D$16-1='Detailed Cashflows'!U$5,-'Economic Assumptions'!$C17*'Economic Assumptions'!$K17,0)</f>
        <v/>
      </c>
      <c r="V43" s="301">
        <f>IF('Economic Assumptions'!$B17+'Project Assumptions'!$D$15+'Project Assumptions'!$D$16-1='Detailed Cashflows'!V$5,-'Economic Assumptions'!$C17*'Economic Assumptions'!$K17,0)</f>
        <v/>
      </c>
      <c r="W43" s="301">
        <f>IF('Economic Assumptions'!$B17+'Project Assumptions'!$D$15+'Project Assumptions'!$D$16-1='Detailed Cashflows'!W$5,-'Economic Assumptions'!$C17*'Economic Assumptions'!$K17,0)</f>
        <v/>
      </c>
      <c r="X43" s="301">
        <f>IF('Economic Assumptions'!$B17+'Project Assumptions'!$D$15+'Project Assumptions'!$D$16-1='Detailed Cashflows'!X$5,-'Economic Assumptions'!$C17*'Economic Assumptions'!$K17,0)</f>
        <v/>
      </c>
      <c r="Y43" s="301">
        <f>IF('Economic Assumptions'!$B17+'Project Assumptions'!$D$15+'Project Assumptions'!$D$16-1='Detailed Cashflows'!Y$5,-'Economic Assumptions'!$C17*'Economic Assumptions'!$K17,0)</f>
        <v/>
      </c>
      <c r="Z43" s="301">
        <f>IF('Economic Assumptions'!$B17+'Project Assumptions'!$D$15+'Project Assumptions'!$D$16-1='Detailed Cashflows'!Z$5,-'Economic Assumptions'!$C17*'Economic Assumptions'!$K17,0)</f>
        <v/>
      </c>
      <c r="AA43" s="301">
        <f>IF('Economic Assumptions'!$B17+'Project Assumptions'!$D$15+'Project Assumptions'!$D$16-1='Detailed Cashflows'!AA$5,-'Economic Assumptions'!$C17*'Economic Assumptions'!$K17,0)</f>
        <v/>
      </c>
      <c r="AB43" s="301">
        <f>IF('Economic Assumptions'!$B17+'Project Assumptions'!$D$15+'Project Assumptions'!$D$16-1='Detailed Cashflows'!AB$5,-'Economic Assumptions'!$C17*'Economic Assumptions'!$K17,0)</f>
        <v/>
      </c>
      <c r="AC43" s="301">
        <f>IF('Economic Assumptions'!$B17+'Project Assumptions'!$D$15+'Project Assumptions'!$D$16-1='Detailed Cashflows'!AC$5,-'Economic Assumptions'!$C17*'Economic Assumptions'!$K17,0)</f>
        <v/>
      </c>
      <c r="AD43" s="301">
        <f>IF('Economic Assumptions'!$B17+'Project Assumptions'!$D$15+'Project Assumptions'!$D$16-1='Detailed Cashflows'!AD$5,-'Economic Assumptions'!$C17*'Economic Assumptions'!$K17,0)</f>
        <v/>
      </c>
      <c r="AE43" s="301">
        <f>IF('Economic Assumptions'!$B17+'Project Assumptions'!$D$15+'Project Assumptions'!$D$16-1='Detailed Cashflows'!AE$5,-'Economic Assumptions'!$C17*'Economic Assumptions'!$K17,0)</f>
        <v/>
      </c>
      <c r="AF43" s="301">
        <f>IF('Economic Assumptions'!$B17+'Project Assumptions'!$D$15+'Project Assumptions'!$D$16-1='Detailed Cashflows'!AF$5,-'Economic Assumptions'!$C17*'Economic Assumptions'!$K17,0)</f>
        <v/>
      </c>
      <c r="AG43" s="301">
        <f>IF('Economic Assumptions'!$B17+'Project Assumptions'!$D$15+'Project Assumptions'!$D$16-1='Detailed Cashflows'!AG$5,-'Economic Assumptions'!$C17*'Economic Assumptions'!$K17,0)</f>
        <v/>
      </c>
      <c r="AH43" s="301">
        <f>IF('Economic Assumptions'!$B17+'Project Assumptions'!$D$15+'Project Assumptions'!$D$16-1='Detailed Cashflows'!AH$5,-'Economic Assumptions'!$C17*'Economic Assumptions'!$K17,0)</f>
        <v/>
      </c>
      <c r="AI43" s="301">
        <f>IF('Economic Assumptions'!$B17+'Project Assumptions'!$D$15+'Project Assumptions'!$D$16-1='Detailed Cashflows'!AI$5,-'Economic Assumptions'!$C17*'Economic Assumptions'!$K17,0)</f>
        <v/>
      </c>
      <c r="AJ43" s="301">
        <f>IF('Economic Assumptions'!$B17+'Project Assumptions'!$D$15+'Project Assumptions'!$D$16-1='Detailed Cashflows'!AJ$5,-'Economic Assumptions'!$C17*'Economic Assumptions'!$K17,0)</f>
        <v/>
      </c>
      <c r="AK43" s="301">
        <f>IF('Economic Assumptions'!$B17+'Project Assumptions'!$D$15+'Project Assumptions'!$D$16-1='Detailed Cashflows'!AK$5,-'Economic Assumptions'!$C17*'Economic Assumptions'!$K17,0)</f>
        <v/>
      </c>
      <c r="AL43" s="301">
        <f>IF('Economic Assumptions'!$B17+'Project Assumptions'!$D$15+'Project Assumptions'!$D$16-1='Detailed Cashflows'!AL$5,-'Economic Assumptions'!$C17*'Economic Assumptions'!$K17,0)</f>
        <v/>
      </c>
      <c r="AM43" s="301">
        <f>IF('Economic Assumptions'!$B17+'Project Assumptions'!$D$15+'Project Assumptions'!$D$16-1='Detailed Cashflows'!AM$5,-'Economic Assumptions'!$C17*'Economic Assumptions'!$K17,0)</f>
        <v/>
      </c>
      <c r="AN43" s="301">
        <f>IF('Economic Assumptions'!$B17+'Project Assumptions'!$D$15+'Project Assumptions'!$D$16-1='Detailed Cashflows'!AN$5,-'Economic Assumptions'!$C17*'Economic Assumptions'!$K17,0)</f>
        <v/>
      </c>
      <c r="AO43" s="301">
        <f>IF('Economic Assumptions'!$B17+'Project Assumptions'!$D$15+'Project Assumptions'!$D$16-1='Detailed Cashflows'!AO$5,-'Economic Assumptions'!$C17*'Economic Assumptions'!$K17,0)</f>
        <v/>
      </c>
      <c r="AP43" s="301">
        <f>IF('Economic Assumptions'!$B17+'Project Assumptions'!$D$15+'Project Assumptions'!$D$16-1='Detailed Cashflows'!AP$5,-'Economic Assumptions'!$C17*'Economic Assumptions'!$K17,0)</f>
        <v/>
      </c>
      <c r="AQ43" s="301">
        <f>IF('Economic Assumptions'!$B17+'Project Assumptions'!$D$15+'Project Assumptions'!$D$16-1='Detailed Cashflows'!AQ$5,-'Economic Assumptions'!$C17*'Economic Assumptions'!$K17,0)</f>
        <v/>
      </c>
      <c r="AR43" s="301">
        <f>IF('Economic Assumptions'!$B17+'Project Assumptions'!$D$15+'Project Assumptions'!$D$16-1='Detailed Cashflows'!AR$5,-'Economic Assumptions'!$C17*'Economic Assumptions'!$K17,0)</f>
        <v/>
      </c>
      <c r="AS43" s="301">
        <f>IF('Economic Assumptions'!$B17+'Project Assumptions'!$D$15+'Project Assumptions'!$D$16-1='Detailed Cashflows'!AS$5,-'Economic Assumptions'!$C17*'Economic Assumptions'!$K17,0)</f>
        <v/>
      </c>
      <c r="AT43" s="301">
        <f>IF('Economic Assumptions'!$B17+'Project Assumptions'!$D$15+'Project Assumptions'!$D$16-1='Detailed Cashflows'!AT$5,-'Economic Assumptions'!$C17*'Economic Assumptions'!$K17,0)</f>
        <v/>
      </c>
      <c r="AU43" s="301">
        <f>IF('Economic Assumptions'!$B17+'Project Assumptions'!$D$15+'Project Assumptions'!$D$16-1='Detailed Cashflows'!AU$5,-'Economic Assumptions'!$C17*'Economic Assumptions'!$K17,0)</f>
        <v/>
      </c>
      <c r="AV43" s="301">
        <f>IF('Economic Assumptions'!$B17+'Project Assumptions'!$D$15+'Project Assumptions'!$D$16-1='Detailed Cashflows'!AV$5,-'Economic Assumptions'!$C17*'Economic Assumptions'!$K17,0)</f>
        <v/>
      </c>
      <c r="AW43" s="301">
        <f>IF('Economic Assumptions'!$B17+'Project Assumptions'!$D$15+'Project Assumptions'!$D$16-1='Detailed Cashflows'!AW$5,-'Economic Assumptions'!$C17*'Economic Assumptions'!$K17,0)</f>
        <v/>
      </c>
      <c r="AX43" s="301">
        <f>IF('Economic Assumptions'!$B17+'Project Assumptions'!$D$15+'Project Assumptions'!$D$16-1='Detailed Cashflows'!AX$5,-'Economic Assumptions'!$C17*'Economic Assumptions'!$K17,0)</f>
        <v/>
      </c>
      <c r="AY43" s="301">
        <f>IF('Economic Assumptions'!$B17+'Project Assumptions'!$D$15+'Project Assumptions'!$D$16-1='Detailed Cashflows'!AY$5,-'Economic Assumptions'!$C17*'Economic Assumptions'!$K17,0)</f>
        <v/>
      </c>
      <c r="AZ43" s="301">
        <f>IF('Economic Assumptions'!$B17+'Project Assumptions'!$D$15+'Project Assumptions'!$D$16-1='Detailed Cashflows'!AZ$5,-'Economic Assumptions'!$C17*'Economic Assumptions'!$K17,0)</f>
        <v/>
      </c>
      <c r="BA43" s="301">
        <f>IF('Economic Assumptions'!$B17+'Project Assumptions'!$D$15+'Project Assumptions'!$D$16-1='Detailed Cashflows'!BA$5,-'Economic Assumptions'!$C17*'Economic Assumptions'!$K17,0)</f>
        <v/>
      </c>
      <c r="BB43" s="301">
        <f>IF('Economic Assumptions'!$B17+'Project Assumptions'!$D$15+'Project Assumptions'!$D$16-1='Detailed Cashflows'!BB$5,-'Economic Assumptions'!$C17*'Economic Assumptions'!$K17,0)</f>
        <v/>
      </c>
      <c r="BC43" s="301">
        <f>IF('Economic Assumptions'!$B17+'Project Assumptions'!$D$15+'Project Assumptions'!$D$16-1='Detailed Cashflows'!BC$5,-'Economic Assumptions'!$C17*'Economic Assumptions'!$K17,0)</f>
        <v/>
      </c>
      <c r="BD43" s="301">
        <f>IF('Economic Assumptions'!$B17+'Project Assumptions'!$D$15+'Project Assumptions'!$D$16-1='Detailed Cashflows'!BD$5,-'Economic Assumptions'!$C17*'Economic Assumptions'!$K17,0)</f>
        <v/>
      </c>
      <c r="BE43" s="301">
        <f>IF('Economic Assumptions'!$B17+'Project Assumptions'!$D$15+'Project Assumptions'!$D$16-1='Detailed Cashflows'!BE$5,-'Economic Assumptions'!$C17*'Economic Assumptions'!$K17,0)</f>
        <v/>
      </c>
      <c r="BF43" s="301">
        <f>IF('Economic Assumptions'!$B17+'Project Assumptions'!$D$15+'Project Assumptions'!$D$16-1='Detailed Cashflows'!BF$5,-'Economic Assumptions'!$C17*'Economic Assumptions'!$K17,0)</f>
        <v/>
      </c>
      <c r="BG43" s="301">
        <f>IF('Economic Assumptions'!$B17+'Project Assumptions'!$D$15+'Project Assumptions'!$D$16-1='Detailed Cashflows'!BG$5,-'Economic Assumptions'!$C17*'Economic Assumptions'!$K17,0)</f>
        <v/>
      </c>
      <c r="BH43" s="301">
        <f>IF('Economic Assumptions'!$B17+'Project Assumptions'!$D$15+'Project Assumptions'!$D$16-1='Detailed Cashflows'!BH$5,-'Economic Assumptions'!$C17*'Economic Assumptions'!$K17,0)</f>
        <v/>
      </c>
      <c r="BI43" s="301">
        <f>IF('Economic Assumptions'!$B17+'Project Assumptions'!$D$15+'Project Assumptions'!$D$16-1='Detailed Cashflows'!BI$5,-'Economic Assumptions'!$C17*'Economic Assumptions'!$K17,0)</f>
        <v/>
      </c>
      <c r="BJ43" s="301">
        <f>IF('Economic Assumptions'!$B17+'Project Assumptions'!$D$15+'Project Assumptions'!$D$16-1='Detailed Cashflows'!BJ$5,-'Economic Assumptions'!$C17*'Economic Assumptions'!$K17,0)</f>
        <v/>
      </c>
      <c r="BK43" s="301">
        <f>IF('Economic Assumptions'!$B17+'Project Assumptions'!$D$15+'Project Assumptions'!$D$16-1='Detailed Cashflows'!BK$5,-'Economic Assumptions'!$C17*'Economic Assumptions'!$K17,0)</f>
        <v/>
      </c>
      <c r="BL43" s="301">
        <f>IF('Economic Assumptions'!$B17+'Project Assumptions'!$D$15+'Project Assumptions'!$D$16-1='Detailed Cashflows'!BL$5,-'Economic Assumptions'!$C17*'Economic Assumptions'!$K17,0)</f>
        <v/>
      </c>
      <c r="BM43" s="301">
        <f>IF('Economic Assumptions'!$B17+'Project Assumptions'!$D$15+'Project Assumptions'!$D$16-1='Detailed Cashflows'!BM$5,-'Economic Assumptions'!$C17*'Economic Assumptions'!$K17,0)</f>
        <v/>
      </c>
      <c r="BN43" s="301">
        <f>IF('Economic Assumptions'!$B17+'Project Assumptions'!$D$15+'Project Assumptions'!$D$16-1='Detailed Cashflows'!BN$5,-'Economic Assumptions'!$C17*'Economic Assumptions'!$K17,0)</f>
        <v/>
      </c>
      <c r="BO43" s="301">
        <f>IF('Economic Assumptions'!$B17+'Project Assumptions'!$D$15+'Project Assumptions'!$D$16-1='Detailed Cashflows'!BO$5,-'Economic Assumptions'!$C17*'Economic Assumptions'!$K17,0)</f>
        <v/>
      </c>
      <c r="BP43" s="301">
        <f>IF('Economic Assumptions'!$B17+'Project Assumptions'!$D$15+'Project Assumptions'!$D$16-1='Detailed Cashflows'!BP$5,-'Economic Assumptions'!$C17*'Economic Assumptions'!$K17,0)</f>
        <v/>
      </c>
      <c r="BQ43" s="301">
        <f>IF('Economic Assumptions'!$B17+'Project Assumptions'!$D$15+'Project Assumptions'!$D$16-1='Detailed Cashflows'!BQ$5,-'Economic Assumptions'!$C17*'Economic Assumptions'!$K17,0)</f>
        <v/>
      </c>
      <c r="BR43" s="301">
        <f>IF('Economic Assumptions'!$B17+'Project Assumptions'!$D$15+'Project Assumptions'!$D$16-1='Detailed Cashflows'!BR$5,-'Economic Assumptions'!$C17*'Economic Assumptions'!$K17,0)</f>
        <v/>
      </c>
      <c r="BS43" s="301">
        <f>IF('Economic Assumptions'!$B17+'Project Assumptions'!$D$15+'Project Assumptions'!$D$16-1='Detailed Cashflows'!BS$5,-'Economic Assumptions'!$C17*'Economic Assumptions'!$K17,0)</f>
        <v/>
      </c>
      <c r="BT43" s="301">
        <f>IF('Economic Assumptions'!$B17+'Project Assumptions'!$D$15+'Project Assumptions'!$D$16-1='Detailed Cashflows'!BT$5,-'Economic Assumptions'!$C17*'Economic Assumptions'!$K17,0)</f>
        <v/>
      </c>
      <c r="BU43" s="301">
        <f>IF('Economic Assumptions'!$B17+'Project Assumptions'!$D$15+'Project Assumptions'!$D$16-1='Detailed Cashflows'!BU$5,-'Economic Assumptions'!$C17*'Economic Assumptions'!$K17,0)</f>
        <v/>
      </c>
      <c r="BV43" s="301">
        <f>IF('Economic Assumptions'!$B17+'Project Assumptions'!$D$15+'Project Assumptions'!$D$16-1='Detailed Cashflows'!BV$5,-'Economic Assumptions'!$C17*'Economic Assumptions'!$K17,0)</f>
        <v/>
      </c>
      <c r="BW43" s="301">
        <f>IF('Economic Assumptions'!$B17+'Project Assumptions'!$D$15+'Project Assumptions'!$D$16-1='Detailed Cashflows'!BW$5,-'Economic Assumptions'!$C17*'Economic Assumptions'!$K17,0)</f>
        <v/>
      </c>
      <c r="BX43" s="301">
        <f>IF('Economic Assumptions'!$B17+'Project Assumptions'!$D$15+'Project Assumptions'!$D$16-1='Detailed Cashflows'!BX$5,-'Economic Assumptions'!$C17*'Economic Assumptions'!$K17,0)</f>
        <v/>
      </c>
      <c r="BY43" s="301">
        <f>IF('Economic Assumptions'!$B17+'Project Assumptions'!$D$15+'Project Assumptions'!$D$16-1='Detailed Cashflows'!BY$5,-'Economic Assumptions'!$C17*'Economic Assumptions'!$K17,0)</f>
        <v/>
      </c>
      <c r="BZ43" s="301">
        <f>IF('Economic Assumptions'!$B17+'Project Assumptions'!$D$15+'Project Assumptions'!$D$16-1='Detailed Cashflows'!BZ$5,-'Economic Assumptions'!$C17*'Economic Assumptions'!$K17,0)</f>
        <v/>
      </c>
      <c r="CA43" s="301">
        <f>IF('Economic Assumptions'!$B17+'Project Assumptions'!$D$15+'Project Assumptions'!$D$16-1='Detailed Cashflows'!CA$5,-'Economic Assumptions'!$C17*'Economic Assumptions'!$K17,0)</f>
        <v/>
      </c>
      <c r="CB43" s="301">
        <f>IF('Economic Assumptions'!$B17+'Project Assumptions'!$D$15+'Project Assumptions'!$D$16-1='Detailed Cashflows'!CB$5,-'Economic Assumptions'!$C17*'Economic Assumptions'!$K17,0)</f>
        <v/>
      </c>
      <c r="CC43" s="301">
        <f>IF('Economic Assumptions'!$B17+'Project Assumptions'!$D$15+'Project Assumptions'!$D$16-1='Detailed Cashflows'!CC$5,-'Economic Assumptions'!$C17*'Economic Assumptions'!$K17,0)</f>
        <v/>
      </c>
      <c r="CD43" s="301">
        <f>IF('Economic Assumptions'!$B17+'Project Assumptions'!$D$15+'Project Assumptions'!$D$16-1='Detailed Cashflows'!CD$5,-'Economic Assumptions'!$C17*'Economic Assumptions'!$K17,0)</f>
        <v/>
      </c>
      <c r="CE43" s="301">
        <f>IF('Economic Assumptions'!$B17+'Project Assumptions'!$D$15+'Project Assumptions'!$D$16-1='Detailed Cashflows'!CE$5,-'Economic Assumptions'!$C17*'Economic Assumptions'!$K17,0)</f>
        <v/>
      </c>
      <c r="CF43" s="301">
        <f>IF('Economic Assumptions'!$B17+'Project Assumptions'!$D$15+'Project Assumptions'!$D$16-1='Detailed Cashflows'!CF$5,-'Economic Assumptions'!$C17*'Economic Assumptions'!$K17,0)</f>
        <v/>
      </c>
      <c r="CG43" s="301">
        <f>IF('Economic Assumptions'!$B17+'Project Assumptions'!$D$15+'Project Assumptions'!$D$16-1='Detailed Cashflows'!CG$5,-'Economic Assumptions'!$C17*'Economic Assumptions'!$K17,0)</f>
        <v/>
      </c>
      <c r="CH43" s="301">
        <f>IF('Economic Assumptions'!$B17+'Project Assumptions'!$D$15+'Project Assumptions'!$D$16-1='Detailed Cashflows'!CH$5,-'Economic Assumptions'!$C17*'Economic Assumptions'!$K17,0)</f>
        <v/>
      </c>
      <c r="CI43" s="301">
        <f>IF('Economic Assumptions'!$B17+'Project Assumptions'!$D$15+'Project Assumptions'!$D$16-1='Detailed Cashflows'!CI$5,-'Economic Assumptions'!$C17*'Economic Assumptions'!$K17,0)</f>
        <v/>
      </c>
      <c r="CJ43" s="301">
        <f>IF('Economic Assumptions'!$B17+'Project Assumptions'!$D$15+'Project Assumptions'!$D$16-1='Detailed Cashflows'!CJ$5,-'Economic Assumptions'!$C17*'Economic Assumptions'!$K17,0)</f>
        <v/>
      </c>
      <c r="CK43" s="301">
        <f>IF('Economic Assumptions'!$B17+'Project Assumptions'!$D$15+'Project Assumptions'!$D$16-1='Detailed Cashflows'!CK$5,-'Economic Assumptions'!$C17*'Economic Assumptions'!$K17,0)</f>
        <v/>
      </c>
      <c r="CL43" s="301">
        <f>IF('Economic Assumptions'!$B17+'Project Assumptions'!$D$15+'Project Assumptions'!$D$16-1='Detailed Cashflows'!CL$5,-'Economic Assumptions'!$C17*'Economic Assumptions'!$K17,0)</f>
        <v/>
      </c>
      <c r="CM43" s="301">
        <f>IF('Economic Assumptions'!$B17+'Project Assumptions'!$D$15+'Project Assumptions'!$D$16-1='Detailed Cashflows'!CM$5,-'Economic Assumptions'!$C17*'Economic Assumptions'!$K17,0)</f>
        <v/>
      </c>
      <c r="CN43" s="301">
        <f>IF('Economic Assumptions'!$B17+'Project Assumptions'!$D$15+'Project Assumptions'!$D$16-1='Detailed Cashflows'!CN$5,-'Economic Assumptions'!$C17*'Economic Assumptions'!$K17,0)</f>
        <v/>
      </c>
      <c r="CO43" s="301">
        <f>IF('Economic Assumptions'!$B17+'Project Assumptions'!$D$15+'Project Assumptions'!$D$16-1='Detailed Cashflows'!CO$5,-'Economic Assumptions'!$C17*'Economic Assumptions'!$K17,0)</f>
        <v/>
      </c>
      <c r="CP43" s="301">
        <f>IF('Economic Assumptions'!$B17+'Project Assumptions'!$D$15+'Project Assumptions'!$D$16-1='Detailed Cashflows'!CP$5,-'Economic Assumptions'!$C17*'Economic Assumptions'!$K17,0)</f>
        <v/>
      </c>
      <c r="CQ43" s="301">
        <f>IF('Economic Assumptions'!$B17+'Project Assumptions'!$D$15+'Project Assumptions'!$D$16-1='Detailed Cashflows'!CQ$5,-'Economic Assumptions'!$C17*'Economic Assumptions'!$K17,0)</f>
        <v/>
      </c>
      <c r="CR43" s="301">
        <f>IF('Economic Assumptions'!$B17+'Project Assumptions'!$D$15+'Project Assumptions'!$D$16-1='Detailed Cashflows'!CR$5,-'Economic Assumptions'!$C17*'Economic Assumptions'!$K17,0)</f>
        <v/>
      </c>
      <c r="CS43" s="301">
        <f>IF('Economic Assumptions'!$B17+'Project Assumptions'!$D$15+'Project Assumptions'!$D$16-1='Detailed Cashflows'!CS$5,-'Economic Assumptions'!$C17*'Economic Assumptions'!$K17,0)</f>
        <v/>
      </c>
      <c r="CT43" s="301">
        <f>IF('Economic Assumptions'!$B17+'Project Assumptions'!$D$15+'Project Assumptions'!$D$16-1='Detailed Cashflows'!CT$5,-'Economic Assumptions'!$C17*'Economic Assumptions'!$K17,0)</f>
        <v/>
      </c>
      <c r="CU43" s="301">
        <f>IF('Economic Assumptions'!$B17+'Project Assumptions'!$D$15+'Project Assumptions'!$D$16-1='Detailed Cashflows'!CU$5,-'Economic Assumptions'!$C17*'Economic Assumptions'!$K17,0)</f>
        <v/>
      </c>
      <c r="CV43" s="301">
        <f>IF('Economic Assumptions'!$B17+'Project Assumptions'!$D$15+'Project Assumptions'!$D$16-1='Detailed Cashflows'!CV$5,-'Economic Assumptions'!$C17*'Economic Assumptions'!$K17,0)</f>
        <v/>
      </c>
      <c r="CW43" s="301">
        <f>IF('Economic Assumptions'!$B17+'Project Assumptions'!$D$15+'Project Assumptions'!$D$16-1='Detailed Cashflows'!CW$5,-'Economic Assumptions'!$C17*'Economic Assumptions'!$K17,0)</f>
        <v/>
      </c>
      <c r="CX43" s="301">
        <f>IF('Economic Assumptions'!$B17+'Project Assumptions'!$D$15+'Project Assumptions'!$D$16-1='Detailed Cashflows'!CX$5,-'Economic Assumptions'!$C17*'Economic Assumptions'!$K17,0)</f>
        <v/>
      </c>
      <c r="CY43" s="301">
        <f>IF('Economic Assumptions'!$B17+'Project Assumptions'!$D$15+'Project Assumptions'!$D$16-1='Detailed Cashflows'!CY$5,-'Economic Assumptions'!$C17*'Economic Assumptions'!$K17,0)</f>
        <v/>
      </c>
      <c r="CZ43" s="301">
        <f>IF('Economic Assumptions'!$B17+'Project Assumptions'!$D$15+'Project Assumptions'!$D$16-1='Detailed Cashflows'!CZ$5,-'Economic Assumptions'!$C17*'Economic Assumptions'!$K17,0)</f>
        <v/>
      </c>
      <c r="DA43" s="301">
        <f>IF('Economic Assumptions'!$B17+'Project Assumptions'!$D$15+'Project Assumptions'!$D$16-1='Detailed Cashflows'!DA$5,-'Economic Assumptions'!$C17*'Economic Assumptions'!$K17,0)</f>
        <v/>
      </c>
      <c r="DB43" s="301">
        <f>IF('Economic Assumptions'!$B17+'Project Assumptions'!$D$15+'Project Assumptions'!$D$16-1='Detailed Cashflows'!DB$5,-'Economic Assumptions'!$C17*'Economic Assumptions'!$K17,0)</f>
        <v/>
      </c>
      <c r="DC43" s="301" t="n"/>
      <c r="DD43" s="299">
        <f>SUM(F43:DB43)</f>
        <v/>
      </c>
    </row>
    <row r="44" hidden="1" outlineLevel="1" ht="14.1" customFormat="1" customHeight="1" s="302">
      <c r="A44" s="1000" t="n"/>
      <c r="B44" s="640">
        <f>'Economic Assumptions'!$A$18</f>
        <v/>
      </c>
      <c r="C44" s="298" t="n"/>
      <c r="D44" s="299">
        <f>DD44</f>
        <v/>
      </c>
      <c r="E44" s="300" t="n"/>
      <c r="F44" s="301">
        <f>IF('Economic Assumptions'!$B18+'Project Assumptions'!$D$15+'Project Assumptions'!$D$16-1='Detailed Cashflows'!F$5,-'Economic Assumptions'!$C18*'Economic Assumptions'!$K18,0)</f>
        <v/>
      </c>
      <c r="G44" s="301">
        <f>IF('Economic Assumptions'!$B18+'Project Assumptions'!$D$15+'Project Assumptions'!$D$16-1='Detailed Cashflows'!G$5,-'Economic Assumptions'!$C18*'Economic Assumptions'!$K18,0)</f>
        <v/>
      </c>
      <c r="H44" s="301">
        <f>IF('Economic Assumptions'!$B18+'Project Assumptions'!$D$15+'Project Assumptions'!$D$16-1='Detailed Cashflows'!H$5,-'Economic Assumptions'!$C18*'Economic Assumptions'!$K18,0)</f>
        <v/>
      </c>
      <c r="I44" s="301">
        <f>IF('Economic Assumptions'!$B18+'Project Assumptions'!$D$15+'Project Assumptions'!$D$16-1='Detailed Cashflows'!I$5,-'Economic Assumptions'!$C18*'Economic Assumptions'!$K18,0)</f>
        <v/>
      </c>
      <c r="J44" s="301">
        <f>IF('Economic Assumptions'!$B18+'Project Assumptions'!$D$15+'Project Assumptions'!$D$16-1='Detailed Cashflows'!J$5,-'Economic Assumptions'!$C18*'Economic Assumptions'!$K18,0)</f>
        <v/>
      </c>
      <c r="K44" s="301">
        <f>IF('Economic Assumptions'!$B18+'Project Assumptions'!$D$15+'Project Assumptions'!$D$16-1='Detailed Cashflows'!K$5,-'Economic Assumptions'!$C18*'Economic Assumptions'!$K18,0)</f>
        <v/>
      </c>
      <c r="L44" s="301">
        <f>IF('Economic Assumptions'!$B18+'Project Assumptions'!$D$15+'Project Assumptions'!$D$16-1='Detailed Cashflows'!L$5,-'Economic Assumptions'!$C18*'Economic Assumptions'!$K18,0)</f>
        <v/>
      </c>
      <c r="M44" s="301">
        <f>IF('Economic Assumptions'!$B18+'Project Assumptions'!$D$15+'Project Assumptions'!$D$16-1='Detailed Cashflows'!M$5,-'Economic Assumptions'!$C18*'Economic Assumptions'!$K18,0)</f>
        <v/>
      </c>
      <c r="N44" s="301">
        <f>IF('Economic Assumptions'!$B18+'Project Assumptions'!$D$15+'Project Assumptions'!$D$16-1='Detailed Cashflows'!N$5,-'Economic Assumptions'!$C18*'Economic Assumptions'!$K18,0)</f>
        <v/>
      </c>
      <c r="O44" s="301">
        <f>IF('Economic Assumptions'!$B18+'Project Assumptions'!$D$15+'Project Assumptions'!$D$16-1='Detailed Cashflows'!O$5,-'Economic Assumptions'!$C18*'Economic Assumptions'!$K18,0)</f>
        <v/>
      </c>
      <c r="P44" s="301">
        <f>IF('Economic Assumptions'!$B18+'Project Assumptions'!$D$15+'Project Assumptions'!$D$16-1='Detailed Cashflows'!P$5,-'Economic Assumptions'!$C18*'Economic Assumptions'!$K18,0)</f>
        <v/>
      </c>
      <c r="Q44" s="301">
        <f>IF('Economic Assumptions'!$B18+'Project Assumptions'!$D$15+'Project Assumptions'!$D$16-1='Detailed Cashflows'!Q$5,-'Economic Assumptions'!$C18*'Economic Assumptions'!$K18,0)</f>
        <v/>
      </c>
      <c r="R44" s="301">
        <f>IF('Economic Assumptions'!$B18+'Project Assumptions'!$D$15+'Project Assumptions'!$D$16-1='Detailed Cashflows'!R$5,-'Economic Assumptions'!$C18*'Economic Assumptions'!$K18,0)</f>
        <v/>
      </c>
      <c r="S44" s="301">
        <f>IF('Economic Assumptions'!$B18+'Project Assumptions'!$D$15+'Project Assumptions'!$D$16-1='Detailed Cashflows'!S$5,-'Economic Assumptions'!$C18*'Economic Assumptions'!$K18,0)</f>
        <v/>
      </c>
      <c r="T44" s="301">
        <f>IF('Economic Assumptions'!$B18+'Project Assumptions'!$D$15+'Project Assumptions'!$D$16-1='Detailed Cashflows'!T$5,-'Economic Assumptions'!$C18*'Economic Assumptions'!$K18,0)</f>
        <v/>
      </c>
      <c r="U44" s="301">
        <f>IF('Economic Assumptions'!$B18+'Project Assumptions'!$D$15+'Project Assumptions'!$D$16-1='Detailed Cashflows'!U$5,-'Economic Assumptions'!$C18*'Economic Assumptions'!$K18,0)</f>
        <v/>
      </c>
      <c r="V44" s="301">
        <f>IF('Economic Assumptions'!$B18+'Project Assumptions'!$D$15+'Project Assumptions'!$D$16-1='Detailed Cashflows'!V$5,-'Economic Assumptions'!$C18*'Economic Assumptions'!$K18,0)</f>
        <v/>
      </c>
      <c r="W44" s="301">
        <f>IF('Economic Assumptions'!$B18+'Project Assumptions'!$D$15+'Project Assumptions'!$D$16-1='Detailed Cashflows'!W$5,-'Economic Assumptions'!$C18*'Economic Assumptions'!$K18,0)</f>
        <v/>
      </c>
      <c r="X44" s="301">
        <f>IF('Economic Assumptions'!$B18+'Project Assumptions'!$D$15+'Project Assumptions'!$D$16-1='Detailed Cashflows'!X$5,-'Economic Assumptions'!$C18*'Economic Assumptions'!$K18,0)</f>
        <v/>
      </c>
      <c r="Y44" s="301">
        <f>IF('Economic Assumptions'!$B18+'Project Assumptions'!$D$15+'Project Assumptions'!$D$16-1='Detailed Cashflows'!Y$5,-'Economic Assumptions'!$C18*'Economic Assumptions'!$K18,0)</f>
        <v/>
      </c>
      <c r="Z44" s="301">
        <f>IF('Economic Assumptions'!$B18+'Project Assumptions'!$D$15+'Project Assumptions'!$D$16-1='Detailed Cashflows'!Z$5,-'Economic Assumptions'!$C18*'Economic Assumptions'!$K18,0)</f>
        <v/>
      </c>
      <c r="AA44" s="301">
        <f>IF('Economic Assumptions'!$B18+'Project Assumptions'!$D$15+'Project Assumptions'!$D$16-1='Detailed Cashflows'!AA$5,-'Economic Assumptions'!$C18*'Economic Assumptions'!$K18,0)</f>
        <v/>
      </c>
      <c r="AB44" s="301">
        <f>IF('Economic Assumptions'!$B18+'Project Assumptions'!$D$15+'Project Assumptions'!$D$16-1='Detailed Cashflows'!AB$5,-'Economic Assumptions'!$C18*'Economic Assumptions'!$K18,0)</f>
        <v/>
      </c>
      <c r="AC44" s="301">
        <f>IF('Economic Assumptions'!$B18+'Project Assumptions'!$D$15+'Project Assumptions'!$D$16-1='Detailed Cashflows'!AC$5,-'Economic Assumptions'!$C18*'Economic Assumptions'!$K18,0)</f>
        <v/>
      </c>
      <c r="AD44" s="301">
        <f>IF('Economic Assumptions'!$B18+'Project Assumptions'!$D$15+'Project Assumptions'!$D$16-1='Detailed Cashflows'!AD$5,-'Economic Assumptions'!$C18*'Economic Assumptions'!$K18,0)</f>
        <v/>
      </c>
      <c r="AE44" s="301">
        <f>IF('Economic Assumptions'!$B18+'Project Assumptions'!$D$15+'Project Assumptions'!$D$16-1='Detailed Cashflows'!AE$5,-'Economic Assumptions'!$C18*'Economic Assumptions'!$K18,0)</f>
        <v/>
      </c>
      <c r="AF44" s="301">
        <f>IF('Economic Assumptions'!$B18+'Project Assumptions'!$D$15+'Project Assumptions'!$D$16-1='Detailed Cashflows'!AF$5,-'Economic Assumptions'!$C18*'Economic Assumptions'!$K18,0)</f>
        <v/>
      </c>
      <c r="AG44" s="301">
        <f>IF('Economic Assumptions'!$B18+'Project Assumptions'!$D$15+'Project Assumptions'!$D$16-1='Detailed Cashflows'!AG$5,-'Economic Assumptions'!$C18*'Economic Assumptions'!$K18,0)</f>
        <v/>
      </c>
      <c r="AH44" s="301">
        <f>IF('Economic Assumptions'!$B18+'Project Assumptions'!$D$15+'Project Assumptions'!$D$16-1='Detailed Cashflows'!AH$5,-'Economic Assumptions'!$C18*'Economic Assumptions'!$K18,0)</f>
        <v/>
      </c>
      <c r="AI44" s="301">
        <f>IF('Economic Assumptions'!$B18+'Project Assumptions'!$D$15+'Project Assumptions'!$D$16-1='Detailed Cashflows'!AI$5,-'Economic Assumptions'!$C18*'Economic Assumptions'!$K18,0)</f>
        <v/>
      </c>
      <c r="AJ44" s="301">
        <f>IF('Economic Assumptions'!$B18+'Project Assumptions'!$D$15+'Project Assumptions'!$D$16-1='Detailed Cashflows'!AJ$5,-'Economic Assumptions'!$C18*'Economic Assumptions'!$K18,0)</f>
        <v/>
      </c>
      <c r="AK44" s="301">
        <f>IF('Economic Assumptions'!$B18+'Project Assumptions'!$D$15+'Project Assumptions'!$D$16-1='Detailed Cashflows'!AK$5,-'Economic Assumptions'!$C18*'Economic Assumptions'!$K18,0)</f>
        <v/>
      </c>
      <c r="AL44" s="301">
        <f>IF('Economic Assumptions'!$B18+'Project Assumptions'!$D$15+'Project Assumptions'!$D$16-1='Detailed Cashflows'!AL$5,-'Economic Assumptions'!$C18*'Economic Assumptions'!$K18,0)</f>
        <v/>
      </c>
      <c r="AM44" s="301">
        <f>IF('Economic Assumptions'!$B18+'Project Assumptions'!$D$15+'Project Assumptions'!$D$16-1='Detailed Cashflows'!AM$5,-'Economic Assumptions'!$C18*'Economic Assumptions'!$K18,0)</f>
        <v/>
      </c>
      <c r="AN44" s="301">
        <f>IF('Economic Assumptions'!$B18+'Project Assumptions'!$D$15+'Project Assumptions'!$D$16-1='Detailed Cashflows'!AN$5,-'Economic Assumptions'!$C18*'Economic Assumptions'!$K18,0)</f>
        <v/>
      </c>
      <c r="AO44" s="301">
        <f>IF('Economic Assumptions'!$B18+'Project Assumptions'!$D$15+'Project Assumptions'!$D$16-1='Detailed Cashflows'!AO$5,-'Economic Assumptions'!$C18*'Economic Assumptions'!$K18,0)</f>
        <v/>
      </c>
      <c r="AP44" s="301">
        <f>IF('Economic Assumptions'!$B18+'Project Assumptions'!$D$15+'Project Assumptions'!$D$16-1='Detailed Cashflows'!AP$5,-'Economic Assumptions'!$C18*'Economic Assumptions'!$K18,0)</f>
        <v/>
      </c>
      <c r="AQ44" s="301">
        <f>IF('Economic Assumptions'!$B18+'Project Assumptions'!$D$15+'Project Assumptions'!$D$16-1='Detailed Cashflows'!AQ$5,-'Economic Assumptions'!$C18*'Economic Assumptions'!$K18,0)</f>
        <v/>
      </c>
      <c r="AR44" s="301">
        <f>IF('Economic Assumptions'!$B18+'Project Assumptions'!$D$15+'Project Assumptions'!$D$16-1='Detailed Cashflows'!AR$5,-'Economic Assumptions'!$C18*'Economic Assumptions'!$K18,0)</f>
        <v/>
      </c>
      <c r="AS44" s="301">
        <f>IF('Economic Assumptions'!$B18+'Project Assumptions'!$D$15+'Project Assumptions'!$D$16-1='Detailed Cashflows'!AS$5,-'Economic Assumptions'!$C18*'Economic Assumptions'!$K18,0)</f>
        <v/>
      </c>
      <c r="AT44" s="301">
        <f>IF('Economic Assumptions'!$B18+'Project Assumptions'!$D$15+'Project Assumptions'!$D$16-1='Detailed Cashflows'!AT$5,-'Economic Assumptions'!$C18*'Economic Assumptions'!$K18,0)</f>
        <v/>
      </c>
      <c r="AU44" s="301">
        <f>IF('Economic Assumptions'!$B18+'Project Assumptions'!$D$15+'Project Assumptions'!$D$16-1='Detailed Cashflows'!AU$5,-'Economic Assumptions'!$C18*'Economic Assumptions'!$K18,0)</f>
        <v/>
      </c>
      <c r="AV44" s="301">
        <f>IF('Economic Assumptions'!$B18+'Project Assumptions'!$D$15+'Project Assumptions'!$D$16-1='Detailed Cashflows'!AV$5,-'Economic Assumptions'!$C18*'Economic Assumptions'!$K18,0)</f>
        <v/>
      </c>
      <c r="AW44" s="301">
        <f>IF('Economic Assumptions'!$B18+'Project Assumptions'!$D$15+'Project Assumptions'!$D$16-1='Detailed Cashflows'!AW$5,-'Economic Assumptions'!$C18*'Economic Assumptions'!$K18,0)</f>
        <v/>
      </c>
      <c r="AX44" s="301">
        <f>IF('Economic Assumptions'!$B18+'Project Assumptions'!$D$15+'Project Assumptions'!$D$16-1='Detailed Cashflows'!AX$5,-'Economic Assumptions'!$C18*'Economic Assumptions'!$K18,0)</f>
        <v/>
      </c>
      <c r="AY44" s="301">
        <f>IF('Economic Assumptions'!$B18+'Project Assumptions'!$D$15+'Project Assumptions'!$D$16-1='Detailed Cashflows'!AY$5,-'Economic Assumptions'!$C18*'Economic Assumptions'!$K18,0)</f>
        <v/>
      </c>
      <c r="AZ44" s="301">
        <f>IF('Economic Assumptions'!$B18+'Project Assumptions'!$D$15+'Project Assumptions'!$D$16-1='Detailed Cashflows'!AZ$5,-'Economic Assumptions'!$C18*'Economic Assumptions'!$K18,0)</f>
        <v/>
      </c>
      <c r="BA44" s="301">
        <f>IF('Economic Assumptions'!$B18+'Project Assumptions'!$D$15+'Project Assumptions'!$D$16-1='Detailed Cashflows'!BA$5,-'Economic Assumptions'!$C18*'Economic Assumptions'!$K18,0)</f>
        <v/>
      </c>
      <c r="BB44" s="301">
        <f>IF('Economic Assumptions'!$B18+'Project Assumptions'!$D$15+'Project Assumptions'!$D$16-1='Detailed Cashflows'!BB$5,-'Economic Assumptions'!$C18*'Economic Assumptions'!$K18,0)</f>
        <v/>
      </c>
      <c r="BC44" s="301">
        <f>IF('Economic Assumptions'!$B18+'Project Assumptions'!$D$15+'Project Assumptions'!$D$16-1='Detailed Cashflows'!BC$5,-'Economic Assumptions'!$C18*'Economic Assumptions'!$K18,0)</f>
        <v/>
      </c>
      <c r="BD44" s="301">
        <f>IF('Economic Assumptions'!$B18+'Project Assumptions'!$D$15+'Project Assumptions'!$D$16-1='Detailed Cashflows'!BD$5,-'Economic Assumptions'!$C18*'Economic Assumptions'!$K18,0)</f>
        <v/>
      </c>
      <c r="BE44" s="301">
        <f>IF('Economic Assumptions'!$B18+'Project Assumptions'!$D$15+'Project Assumptions'!$D$16-1='Detailed Cashflows'!BE$5,-'Economic Assumptions'!$C18*'Economic Assumptions'!$K18,0)</f>
        <v/>
      </c>
      <c r="BF44" s="301">
        <f>IF('Economic Assumptions'!$B18+'Project Assumptions'!$D$15+'Project Assumptions'!$D$16-1='Detailed Cashflows'!BF$5,-'Economic Assumptions'!$C18*'Economic Assumptions'!$K18,0)</f>
        <v/>
      </c>
      <c r="BG44" s="301">
        <f>IF('Economic Assumptions'!$B18+'Project Assumptions'!$D$15+'Project Assumptions'!$D$16-1='Detailed Cashflows'!BG$5,-'Economic Assumptions'!$C18*'Economic Assumptions'!$K18,0)</f>
        <v/>
      </c>
      <c r="BH44" s="301">
        <f>IF('Economic Assumptions'!$B18+'Project Assumptions'!$D$15+'Project Assumptions'!$D$16-1='Detailed Cashflows'!BH$5,-'Economic Assumptions'!$C18*'Economic Assumptions'!$K18,0)</f>
        <v/>
      </c>
      <c r="BI44" s="301">
        <f>IF('Economic Assumptions'!$B18+'Project Assumptions'!$D$15+'Project Assumptions'!$D$16-1='Detailed Cashflows'!BI$5,-'Economic Assumptions'!$C18*'Economic Assumptions'!$K18,0)</f>
        <v/>
      </c>
      <c r="BJ44" s="301">
        <f>IF('Economic Assumptions'!$B18+'Project Assumptions'!$D$15+'Project Assumptions'!$D$16-1='Detailed Cashflows'!BJ$5,-'Economic Assumptions'!$C18*'Economic Assumptions'!$K18,0)</f>
        <v/>
      </c>
      <c r="BK44" s="301">
        <f>IF('Economic Assumptions'!$B18+'Project Assumptions'!$D$15+'Project Assumptions'!$D$16-1='Detailed Cashflows'!BK$5,-'Economic Assumptions'!$C18*'Economic Assumptions'!$K18,0)</f>
        <v/>
      </c>
      <c r="BL44" s="301">
        <f>IF('Economic Assumptions'!$B18+'Project Assumptions'!$D$15+'Project Assumptions'!$D$16-1='Detailed Cashflows'!BL$5,-'Economic Assumptions'!$C18*'Economic Assumptions'!$K18,0)</f>
        <v/>
      </c>
      <c r="BM44" s="301">
        <f>IF('Economic Assumptions'!$B18+'Project Assumptions'!$D$15+'Project Assumptions'!$D$16-1='Detailed Cashflows'!BM$5,-'Economic Assumptions'!$C18*'Economic Assumptions'!$K18,0)</f>
        <v/>
      </c>
      <c r="BN44" s="301">
        <f>IF('Economic Assumptions'!$B18+'Project Assumptions'!$D$15+'Project Assumptions'!$D$16-1='Detailed Cashflows'!BN$5,-'Economic Assumptions'!$C18*'Economic Assumptions'!$K18,0)</f>
        <v/>
      </c>
      <c r="BO44" s="301">
        <f>IF('Economic Assumptions'!$B18+'Project Assumptions'!$D$15+'Project Assumptions'!$D$16-1='Detailed Cashflows'!BO$5,-'Economic Assumptions'!$C18*'Economic Assumptions'!$K18,0)</f>
        <v/>
      </c>
      <c r="BP44" s="301">
        <f>IF('Economic Assumptions'!$B18+'Project Assumptions'!$D$15+'Project Assumptions'!$D$16-1='Detailed Cashflows'!BP$5,-'Economic Assumptions'!$C18*'Economic Assumptions'!$K18,0)</f>
        <v/>
      </c>
      <c r="BQ44" s="301">
        <f>IF('Economic Assumptions'!$B18+'Project Assumptions'!$D$15+'Project Assumptions'!$D$16-1='Detailed Cashflows'!BQ$5,-'Economic Assumptions'!$C18*'Economic Assumptions'!$K18,0)</f>
        <v/>
      </c>
      <c r="BR44" s="301">
        <f>IF('Economic Assumptions'!$B18+'Project Assumptions'!$D$15+'Project Assumptions'!$D$16-1='Detailed Cashflows'!BR$5,-'Economic Assumptions'!$C18*'Economic Assumptions'!$K18,0)</f>
        <v/>
      </c>
      <c r="BS44" s="301">
        <f>IF('Economic Assumptions'!$B18+'Project Assumptions'!$D$15+'Project Assumptions'!$D$16-1='Detailed Cashflows'!BS$5,-'Economic Assumptions'!$C18*'Economic Assumptions'!$K18,0)</f>
        <v/>
      </c>
      <c r="BT44" s="301">
        <f>IF('Economic Assumptions'!$B18+'Project Assumptions'!$D$15+'Project Assumptions'!$D$16-1='Detailed Cashflows'!BT$5,-'Economic Assumptions'!$C18*'Economic Assumptions'!$K18,0)</f>
        <v/>
      </c>
      <c r="BU44" s="301">
        <f>IF('Economic Assumptions'!$B18+'Project Assumptions'!$D$15+'Project Assumptions'!$D$16-1='Detailed Cashflows'!BU$5,-'Economic Assumptions'!$C18*'Economic Assumptions'!$K18,0)</f>
        <v/>
      </c>
      <c r="BV44" s="301">
        <f>IF('Economic Assumptions'!$B18+'Project Assumptions'!$D$15+'Project Assumptions'!$D$16-1='Detailed Cashflows'!BV$5,-'Economic Assumptions'!$C18*'Economic Assumptions'!$K18,0)</f>
        <v/>
      </c>
      <c r="BW44" s="301">
        <f>IF('Economic Assumptions'!$B18+'Project Assumptions'!$D$15+'Project Assumptions'!$D$16-1='Detailed Cashflows'!BW$5,-'Economic Assumptions'!$C18*'Economic Assumptions'!$K18,0)</f>
        <v/>
      </c>
      <c r="BX44" s="301">
        <f>IF('Economic Assumptions'!$B18+'Project Assumptions'!$D$15+'Project Assumptions'!$D$16-1='Detailed Cashflows'!BX$5,-'Economic Assumptions'!$C18*'Economic Assumptions'!$K18,0)</f>
        <v/>
      </c>
      <c r="BY44" s="301">
        <f>IF('Economic Assumptions'!$B18+'Project Assumptions'!$D$15+'Project Assumptions'!$D$16-1='Detailed Cashflows'!BY$5,-'Economic Assumptions'!$C18*'Economic Assumptions'!$K18,0)</f>
        <v/>
      </c>
      <c r="BZ44" s="301">
        <f>IF('Economic Assumptions'!$B18+'Project Assumptions'!$D$15+'Project Assumptions'!$D$16-1='Detailed Cashflows'!BZ$5,-'Economic Assumptions'!$C18*'Economic Assumptions'!$K18,0)</f>
        <v/>
      </c>
      <c r="CA44" s="301">
        <f>IF('Economic Assumptions'!$B18+'Project Assumptions'!$D$15+'Project Assumptions'!$D$16-1='Detailed Cashflows'!CA$5,-'Economic Assumptions'!$C18*'Economic Assumptions'!$K18,0)</f>
        <v/>
      </c>
      <c r="CB44" s="301">
        <f>IF('Economic Assumptions'!$B18+'Project Assumptions'!$D$15+'Project Assumptions'!$D$16-1='Detailed Cashflows'!CB$5,-'Economic Assumptions'!$C18*'Economic Assumptions'!$K18,0)</f>
        <v/>
      </c>
      <c r="CC44" s="301">
        <f>IF('Economic Assumptions'!$B18+'Project Assumptions'!$D$15+'Project Assumptions'!$D$16-1='Detailed Cashflows'!CC$5,-'Economic Assumptions'!$C18*'Economic Assumptions'!$K18,0)</f>
        <v/>
      </c>
      <c r="CD44" s="301">
        <f>IF('Economic Assumptions'!$B18+'Project Assumptions'!$D$15+'Project Assumptions'!$D$16-1='Detailed Cashflows'!CD$5,-'Economic Assumptions'!$C18*'Economic Assumptions'!$K18,0)</f>
        <v/>
      </c>
      <c r="CE44" s="301">
        <f>IF('Economic Assumptions'!$B18+'Project Assumptions'!$D$15+'Project Assumptions'!$D$16-1='Detailed Cashflows'!CE$5,-'Economic Assumptions'!$C18*'Economic Assumptions'!$K18,0)</f>
        <v/>
      </c>
      <c r="CF44" s="301">
        <f>IF('Economic Assumptions'!$B18+'Project Assumptions'!$D$15+'Project Assumptions'!$D$16-1='Detailed Cashflows'!CF$5,-'Economic Assumptions'!$C18*'Economic Assumptions'!$K18,0)</f>
        <v/>
      </c>
      <c r="CG44" s="301">
        <f>IF('Economic Assumptions'!$B18+'Project Assumptions'!$D$15+'Project Assumptions'!$D$16-1='Detailed Cashflows'!CG$5,-'Economic Assumptions'!$C18*'Economic Assumptions'!$K18,0)</f>
        <v/>
      </c>
      <c r="CH44" s="301">
        <f>IF('Economic Assumptions'!$B18+'Project Assumptions'!$D$15+'Project Assumptions'!$D$16-1='Detailed Cashflows'!CH$5,-'Economic Assumptions'!$C18*'Economic Assumptions'!$K18,0)</f>
        <v/>
      </c>
      <c r="CI44" s="301">
        <f>IF('Economic Assumptions'!$B18+'Project Assumptions'!$D$15+'Project Assumptions'!$D$16-1='Detailed Cashflows'!CI$5,-'Economic Assumptions'!$C18*'Economic Assumptions'!$K18,0)</f>
        <v/>
      </c>
      <c r="CJ44" s="301">
        <f>IF('Economic Assumptions'!$B18+'Project Assumptions'!$D$15+'Project Assumptions'!$D$16-1='Detailed Cashflows'!CJ$5,-'Economic Assumptions'!$C18*'Economic Assumptions'!$K18,0)</f>
        <v/>
      </c>
      <c r="CK44" s="301">
        <f>IF('Economic Assumptions'!$B18+'Project Assumptions'!$D$15+'Project Assumptions'!$D$16-1='Detailed Cashflows'!CK$5,-'Economic Assumptions'!$C18*'Economic Assumptions'!$K18,0)</f>
        <v/>
      </c>
      <c r="CL44" s="301">
        <f>IF('Economic Assumptions'!$B18+'Project Assumptions'!$D$15+'Project Assumptions'!$D$16-1='Detailed Cashflows'!CL$5,-'Economic Assumptions'!$C18*'Economic Assumptions'!$K18,0)</f>
        <v/>
      </c>
      <c r="CM44" s="301">
        <f>IF('Economic Assumptions'!$B18+'Project Assumptions'!$D$15+'Project Assumptions'!$D$16-1='Detailed Cashflows'!CM$5,-'Economic Assumptions'!$C18*'Economic Assumptions'!$K18,0)</f>
        <v/>
      </c>
      <c r="CN44" s="301">
        <f>IF('Economic Assumptions'!$B18+'Project Assumptions'!$D$15+'Project Assumptions'!$D$16-1='Detailed Cashflows'!CN$5,-'Economic Assumptions'!$C18*'Economic Assumptions'!$K18,0)</f>
        <v/>
      </c>
      <c r="CO44" s="301">
        <f>IF('Economic Assumptions'!$B18+'Project Assumptions'!$D$15+'Project Assumptions'!$D$16-1='Detailed Cashflows'!CO$5,-'Economic Assumptions'!$C18*'Economic Assumptions'!$K18,0)</f>
        <v/>
      </c>
      <c r="CP44" s="301">
        <f>IF('Economic Assumptions'!$B18+'Project Assumptions'!$D$15+'Project Assumptions'!$D$16-1='Detailed Cashflows'!CP$5,-'Economic Assumptions'!$C18*'Economic Assumptions'!$K18,0)</f>
        <v/>
      </c>
      <c r="CQ44" s="301">
        <f>IF('Economic Assumptions'!$B18+'Project Assumptions'!$D$15+'Project Assumptions'!$D$16-1='Detailed Cashflows'!CQ$5,-'Economic Assumptions'!$C18*'Economic Assumptions'!$K18,0)</f>
        <v/>
      </c>
      <c r="CR44" s="301">
        <f>IF('Economic Assumptions'!$B18+'Project Assumptions'!$D$15+'Project Assumptions'!$D$16-1='Detailed Cashflows'!CR$5,-'Economic Assumptions'!$C18*'Economic Assumptions'!$K18,0)</f>
        <v/>
      </c>
      <c r="CS44" s="301">
        <f>IF('Economic Assumptions'!$B18+'Project Assumptions'!$D$15+'Project Assumptions'!$D$16-1='Detailed Cashflows'!CS$5,-'Economic Assumptions'!$C18*'Economic Assumptions'!$K18,0)</f>
        <v/>
      </c>
      <c r="CT44" s="301">
        <f>IF('Economic Assumptions'!$B18+'Project Assumptions'!$D$15+'Project Assumptions'!$D$16-1='Detailed Cashflows'!CT$5,-'Economic Assumptions'!$C18*'Economic Assumptions'!$K18,0)</f>
        <v/>
      </c>
      <c r="CU44" s="301">
        <f>IF('Economic Assumptions'!$B18+'Project Assumptions'!$D$15+'Project Assumptions'!$D$16-1='Detailed Cashflows'!CU$5,-'Economic Assumptions'!$C18*'Economic Assumptions'!$K18,0)</f>
        <v/>
      </c>
      <c r="CV44" s="301">
        <f>IF('Economic Assumptions'!$B18+'Project Assumptions'!$D$15+'Project Assumptions'!$D$16-1='Detailed Cashflows'!CV$5,-'Economic Assumptions'!$C18*'Economic Assumptions'!$K18,0)</f>
        <v/>
      </c>
      <c r="CW44" s="301">
        <f>IF('Economic Assumptions'!$B18+'Project Assumptions'!$D$15+'Project Assumptions'!$D$16-1='Detailed Cashflows'!CW$5,-'Economic Assumptions'!$C18*'Economic Assumptions'!$K18,0)</f>
        <v/>
      </c>
      <c r="CX44" s="301">
        <f>IF('Economic Assumptions'!$B18+'Project Assumptions'!$D$15+'Project Assumptions'!$D$16-1='Detailed Cashflows'!CX$5,-'Economic Assumptions'!$C18*'Economic Assumptions'!$K18,0)</f>
        <v/>
      </c>
      <c r="CY44" s="301">
        <f>IF('Economic Assumptions'!$B18+'Project Assumptions'!$D$15+'Project Assumptions'!$D$16-1='Detailed Cashflows'!CY$5,-'Economic Assumptions'!$C18*'Economic Assumptions'!$K18,0)</f>
        <v/>
      </c>
      <c r="CZ44" s="301">
        <f>IF('Economic Assumptions'!$B18+'Project Assumptions'!$D$15+'Project Assumptions'!$D$16-1='Detailed Cashflows'!CZ$5,-'Economic Assumptions'!$C18*'Economic Assumptions'!$K18,0)</f>
        <v/>
      </c>
      <c r="DA44" s="301">
        <f>IF('Economic Assumptions'!$B18+'Project Assumptions'!$D$15+'Project Assumptions'!$D$16-1='Detailed Cashflows'!DA$5,-'Economic Assumptions'!$C18*'Economic Assumptions'!$K18,0)</f>
        <v/>
      </c>
      <c r="DB44" s="301">
        <f>IF('Economic Assumptions'!$B18+'Project Assumptions'!$D$15+'Project Assumptions'!$D$16-1='Detailed Cashflows'!DB$5,-'Economic Assumptions'!$C18*'Economic Assumptions'!$K18,0)</f>
        <v/>
      </c>
      <c r="DC44" s="301" t="n"/>
      <c r="DD44" s="299">
        <f>SUM(F44:DB44)</f>
        <v/>
      </c>
    </row>
    <row r="45" hidden="1" outlineLevel="1" ht="14.1" customFormat="1" customHeight="1" s="302">
      <c r="A45" s="1000" t="n"/>
      <c r="B45" s="640">
        <f>'Economic Assumptions'!$A$19</f>
        <v/>
      </c>
      <c r="C45" s="298" t="n"/>
      <c r="D45" s="299">
        <f>DD45</f>
        <v/>
      </c>
      <c r="E45" s="300" t="n"/>
      <c r="F45" s="301">
        <f>IF('Economic Assumptions'!$B19+'Project Assumptions'!$D$15+'Project Assumptions'!$D$16-1='Detailed Cashflows'!F$5,-'Economic Assumptions'!$C19*'Economic Assumptions'!$K19,0)</f>
        <v/>
      </c>
      <c r="G45" s="301">
        <f>IF('Economic Assumptions'!$B19+'Project Assumptions'!$D$15+'Project Assumptions'!$D$16-1='Detailed Cashflows'!G$5,-'Economic Assumptions'!$C19*'Economic Assumptions'!$K19,0)</f>
        <v/>
      </c>
      <c r="H45" s="301">
        <f>IF('Economic Assumptions'!$B19+'Project Assumptions'!$D$15+'Project Assumptions'!$D$16-1='Detailed Cashflows'!H$5,-'Economic Assumptions'!$C19*'Economic Assumptions'!$K19,0)</f>
        <v/>
      </c>
      <c r="I45" s="301">
        <f>IF('Economic Assumptions'!$B19+'Project Assumptions'!$D$15+'Project Assumptions'!$D$16-1='Detailed Cashflows'!I$5,-'Economic Assumptions'!$C19*'Economic Assumptions'!$K19,0)</f>
        <v/>
      </c>
      <c r="J45" s="301">
        <f>IF('Economic Assumptions'!$B19+'Project Assumptions'!$D$15+'Project Assumptions'!$D$16-1='Detailed Cashflows'!J$5,-'Economic Assumptions'!$C19*'Economic Assumptions'!$K19,0)</f>
        <v/>
      </c>
      <c r="K45" s="301">
        <f>IF('Economic Assumptions'!$B19+'Project Assumptions'!$D$15+'Project Assumptions'!$D$16-1='Detailed Cashflows'!K$5,-'Economic Assumptions'!$C19*'Economic Assumptions'!$K19,0)</f>
        <v/>
      </c>
      <c r="L45" s="301">
        <f>IF('Economic Assumptions'!$B19+'Project Assumptions'!$D$15+'Project Assumptions'!$D$16-1='Detailed Cashflows'!L$5,-'Economic Assumptions'!$C19*'Economic Assumptions'!$K19,0)</f>
        <v/>
      </c>
      <c r="M45" s="301">
        <f>IF('Economic Assumptions'!$B19+'Project Assumptions'!$D$15+'Project Assumptions'!$D$16-1='Detailed Cashflows'!M$5,-'Economic Assumptions'!$C19*'Economic Assumptions'!$K19,0)</f>
        <v/>
      </c>
      <c r="N45" s="301">
        <f>IF('Economic Assumptions'!$B19+'Project Assumptions'!$D$15+'Project Assumptions'!$D$16-1='Detailed Cashflows'!N$5,-'Economic Assumptions'!$C19*'Economic Assumptions'!$K19,0)</f>
        <v/>
      </c>
      <c r="O45" s="301">
        <f>IF('Economic Assumptions'!$B19+'Project Assumptions'!$D$15+'Project Assumptions'!$D$16-1='Detailed Cashflows'!O$5,-'Economic Assumptions'!$C19*'Economic Assumptions'!$K19,0)</f>
        <v/>
      </c>
      <c r="P45" s="301">
        <f>IF('Economic Assumptions'!$B19+'Project Assumptions'!$D$15+'Project Assumptions'!$D$16-1='Detailed Cashflows'!P$5,-'Economic Assumptions'!$C19*'Economic Assumptions'!$K19,0)</f>
        <v/>
      </c>
      <c r="Q45" s="301">
        <f>IF('Economic Assumptions'!$B19+'Project Assumptions'!$D$15+'Project Assumptions'!$D$16-1='Detailed Cashflows'!Q$5,-'Economic Assumptions'!$C19*'Economic Assumptions'!$K19,0)</f>
        <v/>
      </c>
      <c r="R45" s="301">
        <f>IF('Economic Assumptions'!$B19+'Project Assumptions'!$D$15+'Project Assumptions'!$D$16-1='Detailed Cashflows'!R$5,-'Economic Assumptions'!$C19*'Economic Assumptions'!$K19,0)</f>
        <v/>
      </c>
      <c r="S45" s="301">
        <f>IF('Economic Assumptions'!$B19+'Project Assumptions'!$D$15+'Project Assumptions'!$D$16-1='Detailed Cashflows'!S$5,-'Economic Assumptions'!$C19*'Economic Assumptions'!$K19,0)</f>
        <v/>
      </c>
      <c r="T45" s="301">
        <f>IF('Economic Assumptions'!$B19+'Project Assumptions'!$D$15+'Project Assumptions'!$D$16-1='Detailed Cashflows'!T$5,-'Economic Assumptions'!$C19*'Economic Assumptions'!$K19,0)</f>
        <v/>
      </c>
      <c r="U45" s="301">
        <f>IF('Economic Assumptions'!$B19+'Project Assumptions'!$D$15+'Project Assumptions'!$D$16-1='Detailed Cashflows'!U$5,-'Economic Assumptions'!$C19*'Economic Assumptions'!$K19,0)</f>
        <v/>
      </c>
      <c r="V45" s="301">
        <f>IF('Economic Assumptions'!$B19+'Project Assumptions'!$D$15+'Project Assumptions'!$D$16-1='Detailed Cashflows'!V$5,-'Economic Assumptions'!$C19*'Economic Assumptions'!$K19,0)</f>
        <v/>
      </c>
      <c r="W45" s="301">
        <f>IF('Economic Assumptions'!$B19+'Project Assumptions'!$D$15+'Project Assumptions'!$D$16-1='Detailed Cashflows'!W$5,-'Economic Assumptions'!$C19*'Economic Assumptions'!$K19,0)</f>
        <v/>
      </c>
      <c r="X45" s="301">
        <f>IF('Economic Assumptions'!$B19+'Project Assumptions'!$D$15+'Project Assumptions'!$D$16-1='Detailed Cashflows'!X$5,-'Economic Assumptions'!$C19*'Economic Assumptions'!$K19,0)</f>
        <v/>
      </c>
      <c r="Y45" s="301">
        <f>IF('Economic Assumptions'!$B19+'Project Assumptions'!$D$15+'Project Assumptions'!$D$16-1='Detailed Cashflows'!Y$5,-'Economic Assumptions'!$C19*'Economic Assumptions'!$K19,0)</f>
        <v/>
      </c>
      <c r="Z45" s="301">
        <f>IF('Economic Assumptions'!$B19+'Project Assumptions'!$D$15+'Project Assumptions'!$D$16-1='Detailed Cashflows'!Z$5,-'Economic Assumptions'!$C19*'Economic Assumptions'!$K19,0)</f>
        <v/>
      </c>
      <c r="AA45" s="301">
        <f>IF('Economic Assumptions'!$B19+'Project Assumptions'!$D$15+'Project Assumptions'!$D$16-1='Detailed Cashflows'!AA$5,-'Economic Assumptions'!$C19*'Economic Assumptions'!$K19,0)</f>
        <v/>
      </c>
      <c r="AB45" s="301">
        <f>IF('Economic Assumptions'!$B19+'Project Assumptions'!$D$15+'Project Assumptions'!$D$16-1='Detailed Cashflows'!AB$5,-'Economic Assumptions'!$C19*'Economic Assumptions'!$K19,0)</f>
        <v/>
      </c>
      <c r="AC45" s="301">
        <f>IF('Economic Assumptions'!$B19+'Project Assumptions'!$D$15+'Project Assumptions'!$D$16-1='Detailed Cashflows'!AC$5,-'Economic Assumptions'!$C19*'Economic Assumptions'!$K19,0)</f>
        <v/>
      </c>
      <c r="AD45" s="301">
        <f>IF('Economic Assumptions'!$B19+'Project Assumptions'!$D$15+'Project Assumptions'!$D$16-1='Detailed Cashflows'!AD$5,-'Economic Assumptions'!$C19*'Economic Assumptions'!$K19,0)</f>
        <v/>
      </c>
      <c r="AE45" s="301">
        <f>IF('Economic Assumptions'!$B19+'Project Assumptions'!$D$15+'Project Assumptions'!$D$16-1='Detailed Cashflows'!AE$5,-'Economic Assumptions'!$C19*'Economic Assumptions'!$K19,0)</f>
        <v/>
      </c>
      <c r="AF45" s="301">
        <f>IF('Economic Assumptions'!$B19+'Project Assumptions'!$D$15+'Project Assumptions'!$D$16-1='Detailed Cashflows'!AF$5,-'Economic Assumptions'!$C19*'Economic Assumptions'!$K19,0)</f>
        <v/>
      </c>
      <c r="AG45" s="301">
        <f>IF('Economic Assumptions'!$B19+'Project Assumptions'!$D$15+'Project Assumptions'!$D$16-1='Detailed Cashflows'!AG$5,-'Economic Assumptions'!$C19*'Economic Assumptions'!$K19,0)</f>
        <v/>
      </c>
      <c r="AH45" s="301">
        <f>IF('Economic Assumptions'!$B19+'Project Assumptions'!$D$15+'Project Assumptions'!$D$16-1='Detailed Cashflows'!AH$5,-'Economic Assumptions'!$C19*'Economic Assumptions'!$K19,0)</f>
        <v/>
      </c>
      <c r="AI45" s="301">
        <f>IF('Economic Assumptions'!$B19+'Project Assumptions'!$D$15+'Project Assumptions'!$D$16-1='Detailed Cashflows'!AI$5,-'Economic Assumptions'!$C19*'Economic Assumptions'!$K19,0)</f>
        <v/>
      </c>
      <c r="AJ45" s="301">
        <f>IF('Economic Assumptions'!$B19+'Project Assumptions'!$D$15+'Project Assumptions'!$D$16-1='Detailed Cashflows'!AJ$5,-'Economic Assumptions'!$C19*'Economic Assumptions'!$K19,0)</f>
        <v/>
      </c>
      <c r="AK45" s="301">
        <f>IF('Economic Assumptions'!$B19+'Project Assumptions'!$D$15+'Project Assumptions'!$D$16-1='Detailed Cashflows'!AK$5,-'Economic Assumptions'!$C19*'Economic Assumptions'!$K19,0)</f>
        <v/>
      </c>
      <c r="AL45" s="301">
        <f>IF('Economic Assumptions'!$B19+'Project Assumptions'!$D$15+'Project Assumptions'!$D$16-1='Detailed Cashflows'!AL$5,-'Economic Assumptions'!$C19*'Economic Assumptions'!$K19,0)</f>
        <v/>
      </c>
      <c r="AM45" s="301">
        <f>IF('Economic Assumptions'!$B19+'Project Assumptions'!$D$15+'Project Assumptions'!$D$16-1='Detailed Cashflows'!AM$5,-'Economic Assumptions'!$C19*'Economic Assumptions'!$K19,0)</f>
        <v/>
      </c>
      <c r="AN45" s="301">
        <f>IF('Economic Assumptions'!$B19+'Project Assumptions'!$D$15+'Project Assumptions'!$D$16-1='Detailed Cashflows'!AN$5,-'Economic Assumptions'!$C19*'Economic Assumptions'!$K19,0)</f>
        <v/>
      </c>
      <c r="AO45" s="301">
        <f>IF('Economic Assumptions'!$B19+'Project Assumptions'!$D$15+'Project Assumptions'!$D$16-1='Detailed Cashflows'!AO$5,-'Economic Assumptions'!$C19*'Economic Assumptions'!$K19,0)</f>
        <v/>
      </c>
      <c r="AP45" s="301">
        <f>IF('Economic Assumptions'!$B19+'Project Assumptions'!$D$15+'Project Assumptions'!$D$16-1='Detailed Cashflows'!AP$5,-'Economic Assumptions'!$C19*'Economic Assumptions'!$K19,0)</f>
        <v/>
      </c>
      <c r="AQ45" s="301">
        <f>IF('Economic Assumptions'!$B19+'Project Assumptions'!$D$15+'Project Assumptions'!$D$16-1='Detailed Cashflows'!AQ$5,-'Economic Assumptions'!$C19*'Economic Assumptions'!$K19,0)</f>
        <v/>
      </c>
      <c r="AR45" s="301">
        <f>IF('Economic Assumptions'!$B19+'Project Assumptions'!$D$15+'Project Assumptions'!$D$16-1='Detailed Cashflows'!AR$5,-'Economic Assumptions'!$C19*'Economic Assumptions'!$K19,0)</f>
        <v/>
      </c>
      <c r="AS45" s="301">
        <f>IF('Economic Assumptions'!$B19+'Project Assumptions'!$D$15+'Project Assumptions'!$D$16-1='Detailed Cashflows'!AS$5,-'Economic Assumptions'!$C19*'Economic Assumptions'!$K19,0)</f>
        <v/>
      </c>
      <c r="AT45" s="301">
        <f>IF('Economic Assumptions'!$B19+'Project Assumptions'!$D$15+'Project Assumptions'!$D$16-1='Detailed Cashflows'!AT$5,-'Economic Assumptions'!$C19*'Economic Assumptions'!$K19,0)</f>
        <v/>
      </c>
      <c r="AU45" s="301">
        <f>IF('Economic Assumptions'!$B19+'Project Assumptions'!$D$15+'Project Assumptions'!$D$16-1='Detailed Cashflows'!AU$5,-'Economic Assumptions'!$C19*'Economic Assumptions'!$K19,0)</f>
        <v/>
      </c>
      <c r="AV45" s="301">
        <f>IF('Economic Assumptions'!$B19+'Project Assumptions'!$D$15+'Project Assumptions'!$D$16-1='Detailed Cashflows'!AV$5,-'Economic Assumptions'!$C19*'Economic Assumptions'!$K19,0)</f>
        <v/>
      </c>
      <c r="AW45" s="301">
        <f>IF('Economic Assumptions'!$B19+'Project Assumptions'!$D$15+'Project Assumptions'!$D$16-1='Detailed Cashflows'!AW$5,-'Economic Assumptions'!$C19*'Economic Assumptions'!$K19,0)</f>
        <v/>
      </c>
      <c r="AX45" s="301">
        <f>IF('Economic Assumptions'!$B19+'Project Assumptions'!$D$15+'Project Assumptions'!$D$16-1='Detailed Cashflows'!AX$5,-'Economic Assumptions'!$C19*'Economic Assumptions'!$K19,0)</f>
        <v/>
      </c>
      <c r="AY45" s="301">
        <f>IF('Economic Assumptions'!$B19+'Project Assumptions'!$D$15+'Project Assumptions'!$D$16-1='Detailed Cashflows'!AY$5,-'Economic Assumptions'!$C19*'Economic Assumptions'!$K19,0)</f>
        <v/>
      </c>
      <c r="AZ45" s="301">
        <f>IF('Economic Assumptions'!$B19+'Project Assumptions'!$D$15+'Project Assumptions'!$D$16-1='Detailed Cashflows'!AZ$5,-'Economic Assumptions'!$C19*'Economic Assumptions'!$K19,0)</f>
        <v/>
      </c>
      <c r="BA45" s="301">
        <f>IF('Economic Assumptions'!$B19+'Project Assumptions'!$D$15+'Project Assumptions'!$D$16-1='Detailed Cashflows'!BA$5,-'Economic Assumptions'!$C19*'Economic Assumptions'!$K19,0)</f>
        <v/>
      </c>
      <c r="BB45" s="301">
        <f>IF('Economic Assumptions'!$B19+'Project Assumptions'!$D$15+'Project Assumptions'!$D$16-1='Detailed Cashflows'!BB$5,-'Economic Assumptions'!$C19*'Economic Assumptions'!$K19,0)</f>
        <v/>
      </c>
      <c r="BC45" s="301">
        <f>IF('Economic Assumptions'!$B19+'Project Assumptions'!$D$15+'Project Assumptions'!$D$16-1='Detailed Cashflows'!BC$5,-'Economic Assumptions'!$C19*'Economic Assumptions'!$K19,0)</f>
        <v/>
      </c>
      <c r="BD45" s="301">
        <f>IF('Economic Assumptions'!$B19+'Project Assumptions'!$D$15+'Project Assumptions'!$D$16-1='Detailed Cashflows'!BD$5,-'Economic Assumptions'!$C19*'Economic Assumptions'!$K19,0)</f>
        <v/>
      </c>
      <c r="BE45" s="301">
        <f>IF('Economic Assumptions'!$B19+'Project Assumptions'!$D$15+'Project Assumptions'!$D$16-1='Detailed Cashflows'!BE$5,-'Economic Assumptions'!$C19*'Economic Assumptions'!$K19,0)</f>
        <v/>
      </c>
      <c r="BF45" s="301">
        <f>IF('Economic Assumptions'!$B19+'Project Assumptions'!$D$15+'Project Assumptions'!$D$16-1='Detailed Cashflows'!BF$5,-'Economic Assumptions'!$C19*'Economic Assumptions'!$K19,0)</f>
        <v/>
      </c>
      <c r="BG45" s="301">
        <f>IF('Economic Assumptions'!$B19+'Project Assumptions'!$D$15+'Project Assumptions'!$D$16-1='Detailed Cashflows'!BG$5,-'Economic Assumptions'!$C19*'Economic Assumptions'!$K19,0)</f>
        <v/>
      </c>
      <c r="BH45" s="301">
        <f>IF('Economic Assumptions'!$B19+'Project Assumptions'!$D$15+'Project Assumptions'!$D$16-1='Detailed Cashflows'!BH$5,-'Economic Assumptions'!$C19*'Economic Assumptions'!$K19,0)</f>
        <v/>
      </c>
      <c r="BI45" s="301">
        <f>IF('Economic Assumptions'!$B19+'Project Assumptions'!$D$15+'Project Assumptions'!$D$16-1='Detailed Cashflows'!BI$5,-'Economic Assumptions'!$C19*'Economic Assumptions'!$K19,0)</f>
        <v/>
      </c>
      <c r="BJ45" s="301">
        <f>IF('Economic Assumptions'!$B19+'Project Assumptions'!$D$15+'Project Assumptions'!$D$16-1='Detailed Cashflows'!BJ$5,-'Economic Assumptions'!$C19*'Economic Assumptions'!$K19,0)</f>
        <v/>
      </c>
      <c r="BK45" s="301">
        <f>IF('Economic Assumptions'!$B19+'Project Assumptions'!$D$15+'Project Assumptions'!$D$16-1='Detailed Cashflows'!BK$5,-'Economic Assumptions'!$C19*'Economic Assumptions'!$K19,0)</f>
        <v/>
      </c>
      <c r="BL45" s="301">
        <f>IF('Economic Assumptions'!$B19+'Project Assumptions'!$D$15+'Project Assumptions'!$D$16-1='Detailed Cashflows'!BL$5,-'Economic Assumptions'!$C19*'Economic Assumptions'!$K19,0)</f>
        <v/>
      </c>
      <c r="BM45" s="301">
        <f>IF('Economic Assumptions'!$B19+'Project Assumptions'!$D$15+'Project Assumptions'!$D$16-1='Detailed Cashflows'!BM$5,-'Economic Assumptions'!$C19*'Economic Assumptions'!$K19,0)</f>
        <v/>
      </c>
      <c r="BN45" s="301">
        <f>IF('Economic Assumptions'!$B19+'Project Assumptions'!$D$15+'Project Assumptions'!$D$16-1='Detailed Cashflows'!BN$5,-'Economic Assumptions'!$C19*'Economic Assumptions'!$K19,0)</f>
        <v/>
      </c>
      <c r="BO45" s="301">
        <f>IF('Economic Assumptions'!$B19+'Project Assumptions'!$D$15+'Project Assumptions'!$D$16-1='Detailed Cashflows'!BO$5,-'Economic Assumptions'!$C19*'Economic Assumptions'!$K19,0)</f>
        <v/>
      </c>
      <c r="BP45" s="301">
        <f>IF('Economic Assumptions'!$B19+'Project Assumptions'!$D$15+'Project Assumptions'!$D$16-1='Detailed Cashflows'!BP$5,-'Economic Assumptions'!$C19*'Economic Assumptions'!$K19,0)</f>
        <v/>
      </c>
      <c r="BQ45" s="301">
        <f>IF('Economic Assumptions'!$B19+'Project Assumptions'!$D$15+'Project Assumptions'!$D$16-1='Detailed Cashflows'!BQ$5,-'Economic Assumptions'!$C19*'Economic Assumptions'!$K19,0)</f>
        <v/>
      </c>
      <c r="BR45" s="301">
        <f>IF('Economic Assumptions'!$B19+'Project Assumptions'!$D$15+'Project Assumptions'!$D$16-1='Detailed Cashflows'!BR$5,-'Economic Assumptions'!$C19*'Economic Assumptions'!$K19,0)</f>
        <v/>
      </c>
      <c r="BS45" s="301">
        <f>IF('Economic Assumptions'!$B19+'Project Assumptions'!$D$15+'Project Assumptions'!$D$16-1='Detailed Cashflows'!BS$5,-'Economic Assumptions'!$C19*'Economic Assumptions'!$K19,0)</f>
        <v/>
      </c>
      <c r="BT45" s="301">
        <f>IF('Economic Assumptions'!$B19+'Project Assumptions'!$D$15+'Project Assumptions'!$D$16-1='Detailed Cashflows'!BT$5,-'Economic Assumptions'!$C19*'Economic Assumptions'!$K19,0)</f>
        <v/>
      </c>
      <c r="BU45" s="301">
        <f>IF('Economic Assumptions'!$B19+'Project Assumptions'!$D$15+'Project Assumptions'!$D$16-1='Detailed Cashflows'!BU$5,-'Economic Assumptions'!$C19*'Economic Assumptions'!$K19,0)</f>
        <v/>
      </c>
      <c r="BV45" s="301">
        <f>IF('Economic Assumptions'!$B19+'Project Assumptions'!$D$15+'Project Assumptions'!$D$16-1='Detailed Cashflows'!BV$5,-'Economic Assumptions'!$C19*'Economic Assumptions'!$K19,0)</f>
        <v/>
      </c>
      <c r="BW45" s="301">
        <f>IF('Economic Assumptions'!$B19+'Project Assumptions'!$D$15+'Project Assumptions'!$D$16-1='Detailed Cashflows'!BW$5,-'Economic Assumptions'!$C19*'Economic Assumptions'!$K19,0)</f>
        <v/>
      </c>
      <c r="BX45" s="301">
        <f>IF('Economic Assumptions'!$B19+'Project Assumptions'!$D$15+'Project Assumptions'!$D$16-1='Detailed Cashflows'!BX$5,-'Economic Assumptions'!$C19*'Economic Assumptions'!$K19,0)</f>
        <v/>
      </c>
      <c r="BY45" s="301">
        <f>IF('Economic Assumptions'!$B19+'Project Assumptions'!$D$15+'Project Assumptions'!$D$16-1='Detailed Cashflows'!BY$5,-'Economic Assumptions'!$C19*'Economic Assumptions'!$K19,0)</f>
        <v/>
      </c>
      <c r="BZ45" s="301">
        <f>IF('Economic Assumptions'!$B19+'Project Assumptions'!$D$15+'Project Assumptions'!$D$16-1='Detailed Cashflows'!BZ$5,-'Economic Assumptions'!$C19*'Economic Assumptions'!$K19,0)</f>
        <v/>
      </c>
      <c r="CA45" s="301">
        <f>IF('Economic Assumptions'!$B19+'Project Assumptions'!$D$15+'Project Assumptions'!$D$16-1='Detailed Cashflows'!CA$5,-'Economic Assumptions'!$C19*'Economic Assumptions'!$K19,0)</f>
        <v/>
      </c>
      <c r="CB45" s="301">
        <f>IF('Economic Assumptions'!$B19+'Project Assumptions'!$D$15+'Project Assumptions'!$D$16-1='Detailed Cashflows'!CB$5,-'Economic Assumptions'!$C19*'Economic Assumptions'!$K19,0)</f>
        <v/>
      </c>
      <c r="CC45" s="301">
        <f>IF('Economic Assumptions'!$B19+'Project Assumptions'!$D$15+'Project Assumptions'!$D$16-1='Detailed Cashflows'!CC$5,-'Economic Assumptions'!$C19*'Economic Assumptions'!$K19,0)</f>
        <v/>
      </c>
      <c r="CD45" s="301">
        <f>IF('Economic Assumptions'!$B19+'Project Assumptions'!$D$15+'Project Assumptions'!$D$16-1='Detailed Cashflows'!CD$5,-'Economic Assumptions'!$C19*'Economic Assumptions'!$K19,0)</f>
        <v/>
      </c>
      <c r="CE45" s="301">
        <f>IF('Economic Assumptions'!$B19+'Project Assumptions'!$D$15+'Project Assumptions'!$D$16-1='Detailed Cashflows'!CE$5,-'Economic Assumptions'!$C19*'Economic Assumptions'!$K19,0)</f>
        <v/>
      </c>
      <c r="CF45" s="301">
        <f>IF('Economic Assumptions'!$B19+'Project Assumptions'!$D$15+'Project Assumptions'!$D$16-1='Detailed Cashflows'!CF$5,-'Economic Assumptions'!$C19*'Economic Assumptions'!$K19,0)</f>
        <v/>
      </c>
      <c r="CG45" s="301">
        <f>IF('Economic Assumptions'!$B19+'Project Assumptions'!$D$15+'Project Assumptions'!$D$16-1='Detailed Cashflows'!CG$5,-'Economic Assumptions'!$C19*'Economic Assumptions'!$K19,0)</f>
        <v/>
      </c>
      <c r="CH45" s="301">
        <f>IF('Economic Assumptions'!$B19+'Project Assumptions'!$D$15+'Project Assumptions'!$D$16-1='Detailed Cashflows'!CH$5,-'Economic Assumptions'!$C19*'Economic Assumptions'!$K19,0)</f>
        <v/>
      </c>
      <c r="CI45" s="301">
        <f>IF('Economic Assumptions'!$B19+'Project Assumptions'!$D$15+'Project Assumptions'!$D$16-1='Detailed Cashflows'!CI$5,-'Economic Assumptions'!$C19*'Economic Assumptions'!$K19,0)</f>
        <v/>
      </c>
      <c r="CJ45" s="301">
        <f>IF('Economic Assumptions'!$B19+'Project Assumptions'!$D$15+'Project Assumptions'!$D$16-1='Detailed Cashflows'!CJ$5,-'Economic Assumptions'!$C19*'Economic Assumptions'!$K19,0)</f>
        <v/>
      </c>
      <c r="CK45" s="301">
        <f>IF('Economic Assumptions'!$B19+'Project Assumptions'!$D$15+'Project Assumptions'!$D$16-1='Detailed Cashflows'!CK$5,-'Economic Assumptions'!$C19*'Economic Assumptions'!$K19,0)</f>
        <v/>
      </c>
      <c r="CL45" s="301">
        <f>IF('Economic Assumptions'!$B19+'Project Assumptions'!$D$15+'Project Assumptions'!$D$16-1='Detailed Cashflows'!CL$5,-'Economic Assumptions'!$C19*'Economic Assumptions'!$K19,0)</f>
        <v/>
      </c>
      <c r="CM45" s="301">
        <f>IF('Economic Assumptions'!$B19+'Project Assumptions'!$D$15+'Project Assumptions'!$D$16-1='Detailed Cashflows'!CM$5,-'Economic Assumptions'!$C19*'Economic Assumptions'!$K19,0)</f>
        <v/>
      </c>
      <c r="CN45" s="301">
        <f>IF('Economic Assumptions'!$B19+'Project Assumptions'!$D$15+'Project Assumptions'!$D$16-1='Detailed Cashflows'!CN$5,-'Economic Assumptions'!$C19*'Economic Assumptions'!$K19,0)</f>
        <v/>
      </c>
      <c r="CO45" s="301">
        <f>IF('Economic Assumptions'!$B19+'Project Assumptions'!$D$15+'Project Assumptions'!$D$16-1='Detailed Cashflows'!CO$5,-'Economic Assumptions'!$C19*'Economic Assumptions'!$K19,0)</f>
        <v/>
      </c>
      <c r="CP45" s="301">
        <f>IF('Economic Assumptions'!$B19+'Project Assumptions'!$D$15+'Project Assumptions'!$D$16-1='Detailed Cashflows'!CP$5,-'Economic Assumptions'!$C19*'Economic Assumptions'!$K19,0)</f>
        <v/>
      </c>
      <c r="CQ45" s="301">
        <f>IF('Economic Assumptions'!$B19+'Project Assumptions'!$D$15+'Project Assumptions'!$D$16-1='Detailed Cashflows'!CQ$5,-'Economic Assumptions'!$C19*'Economic Assumptions'!$K19,0)</f>
        <v/>
      </c>
      <c r="CR45" s="301">
        <f>IF('Economic Assumptions'!$B19+'Project Assumptions'!$D$15+'Project Assumptions'!$D$16-1='Detailed Cashflows'!CR$5,-'Economic Assumptions'!$C19*'Economic Assumptions'!$K19,0)</f>
        <v/>
      </c>
      <c r="CS45" s="301">
        <f>IF('Economic Assumptions'!$B19+'Project Assumptions'!$D$15+'Project Assumptions'!$D$16-1='Detailed Cashflows'!CS$5,-'Economic Assumptions'!$C19*'Economic Assumptions'!$K19,0)</f>
        <v/>
      </c>
      <c r="CT45" s="301">
        <f>IF('Economic Assumptions'!$B19+'Project Assumptions'!$D$15+'Project Assumptions'!$D$16-1='Detailed Cashflows'!CT$5,-'Economic Assumptions'!$C19*'Economic Assumptions'!$K19,0)</f>
        <v/>
      </c>
      <c r="CU45" s="301">
        <f>IF('Economic Assumptions'!$B19+'Project Assumptions'!$D$15+'Project Assumptions'!$D$16-1='Detailed Cashflows'!CU$5,-'Economic Assumptions'!$C19*'Economic Assumptions'!$K19,0)</f>
        <v/>
      </c>
      <c r="CV45" s="301">
        <f>IF('Economic Assumptions'!$B19+'Project Assumptions'!$D$15+'Project Assumptions'!$D$16-1='Detailed Cashflows'!CV$5,-'Economic Assumptions'!$C19*'Economic Assumptions'!$K19,0)</f>
        <v/>
      </c>
      <c r="CW45" s="301">
        <f>IF('Economic Assumptions'!$B19+'Project Assumptions'!$D$15+'Project Assumptions'!$D$16-1='Detailed Cashflows'!CW$5,-'Economic Assumptions'!$C19*'Economic Assumptions'!$K19,0)</f>
        <v/>
      </c>
      <c r="CX45" s="301">
        <f>IF('Economic Assumptions'!$B19+'Project Assumptions'!$D$15+'Project Assumptions'!$D$16-1='Detailed Cashflows'!CX$5,-'Economic Assumptions'!$C19*'Economic Assumptions'!$K19,0)</f>
        <v/>
      </c>
      <c r="CY45" s="301">
        <f>IF('Economic Assumptions'!$B19+'Project Assumptions'!$D$15+'Project Assumptions'!$D$16-1='Detailed Cashflows'!CY$5,-'Economic Assumptions'!$C19*'Economic Assumptions'!$K19,0)</f>
        <v/>
      </c>
      <c r="CZ45" s="301">
        <f>IF('Economic Assumptions'!$B19+'Project Assumptions'!$D$15+'Project Assumptions'!$D$16-1='Detailed Cashflows'!CZ$5,-'Economic Assumptions'!$C19*'Economic Assumptions'!$K19,0)</f>
        <v/>
      </c>
      <c r="DA45" s="301">
        <f>IF('Economic Assumptions'!$B19+'Project Assumptions'!$D$15+'Project Assumptions'!$D$16-1='Detailed Cashflows'!DA$5,-'Economic Assumptions'!$C19*'Economic Assumptions'!$K19,0)</f>
        <v/>
      </c>
      <c r="DB45" s="301">
        <f>IF('Economic Assumptions'!$B19+'Project Assumptions'!$D$15+'Project Assumptions'!$D$16-1='Detailed Cashflows'!DB$5,-'Economic Assumptions'!$C19*'Economic Assumptions'!$K19,0)</f>
        <v/>
      </c>
      <c r="DC45" s="301" t="n"/>
      <c r="DD45" s="299">
        <f>SUM(F45:DB45)</f>
        <v/>
      </c>
    </row>
    <row r="46" collapsed="1">
      <c r="A46" s="1000" t="n"/>
      <c r="B46" s="702" t="inlineStr">
        <is>
          <t xml:space="preserve">   Soft Costs</t>
        </is>
      </c>
      <c r="C46" s="700" t="n"/>
      <c r="D46" s="292">
        <f>DD46</f>
        <v/>
      </c>
      <c r="E46" s="641" t="n"/>
      <c r="F46" s="293">
        <f>SUM(F47:F56)</f>
        <v/>
      </c>
      <c r="G46" s="293">
        <f>SUM(G47:G56)</f>
        <v/>
      </c>
      <c r="H46" s="293">
        <f>SUM(H47:H56)</f>
        <v/>
      </c>
      <c r="I46" s="293">
        <f>SUM(I47:I56)</f>
        <v/>
      </c>
      <c r="J46" s="293">
        <f>SUM(J47:J56)</f>
        <v/>
      </c>
      <c r="K46" s="293">
        <f>SUM(K47:K56)</f>
        <v/>
      </c>
      <c r="L46" s="293">
        <f>SUM(L47:L56)</f>
        <v/>
      </c>
      <c r="M46" s="293">
        <f>SUM(M47:M56)</f>
        <v/>
      </c>
      <c r="N46" s="293">
        <f>SUM(N47:N56)</f>
        <v/>
      </c>
      <c r="O46" s="293">
        <f>SUM(O47:O56)</f>
        <v/>
      </c>
      <c r="P46" s="293">
        <f>SUM(P47:P56)</f>
        <v/>
      </c>
      <c r="Q46" s="293">
        <f>SUM(Q47:Q56)</f>
        <v/>
      </c>
      <c r="R46" s="293">
        <f>SUM(R47:R56)</f>
        <v/>
      </c>
      <c r="S46" s="293">
        <f>SUM(S47:S56)</f>
        <v/>
      </c>
      <c r="T46" s="293">
        <f>SUM(T47:T56)</f>
        <v/>
      </c>
      <c r="U46" s="293">
        <f>SUM(U47:U56)</f>
        <v/>
      </c>
      <c r="V46" s="293">
        <f>SUM(V47:V56)</f>
        <v/>
      </c>
      <c r="W46" s="293">
        <f>SUM(W47:W56)</f>
        <v/>
      </c>
      <c r="X46" s="293">
        <f>SUM(X47:X56)</f>
        <v/>
      </c>
      <c r="Y46" s="293">
        <f>SUM(Y47:Y56)</f>
        <v/>
      </c>
      <c r="Z46" s="293">
        <f>SUM(Z47:Z56)</f>
        <v/>
      </c>
      <c r="AA46" s="293">
        <f>SUM(AA47:AA56)</f>
        <v/>
      </c>
      <c r="AB46" s="293">
        <f>SUM(AB47:AB56)</f>
        <v/>
      </c>
      <c r="AC46" s="293">
        <f>SUM(AC47:AC56)</f>
        <v/>
      </c>
      <c r="AD46" s="293">
        <f>SUM(AD47:AD56)</f>
        <v/>
      </c>
      <c r="AE46" s="293">
        <f>SUM(AE47:AE56)</f>
        <v/>
      </c>
      <c r="AF46" s="293">
        <f>SUM(AF47:AF56)</f>
        <v/>
      </c>
      <c r="AG46" s="293">
        <f>SUM(AG47:AG56)</f>
        <v/>
      </c>
      <c r="AH46" s="293">
        <f>SUM(AH47:AH56)</f>
        <v/>
      </c>
      <c r="AI46" s="293">
        <f>SUM(AI47:AI56)</f>
        <v/>
      </c>
      <c r="AJ46" s="293">
        <f>SUM(AJ47:AJ56)</f>
        <v/>
      </c>
      <c r="AK46" s="293">
        <f>SUM(AK47:AK56)</f>
        <v/>
      </c>
      <c r="AL46" s="293">
        <f>SUM(AL47:AL56)</f>
        <v/>
      </c>
      <c r="AM46" s="293">
        <f>SUM(AM47:AM56)</f>
        <v/>
      </c>
      <c r="AN46" s="293">
        <f>SUM(AN47:AN56)</f>
        <v/>
      </c>
      <c r="AO46" s="293">
        <f>SUM(AO47:AO56)</f>
        <v/>
      </c>
      <c r="AP46" s="293">
        <f>SUM(AP47:AP56)</f>
        <v/>
      </c>
      <c r="AQ46" s="293">
        <f>SUM(AQ47:AQ56)</f>
        <v/>
      </c>
      <c r="AR46" s="293">
        <f>SUM(AR47:AR56)</f>
        <v/>
      </c>
      <c r="AS46" s="293">
        <f>SUM(AS47:AS56)</f>
        <v/>
      </c>
      <c r="AT46" s="293">
        <f>SUM(AT47:AT56)</f>
        <v/>
      </c>
      <c r="AU46" s="293">
        <f>SUM(AU47:AU56)</f>
        <v/>
      </c>
      <c r="AV46" s="293">
        <f>SUM(AV47:AV56)</f>
        <v/>
      </c>
      <c r="AW46" s="293">
        <f>SUM(AW47:AW56)</f>
        <v/>
      </c>
      <c r="AX46" s="293">
        <f>SUM(AX47:AX56)</f>
        <v/>
      </c>
      <c r="AY46" s="293">
        <f>SUM(AY47:AY56)</f>
        <v/>
      </c>
      <c r="AZ46" s="293">
        <f>SUM(AZ47:AZ56)</f>
        <v/>
      </c>
      <c r="BA46" s="293">
        <f>SUM(BA47:BA56)</f>
        <v/>
      </c>
      <c r="BB46" s="293">
        <f>SUM(BB47:BB56)</f>
        <v/>
      </c>
      <c r="BC46" s="293">
        <f>SUM(BC47:BC56)</f>
        <v/>
      </c>
      <c r="BD46" s="293">
        <f>SUM(BD47:BD56)</f>
        <v/>
      </c>
      <c r="BE46" s="293">
        <f>SUM(BE47:BE56)</f>
        <v/>
      </c>
      <c r="BF46" s="293">
        <f>SUM(BF47:BF56)</f>
        <v/>
      </c>
      <c r="BG46" s="293">
        <f>SUM(BG47:BG56)</f>
        <v/>
      </c>
      <c r="BH46" s="293">
        <f>SUM(BH47:BH56)</f>
        <v/>
      </c>
      <c r="BI46" s="293">
        <f>SUM(BI47:BI56)</f>
        <v/>
      </c>
      <c r="BJ46" s="293">
        <f>SUM(BJ47:BJ56)</f>
        <v/>
      </c>
      <c r="BK46" s="293">
        <f>SUM(BK47:BK56)</f>
        <v/>
      </c>
      <c r="BL46" s="293">
        <f>SUM(BL47:BL56)</f>
        <v/>
      </c>
      <c r="BM46" s="293">
        <f>SUM(BM47:BM56)</f>
        <v/>
      </c>
      <c r="BN46" s="293">
        <f>SUM(BN47:BN56)</f>
        <v/>
      </c>
      <c r="BO46" s="293">
        <f>SUM(BO47:BO56)</f>
        <v/>
      </c>
      <c r="BP46" s="293">
        <f>SUM(BP47:BP56)</f>
        <v/>
      </c>
      <c r="BQ46" s="293">
        <f>SUM(BQ47:BQ56)</f>
        <v/>
      </c>
      <c r="BR46" s="293">
        <f>SUM(BR47:BR56)</f>
        <v/>
      </c>
      <c r="BS46" s="293">
        <f>SUM(BS47:BS56)</f>
        <v/>
      </c>
      <c r="BT46" s="293">
        <f>SUM(BT47:BT56)</f>
        <v/>
      </c>
      <c r="BU46" s="293">
        <f>SUM(BU47:BU56)</f>
        <v/>
      </c>
      <c r="BV46" s="293">
        <f>SUM(BV47:BV56)</f>
        <v/>
      </c>
      <c r="BW46" s="293">
        <f>SUM(BW47:BW56)</f>
        <v/>
      </c>
      <c r="BX46" s="293">
        <f>SUM(BX47:BX56)</f>
        <v/>
      </c>
      <c r="BY46" s="293">
        <f>SUM(BY47:BY56)</f>
        <v/>
      </c>
      <c r="BZ46" s="293">
        <f>SUM(BZ47:BZ56)</f>
        <v/>
      </c>
      <c r="CA46" s="293">
        <f>SUM(CA47:CA56)</f>
        <v/>
      </c>
      <c r="CB46" s="293">
        <f>SUM(CB47:CB56)</f>
        <v/>
      </c>
      <c r="CC46" s="293">
        <f>SUM(CC47:CC56)</f>
        <v/>
      </c>
      <c r="CD46" s="293">
        <f>SUM(CD47:CD56)</f>
        <v/>
      </c>
      <c r="CE46" s="293">
        <f>SUM(CE47:CE56)</f>
        <v/>
      </c>
      <c r="CF46" s="293">
        <f>SUM(CF47:CF56)</f>
        <v/>
      </c>
      <c r="CG46" s="293">
        <f>SUM(CG47:CG56)</f>
        <v/>
      </c>
      <c r="CH46" s="293">
        <f>SUM(CH47:CH56)</f>
        <v/>
      </c>
      <c r="CI46" s="293">
        <f>SUM(CI47:CI56)</f>
        <v/>
      </c>
      <c r="CJ46" s="293">
        <f>SUM(CJ47:CJ56)</f>
        <v/>
      </c>
      <c r="CK46" s="293">
        <f>SUM(CK47:CK56)</f>
        <v/>
      </c>
      <c r="CL46" s="293">
        <f>SUM(CL47:CL56)</f>
        <v/>
      </c>
      <c r="CM46" s="293">
        <f>SUM(CM47:CM56)</f>
        <v/>
      </c>
      <c r="CN46" s="293">
        <f>SUM(CN47:CN56)</f>
        <v/>
      </c>
      <c r="CO46" s="293">
        <f>SUM(CO47:CO56)</f>
        <v/>
      </c>
      <c r="CP46" s="293">
        <f>SUM(CP47:CP56)</f>
        <v/>
      </c>
      <c r="CQ46" s="293">
        <f>SUM(CQ47:CQ56)</f>
        <v/>
      </c>
      <c r="CR46" s="293">
        <f>SUM(CR47:CR56)</f>
        <v/>
      </c>
      <c r="CS46" s="293">
        <f>SUM(CS47:CS56)</f>
        <v/>
      </c>
      <c r="CT46" s="293">
        <f>SUM(CT47:CT56)</f>
        <v/>
      </c>
      <c r="CU46" s="293">
        <f>SUM(CU47:CU56)</f>
        <v/>
      </c>
      <c r="CV46" s="293">
        <f>SUM(CV47:CV56)</f>
        <v/>
      </c>
      <c r="CW46" s="293">
        <f>SUM(CW47:CW56)</f>
        <v/>
      </c>
      <c r="CX46" s="293">
        <f>SUM(CX47:CX56)</f>
        <v/>
      </c>
      <c r="CY46" s="293">
        <f>SUM(CY47:CY56)</f>
        <v/>
      </c>
      <c r="CZ46" s="293">
        <f>SUM(CZ47:CZ56)</f>
        <v/>
      </c>
      <c r="DA46" s="293">
        <f>SUM(DA47:DA56)</f>
        <v/>
      </c>
      <c r="DB46" s="293">
        <f>SUM(DB47:DB56)</f>
        <v/>
      </c>
      <c r="DC46" s="293" t="n"/>
      <c r="DD46" s="292">
        <f>SUM(F46:DB46)</f>
        <v/>
      </c>
    </row>
    <row r="47" hidden="1" outlineLevel="1" ht="14.1" customFormat="1" customHeight="1" s="302">
      <c r="A47" s="1000" t="n"/>
      <c r="B47" s="303">
        <f>'Economic Assumptions'!$A$10</f>
        <v/>
      </c>
      <c r="C47" s="298" t="n"/>
      <c r="D47" s="299">
        <f>DD47</f>
        <v/>
      </c>
      <c r="E47" s="300" t="n"/>
      <c r="F47" s="301">
        <f>IF('Economic Assumptions'!$B10+'Project Assumptions'!$D$15+'Project Assumptions'!$D$16-1='Detailed Cashflows'!F$5,-'Economic Assumptions'!$C10*'Economic Assumptions'!$L10,0)</f>
        <v/>
      </c>
      <c r="G47" s="301">
        <f>IF('Economic Assumptions'!$B10+'Project Assumptions'!$D$15+'Project Assumptions'!$D$16-1='Detailed Cashflows'!G$5,-'Economic Assumptions'!$C10*'Economic Assumptions'!$L10,0)</f>
        <v/>
      </c>
      <c r="H47" s="301">
        <f>IF('Economic Assumptions'!$B10+'Project Assumptions'!$D$15+'Project Assumptions'!$D$16-1='Detailed Cashflows'!H$5,-'Economic Assumptions'!$C10*'Economic Assumptions'!$L10,0)</f>
        <v/>
      </c>
      <c r="I47" s="301">
        <f>IF('Economic Assumptions'!$B10+'Project Assumptions'!$D$15+'Project Assumptions'!$D$16-1='Detailed Cashflows'!I$5,-'Economic Assumptions'!$C10*'Economic Assumptions'!$L10,0)</f>
        <v/>
      </c>
      <c r="J47" s="301">
        <f>IF('Economic Assumptions'!$B10+'Project Assumptions'!$D$15+'Project Assumptions'!$D$16-1='Detailed Cashflows'!J$5,-'Economic Assumptions'!$C10*'Economic Assumptions'!$L10,0)</f>
        <v/>
      </c>
      <c r="K47" s="301">
        <f>IF('Economic Assumptions'!$B10+'Project Assumptions'!$D$15+'Project Assumptions'!$D$16-1='Detailed Cashflows'!K$5,-'Economic Assumptions'!$C10*'Economic Assumptions'!$L10,0)</f>
        <v/>
      </c>
      <c r="L47" s="301">
        <f>IF('Economic Assumptions'!$B10+'Project Assumptions'!$D$15+'Project Assumptions'!$D$16-1='Detailed Cashflows'!L$5,-'Economic Assumptions'!$C10*'Economic Assumptions'!$L10,0)</f>
        <v/>
      </c>
      <c r="M47" s="301">
        <f>IF('Economic Assumptions'!$B10+'Project Assumptions'!$D$15+'Project Assumptions'!$D$16-1='Detailed Cashflows'!M$5,-'Economic Assumptions'!$C10*'Economic Assumptions'!$L10,0)</f>
        <v/>
      </c>
      <c r="N47" s="301">
        <f>IF('Economic Assumptions'!$B10+'Project Assumptions'!$D$15+'Project Assumptions'!$D$16-1='Detailed Cashflows'!N$5,-'Economic Assumptions'!$C10*'Economic Assumptions'!$L10,0)</f>
        <v/>
      </c>
      <c r="O47" s="301">
        <f>IF('Economic Assumptions'!$B10+'Project Assumptions'!$D$15+'Project Assumptions'!$D$16-1='Detailed Cashflows'!O$5,-'Economic Assumptions'!$C10*'Economic Assumptions'!$L10,0)</f>
        <v/>
      </c>
      <c r="P47" s="301">
        <f>IF('Economic Assumptions'!$B10+'Project Assumptions'!$D$15+'Project Assumptions'!$D$16-1='Detailed Cashflows'!P$5,-'Economic Assumptions'!$C10*'Economic Assumptions'!$L10,0)</f>
        <v/>
      </c>
      <c r="Q47" s="301">
        <f>IF('Economic Assumptions'!$B10+'Project Assumptions'!$D$15+'Project Assumptions'!$D$16-1='Detailed Cashflows'!Q$5,-'Economic Assumptions'!$C10*'Economic Assumptions'!$L10,0)</f>
        <v/>
      </c>
      <c r="R47" s="301">
        <f>IF('Economic Assumptions'!$B10+'Project Assumptions'!$D$15+'Project Assumptions'!$D$16-1='Detailed Cashflows'!R$5,-'Economic Assumptions'!$C10*'Economic Assumptions'!$L10,0)</f>
        <v/>
      </c>
      <c r="S47" s="301">
        <f>IF('Economic Assumptions'!$B10+'Project Assumptions'!$D$15+'Project Assumptions'!$D$16-1='Detailed Cashflows'!S$5,-'Economic Assumptions'!$C10*'Economic Assumptions'!$L10,0)</f>
        <v/>
      </c>
      <c r="T47" s="301">
        <f>IF('Economic Assumptions'!$B10+'Project Assumptions'!$D$15+'Project Assumptions'!$D$16-1='Detailed Cashflows'!T$5,-'Economic Assumptions'!$C10*'Economic Assumptions'!$L10,0)</f>
        <v/>
      </c>
      <c r="U47" s="301">
        <f>IF('Economic Assumptions'!$B10+'Project Assumptions'!$D$15+'Project Assumptions'!$D$16-1='Detailed Cashflows'!U$5,-'Economic Assumptions'!$C10*'Economic Assumptions'!$L10,0)</f>
        <v/>
      </c>
      <c r="V47" s="301">
        <f>IF('Economic Assumptions'!$B10+'Project Assumptions'!$D$15+'Project Assumptions'!$D$16-1='Detailed Cashflows'!V$5,-'Economic Assumptions'!$C10*'Economic Assumptions'!$L10,0)</f>
        <v/>
      </c>
      <c r="W47" s="301">
        <f>IF('Economic Assumptions'!$B10+'Project Assumptions'!$D$15+'Project Assumptions'!$D$16-1='Detailed Cashflows'!W$5,-'Economic Assumptions'!$C10*'Economic Assumptions'!$L10,0)</f>
        <v/>
      </c>
      <c r="X47" s="301">
        <f>IF('Economic Assumptions'!$B10+'Project Assumptions'!$D$15+'Project Assumptions'!$D$16-1='Detailed Cashflows'!X$5,-'Economic Assumptions'!$C10*'Economic Assumptions'!$L10,0)</f>
        <v/>
      </c>
      <c r="Y47" s="301">
        <f>IF('Economic Assumptions'!$B10+'Project Assumptions'!$D$15+'Project Assumptions'!$D$16-1='Detailed Cashflows'!Y$5,-'Economic Assumptions'!$C10*'Economic Assumptions'!$L10,0)</f>
        <v/>
      </c>
      <c r="Z47" s="301">
        <f>IF('Economic Assumptions'!$B10+'Project Assumptions'!$D$15+'Project Assumptions'!$D$16-1='Detailed Cashflows'!Z$5,-'Economic Assumptions'!$C10*'Economic Assumptions'!$L10,0)</f>
        <v/>
      </c>
      <c r="AA47" s="301">
        <f>IF('Economic Assumptions'!$B10+'Project Assumptions'!$D$15+'Project Assumptions'!$D$16-1='Detailed Cashflows'!AA$5,-'Economic Assumptions'!$C10*'Economic Assumptions'!$L10,0)</f>
        <v/>
      </c>
      <c r="AB47" s="301">
        <f>IF('Economic Assumptions'!$B10+'Project Assumptions'!$D$15+'Project Assumptions'!$D$16-1='Detailed Cashflows'!AB$5,-'Economic Assumptions'!$C10*'Economic Assumptions'!$L10,0)</f>
        <v/>
      </c>
      <c r="AC47" s="301">
        <f>IF('Economic Assumptions'!$B10+'Project Assumptions'!$D$15+'Project Assumptions'!$D$16-1='Detailed Cashflows'!AC$5,-'Economic Assumptions'!$C10*'Economic Assumptions'!$L10,0)</f>
        <v/>
      </c>
      <c r="AD47" s="301">
        <f>IF('Economic Assumptions'!$B10+'Project Assumptions'!$D$15+'Project Assumptions'!$D$16-1='Detailed Cashflows'!AD$5,-'Economic Assumptions'!$C10*'Economic Assumptions'!$L10,0)</f>
        <v/>
      </c>
      <c r="AE47" s="301">
        <f>IF('Economic Assumptions'!$B10+'Project Assumptions'!$D$15+'Project Assumptions'!$D$16-1='Detailed Cashflows'!AE$5,-'Economic Assumptions'!$C10*'Economic Assumptions'!$L10,0)</f>
        <v/>
      </c>
      <c r="AF47" s="301">
        <f>IF('Economic Assumptions'!$B10+'Project Assumptions'!$D$15+'Project Assumptions'!$D$16-1='Detailed Cashflows'!AF$5,-'Economic Assumptions'!$C10*'Economic Assumptions'!$L10,0)</f>
        <v/>
      </c>
      <c r="AG47" s="301">
        <f>IF('Economic Assumptions'!$B10+'Project Assumptions'!$D$15+'Project Assumptions'!$D$16-1='Detailed Cashflows'!AG$5,-'Economic Assumptions'!$C10*'Economic Assumptions'!$L10,0)</f>
        <v/>
      </c>
      <c r="AH47" s="301">
        <f>IF('Economic Assumptions'!$B10+'Project Assumptions'!$D$15+'Project Assumptions'!$D$16-1='Detailed Cashflows'!AH$5,-'Economic Assumptions'!$C10*'Economic Assumptions'!$L10,0)</f>
        <v/>
      </c>
      <c r="AI47" s="301">
        <f>IF('Economic Assumptions'!$B10+'Project Assumptions'!$D$15+'Project Assumptions'!$D$16-1='Detailed Cashflows'!AI$5,-'Economic Assumptions'!$C10*'Economic Assumptions'!$L10,0)</f>
        <v/>
      </c>
      <c r="AJ47" s="301">
        <f>IF('Economic Assumptions'!$B10+'Project Assumptions'!$D$15+'Project Assumptions'!$D$16-1='Detailed Cashflows'!AJ$5,-'Economic Assumptions'!$C10*'Economic Assumptions'!$L10,0)</f>
        <v/>
      </c>
      <c r="AK47" s="301">
        <f>IF('Economic Assumptions'!$B10+'Project Assumptions'!$D$15+'Project Assumptions'!$D$16-1='Detailed Cashflows'!AK$5,-'Economic Assumptions'!$C10*'Economic Assumptions'!$L10,0)</f>
        <v/>
      </c>
      <c r="AL47" s="301">
        <f>IF('Economic Assumptions'!$B10+'Project Assumptions'!$D$15+'Project Assumptions'!$D$16-1='Detailed Cashflows'!AL$5,-'Economic Assumptions'!$C10*'Economic Assumptions'!$L10,0)</f>
        <v/>
      </c>
      <c r="AM47" s="301">
        <f>IF('Economic Assumptions'!$B10+'Project Assumptions'!$D$15+'Project Assumptions'!$D$16-1='Detailed Cashflows'!AM$5,-'Economic Assumptions'!$C10*'Economic Assumptions'!$L10,0)</f>
        <v/>
      </c>
      <c r="AN47" s="301">
        <f>IF('Economic Assumptions'!$B10+'Project Assumptions'!$D$15+'Project Assumptions'!$D$16-1='Detailed Cashflows'!AN$5,-'Economic Assumptions'!$C10*'Economic Assumptions'!$L10,0)</f>
        <v/>
      </c>
      <c r="AO47" s="301">
        <f>IF('Economic Assumptions'!$B10+'Project Assumptions'!$D$15+'Project Assumptions'!$D$16-1='Detailed Cashflows'!AO$5,-'Economic Assumptions'!$C10*'Economic Assumptions'!$L10,0)</f>
        <v/>
      </c>
      <c r="AP47" s="301">
        <f>IF('Economic Assumptions'!$B10+'Project Assumptions'!$D$15+'Project Assumptions'!$D$16-1='Detailed Cashflows'!AP$5,-'Economic Assumptions'!$C10*'Economic Assumptions'!$L10,0)</f>
        <v/>
      </c>
      <c r="AQ47" s="301">
        <f>IF('Economic Assumptions'!$B10+'Project Assumptions'!$D$15+'Project Assumptions'!$D$16-1='Detailed Cashflows'!AQ$5,-'Economic Assumptions'!$C10*'Economic Assumptions'!$L10,0)</f>
        <v/>
      </c>
      <c r="AR47" s="301">
        <f>IF('Economic Assumptions'!$B10+'Project Assumptions'!$D$15+'Project Assumptions'!$D$16-1='Detailed Cashflows'!AR$5,-'Economic Assumptions'!$C10*'Economic Assumptions'!$L10,0)</f>
        <v/>
      </c>
      <c r="AS47" s="301">
        <f>IF('Economic Assumptions'!$B10+'Project Assumptions'!$D$15+'Project Assumptions'!$D$16-1='Detailed Cashflows'!AS$5,-'Economic Assumptions'!$C10*'Economic Assumptions'!$L10,0)</f>
        <v/>
      </c>
      <c r="AT47" s="301">
        <f>IF('Economic Assumptions'!$B10+'Project Assumptions'!$D$15+'Project Assumptions'!$D$16-1='Detailed Cashflows'!AT$5,-'Economic Assumptions'!$C10*'Economic Assumptions'!$L10,0)</f>
        <v/>
      </c>
      <c r="AU47" s="301">
        <f>IF('Economic Assumptions'!$B10+'Project Assumptions'!$D$15+'Project Assumptions'!$D$16-1='Detailed Cashflows'!AU$5,-'Economic Assumptions'!$C10*'Economic Assumptions'!$L10,0)</f>
        <v/>
      </c>
      <c r="AV47" s="301">
        <f>IF('Economic Assumptions'!$B10+'Project Assumptions'!$D$15+'Project Assumptions'!$D$16-1='Detailed Cashflows'!AV$5,-'Economic Assumptions'!$C10*'Economic Assumptions'!$L10,0)</f>
        <v/>
      </c>
      <c r="AW47" s="301">
        <f>IF('Economic Assumptions'!$B10+'Project Assumptions'!$D$15+'Project Assumptions'!$D$16-1='Detailed Cashflows'!AW$5,-'Economic Assumptions'!$C10*'Economic Assumptions'!$L10,0)</f>
        <v/>
      </c>
      <c r="AX47" s="301">
        <f>IF('Economic Assumptions'!$B10+'Project Assumptions'!$D$15+'Project Assumptions'!$D$16-1='Detailed Cashflows'!AX$5,-'Economic Assumptions'!$C10*'Economic Assumptions'!$L10,0)</f>
        <v/>
      </c>
      <c r="AY47" s="301">
        <f>IF('Economic Assumptions'!$B10+'Project Assumptions'!$D$15+'Project Assumptions'!$D$16-1='Detailed Cashflows'!AY$5,-'Economic Assumptions'!$C10*'Economic Assumptions'!$L10,0)</f>
        <v/>
      </c>
      <c r="AZ47" s="301">
        <f>IF('Economic Assumptions'!$B10+'Project Assumptions'!$D$15+'Project Assumptions'!$D$16-1='Detailed Cashflows'!AZ$5,-'Economic Assumptions'!$C10*'Economic Assumptions'!$L10,0)</f>
        <v/>
      </c>
      <c r="BA47" s="301">
        <f>IF('Economic Assumptions'!$B10+'Project Assumptions'!$D$15+'Project Assumptions'!$D$16-1='Detailed Cashflows'!BA$5,-'Economic Assumptions'!$C10*'Economic Assumptions'!$L10,0)</f>
        <v/>
      </c>
      <c r="BB47" s="301">
        <f>IF('Economic Assumptions'!$B10+'Project Assumptions'!$D$15+'Project Assumptions'!$D$16-1='Detailed Cashflows'!BB$5,-'Economic Assumptions'!$C10*'Economic Assumptions'!$L10,0)</f>
        <v/>
      </c>
      <c r="BC47" s="301">
        <f>IF('Economic Assumptions'!$B10+'Project Assumptions'!$D$15+'Project Assumptions'!$D$16-1='Detailed Cashflows'!BC$5,-'Economic Assumptions'!$C10*'Economic Assumptions'!$L10,0)</f>
        <v/>
      </c>
      <c r="BD47" s="301">
        <f>IF('Economic Assumptions'!$B10+'Project Assumptions'!$D$15+'Project Assumptions'!$D$16-1='Detailed Cashflows'!BD$5,-'Economic Assumptions'!$C10*'Economic Assumptions'!$L10,0)</f>
        <v/>
      </c>
      <c r="BE47" s="301">
        <f>IF('Economic Assumptions'!$B10+'Project Assumptions'!$D$15+'Project Assumptions'!$D$16-1='Detailed Cashflows'!BE$5,-'Economic Assumptions'!$C10*'Economic Assumptions'!$L10,0)</f>
        <v/>
      </c>
      <c r="BF47" s="301">
        <f>IF('Economic Assumptions'!$B10+'Project Assumptions'!$D$15+'Project Assumptions'!$D$16-1='Detailed Cashflows'!BF$5,-'Economic Assumptions'!$C10*'Economic Assumptions'!$L10,0)</f>
        <v/>
      </c>
      <c r="BG47" s="301">
        <f>IF('Economic Assumptions'!$B10+'Project Assumptions'!$D$15+'Project Assumptions'!$D$16-1='Detailed Cashflows'!BG$5,-'Economic Assumptions'!$C10*'Economic Assumptions'!$L10,0)</f>
        <v/>
      </c>
      <c r="BH47" s="301">
        <f>IF('Economic Assumptions'!$B10+'Project Assumptions'!$D$15+'Project Assumptions'!$D$16-1='Detailed Cashflows'!BH$5,-'Economic Assumptions'!$C10*'Economic Assumptions'!$L10,0)</f>
        <v/>
      </c>
      <c r="BI47" s="301">
        <f>IF('Economic Assumptions'!$B10+'Project Assumptions'!$D$15+'Project Assumptions'!$D$16-1='Detailed Cashflows'!BI$5,-'Economic Assumptions'!$C10*'Economic Assumptions'!$L10,0)</f>
        <v/>
      </c>
      <c r="BJ47" s="301">
        <f>IF('Economic Assumptions'!$B10+'Project Assumptions'!$D$15+'Project Assumptions'!$D$16-1='Detailed Cashflows'!BJ$5,-'Economic Assumptions'!$C10*'Economic Assumptions'!$L10,0)</f>
        <v/>
      </c>
      <c r="BK47" s="301">
        <f>IF('Economic Assumptions'!$B10+'Project Assumptions'!$D$15+'Project Assumptions'!$D$16-1='Detailed Cashflows'!BK$5,-'Economic Assumptions'!$C10*'Economic Assumptions'!$L10,0)</f>
        <v/>
      </c>
      <c r="BL47" s="301">
        <f>IF('Economic Assumptions'!$B10+'Project Assumptions'!$D$15+'Project Assumptions'!$D$16-1='Detailed Cashflows'!BL$5,-'Economic Assumptions'!$C10*'Economic Assumptions'!$L10,0)</f>
        <v/>
      </c>
      <c r="BM47" s="301">
        <f>IF('Economic Assumptions'!$B10+'Project Assumptions'!$D$15+'Project Assumptions'!$D$16-1='Detailed Cashflows'!BM$5,-'Economic Assumptions'!$C10*'Economic Assumptions'!$L10,0)</f>
        <v/>
      </c>
      <c r="BN47" s="301">
        <f>IF('Economic Assumptions'!$B10+'Project Assumptions'!$D$15+'Project Assumptions'!$D$16-1='Detailed Cashflows'!BN$5,-'Economic Assumptions'!$C10*'Economic Assumptions'!$L10,0)</f>
        <v/>
      </c>
      <c r="BO47" s="301">
        <f>IF('Economic Assumptions'!$B10+'Project Assumptions'!$D$15+'Project Assumptions'!$D$16-1='Detailed Cashflows'!BO$5,-'Economic Assumptions'!$C10*'Economic Assumptions'!$L10,0)</f>
        <v/>
      </c>
      <c r="BP47" s="301">
        <f>IF('Economic Assumptions'!$B10+'Project Assumptions'!$D$15+'Project Assumptions'!$D$16-1='Detailed Cashflows'!BP$5,-'Economic Assumptions'!$C10*'Economic Assumptions'!$L10,0)</f>
        <v/>
      </c>
      <c r="BQ47" s="301">
        <f>IF('Economic Assumptions'!$B10+'Project Assumptions'!$D$15+'Project Assumptions'!$D$16-1='Detailed Cashflows'!BQ$5,-'Economic Assumptions'!$C10*'Economic Assumptions'!$L10,0)</f>
        <v/>
      </c>
      <c r="BR47" s="301">
        <f>IF('Economic Assumptions'!$B10+'Project Assumptions'!$D$15+'Project Assumptions'!$D$16-1='Detailed Cashflows'!BR$5,-'Economic Assumptions'!$C10*'Economic Assumptions'!$L10,0)</f>
        <v/>
      </c>
      <c r="BS47" s="301">
        <f>IF('Economic Assumptions'!$B10+'Project Assumptions'!$D$15+'Project Assumptions'!$D$16-1='Detailed Cashflows'!BS$5,-'Economic Assumptions'!$C10*'Economic Assumptions'!$L10,0)</f>
        <v/>
      </c>
      <c r="BT47" s="301">
        <f>IF('Economic Assumptions'!$B10+'Project Assumptions'!$D$15+'Project Assumptions'!$D$16-1='Detailed Cashflows'!BT$5,-'Economic Assumptions'!$C10*'Economic Assumptions'!$L10,0)</f>
        <v/>
      </c>
      <c r="BU47" s="301">
        <f>IF('Economic Assumptions'!$B10+'Project Assumptions'!$D$15+'Project Assumptions'!$D$16-1='Detailed Cashflows'!BU$5,-'Economic Assumptions'!$C10*'Economic Assumptions'!$L10,0)</f>
        <v/>
      </c>
      <c r="BV47" s="301">
        <f>IF('Economic Assumptions'!$B10+'Project Assumptions'!$D$15+'Project Assumptions'!$D$16-1='Detailed Cashflows'!BV$5,-'Economic Assumptions'!$C10*'Economic Assumptions'!$L10,0)</f>
        <v/>
      </c>
      <c r="BW47" s="301">
        <f>IF('Economic Assumptions'!$B10+'Project Assumptions'!$D$15+'Project Assumptions'!$D$16-1='Detailed Cashflows'!BW$5,-'Economic Assumptions'!$C10*'Economic Assumptions'!$L10,0)</f>
        <v/>
      </c>
      <c r="BX47" s="301">
        <f>IF('Economic Assumptions'!$B10+'Project Assumptions'!$D$15+'Project Assumptions'!$D$16-1='Detailed Cashflows'!BX$5,-'Economic Assumptions'!$C10*'Economic Assumptions'!$L10,0)</f>
        <v/>
      </c>
      <c r="BY47" s="301">
        <f>IF('Economic Assumptions'!$B10+'Project Assumptions'!$D$15+'Project Assumptions'!$D$16-1='Detailed Cashflows'!BY$5,-'Economic Assumptions'!$C10*'Economic Assumptions'!$L10,0)</f>
        <v/>
      </c>
      <c r="BZ47" s="301">
        <f>IF('Economic Assumptions'!$B10+'Project Assumptions'!$D$15+'Project Assumptions'!$D$16-1='Detailed Cashflows'!BZ$5,-'Economic Assumptions'!$C10*'Economic Assumptions'!$L10,0)</f>
        <v/>
      </c>
      <c r="CA47" s="301">
        <f>IF('Economic Assumptions'!$B10+'Project Assumptions'!$D$15+'Project Assumptions'!$D$16-1='Detailed Cashflows'!CA$5,-'Economic Assumptions'!$C10*'Economic Assumptions'!$L10,0)</f>
        <v/>
      </c>
      <c r="CB47" s="301">
        <f>IF('Economic Assumptions'!$B10+'Project Assumptions'!$D$15+'Project Assumptions'!$D$16-1='Detailed Cashflows'!CB$5,-'Economic Assumptions'!$C10*'Economic Assumptions'!$L10,0)</f>
        <v/>
      </c>
      <c r="CC47" s="301">
        <f>IF('Economic Assumptions'!$B10+'Project Assumptions'!$D$15+'Project Assumptions'!$D$16-1='Detailed Cashflows'!CC$5,-'Economic Assumptions'!$C10*'Economic Assumptions'!$L10,0)</f>
        <v/>
      </c>
      <c r="CD47" s="301">
        <f>IF('Economic Assumptions'!$B10+'Project Assumptions'!$D$15+'Project Assumptions'!$D$16-1='Detailed Cashflows'!CD$5,-'Economic Assumptions'!$C10*'Economic Assumptions'!$L10,0)</f>
        <v/>
      </c>
      <c r="CE47" s="301">
        <f>IF('Economic Assumptions'!$B10+'Project Assumptions'!$D$15+'Project Assumptions'!$D$16-1='Detailed Cashflows'!CE$5,-'Economic Assumptions'!$C10*'Economic Assumptions'!$L10,0)</f>
        <v/>
      </c>
      <c r="CF47" s="301">
        <f>IF('Economic Assumptions'!$B10+'Project Assumptions'!$D$15+'Project Assumptions'!$D$16-1='Detailed Cashflows'!CF$5,-'Economic Assumptions'!$C10*'Economic Assumptions'!$L10,0)</f>
        <v/>
      </c>
      <c r="CG47" s="301">
        <f>IF('Economic Assumptions'!$B10+'Project Assumptions'!$D$15+'Project Assumptions'!$D$16-1='Detailed Cashflows'!CG$5,-'Economic Assumptions'!$C10*'Economic Assumptions'!$L10,0)</f>
        <v/>
      </c>
      <c r="CH47" s="301">
        <f>IF('Economic Assumptions'!$B10+'Project Assumptions'!$D$15+'Project Assumptions'!$D$16-1='Detailed Cashflows'!CH$5,-'Economic Assumptions'!$C10*'Economic Assumptions'!$L10,0)</f>
        <v/>
      </c>
      <c r="CI47" s="301">
        <f>IF('Economic Assumptions'!$B10+'Project Assumptions'!$D$15+'Project Assumptions'!$D$16-1='Detailed Cashflows'!CI$5,-'Economic Assumptions'!$C10*'Economic Assumptions'!$L10,0)</f>
        <v/>
      </c>
      <c r="CJ47" s="301">
        <f>IF('Economic Assumptions'!$B10+'Project Assumptions'!$D$15+'Project Assumptions'!$D$16-1='Detailed Cashflows'!CJ$5,-'Economic Assumptions'!$C10*'Economic Assumptions'!$L10,0)</f>
        <v/>
      </c>
      <c r="CK47" s="301">
        <f>IF('Economic Assumptions'!$B10+'Project Assumptions'!$D$15+'Project Assumptions'!$D$16-1='Detailed Cashflows'!CK$5,-'Economic Assumptions'!$C10*'Economic Assumptions'!$L10,0)</f>
        <v/>
      </c>
      <c r="CL47" s="301">
        <f>IF('Economic Assumptions'!$B10+'Project Assumptions'!$D$15+'Project Assumptions'!$D$16-1='Detailed Cashflows'!CL$5,-'Economic Assumptions'!$C10*'Economic Assumptions'!$L10,0)</f>
        <v/>
      </c>
      <c r="CM47" s="301">
        <f>IF('Economic Assumptions'!$B10+'Project Assumptions'!$D$15+'Project Assumptions'!$D$16-1='Detailed Cashflows'!CM$5,-'Economic Assumptions'!$C10*'Economic Assumptions'!$L10,0)</f>
        <v/>
      </c>
      <c r="CN47" s="301">
        <f>IF('Economic Assumptions'!$B10+'Project Assumptions'!$D$15+'Project Assumptions'!$D$16-1='Detailed Cashflows'!CN$5,-'Economic Assumptions'!$C10*'Economic Assumptions'!$L10,0)</f>
        <v/>
      </c>
      <c r="CO47" s="301">
        <f>IF('Economic Assumptions'!$B10+'Project Assumptions'!$D$15+'Project Assumptions'!$D$16-1='Detailed Cashflows'!CO$5,-'Economic Assumptions'!$C10*'Economic Assumptions'!$L10,0)</f>
        <v/>
      </c>
      <c r="CP47" s="301">
        <f>IF('Economic Assumptions'!$B10+'Project Assumptions'!$D$15+'Project Assumptions'!$D$16-1='Detailed Cashflows'!CP$5,-'Economic Assumptions'!$C10*'Economic Assumptions'!$L10,0)</f>
        <v/>
      </c>
      <c r="CQ47" s="301">
        <f>IF('Economic Assumptions'!$B10+'Project Assumptions'!$D$15+'Project Assumptions'!$D$16-1='Detailed Cashflows'!CQ$5,-'Economic Assumptions'!$C10*'Economic Assumptions'!$L10,0)</f>
        <v/>
      </c>
      <c r="CR47" s="301">
        <f>IF('Economic Assumptions'!$B10+'Project Assumptions'!$D$15+'Project Assumptions'!$D$16-1='Detailed Cashflows'!CR$5,-'Economic Assumptions'!$C10*'Economic Assumptions'!$L10,0)</f>
        <v/>
      </c>
      <c r="CS47" s="301">
        <f>IF('Economic Assumptions'!$B10+'Project Assumptions'!$D$15+'Project Assumptions'!$D$16-1='Detailed Cashflows'!CS$5,-'Economic Assumptions'!$C10*'Economic Assumptions'!$L10,0)</f>
        <v/>
      </c>
      <c r="CT47" s="301">
        <f>IF('Economic Assumptions'!$B10+'Project Assumptions'!$D$15+'Project Assumptions'!$D$16-1='Detailed Cashflows'!CT$5,-'Economic Assumptions'!$C10*'Economic Assumptions'!$L10,0)</f>
        <v/>
      </c>
      <c r="CU47" s="301">
        <f>IF('Economic Assumptions'!$B10+'Project Assumptions'!$D$15+'Project Assumptions'!$D$16-1='Detailed Cashflows'!CU$5,-'Economic Assumptions'!$C10*'Economic Assumptions'!$L10,0)</f>
        <v/>
      </c>
      <c r="CV47" s="301">
        <f>IF('Economic Assumptions'!$B10+'Project Assumptions'!$D$15+'Project Assumptions'!$D$16-1='Detailed Cashflows'!CV$5,-'Economic Assumptions'!$C10*'Economic Assumptions'!$L10,0)</f>
        <v/>
      </c>
      <c r="CW47" s="301">
        <f>IF('Economic Assumptions'!$B10+'Project Assumptions'!$D$15+'Project Assumptions'!$D$16-1='Detailed Cashflows'!CW$5,-'Economic Assumptions'!$C10*'Economic Assumptions'!$L10,0)</f>
        <v/>
      </c>
      <c r="CX47" s="301">
        <f>IF('Economic Assumptions'!$B10+'Project Assumptions'!$D$15+'Project Assumptions'!$D$16-1='Detailed Cashflows'!CX$5,-'Economic Assumptions'!$C10*'Economic Assumptions'!$L10,0)</f>
        <v/>
      </c>
      <c r="CY47" s="301">
        <f>IF('Economic Assumptions'!$B10+'Project Assumptions'!$D$15+'Project Assumptions'!$D$16-1='Detailed Cashflows'!CY$5,-'Economic Assumptions'!$C10*'Economic Assumptions'!$L10,0)</f>
        <v/>
      </c>
      <c r="CZ47" s="301">
        <f>IF('Economic Assumptions'!$B10+'Project Assumptions'!$D$15+'Project Assumptions'!$D$16-1='Detailed Cashflows'!CZ$5,-'Economic Assumptions'!$C10*'Economic Assumptions'!$L10,0)</f>
        <v/>
      </c>
      <c r="DA47" s="301">
        <f>IF('Economic Assumptions'!$B10+'Project Assumptions'!$D$15+'Project Assumptions'!$D$16-1='Detailed Cashflows'!DA$5,-'Economic Assumptions'!$C10*'Economic Assumptions'!$L10,0)</f>
        <v/>
      </c>
      <c r="DB47" s="301">
        <f>IF('Economic Assumptions'!$B10+'Project Assumptions'!$D$15+'Project Assumptions'!$D$16-1='Detailed Cashflows'!DB$5,-'Economic Assumptions'!$C10*'Economic Assumptions'!$L10,0)</f>
        <v/>
      </c>
      <c r="DC47" s="301" t="n"/>
      <c r="DD47" s="299">
        <f>SUM(F47:DB47)</f>
        <v/>
      </c>
    </row>
    <row r="48" hidden="1" outlineLevel="1" ht="14.1" customFormat="1" customHeight="1" s="302">
      <c r="A48" s="1000" t="n"/>
      <c r="B48" s="303">
        <f>'Economic Assumptions'!$A$11</f>
        <v/>
      </c>
      <c r="C48" s="298" t="n"/>
      <c r="D48" s="299">
        <f>DD48</f>
        <v/>
      </c>
      <c r="E48" s="300" t="n"/>
      <c r="F48" s="301">
        <f>IF('Economic Assumptions'!$B11+'Project Assumptions'!$D$15+'Project Assumptions'!$D$16-1='Detailed Cashflows'!F$5,-'Economic Assumptions'!$C11*'Economic Assumptions'!$L11,0)</f>
        <v/>
      </c>
      <c r="G48" s="301">
        <f>IF('Economic Assumptions'!$B11+'Project Assumptions'!$D$15+'Project Assumptions'!$D$16-1='Detailed Cashflows'!G$5,-'Economic Assumptions'!$C11*'Economic Assumptions'!$L11,0)</f>
        <v/>
      </c>
      <c r="H48" s="301">
        <f>IF('Economic Assumptions'!$B11+'Project Assumptions'!$D$15+'Project Assumptions'!$D$16-1='Detailed Cashflows'!H$5,-'Economic Assumptions'!$C11*'Economic Assumptions'!$L11,0)</f>
        <v/>
      </c>
      <c r="I48" s="301">
        <f>IF('Economic Assumptions'!$B11+'Project Assumptions'!$D$15+'Project Assumptions'!$D$16-1='Detailed Cashflows'!I$5,-'Economic Assumptions'!$C11*'Economic Assumptions'!$L11,0)</f>
        <v/>
      </c>
      <c r="J48" s="301">
        <f>IF('Economic Assumptions'!$B11+'Project Assumptions'!$D$15+'Project Assumptions'!$D$16-1='Detailed Cashflows'!J$5,-'Economic Assumptions'!$C11*'Economic Assumptions'!$L11,0)</f>
        <v/>
      </c>
      <c r="K48" s="301">
        <f>IF('Economic Assumptions'!$B11+'Project Assumptions'!$D$15+'Project Assumptions'!$D$16-1='Detailed Cashflows'!K$5,-'Economic Assumptions'!$C11*'Economic Assumptions'!$L11,0)</f>
        <v/>
      </c>
      <c r="L48" s="301">
        <f>IF('Economic Assumptions'!$B11+'Project Assumptions'!$D$15+'Project Assumptions'!$D$16-1='Detailed Cashflows'!L$5,-'Economic Assumptions'!$C11*'Economic Assumptions'!$L11,0)</f>
        <v/>
      </c>
      <c r="M48" s="301">
        <f>IF('Economic Assumptions'!$B11+'Project Assumptions'!$D$15+'Project Assumptions'!$D$16-1='Detailed Cashflows'!M$5,-'Economic Assumptions'!$C11*'Economic Assumptions'!$L11,0)</f>
        <v/>
      </c>
      <c r="N48" s="301">
        <f>IF('Economic Assumptions'!$B11+'Project Assumptions'!$D$15+'Project Assumptions'!$D$16-1='Detailed Cashflows'!N$5,-'Economic Assumptions'!$C11*'Economic Assumptions'!$L11,0)</f>
        <v/>
      </c>
      <c r="O48" s="301">
        <f>IF('Economic Assumptions'!$B11+'Project Assumptions'!$D$15+'Project Assumptions'!$D$16-1='Detailed Cashflows'!O$5,-'Economic Assumptions'!$C11*'Economic Assumptions'!$L11,0)</f>
        <v/>
      </c>
      <c r="P48" s="301">
        <f>IF('Economic Assumptions'!$B11+'Project Assumptions'!$D$15+'Project Assumptions'!$D$16-1='Detailed Cashflows'!P$5,-'Economic Assumptions'!$C11*'Economic Assumptions'!$L11,0)</f>
        <v/>
      </c>
      <c r="Q48" s="301">
        <f>IF('Economic Assumptions'!$B11+'Project Assumptions'!$D$15+'Project Assumptions'!$D$16-1='Detailed Cashflows'!Q$5,-'Economic Assumptions'!$C11*'Economic Assumptions'!$L11,0)</f>
        <v/>
      </c>
      <c r="R48" s="301">
        <f>IF('Economic Assumptions'!$B11+'Project Assumptions'!$D$15+'Project Assumptions'!$D$16-1='Detailed Cashflows'!R$5,-'Economic Assumptions'!$C11*'Economic Assumptions'!$L11,0)</f>
        <v/>
      </c>
      <c r="S48" s="301">
        <f>IF('Economic Assumptions'!$B11+'Project Assumptions'!$D$15+'Project Assumptions'!$D$16-1='Detailed Cashflows'!S$5,-'Economic Assumptions'!$C11*'Economic Assumptions'!$L11,0)</f>
        <v/>
      </c>
      <c r="T48" s="301">
        <f>IF('Economic Assumptions'!$B11+'Project Assumptions'!$D$15+'Project Assumptions'!$D$16-1='Detailed Cashflows'!T$5,-'Economic Assumptions'!$C11*'Economic Assumptions'!$L11,0)</f>
        <v/>
      </c>
      <c r="U48" s="301">
        <f>IF('Economic Assumptions'!$B11+'Project Assumptions'!$D$15+'Project Assumptions'!$D$16-1='Detailed Cashflows'!U$5,-'Economic Assumptions'!$C11*'Economic Assumptions'!$L11,0)</f>
        <v/>
      </c>
      <c r="V48" s="301">
        <f>IF('Economic Assumptions'!$B11+'Project Assumptions'!$D$15+'Project Assumptions'!$D$16-1='Detailed Cashflows'!V$5,-'Economic Assumptions'!$C11*'Economic Assumptions'!$L11,0)</f>
        <v/>
      </c>
      <c r="W48" s="301">
        <f>IF('Economic Assumptions'!$B11+'Project Assumptions'!$D$15+'Project Assumptions'!$D$16-1='Detailed Cashflows'!W$5,-'Economic Assumptions'!$C11*'Economic Assumptions'!$L11,0)</f>
        <v/>
      </c>
      <c r="X48" s="301">
        <f>IF('Economic Assumptions'!$B11+'Project Assumptions'!$D$15+'Project Assumptions'!$D$16-1='Detailed Cashflows'!X$5,-'Economic Assumptions'!$C11*'Economic Assumptions'!$L11,0)</f>
        <v/>
      </c>
      <c r="Y48" s="301">
        <f>IF('Economic Assumptions'!$B11+'Project Assumptions'!$D$15+'Project Assumptions'!$D$16-1='Detailed Cashflows'!Y$5,-'Economic Assumptions'!$C11*'Economic Assumptions'!$L11,0)</f>
        <v/>
      </c>
      <c r="Z48" s="301">
        <f>IF('Economic Assumptions'!$B11+'Project Assumptions'!$D$15+'Project Assumptions'!$D$16-1='Detailed Cashflows'!Z$5,-'Economic Assumptions'!$C11*'Economic Assumptions'!$L11,0)</f>
        <v/>
      </c>
      <c r="AA48" s="301">
        <f>IF('Economic Assumptions'!$B11+'Project Assumptions'!$D$15+'Project Assumptions'!$D$16-1='Detailed Cashflows'!AA$5,-'Economic Assumptions'!$C11*'Economic Assumptions'!$L11,0)</f>
        <v/>
      </c>
      <c r="AB48" s="301">
        <f>IF('Economic Assumptions'!$B11+'Project Assumptions'!$D$15+'Project Assumptions'!$D$16-1='Detailed Cashflows'!AB$5,-'Economic Assumptions'!$C11*'Economic Assumptions'!$L11,0)</f>
        <v/>
      </c>
      <c r="AC48" s="301">
        <f>IF('Economic Assumptions'!$B11+'Project Assumptions'!$D$15+'Project Assumptions'!$D$16-1='Detailed Cashflows'!AC$5,-'Economic Assumptions'!$C11*'Economic Assumptions'!$L11,0)</f>
        <v/>
      </c>
      <c r="AD48" s="301">
        <f>IF('Economic Assumptions'!$B11+'Project Assumptions'!$D$15+'Project Assumptions'!$D$16-1='Detailed Cashflows'!AD$5,-'Economic Assumptions'!$C11*'Economic Assumptions'!$L11,0)</f>
        <v/>
      </c>
      <c r="AE48" s="301">
        <f>IF('Economic Assumptions'!$B11+'Project Assumptions'!$D$15+'Project Assumptions'!$D$16-1='Detailed Cashflows'!AE$5,-'Economic Assumptions'!$C11*'Economic Assumptions'!$L11,0)</f>
        <v/>
      </c>
      <c r="AF48" s="301">
        <f>IF('Economic Assumptions'!$B11+'Project Assumptions'!$D$15+'Project Assumptions'!$D$16-1='Detailed Cashflows'!AF$5,-'Economic Assumptions'!$C11*'Economic Assumptions'!$L11,0)</f>
        <v/>
      </c>
      <c r="AG48" s="301">
        <f>IF('Economic Assumptions'!$B11+'Project Assumptions'!$D$15+'Project Assumptions'!$D$16-1='Detailed Cashflows'!AG$5,-'Economic Assumptions'!$C11*'Economic Assumptions'!$L11,0)</f>
        <v/>
      </c>
      <c r="AH48" s="301">
        <f>IF('Economic Assumptions'!$B11+'Project Assumptions'!$D$15+'Project Assumptions'!$D$16-1='Detailed Cashflows'!AH$5,-'Economic Assumptions'!$C11*'Economic Assumptions'!$L11,0)</f>
        <v/>
      </c>
      <c r="AI48" s="301">
        <f>IF('Economic Assumptions'!$B11+'Project Assumptions'!$D$15+'Project Assumptions'!$D$16-1='Detailed Cashflows'!AI$5,-'Economic Assumptions'!$C11*'Economic Assumptions'!$L11,0)</f>
        <v/>
      </c>
      <c r="AJ48" s="301">
        <f>IF('Economic Assumptions'!$B11+'Project Assumptions'!$D$15+'Project Assumptions'!$D$16-1='Detailed Cashflows'!AJ$5,-'Economic Assumptions'!$C11*'Economic Assumptions'!$L11,0)</f>
        <v/>
      </c>
      <c r="AK48" s="301">
        <f>IF('Economic Assumptions'!$B11+'Project Assumptions'!$D$15+'Project Assumptions'!$D$16-1='Detailed Cashflows'!AK$5,-'Economic Assumptions'!$C11*'Economic Assumptions'!$L11,0)</f>
        <v/>
      </c>
      <c r="AL48" s="301">
        <f>IF('Economic Assumptions'!$B11+'Project Assumptions'!$D$15+'Project Assumptions'!$D$16-1='Detailed Cashflows'!AL$5,-'Economic Assumptions'!$C11*'Economic Assumptions'!$L11,0)</f>
        <v/>
      </c>
      <c r="AM48" s="301">
        <f>IF('Economic Assumptions'!$B11+'Project Assumptions'!$D$15+'Project Assumptions'!$D$16-1='Detailed Cashflows'!AM$5,-'Economic Assumptions'!$C11*'Economic Assumptions'!$L11,0)</f>
        <v/>
      </c>
      <c r="AN48" s="301">
        <f>IF('Economic Assumptions'!$B11+'Project Assumptions'!$D$15+'Project Assumptions'!$D$16-1='Detailed Cashflows'!AN$5,-'Economic Assumptions'!$C11*'Economic Assumptions'!$L11,0)</f>
        <v/>
      </c>
      <c r="AO48" s="301">
        <f>IF('Economic Assumptions'!$B11+'Project Assumptions'!$D$15+'Project Assumptions'!$D$16-1='Detailed Cashflows'!AO$5,-'Economic Assumptions'!$C11*'Economic Assumptions'!$L11,0)</f>
        <v/>
      </c>
      <c r="AP48" s="301">
        <f>IF('Economic Assumptions'!$B11+'Project Assumptions'!$D$15+'Project Assumptions'!$D$16-1='Detailed Cashflows'!AP$5,-'Economic Assumptions'!$C11*'Economic Assumptions'!$L11,0)</f>
        <v/>
      </c>
      <c r="AQ48" s="301">
        <f>IF('Economic Assumptions'!$B11+'Project Assumptions'!$D$15+'Project Assumptions'!$D$16-1='Detailed Cashflows'!AQ$5,-'Economic Assumptions'!$C11*'Economic Assumptions'!$L11,0)</f>
        <v/>
      </c>
      <c r="AR48" s="301">
        <f>IF('Economic Assumptions'!$B11+'Project Assumptions'!$D$15+'Project Assumptions'!$D$16-1='Detailed Cashflows'!AR$5,-'Economic Assumptions'!$C11*'Economic Assumptions'!$L11,0)</f>
        <v/>
      </c>
      <c r="AS48" s="301">
        <f>IF('Economic Assumptions'!$B11+'Project Assumptions'!$D$15+'Project Assumptions'!$D$16-1='Detailed Cashflows'!AS$5,-'Economic Assumptions'!$C11*'Economic Assumptions'!$L11,0)</f>
        <v/>
      </c>
      <c r="AT48" s="301">
        <f>IF('Economic Assumptions'!$B11+'Project Assumptions'!$D$15+'Project Assumptions'!$D$16-1='Detailed Cashflows'!AT$5,-'Economic Assumptions'!$C11*'Economic Assumptions'!$L11,0)</f>
        <v/>
      </c>
      <c r="AU48" s="301">
        <f>IF('Economic Assumptions'!$B11+'Project Assumptions'!$D$15+'Project Assumptions'!$D$16-1='Detailed Cashflows'!AU$5,-'Economic Assumptions'!$C11*'Economic Assumptions'!$L11,0)</f>
        <v/>
      </c>
      <c r="AV48" s="301">
        <f>IF('Economic Assumptions'!$B11+'Project Assumptions'!$D$15+'Project Assumptions'!$D$16-1='Detailed Cashflows'!AV$5,-'Economic Assumptions'!$C11*'Economic Assumptions'!$L11,0)</f>
        <v/>
      </c>
      <c r="AW48" s="301">
        <f>IF('Economic Assumptions'!$B11+'Project Assumptions'!$D$15+'Project Assumptions'!$D$16-1='Detailed Cashflows'!AW$5,-'Economic Assumptions'!$C11*'Economic Assumptions'!$L11,0)</f>
        <v/>
      </c>
      <c r="AX48" s="301">
        <f>IF('Economic Assumptions'!$B11+'Project Assumptions'!$D$15+'Project Assumptions'!$D$16-1='Detailed Cashflows'!AX$5,-'Economic Assumptions'!$C11*'Economic Assumptions'!$L11,0)</f>
        <v/>
      </c>
      <c r="AY48" s="301">
        <f>IF('Economic Assumptions'!$B11+'Project Assumptions'!$D$15+'Project Assumptions'!$D$16-1='Detailed Cashflows'!AY$5,-'Economic Assumptions'!$C11*'Economic Assumptions'!$L11,0)</f>
        <v/>
      </c>
      <c r="AZ48" s="301">
        <f>IF('Economic Assumptions'!$B11+'Project Assumptions'!$D$15+'Project Assumptions'!$D$16-1='Detailed Cashflows'!AZ$5,-'Economic Assumptions'!$C11*'Economic Assumptions'!$L11,0)</f>
        <v/>
      </c>
      <c r="BA48" s="301">
        <f>IF('Economic Assumptions'!$B11+'Project Assumptions'!$D$15+'Project Assumptions'!$D$16-1='Detailed Cashflows'!BA$5,-'Economic Assumptions'!$C11*'Economic Assumptions'!$L11,0)</f>
        <v/>
      </c>
      <c r="BB48" s="301">
        <f>IF('Economic Assumptions'!$B11+'Project Assumptions'!$D$15+'Project Assumptions'!$D$16-1='Detailed Cashflows'!BB$5,-'Economic Assumptions'!$C11*'Economic Assumptions'!$L11,0)</f>
        <v/>
      </c>
      <c r="BC48" s="301">
        <f>IF('Economic Assumptions'!$B11+'Project Assumptions'!$D$15+'Project Assumptions'!$D$16-1='Detailed Cashflows'!BC$5,-'Economic Assumptions'!$C11*'Economic Assumptions'!$L11,0)</f>
        <v/>
      </c>
      <c r="BD48" s="301">
        <f>IF('Economic Assumptions'!$B11+'Project Assumptions'!$D$15+'Project Assumptions'!$D$16-1='Detailed Cashflows'!BD$5,-'Economic Assumptions'!$C11*'Economic Assumptions'!$L11,0)</f>
        <v/>
      </c>
      <c r="BE48" s="301">
        <f>IF('Economic Assumptions'!$B11+'Project Assumptions'!$D$15+'Project Assumptions'!$D$16-1='Detailed Cashflows'!BE$5,-'Economic Assumptions'!$C11*'Economic Assumptions'!$L11,0)</f>
        <v/>
      </c>
      <c r="BF48" s="301">
        <f>IF('Economic Assumptions'!$B11+'Project Assumptions'!$D$15+'Project Assumptions'!$D$16-1='Detailed Cashflows'!BF$5,-'Economic Assumptions'!$C11*'Economic Assumptions'!$L11,0)</f>
        <v/>
      </c>
      <c r="BG48" s="301">
        <f>IF('Economic Assumptions'!$B11+'Project Assumptions'!$D$15+'Project Assumptions'!$D$16-1='Detailed Cashflows'!BG$5,-'Economic Assumptions'!$C11*'Economic Assumptions'!$L11,0)</f>
        <v/>
      </c>
      <c r="BH48" s="301">
        <f>IF('Economic Assumptions'!$B11+'Project Assumptions'!$D$15+'Project Assumptions'!$D$16-1='Detailed Cashflows'!BH$5,-'Economic Assumptions'!$C11*'Economic Assumptions'!$L11,0)</f>
        <v/>
      </c>
      <c r="BI48" s="301">
        <f>IF('Economic Assumptions'!$B11+'Project Assumptions'!$D$15+'Project Assumptions'!$D$16-1='Detailed Cashflows'!BI$5,-'Economic Assumptions'!$C11*'Economic Assumptions'!$L11,0)</f>
        <v/>
      </c>
      <c r="BJ48" s="301">
        <f>IF('Economic Assumptions'!$B11+'Project Assumptions'!$D$15+'Project Assumptions'!$D$16-1='Detailed Cashflows'!BJ$5,-'Economic Assumptions'!$C11*'Economic Assumptions'!$L11,0)</f>
        <v/>
      </c>
      <c r="BK48" s="301">
        <f>IF('Economic Assumptions'!$B11+'Project Assumptions'!$D$15+'Project Assumptions'!$D$16-1='Detailed Cashflows'!BK$5,-'Economic Assumptions'!$C11*'Economic Assumptions'!$L11,0)</f>
        <v/>
      </c>
      <c r="BL48" s="301">
        <f>IF('Economic Assumptions'!$B11+'Project Assumptions'!$D$15+'Project Assumptions'!$D$16-1='Detailed Cashflows'!BL$5,-'Economic Assumptions'!$C11*'Economic Assumptions'!$L11,0)</f>
        <v/>
      </c>
      <c r="BM48" s="301">
        <f>IF('Economic Assumptions'!$B11+'Project Assumptions'!$D$15+'Project Assumptions'!$D$16-1='Detailed Cashflows'!BM$5,-'Economic Assumptions'!$C11*'Economic Assumptions'!$L11,0)</f>
        <v/>
      </c>
      <c r="BN48" s="301">
        <f>IF('Economic Assumptions'!$B11+'Project Assumptions'!$D$15+'Project Assumptions'!$D$16-1='Detailed Cashflows'!BN$5,-'Economic Assumptions'!$C11*'Economic Assumptions'!$L11,0)</f>
        <v/>
      </c>
      <c r="BO48" s="301">
        <f>IF('Economic Assumptions'!$B11+'Project Assumptions'!$D$15+'Project Assumptions'!$D$16-1='Detailed Cashflows'!BO$5,-'Economic Assumptions'!$C11*'Economic Assumptions'!$L11,0)</f>
        <v/>
      </c>
      <c r="BP48" s="301">
        <f>IF('Economic Assumptions'!$B11+'Project Assumptions'!$D$15+'Project Assumptions'!$D$16-1='Detailed Cashflows'!BP$5,-'Economic Assumptions'!$C11*'Economic Assumptions'!$L11,0)</f>
        <v/>
      </c>
      <c r="BQ48" s="301">
        <f>IF('Economic Assumptions'!$B11+'Project Assumptions'!$D$15+'Project Assumptions'!$D$16-1='Detailed Cashflows'!BQ$5,-'Economic Assumptions'!$C11*'Economic Assumptions'!$L11,0)</f>
        <v/>
      </c>
      <c r="BR48" s="301">
        <f>IF('Economic Assumptions'!$B11+'Project Assumptions'!$D$15+'Project Assumptions'!$D$16-1='Detailed Cashflows'!BR$5,-'Economic Assumptions'!$C11*'Economic Assumptions'!$L11,0)</f>
        <v/>
      </c>
      <c r="BS48" s="301">
        <f>IF('Economic Assumptions'!$B11+'Project Assumptions'!$D$15+'Project Assumptions'!$D$16-1='Detailed Cashflows'!BS$5,-'Economic Assumptions'!$C11*'Economic Assumptions'!$L11,0)</f>
        <v/>
      </c>
      <c r="BT48" s="301">
        <f>IF('Economic Assumptions'!$B11+'Project Assumptions'!$D$15+'Project Assumptions'!$D$16-1='Detailed Cashflows'!BT$5,-'Economic Assumptions'!$C11*'Economic Assumptions'!$L11,0)</f>
        <v/>
      </c>
      <c r="BU48" s="301">
        <f>IF('Economic Assumptions'!$B11+'Project Assumptions'!$D$15+'Project Assumptions'!$D$16-1='Detailed Cashflows'!BU$5,-'Economic Assumptions'!$C11*'Economic Assumptions'!$L11,0)</f>
        <v/>
      </c>
      <c r="BV48" s="301">
        <f>IF('Economic Assumptions'!$B11+'Project Assumptions'!$D$15+'Project Assumptions'!$D$16-1='Detailed Cashflows'!BV$5,-'Economic Assumptions'!$C11*'Economic Assumptions'!$L11,0)</f>
        <v/>
      </c>
      <c r="BW48" s="301">
        <f>IF('Economic Assumptions'!$B11+'Project Assumptions'!$D$15+'Project Assumptions'!$D$16-1='Detailed Cashflows'!BW$5,-'Economic Assumptions'!$C11*'Economic Assumptions'!$L11,0)</f>
        <v/>
      </c>
      <c r="BX48" s="301">
        <f>IF('Economic Assumptions'!$B11+'Project Assumptions'!$D$15+'Project Assumptions'!$D$16-1='Detailed Cashflows'!BX$5,-'Economic Assumptions'!$C11*'Economic Assumptions'!$L11,0)</f>
        <v/>
      </c>
      <c r="BY48" s="301">
        <f>IF('Economic Assumptions'!$B11+'Project Assumptions'!$D$15+'Project Assumptions'!$D$16-1='Detailed Cashflows'!BY$5,-'Economic Assumptions'!$C11*'Economic Assumptions'!$L11,0)</f>
        <v/>
      </c>
      <c r="BZ48" s="301">
        <f>IF('Economic Assumptions'!$B11+'Project Assumptions'!$D$15+'Project Assumptions'!$D$16-1='Detailed Cashflows'!BZ$5,-'Economic Assumptions'!$C11*'Economic Assumptions'!$L11,0)</f>
        <v/>
      </c>
      <c r="CA48" s="301">
        <f>IF('Economic Assumptions'!$B11+'Project Assumptions'!$D$15+'Project Assumptions'!$D$16-1='Detailed Cashflows'!CA$5,-'Economic Assumptions'!$C11*'Economic Assumptions'!$L11,0)</f>
        <v/>
      </c>
      <c r="CB48" s="301">
        <f>IF('Economic Assumptions'!$B11+'Project Assumptions'!$D$15+'Project Assumptions'!$D$16-1='Detailed Cashflows'!CB$5,-'Economic Assumptions'!$C11*'Economic Assumptions'!$L11,0)</f>
        <v/>
      </c>
      <c r="CC48" s="301">
        <f>IF('Economic Assumptions'!$B11+'Project Assumptions'!$D$15+'Project Assumptions'!$D$16-1='Detailed Cashflows'!CC$5,-'Economic Assumptions'!$C11*'Economic Assumptions'!$L11,0)</f>
        <v/>
      </c>
      <c r="CD48" s="301">
        <f>IF('Economic Assumptions'!$B11+'Project Assumptions'!$D$15+'Project Assumptions'!$D$16-1='Detailed Cashflows'!CD$5,-'Economic Assumptions'!$C11*'Economic Assumptions'!$L11,0)</f>
        <v/>
      </c>
      <c r="CE48" s="301">
        <f>IF('Economic Assumptions'!$B11+'Project Assumptions'!$D$15+'Project Assumptions'!$D$16-1='Detailed Cashflows'!CE$5,-'Economic Assumptions'!$C11*'Economic Assumptions'!$L11,0)</f>
        <v/>
      </c>
      <c r="CF48" s="301">
        <f>IF('Economic Assumptions'!$B11+'Project Assumptions'!$D$15+'Project Assumptions'!$D$16-1='Detailed Cashflows'!CF$5,-'Economic Assumptions'!$C11*'Economic Assumptions'!$L11,0)</f>
        <v/>
      </c>
      <c r="CG48" s="301">
        <f>IF('Economic Assumptions'!$B11+'Project Assumptions'!$D$15+'Project Assumptions'!$D$16-1='Detailed Cashflows'!CG$5,-'Economic Assumptions'!$C11*'Economic Assumptions'!$L11,0)</f>
        <v/>
      </c>
      <c r="CH48" s="301">
        <f>IF('Economic Assumptions'!$B11+'Project Assumptions'!$D$15+'Project Assumptions'!$D$16-1='Detailed Cashflows'!CH$5,-'Economic Assumptions'!$C11*'Economic Assumptions'!$L11,0)</f>
        <v/>
      </c>
      <c r="CI48" s="301">
        <f>IF('Economic Assumptions'!$B11+'Project Assumptions'!$D$15+'Project Assumptions'!$D$16-1='Detailed Cashflows'!CI$5,-'Economic Assumptions'!$C11*'Economic Assumptions'!$L11,0)</f>
        <v/>
      </c>
      <c r="CJ48" s="301">
        <f>IF('Economic Assumptions'!$B11+'Project Assumptions'!$D$15+'Project Assumptions'!$D$16-1='Detailed Cashflows'!CJ$5,-'Economic Assumptions'!$C11*'Economic Assumptions'!$L11,0)</f>
        <v/>
      </c>
      <c r="CK48" s="301">
        <f>IF('Economic Assumptions'!$B11+'Project Assumptions'!$D$15+'Project Assumptions'!$D$16-1='Detailed Cashflows'!CK$5,-'Economic Assumptions'!$C11*'Economic Assumptions'!$L11,0)</f>
        <v/>
      </c>
      <c r="CL48" s="301">
        <f>IF('Economic Assumptions'!$B11+'Project Assumptions'!$D$15+'Project Assumptions'!$D$16-1='Detailed Cashflows'!CL$5,-'Economic Assumptions'!$C11*'Economic Assumptions'!$L11,0)</f>
        <v/>
      </c>
      <c r="CM48" s="301">
        <f>IF('Economic Assumptions'!$B11+'Project Assumptions'!$D$15+'Project Assumptions'!$D$16-1='Detailed Cashflows'!CM$5,-'Economic Assumptions'!$C11*'Economic Assumptions'!$L11,0)</f>
        <v/>
      </c>
      <c r="CN48" s="301">
        <f>IF('Economic Assumptions'!$B11+'Project Assumptions'!$D$15+'Project Assumptions'!$D$16-1='Detailed Cashflows'!CN$5,-'Economic Assumptions'!$C11*'Economic Assumptions'!$L11,0)</f>
        <v/>
      </c>
      <c r="CO48" s="301">
        <f>IF('Economic Assumptions'!$B11+'Project Assumptions'!$D$15+'Project Assumptions'!$D$16-1='Detailed Cashflows'!CO$5,-'Economic Assumptions'!$C11*'Economic Assumptions'!$L11,0)</f>
        <v/>
      </c>
      <c r="CP48" s="301">
        <f>IF('Economic Assumptions'!$B11+'Project Assumptions'!$D$15+'Project Assumptions'!$D$16-1='Detailed Cashflows'!CP$5,-'Economic Assumptions'!$C11*'Economic Assumptions'!$L11,0)</f>
        <v/>
      </c>
      <c r="CQ48" s="301">
        <f>IF('Economic Assumptions'!$B11+'Project Assumptions'!$D$15+'Project Assumptions'!$D$16-1='Detailed Cashflows'!CQ$5,-'Economic Assumptions'!$C11*'Economic Assumptions'!$L11,0)</f>
        <v/>
      </c>
      <c r="CR48" s="301">
        <f>IF('Economic Assumptions'!$B11+'Project Assumptions'!$D$15+'Project Assumptions'!$D$16-1='Detailed Cashflows'!CR$5,-'Economic Assumptions'!$C11*'Economic Assumptions'!$L11,0)</f>
        <v/>
      </c>
      <c r="CS48" s="301">
        <f>IF('Economic Assumptions'!$B11+'Project Assumptions'!$D$15+'Project Assumptions'!$D$16-1='Detailed Cashflows'!CS$5,-'Economic Assumptions'!$C11*'Economic Assumptions'!$L11,0)</f>
        <v/>
      </c>
      <c r="CT48" s="301">
        <f>IF('Economic Assumptions'!$B11+'Project Assumptions'!$D$15+'Project Assumptions'!$D$16-1='Detailed Cashflows'!CT$5,-'Economic Assumptions'!$C11*'Economic Assumptions'!$L11,0)</f>
        <v/>
      </c>
      <c r="CU48" s="301">
        <f>IF('Economic Assumptions'!$B11+'Project Assumptions'!$D$15+'Project Assumptions'!$D$16-1='Detailed Cashflows'!CU$5,-'Economic Assumptions'!$C11*'Economic Assumptions'!$L11,0)</f>
        <v/>
      </c>
      <c r="CV48" s="301">
        <f>IF('Economic Assumptions'!$B11+'Project Assumptions'!$D$15+'Project Assumptions'!$D$16-1='Detailed Cashflows'!CV$5,-'Economic Assumptions'!$C11*'Economic Assumptions'!$L11,0)</f>
        <v/>
      </c>
      <c r="CW48" s="301">
        <f>IF('Economic Assumptions'!$B11+'Project Assumptions'!$D$15+'Project Assumptions'!$D$16-1='Detailed Cashflows'!CW$5,-'Economic Assumptions'!$C11*'Economic Assumptions'!$L11,0)</f>
        <v/>
      </c>
      <c r="CX48" s="301">
        <f>IF('Economic Assumptions'!$B11+'Project Assumptions'!$D$15+'Project Assumptions'!$D$16-1='Detailed Cashflows'!CX$5,-'Economic Assumptions'!$C11*'Economic Assumptions'!$L11,0)</f>
        <v/>
      </c>
      <c r="CY48" s="301">
        <f>IF('Economic Assumptions'!$B11+'Project Assumptions'!$D$15+'Project Assumptions'!$D$16-1='Detailed Cashflows'!CY$5,-'Economic Assumptions'!$C11*'Economic Assumptions'!$L11,0)</f>
        <v/>
      </c>
      <c r="CZ48" s="301">
        <f>IF('Economic Assumptions'!$B11+'Project Assumptions'!$D$15+'Project Assumptions'!$D$16-1='Detailed Cashflows'!CZ$5,-'Economic Assumptions'!$C11*'Economic Assumptions'!$L11,0)</f>
        <v/>
      </c>
      <c r="DA48" s="301">
        <f>IF('Economic Assumptions'!$B11+'Project Assumptions'!$D$15+'Project Assumptions'!$D$16-1='Detailed Cashflows'!DA$5,-'Economic Assumptions'!$C11*'Economic Assumptions'!$L11,0)</f>
        <v/>
      </c>
      <c r="DB48" s="301">
        <f>IF('Economic Assumptions'!$B11+'Project Assumptions'!$D$15+'Project Assumptions'!$D$16-1='Detailed Cashflows'!DB$5,-'Economic Assumptions'!$C11*'Economic Assumptions'!$L11,0)</f>
        <v/>
      </c>
      <c r="DC48" s="301" t="n"/>
      <c r="DD48" s="299">
        <f>SUM(F48:DB48)</f>
        <v/>
      </c>
    </row>
    <row r="49" hidden="1" outlineLevel="1" ht="14.1" customFormat="1" customHeight="1" s="302">
      <c r="A49" s="1000" t="n"/>
      <c r="B49" s="303">
        <f>'Economic Assumptions'!$A$12</f>
        <v/>
      </c>
      <c r="C49" s="298" t="n"/>
      <c r="D49" s="299">
        <f>DD49</f>
        <v/>
      </c>
      <c r="E49" s="300" t="n"/>
      <c r="F49" s="301">
        <f>IF('Economic Assumptions'!$B12+'Project Assumptions'!$D$15+'Project Assumptions'!$D$16-1='Detailed Cashflows'!F$5,-'Economic Assumptions'!$C12*'Economic Assumptions'!$L12,0)</f>
        <v/>
      </c>
      <c r="G49" s="301">
        <f>IF('Economic Assumptions'!$B12+'Project Assumptions'!$D$15+'Project Assumptions'!$D$16-1='Detailed Cashflows'!G$5,-'Economic Assumptions'!$C12*'Economic Assumptions'!$L12,0)</f>
        <v/>
      </c>
      <c r="H49" s="301">
        <f>IF('Economic Assumptions'!$B12+'Project Assumptions'!$D$15+'Project Assumptions'!$D$16-1='Detailed Cashflows'!H$5,-'Economic Assumptions'!$C12*'Economic Assumptions'!$L12,0)</f>
        <v/>
      </c>
      <c r="I49" s="301">
        <f>IF('Economic Assumptions'!$B12+'Project Assumptions'!$D$15+'Project Assumptions'!$D$16-1='Detailed Cashflows'!I$5,-'Economic Assumptions'!$C12*'Economic Assumptions'!$L12,0)</f>
        <v/>
      </c>
      <c r="J49" s="301">
        <f>IF('Economic Assumptions'!$B12+'Project Assumptions'!$D$15+'Project Assumptions'!$D$16-1='Detailed Cashflows'!J$5,-'Economic Assumptions'!$C12*'Economic Assumptions'!$L12,0)</f>
        <v/>
      </c>
      <c r="K49" s="301">
        <f>IF('Economic Assumptions'!$B12+'Project Assumptions'!$D$15+'Project Assumptions'!$D$16-1='Detailed Cashflows'!K$5,-'Economic Assumptions'!$C12*'Economic Assumptions'!$L12,0)</f>
        <v/>
      </c>
      <c r="L49" s="301">
        <f>IF('Economic Assumptions'!$B12+'Project Assumptions'!$D$15+'Project Assumptions'!$D$16-1='Detailed Cashflows'!L$5,-'Economic Assumptions'!$C12*'Economic Assumptions'!$L12,0)</f>
        <v/>
      </c>
      <c r="M49" s="301">
        <f>IF('Economic Assumptions'!$B12+'Project Assumptions'!$D$15+'Project Assumptions'!$D$16-1='Detailed Cashflows'!M$5,-'Economic Assumptions'!$C12*'Economic Assumptions'!$L12,0)</f>
        <v/>
      </c>
      <c r="N49" s="301">
        <f>IF('Economic Assumptions'!$B12+'Project Assumptions'!$D$15+'Project Assumptions'!$D$16-1='Detailed Cashflows'!N$5,-'Economic Assumptions'!$C12*'Economic Assumptions'!$L12,0)</f>
        <v/>
      </c>
      <c r="O49" s="301">
        <f>IF('Economic Assumptions'!$B12+'Project Assumptions'!$D$15+'Project Assumptions'!$D$16-1='Detailed Cashflows'!O$5,-'Economic Assumptions'!$C12*'Economic Assumptions'!$L12,0)</f>
        <v/>
      </c>
      <c r="P49" s="301">
        <f>IF('Economic Assumptions'!$B12+'Project Assumptions'!$D$15+'Project Assumptions'!$D$16-1='Detailed Cashflows'!P$5,-'Economic Assumptions'!$C12*'Economic Assumptions'!$L12,0)</f>
        <v/>
      </c>
      <c r="Q49" s="301">
        <f>IF('Economic Assumptions'!$B12+'Project Assumptions'!$D$15+'Project Assumptions'!$D$16-1='Detailed Cashflows'!Q$5,-'Economic Assumptions'!$C12*'Economic Assumptions'!$L12,0)</f>
        <v/>
      </c>
      <c r="R49" s="301">
        <f>IF('Economic Assumptions'!$B12+'Project Assumptions'!$D$15+'Project Assumptions'!$D$16-1='Detailed Cashflows'!R$5,-'Economic Assumptions'!$C12*'Economic Assumptions'!$L12,0)</f>
        <v/>
      </c>
      <c r="S49" s="301">
        <f>IF('Economic Assumptions'!$B12+'Project Assumptions'!$D$15+'Project Assumptions'!$D$16-1='Detailed Cashflows'!S$5,-'Economic Assumptions'!$C12*'Economic Assumptions'!$L12,0)</f>
        <v/>
      </c>
      <c r="T49" s="301">
        <f>IF('Economic Assumptions'!$B12+'Project Assumptions'!$D$15+'Project Assumptions'!$D$16-1='Detailed Cashflows'!T$5,-'Economic Assumptions'!$C12*'Economic Assumptions'!$L12,0)</f>
        <v/>
      </c>
      <c r="U49" s="301">
        <f>IF('Economic Assumptions'!$B12+'Project Assumptions'!$D$15+'Project Assumptions'!$D$16-1='Detailed Cashflows'!U$5,-'Economic Assumptions'!$C12*'Economic Assumptions'!$L12,0)</f>
        <v/>
      </c>
      <c r="V49" s="301">
        <f>IF('Economic Assumptions'!$B12+'Project Assumptions'!$D$15+'Project Assumptions'!$D$16-1='Detailed Cashflows'!V$5,-'Economic Assumptions'!$C12*'Economic Assumptions'!$L12,0)</f>
        <v/>
      </c>
      <c r="W49" s="301">
        <f>IF('Economic Assumptions'!$B12+'Project Assumptions'!$D$15+'Project Assumptions'!$D$16-1='Detailed Cashflows'!W$5,-'Economic Assumptions'!$C12*'Economic Assumptions'!$L12,0)</f>
        <v/>
      </c>
      <c r="X49" s="301">
        <f>IF('Economic Assumptions'!$B12+'Project Assumptions'!$D$15+'Project Assumptions'!$D$16-1='Detailed Cashflows'!X$5,-'Economic Assumptions'!$C12*'Economic Assumptions'!$L12,0)</f>
        <v/>
      </c>
      <c r="Y49" s="301">
        <f>IF('Economic Assumptions'!$B12+'Project Assumptions'!$D$15+'Project Assumptions'!$D$16-1='Detailed Cashflows'!Y$5,-'Economic Assumptions'!$C12*'Economic Assumptions'!$L12,0)</f>
        <v/>
      </c>
      <c r="Z49" s="301">
        <f>IF('Economic Assumptions'!$B12+'Project Assumptions'!$D$15+'Project Assumptions'!$D$16-1='Detailed Cashflows'!Z$5,-'Economic Assumptions'!$C12*'Economic Assumptions'!$L12,0)</f>
        <v/>
      </c>
      <c r="AA49" s="301">
        <f>IF('Economic Assumptions'!$B12+'Project Assumptions'!$D$15+'Project Assumptions'!$D$16-1='Detailed Cashflows'!AA$5,-'Economic Assumptions'!$C12*'Economic Assumptions'!$L12,0)</f>
        <v/>
      </c>
      <c r="AB49" s="301">
        <f>IF('Economic Assumptions'!$B12+'Project Assumptions'!$D$15+'Project Assumptions'!$D$16-1='Detailed Cashflows'!AB$5,-'Economic Assumptions'!$C12*'Economic Assumptions'!$L12,0)</f>
        <v/>
      </c>
      <c r="AC49" s="301">
        <f>IF('Economic Assumptions'!$B12+'Project Assumptions'!$D$15+'Project Assumptions'!$D$16-1='Detailed Cashflows'!AC$5,-'Economic Assumptions'!$C12*'Economic Assumptions'!$L12,0)</f>
        <v/>
      </c>
      <c r="AD49" s="301">
        <f>IF('Economic Assumptions'!$B12+'Project Assumptions'!$D$15+'Project Assumptions'!$D$16-1='Detailed Cashflows'!AD$5,-'Economic Assumptions'!$C12*'Economic Assumptions'!$L12,0)</f>
        <v/>
      </c>
      <c r="AE49" s="301">
        <f>IF('Economic Assumptions'!$B12+'Project Assumptions'!$D$15+'Project Assumptions'!$D$16-1='Detailed Cashflows'!AE$5,-'Economic Assumptions'!$C12*'Economic Assumptions'!$L12,0)</f>
        <v/>
      </c>
      <c r="AF49" s="301">
        <f>IF('Economic Assumptions'!$B12+'Project Assumptions'!$D$15+'Project Assumptions'!$D$16-1='Detailed Cashflows'!AF$5,-'Economic Assumptions'!$C12*'Economic Assumptions'!$L12,0)</f>
        <v/>
      </c>
      <c r="AG49" s="301">
        <f>IF('Economic Assumptions'!$B12+'Project Assumptions'!$D$15+'Project Assumptions'!$D$16-1='Detailed Cashflows'!AG$5,-'Economic Assumptions'!$C12*'Economic Assumptions'!$L12,0)</f>
        <v/>
      </c>
      <c r="AH49" s="301">
        <f>IF('Economic Assumptions'!$B12+'Project Assumptions'!$D$15+'Project Assumptions'!$D$16-1='Detailed Cashflows'!AH$5,-'Economic Assumptions'!$C12*'Economic Assumptions'!$L12,0)</f>
        <v/>
      </c>
      <c r="AI49" s="301">
        <f>IF('Economic Assumptions'!$B12+'Project Assumptions'!$D$15+'Project Assumptions'!$D$16-1='Detailed Cashflows'!AI$5,-'Economic Assumptions'!$C12*'Economic Assumptions'!$L12,0)</f>
        <v/>
      </c>
      <c r="AJ49" s="301">
        <f>IF('Economic Assumptions'!$B12+'Project Assumptions'!$D$15+'Project Assumptions'!$D$16-1='Detailed Cashflows'!AJ$5,-'Economic Assumptions'!$C12*'Economic Assumptions'!$L12,0)</f>
        <v/>
      </c>
      <c r="AK49" s="301">
        <f>IF('Economic Assumptions'!$B12+'Project Assumptions'!$D$15+'Project Assumptions'!$D$16-1='Detailed Cashflows'!AK$5,-'Economic Assumptions'!$C12*'Economic Assumptions'!$L12,0)</f>
        <v/>
      </c>
      <c r="AL49" s="301">
        <f>IF('Economic Assumptions'!$B12+'Project Assumptions'!$D$15+'Project Assumptions'!$D$16-1='Detailed Cashflows'!AL$5,-'Economic Assumptions'!$C12*'Economic Assumptions'!$L12,0)</f>
        <v/>
      </c>
      <c r="AM49" s="301">
        <f>IF('Economic Assumptions'!$B12+'Project Assumptions'!$D$15+'Project Assumptions'!$D$16-1='Detailed Cashflows'!AM$5,-'Economic Assumptions'!$C12*'Economic Assumptions'!$L12,0)</f>
        <v/>
      </c>
      <c r="AN49" s="301">
        <f>IF('Economic Assumptions'!$B12+'Project Assumptions'!$D$15+'Project Assumptions'!$D$16-1='Detailed Cashflows'!AN$5,-'Economic Assumptions'!$C12*'Economic Assumptions'!$L12,0)</f>
        <v/>
      </c>
      <c r="AO49" s="301">
        <f>IF('Economic Assumptions'!$B12+'Project Assumptions'!$D$15+'Project Assumptions'!$D$16-1='Detailed Cashflows'!AO$5,-'Economic Assumptions'!$C12*'Economic Assumptions'!$L12,0)</f>
        <v/>
      </c>
      <c r="AP49" s="301">
        <f>IF('Economic Assumptions'!$B12+'Project Assumptions'!$D$15+'Project Assumptions'!$D$16-1='Detailed Cashflows'!AP$5,-'Economic Assumptions'!$C12*'Economic Assumptions'!$L12,0)</f>
        <v/>
      </c>
      <c r="AQ49" s="301">
        <f>IF('Economic Assumptions'!$B12+'Project Assumptions'!$D$15+'Project Assumptions'!$D$16-1='Detailed Cashflows'!AQ$5,-'Economic Assumptions'!$C12*'Economic Assumptions'!$L12,0)</f>
        <v/>
      </c>
      <c r="AR49" s="301">
        <f>IF('Economic Assumptions'!$B12+'Project Assumptions'!$D$15+'Project Assumptions'!$D$16-1='Detailed Cashflows'!AR$5,-'Economic Assumptions'!$C12*'Economic Assumptions'!$L12,0)</f>
        <v/>
      </c>
      <c r="AS49" s="301">
        <f>IF('Economic Assumptions'!$B12+'Project Assumptions'!$D$15+'Project Assumptions'!$D$16-1='Detailed Cashflows'!AS$5,-'Economic Assumptions'!$C12*'Economic Assumptions'!$L12,0)</f>
        <v/>
      </c>
      <c r="AT49" s="301">
        <f>IF('Economic Assumptions'!$B12+'Project Assumptions'!$D$15+'Project Assumptions'!$D$16-1='Detailed Cashflows'!AT$5,-'Economic Assumptions'!$C12*'Economic Assumptions'!$L12,0)</f>
        <v/>
      </c>
      <c r="AU49" s="301">
        <f>IF('Economic Assumptions'!$B12+'Project Assumptions'!$D$15+'Project Assumptions'!$D$16-1='Detailed Cashflows'!AU$5,-'Economic Assumptions'!$C12*'Economic Assumptions'!$L12,0)</f>
        <v/>
      </c>
      <c r="AV49" s="301">
        <f>IF('Economic Assumptions'!$B12+'Project Assumptions'!$D$15+'Project Assumptions'!$D$16-1='Detailed Cashflows'!AV$5,-'Economic Assumptions'!$C12*'Economic Assumptions'!$L12,0)</f>
        <v/>
      </c>
      <c r="AW49" s="301">
        <f>IF('Economic Assumptions'!$B12+'Project Assumptions'!$D$15+'Project Assumptions'!$D$16-1='Detailed Cashflows'!AW$5,-'Economic Assumptions'!$C12*'Economic Assumptions'!$L12,0)</f>
        <v/>
      </c>
      <c r="AX49" s="301">
        <f>IF('Economic Assumptions'!$B12+'Project Assumptions'!$D$15+'Project Assumptions'!$D$16-1='Detailed Cashflows'!AX$5,-'Economic Assumptions'!$C12*'Economic Assumptions'!$L12,0)</f>
        <v/>
      </c>
      <c r="AY49" s="301">
        <f>IF('Economic Assumptions'!$B12+'Project Assumptions'!$D$15+'Project Assumptions'!$D$16-1='Detailed Cashflows'!AY$5,-'Economic Assumptions'!$C12*'Economic Assumptions'!$L12,0)</f>
        <v/>
      </c>
      <c r="AZ49" s="301">
        <f>IF('Economic Assumptions'!$B12+'Project Assumptions'!$D$15+'Project Assumptions'!$D$16-1='Detailed Cashflows'!AZ$5,-'Economic Assumptions'!$C12*'Economic Assumptions'!$L12,0)</f>
        <v/>
      </c>
      <c r="BA49" s="301">
        <f>IF('Economic Assumptions'!$B12+'Project Assumptions'!$D$15+'Project Assumptions'!$D$16-1='Detailed Cashflows'!BA$5,-'Economic Assumptions'!$C12*'Economic Assumptions'!$L12,0)</f>
        <v/>
      </c>
      <c r="BB49" s="301">
        <f>IF('Economic Assumptions'!$B12+'Project Assumptions'!$D$15+'Project Assumptions'!$D$16-1='Detailed Cashflows'!BB$5,-'Economic Assumptions'!$C12*'Economic Assumptions'!$L12,0)</f>
        <v/>
      </c>
      <c r="BC49" s="301">
        <f>IF('Economic Assumptions'!$B12+'Project Assumptions'!$D$15+'Project Assumptions'!$D$16-1='Detailed Cashflows'!BC$5,-'Economic Assumptions'!$C12*'Economic Assumptions'!$L12,0)</f>
        <v/>
      </c>
      <c r="BD49" s="301">
        <f>IF('Economic Assumptions'!$B12+'Project Assumptions'!$D$15+'Project Assumptions'!$D$16-1='Detailed Cashflows'!BD$5,-'Economic Assumptions'!$C12*'Economic Assumptions'!$L12,0)</f>
        <v/>
      </c>
      <c r="BE49" s="301">
        <f>IF('Economic Assumptions'!$B12+'Project Assumptions'!$D$15+'Project Assumptions'!$D$16-1='Detailed Cashflows'!BE$5,-'Economic Assumptions'!$C12*'Economic Assumptions'!$L12,0)</f>
        <v/>
      </c>
      <c r="BF49" s="301">
        <f>IF('Economic Assumptions'!$B12+'Project Assumptions'!$D$15+'Project Assumptions'!$D$16-1='Detailed Cashflows'!BF$5,-'Economic Assumptions'!$C12*'Economic Assumptions'!$L12,0)</f>
        <v/>
      </c>
      <c r="BG49" s="301">
        <f>IF('Economic Assumptions'!$B12+'Project Assumptions'!$D$15+'Project Assumptions'!$D$16-1='Detailed Cashflows'!BG$5,-'Economic Assumptions'!$C12*'Economic Assumptions'!$L12,0)</f>
        <v/>
      </c>
      <c r="BH49" s="301">
        <f>IF('Economic Assumptions'!$B12+'Project Assumptions'!$D$15+'Project Assumptions'!$D$16-1='Detailed Cashflows'!BH$5,-'Economic Assumptions'!$C12*'Economic Assumptions'!$L12,0)</f>
        <v/>
      </c>
      <c r="BI49" s="301">
        <f>IF('Economic Assumptions'!$B12+'Project Assumptions'!$D$15+'Project Assumptions'!$D$16-1='Detailed Cashflows'!BI$5,-'Economic Assumptions'!$C12*'Economic Assumptions'!$L12,0)</f>
        <v/>
      </c>
      <c r="BJ49" s="301">
        <f>IF('Economic Assumptions'!$B12+'Project Assumptions'!$D$15+'Project Assumptions'!$D$16-1='Detailed Cashflows'!BJ$5,-'Economic Assumptions'!$C12*'Economic Assumptions'!$L12,0)</f>
        <v/>
      </c>
      <c r="BK49" s="301">
        <f>IF('Economic Assumptions'!$B12+'Project Assumptions'!$D$15+'Project Assumptions'!$D$16-1='Detailed Cashflows'!BK$5,-'Economic Assumptions'!$C12*'Economic Assumptions'!$L12,0)</f>
        <v/>
      </c>
      <c r="BL49" s="301">
        <f>IF('Economic Assumptions'!$B12+'Project Assumptions'!$D$15+'Project Assumptions'!$D$16-1='Detailed Cashflows'!BL$5,-'Economic Assumptions'!$C12*'Economic Assumptions'!$L12,0)</f>
        <v/>
      </c>
      <c r="BM49" s="301">
        <f>IF('Economic Assumptions'!$B12+'Project Assumptions'!$D$15+'Project Assumptions'!$D$16-1='Detailed Cashflows'!BM$5,-'Economic Assumptions'!$C12*'Economic Assumptions'!$L12,0)</f>
        <v/>
      </c>
      <c r="BN49" s="301">
        <f>IF('Economic Assumptions'!$B12+'Project Assumptions'!$D$15+'Project Assumptions'!$D$16-1='Detailed Cashflows'!BN$5,-'Economic Assumptions'!$C12*'Economic Assumptions'!$L12,0)</f>
        <v/>
      </c>
      <c r="BO49" s="301">
        <f>IF('Economic Assumptions'!$B12+'Project Assumptions'!$D$15+'Project Assumptions'!$D$16-1='Detailed Cashflows'!BO$5,-'Economic Assumptions'!$C12*'Economic Assumptions'!$L12,0)</f>
        <v/>
      </c>
      <c r="BP49" s="301">
        <f>IF('Economic Assumptions'!$B12+'Project Assumptions'!$D$15+'Project Assumptions'!$D$16-1='Detailed Cashflows'!BP$5,-'Economic Assumptions'!$C12*'Economic Assumptions'!$L12,0)</f>
        <v/>
      </c>
      <c r="BQ49" s="301">
        <f>IF('Economic Assumptions'!$B12+'Project Assumptions'!$D$15+'Project Assumptions'!$D$16-1='Detailed Cashflows'!BQ$5,-'Economic Assumptions'!$C12*'Economic Assumptions'!$L12,0)</f>
        <v/>
      </c>
      <c r="BR49" s="301">
        <f>IF('Economic Assumptions'!$B12+'Project Assumptions'!$D$15+'Project Assumptions'!$D$16-1='Detailed Cashflows'!BR$5,-'Economic Assumptions'!$C12*'Economic Assumptions'!$L12,0)</f>
        <v/>
      </c>
      <c r="BS49" s="301">
        <f>IF('Economic Assumptions'!$B12+'Project Assumptions'!$D$15+'Project Assumptions'!$D$16-1='Detailed Cashflows'!BS$5,-'Economic Assumptions'!$C12*'Economic Assumptions'!$L12,0)</f>
        <v/>
      </c>
      <c r="BT49" s="301">
        <f>IF('Economic Assumptions'!$B12+'Project Assumptions'!$D$15+'Project Assumptions'!$D$16-1='Detailed Cashflows'!BT$5,-'Economic Assumptions'!$C12*'Economic Assumptions'!$L12,0)</f>
        <v/>
      </c>
      <c r="BU49" s="301">
        <f>IF('Economic Assumptions'!$B12+'Project Assumptions'!$D$15+'Project Assumptions'!$D$16-1='Detailed Cashflows'!BU$5,-'Economic Assumptions'!$C12*'Economic Assumptions'!$L12,0)</f>
        <v/>
      </c>
      <c r="BV49" s="301">
        <f>IF('Economic Assumptions'!$B12+'Project Assumptions'!$D$15+'Project Assumptions'!$D$16-1='Detailed Cashflows'!BV$5,-'Economic Assumptions'!$C12*'Economic Assumptions'!$L12,0)</f>
        <v/>
      </c>
      <c r="BW49" s="301">
        <f>IF('Economic Assumptions'!$B12+'Project Assumptions'!$D$15+'Project Assumptions'!$D$16-1='Detailed Cashflows'!BW$5,-'Economic Assumptions'!$C12*'Economic Assumptions'!$L12,0)</f>
        <v/>
      </c>
      <c r="BX49" s="301">
        <f>IF('Economic Assumptions'!$B12+'Project Assumptions'!$D$15+'Project Assumptions'!$D$16-1='Detailed Cashflows'!BX$5,-'Economic Assumptions'!$C12*'Economic Assumptions'!$L12,0)</f>
        <v/>
      </c>
      <c r="BY49" s="301">
        <f>IF('Economic Assumptions'!$B12+'Project Assumptions'!$D$15+'Project Assumptions'!$D$16-1='Detailed Cashflows'!BY$5,-'Economic Assumptions'!$C12*'Economic Assumptions'!$L12,0)</f>
        <v/>
      </c>
      <c r="BZ49" s="301">
        <f>IF('Economic Assumptions'!$B12+'Project Assumptions'!$D$15+'Project Assumptions'!$D$16-1='Detailed Cashflows'!BZ$5,-'Economic Assumptions'!$C12*'Economic Assumptions'!$L12,0)</f>
        <v/>
      </c>
      <c r="CA49" s="301">
        <f>IF('Economic Assumptions'!$B12+'Project Assumptions'!$D$15+'Project Assumptions'!$D$16-1='Detailed Cashflows'!CA$5,-'Economic Assumptions'!$C12*'Economic Assumptions'!$L12,0)</f>
        <v/>
      </c>
      <c r="CB49" s="301">
        <f>IF('Economic Assumptions'!$B12+'Project Assumptions'!$D$15+'Project Assumptions'!$D$16-1='Detailed Cashflows'!CB$5,-'Economic Assumptions'!$C12*'Economic Assumptions'!$L12,0)</f>
        <v/>
      </c>
      <c r="CC49" s="301">
        <f>IF('Economic Assumptions'!$B12+'Project Assumptions'!$D$15+'Project Assumptions'!$D$16-1='Detailed Cashflows'!CC$5,-'Economic Assumptions'!$C12*'Economic Assumptions'!$L12,0)</f>
        <v/>
      </c>
      <c r="CD49" s="301">
        <f>IF('Economic Assumptions'!$B12+'Project Assumptions'!$D$15+'Project Assumptions'!$D$16-1='Detailed Cashflows'!CD$5,-'Economic Assumptions'!$C12*'Economic Assumptions'!$L12,0)</f>
        <v/>
      </c>
      <c r="CE49" s="301">
        <f>IF('Economic Assumptions'!$B12+'Project Assumptions'!$D$15+'Project Assumptions'!$D$16-1='Detailed Cashflows'!CE$5,-'Economic Assumptions'!$C12*'Economic Assumptions'!$L12,0)</f>
        <v/>
      </c>
      <c r="CF49" s="301">
        <f>IF('Economic Assumptions'!$B12+'Project Assumptions'!$D$15+'Project Assumptions'!$D$16-1='Detailed Cashflows'!CF$5,-'Economic Assumptions'!$C12*'Economic Assumptions'!$L12,0)</f>
        <v/>
      </c>
      <c r="CG49" s="301">
        <f>IF('Economic Assumptions'!$B12+'Project Assumptions'!$D$15+'Project Assumptions'!$D$16-1='Detailed Cashflows'!CG$5,-'Economic Assumptions'!$C12*'Economic Assumptions'!$L12,0)</f>
        <v/>
      </c>
      <c r="CH49" s="301">
        <f>IF('Economic Assumptions'!$B12+'Project Assumptions'!$D$15+'Project Assumptions'!$D$16-1='Detailed Cashflows'!CH$5,-'Economic Assumptions'!$C12*'Economic Assumptions'!$L12,0)</f>
        <v/>
      </c>
      <c r="CI49" s="301">
        <f>IF('Economic Assumptions'!$B12+'Project Assumptions'!$D$15+'Project Assumptions'!$D$16-1='Detailed Cashflows'!CI$5,-'Economic Assumptions'!$C12*'Economic Assumptions'!$L12,0)</f>
        <v/>
      </c>
      <c r="CJ49" s="301">
        <f>IF('Economic Assumptions'!$B12+'Project Assumptions'!$D$15+'Project Assumptions'!$D$16-1='Detailed Cashflows'!CJ$5,-'Economic Assumptions'!$C12*'Economic Assumptions'!$L12,0)</f>
        <v/>
      </c>
      <c r="CK49" s="301">
        <f>IF('Economic Assumptions'!$B12+'Project Assumptions'!$D$15+'Project Assumptions'!$D$16-1='Detailed Cashflows'!CK$5,-'Economic Assumptions'!$C12*'Economic Assumptions'!$L12,0)</f>
        <v/>
      </c>
      <c r="CL49" s="301">
        <f>IF('Economic Assumptions'!$B12+'Project Assumptions'!$D$15+'Project Assumptions'!$D$16-1='Detailed Cashflows'!CL$5,-'Economic Assumptions'!$C12*'Economic Assumptions'!$L12,0)</f>
        <v/>
      </c>
      <c r="CM49" s="301">
        <f>IF('Economic Assumptions'!$B12+'Project Assumptions'!$D$15+'Project Assumptions'!$D$16-1='Detailed Cashflows'!CM$5,-'Economic Assumptions'!$C12*'Economic Assumptions'!$L12,0)</f>
        <v/>
      </c>
      <c r="CN49" s="301">
        <f>IF('Economic Assumptions'!$B12+'Project Assumptions'!$D$15+'Project Assumptions'!$D$16-1='Detailed Cashflows'!CN$5,-'Economic Assumptions'!$C12*'Economic Assumptions'!$L12,0)</f>
        <v/>
      </c>
      <c r="CO49" s="301">
        <f>IF('Economic Assumptions'!$B12+'Project Assumptions'!$D$15+'Project Assumptions'!$D$16-1='Detailed Cashflows'!CO$5,-'Economic Assumptions'!$C12*'Economic Assumptions'!$L12,0)</f>
        <v/>
      </c>
      <c r="CP49" s="301">
        <f>IF('Economic Assumptions'!$B12+'Project Assumptions'!$D$15+'Project Assumptions'!$D$16-1='Detailed Cashflows'!CP$5,-'Economic Assumptions'!$C12*'Economic Assumptions'!$L12,0)</f>
        <v/>
      </c>
      <c r="CQ49" s="301">
        <f>IF('Economic Assumptions'!$B12+'Project Assumptions'!$D$15+'Project Assumptions'!$D$16-1='Detailed Cashflows'!CQ$5,-'Economic Assumptions'!$C12*'Economic Assumptions'!$L12,0)</f>
        <v/>
      </c>
      <c r="CR49" s="301">
        <f>IF('Economic Assumptions'!$B12+'Project Assumptions'!$D$15+'Project Assumptions'!$D$16-1='Detailed Cashflows'!CR$5,-'Economic Assumptions'!$C12*'Economic Assumptions'!$L12,0)</f>
        <v/>
      </c>
      <c r="CS49" s="301">
        <f>IF('Economic Assumptions'!$B12+'Project Assumptions'!$D$15+'Project Assumptions'!$D$16-1='Detailed Cashflows'!CS$5,-'Economic Assumptions'!$C12*'Economic Assumptions'!$L12,0)</f>
        <v/>
      </c>
      <c r="CT49" s="301">
        <f>IF('Economic Assumptions'!$B12+'Project Assumptions'!$D$15+'Project Assumptions'!$D$16-1='Detailed Cashflows'!CT$5,-'Economic Assumptions'!$C12*'Economic Assumptions'!$L12,0)</f>
        <v/>
      </c>
      <c r="CU49" s="301">
        <f>IF('Economic Assumptions'!$B12+'Project Assumptions'!$D$15+'Project Assumptions'!$D$16-1='Detailed Cashflows'!CU$5,-'Economic Assumptions'!$C12*'Economic Assumptions'!$L12,0)</f>
        <v/>
      </c>
      <c r="CV49" s="301">
        <f>IF('Economic Assumptions'!$B12+'Project Assumptions'!$D$15+'Project Assumptions'!$D$16-1='Detailed Cashflows'!CV$5,-'Economic Assumptions'!$C12*'Economic Assumptions'!$L12,0)</f>
        <v/>
      </c>
      <c r="CW49" s="301">
        <f>IF('Economic Assumptions'!$B12+'Project Assumptions'!$D$15+'Project Assumptions'!$D$16-1='Detailed Cashflows'!CW$5,-'Economic Assumptions'!$C12*'Economic Assumptions'!$L12,0)</f>
        <v/>
      </c>
      <c r="CX49" s="301">
        <f>IF('Economic Assumptions'!$B12+'Project Assumptions'!$D$15+'Project Assumptions'!$D$16-1='Detailed Cashflows'!CX$5,-'Economic Assumptions'!$C12*'Economic Assumptions'!$L12,0)</f>
        <v/>
      </c>
      <c r="CY49" s="301">
        <f>IF('Economic Assumptions'!$B12+'Project Assumptions'!$D$15+'Project Assumptions'!$D$16-1='Detailed Cashflows'!CY$5,-'Economic Assumptions'!$C12*'Economic Assumptions'!$L12,0)</f>
        <v/>
      </c>
      <c r="CZ49" s="301">
        <f>IF('Economic Assumptions'!$B12+'Project Assumptions'!$D$15+'Project Assumptions'!$D$16-1='Detailed Cashflows'!CZ$5,-'Economic Assumptions'!$C12*'Economic Assumptions'!$L12,0)</f>
        <v/>
      </c>
      <c r="DA49" s="301">
        <f>IF('Economic Assumptions'!$B12+'Project Assumptions'!$D$15+'Project Assumptions'!$D$16-1='Detailed Cashflows'!DA$5,-'Economic Assumptions'!$C12*'Economic Assumptions'!$L12,0)</f>
        <v/>
      </c>
      <c r="DB49" s="301">
        <f>IF('Economic Assumptions'!$B12+'Project Assumptions'!$D$15+'Project Assumptions'!$D$16-1='Detailed Cashflows'!DB$5,-'Economic Assumptions'!$C12*'Economic Assumptions'!$L12,0)</f>
        <v/>
      </c>
      <c r="DC49" s="301" t="n"/>
      <c r="DD49" s="299">
        <f>SUM(F49:DB49)</f>
        <v/>
      </c>
    </row>
    <row r="50" hidden="1" outlineLevel="1" ht="14.1" customFormat="1" customHeight="1" s="302">
      <c r="A50" s="1000" t="n"/>
      <c r="B50" s="303">
        <f>'Economic Assumptions'!$A$13</f>
        <v/>
      </c>
      <c r="C50" s="298" t="n"/>
      <c r="D50" s="299">
        <f>DD50</f>
        <v/>
      </c>
      <c r="E50" s="300" t="n"/>
      <c r="F50" s="301">
        <f>IF('Economic Assumptions'!$B13+'Project Assumptions'!$D$15+'Project Assumptions'!$D$16-1='Detailed Cashflows'!F$5,-'Economic Assumptions'!$C13*'Economic Assumptions'!$L13,0)</f>
        <v/>
      </c>
      <c r="G50" s="301">
        <f>IF('Economic Assumptions'!$B13+'Project Assumptions'!$D$15+'Project Assumptions'!$D$16-1='Detailed Cashflows'!G$5,-'Economic Assumptions'!$C13*'Economic Assumptions'!$L13,0)</f>
        <v/>
      </c>
      <c r="H50" s="301">
        <f>IF('Economic Assumptions'!$B13+'Project Assumptions'!$D$15+'Project Assumptions'!$D$16-1='Detailed Cashflows'!H$5,-'Economic Assumptions'!$C13*'Economic Assumptions'!$L13,0)</f>
        <v/>
      </c>
      <c r="I50" s="301">
        <f>IF('Economic Assumptions'!$B13+'Project Assumptions'!$D$15+'Project Assumptions'!$D$16-1='Detailed Cashflows'!I$5,-'Economic Assumptions'!$C13*'Economic Assumptions'!$L13,0)</f>
        <v/>
      </c>
      <c r="J50" s="301">
        <f>IF('Economic Assumptions'!$B13+'Project Assumptions'!$D$15+'Project Assumptions'!$D$16-1='Detailed Cashflows'!J$5,-'Economic Assumptions'!$C13*'Economic Assumptions'!$L13,0)</f>
        <v/>
      </c>
      <c r="K50" s="301">
        <f>IF('Economic Assumptions'!$B13+'Project Assumptions'!$D$15+'Project Assumptions'!$D$16-1='Detailed Cashflows'!K$5,-'Economic Assumptions'!$C13*'Economic Assumptions'!$L13,0)</f>
        <v/>
      </c>
      <c r="L50" s="301">
        <f>IF('Economic Assumptions'!$B13+'Project Assumptions'!$D$15+'Project Assumptions'!$D$16-1='Detailed Cashflows'!L$5,-'Economic Assumptions'!$C13*'Economic Assumptions'!$L13,0)</f>
        <v/>
      </c>
      <c r="M50" s="301">
        <f>IF('Economic Assumptions'!$B13+'Project Assumptions'!$D$15+'Project Assumptions'!$D$16-1='Detailed Cashflows'!M$5,-'Economic Assumptions'!$C13*'Economic Assumptions'!$L13,0)</f>
        <v/>
      </c>
      <c r="N50" s="301">
        <f>IF('Economic Assumptions'!$B13+'Project Assumptions'!$D$15+'Project Assumptions'!$D$16-1='Detailed Cashflows'!N$5,-'Economic Assumptions'!$C13*'Economic Assumptions'!$L13,0)</f>
        <v/>
      </c>
      <c r="O50" s="301">
        <f>IF('Economic Assumptions'!$B13+'Project Assumptions'!$D$15+'Project Assumptions'!$D$16-1='Detailed Cashflows'!O$5,-'Economic Assumptions'!$C13*'Economic Assumptions'!$L13,0)</f>
        <v/>
      </c>
      <c r="P50" s="301">
        <f>IF('Economic Assumptions'!$B13+'Project Assumptions'!$D$15+'Project Assumptions'!$D$16-1='Detailed Cashflows'!P$5,-'Economic Assumptions'!$C13*'Economic Assumptions'!$L13,0)</f>
        <v/>
      </c>
      <c r="Q50" s="301">
        <f>IF('Economic Assumptions'!$B13+'Project Assumptions'!$D$15+'Project Assumptions'!$D$16-1='Detailed Cashflows'!Q$5,-'Economic Assumptions'!$C13*'Economic Assumptions'!$L13,0)</f>
        <v/>
      </c>
      <c r="R50" s="301">
        <f>IF('Economic Assumptions'!$B13+'Project Assumptions'!$D$15+'Project Assumptions'!$D$16-1='Detailed Cashflows'!R$5,-'Economic Assumptions'!$C13*'Economic Assumptions'!$L13,0)</f>
        <v/>
      </c>
      <c r="S50" s="301">
        <f>IF('Economic Assumptions'!$B13+'Project Assumptions'!$D$15+'Project Assumptions'!$D$16-1='Detailed Cashflows'!S$5,-'Economic Assumptions'!$C13*'Economic Assumptions'!$L13,0)</f>
        <v/>
      </c>
      <c r="T50" s="301">
        <f>IF('Economic Assumptions'!$B13+'Project Assumptions'!$D$15+'Project Assumptions'!$D$16-1='Detailed Cashflows'!T$5,-'Economic Assumptions'!$C13*'Economic Assumptions'!$L13,0)</f>
        <v/>
      </c>
      <c r="U50" s="301">
        <f>IF('Economic Assumptions'!$B13+'Project Assumptions'!$D$15+'Project Assumptions'!$D$16-1='Detailed Cashflows'!U$5,-'Economic Assumptions'!$C13*'Economic Assumptions'!$L13,0)</f>
        <v/>
      </c>
      <c r="V50" s="301">
        <f>IF('Economic Assumptions'!$B13+'Project Assumptions'!$D$15+'Project Assumptions'!$D$16-1='Detailed Cashflows'!V$5,-'Economic Assumptions'!$C13*'Economic Assumptions'!$L13,0)</f>
        <v/>
      </c>
      <c r="W50" s="301">
        <f>IF('Economic Assumptions'!$B13+'Project Assumptions'!$D$15+'Project Assumptions'!$D$16-1='Detailed Cashflows'!W$5,-'Economic Assumptions'!$C13*'Economic Assumptions'!$L13,0)</f>
        <v/>
      </c>
      <c r="X50" s="301">
        <f>IF('Economic Assumptions'!$B13+'Project Assumptions'!$D$15+'Project Assumptions'!$D$16-1='Detailed Cashflows'!X$5,-'Economic Assumptions'!$C13*'Economic Assumptions'!$L13,0)</f>
        <v/>
      </c>
      <c r="Y50" s="301">
        <f>IF('Economic Assumptions'!$B13+'Project Assumptions'!$D$15+'Project Assumptions'!$D$16-1='Detailed Cashflows'!Y$5,-'Economic Assumptions'!$C13*'Economic Assumptions'!$L13,0)</f>
        <v/>
      </c>
      <c r="Z50" s="301">
        <f>IF('Economic Assumptions'!$B13+'Project Assumptions'!$D$15+'Project Assumptions'!$D$16-1='Detailed Cashflows'!Z$5,-'Economic Assumptions'!$C13*'Economic Assumptions'!$L13,0)</f>
        <v/>
      </c>
      <c r="AA50" s="301">
        <f>IF('Economic Assumptions'!$B13+'Project Assumptions'!$D$15+'Project Assumptions'!$D$16-1='Detailed Cashflows'!AA$5,-'Economic Assumptions'!$C13*'Economic Assumptions'!$L13,0)</f>
        <v/>
      </c>
      <c r="AB50" s="301">
        <f>IF('Economic Assumptions'!$B13+'Project Assumptions'!$D$15+'Project Assumptions'!$D$16-1='Detailed Cashflows'!AB$5,-'Economic Assumptions'!$C13*'Economic Assumptions'!$L13,0)</f>
        <v/>
      </c>
      <c r="AC50" s="301">
        <f>IF('Economic Assumptions'!$B13+'Project Assumptions'!$D$15+'Project Assumptions'!$D$16-1='Detailed Cashflows'!AC$5,-'Economic Assumptions'!$C13*'Economic Assumptions'!$L13,0)</f>
        <v/>
      </c>
      <c r="AD50" s="301">
        <f>IF('Economic Assumptions'!$B13+'Project Assumptions'!$D$15+'Project Assumptions'!$D$16-1='Detailed Cashflows'!AD$5,-'Economic Assumptions'!$C13*'Economic Assumptions'!$L13,0)</f>
        <v/>
      </c>
      <c r="AE50" s="301">
        <f>IF('Economic Assumptions'!$B13+'Project Assumptions'!$D$15+'Project Assumptions'!$D$16-1='Detailed Cashflows'!AE$5,-'Economic Assumptions'!$C13*'Economic Assumptions'!$L13,0)</f>
        <v/>
      </c>
      <c r="AF50" s="301">
        <f>IF('Economic Assumptions'!$B13+'Project Assumptions'!$D$15+'Project Assumptions'!$D$16-1='Detailed Cashflows'!AF$5,-'Economic Assumptions'!$C13*'Economic Assumptions'!$L13,0)</f>
        <v/>
      </c>
      <c r="AG50" s="301">
        <f>IF('Economic Assumptions'!$B13+'Project Assumptions'!$D$15+'Project Assumptions'!$D$16-1='Detailed Cashflows'!AG$5,-'Economic Assumptions'!$C13*'Economic Assumptions'!$L13,0)</f>
        <v/>
      </c>
      <c r="AH50" s="301">
        <f>IF('Economic Assumptions'!$B13+'Project Assumptions'!$D$15+'Project Assumptions'!$D$16-1='Detailed Cashflows'!AH$5,-'Economic Assumptions'!$C13*'Economic Assumptions'!$L13,0)</f>
        <v/>
      </c>
      <c r="AI50" s="301">
        <f>IF('Economic Assumptions'!$B13+'Project Assumptions'!$D$15+'Project Assumptions'!$D$16-1='Detailed Cashflows'!AI$5,-'Economic Assumptions'!$C13*'Economic Assumptions'!$L13,0)</f>
        <v/>
      </c>
      <c r="AJ50" s="301">
        <f>IF('Economic Assumptions'!$B13+'Project Assumptions'!$D$15+'Project Assumptions'!$D$16-1='Detailed Cashflows'!AJ$5,-'Economic Assumptions'!$C13*'Economic Assumptions'!$L13,0)</f>
        <v/>
      </c>
      <c r="AK50" s="301">
        <f>IF('Economic Assumptions'!$B13+'Project Assumptions'!$D$15+'Project Assumptions'!$D$16-1='Detailed Cashflows'!AK$5,-'Economic Assumptions'!$C13*'Economic Assumptions'!$L13,0)</f>
        <v/>
      </c>
      <c r="AL50" s="301">
        <f>IF('Economic Assumptions'!$B13+'Project Assumptions'!$D$15+'Project Assumptions'!$D$16-1='Detailed Cashflows'!AL$5,-'Economic Assumptions'!$C13*'Economic Assumptions'!$L13,0)</f>
        <v/>
      </c>
      <c r="AM50" s="301">
        <f>IF('Economic Assumptions'!$B13+'Project Assumptions'!$D$15+'Project Assumptions'!$D$16-1='Detailed Cashflows'!AM$5,-'Economic Assumptions'!$C13*'Economic Assumptions'!$L13,0)</f>
        <v/>
      </c>
      <c r="AN50" s="301">
        <f>IF('Economic Assumptions'!$B13+'Project Assumptions'!$D$15+'Project Assumptions'!$D$16-1='Detailed Cashflows'!AN$5,-'Economic Assumptions'!$C13*'Economic Assumptions'!$L13,0)</f>
        <v/>
      </c>
      <c r="AO50" s="301">
        <f>IF('Economic Assumptions'!$B13+'Project Assumptions'!$D$15+'Project Assumptions'!$D$16-1='Detailed Cashflows'!AO$5,-'Economic Assumptions'!$C13*'Economic Assumptions'!$L13,0)</f>
        <v/>
      </c>
      <c r="AP50" s="301">
        <f>IF('Economic Assumptions'!$B13+'Project Assumptions'!$D$15+'Project Assumptions'!$D$16-1='Detailed Cashflows'!AP$5,-'Economic Assumptions'!$C13*'Economic Assumptions'!$L13,0)</f>
        <v/>
      </c>
      <c r="AQ50" s="301">
        <f>IF('Economic Assumptions'!$B13+'Project Assumptions'!$D$15+'Project Assumptions'!$D$16-1='Detailed Cashflows'!AQ$5,-'Economic Assumptions'!$C13*'Economic Assumptions'!$L13,0)</f>
        <v/>
      </c>
      <c r="AR50" s="301">
        <f>IF('Economic Assumptions'!$B13+'Project Assumptions'!$D$15+'Project Assumptions'!$D$16-1='Detailed Cashflows'!AR$5,-'Economic Assumptions'!$C13*'Economic Assumptions'!$L13,0)</f>
        <v/>
      </c>
      <c r="AS50" s="301">
        <f>IF('Economic Assumptions'!$B13+'Project Assumptions'!$D$15+'Project Assumptions'!$D$16-1='Detailed Cashflows'!AS$5,-'Economic Assumptions'!$C13*'Economic Assumptions'!$L13,0)</f>
        <v/>
      </c>
      <c r="AT50" s="301">
        <f>IF('Economic Assumptions'!$B13+'Project Assumptions'!$D$15+'Project Assumptions'!$D$16-1='Detailed Cashflows'!AT$5,-'Economic Assumptions'!$C13*'Economic Assumptions'!$L13,0)</f>
        <v/>
      </c>
      <c r="AU50" s="301">
        <f>IF('Economic Assumptions'!$B13+'Project Assumptions'!$D$15+'Project Assumptions'!$D$16-1='Detailed Cashflows'!AU$5,-'Economic Assumptions'!$C13*'Economic Assumptions'!$L13,0)</f>
        <v/>
      </c>
      <c r="AV50" s="301">
        <f>IF('Economic Assumptions'!$B13+'Project Assumptions'!$D$15+'Project Assumptions'!$D$16-1='Detailed Cashflows'!AV$5,-'Economic Assumptions'!$C13*'Economic Assumptions'!$L13,0)</f>
        <v/>
      </c>
      <c r="AW50" s="301">
        <f>IF('Economic Assumptions'!$B13+'Project Assumptions'!$D$15+'Project Assumptions'!$D$16-1='Detailed Cashflows'!AW$5,-'Economic Assumptions'!$C13*'Economic Assumptions'!$L13,0)</f>
        <v/>
      </c>
      <c r="AX50" s="301">
        <f>IF('Economic Assumptions'!$B13+'Project Assumptions'!$D$15+'Project Assumptions'!$D$16-1='Detailed Cashflows'!AX$5,-'Economic Assumptions'!$C13*'Economic Assumptions'!$L13,0)</f>
        <v/>
      </c>
      <c r="AY50" s="301">
        <f>IF('Economic Assumptions'!$B13+'Project Assumptions'!$D$15+'Project Assumptions'!$D$16-1='Detailed Cashflows'!AY$5,-'Economic Assumptions'!$C13*'Economic Assumptions'!$L13,0)</f>
        <v/>
      </c>
      <c r="AZ50" s="301">
        <f>IF('Economic Assumptions'!$B13+'Project Assumptions'!$D$15+'Project Assumptions'!$D$16-1='Detailed Cashflows'!AZ$5,-'Economic Assumptions'!$C13*'Economic Assumptions'!$L13,0)</f>
        <v/>
      </c>
      <c r="BA50" s="301">
        <f>IF('Economic Assumptions'!$B13+'Project Assumptions'!$D$15+'Project Assumptions'!$D$16-1='Detailed Cashflows'!BA$5,-'Economic Assumptions'!$C13*'Economic Assumptions'!$L13,0)</f>
        <v/>
      </c>
      <c r="BB50" s="301">
        <f>IF('Economic Assumptions'!$B13+'Project Assumptions'!$D$15+'Project Assumptions'!$D$16-1='Detailed Cashflows'!BB$5,-'Economic Assumptions'!$C13*'Economic Assumptions'!$L13,0)</f>
        <v/>
      </c>
      <c r="BC50" s="301">
        <f>IF('Economic Assumptions'!$B13+'Project Assumptions'!$D$15+'Project Assumptions'!$D$16-1='Detailed Cashflows'!BC$5,-'Economic Assumptions'!$C13*'Economic Assumptions'!$L13,0)</f>
        <v/>
      </c>
      <c r="BD50" s="301">
        <f>IF('Economic Assumptions'!$B13+'Project Assumptions'!$D$15+'Project Assumptions'!$D$16-1='Detailed Cashflows'!BD$5,-'Economic Assumptions'!$C13*'Economic Assumptions'!$L13,0)</f>
        <v/>
      </c>
      <c r="BE50" s="301">
        <f>IF('Economic Assumptions'!$B13+'Project Assumptions'!$D$15+'Project Assumptions'!$D$16-1='Detailed Cashflows'!BE$5,-'Economic Assumptions'!$C13*'Economic Assumptions'!$L13,0)</f>
        <v/>
      </c>
      <c r="BF50" s="301">
        <f>IF('Economic Assumptions'!$B13+'Project Assumptions'!$D$15+'Project Assumptions'!$D$16-1='Detailed Cashflows'!BF$5,-'Economic Assumptions'!$C13*'Economic Assumptions'!$L13,0)</f>
        <v/>
      </c>
      <c r="BG50" s="301">
        <f>IF('Economic Assumptions'!$B13+'Project Assumptions'!$D$15+'Project Assumptions'!$D$16-1='Detailed Cashflows'!BG$5,-'Economic Assumptions'!$C13*'Economic Assumptions'!$L13,0)</f>
        <v/>
      </c>
      <c r="BH50" s="301">
        <f>IF('Economic Assumptions'!$B13+'Project Assumptions'!$D$15+'Project Assumptions'!$D$16-1='Detailed Cashflows'!BH$5,-'Economic Assumptions'!$C13*'Economic Assumptions'!$L13,0)</f>
        <v/>
      </c>
      <c r="BI50" s="301">
        <f>IF('Economic Assumptions'!$B13+'Project Assumptions'!$D$15+'Project Assumptions'!$D$16-1='Detailed Cashflows'!BI$5,-'Economic Assumptions'!$C13*'Economic Assumptions'!$L13,0)</f>
        <v/>
      </c>
      <c r="BJ50" s="301">
        <f>IF('Economic Assumptions'!$B13+'Project Assumptions'!$D$15+'Project Assumptions'!$D$16-1='Detailed Cashflows'!BJ$5,-'Economic Assumptions'!$C13*'Economic Assumptions'!$L13,0)</f>
        <v/>
      </c>
      <c r="BK50" s="301">
        <f>IF('Economic Assumptions'!$B13+'Project Assumptions'!$D$15+'Project Assumptions'!$D$16-1='Detailed Cashflows'!BK$5,-'Economic Assumptions'!$C13*'Economic Assumptions'!$L13,0)</f>
        <v/>
      </c>
      <c r="BL50" s="301">
        <f>IF('Economic Assumptions'!$B13+'Project Assumptions'!$D$15+'Project Assumptions'!$D$16-1='Detailed Cashflows'!BL$5,-'Economic Assumptions'!$C13*'Economic Assumptions'!$L13,0)</f>
        <v/>
      </c>
      <c r="BM50" s="301">
        <f>IF('Economic Assumptions'!$B13+'Project Assumptions'!$D$15+'Project Assumptions'!$D$16-1='Detailed Cashflows'!BM$5,-'Economic Assumptions'!$C13*'Economic Assumptions'!$L13,0)</f>
        <v/>
      </c>
      <c r="BN50" s="301">
        <f>IF('Economic Assumptions'!$B13+'Project Assumptions'!$D$15+'Project Assumptions'!$D$16-1='Detailed Cashflows'!BN$5,-'Economic Assumptions'!$C13*'Economic Assumptions'!$L13,0)</f>
        <v/>
      </c>
      <c r="BO50" s="301">
        <f>IF('Economic Assumptions'!$B13+'Project Assumptions'!$D$15+'Project Assumptions'!$D$16-1='Detailed Cashflows'!BO$5,-'Economic Assumptions'!$C13*'Economic Assumptions'!$L13,0)</f>
        <v/>
      </c>
      <c r="BP50" s="301">
        <f>IF('Economic Assumptions'!$B13+'Project Assumptions'!$D$15+'Project Assumptions'!$D$16-1='Detailed Cashflows'!BP$5,-'Economic Assumptions'!$C13*'Economic Assumptions'!$L13,0)</f>
        <v/>
      </c>
      <c r="BQ50" s="301">
        <f>IF('Economic Assumptions'!$B13+'Project Assumptions'!$D$15+'Project Assumptions'!$D$16-1='Detailed Cashflows'!BQ$5,-'Economic Assumptions'!$C13*'Economic Assumptions'!$L13,0)</f>
        <v/>
      </c>
      <c r="BR50" s="301">
        <f>IF('Economic Assumptions'!$B13+'Project Assumptions'!$D$15+'Project Assumptions'!$D$16-1='Detailed Cashflows'!BR$5,-'Economic Assumptions'!$C13*'Economic Assumptions'!$L13,0)</f>
        <v/>
      </c>
      <c r="BS50" s="301">
        <f>IF('Economic Assumptions'!$B13+'Project Assumptions'!$D$15+'Project Assumptions'!$D$16-1='Detailed Cashflows'!BS$5,-'Economic Assumptions'!$C13*'Economic Assumptions'!$L13,0)</f>
        <v/>
      </c>
      <c r="BT50" s="301">
        <f>IF('Economic Assumptions'!$B13+'Project Assumptions'!$D$15+'Project Assumptions'!$D$16-1='Detailed Cashflows'!BT$5,-'Economic Assumptions'!$C13*'Economic Assumptions'!$L13,0)</f>
        <v/>
      </c>
      <c r="BU50" s="301">
        <f>IF('Economic Assumptions'!$B13+'Project Assumptions'!$D$15+'Project Assumptions'!$D$16-1='Detailed Cashflows'!BU$5,-'Economic Assumptions'!$C13*'Economic Assumptions'!$L13,0)</f>
        <v/>
      </c>
      <c r="BV50" s="301">
        <f>IF('Economic Assumptions'!$B13+'Project Assumptions'!$D$15+'Project Assumptions'!$D$16-1='Detailed Cashflows'!BV$5,-'Economic Assumptions'!$C13*'Economic Assumptions'!$L13,0)</f>
        <v/>
      </c>
      <c r="BW50" s="301">
        <f>IF('Economic Assumptions'!$B13+'Project Assumptions'!$D$15+'Project Assumptions'!$D$16-1='Detailed Cashflows'!BW$5,-'Economic Assumptions'!$C13*'Economic Assumptions'!$L13,0)</f>
        <v/>
      </c>
      <c r="BX50" s="301">
        <f>IF('Economic Assumptions'!$B13+'Project Assumptions'!$D$15+'Project Assumptions'!$D$16-1='Detailed Cashflows'!BX$5,-'Economic Assumptions'!$C13*'Economic Assumptions'!$L13,0)</f>
        <v/>
      </c>
      <c r="BY50" s="301">
        <f>IF('Economic Assumptions'!$B13+'Project Assumptions'!$D$15+'Project Assumptions'!$D$16-1='Detailed Cashflows'!BY$5,-'Economic Assumptions'!$C13*'Economic Assumptions'!$L13,0)</f>
        <v/>
      </c>
      <c r="BZ50" s="301">
        <f>IF('Economic Assumptions'!$B13+'Project Assumptions'!$D$15+'Project Assumptions'!$D$16-1='Detailed Cashflows'!BZ$5,-'Economic Assumptions'!$C13*'Economic Assumptions'!$L13,0)</f>
        <v/>
      </c>
      <c r="CA50" s="301">
        <f>IF('Economic Assumptions'!$B13+'Project Assumptions'!$D$15+'Project Assumptions'!$D$16-1='Detailed Cashflows'!CA$5,-'Economic Assumptions'!$C13*'Economic Assumptions'!$L13,0)</f>
        <v/>
      </c>
      <c r="CB50" s="301">
        <f>IF('Economic Assumptions'!$B13+'Project Assumptions'!$D$15+'Project Assumptions'!$D$16-1='Detailed Cashflows'!CB$5,-'Economic Assumptions'!$C13*'Economic Assumptions'!$L13,0)</f>
        <v/>
      </c>
      <c r="CC50" s="301">
        <f>IF('Economic Assumptions'!$B13+'Project Assumptions'!$D$15+'Project Assumptions'!$D$16-1='Detailed Cashflows'!CC$5,-'Economic Assumptions'!$C13*'Economic Assumptions'!$L13,0)</f>
        <v/>
      </c>
      <c r="CD50" s="301">
        <f>IF('Economic Assumptions'!$B13+'Project Assumptions'!$D$15+'Project Assumptions'!$D$16-1='Detailed Cashflows'!CD$5,-'Economic Assumptions'!$C13*'Economic Assumptions'!$L13,0)</f>
        <v/>
      </c>
      <c r="CE50" s="301">
        <f>IF('Economic Assumptions'!$B13+'Project Assumptions'!$D$15+'Project Assumptions'!$D$16-1='Detailed Cashflows'!CE$5,-'Economic Assumptions'!$C13*'Economic Assumptions'!$L13,0)</f>
        <v/>
      </c>
      <c r="CF50" s="301">
        <f>IF('Economic Assumptions'!$B13+'Project Assumptions'!$D$15+'Project Assumptions'!$D$16-1='Detailed Cashflows'!CF$5,-'Economic Assumptions'!$C13*'Economic Assumptions'!$L13,0)</f>
        <v/>
      </c>
      <c r="CG50" s="301">
        <f>IF('Economic Assumptions'!$B13+'Project Assumptions'!$D$15+'Project Assumptions'!$D$16-1='Detailed Cashflows'!CG$5,-'Economic Assumptions'!$C13*'Economic Assumptions'!$L13,0)</f>
        <v/>
      </c>
      <c r="CH50" s="301">
        <f>IF('Economic Assumptions'!$B13+'Project Assumptions'!$D$15+'Project Assumptions'!$D$16-1='Detailed Cashflows'!CH$5,-'Economic Assumptions'!$C13*'Economic Assumptions'!$L13,0)</f>
        <v/>
      </c>
      <c r="CI50" s="301">
        <f>IF('Economic Assumptions'!$B13+'Project Assumptions'!$D$15+'Project Assumptions'!$D$16-1='Detailed Cashflows'!CI$5,-'Economic Assumptions'!$C13*'Economic Assumptions'!$L13,0)</f>
        <v/>
      </c>
      <c r="CJ50" s="301">
        <f>IF('Economic Assumptions'!$B13+'Project Assumptions'!$D$15+'Project Assumptions'!$D$16-1='Detailed Cashflows'!CJ$5,-'Economic Assumptions'!$C13*'Economic Assumptions'!$L13,0)</f>
        <v/>
      </c>
      <c r="CK50" s="301">
        <f>IF('Economic Assumptions'!$B13+'Project Assumptions'!$D$15+'Project Assumptions'!$D$16-1='Detailed Cashflows'!CK$5,-'Economic Assumptions'!$C13*'Economic Assumptions'!$L13,0)</f>
        <v/>
      </c>
      <c r="CL50" s="301">
        <f>IF('Economic Assumptions'!$B13+'Project Assumptions'!$D$15+'Project Assumptions'!$D$16-1='Detailed Cashflows'!CL$5,-'Economic Assumptions'!$C13*'Economic Assumptions'!$L13,0)</f>
        <v/>
      </c>
      <c r="CM50" s="301">
        <f>IF('Economic Assumptions'!$B13+'Project Assumptions'!$D$15+'Project Assumptions'!$D$16-1='Detailed Cashflows'!CM$5,-'Economic Assumptions'!$C13*'Economic Assumptions'!$L13,0)</f>
        <v/>
      </c>
      <c r="CN50" s="301">
        <f>IF('Economic Assumptions'!$B13+'Project Assumptions'!$D$15+'Project Assumptions'!$D$16-1='Detailed Cashflows'!CN$5,-'Economic Assumptions'!$C13*'Economic Assumptions'!$L13,0)</f>
        <v/>
      </c>
      <c r="CO50" s="301">
        <f>IF('Economic Assumptions'!$B13+'Project Assumptions'!$D$15+'Project Assumptions'!$D$16-1='Detailed Cashflows'!CO$5,-'Economic Assumptions'!$C13*'Economic Assumptions'!$L13,0)</f>
        <v/>
      </c>
      <c r="CP50" s="301">
        <f>IF('Economic Assumptions'!$B13+'Project Assumptions'!$D$15+'Project Assumptions'!$D$16-1='Detailed Cashflows'!CP$5,-'Economic Assumptions'!$C13*'Economic Assumptions'!$L13,0)</f>
        <v/>
      </c>
      <c r="CQ50" s="301">
        <f>IF('Economic Assumptions'!$B13+'Project Assumptions'!$D$15+'Project Assumptions'!$D$16-1='Detailed Cashflows'!CQ$5,-'Economic Assumptions'!$C13*'Economic Assumptions'!$L13,0)</f>
        <v/>
      </c>
      <c r="CR50" s="301">
        <f>IF('Economic Assumptions'!$B13+'Project Assumptions'!$D$15+'Project Assumptions'!$D$16-1='Detailed Cashflows'!CR$5,-'Economic Assumptions'!$C13*'Economic Assumptions'!$L13,0)</f>
        <v/>
      </c>
      <c r="CS50" s="301">
        <f>IF('Economic Assumptions'!$B13+'Project Assumptions'!$D$15+'Project Assumptions'!$D$16-1='Detailed Cashflows'!CS$5,-'Economic Assumptions'!$C13*'Economic Assumptions'!$L13,0)</f>
        <v/>
      </c>
      <c r="CT50" s="301">
        <f>IF('Economic Assumptions'!$B13+'Project Assumptions'!$D$15+'Project Assumptions'!$D$16-1='Detailed Cashflows'!CT$5,-'Economic Assumptions'!$C13*'Economic Assumptions'!$L13,0)</f>
        <v/>
      </c>
      <c r="CU50" s="301">
        <f>IF('Economic Assumptions'!$B13+'Project Assumptions'!$D$15+'Project Assumptions'!$D$16-1='Detailed Cashflows'!CU$5,-'Economic Assumptions'!$C13*'Economic Assumptions'!$L13,0)</f>
        <v/>
      </c>
      <c r="CV50" s="301">
        <f>IF('Economic Assumptions'!$B13+'Project Assumptions'!$D$15+'Project Assumptions'!$D$16-1='Detailed Cashflows'!CV$5,-'Economic Assumptions'!$C13*'Economic Assumptions'!$L13,0)</f>
        <v/>
      </c>
      <c r="CW50" s="301">
        <f>IF('Economic Assumptions'!$B13+'Project Assumptions'!$D$15+'Project Assumptions'!$D$16-1='Detailed Cashflows'!CW$5,-'Economic Assumptions'!$C13*'Economic Assumptions'!$L13,0)</f>
        <v/>
      </c>
      <c r="CX50" s="301">
        <f>IF('Economic Assumptions'!$B13+'Project Assumptions'!$D$15+'Project Assumptions'!$D$16-1='Detailed Cashflows'!CX$5,-'Economic Assumptions'!$C13*'Economic Assumptions'!$L13,0)</f>
        <v/>
      </c>
      <c r="CY50" s="301">
        <f>IF('Economic Assumptions'!$B13+'Project Assumptions'!$D$15+'Project Assumptions'!$D$16-1='Detailed Cashflows'!CY$5,-'Economic Assumptions'!$C13*'Economic Assumptions'!$L13,0)</f>
        <v/>
      </c>
      <c r="CZ50" s="301">
        <f>IF('Economic Assumptions'!$B13+'Project Assumptions'!$D$15+'Project Assumptions'!$D$16-1='Detailed Cashflows'!CZ$5,-'Economic Assumptions'!$C13*'Economic Assumptions'!$L13,0)</f>
        <v/>
      </c>
      <c r="DA50" s="301">
        <f>IF('Economic Assumptions'!$B13+'Project Assumptions'!$D$15+'Project Assumptions'!$D$16-1='Detailed Cashflows'!DA$5,-'Economic Assumptions'!$C13*'Economic Assumptions'!$L13,0)</f>
        <v/>
      </c>
      <c r="DB50" s="301">
        <f>IF('Economic Assumptions'!$B13+'Project Assumptions'!$D$15+'Project Assumptions'!$D$16-1='Detailed Cashflows'!DB$5,-'Economic Assumptions'!$C13*'Economic Assumptions'!$L13,0)</f>
        <v/>
      </c>
      <c r="DC50" s="301" t="n"/>
      <c r="DD50" s="299">
        <f>SUM(F50:DB50)</f>
        <v/>
      </c>
    </row>
    <row r="51" hidden="1" outlineLevel="1" ht="14.1" customFormat="1" customHeight="1" s="302">
      <c r="A51" s="1000" t="n"/>
      <c r="B51" s="303">
        <f>'Economic Assumptions'!$A$14</f>
        <v/>
      </c>
      <c r="C51" s="298" t="n"/>
      <c r="D51" s="299">
        <f>DD51</f>
        <v/>
      </c>
      <c r="E51" s="300" t="n"/>
      <c r="F51" s="301">
        <f>IF('Economic Assumptions'!$B14+'Project Assumptions'!$D$15+'Project Assumptions'!$D$16-1='Detailed Cashflows'!F$5,-'Economic Assumptions'!$C14*'Economic Assumptions'!$L14,0)</f>
        <v/>
      </c>
      <c r="G51" s="301">
        <f>IF('Economic Assumptions'!$B14+'Project Assumptions'!$D$15+'Project Assumptions'!$D$16-1='Detailed Cashflows'!G$5,-'Economic Assumptions'!$C14*'Economic Assumptions'!$L14,0)</f>
        <v/>
      </c>
      <c r="H51" s="301">
        <f>IF('Economic Assumptions'!$B14+'Project Assumptions'!$D$15+'Project Assumptions'!$D$16-1='Detailed Cashflows'!H$5,-'Economic Assumptions'!$C14*'Economic Assumptions'!$L14,0)</f>
        <v/>
      </c>
      <c r="I51" s="301">
        <f>IF('Economic Assumptions'!$B14+'Project Assumptions'!$D$15+'Project Assumptions'!$D$16-1='Detailed Cashflows'!I$5,-'Economic Assumptions'!$C14*'Economic Assumptions'!$L14,0)</f>
        <v/>
      </c>
      <c r="J51" s="301">
        <f>IF('Economic Assumptions'!$B14+'Project Assumptions'!$D$15+'Project Assumptions'!$D$16-1='Detailed Cashflows'!J$5,-'Economic Assumptions'!$C14*'Economic Assumptions'!$L14,0)</f>
        <v/>
      </c>
      <c r="K51" s="301">
        <f>IF('Economic Assumptions'!$B14+'Project Assumptions'!$D$15+'Project Assumptions'!$D$16-1='Detailed Cashflows'!K$5,-'Economic Assumptions'!$C14*'Economic Assumptions'!$L14,0)</f>
        <v/>
      </c>
      <c r="L51" s="301">
        <f>IF('Economic Assumptions'!$B14+'Project Assumptions'!$D$15+'Project Assumptions'!$D$16-1='Detailed Cashflows'!L$5,-'Economic Assumptions'!$C14*'Economic Assumptions'!$L14,0)</f>
        <v/>
      </c>
      <c r="M51" s="301">
        <f>IF('Economic Assumptions'!$B14+'Project Assumptions'!$D$15+'Project Assumptions'!$D$16-1='Detailed Cashflows'!M$5,-'Economic Assumptions'!$C14*'Economic Assumptions'!$L14,0)</f>
        <v/>
      </c>
      <c r="N51" s="301">
        <f>IF('Economic Assumptions'!$B14+'Project Assumptions'!$D$15+'Project Assumptions'!$D$16-1='Detailed Cashflows'!N$5,-'Economic Assumptions'!$C14*'Economic Assumptions'!$L14,0)</f>
        <v/>
      </c>
      <c r="O51" s="301">
        <f>IF('Economic Assumptions'!$B14+'Project Assumptions'!$D$15+'Project Assumptions'!$D$16-1='Detailed Cashflows'!O$5,-'Economic Assumptions'!$C14*'Economic Assumptions'!$L14,0)</f>
        <v/>
      </c>
      <c r="P51" s="301">
        <f>IF('Economic Assumptions'!$B14+'Project Assumptions'!$D$15+'Project Assumptions'!$D$16-1='Detailed Cashflows'!P$5,-'Economic Assumptions'!$C14*'Economic Assumptions'!$L14,0)</f>
        <v/>
      </c>
      <c r="Q51" s="301">
        <f>IF('Economic Assumptions'!$B14+'Project Assumptions'!$D$15+'Project Assumptions'!$D$16-1='Detailed Cashflows'!Q$5,-'Economic Assumptions'!$C14*'Economic Assumptions'!$L14,0)</f>
        <v/>
      </c>
      <c r="R51" s="301">
        <f>IF('Economic Assumptions'!$B14+'Project Assumptions'!$D$15+'Project Assumptions'!$D$16-1='Detailed Cashflows'!R$5,-'Economic Assumptions'!$C14*'Economic Assumptions'!$L14,0)</f>
        <v/>
      </c>
      <c r="S51" s="301">
        <f>IF('Economic Assumptions'!$B14+'Project Assumptions'!$D$15+'Project Assumptions'!$D$16-1='Detailed Cashflows'!S$5,-'Economic Assumptions'!$C14*'Economic Assumptions'!$L14,0)</f>
        <v/>
      </c>
      <c r="T51" s="301">
        <f>IF('Economic Assumptions'!$B14+'Project Assumptions'!$D$15+'Project Assumptions'!$D$16-1='Detailed Cashflows'!T$5,-'Economic Assumptions'!$C14*'Economic Assumptions'!$L14,0)</f>
        <v/>
      </c>
      <c r="U51" s="301">
        <f>IF('Economic Assumptions'!$B14+'Project Assumptions'!$D$15+'Project Assumptions'!$D$16-1='Detailed Cashflows'!U$5,-'Economic Assumptions'!$C14*'Economic Assumptions'!$L14,0)</f>
        <v/>
      </c>
      <c r="V51" s="301">
        <f>IF('Economic Assumptions'!$B14+'Project Assumptions'!$D$15+'Project Assumptions'!$D$16-1='Detailed Cashflows'!V$5,-'Economic Assumptions'!$C14*'Economic Assumptions'!$L14,0)</f>
        <v/>
      </c>
      <c r="W51" s="301">
        <f>IF('Economic Assumptions'!$B14+'Project Assumptions'!$D$15+'Project Assumptions'!$D$16-1='Detailed Cashflows'!W$5,-'Economic Assumptions'!$C14*'Economic Assumptions'!$L14,0)</f>
        <v/>
      </c>
      <c r="X51" s="301">
        <f>IF('Economic Assumptions'!$B14+'Project Assumptions'!$D$15+'Project Assumptions'!$D$16-1='Detailed Cashflows'!X$5,-'Economic Assumptions'!$C14*'Economic Assumptions'!$L14,0)</f>
        <v/>
      </c>
      <c r="Y51" s="301">
        <f>IF('Economic Assumptions'!$B14+'Project Assumptions'!$D$15+'Project Assumptions'!$D$16-1='Detailed Cashflows'!Y$5,-'Economic Assumptions'!$C14*'Economic Assumptions'!$L14,0)</f>
        <v/>
      </c>
      <c r="Z51" s="301">
        <f>IF('Economic Assumptions'!$B14+'Project Assumptions'!$D$15+'Project Assumptions'!$D$16-1='Detailed Cashflows'!Z$5,-'Economic Assumptions'!$C14*'Economic Assumptions'!$L14,0)</f>
        <v/>
      </c>
      <c r="AA51" s="301">
        <f>IF('Economic Assumptions'!$B14+'Project Assumptions'!$D$15+'Project Assumptions'!$D$16-1='Detailed Cashflows'!AA$5,-'Economic Assumptions'!$C14*'Economic Assumptions'!$L14,0)</f>
        <v/>
      </c>
      <c r="AB51" s="301">
        <f>IF('Economic Assumptions'!$B14+'Project Assumptions'!$D$15+'Project Assumptions'!$D$16-1='Detailed Cashflows'!AB$5,-'Economic Assumptions'!$C14*'Economic Assumptions'!$L14,0)</f>
        <v/>
      </c>
      <c r="AC51" s="301">
        <f>IF('Economic Assumptions'!$B14+'Project Assumptions'!$D$15+'Project Assumptions'!$D$16-1='Detailed Cashflows'!AC$5,-'Economic Assumptions'!$C14*'Economic Assumptions'!$L14,0)</f>
        <v/>
      </c>
      <c r="AD51" s="301">
        <f>IF('Economic Assumptions'!$B14+'Project Assumptions'!$D$15+'Project Assumptions'!$D$16-1='Detailed Cashflows'!AD$5,-'Economic Assumptions'!$C14*'Economic Assumptions'!$L14,0)</f>
        <v/>
      </c>
      <c r="AE51" s="301">
        <f>IF('Economic Assumptions'!$B14+'Project Assumptions'!$D$15+'Project Assumptions'!$D$16-1='Detailed Cashflows'!AE$5,-'Economic Assumptions'!$C14*'Economic Assumptions'!$L14,0)</f>
        <v/>
      </c>
      <c r="AF51" s="301">
        <f>IF('Economic Assumptions'!$B14+'Project Assumptions'!$D$15+'Project Assumptions'!$D$16-1='Detailed Cashflows'!AF$5,-'Economic Assumptions'!$C14*'Economic Assumptions'!$L14,0)</f>
        <v/>
      </c>
      <c r="AG51" s="301">
        <f>IF('Economic Assumptions'!$B14+'Project Assumptions'!$D$15+'Project Assumptions'!$D$16-1='Detailed Cashflows'!AG$5,-'Economic Assumptions'!$C14*'Economic Assumptions'!$L14,0)</f>
        <v/>
      </c>
      <c r="AH51" s="301">
        <f>IF('Economic Assumptions'!$B14+'Project Assumptions'!$D$15+'Project Assumptions'!$D$16-1='Detailed Cashflows'!AH$5,-'Economic Assumptions'!$C14*'Economic Assumptions'!$L14,0)</f>
        <v/>
      </c>
      <c r="AI51" s="301">
        <f>IF('Economic Assumptions'!$B14+'Project Assumptions'!$D$15+'Project Assumptions'!$D$16-1='Detailed Cashflows'!AI$5,-'Economic Assumptions'!$C14*'Economic Assumptions'!$L14,0)</f>
        <v/>
      </c>
      <c r="AJ51" s="301">
        <f>IF('Economic Assumptions'!$B14+'Project Assumptions'!$D$15+'Project Assumptions'!$D$16-1='Detailed Cashflows'!AJ$5,-'Economic Assumptions'!$C14*'Economic Assumptions'!$L14,0)</f>
        <v/>
      </c>
      <c r="AK51" s="301">
        <f>IF('Economic Assumptions'!$B14+'Project Assumptions'!$D$15+'Project Assumptions'!$D$16-1='Detailed Cashflows'!AK$5,-'Economic Assumptions'!$C14*'Economic Assumptions'!$L14,0)</f>
        <v/>
      </c>
      <c r="AL51" s="301">
        <f>IF('Economic Assumptions'!$B14+'Project Assumptions'!$D$15+'Project Assumptions'!$D$16-1='Detailed Cashflows'!AL$5,-'Economic Assumptions'!$C14*'Economic Assumptions'!$L14,0)</f>
        <v/>
      </c>
      <c r="AM51" s="301">
        <f>IF('Economic Assumptions'!$B14+'Project Assumptions'!$D$15+'Project Assumptions'!$D$16-1='Detailed Cashflows'!AM$5,-'Economic Assumptions'!$C14*'Economic Assumptions'!$L14,0)</f>
        <v/>
      </c>
      <c r="AN51" s="301">
        <f>IF('Economic Assumptions'!$B14+'Project Assumptions'!$D$15+'Project Assumptions'!$D$16-1='Detailed Cashflows'!AN$5,-'Economic Assumptions'!$C14*'Economic Assumptions'!$L14,0)</f>
        <v/>
      </c>
      <c r="AO51" s="301">
        <f>IF('Economic Assumptions'!$B14+'Project Assumptions'!$D$15+'Project Assumptions'!$D$16-1='Detailed Cashflows'!AO$5,-'Economic Assumptions'!$C14*'Economic Assumptions'!$L14,0)</f>
        <v/>
      </c>
      <c r="AP51" s="301">
        <f>IF('Economic Assumptions'!$B14+'Project Assumptions'!$D$15+'Project Assumptions'!$D$16-1='Detailed Cashflows'!AP$5,-'Economic Assumptions'!$C14*'Economic Assumptions'!$L14,0)</f>
        <v/>
      </c>
      <c r="AQ51" s="301">
        <f>IF('Economic Assumptions'!$B14+'Project Assumptions'!$D$15+'Project Assumptions'!$D$16-1='Detailed Cashflows'!AQ$5,-'Economic Assumptions'!$C14*'Economic Assumptions'!$L14,0)</f>
        <v/>
      </c>
      <c r="AR51" s="301">
        <f>IF('Economic Assumptions'!$B14+'Project Assumptions'!$D$15+'Project Assumptions'!$D$16-1='Detailed Cashflows'!AR$5,-'Economic Assumptions'!$C14*'Economic Assumptions'!$L14,0)</f>
        <v/>
      </c>
      <c r="AS51" s="301">
        <f>IF('Economic Assumptions'!$B14+'Project Assumptions'!$D$15+'Project Assumptions'!$D$16-1='Detailed Cashflows'!AS$5,-'Economic Assumptions'!$C14*'Economic Assumptions'!$L14,0)</f>
        <v/>
      </c>
      <c r="AT51" s="301">
        <f>IF('Economic Assumptions'!$B14+'Project Assumptions'!$D$15+'Project Assumptions'!$D$16-1='Detailed Cashflows'!AT$5,-'Economic Assumptions'!$C14*'Economic Assumptions'!$L14,0)</f>
        <v/>
      </c>
      <c r="AU51" s="301">
        <f>IF('Economic Assumptions'!$B14+'Project Assumptions'!$D$15+'Project Assumptions'!$D$16-1='Detailed Cashflows'!AU$5,-'Economic Assumptions'!$C14*'Economic Assumptions'!$L14,0)</f>
        <v/>
      </c>
      <c r="AV51" s="301">
        <f>IF('Economic Assumptions'!$B14+'Project Assumptions'!$D$15+'Project Assumptions'!$D$16-1='Detailed Cashflows'!AV$5,-'Economic Assumptions'!$C14*'Economic Assumptions'!$L14,0)</f>
        <v/>
      </c>
      <c r="AW51" s="301">
        <f>IF('Economic Assumptions'!$B14+'Project Assumptions'!$D$15+'Project Assumptions'!$D$16-1='Detailed Cashflows'!AW$5,-'Economic Assumptions'!$C14*'Economic Assumptions'!$L14,0)</f>
        <v/>
      </c>
      <c r="AX51" s="301">
        <f>IF('Economic Assumptions'!$B14+'Project Assumptions'!$D$15+'Project Assumptions'!$D$16-1='Detailed Cashflows'!AX$5,-'Economic Assumptions'!$C14*'Economic Assumptions'!$L14,0)</f>
        <v/>
      </c>
      <c r="AY51" s="301">
        <f>IF('Economic Assumptions'!$B14+'Project Assumptions'!$D$15+'Project Assumptions'!$D$16-1='Detailed Cashflows'!AY$5,-'Economic Assumptions'!$C14*'Economic Assumptions'!$L14,0)</f>
        <v/>
      </c>
      <c r="AZ51" s="301">
        <f>IF('Economic Assumptions'!$B14+'Project Assumptions'!$D$15+'Project Assumptions'!$D$16-1='Detailed Cashflows'!AZ$5,-'Economic Assumptions'!$C14*'Economic Assumptions'!$L14,0)</f>
        <v/>
      </c>
      <c r="BA51" s="301">
        <f>IF('Economic Assumptions'!$B14+'Project Assumptions'!$D$15+'Project Assumptions'!$D$16-1='Detailed Cashflows'!BA$5,-'Economic Assumptions'!$C14*'Economic Assumptions'!$L14,0)</f>
        <v/>
      </c>
      <c r="BB51" s="301">
        <f>IF('Economic Assumptions'!$B14+'Project Assumptions'!$D$15+'Project Assumptions'!$D$16-1='Detailed Cashflows'!BB$5,-'Economic Assumptions'!$C14*'Economic Assumptions'!$L14,0)</f>
        <v/>
      </c>
      <c r="BC51" s="301">
        <f>IF('Economic Assumptions'!$B14+'Project Assumptions'!$D$15+'Project Assumptions'!$D$16-1='Detailed Cashflows'!BC$5,-'Economic Assumptions'!$C14*'Economic Assumptions'!$L14,0)</f>
        <v/>
      </c>
      <c r="BD51" s="301">
        <f>IF('Economic Assumptions'!$B14+'Project Assumptions'!$D$15+'Project Assumptions'!$D$16-1='Detailed Cashflows'!BD$5,-'Economic Assumptions'!$C14*'Economic Assumptions'!$L14,0)</f>
        <v/>
      </c>
      <c r="BE51" s="301">
        <f>IF('Economic Assumptions'!$B14+'Project Assumptions'!$D$15+'Project Assumptions'!$D$16-1='Detailed Cashflows'!BE$5,-'Economic Assumptions'!$C14*'Economic Assumptions'!$L14,0)</f>
        <v/>
      </c>
      <c r="BF51" s="301">
        <f>IF('Economic Assumptions'!$B14+'Project Assumptions'!$D$15+'Project Assumptions'!$D$16-1='Detailed Cashflows'!BF$5,-'Economic Assumptions'!$C14*'Economic Assumptions'!$L14,0)</f>
        <v/>
      </c>
      <c r="BG51" s="301">
        <f>IF('Economic Assumptions'!$B14+'Project Assumptions'!$D$15+'Project Assumptions'!$D$16-1='Detailed Cashflows'!BG$5,-'Economic Assumptions'!$C14*'Economic Assumptions'!$L14,0)</f>
        <v/>
      </c>
      <c r="BH51" s="301">
        <f>IF('Economic Assumptions'!$B14+'Project Assumptions'!$D$15+'Project Assumptions'!$D$16-1='Detailed Cashflows'!BH$5,-'Economic Assumptions'!$C14*'Economic Assumptions'!$L14,0)</f>
        <v/>
      </c>
      <c r="BI51" s="301">
        <f>IF('Economic Assumptions'!$B14+'Project Assumptions'!$D$15+'Project Assumptions'!$D$16-1='Detailed Cashflows'!BI$5,-'Economic Assumptions'!$C14*'Economic Assumptions'!$L14,0)</f>
        <v/>
      </c>
      <c r="BJ51" s="301">
        <f>IF('Economic Assumptions'!$B14+'Project Assumptions'!$D$15+'Project Assumptions'!$D$16-1='Detailed Cashflows'!BJ$5,-'Economic Assumptions'!$C14*'Economic Assumptions'!$L14,0)</f>
        <v/>
      </c>
      <c r="BK51" s="301">
        <f>IF('Economic Assumptions'!$B14+'Project Assumptions'!$D$15+'Project Assumptions'!$D$16-1='Detailed Cashflows'!BK$5,-'Economic Assumptions'!$C14*'Economic Assumptions'!$L14,0)</f>
        <v/>
      </c>
      <c r="BL51" s="301">
        <f>IF('Economic Assumptions'!$B14+'Project Assumptions'!$D$15+'Project Assumptions'!$D$16-1='Detailed Cashflows'!BL$5,-'Economic Assumptions'!$C14*'Economic Assumptions'!$L14,0)</f>
        <v/>
      </c>
      <c r="BM51" s="301">
        <f>IF('Economic Assumptions'!$B14+'Project Assumptions'!$D$15+'Project Assumptions'!$D$16-1='Detailed Cashflows'!BM$5,-'Economic Assumptions'!$C14*'Economic Assumptions'!$L14,0)</f>
        <v/>
      </c>
      <c r="BN51" s="301">
        <f>IF('Economic Assumptions'!$B14+'Project Assumptions'!$D$15+'Project Assumptions'!$D$16-1='Detailed Cashflows'!BN$5,-'Economic Assumptions'!$C14*'Economic Assumptions'!$L14,0)</f>
        <v/>
      </c>
      <c r="BO51" s="301">
        <f>IF('Economic Assumptions'!$B14+'Project Assumptions'!$D$15+'Project Assumptions'!$D$16-1='Detailed Cashflows'!BO$5,-'Economic Assumptions'!$C14*'Economic Assumptions'!$L14,0)</f>
        <v/>
      </c>
      <c r="BP51" s="301">
        <f>IF('Economic Assumptions'!$B14+'Project Assumptions'!$D$15+'Project Assumptions'!$D$16-1='Detailed Cashflows'!BP$5,-'Economic Assumptions'!$C14*'Economic Assumptions'!$L14,0)</f>
        <v/>
      </c>
      <c r="BQ51" s="301">
        <f>IF('Economic Assumptions'!$B14+'Project Assumptions'!$D$15+'Project Assumptions'!$D$16-1='Detailed Cashflows'!BQ$5,-'Economic Assumptions'!$C14*'Economic Assumptions'!$L14,0)</f>
        <v/>
      </c>
      <c r="BR51" s="301">
        <f>IF('Economic Assumptions'!$B14+'Project Assumptions'!$D$15+'Project Assumptions'!$D$16-1='Detailed Cashflows'!BR$5,-'Economic Assumptions'!$C14*'Economic Assumptions'!$L14,0)</f>
        <v/>
      </c>
      <c r="BS51" s="301">
        <f>IF('Economic Assumptions'!$B14+'Project Assumptions'!$D$15+'Project Assumptions'!$D$16-1='Detailed Cashflows'!BS$5,-'Economic Assumptions'!$C14*'Economic Assumptions'!$L14,0)</f>
        <v/>
      </c>
      <c r="BT51" s="301">
        <f>IF('Economic Assumptions'!$B14+'Project Assumptions'!$D$15+'Project Assumptions'!$D$16-1='Detailed Cashflows'!BT$5,-'Economic Assumptions'!$C14*'Economic Assumptions'!$L14,0)</f>
        <v/>
      </c>
      <c r="BU51" s="301">
        <f>IF('Economic Assumptions'!$B14+'Project Assumptions'!$D$15+'Project Assumptions'!$D$16-1='Detailed Cashflows'!BU$5,-'Economic Assumptions'!$C14*'Economic Assumptions'!$L14,0)</f>
        <v/>
      </c>
      <c r="BV51" s="301">
        <f>IF('Economic Assumptions'!$B14+'Project Assumptions'!$D$15+'Project Assumptions'!$D$16-1='Detailed Cashflows'!BV$5,-'Economic Assumptions'!$C14*'Economic Assumptions'!$L14,0)</f>
        <v/>
      </c>
      <c r="BW51" s="301">
        <f>IF('Economic Assumptions'!$B14+'Project Assumptions'!$D$15+'Project Assumptions'!$D$16-1='Detailed Cashflows'!BW$5,-'Economic Assumptions'!$C14*'Economic Assumptions'!$L14,0)</f>
        <v/>
      </c>
      <c r="BX51" s="301">
        <f>IF('Economic Assumptions'!$B14+'Project Assumptions'!$D$15+'Project Assumptions'!$D$16-1='Detailed Cashflows'!BX$5,-'Economic Assumptions'!$C14*'Economic Assumptions'!$L14,0)</f>
        <v/>
      </c>
      <c r="BY51" s="301">
        <f>IF('Economic Assumptions'!$B14+'Project Assumptions'!$D$15+'Project Assumptions'!$D$16-1='Detailed Cashflows'!BY$5,-'Economic Assumptions'!$C14*'Economic Assumptions'!$L14,0)</f>
        <v/>
      </c>
      <c r="BZ51" s="301">
        <f>IF('Economic Assumptions'!$B14+'Project Assumptions'!$D$15+'Project Assumptions'!$D$16-1='Detailed Cashflows'!BZ$5,-'Economic Assumptions'!$C14*'Economic Assumptions'!$L14,0)</f>
        <v/>
      </c>
      <c r="CA51" s="301">
        <f>IF('Economic Assumptions'!$B14+'Project Assumptions'!$D$15+'Project Assumptions'!$D$16-1='Detailed Cashflows'!CA$5,-'Economic Assumptions'!$C14*'Economic Assumptions'!$L14,0)</f>
        <v/>
      </c>
      <c r="CB51" s="301">
        <f>IF('Economic Assumptions'!$B14+'Project Assumptions'!$D$15+'Project Assumptions'!$D$16-1='Detailed Cashflows'!CB$5,-'Economic Assumptions'!$C14*'Economic Assumptions'!$L14,0)</f>
        <v/>
      </c>
      <c r="CC51" s="301">
        <f>IF('Economic Assumptions'!$B14+'Project Assumptions'!$D$15+'Project Assumptions'!$D$16-1='Detailed Cashflows'!CC$5,-'Economic Assumptions'!$C14*'Economic Assumptions'!$L14,0)</f>
        <v/>
      </c>
      <c r="CD51" s="301">
        <f>IF('Economic Assumptions'!$B14+'Project Assumptions'!$D$15+'Project Assumptions'!$D$16-1='Detailed Cashflows'!CD$5,-'Economic Assumptions'!$C14*'Economic Assumptions'!$L14,0)</f>
        <v/>
      </c>
      <c r="CE51" s="301">
        <f>IF('Economic Assumptions'!$B14+'Project Assumptions'!$D$15+'Project Assumptions'!$D$16-1='Detailed Cashflows'!CE$5,-'Economic Assumptions'!$C14*'Economic Assumptions'!$L14,0)</f>
        <v/>
      </c>
      <c r="CF51" s="301">
        <f>IF('Economic Assumptions'!$B14+'Project Assumptions'!$D$15+'Project Assumptions'!$D$16-1='Detailed Cashflows'!CF$5,-'Economic Assumptions'!$C14*'Economic Assumptions'!$L14,0)</f>
        <v/>
      </c>
      <c r="CG51" s="301">
        <f>IF('Economic Assumptions'!$B14+'Project Assumptions'!$D$15+'Project Assumptions'!$D$16-1='Detailed Cashflows'!CG$5,-'Economic Assumptions'!$C14*'Economic Assumptions'!$L14,0)</f>
        <v/>
      </c>
      <c r="CH51" s="301">
        <f>IF('Economic Assumptions'!$B14+'Project Assumptions'!$D$15+'Project Assumptions'!$D$16-1='Detailed Cashflows'!CH$5,-'Economic Assumptions'!$C14*'Economic Assumptions'!$L14,0)</f>
        <v/>
      </c>
      <c r="CI51" s="301">
        <f>IF('Economic Assumptions'!$B14+'Project Assumptions'!$D$15+'Project Assumptions'!$D$16-1='Detailed Cashflows'!CI$5,-'Economic Assumptions'!$C14*'Economic Assumptions'!$L14,0)</f>
        <v/>
      </c>
      <c r="CJ51" s="301">
        <f>IF('Economic Assumptions'!$B14+'Project Assumptions'!$D$15+'Project Assumptions'!$D$16-1='Detailed Cashflows'!CJ$5,-'Economic Assumptions'!$C14*'Economic Assumptions'!$L14,0)</f>
        <v/>
      </c>
      <c r="CK51" s="301">
        <f>IF('Economic Assumptions'!$B14+'Project Assumptions'!$D$15+'Project Assumptions'!$D$16-1='Detailed Cashflows'!CK$5,-'Economic Assumptions'!$C14*'Economic Assumptions'!$L14,0)</f>
        <v/>
      </c>
      <c r="CL51" s="301">
        <f>IF('Economic Assumptions'!$B14+'Project Assumptions'!$D$15+'Project Assumptions'!$D$16-1='Detailed Cashflows'!CL$5,-'Economic Assumptions'!$C14*'Economic Assumptions'!$L14,0)</f>
        <v/>
      </c>
      <c r="CM51" s="301">
        <f>IF('Economic Assumptions'!$B14+'Project Assumptions'!$D$15+'Project Assumptions'!$D$16-1='Detailed Cashflows'!CM$5,-'Economic Assumptions'!$C14*'Economic Assumptions'!$L14,0)</f>
        <v/>
      </c>
      <c r="CN51" s="301">
        <f>IF('Economic Assumptions'!$B14+'Project Assumptions'!$D$15+'Project Assumptions'!$D$16-1='Detailed Cashflows'!CN$5,-'Economic Assumptions'!$C14*'Economic Assumptions'!$L14,0)</f>
        <v/>
      </c>
      <c r="CO51" s="301">
        <f>IF('Economic Assumptions'!$B14+'Project Assumptions'!$D$15+'Project Assumptions'!$D$16-1='Detailed Cashflows'!CO$5,-'Economic Assumptions'!$C14*'Economic Assumptions'!$L14,0)</f>
        <v/>
      </c>
      <c r="CP51" s="301">
        <f>IF('Economic Assumptions'!$B14+'Project Assumptions'!$D$15+'Project Assumptions'!$D$16-1='Detailed Cashflows'!CP$5,-'Economic Assumptions'!$C14*'Economic Assumptions'!$L14,0)</f>
        <v/>
      </c>
      <c r="CQ51" s="301">
        <f>IF('Economic Assumptions'!$B14+'Project Assumptions'!$D$15+'Project Assumptions'!$D$16-1='Detailed Cashflows'!CQ$5,-'Economic Assumptions'!$C14*'Economic Assumptions'!$L14,0)</f>
        <v/>
      </c>
      <c r="CR51" s="301">
        <f>IF('Economic Assumptions'!$B14+'Project Assumptions'!$D$15+'Project Assumptions'!$D$16-1='Detailed Cashflows'!CR$5,-'Economic Assumptions'!$C14*'Economic Assumptions'!$L14,0)</f>
        <v/>
      </c>
      <c r="CS51" s="301">
        <f>IF('Economic Assumptions'!$B14+'Project Assumptions'!$D$15+'Project Assumptions'!$D$16-1='Detailed Cashflows'!CS$5,-'Economic Assumptions'!$C14*'Economic Assumptions'!$L14,0)</f>
        <v/>
      </c>
      <c r="CT51" s="301">
        <f>IF('Economic Assumptions'!$B14+'Project Assumptions'!$D$15+'Project Assumptions'!$D$16-1='Detailed Cashflows'!CT$5,-'Economic Assumptions'!$C14*'Economic Assumptions'!$L14,0)</f>
        <v/>
      </c>
      <c r="CU51" s="301">
        <f>IF('Economic Assumptions'!$B14+'Project Assumptions'!$D$15+'Project Assumptions'!$D$16-1='Detailed Cashflows'!CU$5,-'Economic Assumptions'!$C14*'Economic Assumptions'!$L14,0)</f>
        <v/>
      </c>
      <c r="CV51" s="301">
        <f>IF('Economic Assumptions'!$B14+'Project Assumptions'!$D$15+'Project Assumptions'!$D$16-1='Detailed Cashflows'!CV$5,-'Economic Assumptions'!$C14*'Economic Assumptions'!$L14,0)</f>
        <v/>
      </c>
      <c r="CW51" s="301">
        <f>IF('Economic Assumptions'!$B14+'Project Assumptions'!$D$15+'Project Assumptions'!$D$16-1='Detailed Cashflows'!CW$5,-'Economic Assumptions'!$C14*'Economic Assumptions'!$L14,0)</f>
        <v/>
      </c>
      <c r="CX51" s="301">
        <f>IF('Economic Assumptions'!$B14+'Project Assumptions'!$D$15+'Project Assumptions'!$D$16-1='Detailed Cashflows'!CX$5,-'Economic Assumptions'!$C14*'Economic Assumptions'!$L14,0)</f>
        <v/>
      </c>
      <c r="CY51" s="301">
        <f>IF('Economic Assumptions'!$B14+'Project Assumptions'!$D$15+'Project Assumptions'!$D$16-1='Detailed Cashflows'!CY$5,-'Economic Assumptions'!$C14*'Economic Assumptions'!$L14,0)</f>
        <v/>
      </c>
      <c r="CZ51" s="301">
        <f>IF('Economic Assumptions'!$B14+'Project Assumptions'!$D$15+'Project Assumptions'!$D$16-1='Detailed Cashflows'!CZ$5,-'Economic Assumptions'!$C14*'Economic Assumptions'!$L14,0)</f>
        <v/>
      </c>
      <c r="DA51" s="301">
        <f>IF('Economic Assumptions'!$B14+'Project Assumptions'!$D$15+'Project Assumptions'!$D$16-1='Detailed Cashflows'!DA$5,-'Economic Assumptions'!$C14*'Economic Assumptions'!$L14,0)</f>
        <v/>
      </c>
      <c r="DB51" s="301">
        <f>IF('Economic Assumptions'!$B14+'Project Assumptions'!$D$15+'Project Assumptions'!$D$16-1='Detailed Cashflows'!DB$5,-'Economic Assumptions'!$C14*'Economic Assumptions'!$L14,0)</f>
        <v/>
      </c>
      <c r="DC51" s="301" t="n"/>
      <c r="DD51" s="299">
        <f>SUM(F51:DB51)</f>
        <v/>
      </c>
    </row>
    <row r="52" hidden="1" outlineLevel="1" ht="14.1" customFormat="1" customHeight="1" s="302">
      <c r="A52" s="1000" t="n"/>
      <c r="B52" s="303">
        <f>'Economic Assumptions'!$A$15</f>
        <v/>
      </c>
      <c r="C52" s="298" t="n"/>
      <c r="D52" s="299">
        <f>DD52</f>
        <v/>
      </c>
      <c r="E52" s="300" t="n"/>
      <c r="F52" s="301">
        <f>IF('Economic Assumptions'!$B15+'Project Assumptions'!$D$15+'Project Assumptions'!$D$16-1='Detailed Cashflows'!F$5,-'Economic Assumptions'!$C15*'Economic Assumptions'!$L15,0)</f>
        <v/>
      </c>
      <c r="G52" s="301">
        <f>IF('Economic Assumptions'!$B15+'Project Assumptions'!$D$15+'Project Assumptions'!$D$16-1='Detailed Cashflows'!G$5,-'Economic Assumptions'!$C15*'Economic Assumptions'!$L15,0)</f>
        <v/>
      </c>
      <c r="H52" s="301">
        <f>IF('Economic Assumptions'!$B15+'Project Assumptions'!$D$15+'Project Assumptions'!$D$16-1='Detailed Cashflows'!H$5,-'Economic Assumptions'!$C15*'Economic Assumptions'!$L15,0)</f>
        <v/>
      </c>
      <c r="I52" s="301">
        <f>IF('Economic Assumptions'!$B15+'Project Assumptions'!$D$15+'Project Assumptions'!$D$16-1='Detailed Cashflows'!I$5,-'Economic Assumptions'!$C15*'Economic Assumptions'!$L15,0)</f>
        <v/>
      </c>
      <c r="J52" s="301">
        <f>IF('Economic Assumptions'!$B15+'Project Assumptions'!$D$15+'Project Assumptions'!$D$16-1='Detailed Cashflows'!J$5,-'Economic Assumptions'!$C15*'Economic Assumptions'!$L15,0)</f>
        <v/>
      </c>
      <c r="K52" s="301">
        <f>IF('Economic Assumptions'!$B15+'Project Assumptions'!$D$15+'Project Assumptions'!$D$16-1='Detailed Cashflows'!K$5,-'Economic Assumptions'!$C15*'Economic Assumptions'!$L15,0)</f>
        <v/>
      </c>
      <c r="L52" s="301">
        <f>IF('Economic Assumptions'!$B15+'Project Assumptions'!$D$15+'Project Assumptions'!$D$16-1='Detailed Cashflows'!L$5,-'Economic Assumptions'!$C15*'Economic Assumptions'!$L15,0)</f>
        <v/>
      </c>
      <c r="M52" s="301">
        <f>IF('Economic Assumptions'!$B15+'Project Assumptions'!$D$15+'Project Assumptions'!$D$16-1='Detailed Cashflows'!M$5,-'Economic Assumptions'!$C15*'Economic Assumptions'!$L15,0)</f>
        <v/>
      </c>
      <c r="N52" s="301">
        <f>IF('Economic Assumptions'!$B15+'Project Assumptions'!$D$15+'Project Assumptions'!$D$16-1='Detailed Cashflows'!N$5,-'Economic Assumptions'!$C15*'Economic Assumptions'!$L15,0)</f>
        <v/>
      </c>
      <c r="O52" s="301">
        <f>IF('Economic Assumptions'!$B15+'Project Assumptions'!$D$15+'Project Assumptions'!$D$16-1='Detailed Cashflows'!O$5,-'Economic Assumptions'!$C15*'Economic Assumptions'!$L15,0)</f>
        <v/>
      </c>
      <c r="P52" s="301">
        <f>IF('Economic Assumptions'!$B15+'Project Assumptions'!$D$15+'Project Assumptions'!$D$16-1='Detailed Cashflows'!P$5,-'Economic Assumptions'!$C15*'Economic Assumptions'!$L15,0)</f>
        <v/>
      </c>
      <c r="Q52" s="301">
        <f>IF('Economic Assumptions'!$B15+'Project Assumptions'!$D$15+'Project Assumptions'!$D$16-1='Detailed Cashflows'!Q$5,-'Economic Assumptions'!$C15*'Economic Assumptions'!$L15,0)</f>
        <v/>
      </c>
      <c r="R52" s="301">
        <f>IF('Economic Assumptions'!$B15+'Project Assumptions'!$D$15+'Project Assumptions'!$D$16-1='Detailed Cashflows'!R$5,-'Economic Assumptions'!$C15*'Economic Assumptions'!$L15,0)</f>
        <v/>
      </c>
      <c r="S52" s="301">
        <f>IF('Economic Assumptions'!$B15+'Project Assumptions'!$D$15+'Project Assumptions'!$D$16-1='Detailed Cashflows'!S$5,-'Economic Assumptions'!$C15*'Economic Assumptions'!$L15,0)</f>
        <v/>
      </c>
      <c r="T52" s="301">
        <f>IF('Economic Assumptions'!$B15+'Project Assumptions'!$D$15+'Project Assumptions'!$D$16-1='Detailed Cashflows'!T$5,-'Economic Assumptions'!$C15*'Economic Assumptions'!$L15,0)</f>
        <v/>
      </c>
      <c r="U52" s="301">
        <f>IF('Economic Assumptions'!$B15+'Project Assumptions'!$D$15+'Project Assumptions'!$D$16-1='Detailed Cashflows'!U$5,-'Economic Assumptions'!$C15*'Economic Assumptions'!$L15,0)</f>
        <v/>
      </c>
      <c r="V52" s="301">
        <f>IF('Economic Assumptions'!$B15+'Project Assumptions'!$D$15+'Project Assumptions'!$D$16-1='Detailed Cashflows'!V$5,-'Economic Assumptions'!$C15*'Economic Assumptions'!$L15,0)</f>
        <v/>
      </c>
      <c r="W52" s="301">
        <f>IF('Economic Assumptions'!$B15+'Project Assumptions'!$D$15+'Project Assumptions'!$D$16-1='Detailed Cashflows'!W$5,-'Economic Assumptions'!$C15*'Economic Assumptions'!$L15,0)</f>
        <v/>
      </c>
      <c r="X52" s="301">
        <f>IF('Economic Assumptions'!$B15+'Project Assumptions'!$D$15+'Project Assumptions'!$D$16-1='Detailed Cashflows'!X$5,-'Economic Assumptions'!$C15*'Economic Assumptions'!$L15,0)</f>
        <v/>
      </c>
      <c r="Y52" s="301">
        <f>IF('Economic Assumptions'!$B15+'Project Assumptions'!$D$15+'Project Assumptions'!$D$16-1='Detailed Cashflows'!Y$5,-'Economic Assumptions'!$C15*'Economic Assumptions'!$L15,0)</f>
        <v/>
      </c>
      <c r="Z52" s="301">
        <f>IF('Economic Assumptions'!$B15+'Project Assumptions'!$D$15+'Project Assumptions'!$D$16-1='Detailed Cashflows'!Z$5,-'Economic Assumptions'!$C15*'Economic Assumptions'!$L15,0)</f>
        <v/>
      </c>
      <c r="AA52" s="301">
        <f>IF('Economic Assumptions'!$B15+'Project Assumptions'!$D$15+'Project Assumptions'!$D$16-1='Detailed Cashflows'!AA$5,-'Economic Assumptions'!$C15*'Economic Assumptions'!$L15,0)</f>
        <v/>
      </c>
      <c r="AB52" s="301">
        <f>IF('Economic Assumptions'!$B15+'Project Assumptions'!$D$15+'Project Assumptions'!$D$16-1='Detailed Cashflows'!AB$5,-'Economic Assumptions'!$C15*'Economic Assumptions'!$L15,0)</f>
        <v/>
      </c>
      <c r="AC52" s="301">
        <f>IF('Economic Assumptions'!$B15+'Project Assumptions'!$D$15+'Project Assumptions'!$D$16-1='Detailed Cashflows'!AC$5,-'Economic Assumptions'!$C15*'Economic Assumptions'!$L15,0)</f>
        <v/>
      </c>
      <c r="AD52" s="301">
        <f>IF('Economic Assumptions'!$B15+'Project Assumptions'!$D$15+'Project Assumptions'!$D$16-1='Detailed Cashflows'!AD$5,-'Economic Assumptions'!$C15*'Economic Assumptions'!$L15,0)</f>
        <v/>
      </c>
      <c r="AE52" s="301">
        <f>IF('Economic Assumptions'!$B15+'Project Assumptions'!$D$15+'Project Assumptions'!$D$16-1='Detailed Cashflows'!AE$5,-'Economic Assumptions'!$C15*'Economic Assumptions'!$L15,0)</f>
        <v/>
      </c>
      <c r="AF52" s="301">
        <f>IF('Economic Assumptions'!$B15+'Project Assumptions'!$D$15+'Project Assumptions'!$D$16-1='Detailed Cashflows'!AF$5,-'Economic Assumptions'!$C15*'Economic Assumptions'!$L15,0)</f>
        <v/>
      </c>
      <c r="AG52" s="301">
        <f>IF('Economic Assumptions'!$B15+'Project Assumptions'!$D$15+'Project Assumptions'!$D$16-1='Detailed Cashflows'!AG$5,-'Economic Assumptions'!$C15*'Economic Assumptions'!$L15,0)</f>
        <v/>
      </c>
      <c r="AH52" s="301">
        <f>IF('Economic Assumptions'!$B15+'Project Assumptions'!$D$15+'Project Assumptions'!$D$16-1='Detailed Cashflows'!AH$5,-'Economic Assumptions'!$C15*'Economic Assumptions'!$L15,0)</f>
        <v/>
      </c>
      <c r="AI52" s="301">
        <f>IF('Economic Assumptions'!$B15+'Project Assumptions'!$D$15+'Project Assumptions'!$D$16-1='Detailed Cashflows'!AI$5,-'Economic Assumptions'!$C15*'Economic Assumptions'!$L15,0)</f>
        <v/>
      </c>
      <c r="AJ52" s="301">
        <f>IF('Economic Assumptions'!$B15+'Project Assumptions'!$D$15+'Project Assumptions'!$D$16-1='Detailed Cashflows'!AJ$5,-'Economic Assumptions'!$C15*'Economic Assumptions'!$L15,0)</f>
        <v/>
      </c>
      <c r="AK52" s="301">
        <f>IF('Economic Assumptions'!$B15+'Project Assumptions'!$D$15+'Project Assumptions'!$D$16-1='Detailed Cashflows'!AK$5,-'Economic Assumptions'!$C15*'Economic Assumptions'!$L15,0)</f>
        <v/>
      </c>
      <c r="AL52" s="301">
        <f>IF('Economic Assumptions'!$B15+'Project Assumptions'!$D$15+'Project Assumptions'!$D$16-1='Detailed Cashflows'!AL$5,-'Economic Assumptions'!$C15*'Economic Assumptions'!$L15,0)</f>
        <v/>
      </c>
      <c r="AM52" s="301">
        <f>IF('Economic Assumptions'!$B15+'Project Assumptions'!$D$15+'Project Assumptions'!$D$16-1='Detailed Cashflows'!AM$5,-'Economic Assumptions'!$C15*'Economic Assumptions'!$L15,0)</f>
        <v/>
      </c>
      <c r="AN52" s="301">
        <f>IF('Economic Assumptions'!$B15+'Project Assumptions'!$D$15+'Project Assumptions'!$D$16-1='Detailed Cashflows'!AN$5,-'Economic Assumptions'!$C15*'Economic Assumptions'!$L15,0)</f>
        <v/>
      </c>
      <c r="AO52" s="301">
        <f>IF('Economic Assumptions'!$B15+'Project Assumptions'!$D$15+'Project Assumptions'!$D$16-1='Detailed Cashflows'!AO$5,-'Economic Assumptions'!$C15*'Economic Assumptions'!$L15,0)</f>
        <v/>
      </c>
      <c r="AP52" s="301">
        <f>IF('Economic Assumptions'!$B15+'Project Assumptions'!$D$15+'Project Assumptions'!$D$16-1='Detailed Cashflows'!AP$5,-'Economic Assumptions'!$C15*'Economic Assumptions'!$L15,0)</f>
        <v/>
      </c>
      <c r="AQ52" s="301">
        <f>IF('Economic Assumptions'!$B15+'Project Assumptions'!$D$15+'Project Assumptions'!$D$16-1='Detailed Cashflows'!AQ$5,-'Economic Assumptions'!$C15*'Economic Assumptions'!$L15,0)</f>
        <v/>
      </c>
      <c r="AR52" s="301">
        <f>IF('Economic Assumptions'!$B15+'Project Assumptions'!$D$15+'Project Assumptions'!$D$16-1='Detailed Cashflows'!AR$5,-'Economic Assumptions'!$C15*'Economic Assumptions'!$L15,0)</f>
        <v/>
      </c>
      <c r="AS52" s="301">
        <f>IF('Economic Assumptions'!$B15+'Project Assumptions'!$D$15+'Project Assumptions'!$D$16-1='Detailed Cashflows'!AS$5,-'Economic Assumptions'!$C15*'Economic Assumptions'!$L15,0)</f>
        <v/>
      </c>
      <c r="AT52" s="301">
        <f>IF('Economic Assumptions'!$B15+'Project Assumptions'!$D$15+'Project Assumptions'!$D$16-1='Detailed Cashflows'!AT$5,-'Economic Assumptions'!$C15*'Economic Assumptions'!$L15,0)</f>
        <v/>
      </c>
      <c r="AU52" s="301">
        <f>IF('Economic Assumptions'!$B15+'Project Assumptions'!$D$15+'Project Assumptions'!$D$16-1='Detailed Cashflows'!AU$5,-'Economic Assumptions'!$C15*'Economic Assumptions'!$L15,0)</f>
        <v/>
      </c>
      <c r="AV52" s="301">
        <f>IF('Economic Assumptions'!$B15+'Project Assumptions'!$D$15+'Project Assumptions'!$D$16-1='Detailed Cashflows'!AV$5,-'Economic Assumptions'!$C15*'Economic Assumptions'!$L15,0)</f>
        <v/>
      </c>
      <c r="AW52" s="301">
        <f>IF('Economic Assumptions'!$B15+'Project Assumptions'!$D$15+'Project Assumptions'!$D$16-1='Detailed Cashflows'!AW$5,-'Economic Assumptions'!$C15*'Economic Assumptions'!$L15,0)</f>
        <v/>
      </c>
      <c r="AX52" s="301">
        <f>IF('Economic Assumptions'!$B15+'Project Assumptions'!$D$15+'Project Assumptions'!$D$16-1='Detailed Cashflows'!AX$5,-'Economic Assumptions'!$C15*'Economic Assumptions'!$L15,0)</f>
        <v/>
      </c>
      <c r="AY52" s="301">
        <f>IF('Economic Assumptions'!$B15+'Project Assumptions'!$D$15+'Project Assumptions'!$D$16-1='Detailed Cashflows'!AY$5,-'Economic Assumptions'!$C15*'Economic Assumptions'!$L15,0)</f>
        <v/>
      </c>
      <c r="AZ52" s="301">
        <f>IF('Economic Assumptions'!$B15+'Project Assumptions'!$D$15+'Project Assumptions'!$D$16-1='Detailed Cashflows'!AZ$5,-'Economic Assumptions'!$C15*'Economic Assumptions'!$L15,0)</f>
        <v/>
      </c>
      <c r="BA52" s="301">
        <f>IF('Economic Assumptions'!$B15+'Project Assumptions'!$D$15+'Project Assumptions'!$D$16-1='Detailed Cashflows'!BA$5,-'Economic Assumptions'!$C15*'Economic Assumptions'!$L15,0)</f>
        <v/>
      </c>
      <c r="BB52" s="301">
        <f>IF('Economic Assumptions'!$B15+'Project Assumptions'!$D$15+'Project Assumptions'!$D$16-1='Detailed Cashflows'!BB$5,-'Economic Assumptions'!$C15*'Economic Assumptions'!$L15,0)</f>
        <v/>
      </c>
      <c r="BC52" s="301">
        <f>IF('Economic Assumptions'!$B15+'Project Assumptions'!$D$15+'Project Assumptions'!$D$16-1='Detailed Cashflows'!BC$5,-'Economic Assumptions'!$C15*'Economic Assumptions'!$L15,0)</f>
        <v/>
      </c>
      <c r="BD52" s="301">
        <f>IF('Economic Assumptions'!$B15+'Project Assumptions'!$D$15+'Project Assumptions'!$D$16-1='Detailed Cashflows'!BD$5,-'Economic Assumptions'!$C15*'Economic Assumptions'!$L15,0)</f>
        <v/>
      </c>
      <c r="BE52" s="301">
        <f>IF('Economic Assumptions'!$B15+'Project Assumptions'!$D$15+'Project Assumptions'!$D$16-1='Detailed Cashflows'!BE$5,-'Economic Assumptions'!$C15*'Economic Assumptions'!$L15,0)</f>
        <v/>
      </c>
      <c r="BF52" s="301">
        <f>IF('Economic Assumptions'!$B15+'Project Assumptions'!$D$15+'Project Assumptions'!$D$16-1='Detailed Cashflows'!BF$5,-'Economic Assumptions'!$C15*'Economic Assumptions'!$L15,0)</f>
        <v/>
      </c>
      <c r="BG52" s="301">
        <f>IF('Economic Assumptions'!$B15+'Project Assumptions'!$D$15+'Project Assumptions'!$D$16-1='Detailed Cashflows'!BG$5,-'Economic Assumptions'!$C15*'Economic Assumptions'!$L15,0)</f>
        <v/>
      </c>
      <c r="BH52" s="301">
        <f>IF('Economic Assumptions'!$B15+'Project Assumptions'!$D$15+'Project Assumptions'!$D$16-1='Detailed Cashflows'!BH$5,-'Economic Assumptions'!$C15*'Economic Assumptions'!$L15,0)</f>
        <v/>
      </c>
      <c r="BI52" s="301">
        <f>IF('Economic Assumptions'!$B15+'Project Assumptions'!$D$15+'Project Assumptions'!$D$16-1='Detailed Cashflows'!BI$5,-'Economic Assumptions'!$C15*'Economic Assumptions'!$L15,0)</f>
        <v/>
      </c>
      <c r="BJ52" s="301">
        <f>IF('Economic Assumptions'!$B15+'Project Assumptions'!$D$15+'Project Assumptions'!$D$16-1='Detailed Cashflows'!BJ$5,-'Economic Assumptions'!$C15*'Economic Assumptions'!$L15,0)</f>
        <v/>
      </c>
      <c r="BK52" s="301">
        <f>IF('Economic Assumptions'!$B15+'Project Assumptions'!$D$15+'Project Assumptions'!$D$16-1='Detailed Cashflows'!BK$5,-'Economic Assumptions'!$C15*'Economic Assumptions'!$L15,0)</f>
        <v/>
      </c>
      <c r="BL52" s="301">
        <f>IF('Economic Assumptions'!$B15+'Project Assumptions'!$D$15+'Project Assumptions'!$D$16-1='Detailed Cashflows'!BL$5,-'Economic Assumptions'!$C15*'Economic Assumptions'!$L15,0)</f>
        <v/>
      </c>
      <c r="BM52" s="301">
        <f>IF('Economic Assumptions'!$B15+'Project Assumptions'!$D$15+'Project Assumptions'!$D$16-1='Detailed Cashflows'!BM$5,-'Economic Assumptions'!$C15*'Economic Assumptions'!$L15,0)</f>
        <v/>
      </c>
      <c r="BN52" s="301">
        <f>IF('Economic Assumptions'!$B15+'Project Assumptions'!$D$15+'Project Assumptions'!$D$16-1='Detailed Cashflows'!BN$5,-'Economic Assumptions'!$C15*'Economic Assumptions'!$L15,0)</f>
        <v/>
      </c>
      <c r="BO52" s="301">
        <f>IF('Economic Assumptions'!$B15+'Project Assumptions'!$D$15+'Project Assumptions'!$D$16-1='Detailed Cashflows'!BO$5,-'Economic Assumptions'!$C15*'Economic Assumptions'!$L15,0)</f>
        <v/>
      </c>
      <c r="BP52" s="301">
        <f>IF('Economic Assumptions'!$B15+'Project Assumptions'!$D$15+'Project Assumptions'!$D$16-1='Detailed Cashflows'!BP$5,-'Economic Assumptions'!$C15*'Economic Assumptions'!$L15,0)</f>
        <v/>
      </c>
      <c r="BQ52" s="301">
        <f>IF('Economic Assumptions'!$B15+'Project Assumptions'!$D$15+'Project Assumptions'!$D$16-1='Detailed Cashflows'!BQ$5,-'Economic Assumptions'!$C15*'Economic Assumptions'!$L15,0)</f>
        <v/>
      </c>
      <c r="BR52" s="301">
        <f>IF('Economic Assumptions'!$B15+'Project Assumptions'!$D$15+'Project Assumptions'!$D$16-1='Detailed Cashflows'!BR$5,-'Economic Assumptions'!$C15*'Economic Assumptions'!$L15,0)</f>
        <v/>
      </c>
      <c r="BS52" s="301">
        <f>IF('Economic Assumptions'!$B15+'Project Assumptions'!$D$15+'Project Assumptions'!$D$16-1='Detailed Cashflows'!BS$5,-'Economic Assumptions'!$C15*'Economic Assumptions'!$L15,0)</f>
        <v/>
      </c>
      <c r="BT52" s="301">
        <f>IF('Economic Assumptions'!$B15+'Project Assumptions'!$D$15+'Project Assumptions'!$D$16-1='Detailed Cashflows'!BT$5,-'Economic Assumptions'!$C15*'Economic Assumptions'!$L15,0)</f>
        <v/>
      </c>
      <c r="BU52" s="301">
        <f>IF('Economic Assumptions'!$B15+'Project Assumptions'!$D$15+'Project Assumptions'!$D$16-1='Detailed Cashflows'!BU$5,-'Economic Assumptions'!$C15*'Economic Assumptions'!$L15,0)</f>
        <v/>
      </c>
      <c r="BV52" s="301">
        <f>IF('Economic Assumptions'!$B15+'Project Assumptions'!$D$15+'Project Assumptions'!$D$16-1='Detailed Cashflows'!BV$5,-'Economic Assumptions'!$C15*'Economic Assumptions'!$L15,0)</f>
        <v/>
      </c>
      <c r="BW52" s="301">
        <f>IF('Economic Assumptions'!$B15+'Project Assumptions'!$D$15+'Project Assumptions'!$D$16-1='Detailed Cashflows'!BW$5,-'Economic Assumptions'!$C15*'Economic Assumptions'!$L15,0)</f>
        <v/>
      </c>
      <c r="BX52" s="301">
        <f>IF('Economic Assumptions'!$B15+'Project Assumptions'!$D$15+'Project Assumptions'!$D$16-1='Detailed Cashflows'!BX$5,-'Economic Assumptions'!$C15*'Economic Assumptions'!$L15,0)</f>
        <v/>
      </c>
      <c r="BY52" s="301">
        <f>IF('Economic Assumptions'!$B15+'Project Assumptions'!$D$15+'Project Assumptions'!$D$16-1='Detailed Cashflows'!BY$5,-'Economic Assumptions'!$C15*'Economic Assumptions'!$L15,0)</f>
        <v/>
      </c>
      <c r="BZ52" s="301">
        <f>IF('Economic Assumptions'!$B15+'Project Assumptions'!$D$15+'Project Assumptions'!$D$16-1='Detailed Cashflows'!BZ$5,-'Economic Assumptions'!$C15*'Economic Assumptions'!$L15,0)</f>
        <v/>
      </c>
      <c r="CA52" s="301">
        <f>IF('Economic Assumptions'!$B15+'Project Assumptions'!$D$15+'Project Assumptions'!$D$16-1='Detailed Cashflows'!CA$5,-'Economic Assumptions'!$C15*'Economic Assumptions'!$L15,0)</f>
        <v/>
      </c>
      <c r="CB52" s="301">
        <f>IF('Economic Assumptions'!$B15+'Project Assumptions'!$D$15+'Project Assumptions'!$D$16-1='Detailed Cashflows'!CB$5,-'Economic Assumptions'!$C15*'Economic Assumptions'!$L15,0)</f>
        <v/>
      </c>
      <c r="CC52" s="301">
        <f>IF('Economic Assumptions'!$B15+'Project Assumptions'!$D$15+'Project Assumptions'!$D$16-1='Detailed Cashflows'!CC$5,-'Economic Assumptions'!$C15*'Economic Assumptions'!$L15,0)</f>
        <v/>
      </c>
      <c r="CD52" s="301">
        <f>IF('Economic Assumptions'!$B15+'Project Assumptions'!$D$15+'Project Assumptions'!$D$16-1='Detailed Cashflows'!CD$5,-'Economic Assumptions'!$C15*'Economic Assumptions'!$L15,0)</f>
        <v/>
      </c>
      <c r="CE52" s="301">
        <f>IF('Economic Assumptions'!$B15+'Project Assumptions'!$D$15+'Project Assumptions'!$D$16-1='Detailed Cashflows'!CE$5,-'Economic Assumptions'!$C15*'Economic Assumptions'!$L15,0)</f>
        <v/>
      </c>
      <c r="CF52" s="301">
        <f>IF('Economic Assumptions'!$B15+'Project Assumptions'!$D$15+'Project Assumptions'!$D$16-1='Detailed Cashflows'!CF$5,-'Economic Assumptions'!$C15*'Economic Assumptions'!$L15,0)</f>
        <v/>
      </c>
      <c r="CG52" s="301">
        <f>IF('Economic Assumptions'!$B15+'Project Assumptions'!$D$15+'Project Assumptions'!$D$16-1='Detailed Cashflows'!CG$5,-'Economic Assumptions'!$C15*'Economic Assumptions'!$L15,0)</f>
        <v/>
      </c>
      <c r="CH52" s="301">
        <f>IF('Economic Assumptions'!$B15+'Project Assumptions'!$D$15+'Project Assumptions'!$D$16-1='Detailed Cashflows'!CH$5,-'Economic Assumptions'!$C15*'Economic Assumptions'!$L15,0)</f>
        <v/>
      </c>
      <c r="CI52" s="301">
        <f>IF('Economic Assumptions'!$B15+'Project Assumptions'!$D$15+'Project Assumptions'!$D$16-1='Detailed Cashflows'!CI$5,-'Economic Assumptions'!$C15*'Economic Assumptions'!$L15,0)</f>
        <v/>
      </c>
      <c r="CJ52" s="301">
        <f>IF('Economic Assumptions'!$B15+'Project Assumptions'!$D$15+'Project Assumptions'!$D$16-1='Detailed Cashflows'!CJ$5,-'Economic Assumptions'!$C15*'Economic Assumptions'!$L15,0)</f>
        <v/>
      </c>
      <c r="CK52" s="301">
        <f>IF('Economic Assumptions'!$B15+'Project Assumptions'!$D$15+'Project Assumptions'!$D$16-1='Detailed Cashflows'!CK$5,-'Economic Assumptions'!$C15*'Economic Assumptions'!$L15,0)</f>
        <v/>
      </c>
      <c r="CL52" s="301">
        <f>IF('Economic Assumptions'!$B15+'Project Assumptions'!$D$15+'Project Assumptions'!$D$16-1='Detailed Cashflows'!CL$5,-'Economic Assumptions'!$C15*'Economic Assumptions'!$L15,0)</f>
        <v/>
      </c>
      <c r="CM52" s="301">
        <f>IF('Economic Assumptions'!$B15+'Project Assumptions'!$D$15+'Project Assumptions'!$D$16-1='Detailed Cashflows'!CM$5,-'Economic Assumptions'!$C15*'Economic Assumptions'!$L15,0)</f>
        <v/>
      </c>
      <c r="CN52" s="301">
        <f>IF('Economic Assumptions'!$B15+'Project Assumptions'!$D$15+'Project Assumptions'!$D$16-1='Detailed Cashflows'!CN$5,-'Economic Assumptions'!$C15*'Economic Assumptions'!$L15,0)</f>
        <v/>
      </c>
      <c r="CO52" s="301">
        <f>IF('Economic Assumptions'!$B15+'Project Assumptions'!$D$15+'Project Assumptions'!$D$16-1='Detailed Cashflows'!CO$5,-'Economic Assumptions'!$C15*'Economic Assumptions'!$L15,0)</f>
        <v/>
      </c>
      <c r="CP52" s="301">
        <f>IF('Economic Assumptions'!$B15+'Project Assumptions'!$D$15+'Project Assumptions'!$D$16-1='Detailed Cashflows'!CP$5,-'Economic Assumptions'!$C15*'Economic Assumptions'!$L15,0)</f>
        <v/>
      </c>
      <c r="CQ52" s="301">
        <f>IF('Economic Assumptions'!$B15+'Project Assumptions'!$D$15+'Project Assumptions'!$D$16-1='Detailed Cashflows'!CQ$5,-'Economic Assumptions'!$C15*'Economic Assumptions'!$L15,0)</f>
        <v/>
      </c>
      <c r="CR52" s="301">
        <f>IF('Economic Assumptions'!$B15+'Project Assumptions'!$D$15+'Project Assumptions'!$D$16-1='Detailed Cashflows'!CR$5,-'Economic Assumptions'!$C15*'Economic Assumptions'!$L15,0)</f>
        <v/>
      </c>
      <c r="CS52" s="301">
        <f>IF('Economic Assumptions'!$B15+'Project Assumptions'!$D$15+'Project Assumptions'!$D$16-1='Detailed Cashflows'!CS$5,-'Economic Assumptions'!$C15*'Economic Assumptions'!$L15,0)</f>
        <v/>
      </c>
      <c r="CT52" s="301">
        <f>IF('Economic Assumptions'!$B15+'Project Assumptions'!$D$15+'Project Assumptions'!$D$16-1='Detailed Cashflows'!CT$5,-'Economic Assumptions'!$C15*'Economic Assumptions'!$L15,0)</f>
        <v/>
      </c>
      <c r="CU52" s="301">
        <f>IF('Economic Assumptions'!$B15+'Project Assumptions'!$D$15+'Project Assumptions'!$D$16-1='Detailed Cashflows'!CU$5,-'Economic Assumptions'!$C15*'Economic Assumptions'!$L15,0)</f>
        <v/>
      </c>
      <c r="CV52" s="301">
        <f>IF('Economic Assumptions'!$B15+'Project Assumptions'!$D$15+'Project Assumptions'!$D$16-1='Detailed Cashflows'!CV$5,-'Economic Assumptions'!$C15*'Economic Assumptions'!$L15,0)</f>
        <v/>
      </c>
      <c r="CW52" s="301">
        <f>IF('Economic Assumptions'!$B15+'Project Assumptions'!$D$15+'Project Assumptions'!$D$16-1='Detailed Cashflows'!CW$5,-'Economic Assumptions'!$C15*'Economic Assumptions'!$L15,0)</f>
        <v/>
      </c>
      <c r="CX52" s="301">
        <f>IF('Economic Assumptions'!$B15+'Project Assumptions'!$D$15+'Project Assumptions'!$D$16-1='Detailed Cashflows'!CX$5,-'Economic Assumptions'!$C15*'Economic Assumptions'!$L15,0)</f>
        <v/>
      </c>
      <c r="CY52" s="301">
        <f>IF('Economic Assumptions'!$B15+'Project Assumptions'!$D$15+'Project Assumptions'!$D$16-1='Detailed Cashflows'!CY$5,-'Economic Assumptions'!$C15*'Economic Assumptions'!$L15,0)</f>
        <v/>
      </c>
      <c r="CZ52" s="301">
        <f>IF('Economic Assumptions'!$B15+'Project Assumptions'!$D$15+'Project Assumptions'!$D$16-1='Detailed Cashflows'!CZ$5,-'Economic Assumptions'!$C15*'Economic Assumptions'!$L15,0)</f>
        <v/>
      </c>
      <c r="DA52" s="301">
        <f>IF('Economic Assumptions'!$B15+'Project Assumptions'!$D$15+'Project Assumptions'!$D$16-1='Detailed Cashflows'!DA$5,-'Economic Assumptions'!$C15*'Economic Assumptions'!$L15,0)</f>
        <v/>
      </c>
      <c r="DB52" s="301">
        <f>IF('Economic Assumptions'!$B15+'Project Assumptions'!$D$15+'Project Assumptions'!$D$16-1='Detailed Cashflows'!DB$5,-'Economic Assumptions'!$C15*'Economic Assumptions'!$L15,0)</f>
        <v/>
      </c>
      <c r="DC52" s="301" t="n"/>
      <c r="DD52" s="299">
        <f>SUM(F52:DB52)</f>
        <v/>
      </c>
    </row>
    <row r="53" hidden="1" outlineLevel="1" ht="14.1" customFormat="1" customHeight="1" s="302">
      <c r="A53" s="1000" t="n"/>
      <c r="B53" s="303">
        <f>'Economic Assumptions'!$A$16</f>
        <v/>
      </c>
      <c r="C53" s="298" t="n"/>
      <c r="D53" s="299">
        <f>DD53</f>
        <v/>
      </c>
      <c r="E53" s="300" t="n"/>
      <c r="F53" s="301">
        <f>IF('Economic Assumptions'!$B16+'Project Assumptions'!$D$15+'Project Assumptions'!$D$16-1='Detailed Cashflows'!F$5,-'Economic Assumptions'!$C16*'Economic Assumptions'!$L16,0)</f>
        <v/>
      </c>
      <c r="G53" s="301">
        <f>IF('Economic Assumptions'!$B16+'Project Assumptions'!$D$15+'Project Assumptions'!$D$16-1='Detailed Cashflows'!G$5,-'Economic Assumptions'!$C16*'Economic Assumptions'!$L16,0)</f>
        <v/>
      </c>
      <c r="H53" s="301">
        <f>IF('Economic Assumptions'!$B16+'Project Assumptions'!$D$15+'Project Assumptions'!$D$16-1='Detailed Cashflows'!H$5,-'Economic Assumptions'!$C16*'Economic Assumptions'!$L16,0)</f>
        <v/>
      </c>
      <c r="I53" s="301">
        <f>IF('Economic Assumptions'!$B16+'Project Assumptions'!$D$15+'Project Assumptions'!$D$16-1='Detailed Cashflows'!I$5,-'Economic Assumptions'!$C16*'Economic Assumptions'!$L16,0)</f>
        <v/>
      </c>
      <c r="J53" s="301">
        <f>IF('Economic Assumptions'!$B16+'Project Assumptions'!$D$15+'Project Assumptions'!$D$16-1='Detailed Cashflows'!J$5,-'Economic Assumptions'!$C16*'Economic Assumptions'!$L16,0)</f>
        <v/>
      </c>
      <c r="K53" s="301">
        <f>IF('Economic Assumptions'!$B16+'Project Assumptions'!$D$15+'Project Assumptions'!$D$16-1='Detailed Cashflows'!K$5,-'Economic Assumptions'!$C16*'Economic Assumptions'!$L16,0)</f>
        <v/>
      </c>
      <c r="L53" s="301">
        <f>IF('Economic Assumptions'!$B16+'Project Assumptions'!$D$15+'Project Assumptions'!$D$16-1='Detailed Cashflows'!L$5,-'Economic Assumptions'!$C16*'Economic Assumptions'!$L16,0)</f>
        <v/>
      </c>
      <c r="M53" s="301">
        <f>IF('Economic Assumptions'!$B16+'Project Assumptions'!$D$15+'Project Assumptions'!$D$16-1='Detailed Cashflows'!M$5,-'Economic Assumptions'!$C16*'Economic Assumptions'!$L16,0)</f>
        <v/>
      </c>
      <c r="N53" s="301">
        <f>IF('Economic Assumptions'!$B16+'Project Assumptions'!$D$15+'Project Assumptions'!$D$16-1='Detailed Cashflows'!N$5,-'Economic Assumptions'!$C16*'Economic Assumptions'!$L16,0)</f>
        <v/>
      </c>
      <c r="O53" s="301">
        <f>IF('Economic Assumptions'!$B16+'Project Assumptions'!$D$15+'Project Assumptions'!$D$16-1='Detailed Cashflows'!O$5,-'Economic Assumptions'!$C16*'Economic Assumptions'!$L16,0)</f>
        <v/>
      </c>
      <c r="P53" s="301">
        <f>IF('Economic Assumptions'!$B16+'Project Assumptions'!$D$15+'Project Assumptions'!$D$16-1='Detailed Cashflows'!P$5,-'Economic Assumptions'!$C16*'Economic Assumptions'!$L16,0)</f>
        <v/>
      </c>
      <c r="Q53" s="301">
        <f>IF('Economic Assumptions'!$B16+'Project Assumptions'!$D$15+'Project Assumptions'!$D$16-1='Detailed Cashflows'!Q$5,-'Economic Assumptions'!$C16*'Economic Assumptions'!$L16,0)</f>
        <v/>
      </c>
      <c r="R53" s="301">
        <f>IF('Economic Assumptions'!$B16+'Project Assumptions'!$D$15+'Project Assumptions'!$D$16-1='Detailed Cashflows'!R$5,-'Economic Assumptions'!$C16*'Economic Assumptions'!$L16,0)</f>
        <v/>
      </c>
      <c r="S53" s="301">
        <f>IF('Economic Assumptions'!$B16+'Project Assumptions'!$D$15+'Project Assumptions'!$D$16-1='Detailed Cashflows'!S$5,-'Economic Assumptions'!$C16*'Economic Assumptions'!$L16,0)</f>
        <v/>
      </c>
      <c r="T53" s="301">
        <f>IF('Economic Assumptions'!$B16+'Project Assumptions'!$D$15+'Project Assumptions'!$D$16-1='Detailed Cashflows'!T$5,-'Economic Assumptions'!$C16*'Economic Assumptions'!$L16,0)</f>
        <v/>
      </c>
      <c r="U53" s="301">
        <f>IF('Economic Assumptions'!$B16+'Project Assumptions'!$D$15+'Project Assumptions'!$D$16-1='Detailed Cashflows'!U$5,-'Economic Assumptions'!$C16*'Economic Assumptions'!$L16,0)</f>
        <v/>
      </c>
      <c r="V53" s="301">
        <f>IF('Economic Assumptions'!$B16+'Project Assumptions'!$D$15+'Project Assumptions'!$D$16-1='Detailed Cashflows'!V$5,-'Economic Assumptions'!$C16*'Economic Assumptions'!$L16,0)</f>
        <v/>
      </c>
      <c r="W53" s="301">
        <f>IF('Economic Assumptions'!$B16+'Project Assumptions'!$D$15+'Project Assumptions'!$D$16-1='Detailed Cashflows'!W$5,-'Economic Assumptions'!$C16*'Economic Assumptions'!$L16,0)</f>
        <v/>
      </c>
      <c r="X53" s="301">
        <f>IF('Economic Assumptions'!$B16+'Project Assumptions'!$D$15+'Project Assumptions'!$D$16-1='Detailed Cashflows'!X$5,-'Economic Assumptions'!$C16*'Economic Assumptions'!$L16,0)</f>
        <v/>
      </c>
      <c r="Y53" s="301">
        <f>IF('Economic Assumptions'!$B16+'Project Assumptions'!$D$15+'Project Assumptions'!$D$16-1='Detailed Cashflows'!Y$5,-'Economic Assumptions'!$C16*'Economic Assumptions'!$L16,0)</f>
        <v/>
      </c>
      <c r="Z53" s="301">
        <f>IF('Economic Assumptions'!$B16+'Project Assumptions'!$D$15+'Project Assumptions'!$D$16-1='Detailed Cashflows'!Z$5,-'Economic Assumptions'!$C16*'Economic Assumptions'!$L16,0)</f>
        <v/>
      </c>
      <c r="AA53" s="301">
        <f>IF('Economic Assumptions'!$B16+'Project Assumptions'!$D$15+'Project Assumptions'!$D$16-1='Detailed Cashflows'!AA$5,-'Economic Assumptions'!$C16*'Economic Assumptions'!$L16,0)</f>
        <v/>
      </c>
      <c r="AB53" s="301">
        <f>IF('Economic Assumptions'!$B16+'Project Assumptions'!$D$15+'Project Assumptions'!$D$16-1='Detailed Cashflows'!AB$5,-'Economic Assumptions'!$C16*'Economic Assumptions'!$L16,0)</f>
        <v/>
      </c>
      <c r="AC53" s="301">
        <f>IF('Economic Assumptions'!$B16+'Project Assumptions'!$D$15+'Project Assumptions'!$D$16-1='Detailed Cashflows'!AC$5,-'Economic Assumptions'!$C16*'Economic Assumptions'!$L16,0)</f>
        <v/>
      </c>
      <c r="AD53" s="301">
        <f>IF('Economic Assumptions'!$B16+'Project Assumptions'!$D$15+'Project Assumptions'!$D$16-1='Detailed Cashflows'!AD$5,-'Economic Assumptions'!$C16*'Economic Assumptions'!$L16,0)</f>
        <v/>
      </c>
      <c r="AE53" s="301">
        <f>IF('Economic Assumptions'!$B16+'Project Assumptions'!$D$15+'Project Assumptions'!$D$16-1='Detailed Cashflows'!AE$5,-'Economic Assumptions'!$C16*'Economic Assumptions'!$L16,0)</f>
        <v/>
      </c>
      <c r="AF53" s="301">
        <f>IF('Economic Assumptions'!$B16+'Project Assumptions'!$D$15+'Project Assumptions'!$D$16-1='Detailed Cashflows'!AF$5,-'Economic Assumptions'!$C16*'Economic Assumptions'!$L16,0)</f>
        <v/>
      </c>
      <c r="AG53" s="301">
        <f>IF('Economic Assumptions'!$B16+'Project Assumptions'!$D$15+'Project Assumptions'!$D$16-1='Detailed Cashflows'!AG$5,-'Economic Assumptions'!$C16*'Economic Assumptions'!$L16,0)</f>
        <v/>
      </c>
      <c r="AH53" s="301">
        <f>IF('Economic Assumptions'!$B16+'Project Assumptions'!$D$15+'Project Assumptions'!$D$16-1='Detailed Cashflows'!AH$5,-'Economic Assumptions'!$C16*'Economic Assumptions'!$L16,0)</f>
        <v/>
      </c>
      <c r="AI53" s="301">
        <f>IF('Economic Assumptions'!$B16+'Project Assumptions'!$D$15+'Project Assumptions'!$D$16-1='Detailed Cashflows'!AI$5,-'Economic Assumptions'!$C16*'Economic Assumptions'!$L16,0)</f>
        <v/>
      </c>
      <c r="AJ53" s="301">
        <f>IF('Economic Assumptions'!$B16+'Project Assumptions'!$D$15+'Project Assumptions'!$D$16-1='Detailed Cashflows'!AJ$5,-'Economic Assumptions'!$C16*'Economic Assumptions'!$L16,0)</f>
        <v/>
      </c>
      <c r="AK53" s="301">
        <f>IF('Economic Assumptions'!$B16+'Project Assumptions'!$D$15+'Project Assumptions'!$D$16-1='Detailed Cashflows'!AK$5,-'Economic Assumptions'!$C16*'Economic Assumptions'!$L16,0)</f>
        <v/>
      </c>
      <c r="AL53" s="301">
        <f>IF('Economic Assumptions'!$B16+'Project Assumptions'!$D$15+'Project Assumptions'!$D$16-1='Detailed Cashflows'!AL$5,-'Economic Assumptions'!$C16*'Economic Assumptions'!$L16,0)</f>
        <v/>
      </c>
      <c r="AM53" s="301">
        <f>IF('Economic Assumptions'!$B16+'Project Assumptions'!$D$15+'Project Assumptions'!$D$16-1='Detailed Cashflows'!AM$5,-'Economic Assumptions'!$C16*'Economic Assumptions'!$L16,0)</f>
        <v/>
      </c>
      <c r="AN53" s="301">
        <f>IF('Economic Assumptions'!$B16+'Project Assumptions'!$D$15+'Project Assumptions'!$D$16-1='Detailed Cashflows'!AN$5,-'Economic Assumptions'!$C16*'Economic Assumptions'!$L16,0)</f>
        <v/>
      </c>
      <c r="AO53" s="301">
        <f>IF('Economic Assumptions'!$B16+'Project Assumptions'!$D$15+'Project Assumptions'!$D$16-1='Detailed Cashflows'!AO$5,-'Economic Assumptions'!$C16*'Economic Assumptions'!$L16,0)</f>
        <v/>
      </c>
      <c r="AP53" s="301">
        <f>IF('Economic Assumptions'!$B16+'Project Assumptions'!$D$15+'Project Assumptions'!$D$16-1='Detailed Cashflows'!AP$5,-'Economic Assumptions'!$C16*'Economic Assumptions'!$L16,0)</f>
        <v/>
      </c>
      <c r="AQ53" s="301">
        <f>IF('Economic Assumptions'!$B16+'Project Assumptions'!$D$15+'Project Assumptions'!$D$16-1='Detailed Cashflows'!AQ$5,-'Economic Assumptions'!$C16*'Economic Assumptions'!$L16,0)</f>
        <v/>
      </c>
      <c r="AR53" s="301">
        <f>IF('Economic Assumptions'!$B16+'Project Assumptions'!$D$15+'Project Assumptions'!$D$16-1='Detailed Cashflows'!AR$5,-'Economic Assumptions'!$C16*'Economic Assumptions'!$L16,0)</f>
        <v/>
      </c>
      <c r="AS53" s="301">
        <f>IF('Economic Assumptions'!$B16+'Project Assumptions'!$D$15+'Project Assumptions'!$D$16-1='Detailed Cashflows'!AS$5,-'Economic Assumptions'!$C16*'Economic Assumptions'!$L16,0)</f>
        <v/>
      </c>
      <c r="AT53" s="301">
        <f>IF('Economic Assumptions'!$B16+'Project Assumptions'!$D$15+'Project Assumptions'!$D$16-1='Detailed Cashflows'!AT$5,-'Economic Assumptions'!$C16*'Economic Assumptions'!$L16,0)</f>
        <v/>
      </c>
      <c r="AU53" s="301">
        <f>IF('Economic Assumptions'!$B16+'Project Assumptions'!$D$15+'Project Assumptions'!$D$16-1='Detailed Cashflows'!AU$5,-'Economic Assumptions'!$C16*'Economic Assumptions'!$L16,0)</f>
        <v/>
      </c>
      <c r="AV53" s="301">
        <f>IF('Economic Assumptions'!$B16+'Project Assumptions'!$D$15+'Project Assumptions'!$D$16-1='Detailed Cashflows'!AV$5,-'Economic Assumptions'!$C16*'Economic Assumptions'!$L16,0)</f>
        <v/>
      </c>
      <c r="AW53" s="301">
        <f>IF('Economic Assumptions'!$B16+'Project Assumptions'!$D$15+'Project Assumptions'!$D$16-1='Detailed Cashflows'!AW$5,-'Economic Assumptions'!$C16*'Economic Assumptions'!$L16,0)</f>
        <v/>
      </c>
      <c r="AX53" s="301">
        <f>IF('Economic Assumptions'!$B16+'Project Assumptions'!$D$15+'Project Assumptions'!$D$16-1='Detailed Cashflows'!AX$5,-'Economic Assumptions'!$C16*'Economic Assumptions'!$L16,0)</f>
        <v/>
      </c>
      <c r="AY53" s="301">
        <f>IF('Economic Assumptions'!$B16+'Project Assumptions'!$D$15+'Project Assumptions'!$D$16-1='Detailed Cashflows'!AY$5,-'Economic Assumptions'!$C16*'Economic Assumptions'!$L16,0)</f>
        <v/>
      </c>
      <c r="AZ53" s="301">
        <f>IF('Economic Assumptions'!$B16+'Project Assumptions'!$D$15+'Project Assumptions'!$D$16-1='Detailed Cashflows'!AZ$5,-'Economic Assumptions'!$C16*'Economic Assumptions'!$L16,0)</f>
        <v/>
      </c>
      <c r="BA53" s="301">
        <f>IF('Economic Assumptions'!$B16+'Project Assumptions'!$D$15+'Project Assumptions'!$D$16-1='Detailed Cashflows'!BA$5,-'Economic Assumptions'!$C16*'Economic Assumptions'!$L16,0)</f>
        <v/>
      </c>
      <c r="BB53" s="301">
        <f>IF('Economic Assumptions'!$B16+'Project Assumptions'!$D$15+'Project Assumptions'!$D$16-1='Detailed Cashflows'!BB$5,-'Economic Assumptions'!$C16*'Economic Assumptions'!$L16,0)</f>
        <v/>
      </c>
      <c r="BC53" s="301">
        <f>IF('Economic Assumptions'!$B16+'Project Assumptions'!$D$15+'Project Assumptions'!$D$16-1='Detailed Cashflows'!BC$5,-'Economic Assumptions'!$C16*'Economic Assumptions'!$L16,0)</f>
        <v/>
      </c>
      <c r="BD53" s="301">
        <f>IF('Economic Assumptions'!$B16+'Project Assumptions'!$D$15+'Project Assumptions'!$D$16-1='Detailed Cashflows'!BD$5,-'Economic Assumptions'!$C16*'Economic Assumptions'!$L16,0)</f>
        <v/>
      </c>
      <c r="BE53" s="301">
        <f>IF('Economic Assumptions'!$B16+'Project Assumptions'!$D$15+'Project Assumptions'!$D$16-1='Detailed Cashflows'!BE$5,-'Economic Assumptions'!$C16*'Economic Assumptions'!$L16,0)</f>
        <v/>
      </c>
      <c r="BF53" s="301">
        <f>IF('Economic Assumptions'!$B16+'Project Assumptions'!$D$15+'Project Assumptions'!$D$16-1='Detailed Cashflows'!BF$5,-'Economic Assumptions'!$C16*'Economic Assumptions'!$L16,0)</f>
        <v/>
      </c>
      <c r="BG53" s="301">
        <f>IF('Economic Assumptions'!$B16+'Project Assumptions'!$D$15+'Project Assumptions'!$D$16-1='Detailed Cashflows'!BG$5,-'Economic Assumptions'!$C16*'Economic Assumptions'!$L16,0)</f>
        <v/>
      </c>
      <c r="BH53" s="301">
        <f>IF('Economic Assumptions'!$B16+'Project Assumptions'!$D$15+'Project Assumptions'!$D$16-1='Detailed Cashflows'!BH$5,-'Economic Assumptions'!$C16*'Economic Assumptions'!$L16,0)</f>
        <v/>
      </c>
      <c r="BI53" s="301">
        <f>IF('Economic Assumptions'!$B16+'Project Assumptions'!$D$15+'Project Assumptions'!$D$16-1='Detailed Cashflows'!BI$5,-'Economic Assumptions'!$C16*'Economic Assumptions'!$L16,0)</f>
        <v/>
      </c>
      <c r="BJ53" s="301">
        <f>IF('Economic Assumptions'!$B16+'Project Assumptions'!$D$15+'Project Assumptions'!$D$16-1='Detailed Cashflows'!BJ$5,-'Economic Assumptions'!$C16*'Economic Assumptions'!$L16,0)</f>
        <v/>
      </c>
      <c r="BK53" s="301">
        <f>IF('Economic Assumptions'!$B16+'Project Assumptions'!$D$15+'Project Assumptions'!$D$16-1='Detailed Cashflows'!BK$5,-'Economic Assumptions'!$C16*'Economic Assumptions'!$L16,0)</f>
        <v/>
      </c>
      <c r="BL53" s="301">
        <f>IF('Economic Assumptions'!$B16+'Project Assumptions'!$D$15+'Project Assumptions'!$D$16-1='Detailed Cashflows'!BL$5,-'Economic Assumptions'!$C16*'Economic Assumptions'!$L16,0)</f>
        <v/>
      </c>
      <c r="BM53" s="301">
        <f>IF('Economic Assumptions'!$B16+'Project Assumptions'!$D$15+'Project Assumptions'!$D$16-1='Detailed Cashflows'!BM$5,-'Economic Assumptions'!$C16*'Economic Assumptions'!$L16,0)</f>
        <v/>
      </c>
      <c r="BN53" s="301">
        <f>IF('Economic Assumptions'!$B16+'Project Assumptions'!$D$15+'Project Assumptions'!$D$16-1='Detailed Cashflows'!BN$5,-'Economic Assumptions'!$C16*'Economic Assumptions'!$L16,0)</f>
        <v/>
      </c>
      <c r="BO53" s="301">
        <f>IF('Economic Assumptions'!$B16+'Project Assumptions'!$D$15+'Project Assumptions'!$D$16-1='Detailed Cashflows'!BO$5,-'Economic Assumptions'!$C16*'Economic Assumptions'!$L16,0)</f>
        <v/>
      </c>
      <c r="BP53" s="301">
        <f>IF('Economic Assumptions'!$B16+'Project Assumptions'!$D$15+'Project Assumptions'!$D$16-1='Detailed Cashflows'!BP$5,-'Economic Assumptions'!$C16*'Economic Assumptions'!$L16,0)</f>
        <v/>
      </c>
      <c r="BQ53" s="301">
        <f>IF('Economic Assumptions'!$B16+'Project Assumptions'!$D$15+'Project Assumptions'!$D$16-1='Detailed Cashflows'!BQ$5,-'Economic Assumptions'!$C16*'Economic Assumptions'!$L16,0)</f>
        <v/>
      </c>
      <c r="BR53" s="301">
        <f>IF('Economic Assumptions'!$B16+'Project Assumptions'!$D$15+'Project Assumptions'!$D$16-1='Detailed Cashflows'!BR$5,-'Economic Assumptions'!$C16*'Economic Assumptions'!$L16,0)</f>
        <v/>
      </c>
      <c r="BS53" s="301">
        <f>IF('Economic Assumptions'!$B16+'Project Assumptions'!$D$15+'Project Assumptions'!$D$16-1='Detailed Cashflows'!BS$5,-'Economic Assumptions'!$C16*'Economic Assumptions'!$L16,0)</f>
        <v/>
      </c>
      <c r="BT53" s="301">
        <f>IF('Economic Assumptions'!$B16+'Project Assumptions'!$D$15+'Project Assumptions'!$D$16-1='Detailed Cashflows'!BT$5,-'Economic Assumptions'!$C16*'Economic Assumptions'!$L16,0)</f>
        <v/>
      </c>
      <c r="BU53" s="301">
        <f>IF('Economic Assumptions'!$B16+'Project Assumptions'!$D$15+'Project Assumptions'!$D$16-1='Detailed Cashflows'!BU$5,-'Economic Assumptions'!$C16*'Economic Assumptions'!$L16,0)</f>
        <v/>
      </c>
      <c r="BV53" s="301">
        <f>IF('Economic Assumptions'!$B16+'Project Assumptions'!$D$15+'Project Assumptions'!$D$16-1='Detailed Cashflows'!BV$5,-'Economic Assumptions'!$C16*'Economic Assumptions'!$L16,0)</f>
        <v/>
      </c>
      <c r="BW53" s="301">
        <f>IF('Economic Assumptions'!$B16+'Project Assumptions'!$D$15+'Project Assumptions'!$D$16-1='Detailed Cashflows'!BW$5,-'Economic Assumptions'!$C16*'Economic Assumptions'!$L16,0)</f>
        <v/>
      </c>
      <c r="BX53" s="301">
        <f>IF('Economic Assumptions'!$B16+'Project Assumptions'!$D$15+'Project Assumptions'!$D$16-1='Detailed Cashflows'!BX$5,-'Economic Assumptions'!$C16*'Economic Assumptions'!$L16,0)</f>
        <v/>
      </c>
      <c r="BY53" s="301">
        <f>IF('Economic Assumptions'!$B16+'Project Assumptions'!$D$15+'Project Assumptions'!$D$16-1='Detailed Cashflows'!BY$5,-'Economic Assumptions'!$C16*'Economic Assumptions'!$L16,0)</f>
        <v/>
      </c>
      <c r="BZ53" s="301">
        <f>IF('Economic Assumptions'!$B16+'Project Assumptions'!$D$15+'Project Assumptions'!$D$16-1='Detailed Cashflows'!BZ$5,-'Economic Assumptions'!$C16*'Economic Assumptions'!$L16,0)</f>
        <v/>
      </c>
      <c r="CA53" s="301">
        <f>IF('Economic Assumptions'!$B16+'Project Assumptions'!$D$15+'Project Assumptions'!$D$16-1='Detailed Cashflows'!CA$5,-'Economic Assumptions'!$C16*'Economic Assumptions'!$L16,0)</f>
        <v/>
      </c>
      <c r="CB53" s="301">
        <f>IF('Economic Assumptions'!$B16+'Project Assumptions'!$D$15+'Project Assumptions'!$D$16-1='Detailed Cashflows'!CB$5,-'Economic Assumptions'!$C16*'Economic Assumptions'!$L16,0)</f>
        <v/>
      </c>
      <c r="CC53" s="301">
        <f>IF('Economic Assumptions'!$B16+'Project Assumptions'!$D$15+'Project Assumptions'!$D$16-1='Detailed Cashflows'!CC$5,-'Economic Assumptions'!$C16*'Economic Assumptions'!$L16,0)</f>
        <v/>
      </c>
      <c r="CD53" s="301">
        <f>IF('Economic Assumptions'!$B16+'Project Assumptions'!$D$15+'Project Assumptions'!$D$16-1='Detailed Cashflows'!CD$5,-'Economic Assumptions'!$C16*'Economic Assumptions'!$L16,0)</f>
        <v/>
      </c>
      <c r="CE53" s="301">
        <f>IF('Economic Assumptions'!$B16+'Project Assumptions'!$D$15+'Project Assumptions'!$D$16-1='Detailed Cashflows'!CE$5,-'Economic Assumptions'!$C16*'Economic Assumptions'!$L16,0)</f>
        <v/>
      </c>
      <c r="CF53" s="301">
        <f>IF('Economic Assumptions'!$B16+'Project Assumptions'!$D$15+'Project Assumptions'!$D$16-1='Detailed Cashflows'!CF$5,-'Economic Assumptions'!$C16*'Economic Assumptions'!$L16,0)</f>
        <v/>
      </c>
      <c r="CG53" s="301">
        <f>IF('Economic Assumptions'!$B16+'Project Assumptions'!$D$15+'Project Assumptions'!$D$16-1='Detailed Cashflows'!CG$5,-'Economic Assumptions'!$C16*'Economic Assumptions'!$L16,0)</f>
        <v/>
      </c>
      <c r="CH53" s="301">
        <f>IF('Economic Assumptions'!$B16+'Project Assumptions'!$D$15+'Project Assumptions'!$D$16-1='Detailed Cashflows'!CH$5,-'Economic Assumptions'!$C16*'Economic Assumptions'!$L16,0)</f>
        <v/>
      </c>
      <c r="CI53" s="301">
        <f>IF('Economic Assumptions'!$B16+'Project Assumptions'!$D$15+'Project Assumptions'!$D$16-1='Detailed Cashflows'!CI$5,-'Economic Assumptions'!$C16*'Economic Assumptions'!$L16,0)</f>
        <v/>
      </c>
      <c r="CJ53" s="301">
        <f>IF('Economic Assumptions'!$B16+'Project Assumptions'!$D$15+'Project Assumptions'!$D$16-1='Detailed Cashflows'!CJ$5,-'Economic Assumptions'!$C16*'Economic Assumptions'!$L16,0)</f>
        <v/>
      </c>
      <c r="CK53" s="301">
        <f>IF('Economic Assumptions'!$B16+'Project Assumptions'!$D$15+'Project Assumptions'!$D$16-1='Detailed Cashflows'!CK$5,-'Economic Assumptions'!$C16*'Economic Assumptions'!$L16,0)</f>
        <v/>
      </c>
      <c r="CL53" s="301">
        <f>IF('Economic Assumptions'!$B16+'Project Assumptions'!$D$15+'Project Assumptions'!$D$16-1='Detailed Cashflows'!CL$5,-'Economic Assumptions'!$C16*'Economic Assumptions'!$L16,0)</f>
        <v/>
      </c>
      <c r="CM53" s="301">
        <f>IF('Economic Assumptions'!$B16+'Project Assumptions'!$D$15+'Project Assumptions'!$D$16-1='Detailed Cashflows'!CM$5,-'Economic Assumptions'!$C16*'Economic Assumptions'!$L16,0)</f>
        <v/>
      </c>
      <c r="CN53" s="301">
        <f>IF('Economic Assumptions'!$B16+'Project Assumptions'!$D$15+'Project Assumptions'!$D$16-1='Detailed Cashflows'!CN$5,-'Economic Assumptions'!$C16*'Economic Assumptions'!$L16,0)</f>
        <v/>
      </c>
      <c r="CO53" s="301">
        <f>IF('Economic Assumptions'!$B16+'Project Assumptions'!$D$15+'Project Assumptions'!$D$16-1='Detailed Cashflows'!CO$5,-'Economic Assumptions'!$C16*'Economic Assumptions'!$L16,0)</f>
        <v/>
      </c>
      <c r="CP53" s="301">
        <f>IF('Economic Assumptions'!$B16+'Project Assumptions'!$D$15+'Project Assumptions'!$D$16-1='Detailed Cashflows'!CP$5,-'Economic Assumptions'!$C16*'Economic Assumptions'!$L16,0)</f>
        <v/>
      </c>
      <c r="CQ53" s="301">
        <f>IF('Economic Assumptions'!$B16+'Project Assumptions'!$D$15+'Project Assumptions'!$D$16-1='Detailed Cashflows'!CQ$5,-'Economic Assumptions'!$C16*'Economic Assumptions'!$L16,0)</f>
        <v/>
      </c>
      <c r="CR53" s="301">
        <f>IF('Economic Assumptions'!$B16+'Project Assumptions'!$D$15+'Project Assumptions'!$D$16-1='Detailed Cashflows'!CR$5,-'Economic Assumptions'!$C16*'Economic Assumptions'!$L16,0)</f>
        <v/>
      </c>
      <c r="CS53" s="301">
        <f>IF('Economic Assumptions'!$B16+'Project Assumptions'!$D$15+'Project Assumptions'!$D$16-1='Detailed Cashflows'!CS$5,-'Economic Assumptions'!$C16*'Economic Assumptions'!$L16,0)</f>
        <v/>
      </c>
      <c r="CT53" s="301">
        <f>IF('Economic Assumptions'!$B16+'Project Assumptions'!$D$15+'Project Assumptions'!$D$16-1='Detailed Cashflows'!CT$5,-'Economic Assumptions'!$C16*'Economic Assumptions'!$L16,0)</f>
        <v/>
      </c>
      <c r="CU53" s="301">
        <f>IF('Economic Assumptions'!$B16+'Project Assumptions'!$D$15+'Project Assumptions'!$D$16-1='Detailed Cashflows'!CU$5,-'Economic Assumptions'!$C16*'Economic Assumptions'!$L16,0)</f>
        <v/>
      </c>
      <c r="CV53" s="301">
        <f>IF('Economic Assumptions'!$B16+'Project Assumptions'!$D$15+'Project Assumptions'!$D$16-1='Detailed Cashflows'!CV$5,-'Economic Assumptions'!$C16*'Economic Assumptions'!$L16,0)</f>
        <v/>
      </c>
      <c r="CW53" s="301">
        <f>IF('Economic Assumptions'!$B16+'Project Assumptions'!$D$15+'Project Assumptions'!$D$16-1='Detailed Cashflows'!CW$5,-'Economic Assumptions'!$C16*'Economic Assumptions'!$L16,0)</f>
        <v/>
      </c>
      <c r="CX53" s="301">
        <f>IF('Economic Assumptions'!$B16+'Project Assumptions'!$D$15+'Project Assumptions'!$D$16-1='Detailed Cashflows'!CX$5,-'Economic Assumptions'!$C16*'Economic Assumptions'!$L16,0)</f>
        <v/>
      </c>
      <c r="CY53" s="301">
        <f>IF('Economic Assumptions'!$B16+'Project Assumptions'!$D$15+'Project Assumptions'!$D$16-1='Detailed Cashflows'!CY$5,-'Economic Assumptions'!$C16*'Economic Assumptions'!$L16,0)</f>
        <v/>
      </c>
      <c r="CZ53" s="301">
        <f>IF('Economic Assumptions'!$B16+'Project Assumptions'!$D$15+'Project Assumptions'!$D$16-1='Detailed Cashflows'!CZ$5,-'Economic Assumptions'!$C16*'Economic Assumptions'!$L16,0)</f>
        <v/>
      </c>
      <c r="DA53" s="301">
        <f>IF('Economic Assumptions'!$B16+'Project Assumptions'!$D$15+'Project Assumptions'!$D$16-1='Detailed Cashflows'!DA$5,-'Economic Assumptions'!$C16*'Economic Assumptions'!$L16,0)</f>
        <v/>
      </c>
      <c r="DB53" s="301">
        <f>IF('Economic Assumptions'!$B16+'Project Assumptions'!$D$15+'Project Assumptions'!$D$16-1='Detailed Cashflows'!DB$5,-'Economic Assumptions'!$C16*'Economic Assumptions'!$L16,0)</f>
        <v/>
      </c>
      <c r="DC53" s="301" t="n"/>
      <c r="DD53" s="299">
        <f>SUM(F53:DB53)</f>
        <v/>
      </c>
    </row>
    <row r="54" hidden="1" outlineLevel="1" ht="14.1" customFormat="1" customHeight="1" s="302">
      <c r="A54" s="1000" t="n"/>
      <c r="B54" s="303">
        <f>'Economic Assumptions'!$A$17</f>
        <v/>
      </c>
      <c r="C54" s="298" t="n"/>
      <c r="D54" s="299">
        <f>DD54</f>
        <v/>
      </c>
      <c r="E54" s="300" t="n"/>
      <c r="F54" s="301">
        <f>IF('Economic Assumptions'!$B17+'Project Assumptions'!$D$15+'Project Assumptions'!$D$16-1='Detailed Cashflows'!F$5,-'Economic Assumptions'!$C17*'Economic Assumptions'!$L17,0)</f>
        <v/>
      </c>
      <c r="G54" s="301">
        <f>IF('Economic Assumptions'!$B17+'Project Assumptions'!$D$15+'Project Assumptions'!$D$16-1='Detailed Cashflows'!G$5,-'Economic Assumptions'!$C17*'Economic Assumptions'!$L17,0)</f>
        <v/>
      </c>
      <c r="H54" s="301">
        <f>IF('Economic Assumptions'!$B17+'Project Assumptions'!$D$15+'Project Assumptions'!$D$16-1='Detailed Cashflows'!H$5,-'Economic Assumptions'!$C17*'Economic Assumptions'!$L17,0)</f>
        <v/>
      </c>
      <c r="I54" s="301">
        <f>IF('Economic Assumptions'!$B17+'Project Assumptions'!$D$15+'Project Assumptions'!$D$16-1='Detailed Cashflows'!I$5,-'Economic Assumptions'!$C17*'Economic Assumptions'!$L17,0)</f>
        <v/>
      </c>
      <c r="J54" s="301">
        <f>IF('Economic Assumptions'!$B17+'Project Assumptions'!$D$15+'Project Assumptions'!$D$16-1='Detailed Cashflows'!J$5,-'Economic Assumptions'!$C17*'Economic Assumptions'!$L17,0)</f>
        <v/>
      </c>
      <c r="K54" s="301">
        <f>IF('Economic Assumptions'!$B17+'Project Assumptions'!$D$15+'Project Assumptions'!$D$16-1='Detailed Cashflows'!K$5,-'Economic Assumptions'!$C17*'Economic Assumptions'!$L17,0)</f>
        <v/>
      </c>
      <c r="L54" s="301">
        <f>IF('Economic Assumptions'!$B17+'Project Assumptions'!$D$15+'Project Assumptions'!$D$16-1='Detailed Cashflows'!L$5,-'Economic Assumptions'!$C17*'Economic Assumptions'!$L17,0)</f>
        <v/>
      </c>
      <c r="M54" s="301">
        <f>IF('Economic Assumptions'!$B17+'Project Assumptions'!$D$15+'Project Assumptions'!$D$16-1='Detailed Cashflows'!M$5,-'Economic Assumptions'!$C17*'Economic Assumptions'!$L17,0)</f>
        <v/>
      </c>
      <c r="N54" s="301">
        <f>IF('Economic Assumptions'!$B17+'Project Assumptions'!$D$15+'Project Assumptions'!$D$16-1='Detailed Cashflows'!N$5,-'Economic Assumptions'!$C17*'Economic Assumptions'!$L17,0)</f>
        <v/>
      </c>
      <c r="O54" s="301">
        <f>IF('Economic Assumptions'!$B17+'Project Assumptions'!$D$15+'Project Assumptions'!$D$16-1='Detailed Cashflows'!O$5,-'Economic Assumptions'!$C17*'Economic Assumptions'!$L17,0)</f>
        <v/>
      </c>
      <c r="P54" s="301">
        <f>IF('Economic Assumptions'!$B17+'Project Assumptions'!$D$15+'Project Assumptions'!$D$16-1='Detailed Cashflows'!P$5,-'Economic Assumptions'!$C17*'Economic Assumptions'!$L17,0)</f>
        <v/>
      </c>
      <c r="Q54" s="301">
        <f>IF('Economic Assumptions'!$B17+'Project Assumptions'!$D$15+'Project Assumptions'!$D$16-1='Detailed Cashflows'!Q$5,-'Economic Assumptions'!$C17*'Economic Assumptions'!$L17,0)</f>
        <v/>
      </c>
      <c r="R54" s="301">
        <f>IF('Economic Assumptions'!$B17+'Project Assumptions'!$D$15+'Project Assumptions'!$D$16-1='Detailed Cashflows'!R$5,-'Economic Assumptions'!$C17*'Economic Assumptions'!$L17,0)</f>
        <v/>
      </c>
      <c r="S54" s="301">
        <f>IF('Economic Assumptions'!$B17+'Project Assumptions'!$D$15+'Project Assumptions'!$D$16-1='Detailed Cashflows'!S$5,-'Economic Assumptions'!$C17*'Economic Assumptions'!$L17,0)</f>
        <v/>
      </c>
      <c r="T54" s="301">
        <f>IF('Economic Assumptions'!$B17+'Project Assumptions'!$D$15+'Project Assumptions'!$D$16-1='Detailed Cashflows'!T$5,-'Economic Assumptions'!$C17*'Economic Assumptions'!$L17,0)</f>
        <v/>
      </c>
      <c r="U54" s="301">
        <f>IF('Economic Assumptions'!$B17+'Project Assumptions'!$D$15+'Project Assumptions'!$D$16-1='Detailed Cashflows'!U$5,-'Economic Assumptions'!$C17*'Economic Assumptions'!$L17,0)</f>
        <v/>
      </c>
      <c r="V54" s="301">
        <f>IF('Economic Assumptions'!$B17+'Project Assumptions'!$D$15+'Project Assumptions'!$D$16-1='Detailed Cashflows'!V$5,-'Economic Assumptions'!$C17*'Economic Assumptions'!$L17,0)</f>
        <v/>
      </c>
      <c r="W54" s="301">
        <f>IF('Economic Assumptions'!$B17+'Project Assumptions'!$D$15+'Project Assumptions'!$D$16-1='Detailed Cashflows'!W$5,-'Economic Assumptions'!$C17*'Economic Assumptions'!$L17,0)</f>
        <v/>
      </c>
      <c r="X54" s="301">
        <f>IF('Economic Assumptions'!$B17+'Project Assumptions'!$D$15+'Project Assumptions'!$D$16-1='Detailed Cashflows'!X$5,-'Economic Assumptions'!$C17*'Economic Assumptions'!$L17,0)</f>
        <v/>
      </c>
      <c r="Y54" s="301">
        <f>IF('Economic Assumptions'!$B17+'Project Assumptions'!$D$15+'Project Assumptions'!$D$16-1='Detailed Cashflows'!Y$5,-'Economic Assumptions'!$C17*'Economic Assumptions'!$L17,0)</f>
        <v/>
      </c>
      <c r="Z54" s="301">
        <f>IF('Economic Assumptions'!$B17+'Project Assumptions'!$D$15+'Project Assumptions'!$D$16-1='Detailed Cashflows'!Z$5,-'Economic Assumptions'!$C17*'Economic Assumptions'!$L17,0)</f>
        <v/>
      </c>
      <c r="AA54" s="301">
        <f>IF('Economic Assumptions'!$B17+'Project Assumptions'!$D$15+'Project Assumptions'!$D$16-1='Detailed Cashflows'!AA$5,-'Economic Assumptions'!$C17*'Economic Assumptions'!$L17,0)</f>
        <v/>
      </c>
      <c r="AB54" s="301">
        <f>IF('Economic Assumptions'!$B17+'Project Assumptions'!$D$15+'Project Assumptions'!$D$16-1='Detailed Cashflows'!AB$5,-'Economic Assumptions'!$C17*'Economic Assumptions'!$L17,0)</f>
        <v/>
      </c>
      <c r="AC54" s="301">
        <f>IF('Economic Assumptions'!$B17+'Project Assumptions'!$D$15+'Project Assumptions'!$D$16-1='Detailed Cashflows'!AC$5,-'Economic Assumptions'!$C17*'Economic Assumptions'!$L17,0)</f>
        <v/>
      </c>
      <c r="AD54" s="301">
        <f>IF('Economic Assumptions'!$B17+'Project Assumptions'!$D$15+'Project Assumptions'!$D$16-1='Detailed Cashflows'!AD$5,-'Economic Assumptions'!$C17*'Economic Assumptions'!$L17,0)</f>
        <v/>
      </c>
      <c r="AE54" s="301">
        <f>IF('Economic Assumptions'!$B17+'Project Assumptions'!$D$15+'Project Assumptions'!$D$16-1='Detailed Cashflows'!AE$5,-'Economic Assumptions'!$C17*'Economic Assumptions'!$L17,0)</f>
        <v/>
      </c>
      <c r="AF54" s="301">
        <f>IF('Economic Assumptions'!$B17+'Project Assumptions'!$D$15+'Project Assumptions'!$D$16-1='Detailed Cashflows'!AF$5,-'Economic Assumptions'!$C17*'Economic Assumptions'!$L17,0)</f>
        <v/>
      </c>
      <c r="AG54" s="301">
        <f>IF('Economic Assumptions'!$B17+'Project Assumptions'!$D$15+'Project Assumptions'!$D$16-1='Detailed Cashflows'!AG$5,-'Economic Assumptions'!$C17*'Economic Assumptions'!$L17,0)</f>
        <v/>
      </c>
      <c r="AH54" s="301">
        <f>IF('Economic Assumptions'!$B17+'Project Assumptions'!$D$15+'Project Assumptions'!$D$16-1='Detailed Cashflows'!AH$5,-'Economic Assumptions'!$C17*'Economic Assumptions'!$L17,0)</f>
        <v/>
      </c>
      <c r="AI54" s="301">
        <f>IF('Economic Assumptions'!$B17+'Project Assumptions'!$D$15+'Project Assumptions'!$D$16-1='Detailed Cashflows'!AI$5,-'Economic Assumptions'!$C17*'Economic Assumptions'!$L17,0)</f>
        <v/>
      </c>
      <c r="AJ54" s="301">
        <f>IF('Economic Assumptions'!$B17+'Project Assumptions'!$D$15+'Project Assumptions'!$D$16-1='Detailed Cashflows'!AJ$5,-'Economic Assumptions'!$C17*'Economic Assumptions'!$L17,0)</f>
        <v/>
      </c>
      <c r="AK54" s="301">
        <f>IF('Economic Assumptions'!$B17+'Project Assumptions'!$D$15+'Project Assumptions'!$D$16-1='Detailed Cashflows'!AK$5,-'Economic Assumptions'!$C17*'Economic Assumptions'!$L17,0)</f>
        <v/>
      </c>
      <c r="AL54" s="301">
        <f>IF('Economic Assumptions'!$B17+'Project Assumptions'!$D$15+'Project Assumptions'!$D$16-1='Detailed Cashflows'!AL$5,-'Economic Assumptions'!$C17*'Economic Assumptions'!$L17,0)</f>
        <v/>
      </c>
      <c r="AM54" s="301">
        <f>IF('Economic Assumptions'!$B17+'Project Assumptions'!$D$15+'Project Assumptions'!$D$16-1='Detailed Cashflows'!AM$5,-'Economic Assumptions'!$C17*'Economic Assumptions'!$L17,0)</f>
        <v/>
      </c>
      <c r="AN54" s="301">
        <f>IF('Economic Assumptions'!$B17+'Project Assumptions'!$D$15+'Project Assumptions'!$D$16-1='Detailed Cashflows'!AN$5,-'Economic Assumptions'!$C17*'Economic Assumptions'!$L17,0)</f>
        <v/>
      </c>
      <c r="AO54" s="301">
        <f>IF('Economic Assumptions'!$B17+'Project Assumptions'!$D$15+'Project Assumptions'!$D$16-1='Detailed Cashflows'!AO$5,-'Economic Assumptions'!$C17*'Economic Assumptions'!$L17,0)</f>
        <v/>
      </c>
      <c r="AP54" s="301">
        <f>IF('Economic Assumptions'!$B17+'Project Assumptions'!$D$15+'Project Assumptions'!$D$16-1='Detailed Cashflows'!AP$5,-'Economic Assumptions'!$C17*'Economic Assumptions'!$L17,0)</f>
        <v/>
      </c>
      <c r="AQ54" s="301">
        <f>IF('Economic Assumptions'!$B17+'Project Assumptions'!$D$15+'Project Assumptions'!$D$16-1='Detailed Cashflows'!AQ$5,-'Economic Assumptions'!$C17*'Economic Assumptions'!$L17,0)</f>
        <v/>
      </c>
      <c r="AR54" s="301">
        <f>IF('Economic Assumptions'!$B17+'Project Assumptions'!$D$15+'Project Assumptions'!$D$16-1='Detailed Cashflows'!AR$5,-'Economic Assumptions'!$C17*'Economic Assumptions'!$L17,0)</f>
        <v/>
      </c>
      <c r="AS54" s="301">
        <f>IF('Economic Assumptions'!$B17+'Project Assumptions'!$D$15+'Project Assumptions'!$D$16-1='Detailed Cashflows'!AS$5,-'Economic Assumptions'!$C17*'Economic Assumptions'!$L17,0)</f>
        <v/>
      </c>
      <c r="AT54" s="301">
        <f>IF('Economic Assumptions'!$B17+'Project Assumptions'!$D$15+'Project Assumptions'!$D$16-1='Detailed Cashflows'!AT$5,-'Economic Assumptions'!$C17*'Economic Assumptions'!$L17,0)</f>
        <v/>
      </c>
      <c r="AU54" s="301">
        <f>IF('Economic Assumptions'!$B17+'Project Assumptions'!$D$15+'Project Assumptions'!$D$16-1='Detailed Cashflows'!AU$5,-'Economic Assumptions'!$C17*'Economic Assumptions'!$L17,0)</f>
        <v/>
      </c>
      <c r="AV54" s="301">
        <f>IF('Economic Assumptions'!$B17+'Project Assumptions'!$D$15+'Project Assumptions'!$D$16-1='Detailed Cashflows'!AV$5,-'Economic Assumptions'!$C17*'Economic Assumptions'!$L17,0)</f>
        <v/>
      </c>
      <c r="AW54" s="301">
        <f>IF('Economic Assumptions'!$B17+'Project Assumptions'!$D$15+'Project Assumptions'!$D$16-1='Detailed Cashflows'!AW$5,-'Economic Assumptions'!$C17*'Economic Assumptions'!$L17,0)</f>
        <v/>
      </c>
      <c r="AX54" s="301">
        <f>IF('Economic Assumptions'!$B17+'Project Assumptions'!$D$15+'Project Assumptions'!$D$16-1='Detailed Cashflows'!AX$5,-'Economic Assumptions'!$C17*'Economic Assumptions'!$L17,0)</f>
        <v/>
      </c>
      <c r="AY54" s="301">
        <f>IF('Economic Assumptions'!$B17+'Project Assumptions'!$D$15+'Project Assumptions'!$D$16-1='Detailed Cashflows'!AY$5,-'Economic Assumptions'!$C17*'Economic Assumptions'!$L17,0)</f>
        <v/>
      </c>
      <c r="AZ54" s="301">
        <f>IF('Economic Assumptions'!$B17+'Project Assumptions'!$D$15+'Project Assumptions'!$D$16-1='Detailed Cashflows'!AZ$5,-'Economic Assumptions'!$C17*'Economic Assumptions'!$L17,0)</f>
        <v/>
      </c>
      <c r="BA54" s="301">
        <f>IF('Economic Assumptions'!$B17+'Project Assumptions'!$D$15+'Project Assumptions'!$D$16-1='Detailed Cashflows'!BA$5,-'Economic Assumptions'!$C17*'Economic Assumptions'!$L17,0)</f>
        <v/>
      </c>
      <c r="BB54" s="301">
        <f>IF('Economic Assumptions'!$B17+'Project Assumptions'!$D$15+'Project Assumptions'!$D$16-1='Detailed Cashflows'!BB$5,-'Economic Assumptions'!$C17*'Economic Assumptions'!$L17,0)</f>
        <v/>
      </c>
      <c r="BC54" s="301">
        <f>IF('Economic Assumptions'!$B17+'Project Assumptions'!$D$15+'Project Assumptions'!$D$16-1='Detailed Cashflows'!BC$5,-'Economic Assumptions'!$C17*'Economic Assumptions'!$L17,0)</f>
        <v/>
      </c>
      <c r="BD54" s="301">
        <f>IF('Economic Assumptions'!$B17+'Project Assumptions'!$D$15+'Project Assumptions'!$D$16-1='Detailed Cashflows'!BD$5,-'Economic Assumptions'!$C17*'Economic Assumptions'!$L17,0)</f>
        <v/>
      </c>
      <c r="BE54" s="301">
        <f>IF('Economic Assumptions'!$B17+'Project Assumptions'!$D$15+'Project Assumptions'!$D$16-1='Detailed Cashflows'!BE$5,-'Economic Assumptions'!$C17*'Economic Assumptions'!$L17,0)</f>
        <v/>
      </c>
      <c r="BF54" s="301">
        <f>IF('Economic Assumptions'!$B17+'Project Assumptions'!$D$15+'Project Assumptions'!$D$16-1='Detailed Cashflows'!BF$5,-'Economic Assumptions'!$C17*'Economic Assumptions'!$L17,0)</f>
        <v/>
      </c>
      <c r="BG54" s="301">
        <f>IF('Economic Assumptions'!$B17+'Project Assumptions'!$D$15+'Project Assumptions'!$D$16-1='Detailed Cashflows'!BG$5,-'Economic Assumptions'!$C17*'Economic Assumptions'!$L17,0)</f>
        <v/>
      </c>
      <c r="BH54" s="301">
        <f>IF('Economic Assumptions'!$B17+'Project Assumptions'!$D$15+'Project Assumptions'!$D$16-1='Detailed Cashflows'!BH$5,-'Economic Assumptions'!$C17*'Economic Assumptions'!$L17,0)</f>
        <v/>
      </c>
      <c r="BI54" s="301">
        <f>IF('Economic Assumptions'!$B17+'Project Assumptions'!$D$15+'Project Assumptions'!$D$16-1='Detailed Cashflows'!BI$5,-'Economic Assumptions'!$C17*'Economic Assumptions'!$L17,0)</f>
        <v/>
      </c>
      <c r="BJ54" s="301">
        <f>IF('Economic Assumptions'!$B17+'Project Assumptions'!$D$15+'Project Assumptions'!$D$16-1='Detailed Cashflows'!BJ$5,-'Economic Assumptions'!$C17*'Economic Assumptions'!$L17,0)</f>
        <v/>
      </c>
      <c r="BK54" s="301">
        <f>IF('Economic Assumptions'!$B17+'Project Assumptions'!$D$15+'Project Assumptions'!$D$16-1='Detailed Cashflows'!BK$5,-'Economic Assumptions'!$C17*'Economic Assumptions'!$L17,0)</f>
        <v/>
      </c>
      <c r="BL54" s="301">
        <f>IF('Economic Assumptions'!$B17+'Project Assumptions'!$D$15+'Project Assumptions'!$D$16-1='Detailed Cashflows'!BL$5,-'Economic Assumptions'!$C17*'Economic Assumptions'!$L17,0)</f>
        <v/>
      </c>
      <c r="BM54" s="301">
        <f>IF('Economic Assumptions'!$B17+'Project Assumptions'!$D$15+'Project Assumptions'!$D$16-1='Detailed Cashflows'!BM$5,-'Economic Assumptions'!$C17*'Economic Assumptions'!$L17,0)</f>
        <v/>
      </c>
      <c r="BN54" s="301">
        <f>IF('Economic Assumptions'!$B17+'Project Assumptions'!$D$15+'Project Assumptions'!$D$16-1='Detailed Cashflows'!BN$5,-'Economic Assumptions'!$C17*'Economic Assumptions'!$L17,0)</f>
        <v/>
      </c>
      <c r="BO54" s="301">
        <f>IF('Economic Assumptions'!$B17+'Project Assumptions'!$D$15+'Project Assumptions'!$D$16-1='Detailed Cashflows'!BO$5,-'Economic Assumptions'!$C17*'Economic Assumptions'!$L17,0)</f>
        <v/>
      </c>
      <c r="BP54" s="301">
        <f>IF('Economic Assumptions'!$B17+'Project Assumptions'!$D$15+'Project Assumptions'!$D$16-1='Detailed Cashflows'!BP$5,-'Economic Assumptions'!$C17*'Economic Assumptions'!$L17,0)</f>
        <v/>
      </c>
      <c r="BQ54" s="301">
        <f>IF('Economic Assumptions'!$B17+'Project Assumptions'!$D$15+'Project Assumptions'!$D$16-1='Detailed Cashflows'!BQ$5,-'Economic Assumptions'!$C17*'Economic Assumptions'!$L17,0)</f>
        <v/>
      </c>
      <c r="BR54" s="301">
        <f>IF('Economic Assumptions'!$B17+'Project Assumptions'!$D$15+'Project Assumptions'!$D$16-1='Detailed Cashflows'!BR$5,-'Economic Assumptions'!$C17*'Economic Assumptions'!$L17,0)</f>
        <v/>
      </c>
      <c r="BS54" s="301">
        <f>IF('Economic Assumptions'!$B17+'Project Assumptions'!$D$15+'Project Assumptions'!$D$16-1='Detailed Cashflows'!BS$5,-'Economic Assumptions'!$C17*'Economic Assumptions'!$L17,0)</f>
        <v/>
      </c>
      <c r="BT54" s="301">
        <f>IF('Economic Assumptions'!$B17+'Project Assumptions'!$D$15+'Project Assumptions'!$D$16-1='Detailed Cashflows'!BT$5,-'Economic Assumptions'!$C17*'Economic Assumptions'!$L17,0)</f>
        <v/>
      </c>
      <c r="BU54" s="301">
        <f>IF('Economic Assumptions'!$B17+'Project Assumptions'!$D$15+'Project Assumptions'!$D$16-1='Detailed Cashflows'!BU$5,-'Economic Assumptions'!$C17*'Economic Assumptions'!$L17,0)</f>
        <v/>
      </c>
      <c r="BV54" s="301">
        <f>IF('Economic Assumptions'!$B17+'Project Assumptions'!$D$15+'Project Assumptions'!$D$16-1='Detailed Cashflows'!BV$5,-'Economic Assumptions'!$C17*'Economic Assumptions'!$L17,0)</f>
        <v/>
      </c>
      <c r="BW54" s="301">
        <f>IF('Economic Assumptions'!$B17+'Project Assumptions'!$D$15+'Project Assumptions'!$D$16-1='Detailed Cashflows'!BW$5,-'Economic Assumptions'!$C17*'Economic Assumptions'!$L17,0)</f>
        <v/>
      </c>
      <c r="BX54" s="301">
        <f>IF('Economic Assumptions'!$B17+'Project Assumptions'!$D$15+'Project Assumptions'!$D$16-1='Detailed Cashflows'!BX$5,-'Economic Assumptions'!$C17*'Economic Assumptions'!$L17,0)</f>
        <v/>
      </c>
      <c r="BY54" s="301">
        <f>IF('Economic Assumptions'!$B17+'Project Assumptions'!$D$15+'Project Assumptions'!$D$16-1='Detailed Cashflows'!BY$5,-'Economic Assumptions'!$C17*'Economic Assumptions'!$L17,0)</f>
        <v/>
      </c>
      <c r="BZ54" s="301">
        <f>IF('Economic Assumptions'!$B17+'Project Assumptions'!$D$15+'Project Assumptions'!$D$16-1='Detailed Cashflows'!BZ$5,-'Economic Assumptions'!$C17*'Economic Assumptions'!$L17,0)</f>
        <v/>
      </c>
      <c r="CA54" s="301">
        <f>IF('Economic Assumptions'!$B17+'Project Assumptions'!$D$15+'Project Assumptions'!$D$16-1='Detailed Cashflows'!CA$5,-'Economic Assumptions'!$C17*'Economic Assumptions'!$L17,0)</f>
        <v/>
      </c>
      <c r="CB54" s="301">
        <f>IF('Economic Assumptions'!$B17+'Project Assumptions'!$D$15+'Project Assumptions'!$D$16-1='Detailed Cashflows'!CB$5,-'Economic Assumptions'!$C17*'Economic Assumptions'!$L17,0)</f>
        <v/>
      </c>
      <c r="CC54" s="301">
        <f>IF('Economic Assumptions'!$B17+'Project Assumptions'!$D$15+'Project Assumptions'!$D$16-1='Detailed Cashflows'!CC$5,-'Economic Assumptions'!$C17*'Economic Assumptions'!$L17,0)</f>
        <v/>
      </c>
      <c r="CD54" s="301">
        <f>IF('Economic Assumptions'!$B17+'Project Assumptions'!$D$15+'Project Assumptions'!$D$16-1='Detailed Cashflows'!CD$5,-'Economic Assumptions'!$C17*'Economic Assumptions'!$L17,0)</f>
        <v/>
      </c>
      <c r="CE54" s="301">
        <f>IF('Economic Assumptions'!$B17+'Project Assumptions'!$D$15+'Project Assumptions'!$D$16-1='Detailed Cashflows'!CE$5,-'Economic Assumptions'!$C17*'Economic Assumptions'!$L17,0)</f>
        <v/>
      </c>
      <c r="CF54" s="301">
        <f>IF('Economic Assumptions'!$B17+'Project Assumptions'!$D$15+'Project Assumptions'!$D$16-1='Detailed Cashflows'!CF$5,-'Economic Assumptions'!$C17*'Economic Assumptions'!$L17,0)</f>
        <v/>
      </c>
      <c r="CG54" s="301">
        <f>IF('Economic Assumptions'!$B17+'Project Assumptions'!$D$15+'Project Assumptions'!$D$16-1='Detailed Cashflows'!CG$5,-'Economic Assumptions'!$C17*'Economic Assumptions'!$L17,0)</f>
        <v/>
      </c>
      <c r="CH54" s="301">
        <f>IF('Economic Assumptions'!$B17+'Project Assumptions'!$D$15+'Project Assumptions'!$D$16-1='Detailed Cashflows'!CH$5,-'Economic Assumptions'!$C17*'Economic Assumptions'!$L17,0)</f>
        <v/>
      </c>
      <c r="CI54" s="301">
        <f>IF('Economic Assumptions'!$B17+'Project Assumptions'!$D$15+'Project Assumptions'!$D$16-1='Detailed Cashflows'!CI$5,-'Economic Assumptions'!$C17*'Economic Assumptions'!$L17,0)</f>
        <v/>
      </c>
      <c r="CJ54" s="301">
        <f>IF('Economic Assumptions'!$B17+'Project Assumptions'!$D$15+'Project Assumptions'!$D$16-1='Detailed Cashflows'!CJ$5,-'Economic Assumptions'!$C17*'Economic Assumptions'!$L17,0)</f>
        <v/>
      </c>
      <c r="CK54" s="301">
        <f>IF('Economic Assumptions'!$B17+'Project Assumptions'!$D$15+'Project Assumptions'!$D$16-1='Detailed Cashflows'!CK$5,-'Economic Assumptions'!$C17*'Economic Assumptions'!$L17,0)</f>
        <v/>
      </c>
      <c r="CL54" s="301">
        <f>IF('Economic Assumptions'!$B17+'Project Assumptions'!$D$15+'Project Assumptions'!$D$16-1='Detailed Cashflows'!CL$5,-'Economic Assumptions'!$C17*'Economic Assumptions'!$L17,0)</f>
        <v/>
      </c>
      <c r="CM54" s="301">
        <f>IF('Economic Assumptions'!$B17+'Project Assumptions'!$D$15+'Project Assumptions'!$D$16-1='Detailed Cashflows'!CM$5,-'Economic Assumptions'!$C17*'Economic Assumptions'!$L17,0)</f>
        <v/>
      </c>
      <c r="CN54" s="301">
        <f>IF('Economic Assumptions'!$B17+'Project Assumptions'!$D$15+'Project Assumptions'!$D$16-1='Detailed Cashflows'!CN$5,-'Economic Assumptions'!$C17*'Economic Assumptions'!$L17,0)</f>
        <v/>
      </c>
      <c r="CO54" s="301">
        <f>IF('Economic Assumptions'!$B17+'Project Assumptions'!$D$15+'Project Assumptions'!$D$16-1='Detailed Cashflows'!CO$5,-'Economic Assumptions'!$C17*'Economic Assumptions'!$L17,0)</f>
        <v/>
      </c>
      <c r="CP54" s="301">
        <f>IF('Economic Assumptions'!$B17+'Project Assumptions'!$D$15+'Project Assumptions'!$D$16-1='Detailed Cashflows'!CP$5,-'Economic Assumptions'!$C17*'Economic Assumptions'!$L17,0)</f>
        <v/>
      </c>
      <c r="CQ54" s="301">
        <f>IF('Economic Assumptions'!$B17+'Project Assumptions'!$D$15+'Project Assumptions'!$D$16-1='Detailed Cashflows'!CQ$5,-'Economic Assumptions'!$C17*'Economic Assumptions'!$L17,0)</f>
        <v/>
      </c>
      <c r="CR54" s="301">
        <f>IF('Economic Assumptions'!$B17+'Project Assumptions'!$D$15+'Project Assumptions'!$D$16-1='Detailed Cashflows'!CR$5,-'Economic Assumptions'!$C17*'Economic Assumptions'!$L17,0)</f>
        <v/>
      </c>
      <c r="CS54" s="301">
        <f>IF('Economic Assumptions'!$B17+'Project Assumptions'!$D$15+'Project Assumptions'!$D$16-1='Detailed Cashflows'!CS$5,-'Economic Assumptions'!$C17*'Economic Assumptions'!$L17,0)</f>
        <v/>
      </c>
      <c r="CT54" s="301">
        <f>IF('Economic Assumptions'!$B17+'Project Assumptions'!$D$15+'Project Assumptions'!$D$16-1='Detailed Cashflows'!CT$5,-'Economic Assumptions'!$C17*'Economic Assumptions'!$L17,0)</f>
        <v/>
      </c>
      <c r="CU54" s="301">
        <f>IF('Economic Assumptions'!$B17+'Project Assumptions'!$D$15+'Project Assumptions'!$D$16-1='Detailed Cashflows'!CU$5,-'Economic Assumptions'!$C17*'Economic Assumptions'!$L17,0)</f>
        <v/>
      </c>
      <c r="CV54" s="301">
        <f>IF('Economic Assumptions'!$B17+'Project Assumptions'!$D$15+'Project Assumptions'!$D$16-1='Detailed Cashflows'!CV$5,-'Economic Assumptions'!$C17*'Economic Assumptions'!$L17,0)</f>
        <v/>
      </c>
      <c r="CW54" s="301">
        <f>IF('Economic Assumptions'!$B17+'Project Assumptions'!$D$15+'Project Assumptions'!$D$16-1='Detailed Cashflows'!CW$5,-'Economic Assumptions'!$C17*'Economic Assumptions'!$L17,0)</f>
        <v/>
      </c>
      <c r="CX54" s="301">
        <f>IF('Economic Assumptions'!$B17+'Project Assumptions'!$D$15+'Project Assumptions'!$D$16-1='Detailed Cashflows'!CX$5,-'Economic Assumptions'!$C17*'Economic Assumptions'!$L17,0)</f>
        <v/>
      </c>
      <c r="CY54" s="301">
        <f>IF('Economic Assumptions'!$B17+'Project Assumptions'!$D$15+'Project Assumptions'!$D$16-1='Detailed Cashflows'!CY$5,-'Economic Assumptions'!$C17*'Economic Assumptions'!$L17,0)</f>
        <v/>
      </c>
      <c r="CZ54" s="301">
        <f>IF('Economic Assumptions'!$B17+'Project Assumptions'!$D$15+'Project Assumptions'!$D$16-1='Detailed Cashflows'!CZ$5,-'Economic Assumptions'!$C17*'Economic Assumptions'!$L17,0)</f>
        <v/>
      </c>
      <c r="DA54" s="301">
        <f>IF('Economic Assumptions'!$B17+'Project Assumptions'!$D$15+'Project Assumptions'!$D$16-1='Detailed Cashflows'!DA$5,-'Economic Assumptions'!$C17*'Economic Assumptions'!$L17,0)</f>
        <v/>
      </c>
      <c r="DB54" s="301">
        <f>IF('Economic Assumptions'!$B17+'Project Assumptions'!$D$15+'Project Assumptions'!$D$16-1='Detailed Cashflows'!DB$5,-'Economic Assumptions'!$C17*'Economic Assumptions'!$L17,0)</f>
        <v/>
      </c>
      <c r="DC54" s="301" t="n"/>
      <c r="DD54" s="299">
        <f>SUM(F54:DB54)</f>
        <v/>
      </c>
    </row>
    <row r="55" hidden="1" outlineLevel="1" ht="14.1" customFormat="1" customHeight="1" s="302">
      <c r="A55" s="1000" t="n"/>
      <c r="B55" s="303">
        <f>'Economic Assumptions'!$A$18</f>
        <v/>
      </c>
      <c r="C55" s="298" t="n"/>
      <c r="D55" s="299">
        <f>DD55</f>
        <v/>
      </c>
      <c r="E55" s="300" t="n"/>
      <c r="F55" s="301">
        <f>IF('Economic Assumptions'!$B18+'Project Assumptions'!$D$15+'Project Assumptions'!$D$16-1='Detailed Cashflows'!F$5,-'Economic Assumptions'!$C18*'Economic Assumptions'!$L18,0)</f>
        <v/>
      </c>
      <c r="G55" s="301">
        <f>IF('Economic Assumptions'!$B18+'Project Assumptions'!$D$15+'Project Assumptions'!$D$16-1='Detailed Cashflows'!G$5,-'Economic Assumptions'!$C18*'Economic Assumptions'!$L18,0)</f>
        <v/>
      </c>
      <c r="H55" s="301">
        <f>IF('Economic Assumptions'!$B18+'Project Assumptions'!$D$15+'Project Assumptions'!$D$16-1='Detailed Cashflows'!H$5,-'Economic Assumptions'!$C18*'Economic Assumptions'!$L18,0)</f>
        <v/>
      </c>
      <c r="I55" s="301">
        <f>IF('Economic Assumptions'!$B18+'Project Assumptions'!$D$15+'Project Assumptions'!$D$16-1='Detailed Cashflows'!I$5,-'Economic Assumptions'!$C18*'Economic Assumptions'!$L18,0)</f>
        <v/>
      </c>
      <c r="J55" s="301">
        <f>IF('Economic Assumptions'!$B18+'Project Assumptions'!$D$15+'Project Assumptions'!$D$16-1='Detailed Cashflows'!J$5,-'Economic Assumptions'!$C18*'Economic Assumptions'!$L18,0)</f>
        <v/>
      </c>
      <c r="K55" s="301">
        <f>IF('Economic Assumptions'!$B18+'Project Assumptions'!$D$15+'Project Assumptions'!$D$16-1='Detailed Cashflows'!K$5,-'Economic Assumptions'!$C18*'Economic Assumptions'!$L18,0)</f>
        <v/>
      </c>
      <c r="L55" s="301">
        <f>IF('Economic Assumptions'!$B18+'Project Assumptions'!$D$15+'Project Assumptions'!$D$16-1='Detailed Cashflows'!L$5,-'Economic Assumptions'!$C18*'Economic Assumptions'!$L18,0)</f>
        <v/>
      </c>
      <c r="M55" s="301">
        <f>IF('Economic Assumptions'!$B18+'Project Assumptions'!$D$15+'Project Assumptions'!$D$16-1='Detailed Cashflows'!M$5,-'Economic Assumptions'!$C18*'Economic Assumptions'!$L18,0)</f>
        <v/>
      </c>
      <c r="N55" s="301">
        <f>IF('Economic Assumptions'!$B18+'Project Assumptions'!$D$15+'Project Assumptions'!$D$16-1='Detailed Cashflows'!N$5,-'Economic Assumptions'!$C18*'Economic Assumptions'!$L18,0)</f>
        <v/>
      </c>
      <c r="O55" s="301">
        <f>IF('Economic Assumptions'!$B18+'Project Assumptions'!$D$15+'Project Assumptions'!$D$16-1='Detailed Cashflows'!O$5,-'Economic Assumptions'!$C18*'Economic Assumptions'!$L18,0)</f>
        <v/>
      </c>
      <c r="P55" s="301">
        <f>IF('Economic Assumptions'!$B18+'Project Assumptions'!$D$15+'Project Assumptions'!$D$16-1='Detailed Cashflows'!P$5,-'Economic Assumptions'!$C18*'Economic Assumptions'!$L18,0)</f>
        <v/>
      </c>
      <c r="Q55" s="301">
        <f>IF('Economic Assumptions'!$B18+'Project Assumptions'!$D$15+'Project Assumptions'!$D$16-1='Detailed Cashflows'!Q$5,-'Economic Assumptions'!$C18*'Economic Assumptions'!$L18,0)</f>
        <v/>
      </c>
      <c r="R55" s="301">
        <f>IF('Economic Assumptions'!$B18+'Project Assumptions'!$D$15+'Project Assumptions'!$D$16-1='Detailed Cashflows'!R$5,-'Economic Assumptions'!$C18*'Economic Assumptions'!$L18,0)</f>
        <v/>
      </c>
      <c r="S55" s="301">
        <f>IF('Economic Assumptions'!$B18+'Project Assumptions'!$D$15+'Project Assumptions'!$D$16-1='Detailed Cashflows'!S$5,-'Economic Assumptions'!$C18*'Economic Assumptions'!$L18,0)</f>
        <v/>
      </c>
      <c r="T55" s="301">
        <f>IF('Economic Assumptions'!$B18+'Project Assumptions'!$D$15+'Project Assumptions'!$D$16-1='Detailed Cashflows'!T$5,-'Economic Assumptions'!$C18*'Economic Assumptions'!$L18,0)</f>
        <v/>
      </c>
      <c r="U55" s="301">
        <f>IF('Economic Assumptions'!$B18+'Project Assumptions'!$D$15+'Project Assumptions'!$D$16-1='Detailed Cashflows'!U$5,-'Economic Assumptions'!$C18*'Economic Assumptions'!$L18,0)</f>
        <v/>
      </c>
      <c r="V55" s="301">
        <f>IF('Economic Assumptions'!$B18+'Project Assumptions'!$D$15+'Project Assumptions'!$D$16-1='Detailed Cashflows'!V$5,-'Economic Assumptions'!$C18*'Economic Assumptions'!$L18,0)</f>
        <v/>
      </c>
      <c r="W55" s="301">
        <f>IF('Economic Assumptions'!$B18+'Project Assumptions'!$D$15+'Project Assumptions'!$D$16-1='Detailed Cashflows'!W$5,-'Economic Assumptions'!$C18*'Economic Assumptions'!$L18,0)</f>
        <v/>
      </c>
      <c r="X55" s="301">
        <f>IF('Economic Assumptions'!$B18+'Project Assumptions'!$D$15+'Project Assumptions'!$D$16-1='Detailed Cashflows'!X$5,-'Economic Assumptions'!$C18*'Economic Assumptions'!$L18,0)</f>
        <v/>
      </c>
      <c r="Y55" s="301">
        <f>IF('Economic Assumptions'!$B18+'Project Assumptions'!$D$15+'Project Assumptions'!$D$16-1='Detailed Cashflows'!Y$5,-'Economic Assumptions'!$C18*'Economic Assumptions'!$L18,0)</f>
        <v/>
      </c>
      <c r="Z55" s="301">
        <f>IF('Economic Assumptions'!$B18+'Project Assumptions'!$D$15+'Project Assumptions'!$D$16-1='Detailed Cashflows'!Z$5,-'Economic Assumptions'!$C18*'Economic Assumptions'!$L18,0)</f>
        <v/>
      </c>
      <c r="AA55" s="301">
        <f>IF('Economic Assumptions'!$B18+'Project Assumptions'!$D$15+'Project Assumptions'!$D$16-1='Detailed Cashflows'!AA$5,-'Economic Assumptions'!$C18*'Economic Assumptions'!$L18,0)</f>
        <v/>
      </c>
      <c r="AB55" s="301">
        <f>IF('Economic Assumptions'!$B18+'Project Assumptions'!$D$15+'Project Assumptions'!$D$16-1='Detailed Cashflows'!AB$5,-'Economic Assumptions'!$C18*'Economic Assumptions'!$L18,0)</f>
        <v/>
      </c>
      <c r="AC55" s="301">
        <f>IF('Economic Assumptions'!$B18+'Project Assumptions'!$D$15+'Project Assumptions'!$D$16-1='Detailed Cashflows'!AC$5,-'Economic Assumptions'!$C18*'Economic Assumptions'!$L18,0)</f>
        <v/>
      </c>
      <c r="AD55" s="301">
        <f>IF('Economic Assumptions'!$B18+'Project Assumptions'!$D$15+'Project Assumptions'!$D$16-1='Detailed Cashflows'!AD$5,-'Economic Assumptions'!$C18*'Economic Assumptions'!$L18,0)</f>
        <v/>
      </c>
      <c r="AE55" s="301">
        <f>IF('Economic Assumptions'!$B18+'Project Assumptions'!$D$15+'Project Assumptions'!$D$16-1='Detailed Cashflows'!AE$5,-'Economic Assumptions'!$C18*'Economic Assumptions'!$L18,0)</f>
        <v/>
      </c>
      <c r="AF55" s="301">
        <f>IF('Economic Assumptions'!$B18+'Project Assumptions'!$D$15+'Project Assumptions'!$D$16-1='Detailed Cashflows'!AF$5,-'Economic Assumptions'!$C18*'Economic Assumptions'!$L18,0)</f>
        <v/>
      </c>
      <c r="AG55" s="301">
        <f>IF('Economic Assumptions'!$B18+'Project Assumptions'!$D$15+'Project Assumptions'!$D$16-1='Detailed Cashflows'!AG$5,-'Economic Assumptions'!$C18*'Economic Assumptions'!$L18,0)</f>
        <v/>
      </c>
      <c r="AH55" s="301">
        <f>IF('Economic Assumptions'!$B18+'Project Assumptions'!$D$15+'Project Assumptions'!$D$16-1='Detailed Cashflows'!AH$5,-'Economic Assumptions'!$C18*'Economic Assumptions'!$L18,0)</f>
        <v/>
      </c>
      <c r="AI55" s="301">
        <f>IF('Economic Assumptions'!$B18+'Project Assumptions'!$D$15+'Project Assumptions'!$D$16-1='Detailed Cashflows'!AI$5,-'Economic Assumptions'!$C18*'Economic Assumptions'!$L18,0)</f>
        <v/>
      </c>
      <c r="AJ55" s="301">
        <f>IF('Economic Assumptions'!$B18+'Project Assumptions'!$D$15+'Project Assumptions'!$D$16-1='Detailed Cashflows'!AJ$5,-'Economic Assumptions'!$C18*'Economic Assumptions'!$L18,0)</f>
        <v/>
      </c>
      <c r="AK55" s="301">
        <f>IF('Economic Assumptions'!$B18+'Project Assumptions'!$D$15+'Project Assumptions'!$D$16-1='Detailed Cashflows'!AK$5,-'Economic Assumptions'!$C18*'Economic Assumptions'!$L18,0)</f>
        <v/>
      </c>
      <c r="AL55" s="301">
        <f>IF('Economic Assumptions'!$B18+'Project Assumptions'!$D$15+'Project Assumptions'!$D$16-1='Detailed Cashflows'!AL$5,-'Economic Assumptions'!$C18*'Economic Assumptions'!$L18,0)</f>
        <v/>
      </c>
      <c r="AM55" s="301">
        <f>IF('Economic Assumptions'!$B18+'Project Assumptions'!$D$15+'Project Assumptions'!$D$16-1='Detailed Cashflows'!AM$5,-'Economic Assumptions'!$C18*'Economic Assumptions'!$L18,0)</f>
        <v/>
      </c>
      <c r="AN55" s="301">
        <f>IF('Economic Assumptions'!$B18+'Project Assumptions'!$D$15+'Project Assumptions'!$D$16-1='Detailed Cashflows'!AN$5,-'Economic Assumptions'!$C18*'Economic Assumptions'!$L18,0)</f>
        <v/>
      </c>
      <c r="AO55" s="301">
        <f>IF('Economic Assumptions'!$B18+'Project Assumptions'!$D$15+'Project Assumptions'!$D$16-1='Detailed Cashflows'!AO$5,-'Economic Assumptions'!$C18*'Economic Assumptions'!$L18,0)</f>
        <v/>
      </c>
      <c r="AP55" s="301">
        <f>IF('Economic Assumptions'!$B18+'Project Assumptions'!$D$15+'Project Assumptions'!$D$16-1='Detailed Cashflows'!AP$5,-'Economic Assumptions'!$C18*'Economic Assumptions'!$L18,0)</f>
        <v/>
      </c>
      <c r="AQ55" s="301">
        <f>IF('Economic Assumptions'!$B18+'Project Assumptions'!$D$15+'Project Assumptions'!$D$16-1='Detailed Cashflows'!AQ$5,-'Economic Assumptions'!$C18*'Economic Assumptions'!$L18,0)</f>
        <v/>
      </c>
      <c r="AR55" s="301">
        <f>IF('Economic Assumptions'!$B18+'Project Assumptions'!$D$15+'Project Assumptions'!$D$16-1='Detailed Cashflows'!AR$5,-'Economic Assumptions'!$C18*'Economic Assumptions'!$L18,0)</f>
        <v/>
      </c>
      <c r="AS55" s="301">
        <f>IF('Economic Assumptions'!$B18+'Project Assumptions'!$D$15+'Project Assumptions'!$D$16-1='Detailed Cashflows'!AS$5,-'Economic Assumptions'!$C18*'Economic Assumptions'!$L18,0)</f>
        <v/>
      </c>
      <c r="AT55" s="301">
        <f>IF('Economic Assumptions'!$B18+'Project Assumptions'!$D$15+'Project Assumptions'!$D$16-1='Detailed Cashflows'!AT$5,-'Economic Assumptions'!$C18*'Economic Assumptions'!$L18,0)</f>
        <v/>
      </c>
      <c r="AU55" s="301">
        <f>IF('Economic Assumptions'!$B18+'Project Assumptions'!$D$15+'Project Assumptions'!$D$16-1='Detailed Cashflows'!AU$5,-'Economic Assumptions'!$C18*'Economic Assumptions'!$L18,0)</f>
        <v/>
      </c>
      <c r="AV55" s="301">
        <f>IF('Economic Assumptions'!$B18+'Project Assumptions'!$D$15+'Project Assumptions'!$D$16-1='Detailed Cashflows'!AV$5,-'Economic Assumptions'!$C18*'Economic Assumptions'!$L18,0)</f>
        <v/>
      </c>
      <c r="AW55" s="301">
        <f>IF('Economic Assumptions'!$B18+'Project Assumptions'!$D$15+'Project Assumptions'!$D$16-1='Detailed Cashflows'!AW$5,-'Economic Assumptions'!$C18*'Economic Assumptions'!$L18,0)</f>
        <v/>
      </c>
      <c r="AX55" s="301">
        <f>IF('Economic Assumptions'!$B18+'Project Assumptions'!$D$15+'Project Assumptions'!$D$16-1='Detailed Cashflows'!AX$5,-'Economic Assumptions'!$C18*'Economic Assumptions'!$L18,0)</f>
        <v/>
      </c>
      <c r="AY55" s="301">
        <f>IF('Economic Assumptions'!$B18+'Project Assumptions'!$D$15+'Project Assumptions'!$D$16-1='Detailed Cashflows'!AY$5,-'Economic Assumptions'!$C18*'Economic Assumptions'!$L18,0)</f>
        <v/>
      </c>
      <c r="AZ55" s="301">
        <f>IF('Economic Assumptions'!$B18+'Project Assumptions'!$D$15+'Project Assumptions'!$D$16-1='Detailed Cashflows'!AZ$5,-'Economic Assumptions'!$C18*'Economic Assumptions'!$L18,0)</f>
        <v/>
      </c>
      <c r="BA55" s="301">
        <f>IF('Economic Assumptions'!$B18+'Project Assumptions'!$D$15+'Project Assumptions'!$D$16-1='Detailed Cashflows'!BA$5,-'Economic Assumptions'!$C18*'Economic Assumptions'!$L18,0)</f>
        <v/>
      </c>
      <c r="BB55" s="301">
        <f>IF('Economic Assumptions'!$B18+'Project Assumptions'!$D$15+'Project Assumptions'!$D$16-1='Detailed Cashflows'!BB$5,-'Economic Assumptions'!$C18*'Economic Assumptions'!$L18,0)</f>
        <v/>
      </c>
      <c r="BC55" s="301">
        <f>IF('Economic Assumptions'!$B18+'Project Assumptions'!$D$15+'Project Assumptions'!$D$16-1='Detailed Cashflows'!BC$5,-'Economic Assumptions'!$C18*'Economic Assumptions'!$L18,0)</f>
        <v/>
      </c>
      <c r="BD55" s="301">
        <f>IF('Economic Assumptions'!$B18+'Project Assumptions'!$D$15+'Project Assumptions'!$D$16-1='Detailed Cashflows'!BD$5,-'Economic Assumptions'!$C18*'Economic Assumptions'!$L18,0)</f>
        <v/>
      </c>
      <c r="BE55" s="301">
        <f>IF('Economic Assumptions'!$B18+'Project Assumptions'!$D$15+'Project Assumptions'!$D$16-1='Detailed Cashflows'!BE$5,-'Economic Assumptions'!$C18*'Economic Assumptions'!$L18,0)</f>
        <v/>
      </c>
      <c r="BF55" s="301">
        <f>IF('Economic Assumptions'!$B18+'Project Assumptions'!$D$15+'Project Assumptions'!$D$16-1='Detailed Cashflows'!BF$5,-'Economic Assumptions'!$C18*'Economic Assumptions'!$L18,0)</f>
        <v/>
      </c>
      <c r="BG55" s="301">
        <f>IF('Economic Assumptions'!$B18+'Project Assumptions'!$D$15+'Project Assumptions'!$D$16-1='Detailed Cashflows'!BG$5,-'Economic Assumptions'!$C18*'Economic Assumptions'!$L18,0)</f>
        <v/>
      </c>
      <c r="BH55" s="301">
        <f>IF('Economic Assumptions'!$B18+'Project Assumptions'!$D$15+'Project Assumptions'!$D$16-1='Detailed Cashflows'!BH$5,-'Economic Assumptions'!$C18*'Economic Assumptions'!$L18,0)</f>
        <v/>
      </c>
      <c r="BI55" s="301">
        <f>IF('Economic Assumptions'!$B18+'Project Assumptions'!$D$15+'Project Assumptions'!$D$16-1='Detailed Cashflows'!BI$5,-'Economic Assumptions'!$C18*'Economic Assumptions'!$L18,0)</f>
        <v/>
      </c>
      <c r="BJ55" s="301">
        <f>IF('Economic Assumptions'!$B18+'Project Assumptions'!$D$15+'Project Assumptions'!$D$16-1='Detailed Cashflows'!BJ$5,-'Economic Assumptions'!$C18*'Economic Assumptions'!$L18,0)</f>
        <v/>
      </c>
      <c r="BK55" s="301">
        <f>IF('Economic Assumptions'!$B18+'Project Assumptions'!$D$15+'Project Assumptions'!$D$16-1='Detailed Cashflows'!BK$5,-'Economic Assumptions'!$C18*'Economic Assumptions'!$L18,0)</f>
        <v/>
      </c>
      <c r="BL55" s="301">
        <f>IF('Economic Assumptions'!$B18+'Project Assumptions'!$D$15+'Project Assumptions'!$D$16-1='Detailed Cashflows'!BL$5,-'Economic Assumptions'!$C18*'Economic Assumptions'!$L18,0)</f>
        <v/>
      </c>
      <c r="BM55" s="301">
        <f>IF('Economic Assumptions'!$B18+'Project Assumptions'!$D$15+'Project Assumptions'!$D$16-1='Detailed Cashflows'!BM$5,-'Economic Assumptions'!$C18*'Economic Assumptions'!$L18,0)</f>
        <v/>
      </c>
      <c r="BN55" s="301">
        <f>IF('Economic Assumptions'!$B18+'Project Assumptions'!$D$15+'Project Assumptions'!$D$16-1='Detailed Cashflows'!BN$5,-'Economic Assumptions'!$C18*'Economic Assumptions'!$L18,0)</f>
        <v/>
      </c>
      <c r="BO55" s="301">
        <f>IF('Economic Assumptions'!$B18+'Project Assumptions'!$D$15+'Project Assumptions'!$D$16-1='Detailed Cashflows'!BO$5,-'Economic Assumptions'!$C18*'Economic Assumptions'!$L18,0)</f>
        <v/>
      </c>
      <c r="BP55" s="301">
        <f>IF('Economic Assumptions'!$B18+'Project Assumptions'!$D$15+'Project Assumptions'!$D$16-1='Detailed Cashflows'!BP$5,-'Economic Assumptions'!$C18*'Economic Assumptions'!$L18,0)</f>
        <v/>
      </c>
      <c r="BQ55" s="301">
        <f>IF('Economic Assumptions'!$B18+'Project Assumptions'!$D$15+'Project Assumptions'!$D$16-1='Detailed Cashflows'!BQ$5,-'Economic Assumptions'!$C18*'Economic Assumptions'!$L18,0)</f>
        <v/>
      </c>
      <c r="BR55" s="301">
        <f>IF('Economic Assumptions'!$B18+'Project Assumptions'!$D$15+'Project Assumptions'!$D$16-1='Detailed Cashflows'!BR$5,-'Economic Assumptions'!$C18*'Economic Assumptions'!$L18,0)</f>
        <v/>
      </c>
      <c r="BS55" s="301">
        <f>IF('Economic Assumptions'!$B18+'Project Assumptions'!$D$15+'Project Assumptions'!$D$16-1='Detailed Cashflows'!BS$5,-'Economic Assumptions'!$C18*'Economic Assumptions'!$L18,0)</f>
        <v/>
      </c>
      <c r="BT55" s="301">
        <f>IF('Economic Assumptions'!$B18+'Project Assumptions'!$D$15+'Project Assumptions'!$D$16-1='Detailed Cashflows'!BT$5,-'Economic Assumptions'!$C18*'Economic Assumptions'!$L18,0)</f>
        <v/>
      </c>
      <c r="BU55" s="301">
        <f>IF('Economic Assumptions'!$B18+'Project Assumptions'!$D$15+'Project Assumptions'!$D$16-1='Detailed Cashflows'!BU$5,-'Economic Assumptions'!$C18*'Economic Assumptions'!$L18,0)</f>
        <v/>
      </c>
      <c r="BV55" s="301">
        <f>IF('Economic Assumptions'!$B18+'Project Assumptions'!$D$15+'Project Assumptions'!$D$16-1='Detailed Cashflows'!BV$5,-'Economic Assumptions'!$C18*'Economic Assumptions'!$L18,0)</f>
        <v/>
      </c>
      <c r="BW55" s="301">
        <f>IF('Economic Assumptions'!$B18+'Project Assumptions'!$D$15+'Project Assumptions'!$D$16-1='Detailed Cashflows'!BW$5,-'Economic Assumptions'!$C18*'Economic Assumptions'!$L18,0)</f>
        <v/>
      </c>
      <c r="BX55" s="301">
        <f>IF('Economic Assumptions'!$B18+'Project Assumptions'!$D$15+'Project Assumptions'!$D$16-1='Detailed Cashflows'!BX$5,-'Economic Assumptions'!$C18*'Economic Assumptions'!$L18,0)</f>
        <v/>
      </c>
      <c r="BY55" s="301">
        <f>IF('Economic Assumptions'!$B18+'Project Assumptions'!$D$15+'Project Assumptions'!$D$16-1='Detailed Cashflows'!BY$5,-'Economic Assumptions'!$C18*'Economic Assumptions'!$L18,0)</f>
        <v/>
      </c>
      <c r="BZ55" s="301">
        <f>IF('Economic Assumptions'!$B18+'Project Assumptions'!$D$15+'Project Assumptions'!$D$16-1='Detailed Cashflows'!BZ$5,-'Economic Assumptions'!$C18*'Economic Assumptions'!$L18,0)</f>
        <v/>
      </c>
      <c r="CA55" s="301">
        <f>IF('Economic Assumptions'!$B18+'Project Assumptions'!$D$15+'Project Assumptions'!$D$16-1='Detailed Cashflows'!CA$5,-'Economic Assumptions'!$C18*'Economic Assumptions'!$L18,0)</f>
        <v/>
      </c>
      <c r="CB55" s="301">
        <f>IF('Economic Assumptions'!$B18+'Project Assumptions'!$D$15+'Project Assumptions'!$D$16-1='Detailed Cashflows'!CB$5,-'Economic Assumptions'!$C18*'Economic Assumptions'!$L18,0)</f>
        <v/>
      </c>
      <c r="CC55" s="301">
        <f>IF('Economic Assumptions'!$B18+'Project Assumptions'!$D$15+'Project Assumptions'!$D$16-1='Detailed Cashflows'!CC$5,-'Economic Assumptions'!$C18*'Economic Assumptions'!$L18,0)</f>
        <v/>
      </c>
      <c r="CD55" s="301">
        <f>IF('Economic Assumptions'!$B18+'Project Assumptions'!$D$15+'Project Assumptions'!$D$16-1='Detailed Cashflows'!CD$5,-'Economic Assumptions'!$C18*'Economic Assumptions'!$L18,0)</f>
        <v/>
      </c>
      <c r="CE55" s="301">
        <f>IF('Economic Assumptions'!$B18+'Project Assumptions'!$D$15+'Project Assumptions'!$D$16-1='Detailed Cashflows'!CE$5,-'Economic Assumptions'!$C18*'Economic Assumptions'!$L18,0)</f>
        <v/>
      </c>
      <c r="CF55" s="301">
        <f>IF('Economic Assumptions'!$B18+'Project Assumptions'!$D$15+'Project Assumptions'!$D$16-1='Detailed Cashflows'!CF$5,-'Economic Assumptions'!$C18*'Economic Assumptions'!$L18,0)</f>
        <v/>
      </c>
      <c r="CG55" s="301">
        <f>IF('Economic Assumptions'!$B18+'Project Assumptions'!$D$15+'Project Assumptions'!$D$16-1='Detailed Cashflows'!CG$5,-'Economic Assumptions'!$C18*'Economic Assumptions'!$L18,0)</f>
        <v/>
      </c>
      <c r="CH55" s="301">
        <f>IF('Economic Assumptions'!$B18+'Project Assumptions'!$D$15+'Project Assumptions'!$D$16-1='Detailed Cashflows'!CH$5,-'Economic Assumptions'!$C18*'Economic Assumptions'!$L18,0)</f>
        <v/>
      </c>
      <c r="CI55" s="301">
        <f>IF('Economic Assumptions'!$B18+'Project Assumptions'!$D$15+'Project Assumptions'!$D$16-1='Detailed Cashflows'!CI$5,-'Economic Assumptions'!$C18*'Economic Assumptions'!$L18,0)</f>
        <v/>
      </c>
      <c r="CJ55" s="301">
        <f>IF('Economic Assumptions'!$B18+'Project Assumptions'!$D$15+'Project Assumptions'!$D$16-1='Detailed Cashflows'!CJ$5,-'Economic Assumptions'!$C18*'Economic Assumptions'!$L18,0)</f>
        <v/>
      </c>
      <c r="CK55" s="301">
        <f>IF('Economic Assumptions'!$B18+'Project Assumptions'!$D$15+'Project Assumptions'!$D$16-1='Detailed Cashflows'!CK$5,-'Economic Assumptions'!$C18*'Economic Assumptions'!$L18,0)</f>
        <v/>
      </c>
      <c r="CL55" s="301">
        <f>IF('Economic Assumptions'!$B18+'Project Assumptions'!$D$15+'Project Assumptions'!$D$16-1='Detailed Cashflows'!CL$5,-'Economic Assumptions'!$C18*'Economic Assumptions'!$L18,0)</f>
        <v/>
      </c>
      <c r="CM55" s="301">
        <f>IF('Economic Assumptions'!$B18+'Project Assumptions'!$D$15+'Project Assumptions'!$D$16-1='Detailed Cashflows'!CM$5,-'Economic Assumptions'!$C18*'Economic Assumptions'!$L18,0)</f>
        <v/>
      </c>
      <c r="CN55" s="301">
        <f>IF('Economic Assumptions'!$B18+'Project Assumptions'!$D$15+'Project Assumptions'!$D$16-1='Detailed Cashflows'!CN$5,-'Economic Assumptions'!$C18*'Economic Assumptions'!$L18,0)</f>
        <v/>
      </c>
      <c r="CO55" s="301">
        <f>IF('Economic Assumptions'!$B18+'Project Assumptions'!$D$15+'Project Assumptions'!$D$16-1='Detailed Cashflows'!CO$5,-'Economic Assumptions'!$C18*'Economic Assumptions'!$L18,0)</f>
        <v/>
      </c>
      <c r="CP55" s="301">
        <f>IF('Economic Assumptions'!$B18+'Project Assumptions'!$D$15+'Project Assumptions'!$D$16-1='Detailed Cashflows'!CP$5,-'Economic Assumptions'!$C18*'Economic Assumptions'!$L18,0)</f>
        <v/>
      </c>
      <c r="CQ55" s="301">
        <f>IF('Economic Assumptions'!$B18+'Project Assumptions'!$D$15+'Project Assumptions'!$D$16-1='Detailed Cashflows'!CQ$5,-'Economic Assumptions'!$C18*'Economic Assumptions'!$L18,0)</f>
        <v/>
      </c>
      <c r="CR55" s="301">
        <f>IF('Economic Assumptions'!$B18+'Project Assumptions'!$D$15+'Project Assumptions'!$D$16-1='Detailed Cashflows'!CR$5,-'Economic Assumptions'!$C18*'Economic Assumptions'!$L18,0)</f>
        <v/>
      </c>
      <c r="CS55" s="301">
        <f>IF('Economic Assumptions'!$B18+'Project Assumptions'!$D$15+'Project Assumptions'!$D$16-1='Detailed Cashflows'!CS$5,-'Economic Assumptions'!$C18*'Economic Assumptions'!$L18,0)</f>
        <v/>
      </c>
      <c r="CT55" s="301">
        <f>IF('Economic Assumptions'!$B18+'Project Assumptions'!$D$15+'Project Assumptions'!$D$16-1='Detailed Cashflows'!CT$5,-'Economic Assumptions'!$C18*'Economic Assumptions'!$L18,0)</f>
        <v/>
      </c>
      <c r="CU55" s="301">
        <f>IF('Economic Assumptions'!$B18+'Project Assumptions'!$D$15+'Project Assumptions'!$D$16-1='Detailed Cashflows'!CU$5,-'Economic Assumptions'!$C18*'Economic Assumptions'!$L18,0)</f>
        <v/>
      </c>
      <c r="CV55" s="301">
        <f>IF('Economic Assumptions'!$B18+'Project Assumptions'!$D$15+'Project Assumptions'!$D$16-1='Detailed Cashflows'!CV$5,-'Economic Assumptions'!$C18*'Economic Assumptions'!$L18,0)</f>
        <v/>
      </c>
      <c r="CW55" s="301">
        <f>IF('Economic Assumptions'!$B18+'Project Assumptions'!$D$15+'Project Assumptions'!$D$16-1='Detailed Cashflows'!CW$5,-'Economic Assumptions'!$C18*'Economic Assumptions'!$L18,0)</f>
        <v/>
      </c>
      <c r="CX55" s="301">
        <f>IF('Economic Assumptions'!$B18+'Project Assumptions'!$D$15+'Project Assumptions'!$D$16-1='Detailed Cashflows'!CX$5,-'Economic Assumptions'!$C18*'Economic Assumptions'!$L18,0)</f>
        <v/>
      </c>
      <c r="CY55" s="301">
        <f>IF('Economic Assumptions'!$B18+'Project Assumptions'!$D$15+'Project Assumptions'!$D$16-1='Detailed Cashflows'!CY$5,-'Economic Assumptions'!$C18*'Economic Assumptions'!$L18,0)</f>
        <v/>
      </c>
      <c r="CZ55" s="301">
        <f>IF('Economic Assumptions'!$B18+'Project Assumptions'!$D$15+'Project Assumptions'!$D$16-1='Detailed Cashflows'!CZ$5,-'Economic Assumptions'!$C18*'Economic Assumptions'!$L18,0)</f>
        <v/>
      </c>
      <c r="DA55" s="301">
        <f>IF('Economic Assumptions'!$B18+'Project Assumptions'!$D$15+'Project Assumptions'!$D$16-1='Detailed Cashflows'!DA$5,-'Economic Assumptions'!$C18*'Economic Assumptions'!$L18,0)</f>
        <v/>
      </c>
      <c r="DB55" s="301">
        <f>IF('Economic Assumptions'!$B18+'Project Assumptions'!$D$15+'Project Assumptions'!$D$16-1='Detailed Cashflows'!DB$5,-'Economic Assumptions'!$C18*'Economic Assumptions'!$L18,0)</f>
        <v/>
      </c>
      <c r="DC55" s="301" t="n"/>
      <c r="DD55" s="299">
        <f>SUM(F55:DB55)</f>
        <v/>
      </c>
    </row>
    <row r="56" hidden="1" outlineLevel="1" ht="14.1" customFormat="1" customHeight="1" s="302">
      <c r="A56" s="1005" t="n"/>
      <c r="B56" s="304">
        <f>'Economic Assumptions'!$A$19</f>
        <v/>
      </c>
      <c r="C56" s="353" t="n"/>
      <c r="D56" s="305">
        <f>DD56</f>
        <v/>
      </c>
      <c r="E56" s="306" t="n"/>
      <c r="F56" s="891">
        <f>IF('Economic Assumptions'!$B19+'Project Assumptions'!$D$15+'Project Assumptions'!$D$16-1='Detailed Cashflows'!F$5,-'Economic Assumptions'!$C19*'Economic Assumptions'!$L19,0)</f>
        <v/>
      </c>
      <c r="G56" s="891">
        <f>IF('Economic Assumptions'!$B19+'Project Assumptions'!$D$15+'Project Assumptions'!$D$16-1='Detailed Cashflows'!G$5,-'Economic Assumptions'!$C19*'Economic Assumptions'!$L19,0)</f>
        <v/>
      </c>
      <c r="H56" s="891">
        <f>IF('Economic Assumptions'!$B19+'Project Assumptions'!$D$15+'Project Assumptions'!$D$16-1='Detailed Cashflows'!H$5,-'Economic Assumptions'!$C19*'Economic Assumptions'!$L19,0)</f>
        <v/>
      </c>
      <c r="I56" s="891">
        <f>IF('Economic Assumptions'!$B19+'Project Assumptions'!$D$15+'Project Assumptions'!$D$16-1='Detailed Cashflows'!I$5,-'Economic Assumptions'!$C19*'Economic Assumptions'!$L19,0)</f>
        <v/>
      </c>
      <c r="J56" s="891">
        <f>IF('Economic Assumptions'!$B19+'Project Assumptions'!$D$15+'Project Assumptions'!$D$16-1='Detailed Cashflows'!J$5,-'Economic Assumptions'!$C19*'Economic Assumptions'!$L19,0)</f>
        <v/>
      </c>
      <c r="K56" s="891">
        <f>IF('Economic Assumptions'!$B19+'Project Assumptions'!$D$15+'Project Assumptions'!$D$16-1='Detailed Cashflows'!K$5,-'Economic Assumptions'!$C19*'Economic Assumptions'!$L19,0)</f>
        <v/>
      </c>
      <c r="L56" s="891">
        <f>IF('Economic Assumptions'!$B19+'Project Assumptions'!$D$15+'Project Assumptions'!$D$16-1='Detailed Cashflows'!L$5,-'Economic Assumptions'!$C19*'Economic Assumptions'!$L19,0)</f>
        <v/>
      </c>
      <c r="M56" s="891">
        <f>IF('Economic Assumptions'!$B19+'Project Assumptions'!$D$15+'Project Assumptions'!$D$16-1='Detailed Cashflows'!M$5,-'Economic Assumptions'!$C19*'Economic Assumptions'!$L19,0)</f>
        <v/>
      </c>
      <c r="N56" s="891">
        <f>IF('Economic Assumptions'!$B19+'Project Assumptions'!$D$15+'Project Assumptions'!$D$16-1='Detailed Cashflows'!N$5,-'Economic Assumptions'!$C19*'Economic Assumptions'!$L19,0)</f>
        <v/>
      </c>
      <c r="O56" s="891">
        <f>IF('Economic Assumptions'!$B19+'Project Assumptions'!$D$15+'Project Assumptions'!$D$16-1='Detailed Cashflows'!O$5,-'Economic Assumptions'!$C19*'Economic Assumptions'!$L19,0)</f>
        <v/>
      </c>
      <c r="P56" s="891">
        <f>IF('Economic Assumptions'!$B19+'Project Assumptions'!$D$15+'Project Assumptions'!$D$16-1='Detailed Cashflows'!P$5,-'Economic Assumptions'!$C19*'Economic Assumptions'!$L19,0)</f>
        <v/>
      </c>
      <c r="Q56" s="891">
        <f>IF('Economic Assumptions'!$B19+'Project Assumptions'!$D$15+'Project Assumptions'!$D$16-1='Detailed Cashflows'!Q$5,-'Economic Assumptions'!$C19*'Economic Assumptions'!$L19,0)</f>
        <v/>
      </c>
      <c r="R56" s="891">
        <f>IF('Economic Assumptions'!$B19+'Project Assumptions'!$D$15+'Project Assumptions'!$D$16-1='Detailed Cashflows'!R$5,-'Economic Assumptions'!$C19*'Economic Assumptions'!$L19,0)</f>
        <v/>
      </c>
      <c r="S56" s="891">
        <f>IF('Economic Assumptions'!$B19+'Project Assumptions'!$D$15+'Project Assumptions'!$D$16-1='Detailed Cashflows'!S$5,-'Economic Assumptions'!$C19*'Economic Assumptions'!$L19,0)</f>
        <v/>
      </c>
      <c r="T56" s="891">
        <f>IF('Economic Assumptions'!$B19+'Project Assumptions'!$D$15+'Project Assumptions'!$D$16-1='Detailed Cashflows'!T$5,-'Economic Assumptions'!$C19*'Economic Assumptions'!$L19,0)</f>
        <v/>
      </c>
      <c r="U56" s="891">
        <f>IF('Economic Assumptions'!$B19+'Project Assumptions'!$D$15+'Project Assumptions'!$D$16-1='Detailed Cashflows'!U$5,-'Economic Assumptions'!$C19*'Economic Assumptions'!$L19,0)</f>
        <v/>
      </c>
      <c r="V56" s="891">
        <f>IF('Economic Assumptions'!$B19+'Project Assumptions'!$D$15+'Project Assumptions'!$D$16-1='Detailed Cashflows'!V$5,-'Economic Assumptions'!$C19*'Economic Assumptions'!$L19,0)</f>
        <v/>
      </c>
      <c r="W56" s="891">
        <f>IF('Economic Assumptions'!$B19+'Project Assumptions'!$D$15+'Project Assumptions'!$D$16-1='Detailed Cashflows'!W$5,-'Economic Assumptions'!$C19*'Economic Assumptions'!$L19,0)</f>
        <v/>
      </c>
      <c r="X56" s="891">
        <f>IF('Economic Assumptions'!$B19+'Project Assumptions'!$D$15+'Project Assumptions'!$D$16-1='Detailed Cashflows'!X$5,-'Economic Assumptions'!$C19*'Economic Assumptions'!$L19,0)</f>
        <v/>
      </c>
      <c r="Y56" s="891">
        <f>IF('Economic Assumptions'!$B19+'Project Assumptions'!$D$15+'Project Assumptions'!$D$16-1='Detailed Cashflows'!Y$5,-'Economic Assumptions'!$C19*'Economic Assumptions'!$L19,0)</f>
        <v/>
      </c>
      <c r="Z56" s="891">
        <f>IF('Economic Assumptions'!$B19+'Project Assumptions'!$D$15+'Project Assumptions'!$D$16-1='Detailed Cashflows'!Z$5,-'Economic Assumptions'!$C19*'Economic Assumptions'!$L19,0)</f>
        <v/>
      </c>
      <c r="AA56" s="891">
        <f>IF('Economic Assumptions'!$B19+'Project Assumptions'!$D$15+'Project Assumptions'!$D$16-1='Detailed Cashflows'!AA$5,-'Economic Assumptions'!$C19*'Economic Assumptions'!$L19,0)</f>
        <v/>
      </c>
      <c r="AB56" s="891">
        <f>IF('Economic Assumptions'!$B19+'Project Assumptions'!$D$15+'Project Assumptions'!$D$16-1='Detailed Cashflows'!AB$5,-'Economic Assumptions'!$C19*'Economic Assumptions'!$L19,0)</f>
        <v/>
      </c>
      <c r="AC56" s="891">
        <f>IF('Economic Assumptions'!$B19+'Project Assumptions'!$D$15+'Project Assumptions'!$D$16-1='Detailed Cashflows'!AC$5,-'Economic Assumptions'!$C19*'Economic Assumptions'!$L19,0)</f>
        <v/>
      </c>
      <c r="AD56" s="891">
        <f>IF('Economic Assumptions'!$B19+'Project Assumptions'!$D$15+'Project Assumptions'!$D$16-1='Detailed Cashflows'!AD$5,-'Economic Assumptions'!$C19*'Economic Assumptions'!$L19,0)</f>
        <v/>
      </c>
      <c r="AE56" s="891">
        <f>IF('Economic Assumptions'!$B19+'Project Assumptions'!$D$15+'Project Assumptions'!$D$16-1='Detailed Cashflows'!AE$5,-'Economic Assumptions'!$C19*'Economic Assumptions'!$L19,0)</f>
        <v/>
      </c>
      <c r="AF56" s="891">
        <f>IF('Economic Assumptions'!$B19+'Project Assumptions'!$D$15+'Project Assumptions'!$D$16-1='Detailed Cashflows'!AF$5,-'Economic Assumptions'!$C19*'Economic Assumptions'!$L19,0)</f>
        <v/>
      </c>
      <c r="AG56" s="891">
        <f>IF('Economic Assumptions'!$B19+'Project Assumptions'!$D$15+'Project Assumptions'!$D$16-1='Detailed Cashflows'!AG$5,-'Economic Assumptions'!$C19*'Economic Assumptions'!$L19,0)</f>
        <v/>
      </c>
      <c r="AH56" s="891">
        <f>IF('Economic Assumptions'!$B19+'Project Assumptions'!$D$15+'Project Assumptions'!$D$16-1='Detailed Cashflows'!AH$5,-'Economic Assumptions'!$C19*'Economic Assumptions'!$L19,0)</f>
        <v/>
      </c>
      <c r="AI56" s="891">
        <f>IF('Economic Assumptions'!$B19+'Project Assumptions'!$D$15+'Project Assumptions'!$D$16-1='Detailed Cashflows'!AI$5,-'Economic Assumptions'!$C19*'Economic Assumptions'!$L19,0)</f>
        <v/>
      </c>
      <c r="AJ56" s="891">
        <f>IF('Economic Assumptions'!$B19+'Project Assumptions'!$D$15+'Project Assumptions'!$D$16-1='Detailed Cashflows'!AJ$5,-'Economic Assumptions'!$C19*'Economic Assumptions'!$L19,0)</f>
        <v/>
      </c>
      <c r="AK56" s="891">
        <f>IF('Economic Assumptions'!$B19+'Project Assumptions'!$D$15+'Project Assumptions'!$D$16-1='Detailed Cashflows'!AK$5,-'Economic Assumptions'!$C19*'Economic Assumptions'!$L19,0)</f>
        <v/>
      </c>
      <c r="AL56" s="891">
        <f>IF('Economic Assumptions'!$B19+'Project Assumptions'!$D$15+'Project Assumptions'!$D$16-1='Detailed Cashflows'!AL$5,-'Economic Assumptions'!$C19*'Economic Assumptions'!$L19,0)</f>
        <v/>
      </c>
      <c r="AM56" s="891">
        <f>IF('Economic Assumptions'!$B19+'Project Assumptions'!$D$15+'Project Assumptions'!$D$16-1='Detailed Cashflows'!AM$5,-'Economic Assumptions'!$C19*'Economic Assumptions'!$L19,0)</f>
        <v/>
      </c>
      <c r="AN56" s="891">
        <f>IF('Economic Assumptions'!$B19+'Project Assumptions'!$D$15+'Project Assumptions'!$D$16-1='Detailed Cashflows'!AN$5,-'Economic Assumptions'!$C19*'Economic Assumptions'!$L19,0)</f>
        <v/>
      </c>
      <c r="AO56" s="891">
        <f>IF('Economic Assumptions'!$B19+'Project Assumptions'!$D$15+'Project Assumptions'!$D$16-1='Detailed Cashflows'!AO$5,-'Economic Assumptions'!$C19*'Economic Assumptions'!$L19,0)</f>
        <v/>
      </c>
      <c r="AP56" s="891">
        <f>IF('Economic Assumptions'!$B19+'Project Assumptions'!$D$15+'Project Assumptions'!$D$16-1='Detailed Cashflows'!AP$5,-'Economic Assumptions'!$C19*'Economic Assumptions'!$L19,0)</f>
        <v/>
      </c>
      <c r="AQ56" s="891">
        <f>IF('Economic Assumptions'!$B19+'Project Assumptions'!$D$15+'Project Assumptions'!$D$16-1='Detailed Cashflows'!AQ$5,-'Economic Assumptions'!$C19*'Economic Assumptions'!$L19,0)</f>
        <v/>
      </c>
      <c r="AR56" s="891">
        <f>IF('Economic Assumptions'!$B19+'Project Assumptions'!$D$15+'Project Assumptions'!$D$16-1='Detailed Cashflows'!AR$5,-'Economic Assumptions'!$C19*'Economic Assumptions'!$L19,0)</f>
        <v/>
      </c>
      <c r="AS56" s="891">
        <f>IF('Economic Assumptions'!$B19+'Project Assumptions'!$D$15+'Project Assumptions'!$D$16-1='Detailed Cashflows'!AS$5,-'Economic Assumptions'!$C19*'Economic Assumptions'!$L19,0)</f>
        <v/>
      </c>
      <c r="AT56" s="891">
        <f>IF('Economic Assumptions'!$B19+'Project Assumptions'!$D$15+'Project Assumptions'!$D$16-1='Detailed Cashflows'!AT$5,-'Economic Assumptions'!$C19*'Economic Assumptions'!$L19,0)</f>
        <v/>
      </c>
      <c r="AU56" s="891">
        <f>IF('Economic Assumptions'!$B19+'Project Assumptions'!$D$15+'Project Assumptions'!$D$16-1='Detailed Cashflows'!AU$5,-'Economic Assumptions'!$C19*'Economic Assumptions'!$L19,0)</f>
        <v/>
      </c>
      <c r="AV56" s="891">
        <f>IF('Economic Assumptions'!$B19+'Project Assumptions'!$D$15+'Project Assumptions'!$D$16-1='Detailed Cashflows'!AV$5,-'Economic Assumptions'!$C19*'Economic Assumptions'!$L19,0)</f>
        <v/>
      </c>
      <c r="AW56" s="891">
        <f>IF('Economic Assumptions'!$B19+'Project Assumptions'!$D$15+'Project Assumptions'!$D$16-1='Detailed Cashflows'!AW$5,-'Economic Assumptions'!$C19*'Economic Assumptions'!$L19,0)</f>
        <v/>
      </c>
      <c r="AX56" s="891">
        <f>IF('Economic Assumptions'!$B19+'Project Assumptions'!$D$15+'Project Assumptions'!$D$16-1='Detailed Cashflows'!AX$5,-'Economic Assumptions'!$C19*'Economic Assumptions'!$L19,0)</f>
        <v/>
      </c>
      <c r="AY56" s="891">
        <f>IF('Economic Assumptions'!$B19+'Project Assumptions'!$D$15+'Project Assumptions'!$D$16-1='Detailed Cashflows'!AY$5,-'Economic Assumptions'!$C19*'Economic Assumptions'!$L19,0)</f>
        <v/>
      </c>
      <c r="AZ56" s="891">
        <f>IF('Economic Assumptions'!$B19+'Project Assumptions'!$D$15+'Project Assumptions'!$D$16-1='Detailed Cashflows'!AZ$5,-'Economic Assumptions'!$C19*'Economic Assumptions'!$L19,0)</f>
        <v/>
      </c>
      <c r="BA56" s="891">
        <f>IF('Economic Assumptions'!$B19+'Project Assumptions'!$D$15+'Project Assumptions'!$D$16-1='Detailed Cashflows'!BA$5,-'Economic Assumptions'!$C19*'Economic Assumptions'!$L19,0)</f>
        <v/>
      </c>
      <c r="BB56" s="891">
        <f>IF('Economic Assumptions'!$B19+'Project Assumptions'!$D$15+'Project Assumptions'!$D$16-1='Detailed Cashflows'!BB$5,-'Economic Assumptions'!$C19*'Economic Assumptions'!$L19,0)</f>
        <v/>
      </c>
      <c r="BC56" s="891">
        <f>IF('Economic Assumptions'!$B19+'Project Assumptions'!$D$15+'Project Assumptions'!$D$16-1='Detailed Cashflows'!BC$5,-'Economic Assumptions'!$C19*'Economic Assumptions'!$L19,0)</f>
        <v/>
      </c>
      <c r="BD56" s="891">
        <f>IF('Economic Assumptions'!$B19+'Project Assumptions'!$D$15+'Project Assumptions'!$D$16-1='Detailed Cashflows'!BD$5,-'Economic Assumptions'!$C19*'Economic Assumptions'!$L19,0)</f>
        <v/>
      </c>
      <c r="BE56" s="891">
        <f>IF('Economic Assumptions'!$B19+'Project Assumptions'!$D$15+'Project Assumptions'!$D$16-1='Detailed Cashflows'!BE$5,-'Economic Assumptions'!$C19*'Economic Assumptions'!$L19,0)</f>
        <v/>
      </c>
      <c r="BF56" s="891">
        <f>IF('Economic Assumptions'!$B19+'Project Assumptions'!$D$15+'Project Assumptions'!$D$16-1='Detailed Cashflows'!BF$5,-'Economic Assumptions'!$C19*'Economic Assumptions'!$L19,0)</f>
        <v/>
      </c>
      <c r="BG56" s="891">
        <f>IF('Economic Assumptions'!$B19+'Project Assumptions'!$D$15+'Project Assumptions'!$D$16-1='Detailed Cashflows'!BG$5,-'Economic Assumptions'!$C19*'Economic Assumptions'!$L19,0)</f>
        <v/>
      </c>
      <c r="BH56" s="891">
        <f>IF('Economic Assumptions'!$B19+'Project Assumptions'!$D$15+'Project Assumptions'!$D$16-1='Detailed Cashflows'!BH$5,-'Economic Assumptions'!$C19*'Economic Assumptions'!$L19,0)</f>
        <v/>
      </c>
      <c r="BI56" s="891">
        <f>IF('Economic Assumptions'!$B19+'Project Assumptions'!$D$15+'Project Assumptions'!$D$16-1='Detailed Cashflows'!BI$5,-'Economic Assumptions'!$C19*'Economic Assumptions'!$L19,0)</f>
        <v/>
      </c>
      <c r="BJ56" s="891">
        <f>IF('Economic Assumptions'!$B19+'Project Assumptions'!$D$15+'Project Assumptions'!$D$16-1='Detailed Cashflows'!BJ$5,-'Economic Assumptions'!$C19*'Economic Assumptions'!$L19,0)</f>
        <v/>
      </c>
      <c r="BK56" s="891">
        <f>IF('Economic Assumptions'!$B19+'Project Assumptions'!$D$15+'Project Assumptions'!$D$16-1='Detailed Cashflows'!BK$5,-'Economic Assumptions'!$C19*'Economic Assumptions'!$L19,0)</f>
        <v/>
      </c>
      <c r="BL56" s="891">
        <f>IF('Economic Assumptions'!$B19+'Project Assumptions'!$D$15+'Project Assumptions'!$D$16-1='Detailed Cashflows'!BL$5,-'Economic Assumptions'!$C19*'Economic Assumptions'!$L19,0)</f>
        <v/>
      </c>
      <c r="BM56" s="891">
        <f>IF('Economic Assumptions'!$B19+'Project Assumptions'!$D$15+'Project Assumptions'!$D$16-1='Detailed Cashflows'!BM$5,-'Economic Assumptions'!$C19*'Economic Assumptions'!$L19,0)</f>
        <v/>
      </c>
      <c r="BN56" s="891">
        <f>IF('Economic Assumptions'!$B19+'Project Assumptions'!$D$15+'Project Assumptions'!$D$16-1='Detailed Cashflows'!BN$5,-'Economic Assumptions'!$C19*'Economic Assumptions'!$L19,0)</f>
        <v/>
      </c>
      <c r="BO56" s="891">
        <f>IF('Economic Assumptions'!$B19+'Project Assumptions'!$D$15+'Project Assumptions'!$D$16-1='Detailed Cashflows'!BO$5,-'Economic Assumptions'!$C19*'Economic Assumptions'!$L19,0)</f>
        <v/>
      </c>
      <c r="BP56" s="891">
        <f>IF('Economic Assumptions'!$B19+'Project Assumptions'!$D$15+'Project Assumptions'!$D$16-1='Detailed Cashflows'!BP$5,-'Economic Assumptions'!$C19*'Economic Assumptions'!$L19,0)</f>
        <v/>
      </c>
      <c r="BQ56" s="891">
        <f>IF('Economic Assumptions'!$B19+'Project Assumptions'!$D$15+'Project Assumptions'!$D$16-1='Detailed Cashflows'!BQ$5,-'Economic Assumptions'!$C19*'Economic Assumptions'!$L19,0)</f>
        <v/>
      </c>
      <c r="BR56" s="891">
        <f>IF('Economic Assumptions'!$B19+'Project Assumptions'!$D$15+'Project Assumptions'!$D$16-1='Detailed Cashflows'!BR$5,-'Economic Assumptions'!$C19*'Economic Assumptions'!$L19,0)</f>
        <v/>
      </c>
      <c r="BS56" s="891">
        <f>IF('Economic Assumptions'!$B19+'Project Assumptions'!$D$15+'Project Assumptions'!$D$16-1='Detailed Cashflows'!BS$5,-'Economic Assumptions'!$C19*'Economic Assumptions'!$L19,0)</f>
        <v/>
      </c>
      <c r="BT56" s="891">
        <f>IF('Economic Assumptions'!$B19+'Project Assumptions'!$D$15+'Project Assumptions'!$D$16-1='Detailed Cashflows'!BT$5,-'Economic Assumptions'!$C19*'Economic Assumptions'!$L19,0)</f>
        <v/>
      </c>
      <c r="BU56" s="891">
        <f>IF('Economic Assumptions'!$B19+'Project Assumptions'!$D$15+'Project Assumptions'!$D$16-1='Detailed Cashflows'!BU$5,-'Economic Assumptions'!$C19*'Economic Assumptions'!$L19,0)</f>
        <v/>
      </c>
      <c r="BV56" s="891">
        <f>IF('Economic Assumptions'!$B19+'Project Assumptions'!$D$15+'Project Assumptions'!$D$16-1='Detailed Cashflows'!BV$5,-'Economic Assumptions'!$C19*'Economic Assumptions'!$L19,0)</f>
        <v/>
      </c>
      <c r="BW56" s="891">
        <f>IF('Economic Assumptions'!$B19+'Project Assumptions'!$D$15+'Project Assumptions'!$D$16-1='Detailed Cashflows'!BW$5,-'Economic Assumptions'!$C19*'Economic Assumptions'!$L19,0)</f>
        <v/>
      </c>
      <c r="BX56" s="891">
        <f>IF('Economic Assumptions'!$B19+'Project Assumptions'!$D$15+'Project Assumptions'!$D$16-1='Detailed Cashflows'!BX$5,-'Economic Assumptions'!$C19*'Economic Assumptions'!$L19,0)</f>
        <v/>
      </c>
      <c r="BY56" s="891">
        <f>IF('Economic Assumptions'!$B19+'Project Assumptions'!$D$15+'Project Assumptions'!$D$16-1='Detailed Cashflows'!BY$5,-'Economic Assumptions'!$C19*'Economic Assumptions'!$L19,0)</f>
        <v/>
      </c>
      <c r="BZ56" s="891">
        <f>IF('Economic Assumptions'!$B19+'Project Assumptions'!$D$15+'Project Assumptions'!$D$16-1='Detailed Cashflows'!BZ$5,-'Economic Assumptions'!$C19*'Economic Assumptions'!$L19,0)</f>
        <v/>
      </c>
      <c r="CA56" s="891">
        <f>IF('Economic Assumptions'!$B19+'Project Assumptions'!$D$15+'Project Assumptions'!$D$16-1='Detailed Cashflows'!CA$5,-'Economic Assumptions'!$C19*'Economic Assumptions'!$L19,0)</f>
        <v/>
      </c>
      <c r="CB56" s="891">
        <f>IF('Economic Assumptions'!$B19+'Project Assumptions'!$D$15+'Project Assumptions'!$D$16-1='Detailed Cashflows'!CB$5,-'Economic Assumptions'!$C19*'Economic Assumptions'!$L19,0)</f>
        <v/>
      </c>
      <c r="CC56" s="891">
        <f>IF('Economic Assumptions'!$B19+'Project Assumptions'!$D$15+'Project Assumptions'!$D$16-1='Detailed Cashflows'!CC$5,-'Economic Assumptions'!$C19*'Economic Assumptions'!$L19,0)</f>
        <v/>
      </c>
      <c r="CD56" s="891">
        <f>IF('Economic Assumptions'!$B19+'Project Assumptions'!$D$15+'Project Assumptions'!$D$16-1='Detailed Cashflows'!CD$5,-'Economic Assumptions'!$C19*'Economic Assumptions'!$L19,0)</f>
        <v/>
      </c>
      <c r="CE56" s="891">
        <f>IF('Economic Assumptions'!$B19+'Project Assumptions'!$D$15+'Project Assumptions'!$D$16-1='Detailed Cashflows'!CE$5,-'Economic Assumptions'!$C19*'Economic Assumptions'!$L19,0)</f>
        <v/>
      </c>
      <c r="CF56" s="891">
        <f>IF('Economic Assumptions'!$B19+'Project Assumptions'!$D$15+'Project Assumptions'!$D$16-1='Detailed Cashflows'!CF$5,-'Economic Assumptions'!$C19*'Economic Assumptions'!$L19,0)</f>
        <v/>
      </c>
      <c r="CG56" s="891">
        <f>IF('Economic Assumptions'!$B19+'Project Assumptions'!$D$15+'Project Assumptions'!$D$16-1='Detailed Cashflows'!CG$5,-'Economic Assumptions'!$C19*'Economic Assumptions'!$L19,0)</f>
        <v/>
      </c>
      <c r="CH56" s="891">
        <f>IF('Economic Assumptions'!$B19+'Project Assumptions'!$D$15+'Project Assumptions'!$D$16-1='Detailed Cashflows'!CH$5,-'Economic Assumptions'!$C19*'Economic Assumptions'!$L19,0)</f>
        <v/>
      </c>
      <c r="CI56" s="891">
        <f>IF('Economic Assumptions'!$B19+'Project Assumptions'!$D$15+'Project Assumptions'!$D$16-1='Detailed Cashflows'!CI$5,-'Economic Assumptions'!$C19*'Economic Assumptions'!$L19,0)</f>
        <v/>
      </c>
      <c r="CJ56" s="891">
        <f>IF('Economic Assumptions'!$B19+'Project Assumptions'!$D$15+'Project Assumptions'!$D$16-1='Detailed Cashflows'!CJ$5,-'Economic Assumptions'!$C19*'Economic Assumptions'!$L19,0)</f>
        <v/>
      </c>
      <c r="CK56" s="891">
        <f>IF('Economic Assumptions'!$B19+'Project Assumptions'!$D$15+'Project Assumptions'!$D$16-1='Detailed Cashflows'!CK$5,-'Economic Assumptions'!$C19*'Economic Assumptions'!$L19,0)</f>
        <v/>
      </c>
      <c r="CL56" s="891">
        <f>IF('Economic Assumptions'!$B19+'Project Assumptions'!$D$15+'Project Assumptions'!$D$16-1='Detailed Cashflows'!CL$5,-'Economic Assumptions'!$C19*'Economic Assumptions'!$L19,0)</f>
        <v/>
      </c>
      <c r="CM56" s="891">
        <f>IF('Economic Assumptions'!$B19+'Project Assumptions'!$D$15+'Project Assumptions'!$D$16-1='Detailed Cashflows'!CM$5,-'Economic Assumptions'!$C19*'Economic Assumptions'!$L19,0)</f>
        <v/>
      </c>
      <c r="CN56" s="891">
        <f>IF('Economic Assumptions'!$B19+'Project Assumptions'!$D$15+'Project Assumptions'!$D$16-1='Detailed Cashflows'!CN$5,-'Economic Assumptions'!$C19*'Economic Assumptions'!$L19,0)</f>
        <v/>
      </c>
      <c r="CO56" s="891">
        <f>IF('Economic Assumptions'!$B19+'Project Assumptions'!$D$15+'Project Assumptions'!$D$16-1='Detailed Cashflows'!CO$5,-'Economic Assumptions'!$C19*'Economic Assumptions'!$L19,0)</f>
        <v/>
      </c>
      <c r="CP56" s="891">
        <f>IF('Economic Assumptions'!$B19+'Project Assumptions'!$D$15+'Project Assumptions'!$D$16-1='Detailed Cashflows'!CP$5,-'Economic Assumptions'!$C19*'Economic Assumptions'!$L19,0)</f>
        <v/>
      </c>
      <c r="CQ56" s="891">
        <f>IF('Economic Assumptions'!$B19+'Project Assumptions'!$D$15+'Project Assumptions'!$D$16-1='Detailed Cashflows'!CQ$5,-'Economic Assumptions'!$C19*'Economic Assumptions'!$L19,0)</f>
        <v/>
      </c>
      <c r="CR56" s="891">
        <f>IF('Economic Assumptions'!$B19+'Project Assumptions'!$D$15+'Project Assumptions'!$D$16-1='Detailed Cashflows'!CR$5,-'Economic Assumptions'!$C19*'Economic Assumptions'!$L19,0)</f>
        <v/>
      </c>
      <c r="CS56" s="891">
        <f>IF('Economic Assumptions'!$B19+'Project Assumptions'!$D$15+'Project Assumptions'!$D$16-1='Detailed Cashflows'!CS$5,-'Economic Assumptions'!$C19*'Economic Assumptions'!$L19,0)</f>
        <v/>
      </c>
      <c r="CT56" s="891">
        <f>IF('Economic Assumptions'!$B19+'Project Assumptions'!$D$15+'Project Assumptions'!$D$16-1='Detailed Cashflows'!CT$5,-'Economic Assumptions'!$C19*'Economic Assumptions'!$L19,0)</f>
        <v/>
      </c>
      <c r="CU56" s="891">
        <f>IF('Economic Assumptions'!$B19+'Project Assumptions'!$D$15+'Project Assumptions'!$D$16-1='Detailed Cashflows'!CU$5,-'Economic Assumptions'!$C19*'Economic Assumptions'!$L19,0)</f>
        <v/>
      </c>
      <c r="CV56" s="891">
        <f>IF('Economic Assumptions'!$B19+'Project Assumptions'!$D$15+'Project Assumptions'!$D$16-1='Detailed Cashflows'!CV$5,-'Economic Assumptions'!$C19*'Economic Assumptions'!$L19,0)</f>
        <v/>
      </c>
      <c r="CW56" s="891">
        <f>IF('Economic Assumptions'!$B19+'Project Assumptions'!$D$15+'Project Assumptions'!$D$16-1='Detailed Cashflows'!CW$5,-'Economic Assumptions'!$C19*'Economic Assumptions'!$L19,0)</f>
        <v/>
      </c>
      <c r="CX56" s="891">
        <f>IF('Economic Assumptions'!$B19+'Project Assumptions'!$D$15+'Project Assumptions'!$D$16-1='Detailed Cashflows'!CX$5,-'Economic Assumptions'!$C19*'Economic Assumptions'!$L19,0)</f>
        <v/>
      </c>
      <c r="CY56" s="891">
        <f>IF('Economic Assumptions'!$B19+'Project Assumptions'!$D$15+'Project Assumptions'!$D$16-1='Detailed Cashflows'!CY$5,-'Economic Assumptions'!$C19*'Economic Assumptions'!$L19,0)</f>
        <v/>
      </c>
      <c r="CZ56" s="891">
        <f>IF('Economic Assumptions'!$B19+'Project Assumptions'!$D$15+'Project Assumptions'!$D$16-1='Detailed Cashflows'!CZ$5,-'Economic Assumptions'!$C19*'Economic Assumptions'!$L19,0)</f>
        <v/>
      </c>
      <c r="DA56" s="891">
        <f>IF('Economic Assumptions'!$B19+'Project Assumptions'!$D$15+'Project Assumptions'!$D$16-1='Detailed Cashflows'!DA$5,-'Economic Assumptions'!$C19*'Economic Assumptions'!$L19,0)</f>
        <v/>
      </c>
      <c r="DB56" s="891">
        <f>IF('Economic Assumptions'!$B19+'Project Assumptions'!$D$15+'Project Assumptions'!$D$16-1='Detailed Cashflows'!DB$5,-'Economic Assumptions'!$C19*'Economic Assumptions'!$L19,0)</f>
        <v/>
      </c>
      <c r="DC56" s="891" t="n"/>
      <c r="DD56" s="305">
        <f>SUM(F56:DB56)</f>
        <v/>
      </c>
    </row>
    <row r="57" collapsed="1">
      <c r="A57" s="699" t="inlineStr">
        <is>
          <t>Arch. &amp; Eng. and Other Consultants</t>
        </is>
      </c>
      <c r="B57" s="791" t="inlineStr">
        <is>
          <t xml:space="preserve">   Architect (Shell)</t>
        </is>
      </c>
      <c r="C57" s="700" t="n"/>
      <c r="D57" s="292">
        <f>DD57</f>
        <v/>
      </c>
      <c r="E57" s="641" t="n"/>
      <c r="F57" s="293">
        <f>IF('Project Assumptions'!$D$16=0,IF(G$5='Project Assumptions'!$D$15,-SUM('Detailed Project Costs'!$F$27:$F$28)*0.8,0),IF(G$5='Project Assumptions'!$D$15+1,-SUM('Detailed Project Costs'!$F$27:$F$28)*0.8,0))+IF(G$5&gt;'Project Assumptions'!$D$15,IF(G$5&lt;='Project Assumptions'!$D$15+'Project Assumptions'!$D$16,-SUM('Detailed Project Costs'!$F$27:$F$28)*0.2/'Project Assumptions'!$D$16,0),0)+IF('Project Assumptions'!$D$16=0,IF(G$5='Project Assumptions'!$D$15,-SUM('Detailed Project Costs'!$F$27:$F$28)*0.2,0),0)</f>
        <v/>
      </c>
      <c r="G57" s="293">
        <f>IF('Project Assumptions'!$D$16=0,IF(H$5='Project Assumptions'!$D$15,-SUM('Detailed Project Costs'!$F$27:$F$28)*0.8,0),IF(H$5='Project Assumptions'!$D$15+1,-SUM('Detailed Project Costs'!$F$27:$F$28)*0.8,0))+IF(H$5&gt;'Project Assumptions'!$D$15,IF(H$5&lt;='Project Assumptions'!$D$15+'Project Assumptions'!$D$16,-SUM('Detailed Project Costs'!$F$27:$F$28)*0.2/'Project Assumptions'!$D$16,0),0)+IF('Project Assumptions'!$D$16=0,IF(H$5='Project Assumptions'!$D$15,-SUM('Detailed Project Costs'!$F$27:$F$28)*0.2,0),0)</f>
        <v/>
      </c>
      <c r="H57" s="293">
        <f>IF('Project Assumptions'!$D$16=0,IF(I$5='Project Assumptions'!$D$15,-SUM('Detailed Project Costs'!$F$27:$F$28)*0.8,0),IF(I$5='Project Assumptions'!$D$15+1,-SUM('Detailed Project Costs'!$F$27:$F$28)*0.8,0))+IF(I$5&gt;'Project Assumptions'!$D$15,IF(I$5&lt;='Project Assumptions'!$D$15+'Project Assumptions'!$D$16,-SUM('Detailed Project Costs'!$F$27:$F$28)*0.2/'Project Assumptions'!$D$16,0),0)+IF('Project Assumptions'!$D$16=0,IF(I$5='Project Assumptions'!$D$15,-SUM('Detailed Project Costs'!$F$27:$F$28)*0.2,0),0)</f>
        <v/>
      </c>
      <c r="I57" s="293">
        <f>IF('Project Assumptions'!$D$16=0,IF(J$5='Project Assumptions'!$D$15,-SUM('Detailed Project Costs'!$F$27:$F$28)*0.8,0),IF(J$5='Project Assumptions'!$D$15+1,-SUM('Detailed Project Costs'!$F$27:$F$28)*0.8,0))+IF(J$5&gt;'Project Assumptions'!$D$15,IF(J$5&lt;='Project Assumptions'!$D$15+'Project Assumptions'!$D$16,-SUM('Detailed Project Costs'!$F$27:$F$28)*0.2/'Project Assumptions'!$D$16,0),0)+IF('Project Assumptions'!$D$16=0,IF(J$5='Project Assumptions'!$D$15,-SUM('Detailed Project Costs'!$F$27:$F$28)*0.2,0),0)</f>
        <v/>
      </c>
      <c r="J57" s="293">
        <f>IF('Project Assumptions'!$D$16=0,IF(K$5='Project Assumptions'!$D$15,-SUM('Detailed Project Costs'!$F$27:$F$28)*0.8,0),IF(K$5='Project Assumptions'!$D$15+1,-SUM('Detailed Project Costs'!$F$27:$F$28)*0.8,0))+IF(K$5&gt;'Project Assumptions'!$D$15,IF(K$5&lt;='Project Assumptions'!$D$15+'Project Assumptions'!$D$16,-SUM('Detailed Project Costs'!$F$27:$F$28)*0.2/'Project Assumptions'!$D$16,0),0)+IF('Project Assumptions'!$D$16=0,IF(K$5='Project Assumptions'!$D$15,-SUM('Detailed Project Costs'!$F$27:$F$28)*0.2,0),0)</f>
        <v/>
      </c>
      <c r="K57" s="293">
        <f>IF('Project Assumptions'!$D$16=0,IF(L$5='Project Assumptions'!$D$15,-SUM('Detailed Project Costs'!$F$27:$F$28)*0.8,0),IF(L$5='Project Assumptions'!$D$15+1,-SUM('Detailed Project Costs'!$F$27:$F$28)*0.8,0))+IF(L$5&gt;'Project Assumptions'!$D$15,IF(L$5&lt;='Project Assumptions'!$D$15+'Project Assumptions'!$D$16,-SUM('Detailed Project Costs'!$F$27:$F$28)*0.2/'Project Assumptions'!$D$16,0),0)+IF('Project Assumptions'!$D$16=0,IF(L$5='Project Assumptions'!$D$15,-SUM('Detailed Project Costs'!$F$27:$F$28)*0.2,0),0)</f>
        <v/>
      </c>
      <c r="L57" s="293">
        <f>IF('Project Assumptions'!$D$16=0,IF(M$5='Project Assumptions'!$D$15,-SUM('Detailed Project Costs'!$F$27:$F$28)*0.8,0),IF(M$5='Project Assumptions'!$D$15+1,-SUM('Detailed Project Costs'!$F$27:$F$28)*0.8,0))+IF(M$5&gt;'Project Assumptions'!$D$15,IF(M$5&lt;='Project Assumptions'!$D$15+'Project Assumptions'!$D$16,-SUM('Detailed Project Costs'!$F$27:$F$28)*0.2/'Project Assumptions'!$D$16,0),0)+IF('Project Assumptions'!$D$16=0,IF(M$5='Project Assumptions'!$D$15,-SUM('Detailed Project Costs'!$F$27:$F$28)*0.2,0),0)</f>
        <v/>
      </c>
      <c r="M57" s="293">
        <f>IF('Project Assumptions'!$D$16=0,IF(N$5='Project Assumptions'!$D$15,-SUM('Detailed Project Costs'!$F$27:$F$28)*0.8,0),IF(N$5='Project Assumptions'!$D$15+1,-SUM('Detailed Project Costs'!$F$27:$F$28)*0.8,0))+IF(N$5&gt;'Project Assumptions'!$D$15,IF(N$5&lt;='Project Assumptions'!$D$15+'Project Assumptions'!$D$16,-SUM('Detailed Project Costs'!$F$27:$F$28)*0.2/'Project Assumptions'!$D$16,0),0)+IF('Project Assumptions'!$D$16=0,IF(N$5='Project Assumptions'!$D$15,-SUM('Detailed Project Costs'!$F$27:$F$28)*0.2,0),0)</f>
        <v/>
      </c>
      <c r="N57" s="293">
        <f>IF('Project Assumptions'!$D$16=0,IF(O$5='Project Assumptions'!$D$15,-SUM('Detailed Project Costs'!$F$27:$F$28)*0.8,0),IF(O$5='Project Assumptions'!$D$15+1,-SUM('Detailed Project Costs'!$F$27:$F$28)*0.8,0))+IF(O$5&gt;'Project Assumptions'!$D$15,IF(O$5&lt;='Project Assumptions'!$D$15+'Project Assumptions'!$D$16,-SUM('Detailed Project Costs'!$F$27:$F$28)*0.2/'Project Assumptions'!$D$16,0),0)+IF('Project Assumptions'!$D$16=0,IF(O$5='Project Assumptions'!$D$15,-SUM('Detailed Project Costs'!$F$27:$F$28)*0.2,0),0)</f>
        <v/>
      </c>
      <c r="O57" s="293">
        <f>IF('Project Assumptions'!$D$16=0,IF(P$5='Project Assumptions'!$D$15,-SUM('Detailed Project Costs'!$F$27:$F$28)*0.8,0),IF(P$5='Project Assumptions'!$D$15+1,-SUM('Detailed Project Costs'!$F$27:$F$28)*0.8,0))+IF(P$5&gt;'Project Assumptions'!$D$15,IF(P$5&lt;='Project Assumptions'!$D$15+'Project Assumptions'!$D$16,-SUM('Detailed Project Costs'!$F$27:$F$28)*0.2/'Project Assumptions'!$D$16,0),0)+IF('Project Assumptions'!$D$16=0,IF(P$5='Project Assumptions'!$D$15,-SUM('Detailed Project Costs'!$F$27:$F$28)*0.2,0),0)</f>
        <v/>
      </c>
      <c r="P57" s="293">
        <f>IF('Project Assumptions'!$D$16=0,IF(Q$5='Project Assumptions'!$D$15,-SUM('Detailed Project Costs'!$F$27:$F$28)*0.8,0),IF(Q$5='Project Assumptions'!$D$15+1,-SUM('Detailed Project Costs'!$F$27:$F$28)*0.8,0))+IF(Q$5&gt;'Project Assumptions'!$D$15,IF(Q$5&lt;='Project Assumptions'!$D$15+'Project Assumptions'!$D$16,-SUM('Detailed Project Costs'!$F$27:$F$28)*0.2/'Project Assumptions'!$D$16,0),0)+IF('Project Assumptions'!$D$16=0,IF(Q$5='Project Assumptions'!$D$15,-SUM('Detailed Project Costs'!$F$27:$F$28)*0.2,0),0)</f>
        <v/>
      </c>
      <c r="Q57" s="293">
        <f>IF('Project Assumptions'!$D$16=0,IF(R$5='Project Assumptions'!$D$15,-SUM('Detailed Project Costs'!$F$27:$F$28)*0.8,0),IF(R$5='Project Assumptions'!$D$15+1,-SUM('Detailed Project Costs'!$F$27:$F$28)*0.8,0))+IF(R$5&gt;'Project Assumptions'!$D$15,IF(R$5&lt;='Project Assumptions'!$D$15+'Project Assumptions'!$D$16,-SUM('Detailed Project Costs'!$F$27:$F$28)*0.2/'Project Assumptions'!$D$16,0),0)+IF('Project Assumptions'!$D$16=0,IF(R$5='Project Assumptions'!$D$15,-SUM('Detailed Project Costs'!$F$27:$F$28)*0.2,0),0)</f>
        <v/>
      </c>
      <c r="R57" s="293">
        <f>IF('Project Assumptions'!$D$16=0,IF(S$5='Project Assumptions'!$D$15,-SUM('Detailed Project Costs'!$F$27:$F$28)*0.8,0),IF(S$5='Project Assumptions'!$D$15+1,-SUM('Detailed Project Costs'!$F$27:$F$28)*0.8,0))+IF(S$5&gt;'Project Assumptions'!$D$15,IF(S$5&lt;='Project Assumptions'!$D$15+'Project Assumptions'!$D$16,-SUM('Detailed Project Costs'!$F$27:$F$28)*0.2/'Project Assumptions'!$D$16,0),0)+IF('Project Assumptions'!$D$16=0,IF(S$5='Project Assumptions'!$D$15,-SUM('Detailed Project Costs'!$F$27:$F$28)*0.2,0),0)</f>
        <v/>
      </c>
      <c r="S57" s="293">
        <f>IF('Project Assumptions'!$D$16=0,IF(T$5='Project Assumptions'!$D$15,-SUM('Detailed Project Costs'!$F$27:$F$28)*0.8,0),IF(T$5='Project Assumptions'!$D$15+1,-SUM('Detailed Project Costs'!$F$27:$F$28)*0.8,0))+IF(T$5&gt;'Project Assumptions'!$D$15,IF(T$5&lt;='Project Assumptions'!$D$15+'Project Assumptions'!$D$16,-SUM('Detailed Project Costs'!$F$27:$F$28)*0.2/'Project Assumptions'!$D$16,0),0)+IF('Project Assumptions'!$D$16=0,IF(T$5='Project Assumptions'!$D$15,-SUM('Detailed Project Costs'!$F$27:$F$28)*0.2,0),0)</f>
        <v/>
      </c>
      <c r="T57" s="293">
        <f>IF('Project Assumptions'!$D$16=0,IF(U$5='Project Assumptions'!$D$15,-SUM('Detailed Project Costs'!$F$27:$F$28)*0.8,0),IF(U$5='Project Assumptions'!$D$15+1,-SUM('Detailed Project Costs'!$F$27:$F$28)*0.8,0))+IF(U$5&gt;'Project Assumptions'!$D$15,IF(U$5&lt;='Project Assumptions'!$D$15+'Project Assumptions'!$D$16,-SUM('Detailed Project Costs'!$F$27:$F$28)*0.2/'Project Assumptions'!$D$16,0),0)+IF('Project Assumptions'!$D$16=0,IF(U$5='Project Assumptions'!$D$15,-SUM('Detailed Project Costs'!$F$27:$F$28)*0.2,0),0)</f>
        <v/>
      </c>
      <c r="U57" s="293">
        <f>IF('Project Assumptions'!$D$16=0,IF(V$5='Project Assumptions'!$D$15,-SUM('Detailed Project Costs'!$F$27:$F$28)*0.8,0),IF(V$5='Project Assumptions'!$D$15+1,-SUM('Detailed Project Costs'!$F$27:$F$28)*0.8,0))+IF(V$5&gt;'Project Assumptions'!$D$15,IF(V$5&lt;='Project Assumptions'!$D$15+'Project Assumptions'!$D$16,-SUM('Detailed Project Costs'!$F$27:$F$28)*0.2/'Project Assumptions'!$D$16,0),0)+IF('Project Assumptions'!$D$16=0,IF(V$5='Project Assumptions'!$D$15,-SUM('Detailed Project Costs'!$F$27:$F$28)*0.2,0),0)</f>
        <v/>
      </c>
      <c r="V57" s="293">
        <f>IF('Project Assumptions'!$D$16=0,IF(W$5='Project Assumptions'!$D$15,-SUM('Detailed Project Costs'!$F$27:$F$28)*0.8,0),IF(W$5='Project Assumptions'!$D$15+1,-SUM('Detailed Project Costs'!$F$27:$F$28)*0.8,0))+IF(W$5&gt;'Project Assumptions'!$D$15,IF(W$5&lt;='Project Assumptions'!$D$15+'Project Assumptions'!$D$16,-SUM('Detailed Project Costs'!$F$27:$F$28)*0.2/'Project Assumptions'!$D$16,0),0)+IF('Project Assumptions'!$D$16=0,IF(W$5='Project Assumptions'!$D$15,-SUM('Detailed Project Costs'!$F$27:$F$28)*0.2,0),0)</f>
        <v/>
      </c>
      <c r="W57" s="293">
        <f>IF('Project Assumptions'!$D$16=0,IF(X$5='Project Assumptions'!$D$15,-SUM('Detailed Project Costs'!$F$27:$F$28)*0.8,0),IF(X$5='Project Assumptions'!$D$15+1,-SUM('Detailed Project Costs'!$F$27:$F$28)*0.8,0))+IF(X$5&gt;'Project Assumptions'!$D$15,IF(X$5&lt;='Project Assumptions'!$D$15+'Project Assumptions'!$D$16,-SUM('Detailed Project Costs'!$F$27:$F$28)*0.2/'Project Assumptions'!$D$16,0),0)+IF('Project Assumptions'!$D$16=0,IF(X$5='Project Assumptions'!$D$15,-SUM('Detailed Project Costs'!$F$27:$F$28)*0.2,0),0)</f>
        <v/>
      </c>
      <c r="X57" s="293">
        <f>IF('Project Assumptions'!$D$16=0,IF(Y$5='Project Assumptions'!$D$15,-SUM('Detailed Project Costs'!$F$27:$F$28)*0.8,0),IF(Y$5='Project Assumptions'!$D$15+1,-SUM('Detailed Project Costs'!$F$27:$F$28)*0.8,0))+IF(Y$5&gt;'Project Assumptions'!$D$15,IF(Y$5&lt;='Project Assumptions'!$D$15+'Project Assumptions'!$D$16,-SUM('Detailed Project Costs'!$F$27:$F$28)*0.2/'Project Assumptions'!$D$16,0),0)+IF('Project Assumptions'!$D$16=0,IF(Y$5='Project Assumptions'!$D$15,-SUM('Detailed Project Costs'!$F$27:$F$28)*0.2,0),0)</f>
        <v/>
      </c>
      <c r="Y57" s="293">
        <f>IF('Project Assumptions'!$D$16=0,IF(Z$5='Project Assumptions'!$D$15,-SUM('Detailed Project Costs'!$F$27:$F$28)*0.8,0),IF(Z$5='Project Assumptions'!$D$15+1,-SUM('Detailed Project Costs'!$F$27:$F$28)*0.8,0))+IF(Z$5&gt;'Project Assumptions'!$D$15,IF(Z$5&lt;='Project Assumptions'!$D$15+'Project Assumptions'!$D$16,-SUM('Detailed Project Costs'!$F$27:$F$28)*0.2/'Project Assumptions'!$D$16,0),0)+IF('Project Assumptions'!$D$16=0,IF(Z$5='Project Assumptions'!$D$15,-SUM('Detailed Project Costs'!$F$27:$F$28)*0.2,0),0)</f>
        <v/>
      </c>
      <c r="Z57" s="293">
        <f>IF('Project Assumptions'!$D$16=0,IF(AA$5='Project Assumptions'!$D$15,-SUM('Detailed Project Costs'!$F$27:$F$28)*0.8,0),IF(AA$5='Project Assumptions'!$D$15+1,-SUM('Detailed Project Costs'!$F$27:$F$28)*0.8,0))+IF(AA$5&gt;'Project Assumptions'!$D$15,IF(AA$5&lt;='Project Assumptions'!$D$15+'Project Assumptions'!$D$16,-SUM('Detailed Project Costs'!$F$27:$F$28)*0.2/'Project Assumptions'!$D$16,0),0)+IF('Project Assumptions'!$D$16=0,IF(AA$5='Project Assumptions'!$D$15,-SUM('Detailed Project Costs'!$F$27:$F$28)*0.2,0),0)</f>
        <v/>
      </c>
      <c r="AA57" s="293">
        <f>IF('Project Assumptions'!$D$16=0,IF(AB$5='Project Assumptions'!$D$15,-SUM('Detailed Project Costs'!$F$27:$F$28)*0.8,0),IF(AB$5='Project Assumptions'!$D$15+1,-SUM('Detailed Project Costs'!$F$27:$F$28)*0.8,0))+IF(AB$5&gt;'Project Assumptions'!$D$15,IF(AB$5&lt;='Project Assumptions'!$D$15+'Project Assumptions'!$D$16,-SUM('Detailed Project Costs'!$F$27:$F$28)*0.2/'Project Assumptions'!$D$16,0),0)+IF('Project Assumptions'!$D$16=0,IF(AB$5='Project Assumptions'!$D$15,-SUM('Detailed Project Costs'!$F$27:$F$28)*0.2,0),0)</f>
        <v/>
      </c>
      <c r="AB57" s="293">
        <f>IF('Project Assumptions'!$D$16=0,IF(AC$5='Project Assumptions'!$D$15,-SUM('Detailed Project Costs'!$F$27:$F$28)*0.8,0),IF(AC$5='Project Assumptions'!$D$15+1,-SUM('Detailed Project Costs'!$F$27:$F$28)*0.8,0))+IF(AC$5&gt;'Project Assumptions'!$D$15,IF(AC$5&lt;='Project Assumptions'!$D$15+'Project Assumptions'!$D$16,-SUM('Detailed Project Costs'!$F$27:$F$28)*0.2/'Project Assumptions'!$D$16,0),0)+IF('Project Assumptions'!$D$16=0,IF(AC$5='Project Assumptions'!$D$15,-SUM('Detailed Project Costs'!$F$27:$F$28)*0.2,0),0)</f>
        <v/>
      </c>
      <c r="AC57" s="293">
        <f>IF('Project Assumptions'!$D$16=0,IF(AD$5='Project Assumptions'!$D$15,-SUM('Detailed Project Costs'!$F$27:$F$28)*0.8,0),IF(AD$5='Project Assumptions'!$D$15+1,-SUM('Detailed Project Costs'!$F$27:$F$28)*0.8,0))+IF(AD$5&gt;'Project Assumptions'!$D$15,IF(AD$5&lt;='Project Assumptions'!$D$15+'Project Assumptions'!$D$16,-SUM('Detailed Project Costs'!$F$27:$F$28)*0.2/'Project Assumptions'!$D$16,0),0)+IF('Project Assumptions'!$D$16=0,IF(AD$5='Project Assumptions'!$D$15,-SUM('Detailed Project Costs'!$F$27:$F$28)*0.2,0),0)</f>
        <v/>
      </c>
      <c r="AD57" s="293">
        <f>IF('Project Assumptions'!$D$16=0,IF(AE$5='Project Assumptions'!$D$15,-SUM('Detailed Project Costs'!$F$27:$F$28)*0.8,0),IF(AE$5='Project Assumptions'!$D$15+1,-SUM('Detailed Project Costs'!$F$27:$F$28)*0.8,0))+IF(AE$5&gt;'Project Assumptions'!$D$15,IF(AE$5&lt;='Project Assumptions'!$D$15+'Project Assumptions'!$D$16,-SUM('Detailed Project Costs'!$F$27:$F$28)*0.2/'Project Assumptions'!$D$16,0),0)+IF('Project Assumptions'!$D$16=0,IF(AE$5='Project Assumptions'!$D$15,-SUM('Detailed Project Costs'!$F$27:$F$28)*0.2,0),0)</f>
        <v/>
      </c>
      <c r="AE57" s="293">
        <f>IF('Project Assumptions'!$D$16=0,IF(AF$5='Project Assumptions'!$D$15,-SUM('Detailed Project Costs'!$F$27:$F$28)*0.8,0),IF(AF$5='Project Assumptions'!$D$15+1,-SUM('Detailed Project Costs'!$F$27:$F$28)*0.8,0))+IF(AF$5&gt;'Project Assumptions'!$D$15,IF(AF$5&lt;='Project Assumptions'!$D$15+'Project Assumptions'!$D$16,-SUM('Detailed Project Costs'!$F$27:$F$28)*0.2/'Project Assumptions'!$D$16,0),0)+IF('Project Assumptions'!$D$16=0,IF(AF$5='Project Assumptions'!$D$15,-SUM('Detailed Project Costs'!$F$27:$F$28)*0.2,0),0)</f>
        <v/>
      </c>
      <c r="AF57" s="293">
        <f>IF('Project Assumptions'!$D$16=0,IF(AG$5='Project Assumptions'!$D$15,-SUM('Detailed Project Costs'!$F$27:$F$28)*0.8,0),IF(AG$5='Project Assumptions'!$D$15+1,-SUM('Detailed Project Costs'!$F$27:$F$28)*0.8,0))+IF(AG$5&gt;'Project Assumptions'!$D$15,IF(AG$5&lt;='Project Assumptions'!$D$15+'Project Assumptions'!$D$16,-SUM('Detailed Project Costs'!$F$27:$F$28)*0.2/'Project Assumptions'!$D$16,0),0)+IF('Project Assumptions'!$D$16=0,IF(AG$5='Project Assumptions'!$D$15,-SUM('Detailed Project Costs'!$F$27:$F$28)*0.2,0),0)</f>
        <v/>
      </c>
      <c r="AG57" s="293">
        <f>IF('Project Assumptions'!$D$16=0,IF(AH$5='Project Assumptions'!$D$15,-SUM('Detailed Project Costs'!$F$27:$F$28)*0.8,0),IF(AH$5='Project Assumptions'!$D$15+1,-SUM('Detailed Project Costs'!$F$27:$F$28)*0.8,0))+IF(AH$5&gt;'Project Assumptions'!$D$15,IF(AH$5&lt;='Project Assumptions'!$D$15+'Project Assumptions'!$D$16,-SUM('Detailed Project Costs'!$F$27:$F$28)*0.2/'Project Assumptions'!$D$16,0),0)+IF('Project Assumptions'!$D$16=0,IF(AH$5='Project Assumptions'!$D$15,-SUM('Detailed Project Costs'!$F$27:$F$28)*0.2,0),0)</f>
        <v/>
      </c>
      <c r="AH57" s="293">
        <f>IF('Project Assumptions'!$D$16=0,IF(AI$5='Project Assumptions'!$D$15,-SUM('Detailed Project Costs'!$F$27:$F$28)*0.8,0),IF(AI$5='Project Assumptions'!$D$15+1,-SUM('Detailed Project Costs'!$F$27:$F$28)*0.8,0))+IF(AI$5&gt;'Project Assumptions'!$D$15,IF(AI$5&lt;='Project Assumptions'!$D$15+'Project Assumptions'!$D$16,-SUM('Detailed Project Costs'!$F$27:$F$28)*0.2/'Project Assumptions'!$D$16,0),0)+IF('Project Assumptions'!$D$16=0,IF(AI$5='Project Assumptions'!$D$15,-SUM('Detailed Project Costs'!$F$27:$F$28)*0.2,0),0)</f>
        <v/>
      </c>
      <c r="AI57" s="293">
        <f>IF('Project Assumptions'!$D$16=0,IF(AJ$5='Project Assumptions'!$D$15,-SUM('Detailed Project Costs'!$F$27:$F$28)*0.8,0),IF(AJ$5='Project Assumptions'!$D$15+1,-SUM('Detailed Project Costs'!$F$27:$F$28)*0.8,0))+IF(AJ$5&gt;'Project Assumptions'!$D$15,IF(AJ$5&lt;='Project Assumptions'!$D$15+'Project Assumptions'!$D$16,-SUM('Detailed Project Costs'!$F$27:$F$28)*0.2/'Project Assumptions'!$D$16,0),0)+IF('Project Assumptions'!$D$16=0,IF(AJ$5='Project Assumptions'!$D$15,-SUM('Detailed Project Costs'!$F$27:$F$28)*0.2,0),0)</f>
        <v/>
      </c>
      <c r="AJ57" s="293">
        <f>IF('Project Assumptions'!$D$16=0,IF(AK$5='Project Assumptions'!$D$15,-SUM('Detailed Project Costs'!$F$27:$F$28)*0.8,0),IF(AK$5='Project Assumptions'!$D$15+1,-SUM('Detailed Project Costs'!$F$27:$F$28)*0.8,0))+IF(AK$5&gt;'Project Assumptions'!$D$15,IF(AK$5&lt;='Project Assumptions'!$D$15+'Project Assumptions'!$D$16,-SUM('Detailed Project Costs'!$F$27:$F$28)*0.2/'Project Assumptions'!$D$16,0),0)+IF('Project Assumptions'!$D$16=0,IF(AK$5='Project Assumptions'!$D$15,-SUM('Detailed Project Costs'!$F$27:$F$28)*0.2,0),0)</f>
        <v/>
      </c>
      <c r="AK57" s="293">
        <f>IF('Project Assumptions'!$D$16=0,IF(AL$5='Project Assumptions'!$D$15,-SUM('Detailed Project Costs'!$F$27:$F$28)*0.8,0),IF(AL$5='Project Assumptions'!$D$15+1,-SUM('Detailed Project Costs'!$F$27:$F$28)*0.8,0))+IF(AL$5&gt;'Project Assumptions'!$D$15,IF(AL$5&lt;='Project Assumptions'!$D$15+'Project Assumptions'!$D$16,-SUM('Detailed Project Costs'!$F$27:$F$28)*0.2/'Project Assumptions'!$D$16,0),0)+IF('Project Assumptions'!$D$16=0,IF(AL$5='Project Assumptions'!$D$15,-SUM('Detailed Project Costs'!$F$27:$F$28)*0.2,0),0)</f>
        <v/>
      </c>
      <c r="AL57" s="293">
        <f>IF('Project Assumptions'!$D$16=0,IF(AM$5='Project Assumptions'!$D$15,-SUM('Detailed Project Costs'!$F$27:$F$28)*0.8,0),IF(AM$5='Project Assumptions'!$D$15+1,-SUM('Detailed Project Costs'!$F$27:$F$28)*0.8,0))+IF(AM$5&gt;'Project Assumptions'!$D$15,IF(AM$5&lt;='Project Assumptions'!$D$15+'Project Assumptions'!$D$16,-SUM('Detailed Project Costs'!$F$27:$F$28)*0.2/'Project Assumptions'!$D$16,0),0)+IF('Project Assumptions'!$D$16=0,IF(AM$5='Project Assumptions'!$D$15,-SUM('Detailed Project Costs'!$F$27:$F$28)*0.2,0),0)</f>
        <v/>
      </c>
      <c r="AM57" s="293">
        <f>IF('Project Assumptions'!$D$16=0,IF(AN$5='Project Assumptions'!$D$15,-SUM('Detailed Project Costs'!$F$27:$F$28)*0.8,0),IF(AN$5='Project Assumptions'!$D$15+1,-SUM('Detailed Project Costs'!$F$27:$F$28)*0.8,0))+IF(AN$5&gt;'Project Assumptions'!$D$15,IF(AN$5&lt;='Project Assumptions'!$D$15+'Project Assumptions'!$D$16,-SUM('Detailed Project Costs'!$F$27:$F$28)*0.2/'Project Assumptions'!$D$16,0),0)+IF('Project Assumptions'!$D$16=0,IF(AN$5='Project Assumptions'!$D$15,-SUM('Detailed Project Costs'!$F$27:$F$28)*0.2,0),0)</f>
        <v/>
      </c>
      <c r="AN57" s="293">
        <f>IF('Project Assumptions'!$D$16=0,IF(AO$5='Project Assumptions'!$D$15,-SUM('Detailed Project Costs'!$F$27:$F$28)*0.8,0),IF(AO$5='Project Assumptions'!$D$15+1,-SUM('Detailed Project Costs'!$F$27:$F$28)*0.8,0))+IF(AO$5&gt;'Project Assumptions'!$D$15,IF(AO$5&lt;='Project Assumptions'!$D$15+'Project Assumptions'!$D$16,-SUM('Detailed Project Costs'!$F$27:$F$28)*0.2/'Project Assumptions'!$D$16,0),0)+IF('Project Assumptions'!$D$16=0,IF(AO$5='Project Assumptions'!$D$15,-SUM('Detailed Project Costs'!$F$27:$F$28)*0.2,0),0)</f>
        <v/>
      </c>
      <c r="AO57" s="293">
        <f>IF('Project Assumptions'!$D$16=0,IF(AP$5='Project Assumptions'!$D$15,-SUM('Detailed Project Costs'!$F$27:$F$28)*0.8,0),IF(AP$5='Project Assumptions'!$D$15+1,-SUM('Detailed Project Costs'!$F$27:$F$28)*0.8,0))+IF(AP$5&gt;'Project Assumptions'!$D$15,IF(AP$5&lt;='Project Assumptions'!$D$15+'Project Assumptions'!$D$16,-SUM('Detailed Project Costs'!$F$27:$F$28)*0.2/'Project Assumptions'!$D$16,0),0)+IF('Project Assumptions'!$D$16=0,IF(AP$5='Project Assumptions'!$D$15,-SUM('Detailed Project Costs'!$F$27:$F$28)*0.2,0),0)</f>
        <v/>
      </c>
      <c r="AP57" s="293">
        <f>IF('Project Assumptions'!$D$16=0,IF(AQ$5='Project Assumptions'!$D$15,-SUM('Detailed Project Costs'!$F$27:$F$28)*0.8,0),IF(AQ$5='Project Assumptions'!$D$15+1,-SUM('Detailed Project Costs'!$F$27:$F$28)*0.8,0))+IF(AQ$5&gt;'Project Assumptions'!$D$15,IF(AQ$5&lt;='Project Assumptions'!$D$15+'Project Assumptions'!$D$16,-SUM('Detailed Project Costs'!$F$27:$F$28)*0.2/'Project Assumptions'!$D$16,0),0)+IF('Project Assumptions'!$D$16=0,IF(AQ$5='Project Assumptions'!$D$15,-SUM('Detailed Project Costs'!$F$27:$F$28)*0.2,0),0)</f>
        <v/>
      </c>
      <c r="AQ57" s="293">
        <f>IF('Project Assumptions'!$D$16=0,IF(AR$5='Project Assumptions'!$D$15,-SUM('Detailed Project Costs'!$F$27:$F$28)*0.8,0),IF(AR$5='Project Assumptions'!$D$15+1,-SUM('Detailed Project Costs'!$F$27:$F$28)*0.8,0))+IF(AR$5&gt;'Project Assumptions'!$D$15,IF(AR$5&lt;='Project Assumptions'!$D$15+'Project Assumptions'!$D$16,-SUM('Detailed Project Costs'!$F$27:$F$28)*0.2/'Project Assumptions'!$D$16,0),0)+IF('Project Assumptions'!$D$16=0,IF(AR$5='Project Assumptions'!$D$15,-SUM('Detailed Project Costs'!$F$27:$F$28)*0.2,0),0)</f>
        <v/>
      </c>
      <c r="AR57" s="293">
        <f>IF('Project Assumptions'!$D$16=0,IF(AS$5='Project Assumptions'!$D$15,-SUM('Detailed Project Costs'!$F$27:$F$28)*0.8,0),IF(AS$5='Project Assumptions'!$D$15+1,-SUM('Detailed Project Costs'!$F$27:$F$28)*0.8,0))+IF(AS$5&gt;'Project Assumptions'!$D$15,IF(AS$5&lt;='Project Assumptions'!$D$15+'Project Assumptions'!$D$16,-SUM('Detailed Project Costs'!$F$27:$F$28)*0.2/'Project Assumptions'!$D$16,0),0)+IF('Project Assumptions'!$D$16=0,IF(AS$5='Project Assumptions'!$D$15,-SUM('Detailed Project Costs'!$F$27:$F$28)*0.2,0),0)</f>
        <v/>
      </c>
      <c r="AS57" s="293">
        <f>IF('Project Assumptions'!$D$16=0,IF(AT$5='Project Assumptions'!$D$15,-SUM('Detailed Project Costs'!$F$27:$F$28)*0.8,0),IF(AT$5='Project Assumptions'!$D$15+1,-SUM('Detailed Project Costs'!$F$27:$F$28)*0.8,0))+IF(AT$5&gt;'Project Assumptions'!$D$15,IF(AT$5&lt;='Project Assumptions'!$D$15+'Project Assumptions'!$D$16,-SUM('Detailed Project Costs'!$F$27:$F$28)*0.2/'Project Assumptions'!$D$16,0),0)+IF('Project Assumptions'!$D$16=0,IF(AT$5='Project Assumptions'!$D$15,-SUM('Detailed Project Costs'!$F$27:$F$28)*0.2,0),0)</f>
        <v/>
      </c>
      <c r="AT57" s="293">
        <f>IF('Project Assumptions'!$D$16=0,IF(AU$5='Project Assumptions'!$D$15,-SUM('Detailed Project Costs'!$F$27:$F$28)*0.8,0),IF(AU$5='Project Assumptions'!$D$15+1,-SUM('Detailed Project Costs'!$F$27:$F$28)*0.8,0))+IF(AU$5&gt;'Project Assumptions'!$D$15,IF(AU$5&lt;='Project Assumptions'!$D$15+'Project Assumptions'!$D$16,-SUM('Detailed Project Costs'!$F$27:$F$28)*0.2/'Project Assumptions'!$D$16,0),0)+IF('Project Assumptions'!$D$16=0,IF(AU$5='Project Assumptions'!$D$15,-SUM('Detailed Project Costs'!$F$27:$F$28)*0.2,0),0)</f>
        <v/>
      </c>
      <c r="AU57" s="293">
        <f>IF('Project Assumptions'!$D$16=0,IF(AV$5='Project Assumptions'!$D$15,-SUM('Detailed Project Costs'!$F$27:$F$28)*0.8,0),IF(AV$5='Project Assumptions'!$D$15+1,-SUM('Detailed Project Costs'!$F$27:$F$28)*0.8,0))+IF(AV$5&gt;'Project Assumptions'!$D$15,IF(AV$5&lt;='Project Assumptions'!$D$15+'Project Assumptions'!$D$16,-SUM('Detailed Project Costs'!$F$27:$F$28)*0.2/'Project Assumptions'!$D$16,0),0)+IF('Project Assumptions'!$D$16=0,IF(AV$5='Project Assumptions'!$D$15,-SUM('Detailed Project Costs'!$F$27:$F$28)*0.2,0),0)</f>
        <v/>
      </c>
      <c r="AV57" s="293">
        <f>IF('Project Assumptions'!$D$16=0,IF(AW$5='Project Assumptions'!$D$15,-SUM('Detailed Project Costs'!$F$27:$F$28)*0.8,0),IF(AW$5='Project Assumptions'!$D$15+1,-SUM('Detailed Project Costs'!$F$27:$F$28)*0.8,0))+IF(AW$5&gt;'Project Assumptions'!$D$15,IF(AW$5&lt;='Project Assumptions'!$D$15+'Project Assumptions'!$D$16,-SUM('Detailed Project Costs'!$F$27:$F$28)*0.2/'Project Assumptions'!$D$16,0),0)+IF('Project Assumptions'!$D$16=0,IF(AW$5='Project Assumptions'!$D$15,-SUM('Detailed Project Costs'!$F$27:$F$28)*0.2,0),0)</f>
        <v/>
      </c>
      <c r="AW57" s="293">
        <f>IF('Project Assumptions'!$D$16=0,IF(AX$5='Project Assumptions'!$D$15,-SUM('Detailed Project Costs'!$F$27:$F$28)*0.8,0),IF(AX$5='Project Assumptions'!$D$15+1,-SUM('Detailed Project Costs'!$F$27:$F$28)*0.8,0))+IF(AX$5&gt;'Project Assumptions'!$D$15,IF(AX$5&lt;='Project Assumptions'!$D$15+'Project Assumptions'!$D$16,-SUM('Detailed Project Costs'!$F$27:$F$28)*0.2/'Project Assumptions'!$D$16,0),0)+IF('Project Assumptions'!$D$16=0,IF(AX$5='Project Assumptions'!$D$15,-SUM('Detailed Project Costs'!$F$27:$F$28)*0.2,0),0)</f>
        <v/>
      </c>
      <c r="AX57" s="293">
        <f>IF('Project Assumptions'!$D$16=0,IF(AY$5='Project Assumptions'!$D$15,-SUM('Detailed Project Costs'!$F$27:$F$28)*0.8,0),IF(AY$5='Project Assumptions'!$D$15+1,-SUM('Detailed Project Costs'!$F$27:$F$28)*0.8,0))+IF(AY$5&gt;'Project Assumptions'!$D$15,IF(AY$5&lt;='Project Assumptions'!$D$15+'Project Assumptions'!$D$16,-SUM('Detailed Project Costs'!$F$27:$F$28)*0.2/'Project Assumptions'!$D$16,0),0)+IF('Project Assumptions'!$D$16=0,IF(AY$5='Project Assumptions'!$D$15,-SUM('Detailed Project Costs'!$F$27:$F$28)*0.2,0),0)</f>
        <v/>
      </c>
      <c r="AY57" s="293">
        <f>IF('Project Assumptions'!$D$16=0,IF(AZ$5='Project Assumptions'!$D$15,-SUM('Detailed Project Costs'!$F$27:$F$28)*0.8,0),IF(AZ$5='Project Assumptions'!$D$15+1,-SUM('Detailed Project Costs'!$F$27:$F$28)*0.8,0))+IF(AZ$5&gt;'Project Assumptions'!$D$15,IF(AZ$5&lt;='Project Assumptions'!$D$15+'Project Assumptions'!$D$16,-SUM('Detailed Project Costs'!$F$27:$F$28)*0.2/'Project Assumptions'!$D$16,0),0)+IF('Project Assumptions'!$D$16=0,IF(AZ$5='Project Assumptions'!$D$15,-SUM('Detailed Project Costs'!$F$27:$F$28)*0.2,0),0)</f>
        <v/>
      </c>
      <c r="AZ57" s="293">
        <f>IF('Project Assumptions'!$D$16=0,IF(BA$5='Project Assumptions'!$D$15,-SUM('Detailed Project Costs'!$F$27:$F$28)*0.8,0),IF(BA$5='Project Assumptions'!$D$15+1,-SUM('Detailed Project Costs'!$F$27:$F$28)*0.8,0))+IF(BA$5&gt;'Project Assumptions'!$D$15,IF(BA$5&lt;='Project Assumptions'!$D$15+'Project Assumptions'!$D$16,-SUM('Detailed Project Costs'!$F$27:$F$28)*0.2/'Project Assumptions'!$D$16,0),0)+IF('Project Assumptions'!$D$16=0,IF(BA$5='Project Assumptions'!$D$15,-SUM('Detailed Project Costs'!$F$27:$F$28)*0.2,0),0)</f>
        <v/>
      </c>
      <c r="BA57" s="293">
        <f>IF('Project Assumptions'!$D$16=0,IF(BB$5='Project Assumptions'!$D$15,-SUM('Detailed Project Costs'!$F$27:$F$28)*0.8,0),IF(BB$5='Project Assumptions'!$D$15+1,-SUM('Detailed Project Costs'!$F$27:$F$28)*0.8,0))+IF(BB$5&gt;'Project Assumptions'!$D$15,IF(BB$5&lt;='Project Assumptions'!$D$15+'Project Assumptions'!$D$16,-SUM('Detailed Project Costs'!$F$27:$F$28)*0.2/'Project Assumptions'!$D$16,0),0)+IF('Project Assumptions'!$D$16=0,IF(BB$5='Project Assumptions'!$D$15,-SUM('Detailed Project Costs'!$F$27:$F$28)*0.2,0),0)</f>
        <v/>
      </c>
      <c r="BB57" s="293">
        <f>IF('Project Assumptions'!$D$16=0,IF(BC$5='Project Assumptions'!$D$15,-SUM('Detailed Project Costs'!$F$27:$F$28)*0.8,0),IF(BC$5='Project Assumptions'!$D$15+1,-SUM('Detailed Project Costs'!$F$27:$F$28)*0.8,0))+IF(BC$5&gt;'Project Assumptions'!$D$15,IF(BC$5&lt;='Project Assumptions'!$D$15+'Project Assumptions'!$D$16,-SUM('Detailed Project Costs'!$F$27:$F$28)*0.2/'Project Assumptions'!$D$16,0),0)+IF('Project Assumptions'!$D$16=0,IF(BC$5='Project Assumptions'!$D$15,-SUM('Detailed Project Costs'!$F$27:$F$28)*0.2,0),0)</f>
        <v/>
      </c>
      <c r="BC57" s="293">
        <f>IF('Project Assumptions'!$D$16=0,IF(BD$5='Project Assumptions'!$D$15,-SUM('Detailed Project Costs'!$F$27:$F$28)*0.8,0),IF(BD$5='Project Assumptions'!$D$15+1,-SUM('Detailed Project Costs'!$F$27:$F$28)*0.8,0))+IF(BD$5&gt;'Project Assumptions'!$D$15,IF(BD$5&lt;='Project Assumptions'!$D$15+'Project Assumptions'!$D$16,-SUM('Detailed Project Costs'!$F$27:$F$28)*0.2/'Project Assumptions'!$D$16,0),0)+IF('Project Assumptions'!$D$16=0,IF(BD$5='Project Assumptions'!$D$15,-SUM('Detailed Project Costs'!$F$27:$F$28)*0.2,0),0)</f>
        <v/>
      </c>
      <c r="BD57" s="293">
        <f>IF('Project Assumptions'!$D$16=0,IF(BE$5='Project Assumptions'!$D$15,-SUM('Detailed Project Costs'!$F$27:$F$28)*0.8,0),IF(BE$5='Project Assumptions'!$D$15+1,-SUM('Detailed Project Costs'!$F$27:$F$28)*0.8,0))+IF(BE$5&gt;'Project Assumptions'!$D$15,IF(BE$5&lt;='Project Assumptions'!$D$15+'Project Assumptions'!$D$16,-SUM('Detailed Project Costs'!$F$27:$F$28)*0.2/'Project Assumptions'!$D$16,0),0)+IF('Project Assumptions'!$D$16=0,IF(BE$5='Project Assumptions'!$D$15,-SUM('Detailed Project Costs'!$F$27:$F$28)*0.2,0),0)</f>
        <v/>
      </c>
      <c r="BE57" s="293">
        <f>IF('Project Assumptions'!$D$16=0,IF(BF$5='Project Assumptions'!$D$15,-SUM('Detailed Project Costs'!$F$27:$F$28)*0.8,0),IF(BF$5='Project Assumptions'!$D$15+1,-SUM('Detailed Project Costs'!$F$27:$F$28)*0.8,0))+IF(BF$5&gt;'Project Assumptions'!$D$15,IF(BF$5&lt;='Project Assumptions'!$D$15+'Project Assumptions'!$D$16,-SUM('Detailed Project Costs'!$F$27:$F$28)*0.2/'Project Assumptions'!$D$16,0),0)+IF('Project Assumptions'!$D$16=0,IF(BF$5='Project Assumptions'!$D$15,-SUM('Detailed Project Costs'!$F$27:$F$28)*0.2,0),0)</f>
        <v/>
      </c>
      <c r="BF57" s="293">
        <f>IF('Project Assumptions'!$D$16=0,IF(BG$5='Project Assumptions'!$D$15,-SUM('Detailed Project Costs'!$F$27:$F$28)*0.8,0),IF(BG$5='Project Assumptions'!$D$15+1,-SUM('Detailed Project Costs'!$F$27:$F$28)*0.8,0))+IF(BG$5&gt;'Project Assumptions'!$D$15,IF(BG$5&lt;='Project Assumptions'!$D$15+'Project Assumptions'!$D$16,-SUM('Detailed Project Costs'!$F$27:$F$28)*0.2/'Project Assumptions'!$D$16,0),0)+IF('Project Assumptions'!$D$16=0,IF(BG$5='Project Assumptions'!$D$15,-SUM('Detailed Project Costs'!$F$27:$F$28)*0.2,0),0)</f>
        <v/>
      </c>
      <c r="BG57" s="293">
        <f>IF('Project Assumptions'!$D$16=0,IF(BH$5='Project Assumptions'!$D$15,-SUM('Detailed Project Costs'!$F$27:$F$28)*0.8,0),IF(BH$5='Project Assumptions'!$D$15+1,-SUM('Detailed Project Costs'!$F$27:$F$28)*0.8,0))+IF(BH$5&gt;'Project Assumptions'!$D$15,IF(BH$5&lt;='Project Assumptions'!$D$15+'Project Assumptions'!$D$16,-SUM('Detailed Project Costs'!$F$27:$F$28)*0.2/'Project Assumptions'!$D$16,0),0)+IF('Project Assumptions'!$D$16=0,IF(BH$5='Project Assumptions'!$D$15,-SUM('Detailed Project Costs'!$F$27:$F$28)*0.2,0),0)</f>
        <v/>
      </c>
      <c r="BH57" s="293">
        <f>IF('Project Assumptions'!$D$16=0,IF(BI$5='Project Assumptions'!$D$15,-SUM('Detailed Project Costs'!$F$27:$F$28)*0.8,0),IF(BI$5='Project Assumptions'!$D$15+1,-SUM('Detailed Project Costs'!$F$27:$F$28)*0.8,0))+IF(BI$5&gt;'Project Assumptions'!$D$15,IF(BI$5&lt;='Project Assumptions'!$D$15+'Project Assumptions'!$D$16,-SUM('Detailed Project Costs'!$F$27:$F$28)*0.2/'Project Assumptions'!$D$16,0),0)+IF('Project Assumptions'!$D$16=0,IF(BI$5='Project Assumptions'!$D$15,-SUM('Detailed Project Costs'!$F$27:$F$28)*0.2,0),0)</f>
        <v/>
      </c>
      <c r="BI57" s="293">
        <f>IF('Project Assumptions'!$D$16=0,IF(BJ$5='Project Assumptions'!$D$15,-SUM('Detailed Project Costs'!$F$27:$F$28)*0.8,0),IF(BJ$5='Project Assumptions'!$D$15+1,-SUM('Detailed Project Costs'!$F$27:$F$28)*0.8,0))+IF(BJ$5&gt;'Project Assumptions'!$D$15,IF(BJ$5&lt;='Project Assumptions'!$D$15+'Project Assumptions'!$D$16,-SUM('Detailed Project Costs'!$F$27:$F$28)*0.2/'Project Assumptions'!$D$16,0),0)+IF('Project Assumptions'!$D$16=0,IF(BJ$5='Project Assumptions'!$D$15,-SUM('Detailed Project Costs'!$F$27:$F$28)*0.2,0),0)</f>
        <v/>
      </c>
      <c r="BJ57" s="293">
        <f>IF('Project Assumptions'!$D$16=0,IF(BK$5='Project Assumptions'!$D$15,-SUM('Detailed Project Costs'!$F$27:$F$28)*0.8,0),IF(BK$5='Project Assumptions'!$D$15+1,-SUM('Detailed Project Costs'!$F$27:$F$28)*0.8,0))+IF(BK$5&gt;'Project Assumptions'!$D$15,IF(BK$5&lt;='Project Assumptions'!$D$15+'Project Assumptions'!$D$16,-SUM('Detailed Project Costs'!$F$27:$F$28)*0.2/'Project Assumptions'!$D$16,0),0)+IF('Project Assumptions'!$D$16=0,IF(BK$5='Project Assumptions'!$D$15,-SUM('Detailed Project Costs'!$F$27:$F$28)*0.2,0),0)</f>
        <v/>
      </c>
      <c r="BK57" s="293">
        <f>IF('Project Assumptions'!$D$16=0,IF(BL$5='Project Assumptions'!$D$15,-SUM('Detailed Project Costs'!$F$27:$F$28)*0.8,0),IF(BL$5='Project Assumptions'!$D$15+1,-SUM('Detailed Project Costs'!$F$27:$F$28)*0.8,0))+IF(BL$5&gt;'Project Assumptions'!$D$15,IF(BL$5&lt;='Project Assumptions'!$D$15+'Project Assumptions'!$D$16,-SUM('Detailed Project Costs'!$F$27:$F$28)*0.2/'Project Assumptions'!$D$16,0),0)+IF('Project Assumptions'!$D$16=0,IF(BL$5='Project Assumptions'!$D$15,-SUM('Detailed Project Costs'!$F$27:$F$28)*0.2,0),0)</f>
        <v/>
      </c>
      <c r="BL57" s="293">
        <f>IF('Project Assumptions'!$D$16=0,IF(BM$5='Project Assumptions'!$D$15,-SUM('Detailed Project Costs'!$F$27:$F$28)*0.8,0),IF(BM$5='Project Assumptions'!$D$15+1,-SUM('Detailed Project Costs'!$F$27:$F$28)*0.8,0))+IF(BM$5&gt;'Project Assumptions'!$D$15,IF(BM$5&lt;='Project Assumptions'!$D$15+'Project Assumptions'!$D$16,-SUM('Detailed Project Costs'!$F$27:$F$28)*0.2/'Project Assumptions'!$D$16,0),0)+IF('Project Assumptions'!$D$16=0,IF(BM$5='Project Assumptions'!$D$15,-SUM('Detailed Project Costs'!$F$27:$F$28)*0.2,0),0)</f>
        <v/>
      </c>
      <c r="BM57" s="293">
        <f>IF('Project Assumptions'!$D$16=0,IF(BN$5='Project Assumptions'!$D$15,-SUM('Detailed Project Costs'!$F$27:$F$28)*0.8,0),IF(BN$5='Project Assumptions'!$D$15+1,-SUM('Detailed Project Costs'!$F$27:$F$28)*0.8,0))+IF(BN$5&gt;'Project Assumptions'!$D$15,IF(BN$5&lt;='Project Assumptions'!$D$15+'Project Assumptions'!$D$16,-SUM('Detailed Project Costs'!$F$27:$F$28)*0.2/'Project Assumptions'!$D$16,0),0)+IF('Project Assumptions'!$D$16=0,IF(BN$5='Project Assumptions'!$D$15,-SUM('Detailed Project Costs'!$F$27:$F$28)*0.2,0),0)</f>
        <v/>
      </c>
      <c r="BN57" s="293">
        <f>IF('Project Assumptions'!$D$16=0,IF(BO$5='Project Assumptions'!$D$15,-SUM('Detailed Project Costs'!$F$27:$F$28)*0.8,0),IF(BO$5='Project Assumptions'!$D$15+1,-SUM('Detailed Project Costs'!$F$27:$F$28)*0.8,0))+IF(BO$5&gt;'Project Assumptions'!$D$15,IF(BO$5&lt;='Project Assumptions'!$D$15+'Project Assumptions'!$D$16,-SUM('Detailed Project Costs'!$F$27:$F$28)*0.2/'Project Assumptions'!$D$16,0),0)+IF('Project Assumptions'!$D$16=0,IF(BO$5='Project Assumptions'!$D$15,-SUM('Detailed Project Costs'!$F$27:$F$28)*0.2,0),0)</f>
        <v/>
      </c>
      <c r="BO57" s="293">
        <f>IF('Project Assumptions'!$D$16=0,IF(BP$5='Project Assumptions'!$D$15,-SUM('Detailed Project Costs'!$F$27:$F$28)*0.8,0),IF(BP$5='Project Assumptions'!$D$15+1,-SUM('Detailed Project Costs'!$F$27:$F$28)*0.8,0))+IF(BP$5&gt;'Project Assumptions'!$D$15,IF(BP$5&lt;='Project Assumptions'!$D$15+'Project Assumptions'!$D$16,-SUM('Detailed Project Costs'!$F$27:$F$28)*0.2/'Project Assumptions'!$D$16,0),0)+IF('Project Assumptions'!$D$16=0,IF(BP$5='Project Assumptions'!$D$15,-SUM('Detailed Project Costs'!$F$27:$F$28)*0.2,0),0)</f>
        <v/>
      </c>
      <c r="BP57" s="293">
        <f>IF('Project Assumptions'!$D$16=0,IF(BQ$5='Project Assumptions'!$D$15,-SUM('Detailed Project Costs'!$F$27:$F$28)*0.8,0),IF(BQ$5='Project Assumptions'!$D$15+1,-SUM('Detailed Project Costs'!$F$27:$F$28)*0.8,0))+IF(BQ$5&gt;'Project Assumptions'!$D$15,IF(BQ$5&lt;='Project Assumptions'!$D$15+'Project Assumptions'!$D$16,-SUM('Detailed Project Costs'!$F$27:$F$28)*0.2/'Project Assumptions'!$D$16,0),0)+IF('Project Assumptions'!$D$16=0,IF(BQ$5='Project Assumptions'!$D$15,-SUM('Detailed Project Costs'!$F$27:$F$28)*0.2,0),0)</f>
        <v/>
      </c>
      <c r="BQ57" s="293">
        <f>IF('Project Assumptions'!$D$16=0,IF(BR$5='Project Assumptions'!$D$15,-SUM('Detailed Project Costs'!$F$27:$F$28)*0.8,0),IF(BR$5='Project Assumptions'!$D$15+1,-SUM('Detailed Project Costs'!$F$27:$F$28)*0.8,0))+IF(BR$5&gt;'Project Assumptions'!$D$15,IF(BR$5&lt;='Project Assumptions'!$D$15+'Project Assumptions'!$D$16,-SUM('Detailed Project Costs'!$F$27:$F$28)*0.2/'Project Assumptions'!$D$16,0),0)+IF('Project Assumptions'!$D$16=0,IF(BR$5='Project Assumptions'!$D$15,-SUM('Detailed Project Costs'!$F$27:$F$28)*0.2,0),0)</f>
        <v/>
      </c>
      <c r="BR57" s="293">
        <f>IF('Project Assumptions'!$D$16=0,IF(BS$5='Project Assumptions'!$D$15,-SUM('Detailed Project Costs'!$F$27:$F$28)*0.8,0),IF(BS$5='Project Assumptions'!$D$15+1,-SUM('Detailed Project Costs'!$F$27:$F$28)*0.8,0))+IF(BS$5&gt;'Project Assumptions'!$D$15,IF(BS$5&lt;='Project Assumptions'!$D$15+'Project Assumptions'!$D$16,-SUM('Detailed Project Costs'!$F$27:$F$28)*0.2/'Project Assumptions'!$D$16,0),0)+IF('Project Assumptions'!$D$16=0,IF(BS$5='Project Assumptions'!$D$15,-SUM('Detailed Project Costs'!$F$27:$F$28)*0.2,0),0)</f>
        <v/>
      </c>
      <c r="BS57" s="293">
        <f>IF('Project Assumptions'!$D$16=0,IF(BT$5='Project Assumptions'!$D$15,-SUM('Detailed Project Costs'!$F$27:$F$28)*0.8,0),IF(BT$5='Project Assumptions'!$D$15+1,-SUM('Detailed Project Costs'!$F$27:$F$28)*0.8,0))+IF(BT$5&gt;'Project Assumptions'!$D$15,IF(BT$5&lt;='Project Assumptions'!$D$15+'Project Assumptions'!$D$16,-SUM('Detailed Project Costs'!$F$27:$F$28)*0.2/'Project Assumptions'!$D$16,0),0)+IF('Project Assumptions'!$D$16=0,IF(BT$5='Project Assumptions'!$D$15,-SUM('Detailed Project Costs'!$F$27:$F$28)*0.2,0),0)</f>
        <v/>
      </c>
      <c r="BT57" s="293">
        <f>IF('Project Assumptions'!$D$16=0,IF(BU$5='Project Assumptions'!$D$15,-SUM('Detailed Project Costs'!$F$27:$F$28)*0.8,0),IF(BU$5='Project Assumptions'!$D$15+1,-SUM('Detailed Project Costs'!$F$27:$F$28)*0.8,0))+IF(BU$5&gt;'Project Assumptions'!$D$15,IF(BU$5&lt;='Project Assumptions'!$D$15+'Project Assumptions'!$D$16,-SUM('Detailed Project Costs'!$F$27:$F$28)*0.2/'Project Assumptions'!$D$16,0),0)+IF('Project Assumptions'!$D$16=0,IF(BU$5='Project Assumptions'!$D$15,-SUM('Detailed Project Costs'!$F$27:$F$28)*0.2,0),0)</f>
        <v/>
      </c>
      <c r="BU57" s="293">
        <f>IF('Project Assumptions'!$D$16=0,IF(BV$5='Project Assumptions'!$D$15,-SUM('Detailed Project Costs'!$F$27:$F$28)*0.8,0),IF(BV$5='Project Assumptions'!$D$15+1,-SUM('Detailed Project Costs'!$F$27:$F$28)*0.8,0))+IF(BV$5&gt;'Project Assumptions'!$D$15,IF(BV$5&lt;='Project Assumptions'!$D$15+'Project Assumptions'!$D$16,-SUM('Detailed Project Costs'!$F$27:$F$28)*0.2/'Project Assumptions'!$D$16,0),0)+IF('Project Assumptions'!$D$16=0,IF(BV$5='Project Assumptions'!$D$15,-SUM('Detailed Project Costs'!$F$27:$F$28)*0.2,0),0)</f>
        <v/>
      </c>
      <c r="BV57" s="293">
        <f>IF('Project Assumptions'!$D$16=0,IF(BW$5='Project Assumptions'!$D$15,-SUM('Detailed Project Costs'!$F$27:$F$28)*0.8,0),IF(BW$5='Project Assumptions'!$D$15+1,-SUM('Detailed Project Costs'!$F$27:$F$28)*0.8,0))+IF(BW$5&gt;'Project Assumptions'!$D$15,IF(BW$5&lt;='Project Assumptions'!$D$15+'Project Assumptions'!$D$16,-SUM('Detailed Project Costs'!$F$27:$F$28)*0.2/'Project Assumptions'!$D$16,0),0)+IF('Project Assumptions'!$D$16=0,IF(BW$5='Project Assumptions'!$D$15,-SUM('Detailed Project Costs'!$F$27:$F$28)*0.2,0),0)</f>
        <v/>
      </c>
      <c r="BW57" s="293">
        <f>IF('Project Assumptions'!$D$16=0,IF(BX$5='Project Assumptions'!$D$15,-SUM('Detailed Project Costs'!$F$27:$F$28)*0.8,0),IF(BX$5='Project Assumptions'!$D$15+1,-SUM('Detailed Project Costs'!$F$27:$F$28)*0.8,0))+IF(BX$5&gt;'Project Assumptions'!$D$15,IF(BX$5&lt;='Project Assumptions'!$D$15+'Project Assumptions'!$D$16,-SUM('Detailed Project Costs'!$F$27:$F$28)*0.2/'Project Assumptions'!$D$16,0),0)+IF('Project Assumptions'!$D$16=0,IF(BX$5='Project Assumptions'!$D$15,-SUM('Detailed Project Costs'!$F$27:$F$28)*0.2,0),0)</f>
        <v/>
      </c>
      <c r="BX57" s="293">
        <f>IF('Project Assumptions'!$D$16=0,IF(BY$5='Project Assumptions'!$D$15,-SUM('Detailed Project Costs'!$F$27:$F$28)*0.8,0),IF(BY$5='Project Assumptions'!$D$15+1,-SUM('Detailed Project Costs'!$F$27:$F$28)*0.8,0))+IF(BY$5&gt;'Project Assumptions'!$D$15,IF(BY$5&lt;='Project Assumptions'!$D$15+'Project Assumptions'!$D$16,-SUM('Detailed Project Costs'!$F$27:$F$28)*0.2/'Project Assumptions'!$D$16,0),0)+IF('Project Assumptions'!$D$16=0,IF(BY$5='Project Assumptions'!$D$15,-SUM('Detailed Project Costs'!$F$27:$F$28)*0.2,0),0)</f>
        <v/>
      </c>
      <c r="BY57" s="293">
        <f>IF('Project Assumptions'!$D$16=0,IF(BZ$5='Project Assumptions'!$D$15,-SUM('Detailed Project Costs'!$F$27:$F$28)*0.8,0),IF(BZ$5='Project Assumptions'!$D$15+1,-SUM('Detailed Project Costs'!$F$27:$F$28)*0.8,0))+IF(BZ$5&gt;'Project Assumptions'!$D$15,IF(BZ$5&lt;='Project Assumptions'!$D$15+'Project Assumptions'!$D$16,-SUM('Detailed Project Costs'!$F$27:$F$28)*0.2/'Project Assumptions'!$D$16,0),0)+IF('Project Assumptions'!$D$16=0,IF(BZ$5='Project Assumptions'!$D$15,-SUM('Detailed Project Costs'!$F$27:$F$28)*0.2,0),0)</f>
        <v/>
      </c>
      <c r="BZ57" s="293">
        <f>IF('Project Assumptions'!$D$16=0,IF(CA$5='Project Assumptions'!$D$15,-SUM('Detailed Project Costs'!$F$27:$F$28)*0.8,0),IF(CA$5='Project Assumptions'!$D$15+1,-SUM('Detailed Project Costs'!$F$27:$F$28)*0.8,0))+IF(CA$5&gt;'Project Assumptions'!$D$15,IF(CA$5&lt;='Project Assumptions'!$D$15+'Project Assumptions'!$D$16,-SUM('Detailed Project Costs'!$F$27:$F$28)*0.2/'Project Assumptions'!$D$16,0),0)+IF('Project Assumptions'!$D$16=0,IF(CA$5='Project Assumptions'!$D$15,-SUM('Detailed Project Costs'!$F$27:$F$28)*0.2,0),0)</f>
        <v/>
      </c>
      <c r="CA57" s="293">
        <f>IF('Project Assumptions'!$D$16=0,IF(CB$5='Project Assumptions'!$D$15,-SUM('Detailed Project Costs'!$F$27:$F$28)*0.8,0),IF(CB$5='Project Assumptions'!$D$15+1,-SUM('Detailed Project Costs'!$F$27:$F$28)*0.8,0))+IF(CB$5&gt;'Project Assumptions'!$D$15,IF(CB$5&lt;='Project Assumptions'!$D$15+'Project Assumptions'!$D$16,-SUM('Detailed Project Costs'!$F$27:$F$28)*0.2/'Project Assumptions'!$D$16,0),0)+IF('Project Assumptions'!$D$16=0,IF(CB$5='Project Assumptions'!$D$15,-SUM('Detailed Project Costs'!$F$27:$F$28)*0.2,0),0)</f>
        <v/>
      </c>
      <c r="CB57" s="293">
        <f>IF('Project Assumptions'!$D$16=0,IF(CC$5='Project Assumptions'!$D$15,-SUM('Detailed Project Costs'!$F$27:$F$28)*0.8,0),IF(CC$5='Project Assumptions'!$D$15+1,-SUM('Detailed Project Costs'!$F$27:$F$28)*0.8,0))+IF(CC$5&gt;'Project Assumptions'!$D$15,IF(CC$5&lt;='Project Assumptions'!$D$15+'Project Assumptions'!$D$16,-SUM('Detailed Project Costs'!$F$27:$F$28)*0.2/'Project Assumptions'!$D$16,0),0)+IF('Project Assumptions'!$D$16=0,IF(CC$5='Project Assumptions'!$D$15,-SUM('Detailed Project Costs'!$F$27:$F$28)*0.2,0),0)</f>
        <v/>
      </c>
      <c r="CC57" s="293">
        <f>IF('Project Assumptions'!$D$16=0,IF(CD$5='Project Assumptions'!$D$15,-SUM('Detailed Project Costs'!$F$27:$F$28)*0.8,0),IF(CD$5='Project Assumptions'!$D$15+1,-SUM('Detailed Project Costs'!$F$27:$F$28)*0.8,0))+IF(CD$5&gt;'Project Assumptions'!$D$15,IF(CD$5&lt;='Project Assumptions'!$D$15+'Project Assumptions'!$D$16,-SUM('Detailed Project Costs'!$F$27:$F$28)*0.2/'Project Assumptions'!$D$16,0),0)+IF('Project Assumptions'!$D$16=0,IF(CD$5='Project Assumptions'!$D$15,-SUM('Detailed Project Costs'!$F$27:$F$28)*0.2,0),0)</f>
        <v/>
      </c>
      <c r="CD57" s="293">
        <f>IF('Project Assumptions'!$D$16=0,IF(CE$5='Project Assumptions'!$D$15,-SUM('Detailed Project Costs'!$F$27:$F$28)*0.8,0),IF(CE$5='Project Assumptions'!$D$15+1,-SUM('Detailed Project Costs'!$F$27:$F$28)*0.8,0))+IF(CE$5&gt;'Project Assumptions'!$D$15,IF(CE$5&lt;='Project Assumptions'!$D$15+'Project Assumptions'!$D$16,-SUM('Detailed Project Costs'!$F$27:$F$28)*0.2/'Project Assumptions'!$D$16,0),0)+IF('Project Assumptions'!$D$16=0,IF(CE$5='Project Assumptions'!$D$15,-SUM('Detailed Project Costs'!$F$27:$F$28)*0.2,0),0)</f>
        <v/>
      </c>
      <c r="CE57" s="293">
        <f>IF('Project Assumptions'!$D$16=0,IF(CF$5='Project Assumptions'!$D$15,-SUM('Detailed Project Costs'!$F$27:$F$28)*0.8,0),IF(CF$5='Project Assumptions'!$D$15+1,-SUM('Detailed Project Costs'!$F$27:$F$28)*0.8,0))+IF(CF$5&gt;'Project Assumptions'!$D$15,IF(CF$5&lt;='Project Assumptions'!$D$15+'Project Assumptions'!$D$16,-SUM('Detailed Project Costs'!$F$27:$F$28)*0.2/'Project Assumptions'!$D$16,0),0)+IF('Project Assumptions'!$D$16=0,IF(CF$5='Project Assumptions'!$D$15,-SUM('Detailed Project Costs'!$F$27:$F$28)*0.2,0),0)</f>
        <v/>
      </c>
      <c r="CF57" s="293">
        <f>IF('Project Assumptions'!$D$16=0,IF(CG$5='Project Assumptions'!$D$15,-SUM('Detailed Project Costs'!$F$27:$F$28)*0.8,0),IF(CG$5='Project Assumptions'!$D$15+1,-SUM('Detailed Project Costs'!$F$27:$F$28)*0.8,0))+IF(CG$5&gt;'Project Assumptions'!$D$15,IF(CG$5&lt;='Project Assumptions'!$D$15+'Project Assumptions'!$D$16,-SUM('Detailed Project Costs'!$F$27:$F$28)*0.2/'Project Assumptions'!$D$16,0),0)+IF('Project Assumptions'!$D$16=0,IF(CG$5='Project Assumptions'!$D$15,-SUM('Detailed Project Costs'!$F$27:$F$28)*0.2,0),0)</f>
        <v/>
      </c>
      <c r="CG57" s="293">
        <f>IF('Project Assumptions'!$D$16=0,IF(CH$5='Project Assumptions'!$D$15,-SUM('Detailed Project Costs'!$F$27:$F$28)*0.8,0),IF(CH$5='Project Assumptions'!$D$15+1,-SUM('Detailed Project Costs'!$F$27:$F$28)*0.8,0))+IF(CH$5&gt;'Project Assumptions'!$D$15,IF(CH$5&lt;='Project Assumptions'!$D$15+'Project Assumptions'!$D$16,-SUM('Detailed Project Costs'!$F$27:$F$28)*0.2/'Project Assumptions'!$D$16,0),0)+IF('Project Assumptions'!$D$16=0,IF(CH$5='Project Assumptions'!$D$15,-SUM('Detailed Project Costs'!$F$27:$F$28)*0.2,0),0)</f>
        <v/>
      </c>
      <c r="CH57" s="293">
        <f>IF('Project Assumptions'!$D$16=0,IF(CI$5='Project Assumptions'!$D$15,-SUM('Detailed Project Costs'!$F$27:$F$28)*0.8,0),IF(CI$5='Project Assumptions'!$D$15+1,-SUM('Detailed Project Costs'!$F$27:$F$28)*0.8,0))+IF(CI$5&gt;'Project Assumptions'!$D$15,IF(CI$5&lt;='Project Assumptions'!$D$15+'Project Assumptions'!$D$16,-SUM('Detailed Project Costs'!$F$27:$F$28)*0.2/'Project Assumptions'!$D$16,0),0)+IF('Project Assumptions'!$D$16=0,IF(CI$5='Project Assumptions'!$D$15,-SUM('Detailed Project Costs'!$F$27:$F$28)*0.2,0),0)</f>
        <v/>
      </c>
      <c r="CI57" s="293">
        <f>IF('Project Assumptions'!$D$16=0,IF(CJ$5='Project Assumptions'!$D$15,-SUM('Detailed Project Costs'!$F$27:$F$28)*0.8,0),IF(CJ$5='Project Assumptions'!$D$15+1,-SUM('Detailed Project Costs'!$F$27:$F$28)*0.8,0))+IF(CJ$5&gt;'Project Assumptions'!$D$15,IF(CJ$5&lt;='Project Assumptions'!$D$15+'Project Assumptions'!$D$16,-SUM('Detailed Project Costs'!$F$27:$F$28)*0.2/'Project Assumptions'!$D$16,0),0)+IF('Project Assumptions'!$D$16=0,IF(CJ$5='Project Assumptions'!$D$15,-SUM('Detailed Project Costs'!$F$27:$F$28)*0.2,0),0)</f>
        <v/>
      </c>
      <c r="CJ57" s="293">
        <f>IF('Project Assumptions'!$D$16=0,IF(CK$5='Project Assumptions'!$D$15,-SUM('Detailed Project Costs'!$F$27:$F$28)*0.8,0),IF(CK$5='Project Assumptions'!$D$15+1,-SUM('Detailed Project Costs'!$F$27:$F$28)*0.8,0))+IF(CK$5&gt;'Project Assumptions'!$D$15,IF(CK$5&lt;='Project Assumptions'!$D$15+'Project Assumptions'!$D$16,-SUM('Detailed Project Costs'!$F$27:$F$28)*0.2/'Project Assumptions'!$D$16,0),0)+IF('Project Assumptions'!$D$16=0,IF(CK$5='Project Assumptions'!$D$15,-SUM('Detailed Project Costs'!$F$27:$F$28)*0.2,0),0)</f>
        <v/>
      </c>
      <c r="CK57" s="293">
        <f>IF('Project Assumptions'!$D$16=0,IF(CL$5='Project Assumptions'!$D$15,-SUM('Detailed Project Costs'!$F$27:$F$28)*0.8,0),IF(CL$5='Project Assumptions'!$D$15+1,-SUM('Detailed Project Costs'!$F$27:$F$28)*0.8,0))+IF(CL$5&gt;'Project Assumptions'!$D$15,IF(CL$5&lt;='Project Assumptions'!$D$15+'Project Assumptions'!$D$16,-SUM('Detailed Project Costs'!$F$27:$F$28)*0.2/'Project Assumptions'!$D$16,0),0)+IF('Project Assumptions'!$D$16=0,IF(CL$5='Project Assumptions'!$D$15,-SUM('Detailed Project Costs'!$F$27:$F$28)*0.2,0),0)</f>
        <v/>
      </c>
      <c r="CL57" s="293">
        <f>IF('Project Assumptions'!$D$16=0,IF(CM$5='Project Assumptions'!$D$15,-SUM('Detailed Project Costs'!$F$27:$F$28)*0.8,0),IF(CM$5='Project Assumptions'!$D$15+1,-SUM('Detailed Project Costs'!$F$27:$F$28)*0.8,0))+IF(CM$5&gt;'Project Assumptions'!$D$15,IF(CM$5&lt;='Project Assumptions'!$D$15+'Project Assumptions'!$D$16,-SUM('Detailed Project Costs'!$F$27:$F$28)*0.2/'Project Assumptions'!$D$16,0),0)+IF('Project Assumptions'!$D$16=0,IF(CM$5='Project Assumptions'!$D$15,-SUM('Detailed Project Costs'!$F$27:$F$28)*0.2,0),0)</f>
        <v/>
      </c>
      <c r="CM57" s="293">
        <f>IF('Project Assumptions'!$D$16=0,IF(CN$5='Project Assumptions'!$D$15,-SUM('Detailed Project Costs'!$F$27:$F$28)*0.8,0),IF(CN$5='Project Assumptions'!$D$15+1,-SUM('Detailed Project Costs'!$F$27:$F$28)*0.8,0))+IF(CN$5&gt;'Project Assumptions'!$D$15,IF(CN$5&lt;='Project Assumptions'!$D$15+'Project Assumptions'!$D$16,-SUM('Detailed Project Costs'!$F$27:$F$28)*0.2/'Project Assumptions'!$D$16,0),0)+IF('Project Assumptions'!$D$16=0,IF(CN$5='Project Assumptions'!$D$15,-SUM('Detailed Project Costs'!$F$27:$F$28)*0.2,0),0)</f>
        <v/>
      </c>
      <c r="CN57" s="293">
        <f>IF('Project Assumptions'!$D$16=0,IF(CO$5='Project Assumptions'!$D$15,-SUM('Detailed Project Costs'!$F$27:$F$28)*0.8,0),IF(CO$5='Project Assumptions'!$D$15+1,-SUM('Detailed Project Costs'!$F$27:$F$28)*0.8,0))+IF(CO$5&gt;'Project Assumptions'!$D$15,IF(CO$5&lt;='Project Assumptions'!$D$15+'Project Assumptions'!$D$16,-SUM('Detailed Project Costs'!$F$27:$F$28)*0.2/'Project Assumptions'!$D$16,0),0)+IF('Project Assumptions'!$D$16=0,IF(CO$5='Project Assumptions'!$D$15,-SUM('Detailed Project Costs'!$F$27:$F$28)*0.2,0),0)</f>
        <v/>
      </c>
      <c r="CO57" s="293">
        <f>IF('Project Assumptions'!$D$16=0,IF(CP$5='Project Assumptions'!$D$15,-SUM('Detailed Project Costs'!$F$27:$F$28)*0.8,0),IF(CP$5='Project Assumptions'!$D$15+1,-SUM('Detailed Project Costs'!$F$27:$F$28)*0.8,0))+IF(CP$5&gt;'Project Assumptions'!$D$15,IF(CP$5&lt;='Project Assumptions'!$D$15+'Project Assumptions'!$D$16,-SUM('Detailed Project Costs'!$F$27:$F$28)*0.2/'Project Assumptions'!$D$16,0),0)+IF('Project Assumptions'!$D$16=0,IF(CP$5='Project Assumptions'!$D$15,-SUM('Detailed Project Costs'!$F$27:$F$28)*0.2,0),0)</f>
        <v/>
      </c>
      <c r="CP57" s="293">
        <f>IF('Project Assumptions'!$D$16=0,IF(CQ$5='Project Assumptions'!$D$15,-SUM('Detailed Project Costs'!$F$27:$F$28)*0.8,0),IF(CQ$5='Project Assumptions'!$D$15+1,-SUM('Detailed Project Costs'!$F$27:$F$28)*0.8,0))+IF(CQ$5&gt;'Project Assumptions'!$D$15,IF(CQ$5&lt;='Project Assumptions'!$D$15+'Project Assumptions'!$D$16,-SUM('Detailed Project Costs'!$F$27:$F$28)*0.2/'Project Assumptions'!$D$16,0),0)+IF('Project Assumptions'!$D$16=0,IF(CQ$5='Project Assumptions'!$D$15,-SUM('Detailed Project Costs'!$F$27:$F$28)*0.2,0),0)</f>
        <v/>
      </c>
      <c r="CQ57" s="293">
        <f>IF('Project Assumptions'!$D$16=0,IF(CR$5='Project Assumptions'!$D$15,-SUM('Detailed Project Costs'!$F$27:$F$28)*0.8,0),IF(CR$5='Project Assumptions'!$D$15+1,-SUM('Detailed Project Costs'!$F$27:$F$28)*0.8,0))+IF(CR$5&gt;'Project Assumptions'!$D$15,IF(CR$5&lt;='Project Assumptions'!$D$15+'Project Assumptions'!$D$16,-SUM('Detailed Project Costs'!$F$27:$F$28)*0.2/'Project Assumptions'!$D$16,0),0)+IF('Project Assumptions'!$D$16=0,IF(CR$5='Project Assumptions'!$D$15,-SUM('Detailed Project Costs'!$F$27:$F$28)*0.2,0),0)</f>
        <v/>
      </c>
      <c r="CR57" s="293">
        <f>IF('Project Assumptions'!$D$16=0,IF(CS$5='Project Assumptions'!$D$15,-SUM('Detailed Project Costs'!$F$27:$F$28)*0.8,0),IF(CS$5='Project Assumptions'!$D$15+1,-SUM('Detailed Project Costs'!$F$27:$F$28)*0.8,0))+IF(CS$5&gt;'Project Assumptions'!$D$15,IF(CS$5&lt;='Project Assumptions'!$D$15+'Project Assumptions'!$D$16,-SUM('Detailed Project Costs'!$F$27:$F$28)*0.2/'Project Assumptions'!$D$16,0),0)+IF('Project Assumptions'!$D$16=0,IF(CS$5='Project Assumptions'!$D$15,-SUM('Detailed Project Costs'!$F$27:$F$28)*0.2,0),0)</f>
        <v/>
      </c>
      <c r="CS57" s="293">
        <f>IF('Project Assumptions'!$D$16=0,IF(CT$5='Project Assumptions'!$D$15,-SUM('Detailed Project Costs'!$F$27:$F$28)*0.8,0),IF(CT$5='Project Assumptions'!$D$15+1,-SUM('Detailed Project Costs'!$F$27:$F$28)*0.8,0))+IF(CT$5&gt;'Project Assumptions'!$D$15,IF(CT$5&lt;='Project Assumptions'!$D$15+'Project Assumptions'!$D$16,-SUM('Detailed Project Costs'!$F$27:$F$28)*0.2/'Project Assumptions'!$D$16,0),0)+IF('Project Assumptions'!$D$16=0,IF(CT$5='Project Assumptions'!$D$15,-SUM('Detailed Project Costs'!$F$27:$F$28)*0.2,0),0)</f>
        <v/>
      </c>
      <c r="CT57" s="293">
        <f>IF('Project Assumptions'!$D$16=0,IF(CU$5='Project Assumptions'!$D$15,-SUM('Detailed Project Costs'!$F$27:$F$28)*0.8,0),IF(CU$5='Project Assumptions'!$D$15+1,-SUM('Detailed Project Costs'!$F$27:$F$28)*0.8,0))+IF(CU$5&gt;'Project Assumptions'!$D$15,IF(CU$5&lt;='Project Assumptions'!$D$15+'Project Assumptions'!$D$16,-SUM('Detailed Project Costs'!$F$27:$F$28)*0.2/'Project Assumptions'!$D$16,0),0)+IF('Project Assumptions'!$D$16=0,IF(CU$5='Project Assumptions'!$D$15,-SUM('Detailed Project Costs'!$F$27:$F$28)*0.2,0),0)</f>
        <v/>
      </c>
      <c r="CU57" s="293">
        <f>IF('Project Assumptions'!$D$16=0,IF(CV$5='Project Assumptions'!$D$15,-SUM('Detailed Project Costs'!$F$27:$F$28)*0.8,0),IF(CV$5='Project Assumptions'!$D$15+1,-SUM('Detailed Project Costs'!$F$27:$F$28)*0.8,0))+IF(CV$5&gt;'Project Assumptions'!$D$15,IF(CV$5&lt;='Project Assumptions'!$D$15+'Project Assumptions'!$D$16,-SUM('Detailed Project Costs'!$F$27:$F$28)*0.2/'Project Assumptions'!$D$16,0),0)+IF('Project Assumptions'!$D$16=0,IF(CV$5='Project Assumptions'!$D$15,-SUM('Detailed Project Costs'!$F$27:$F$28)*0.2,0),0)</f>
        <v/>
      </c>
      <c r="CV57" s="293">
        <f>IF('Project Assumptions'!$D$16=0,IF(CW$5='Project Assumptions'!$D$15,-SUM('Detailed Project Costs'!$F$27:$F$28)*0.8,0),IF(CW$5='Project Assumptions'!$D$15+1,-SUM('Detailed Project Costs'!$F$27:$F$28)*0.8,0))+IF(CW$5&gt;'Project Assumptions'!$D$15,IF(CW$5&lt;='Project Assumptions'!$D$15+'Project Assumptions'!$D$16,-SUM('Detailed Project Costs'!$F$27:$F$28)*0.2/'Project Assumptions'!$D$16,0),0)+IF('Project Assumptions'!$D$16=0,IF(CW$5='Project Assumptions'!$D$15,-SUM('Detailed Project Costs'!$F$27:$F$28)*0.2,0),0)</f>
        <v/>
      </c>
      <c r="CW57" s="293">
        <f>IF('Project Assumptions'!$D$16=0,IF(CX$5='Project Assumptions'!$D$15,-SUM('Detailed Project Costs'!$F$27:$F$28)*0.8,0),IF(CX$5='Project Assumptions'!$D$15+1,-SUM('Detailed Project Costs'!$F$27:$F$28)*0.8,0))+IF(CX$5&gt;'Project Assumptions'!$D$15,IF(CX$5&lt;='Project Assumptions'!$D$15+'Project Assumptions'!$D$16,-SUM('Detailed Project Costs'!$F$27:$F$28)*0.2/'Project Assumptions'!$D$16,0),0)+IF('Project Assumptions'!$D$16=0,IF(CX$5='Project Assumptions'!$D$15,-SUM('Detailed Project Costs'!$F$27:$F$28)*0.2,0),0)</f>
        <v/>
      </c>
      <c r="CX57" s="293">
        <f>IF('Project Assumptions'!$D$16=0,IF(CY$5='Project Assumptions'!$D$15,-SUM('Detailed Project Costs'!$F$27:$F$28)*0.8,0),IF(CY$5='Project Assumptions'!$D$15+1,-SUM('Detailed Project Costs'!$F$27:$F$28)*0.8,0))+IF(CY$5&gt;'Project Assumptions'!$D$15,IF(CY$5&lt;='Project Assumptions'!$D$15+'Project Assumptions'!$D$16,-SUM('Detailed Project Costs'!$F$27:$F$28)*0.2/'Project Assumptions'!$D$16,0),0)+IF('Project Assumptions'!$D$16=0,IF(CY$5='Project Assumptions'!$D$15,-SUM('Detailed Project Costs'!$F$27:$F$28)*0.2,0),0)</f>
        <v/>
      </c>
      <c r="CY57" s="293">
        <f>IF('Project Assumptions'!$D$16=0,IF(CZ$5='Project Assumptions'!$D$15,-SUM('Detailed Project Costs'!$F$27:$F$28)*0.8,0),IF(CZ$5='Project Assumptions'!$D$15+1,-SUM('Detailed Project Costs'!$F$27:$F$28)*0.8,0))+IF(CZ$5&gt;'Project Assumptions'!$D$15,IF(CZ$5&lt;='Project Assumptions'!$D$15+'Project Assumptions'!$D$16,-SUM('Detailed Project Costs'!$F$27:$F$28)*0.2/'Project Assumptions'!$D$16,0),0)+IF('Project Assumptions'!$D$16=0,IF(CZ$5='Project Assumptions'!$D$15,-SUM('Detailed Project Costs'!$F$27:$F$28)*0.2,0),0)</f>
        <v/>
      </c>
      <c r="CZ57" s="293">
        <f>IF('Project Assumptions'!$D$16=0,IF(DA$5='Project Assumptions'!$D$15,-SUM('Detailed Project Costs'!$F$27:$F$28)*0.8,0),IF(DA$5='Project Assumptions'!$D$15+1,-SUM('Detailed Project Costs'!$F$27:$F$28)*0.8,0))+IF(DA$5&gt;'Project Assumptions'!$D$15,IF(DA$5&lt;='Project Assumptions'!$D$15+'Project Assumptions'!$D$16,-SUM('Detailed Project Costs'!$F$27:$F$28)*0.2/'Project Assumptions'!$D$16,0),0)+IF('Project Assumptions'!$D$16=0,IF(DA$5='Project Assumptions'!$D$15,-SUM('Detailed Project Costs'!$F$27:$F$28)*0.2,0),0)</f>
        <v/>
      </c>
      <c r="DA57" s="293">
        <f>IF('Project Assumptions'!$D$16=0,IF(DB$5='Project Assumptions'!$D$15,-SUM('Detailed Project Costs'!$F$27:$F$28)*0.8,0),IF(DB$5='Project Assumptions'!$D$15+1,-SUM('Detailed Project Costs'!$F$27:$F$28)*0.8,0))+IF(DB$5&gt;'Project Assumptions'!$D$15,IF(DB$5&lt;='Project Assumptions'!$D$15+'Project Assumptions'!$D$16,-SUM('Detailed Project Costs'!$F$27:$F$28)*0.2/'Project Assumptions'!$D$16,0),0)+IF('Project Assumptions'!$D$16=0,IF(DB$5='Project Assumptions'!$D$15,-SUM('Detailed Project Costs'!$F$27:$F$28)*0.2,0),0)</f>
        <v/>
      </c>
      <c r="DB57" s="293">
        <f>IF('Project Assumptions'!$D$16=0,IF(DC$5='Project Assumptions'!$D$15,-SUM('Detailed Project Costs'!$F$27:$F$28)*0.8,0),IF(DC$5='Project Assumptions'!$D$15+1,-SUM('Detailed Project Costs'!$F$27:$F$28)*0.8,0))+IF(DC$5&gt;'Project Assumptions'!$D$15,IF(DC$5&lt;='Project Assumptions'!$D$15+'Project Assumptions'!$D$16,-SUM('Detailed Project Costs'!$F$27:$F$28)*0.2/'Project Assumptions'!$D$16,0),0)+IF('Project Assumptions'!$D$16=0,IF(DC$5='Project Assumptions'!$D$15,-SUM('Detailed Project Costs'!$F$27:$F$28)*0.2,0),0)</f>
        <v/>
      </c>
      <c r="DC57" s="293" t="n"/>
      <c r="DD57" s="292">
        <f>SUM(F57:DB57)</f>
        <v/>
      </c>
    </row>
    <row r="58">
      <c r="A58" s="1000" t="n"/>
      <c r="B58" s="701" t="inlineStr">
        <is>
          <t xml:space="preserve">   Structural Eng. (Shell)</t>
        </is>
      </c>
      <c r="C58" s="294" t="n"/>
      <c r="D58" s="295">
        <f>DD58</f>
        <v/>
      </c>
      <c r="E58" s="274" t="n"/>
      <c r="F58" s="273">
        <f>IF('Project Assumptions'!$D$16=0,IF(G$5='Project Assumptions'!$D$15,-SUM('Detailed Project Costs'!$F$29:$F$30)*0.8,0),IF(G$5='Project Assumptions'!$D$15+1,-SUM('Detailed Project Costs'!$F$29:$F$30)*0.8,0))+IF(G$5&gt;'Project Assumptions'!$D$15,IF(G$5&lt;='Project Assumptions'!$D$15+'Project Assumptions'!$D$16,-SUM('Detailed Project Costs'!$F$29:$F$30)*0.2/'Project Assumptions'!$D$16,0),0)+IF('Project Assumptions'!$D$16=0,IF(G$5='Project Assumptions'!$D$15,-SUM('Detailed Project Costs'!$F$29:$F$30)*0.2,0),0)</f>
        <v/>
      </c>
      <c r="G58" s="273">
        <f>IF('Project Assumptions'!$D$16=0,IF(H$5='Project Assumptions'!$D$15,-SUM('Detailed Project Costs'!$F$29:$F$30)*0.8,0),IF(H$5='Project Assumptions'!$D$15+1,-SUM('Detailed Project Costs'!$F$29:$F$30)*0.8,0))+IF(H$5&gt;'Project Assumptions'!$D$15,IF(H$5&lt;='Project Assumptions'!$D$15+'Project Assumptions'!$D$16,-SUM('Detailed Project Costs'!$F$29:$F$30)*0.2/'Project Assumptions'!$D$16,0),0)+IF('Project Assumptions'!$D$16=0,IF(H$5='Project Assumptions'!$D$15,-SUM('Detailed Project Costs'!$F$29:$F$30)*0.2,0),0)</f>
        <v/>
      </c>
      <c r="H58" s="273">
        <f>IF('Project Assumptions'!$D$16=0,IF(I$5='Project Assumptions'!$D$15,-SUM('Detailed Project Costs'!$F$29:$F$30)*0.8,0),IF(I$5='Project Assumptions'!$D$15+1,-SUM('Detailed Project Costs'!$F$29:$F$30)*0.8,0))+IF(I$5&gt;'Project Assumptions'!$D$15,IF(I$5&lt;='Project Assumptions'!$D$15+'Project Assumptions'!$D$16,-SUM('Detailed Project Costs'!$F$29:$F$30)*0.2/'Project Assumptions'!$D$16,0),0)+IF('Project Assumptions'!$D$16=0,IF(I$5='Project Assumptions'!$D$15,-SUM('Detailed Project Costs'!$F$29:$F$30)*0.2,0),0)</f>
        <v/>
      </c>
      <c r="I58" s="273">
        <f>IF('Project Assumptions'!$D$16=0,IF(J$5='Project Assumptions'!$D$15,-SUM('Detailed Project Costs'!$F$29:$F$30)*0.8,0),IF(J$5='Project Assumptions'!$D$15+1,-SUM('Detailed Project Costs'!$F$29:$F$30)*0.8,0))+IF(J$5&gt;'Project Assumptions'!$D$15,IF(J$5&lt;='Project Assumptions'!$D$15+'Project Assumptions'!$D$16,-SUM('Detailed Project Costs'!$F$29:$F$30)*0.2/'Project Assumptions'!$D$16,0),0)+IF('Project Assumptions'!$D$16=0,IF(J$5='Project Assumptions'!$D$15,-SUM('Detailed Project Costs'!$F$29:$F$30)*0.2,0),0)</f>
        <v/>
      </c>
      <c r="J58" s="273">
        <f>IF('Project Assumptions'!$D$16=0,IF(K$5='Project Assumptions'!$D$15,-SUM('Detailed Project Costs'!$F$29:$F$30)*0.8,0),IF(K$5='Project Assumptions'!$D$15+1,-SUM('Detailed Project Costs'!$F$29:$F$30)*0.8,0))+IF(K$5&gt;'Project Assumptions'!$D$15,IF(K$5&lt;='Project Assumptions'!$D$15+'Project Assumptions'!$D$16,-SUM('Detailed Project Costs'!$F$29:$F$30)*0.2/'Project Assumptions'!$D$16,0),0)+IF('Project Assumptions'!$D$16=0,IF(K$5='Project Assumptions'!$D$15,-SUM('Detailed Project Costs'!$F$29:$F$30)*0.2,0),0)</f>
        <v/>
      </c>
      <c r="K58" s="273">
        <f>IF('Project Assumptions'!$D$16=0,IF(L$5='Project Assumptions'!$D$15,-SUM('Detailed Project Costs'!$F$29:$F$30)*0.8,0),IF(L$5='Project Assumptions'!$D$15+1,-SUM('Detailed Project Costs'!$F$29:$F$30)*0.8,0))+IF(L$5&gt;'Project Assumptions'!$D$15,IF(L$5&lt;='Project Assumptions'!$D$15+'Project Assumptions'!$D$16,-SUM('Detailed Project Costs'!$F$29:$F$30)*0.2/'Project Assumptions'!$D$16,0),0)+IF('Project Assumptions'!$D$16=0,IF(L$5='Project Assumptions'!$D$15,-SUM('Detailed Project Costs'!$F$29:$F$30)*0.2,0),0)</f>
        <v/>
      </c>
      <c r="L58" s="273">
        <f>IF('Project Assumptions'!$D$16=0,IF(M$5='Project Assumptions'!$D$15,-SUM('Detailed Project Costs'!$F$29:$F$30)*0.8,0),IF(M$5='Project Assumptions'!$D$15+1,-SUM('Detailed Project Costs'!$F$29:$F$30)*0.8,0))+IF(M$5&gt;'Project Assumptions'!$D$15,IF(M$5&lt;='Project Assumptions'!$D$15+'Project Assumptions'!$D$16,-SUM('Detailed Project Costs'!$F$29:$F$30)*0.2/'Project Assumptions'!$D$16,0),0)+IF('Project Assumptions'!$D$16=0,IF(M$5='Project Assumptions'!$D$15,-SUM('Detailed Project Costs'!$F$29:$F$30)*0.2,0),0)</f>
        <v/>
      </c>
      <c r="M58" s="273">
        <f>IF('Project Assumptions'!$D$16=0,IF(N$5='Project Assumptions'!$D$15,-SUM('Detailed Project Costs'!$F$29:$F$30)*0.8,0),IF(N$5='Project Assumptions'!$D$15+1,-SUM('Detailed Project Costs'!$F$29:$F$30)*0.8,0))+IF(N$5&gt;'Project Assumptions'!$D$15,IF(N$5&lt;='Project Assumptions'!$D$15+'Project Assumptions'!$D$16,-SUM('Detailed Project Costs'!$F$29:$F$30)*0.2/'Project Assumptions'!$D$16,0),0)+IF('Project Assumptions'!$D$16=0,IF(N$5='Project Assumptions'!$D$15,-SUM('Detailed Project Costs'!$F$29:$F$30)*0.2,0),0)</f>
        <v/>
      </c>
      <c r="N58" s="273">
        <f>IF('Project Assumptions'!$D$16=0,IF(O$5='Project Assumptions'!$D$15,-SUM('Detailed Project Costs'!$F$29:$F$30)*0.8,0),IF(O$5='Project Assumptions'!$D$15+1,-SUM('Detailed Project Costs'!$F$29:$F$30)*0.8,0))+IF(O$5&gt;'Project Assumptions'!$D$15,IF(O$5&lt;='Project Assumptions'!$D$15+'Project Assumptions'!$D$16,-SUM('Detailed Project Costs'!$F$29:$F$30)*0.2/'Project Assumptions'!$D$16,0),0)+IF('Project Assumptions'!$D$16=0,IF(O$5='Project Assumptions'!$D$15,-SUM('Detailed Project Costs'!$F$29:$F$30)*0.2,0),0)</f>
        <v/>
      </c>
      <c r="O58" s="273">
        <f>IF('Project Assumptions'!$D$16=0,IF(P$5='Project Assumptions'!$D$15,-SUM('Detailed Project Costs'!$F$29:$F$30)*0.8,0),IF(P$5='Project Assumptions'!$D$15+1,-SUM('Detailed Project Costs'!$F$29:$F$30)*0.8,0))+IF(P$5&gt;'Project Assumptions'!$D$15,IF(P$5&lt;='Project Assumptions'!$D$15+'Project Assumptions'!$D$16,-SUM('Detailed Project Costs'!$F$29:$F$30)*0.2/'Project Assumptions'!$D$16,0),0)+IF('Project Assumptions'!$D$16=0,IF(P$5='Project Assumptions'!$D$15,-SUM('Detailed Project Costs'!$F$29:$F$30)*0.2,0),0)</f>
        <v/>
      </c>
      <c r="P58" s="273">
        <f>IF('Project Assumptions'!$D$16=0,IF(Q$5='Project Assumptions'!$D$15,-SUM('Detailed Project Costs'!$F$29:$F$30)*0.8,0),IF(Q$5='Project Assumptions'!$D$15+1,-SUM('Detailed Project Costs'!$F$29:$F$30)*0.8,0))+IF(Q$5&gt;'Project Assumptions'!$D$15,IF(Q$5&lt;='Project Assumptions'!$D$15+'Project Assumptions'!$D$16,-SUM('Detailed Project Costs'!$F$29:$F$30)*0.2/'Project Assumptions'!$D$16,0),0)+IF('Project Assumptions'!$D$16=0,IF(Q$5='Project Assumptions'!$D$15,-SUM('Detailed Project Costs'!$F$29:$F$30)*0.2,0),0)</f>
        <v/>
      </c>
      <c r="Q58" s="273">
        <f>IF('Project Assumptions'!$D$16=0,IF(R$5='Project Assumptions'!$D$15,-SUM('Detailed Project Costs'!$F$29:$F$30)*0.8,0),IF(R$5='Project Assumptions'!$D$15+1,-SUM('Detailed Project Costs'!$F$29:$F$30)*0.8,0))+IF(R$5&gt;'Project Assumptions'!$D$15,IF(R$5&lt;='Project Assumptions'!$D$15+'Project Assumptions'!$D$16,-SUM('Detailed Project Costs'!$F$29:$F$30)*0.2/'Project Assumptions'!$D$16,0),0)+IF('Project Assumptions'!$D$16=0,IF(R$5='Project Assumptions'!$D$15,-SUM('Detailed Project Costs'!$F$29:$F$30)*0.2,0),0)</f>
        <v/>
      </c>
      <c r="R58" s="273">
        <f>IF('Project Assumptions'!$D$16=0,IF(S$5='Project Assumptions'!$D$15,-SUM('Detailed Project Costs'!$F$29:$F$30)*0.8,0),IF(S$5='Project Assumptions'!$D$15+1,-SUM('Detailed Project Costs'!$F$29:$F$30)*0.8,0))+IF(S$5&gt;'Project Assumptions'!$D$15,IF(S$5&lt;='Project Assumptions'!$D$15+'Project Assumptions'!$D$16,-SUM('Detailed Project Costs'!$F$29:$F$30)*0.2/'Project Assumptions'!$D$16,0),0)+IF('Project Assumptions'!$D$16=0,IF(S$5='Project Assumptions'!$D$15,-SUM('Detailed Project Costs'!$F$29:$F$30)*0.2,0),0)</f>
        <v/>
      </c>
      <c r="S58" s="273">
        <f>IF('Project Assumptions'!$D$16=0,IF(T$5='Project Assumptions'!$D$15,-SUM('Detailed Project Costs'!$F$29:$F$30)*0.8,0),IF(T$5='Project Assumptions'!$D$15+1,-SUM('Detailed Project Costs'!$F$29:$F$30)*0.8,0))+IF(T$5&gt;'Project Assumptions'!$D$15,IF(T$5&lt;='Project Assumptions'!$D$15+'Project Assumptions'!$D$16,-SUM('Detailed Project Costs'!$F$29:$F$30)*0.2/'Project Assumptions'!$D$16,0),0)+IF('Project Assumptions'!$D$16=0,IF(T$5='Project Assumptions'!$D$15,-SUM('Detailed Project Costs'!$F$29:$F$30)*0.2,0),0)</f>
        <v/>
      </c>
      <c r="T58" s="273">
        <f>IF('Project Assumptions'!$D$16=0,IF(U$5='Project Assumptions'!$D$15,-SUM('Detailed Project Costs'!$F$29:$F$30)*0.8,0),IF(U$5='Project Assumptions'!$D$15+1,-SUM('Detailed Project Costs'!$F$29:$F$30)*0.8,0))+IF(U$5&gt;'Project Assumptions'!$D$15,IF(U$5&lt;='Project Assumptions'!$D$15+'Project Assumptions'!$D$16,-SUM('Detailed Project Costs'!$F$29:$F$30)*0.2/'Project Assumptions'!$D$16,0),0)+IF('Project Assumptions'!$D$16=0,IF(U$5='Project Assumptions'!$D$15,-SUM('Detailed Project Costs'!$F$29:$F$30)*0.2,0),0)</f>
        <v/>
      </c>
      <c r="U58" s="273">
        <f>IF('Project Assumptions'!$D$16=0,IF(V$5='Project Assumptions'!$D$15,-SUM('Detailed Project Costs'!$F$29:$F$30)*0.8,0),IF(V$5='Project Assumptions'!$D$15+1,-SUM('Detailed Project Costs'!$F$29:$F$30)*0.8,0))+IF(V$5&gt;'Project Assumptions'!$D$15,IF(V$5&lt;='Project Assumptions'!$D$15+'Project Assumptions'!$D$16,-SUM('Detailed Project Costs'!$F$29:$F$30)*0.2/'Project Assumptions'!$D$16,0),0)+IF('Project Assumptions'!$D$16=0,IF(V$5='Project Assumptions'!$D$15,-SUM('Detailed Project Costs'!$F$29:$F$30)*0.2,0),0)</f>
        <v/>
      </c>
      <c r="V58" s="273">
        <f>IF('Project Assumptions'!$D$16=0,IF(W$5='Project Assumptions'!$D$15,-SUM('Detailed Project Costs'!$F$29:$F$30)*0.8,0),IF(W$5='Project Assumptions'!$D$15+1,-SUM('Detailed Project Costs'!$F$29:$F$30)*0.8,0))+IF(W$5&gt;'Project Assumptions'!$D$15,IF(W$5&lt;='Project Assumptions'!$D$15+'Project Assumptions'!$D$16,-SUM('Detailed Project Costs'!$F$29:$F$30)*0.2/'Project Assumptions'!$D$16,0),0)+IF('Project Assumptions'!$D$16=0,IF(W$5='Project Assumptions'!$D$15,-SUM('Detailed Project Costs'!$F$29:$F$30)*0.2,0),0)</f>
        <v/>
      </c>
      <c r="W58" s="273">
        <f>IF('Project Assumptions'!$D$16=0,IF(X$5='Project Assumptions'!$D$15,-SUM('Detailed Project Costs'!$F$29:$F$30)*0.8,0),IF(X$5='Project Assumptions'!$D$15+1,-SUM('Detailed Project Costs'!$F$29:$F$30)*0.8,0))+IF(X$5&gt;'Project Assumptions'!$D$15,IF(X$5&lt;='Project Assumptions'!$D$15+'Project Assumptions'!$D$16,-SUM('Detailed Project Costs'!$F$29:$F$30)*0.2/'Project Assumptions'!$D$16,0),0)+IF('Project Assumptions'!$D$16=0,IF(X$5='Project Assumptions'!$D$15,-SUM('Detailed Project Costs'!$F$29:$F$30)*0.2,0),0)</f>
        <v/>
      </c>
      <c r="X58" s="273">
        <f>IF('Project Assumptions'!$D$16=0,IF(Y$5='Project Assumptions'!$D$15,-SUM('Detailed Project Costs'!$F$29:$F$30)*0.8,0),IF(Y$5='Project Assumptions'!$D$15+1,-SUM('Detailed Project Costs'!$F$29:$F$30)*0.8,0))+IF(Y$5&gt;'Project Assumptions'!$D$15,IF(Y$5&lt;='Project Assumptions'!$D$15+'Project Assumptions'!$D$16,-SUM('Detailed Project Costs'!$F$29:$F$30)*0.2/'Project Assumptions'!$D$16,0),0)+IF('Project Assumptions'!$D$16=0,IF(Y$5='Project Assumptions'!$D$15,-SUM('Detailed Project Costs'!$F$29:$F$30)*0.2,0),0)</f>
        <v/>
      </c>
      <c r="Y58" s="273">
        <f>IF('Project Assumptions'!$D$16=0,IF(Z$5='Project Assumptions'!$D$15,-SUM('Detailed Project Costs'!$F$29:$F$30)*0.8,0),IF(Z$5='Project Assumptions'!$D$15+1,-SUM('Detailed Project Costs'!$F$29:$F$30)*0.8,0))+IF(Z$5&gt;'Project Assumptions'!$D$15,IF(Z$5&lt;='Project Assumptions'!$D$15+'Project Assumptions'!$D$16,-SUM('Detailed Project Costs'!$F$29:$F$30)*0.2/'Project Assumptions'!$D$16,0),0)+IF('Project Assumptions'!$D$16=0,IF(Z$5='Project Assumptions'!$D$15,-SUM('Detailed Project Costs'!$F$29:$F$30)*0.2,0),0)</f>
        <v/>
      </c>
      <c r="Z58" s="273">
        <f>IF('Project Assumptions'!$D$16=0,IF(AA$5='Project Assumptions'!$D$15,-SUM('Detailed Project Costs'!$F$29:$F$30)*0.8,0),IF(AA$5='Project Assumptions'!$D$15+1,-SUM('Detailed Project Costs'!$F$29:$F$30)*0.8,0))+IF(AA$5&gt;'Project Assumptions'!$D$15,IF(AA$5&lt;='Project Assumptions'!$D$15+'Project Assumptions'!$D$16,-SUM('Detailed Project Costs'!$F$29:$F$30)*0.2/'Project Assumptions'!$D$16,0),0)+IF('Project Assumptions'!$D$16=0,IF(AA$5='Project Assumptions'!$D$15,-SUM('Detailed Project Costs'!$F$29:$F$30)*0.2,0),0)</f>
        <v/>
      </c>
      <c r="AA58" s="273">
        <f>IF('Project Assumptions'!$D$16=0,IF(AB$5='Project Assumptions'!$D$15,-SUM('Detailed Project Costs'!$F$29:$F$30)*0.8,0),IF(AB$5='Project Assumptions'!$D$15+1,-SUM('Detailed Project Costs'!$F$29:$F$30)*0.8,0))+IF(AB$5&gt;'Project Assumptions'!$D$15,IF(AB$5&lt;='Project Assumptions'!$D$15+'Project Assumptions'!$D$16,-SUM('Detailed Project Costs'!$F$29:$F$30)*0.2/'Project Assumptions'!$D$16,0),0)+IF('Project Assumptions'!$D$16=0,IF(AB$5='Project Assumptions'!$D$15,-SUM('Detailed Project Costs'!$F$29:$F$30)*0.2,0),0)</f>
        <v/>
      </c>
      <c r="AB58" s="273">
        <f>IF('Project Assumptions'!$D$16=0,IF(AC$5='Project Assumptions'!$D$15,-SUM('Detailed Project Costs'!$F$29:$F$30)*0.8,0),IF(AC$5='Project Assumptions'!$D$15+1,-SUM('Detailed Project Costs'!$F$29:$F$30)*0.8,0))+IF(AC$5&gt;'Project Assumptions'!$D$15,IF(AC$5&lt;='Project Assumptions'!$D$15+'Project Assumptions'!$D$16,-SUM('Detailed Project Costs'!$F$29:$F$30)*0.2/'Project Assumptions'!$D$16,0),0)+IF('Project Assumptions'!$D$16=0,IF(AC$5='Project Assumptions'!$D$15,-SUM('Detailed Project Costs'!$F$29:$F$30)*0.2,0),0)</f>
        <v/>
      </c>
      <c r="AC58" s="273">
        <f>IF('Project Assumptions'!$D$16=0,IF(AD$5='Project Assumptions'!$D$15,-SUM('Detailed Project Costs'!$F$29:$F$30)*0.8,0),IF(AD$5='Project Assumptions'!$D$15+1,-SUM('Detailed Project Costs'!$F$29:$F$30)*0.8,0))+IF(AD$5&gt;'Project Assumptions'!$D$15,IF(AD$5&lt;='Project Assumptions'!$D$15+'Project Assumptions'!$D$16,-SUM('Detailed Project Costs'!$F$29:$F$30)*0.2/'Project Assumptions'!$D$16,0),0)+IF('Project Assumptions'!$D$16=0,IF(AD$5='Project Assumptions'!$D$15,-SUM('Detailed Project Costs'!$F$29:$F$30)*0.2,0),0)</f>
        <v/>
      </c>
      <c r="AD58" s="273">
        <f>IF('Project Assumptions'!$D$16=0,IF(AE$5='Project Assumptions'!$D$15,-SUM('Detailed Project Costs'!$F$29:$F$30)*0.8,0),IF(AE$5='Project Assumptions'!$D$15+1,-SUM('Detailed Project Costs'!$F$29:$F$30)*0.8,0))+IF(AE$5&gt;'Project Assumptions'!$D$15,IF(AE$5&lt;='Project Assumptions'!$D$15+'Project Assumptions'!$D$16,-SUM('Detailed Project Costs'!$F$29:$F$30)*0.2/'Project Assumptions'!$D$16,0),0)+IF('Project Assumptions'!$D$16=0,IF(AE$5='Project Assumptions'!$D$15,-SUM('Detailed Project Costs'!$F$29:$F$30)*0.2,0),0)</f>
        <v/>
      </c>
      <c r="AE58" s="273">
        <f>IF('Project Assumptions'!$D$16=0,IF(AF$5='Project Assumptions'!$D$15,-SUM('Detailed Project Costs'!$F$29:$F$30)*0.8,0),IF(AF$5='Project Assumptions'!$D$15+1,-SUM('Detailed Project Costs'!$F$29:$F$30)*0.8,0))+IF(AF$5&gt;'Project Assumptions'!$D$15,IF(AF$5&lt;='Project Assumptions'!$D$15+'Project Assumptions'!$D$16,-SUM('Detailed Project Costs'!$F$29:$F$30)*0.2/'Project Assumptions'!$D$16,0),0)+IF('Project Assumptions'!$D$16=0,IF(AF$5='Project Assumptions'!$D$15,-SUM('Detailed Project Costs'!$F$29:$F$30)*0.2,0),0)</f>
        <v/>
      </c>
      <c r="AF58" s="273">
        <f>IF('Project Assumptions'!$D$16=0,IF(AG$5='Project Assumptions'!$D$15,-SUM('Detailed Project Costs'!$F$29:$F$30)*0.8,0),IF(AG$5='Project Assumptions'!$D$15+1,-SUM('Detailed Project Costs'!$F$29:$F$30)*0.8,0))+IF(AG$5&gt;'Project Assumptions'!$D$15,IF(AG$5&lt;='Project Assumptions'!$D$15+'Project Assumptions'!$D$16,-SUM('Detailed Project Costs'!$F$29:$F$30)*0.2/'Project Assumptions'!$D$16,0),0)+IF('Project Assumptions'!$D$16=0,IF(AG$5='Project Assumptions'!$D$15,-SUM('Detailed Project Costs'!$F$29:$F$30)*0.2,0),0)</f>
        <v/>
      </c>
      <c r="AG58" s="273">
        <f>IF('Project Assumptions'!$D$16=0,IF(AH$5='Project Assumptions'!$D$15,-SUM('Detailed Project Costs'!$F$29:$F$30)*0.8,0),IF(AH$5='Project Assumptions'!$D$15+1,-SUM('Detailed Project Costs'!$F$29:$F$30)*0.8,0))+IF(AH$5&gt;'Project Assumptions'!$D$15,IF(AH$5&lt;='Project Assumptions'!$D$15+'Project Assumptions'!$D$16,-SUM('Detailed Project Costs'!$F$29:$F$30)*0.2/'Project Assumptions'!$D$16,0),0)+IF('Project Assumptions'!$D$16=0,IF(AH$5='Project Assumptions'!$D$15,-SUM('Detailed Project Costs'!$F$29:$F$30)*0.2,0),0)</f>
        <v/>
      </c>
      <c r="AH58" s="273">
        <f>IF('Project Assumptions'!$D$16=0,IF(AI$5='Project Assumptions'!$D$15,-SUM('Detailed Project Costs'!$F$29:$F$30)*0.8,0),IF(AI$5='Project Assumptions'!$D$15+1,-SUM('Detailed Project Costs'!$F$29:$F$30)*0.8,0))+IF(AI$5&gt;'Project Assumptions'!$D$15,IF(AI$5&lt;='Project Assumptions'!$D$15+'Project Assumptions'!$D$16,-SUM('Detailed Project Costs'!$F$29:$F$30)*0.2/'Project Assumptions'!$D$16,0),0)+IF('Project Assumptions'!$D$16=0,IF(AI$5='Project Assumptions'!$D$15,-SUM('Detailed Project Costs'!$F$29:$F$30)*0.2,0),0)</f>
        <v/>
      </c>
      <c r="AI58" s="273">
        <f>IF('Project Assumptions'!$D$16=0,IF(AJ$5='Project Assumptions'!$D$15,-SUM('Detailed Project Costs'!$F$29:$F$30)*0.8,0),IF(AJ$5='Project Assumptions'!$D$15+1,-SUM('Detailed Project Costs'!$F$29:$F$30)*0.8,0))+IF(AJ$5&gt;'Project Assumptions'!$D$15,IF(AJ$5&lt;='Project Assumptions'!$D$15+'Project Assumptions'!$D$16,-SUM('Detailed Project Costs'!$F$29:$F$30)*0.2/'Project Assumptions'!$D$16,0),0)+IF('Project Assumptions'!$D$16=0,IF(AJ$5='Project Assumptions'!$D$15,-SUM('Detailed Project Costs'!$F$29:$F$30)*0.2,0),0)</f>
        <v/>
      </c>
      <c r="AJ58" s="273">
        <f>IF('Project Assumptions'!$D$16=0,IF(AK$5='Project Assumptions'!$D$15,-SUM('Detailed Project Costs'!$F$29:$F$30)*0.8,0),IF(AK$5='Project Assumptions'!$D$15+1,-SUM('Detailed Project Costs'!$F$29:$F$30)*0.8,0))+IF(AK$5&gt;'Project Assumptions'!$D$15,IF(AK$5&lt;='Project Assumptions'!$D$15+'Project Assumptions'!$D$16,-SUM('Detailed Project Costs'!$F$29:$F$30)*0.2/'Project Assumptions'!$D$16,0),0)+IF('Project Assumptions'!$D$16=0,IF(AK$5='Project Assumptions'!$D$15,-SUM('Detailed Project Costs'!$F$29:$F$30)*0.2,0),0)</f>
        <v/>
      </c>
      <c r="AK58" s="273">
        <f>IF('Project Assumptions'!$D$16=0,IF(AL$5='Project Assumptions'!$D$15,-SUM('Detailed Project Costs'!$F$29:$F$30)*0.8,0),IF(AL$5='Project Assumptions'!$D$15+1,-SUM('Detailed Project Costs'!$F$29:$F$30)*0.8,0))+IF(AL$5&gt;'Project Assumptions'!$D$15,IF(AL$5&lt;='Project Assumptions'!$D$15+'Project Assumptions'!$D$16,-SUM('Detailed Project Costs'!$F$29:$F$30)*0.2/'Project Assumptions'!$D$16,0),0)+IF('Project Assumptions'!$D$16=0,IF(AL$5='Project Assumptions'!$D$15,-SUM('Detailed Project Costs'!$F$29:$F$30)*0.2,0),0)</f>
        <v/>
      </c>
      <c r="AL58" s="273">
        <f>IF('Project Assumptions'!$D$16=0,IF(AM$5='Project Assumptions'!$D$15,-SUM('Detailed Project Costs'!$F$29:$F$30)*0.8,0),IF(AM$5='Project Assumptions'!$D$15+1,-SUM('Detailed Project Costs'!$F$29:$F$30)*0.8,0))+IF(AM$5&gt;'Project Assumptions'!$D$15,IF(AM$5&lt;='Project Assumptions'!$D$15+'Project Assumptions'!$D$16,-SUM('Detailed Project Costs'!$F$29:$F$30)*0.2/'Project Assumptions'!$D$16,0),0)+IF('Project Assumptions'!$D$16=0,IF(AM$5='Project Assumptions'!$D$15,-SUM('Detailed Project Costs'!$F$29:$F$30)*0.2,0),0)</f>
        <v/>
      </c>
      <c r="AM58" s="273">
        <f>IF('Project Assumptions'!$D$16=0,IF(AN$5='Project Assumptions'!$D$15,-SUM('Detailed Project Costs'!$F$29:$F$30)*0.8,0),IF(AN$5='Project Assumptions'!$D$15+1,-SUM('Detailed Project Costs'!$F$29:$F$30)*0.8,0))+IF(AN$5&gt;'Project Assumptions'!$D$15,IF(AN$5&lt;='Project Assumptions'!$D$15+'Project Assumptions'!$D$16,-SUM('Detailed Project Costs'!$F$29:$F$30)*0.2/'Project Assumptions'!$D$16,0),0)+IF('Project Assumptions'!$D$16=0,IF(AN$5='Project Assumptions'!$D$15,-SUM('Detailed Project Costs'!$F$29:$F$30)*0.2,0),0)</f>
        <v/>
      </c>
      <c r="AN58" s="273">
        <f>IF('Project Assumptions'!$D$16=0,IF(AO$5='Project Assumptions'!$D$15,-SUM('Detailed Project Costs'!$F$29:$F$30)*0.8,0),IF(AO$5='Project Assumptions'!$D$15+1,-SUM('Detailed Project Costs'!$F$29:$F$30)*0.8,0))+IF(AO$5&gt;'Project Assumptions'!$D$15,IF(AO$5&lt;='Project Assumptions'!$D$15+'Project Assumptions'!$D$16,-SUM('Detailed Project Costs'!$F$29:$F$30)*0.2/'Project Assumptions'!$D$16,0),0)+IF('Project Assumptions'!$D$16=0,IF(AO$5='Project Assumptions'!$D$15,-SUM('Detailed Project Costs'!$F$29:$F$30)*0.2,0),0)</f>
        <v/>
      </c>
      <c r="AO58" s="273">
        <f>IF('Project Assumptions'!$D$16=0,IF(AP$5='Project Assumptions'!$D$15,-SUM('Detailed Project Costs'!$F$29:$F$30)*0.8,0),IF(AP$5='Project Assumptions'!$D$15+1,-SUM('Detailed Project Costs'!$F$29:$F$30)*0.8,0))+IF(AP$5&gt;'Project Assumptions'!$D$15,IF(AP$5&lt;='Project Assumptions'!$D$15+'Project Assumptions'!$D$16,-SUM('Detailed Project Costs'!$F$29:$F$30)*0.2/'Project Assumptions'!$D$16,0),0)+IF('Project Assumptions'!$D$16=0,IF(AP$5='Project Assumptions'!$D$15,-SUM('Detailed Project Costs'!$F$29:$F$30)*0.2,0),0)</f>
        <v/>
      </c>
      <c r="AP58" s="273">
        <f>IF('Project Assumptions'!$D$16=0,IF(AQ$5='Project Assumptions'!$D$15,-SUM('Detailed Project Costs'!$F$29:$F$30)*0.8,0),IF(AQ$5='Project Assumptions'!$D$15+1,-SUM('Detailed Project Costs'!$F$29:$F$30)*0.8,0))+IF(AQ$5&gt;'Project Assumptions'!$D$15,IF(AQ$5&lt;='Project Assumptions'!$D$15+'Project Assumptions'!$D$16,-SUM('Detailed Project Costs'!$F$29:$F$30)*0.2/'Project Assumptions'!$D$16,0),0)+IF('Project Assumptions'!$D$16=0,IF(AQ$5='Project Assumptions'!$D$15,-SUM('Detailed Project Costs'!$F$29:$F$30)*0.2,0),0)</f>
        <v/>
      </c>
      <c r="AQ58" s="273">
        <f>IF('Project Assumptions'!$D$16=0,IF(AR$5='Project Assumptions'!$D$15,-SUM('Detailed Project Costs'!$F$29:$F$30)*0.8,0),IF(AR$5='Project Assumptions'!$D$15+1,-SUM('Detailed Project Costs'!$F$29:$F$30)*0.8,0))+IF(AR$5&gt;'Project Assumptions'!$D$15,IF(AR$5&lt;='Project Assumptions'!$D$15+'Project Assumptions'!$D$16,-SUM('Detailed Project Costs'!$F$29:$F$30)*0.2/'Project Assumptions'!$D$16,0),0)+IF('Project Assumptions'!$D$16=0,IF(AR$5='Project Assumptions'!$D$15,-SUM('Detailed Project Costs'!$F$29:$F$30)*0.2,0),0)</f>
        <v/>
      </c>
      <c r="AR58" s="273">
        <f>IF('Project Assumptions'!$D$16=0,IF(AS$5='Project Assumptions'!$D$15,-SUM('Detailed Project Costs'!$F$29:$F$30)*0.8,0),IF(AS$5='Project Assumptions'!$D$15+1,-SUM('Detailed Project Costs'!$F$29:$F$30)*0.8,0))+IF(AS$5&gt;'Project Assumptions'!$D$15,IF(AS$5&lt;='Project Assumptions'!$D$15+'Project Assumptions'!$D$16,-SUM('Detailed Project Costs'!$F$29:$F$30)*0.2/'Project Assumptions'!$D$16,0),0)+IF('Project Assumptions'!$D$16=0,IF(AS$5='Project Assumptions'!$D$15,-SUM('Detailed Project Costs'!$F$29:$F$30)*0.2,0),0)</f>
        <v/>
      </c>
      <c r="AS58" s="273">
        <f>IF('Project Assumptions'!$D$16=0,IF(AT$5='Project Assumptions'!$D$15,-SUM('Detailed Project Costs'!$F$29:$F$30)*0.8,0),IF(AT$5='Project Assumptions'!$D$15+1,-SUM('Detailed Project Costs'!$F$29:$F$30)*0.8,0))+IF(AT$5&gt;'Project Assumptions'!$D$15,IF(AT$5&lt;='Project Assumptions'!$D$15+'Project Assumptions'!$D$16,-SUM('Detailed Project Costs'!$F$29:$F$30)*0.2/'Project Assumptions'!$D$16,0),0)+IF('Project Assumptions'!$D$16=0,IF(AT$5='Project Assumptions'!$D$15,-SUM('Detailed Project Costs'!$F$29:$F$30)*0.2,0),0)</f>
        <v/>
      </c>
      <c r="AT58" s="273">
        <f>IF('Project Assumptions'!$D$16=0,IF(AU$5='Project Assumptions'!$D$15,-SUM('Detailed Project Costs'!$F$29:$F$30)*0.8,0),IF(AU$5='Project Assumptions'!$D$15+1,-SUM('Detailed Project Costs'!$F$29:$F$30)*0.8,0))+IF(AU$5&gt;'Project Assumptions'!$D$15,IF(AU$5&lt;='Project Assumptions'!$D$15+'Project Assumptions'!$D$16,-SUM('Detailed Project Costs'!$F$29:$F$30)*0.2/'Project Assumptions'!$D$16,0),0)+IF('Project Assumptions'!$D$16=0,IF(AU$5='Project Assumptions'!$D$15,-SUM('Detailed Project Costs'!$F$29:$F$30)*0.2,0),0)</f>
        <v/>
      </c>
      <c r="AU58" s="273">
        <f>IF('Project Assumptions'!$D$16=0,IF(AV$5='Project Assumptions'!$D$15,-SUM('Detailed Project Costs'!$F$29:$F$30)*0.8,0),IF(AV$5='Project Assumptions'!$D$15+1,-SUM('Detailed Project Costs'!$F$29:$F$30)*0.8,0))+IF(AV$5&gt;'Project Assumptions'!$D$15,IF(AV$5&lt;='Project Assumptions'!$D$15+'Project Assumptions'!$D$16,-SUM('Detailed Project Costs'!$F$29:$F$30)*0.2/'Project Assumptions'!$D$16,0),0)+IF('Project Assumptions'!$D$16=0,IF(AV$5='Project Assumptions'!$D$15,-SUM('Detailed Project Costs'!$F$29:$F$30)*0.2,0),0)</f>
        <v/>
      </c>
      <c r="AV58" s="273">
        <f>IF('Project Assumptions'!$D$16=0,IF(AW$5='Project Assumptions'!$D$15,-SUM('Detailed Project Costs'!$F$29:$F$30)*0.8,0),IF(AW$5='Project Assumptions'!$D$15+1,-SUM('Detailed Project Costs'!$F$29:$F$30)*0.8,0))+IF(AW$5&gt;'Project Assumptions'!$D$15,IF(AW$5&lt;='Project Assumptions'!$D$15+'Project Assumptions'!$D$16,-SUM('Detailed Project Costs'!$F$29:$F$30)*0.2/'Project Assumptions'!$D$16,0),0)+IF('Project Assumptions'!$D$16=0,IF(AW$5='Project Assumptions'!$D$15,-SUM('Detailed Project Costs'!$F$29:$F$30)*0.2,0),0)</f>
        <v/>
      </c>
      <c r="AW58" s="273">
        <f>IF('Project Assumptions'!$D$16=0,IF(AX$5='Project Assumptions'!$D$15,-SUM('Detailed Project Costs'!$F$29:$F$30)*0.8,0),IF(AX$5='Project Assumptions'!$D$15+1,-SUM('Detailed Project Costs'!$F$29:$F$30)*0.8,0))+IF(AX$5&gt;'Project Assumptions'!$D$15,IF(AX$5&lt;='Project Assumptions'!$D$15+'Project Assumptions'!$D$16,-SUM('Detailed Project Costs'!$F$29:$F$30)*0.2/'Project Assumptions'!$D$16,0),0)+IF('Project Assumptions'!$D$16=0,IF(AX$5='Project Assumptions'!$D$15,-SUM('Detailed Project Costs'!$F$29:$F$30)*0.2,0),0)</f>
        <v/>
      </c>
      <c r="AX58" s="273">
        <f>IF('Project Assumptions'!$D$16=0,IF(AY$5='Project Assumptions'!$D$15,-SUM('Detailed Project Costs'!$F$29:$F$30)*0.8,0),IF(AY$5='Project Assumptions'!$D$15+1,-SUM('Detailed Project Costs'!$F$29:$F$30)*0.8,0))+IF(AY$5&gt;'Project Assumptions'!$D$15,IF(AY$5&lt;='Project Assumptions'!$D$15+'Project Assumptions'!$D$16,-SUM('Detailed Project Costs'!$F$29:$F$30)*0.2/'Project Assumptions'!$D$16,0),0)+IF('Project Assumptions'!$D$16=0,IF(AY$5='Project Assumptions'!$D$15,-SUM('Detailed Project Costs'!$F$29:$F$30)*0.2,0),0)</f>
        <v/>
      </c>
      <c r="AY58" s="273">
        <f>IF('Project Assumptions'!$D$16=0,IF(AZ$5='Project Assumptions'!$D$15,-SUM('Detailed Project Costs'!$F$29:$F$30)*0.8,0),IF(AZ$5='Project Assumptions'!$D$15+1,-SUM('Detailed Project Costs'!$F$29:$F$30)*0.8,0))+IF(AZ$5&gt;'Project Assumptions'!$D$15,IF(AZ$5&lt;='Project Assumptions'!$D$15+'Project Assumptions'!$D$16,-SUM('Detailed Project Costs'!$F$29:$F$30)*0.2/'Project Assumptions'!$D$16,0),0)+IF('Project Assumptions'!$D$16=0,IF(AZ$5='Project Assumptions'!$D$15,-SUM('Detailed Project Costs'!$F$29:$F$30)*0.2,0),0)</f>
        <v/>
      </c>
      <c r="AZ58" s="273">
        <f>IF('Project Assumptions'!$D$16=0,IF(BA$5='Project Assumptions'!$D$15,-SUM('Detailed Project Costs'!$F$29:$F$30)*0.8,0),IF(BA$5='Project Assumptions'!$D$15+1,-SUM('Detailed Project Costs'!$F$29:$F$30)*0.8,0))+IF(BA$5&gt;'Project Assumptions'!$D$15,IF(BA$5&lt;='Project Assumptions'!$D$15+'Project Assumptions'!$D$16,-SUM('Detailed Project Costs'!$F$29:$F$30)*0.2/'Project Assumptions'!$D$16,0),0)+IF('Project Assumptions'!$D$16=0,IF(BA$5='Project Assumptions'!$D$15,-SUM('Detailed Project Costs'!$F$29:$F$30)*0.2,0),0)</f>
        <v/>
      </c>
      <c r="BA58" s="273">
        <f>IF('Project Assumptions'!$D$16=0,IF(BB$5='Project Assumptions'!$D$15,-SUM('Detailed Project Costs'!$F$29:$F$30)*0.8,0),IF(BB$5='Project Assumptions'!$D$15+1,-SUM('Detailed Project Costs'!$F$29:$F$30)*0.8,0))+IF(BB$5&gt;'Project Assumptions'!$D$15,IF(BB$5&lt;='Project Assumptions'!$D$15+'Project Assumptions'!$D$16,-SUM('Detailed Project Costs'!$F$29:$F$30)*0.2/'Project Assumptions'!$D$16,0),0)+IF('Project Assumptions'!$D$16=0,IF(BB$5='Project Assumptions'!$D$15,-SUM('Detailed Project Costs'!$F$29:$F$30)*0.2,0),0)</f>
        <v/>
      </c>
      <c r="BB58" s="273">
        <f>IF('Project Assumptions'!$D$16=0,IF(BC$5='Project Assumptions'!$D$15,-SUM('Detailed Project Costs'!$F$29:$F$30)*0.8,0),IF(BC$5='Project Assumptions'!$D$15+1,-SUM('Detailed Project Costs'!$F$29:$F$30)*0.8,0))+IF(BC$5&gt;'Project Assumptions'!$D$15,IF(BC$5&lt;='Project Assumptions'!$D$15+'Project Assumptions'!$D$16,-SUM('Detailed Project Costs'!$F$29:$F$30)*0.2/'Project Assumptions'!$D$16,0),0)+IF('Project Assumptions'!$D$16=0,IF(BC$5='Project Assumptions'!$D$15,-SUM('Detailed Project Costs'!$F$29:$F$30)*0.2,0),0)</f>
        <v/>
      </c>
      <c r="BC58" s="273">
        <f>IF('Project Assumptions'!$D$16=0,IF(BD$5='Project Assumptions'!$D$15,-SUM('Detailed Project Costs'!$F$29:$F$30)*0.8,0),IF(BD$5='Project Assumptions'!$D$15+1,-SUM('Detailed Project Costs'!$F$29:$F$30)*0.8,0))+IF(BD$5&gt;'Project Assumptions'!$D$15,IF(BD$5&lt;='Project Assumptions'!$D$15+'Project Assumptions'!$D$16,-SUM('Detailed Project Costs'!$F$29:$F$30)*0.2/'Project Assumptions'!$D$16,0),0)+IF('Project Assumptions'!$D$16=0,IF(BD$5='Project Assumptions'!$D$15,-SUM('Detailed Project Costs'!$F$29:$F$30)*0.2,0),0)</f>
        <v/>
      </c>
      <c r="BD58" s="273">
        <f>IF('Project Assumptions'!$D$16=0,IF(BE$5='Project Assumptions'!$D$15,-SUM('Detailed Project Costs'!$F$29:$F$30)*0.8,0),IF(BE$5='Project Assumptions'!$D$15+1,-SUM('Detailed Project Costs'!$F$29:$F$30)*0.8,0))+IF(BE$5&gt;'Project Assumptions'!$D$15,IF(BE$5&lt;='Project Assumptions'!$D$15+'Project Assumptions'!$D$16,-SUM('Detailed Project Costs'!$F$29:$F$30)*0.2/'Project Assumptions'!$D$16,0),0)+IF('Project Assumptions'!$D$16=0,IF(BE$5='Project Assumptions'!$D$15,-SUM('Detailed Project Costs'!$F$29:$F$30)*0.2,0),0)</f>
        <v/>
      </c>
      <c r="BE58" s="273">
        <f>IF('Project Assumptions'!$D$16=0,IF(BF$5='Project Assumptions'!$D$15,-SUM('Detailed Project Costs'!$F$29:$F$30)*0.8,0),IF(BF$5='Project Assumptions'!$D$15+1,-SUM('Detailed Project Costs'!$F$29:$F$30)*0.8,0))+IF(BF$5&gt;'Project Assumptions'!$D$15,IF(BF$5&lt;='Project Assumptions'!$D$15+'Project Assumptions'!$D$16,-SUM('Detailed Project Costs'!$F$29:$F$30)*0.2/'Project Assumptions'!$D$16,0),0)+IF('Project Assumptions'!$D$16=0,IF(BF$5='Project Assumptions'!$D$15,-SUM('Detailed Project Costs'!$F$29:$F$30)*0.2,0),0)</f>
        <v/>
      </c>
      <c r="BF58" s="273">
        <f>IF('Project Assumptions'!$D$16=0,IF(BG$5='Project Assumptions'!$D$15,-SUM('Detailed Project Costs'!$F$29:$F$30)*0.8,0),IF(BG$5='Project Assumptions'!$D$15+1,-SUM('Detailed Project Costs'!$F$29:$F$30)*0.8,0))+IF(BG$5&gt;'Project Assumptions'!$D$15,IF(BG$5&lt;='Project Assumptions'!$D$15+'Project Assumptions'!$D$16,-SUM('Detailed Project Costs'!$F$29:$F$30)*0.2/'Project Assumptions'!$D$16,0),0)+IF('Project Assumptions'!$D$16=0,IF(BG$5='Project Assumptions'!$D$15,-SUM('Detailed Project Costs'!$F$29:$F$30)*0.2,0),0)</f>
        <v/>
      </c>
      <c r="BG58" s="273">
        <f>IF('Project Assumptions'!$D$16=0,IF(BH$5='Project Assumptions'!$D$15,-SUM('Detailed Project Costs'!$F$29:$F$30)*0.8,0),IF(BH$5='Project Assumptions'!$D$15+1,-SUM('Detailed Project Costs'!$F$29:$F$30)*0.8,0))+IF(BH$5&gt;'Project Assumptions'!$D$15,IF(BH$5&lt;='Project Assumptions'!$D$15+'Project Assumptions'!$D$16,-SUM('Detailed Project Costs'!$F$29:$F$30)*0.2/'Project Assumptions'!$D$16,0),0)+IF('Project Assumptions'!$D$16=0,IF(BH$5='Project Assumptions'!$D$15,-SUM('Detailed Project Costs'!$F$29:$F$30)*0.2,0),0)</f>
        <v/>
      </c>
      <c r="BH58" s="273">
        <f>IF('Project Assumptions'!$D$16=0,IF(BI$5='Project Assumptions'!$D$15,-SUM('Detailed Project Costs'!$F$29:$F$30)*0.8,0),IF(BI$5='Project Assumptions'!$D$15+1,-SUM('Detailed Project Costs'!$F$29:$F$30)*0.8,0))+IF(BI$5&gt;'Project Assumptions'!$D$15,IF(BI$5&lt;='Project Assumptions'!$D$15+'Project Assumptions'!$D$16,-SUM('Detailed Project Costs'!$F$29:$F$30)*0.2/'Project Assumptions'!$D$16,0),0)+IF('Project Assumptions'!$D$16=0,IF(BI$5='Project Assumptions'!$D$15,-SUM('Detailed Project Costs'!$F$29:$F$30)*0.2,0),0)</f>
        <v/>
      </c>
      <c r="BI58" s="273">
        <f>IF('Project Assumptions'!$D$16=0,IF(BJ$5='Project Assumptions'!$D$15,-SUM('Detailed Project Costs'!$F$29:$F$30)*0.8,0),IF(BJ$5='Project Assumptions'!$D$15+1,-SUM('Detailed Project Costs'!$F$29:$F$30)*0.8,0))+IF(BJ$5&gt;'Project Assumptions'!$D$15,IF(BJ$5&lt;='Project Assumptions'!$D$15+'Project Assumptions'!$D$16,-SUM('Detailed Project Costs'!$F$29:$F$30)*0.2/'Project Assumptions'!$D$16,0),0)+IF('Project Assumptions'!$D$16=0,IF(BJ$5='Project Assumptions'!$D$15,-SUM('Detailed Project Costs'!$F$29:$F$30)*0.2,0),0)</f>
        <v/>
      </c>
      <c r="BJ58" s="273">
        <f>IF('Project Assumptions'!$D$16=0,IF(BK$5='Project Assumptions'!$D$15,-SUM('Detailed Project Costs'!$F$29:$F$30)*0.8,0),IF(BK$5='Project Assumptions'!$D$15+1,-SUM('Detailed Project Costs'!$F$29:$F$30)*0.8,0))+IF(BK$5&gt;'Project Assumptions'!$D$15,IF(BK$5&lt;='Project Assumptions'!$D$15+'Project Assumptions'!$D$16,-SUM('Detailed Project Costs'!$F$29:$F$30)*0.2/'Project Assumptions'!$D$16,0),0)+IF('Project Assumptions'!$D$16=0,IF(BK$5='Project Assumptions'!$D$15,-SUM('Detailed Project Costs'!$F$29:$F$30)*0.2,0),0)</f>
        <v/>
      </c>
      <c r="BK58" s="273">
        <f>IF('Project Assumptions'!$D$16=0,IF(BL$5='Project Assumptions'!$D$15,-SUM('Detailed Project Costs'!$F$29:$F$30)*0.8,0),IF(BL$5='Project Assumptions'!$D$15+1,-SUM('Detailed Project Costs'!$F$29:$F$30)*0.8,0))+IF(BL$5&gt;'Project Assumptions'!$D$15,IF(BL$5&lt;='Project Assumptions'!$D$15+'Project Assumptions'!$D$16,-SUM('Detailed Project Costs'!$F$29:$F$30)*0.2/'Project Assumptions'!$D$16,0),0)+IF('Project Assumptions'!$D$16=0,IF(BL$5='Project Assumptions'!$D$15,-SUM('Detailed Project Costs'!$F$29:$F$30)*0.2,0),0)</f>
        <v/>
      </c>
      <c r="BL58" s="273">
        <f>IF('Project Assumptions'!$D$16=0,IF(BM$5='Project Assumptions'!$D$15,-SUM('Detailed Project Costs'!$F$29:$F$30)*0.8,0),IF(BM$5='Project Assumptions'!$D$15+1,-SUM('Detailed Project Costs'!$F$29:$F$30)*0.8,0))+IF(BM$5&gt;'Project Assumptions'!$D$15,IF(BM$5&lt;='Project Assumptions'!$D$15+'Project Assumptions'!$D$16,-SUM('Detailed Project Costs'!$F$29:$F$30)*0.2/'Project Assumptions'!$D$16,0),0)+IF('Project Assumptions'!$D$16=0,IF(BM$5='Project Assumptions'!$D$15,-SUM('Detailed Project Costs'!$F$29:$F$30)*0.2,0),0)</f>
        <v/>
      </c>
      <c r="BM58" s="273">
        <f>IF('Project Assumptions'!$D$16=0,IF(BN$5='Project Assumptions'!$D$15,-SUM('Detailed Project Costs'!$F$29:$F$30)*0.8,0),IF(BN$5='Project Assumptions'!$D$15+1,-SUM('Detailed Project Costs'!$F$29:$F$30)*0.8,0))+IF(BN$5&gt;'Project Assumptions'!$D$15,IF(BN$5&lt;='Project Assumptions'!$D$15+'Project Assumptions'!$D$16,-SUM('Detailed Project Costs'!$F$29:$F$30)*0.2/'Project Assumptions'!$D$16,0),0)+IF('Project Assumptions'!$D$16=0,IF(BN$5='Project Assumptions'!$D$15,-SUM('Detailed Project Costs'!$F$29:$F$30)*0.2,0),0)</f>
        <v/>
      </c>
      <c r="BN58" s="273">
        <f>IF('Project Assumptions'!$D$16=0,IF(BO$5='Project Assumptions'!$D$15,-SUM('Detailed Project Costs'!$F$29:$F$30)*0.8,0),IF(BO$5='Project Assumptions'!$D$15+1,-SUM('Detailed Project Costs'!$F$29:$F$30)*0.8,0))+IF(BO$5&gt;'Project Assumptions'!$D$15,IF(BO$5&lt;='Project Assumptions'!$D$15+'Project Assumptions'!$D$16,-SUM('Detailed Project Costs'!$F$29:$F$30)*0.2/'Project Assumptions'!$D$16,0),0)+IF('Project Assumptions'!$D$16=0,IF(BO$5='Project Assumptions'!$D$15,-SUM('Detailed Project Costs'!$F$29:$F$30)*0.2,0),0)</f>
        <v/>
      </c>
      <c r="BO58" s="273">
        <f>IF('Project Assumptions'!$D$16=0,IF(BP$5='Project Assumptions'!$D$15,-SUM('Detailed Project Costs'!$F$29:$F$30)*0.8,0),IF(BP$5='Project Assumptions'!$D$15+1,-SUM('Detailed Project Costs'!$F$29:$F$30)*0.8,0))+IF(BP$5&gt;'Project Assumptions'!$D$15,IF(BP$5&lt;='Project Assumptions'!$D$15+'Project Assumptions'!$D$16,-SUM('Detailed Project Costs'!$F$29:$F$30)*0.2/'Project Assumptions'!$D$16,0),0)+IF('Project Assumptions'!$D$16=0,IF(BP$5='Project Assumptions'!$D$15,-SUM('Detailed Project Costs'!$F$29:$F$30)*0.2,0),0)</f>
        <v/>
      </c>
      <c r="BP58" s="273">
        <f>IF('Project Assumptions'!$D$16=0,IF(BQ$5='Project Assumptions'!$D$15,-SUM('Detailed Project Costs'!$F$29:$F$30)*0.8,0),IF(BQ$5='Project Assumptions'!$D$15+1,-SUM('Detailed Project Costs'!$F$29:$F$30)*0.8,0))+IF(BQ$5&gt;'Project Assumptions'!$D$15,IF(BQ$5&lt;='Project Assumptions'!$D$15+'Project Assumptions'!$D$16,-SUM('Detailed Project Costs'!$F$29:$F$30)*0.2/'Project Assumptions'!$D$16,0),0)+IF('Project Assumptions'!$D$16=0,IF(BQ$5='Project Assumptions'!$D$15,-SUM('Detailed Project Costs'!$F$29:$F$30)*0.2,0),0)</f>
        <v/>
      </c>
      <c r="BQ58" s="273">
        <f>IF('Project Assumptions'!$D$16=0,IF(BR$5='Project Assumptions'!$D$15,-SUM('Detailed Project Costs'!$F$29:$F$30)*0.8,0),IF(BR$5='Project Assumptions'!$D$15+1,-SUM('Detailed Project Costs'!$F$29:$F$30)*0.8,0))+IF(BR$5&gt;'Project Assumptions'!$D$15,IF(BR$5&lt;='Project Assumptions'!$D$15+'Project Assumptions'!$D$16,-SUM('Detailed Project Costs'!$F$29:$F$30)*0.2/'Project Assumptions'!$D$16,0),0)+IF('Project Assumptions'!$D$16=0,IF(BR$5='Project Assumptions'!$D$15,-SUM('Detailed Project Costs'!$F$29:$F$30)*0.2,0),0)</f>
        <v/>
      </c>
      <c r="BR58" s="273">
        <f>IF('Project Assumptions'!$D$16=0,IF(BS$5='Project Assumptions'!$D$15,-SUM('Detailed Project Costs'!$F$29:$F$30)*0.8,0),IF(BS$5='Project Assumptions'!$D$15+1,-SUM('Detailed Project Costs'!$F$29:$F$30)*0.8,0))+IF(BS$5&gt;'Project Assumptions'!$D$15,IF(BS$5&lt;='Project Assumptions'!$D$15+'Project Assumptions'!$D$16,-SUM('Detailed Project Costs'!$F$29:$F$30)*0.2/'Project Assumptions'!$D$16,0),0)+IF('Project Assumptions'!$D$16=0,IF(BS$5='Project Assumptions'!$D$15,-SUM('Detailed Project Costs'!$F$29:$F$30)*0.2,0),0)</f>
        <v/>
      </c>
      <c r="BS58" s="273">
        <f>IF('Project Assumptions'!$D$16=0,IF(BT$5='Project Assumptions'!$D$15,-SUM('Detailed Project Costs'!$F$29:$F$30)*0.8,0),IF(BT$5='Project Assumptions'!$D$15+1,-SUM('Detailed Project Costs'!$F$29:$F$30)*0.8,0))+IF(BT$5&gt;'Project Assumptions'!$D$15,IF(BT$5&lt;='Project Assumptions'!$D$15+'Project Assumptions'!$D$16,-SUM('Detailed Project Costs'!$F$29:$F$30)*0.2/'Project Assumptions'!$D$16,0),0)+IF('Project Assumptions'!$D$16=0,IF(BT$5='Project Assumptions'!$D$15,-SUM('Detailed Project Costs'!$F$29:$F$30)*0.2,0),0)</f>
        <v/>
      </c>
      <c r="BT58" s="273">
        <f>IF('Project Assumptions'!$D$16=0,IF(BU$5='Project Assumptions'!$D$15,-SUM('Detailed Project Costs'!$F$29:$F$30)*0.8,0),IF(BU$5='Project Assumptions'!$D$15+1,-SUM('Detailed Project Costs'!$F$29:$F$30)*0.8,0))+IF(BU$5&gt;'Project Assumptions'!$D$15,IF(BU$5&lt;='Project Assumptions'!$D$15+'Project Assumptions'!$D$16,-SUM('Detailed Project Costs'!$F$29:$F$30)*0.2/'Project Assumptions'!$D$16,0),0)+IF('Project Assumptions'!$D$16=0,IF(BU$5='Project Assumptions'!$D$15,-SUM('Detailed Project Costs'!$F$29:$F$30)*0.2,0),0)</f>
        <v/>
      </c>
      <c r="BU58" s="273">
        <f>IF('Project Assumptions'!$D$16=0,IF(BV$5='Project Assumptions'!$D$15,-SUM('Detailed Project Costs'!$F$29:$F$30)*0.8,0),IF(BV$5='Project Assumptions'!$D$15+1,-SUM('Detailed Project Costs'!$F$29:$F$30)*0.8,0))+IF(BV$5&gt;'Project Assumptions'!$D$15,IF(BV$5&lt;='Project Assumptions'!$D$15+'Project Assumptions'!$D$16,-SUM('Detailed Project Costs'!$F$29:$F$30)*0.2/'Project Assumptions'!$D$16,0),0)+IF('Project Assumptions'!$D$16=0,IF(BV$5='Project Assumptions'!$D$15,-SUM('Detailed Project Costs'!$F$29:$F$30)*0.2,0),0)</f>
        <v/>
      </c>
      <c r="BV58" s="273">
        <f>IF('Project Assumptions'!$D$16=0,IF(BW$5='Project Assumptions'!$D$15,-SUM('Detailed Project Costs'!$F$29:$F$30)*0.8,0),IF(BW$5='Project Assumptions'!$D$15+1,-SUM('Detailed Project Costs'!$F$29:$F$30)*0.8,0))+IF(BW$5&gt;'Project Assumptions'!$D$15,IF(BW$5&lt;='Project Assumptions'!$D$15+'Project Assumptions'!$D$16,-SUM('Detailed Project Costs'!$F$29:$F$30)*0.2/'Project Assumptions'!$D$16,0),0)+IF('Project Assumptions'!$D$16=0,IF(BW$5='Project Assumptions'!$D$15,-SUM('Detailed Project Costs'!$F$29:$F$30)*0.2,0),0)</f>
        <v/>
      </c>
      <c r="BW58" s="273">
        <f>IF('Project Assumptions'!$D$16=0,IF(BX$5='Project Assumptions'!$D$15,-SUM('Detailed Project Costs'!$F$29:$F$30)*0.8,0),IF(BX$5='Project Assumptions'!$D$15+1,-SUM('Detailed Project Costs'!$F$29:$F$30)*0.8,0))+IF(BX$5&gt;'Project Assumptions'!$D$15,IF(BX$5&lt;='Project Assumptions'!$D$15+'Project Assumptions'!$D$16,-SUM('Detailed Project Costs'!$F$29:$F$30)*0.2/'Project Assumptions'!$D$16,0),0)+IF('Project Assumptions'!$D$16=0,IF(BX$5='Project Assumptions'!$D$15,-SUM('Detailed Project Costs'!$F$29:$F$30)*0.2,0),0)</f>
        <v/>
      </c>
      <c r="BX58" s="273">
        <f>IF('Project Assumptions'!$D$16=0,IF(BY$5='Project Assumptions'!$D$15,-SUM('Detailed Project Costs'!$F$29:$F$30)*0.8,0),IF(BY$5='Project Assumptions'!$D$15+1,-SUM('Detailed Project Costs'!$F$29:$F$30)*0.8,0))+IF(BY$5&gt;'Project Assumptions'!$D$15,IF(BY$5&lt;='Project Assumptions'!$D$15+'Project Assumptions'!$D$16,-SUM('Detailed Project Costs'!$F$29:$F$30)*0.2/'Project Assumptions'!$D$16,0),0)+IF('Project Assumptions'!$D$16=0,IF(BY$5='Project Assumptions'!$D$15,-SUM('Detailed Project Costs'!$F$29:$F$30)*0.2,0),0)</f>
        <v/>
      </c>
      <c r="BY58" s="273">
        <f>IF('Project Assumptions'!$D$16=0,IF(BZ$5='Project Assumptions'!$D$15,-SUM('Detailed Project Costs'!$F$29:$F$30)*0.8,0),IF(BZ$5='Project Assumptions'!$D$15+1,-SUM('Detailed Project Costs'!$F$29:$F$30)*0.8,0))+IF(BZ$5&gt;'Project Assumptions'!$D$15,IF(BZ$5&lt;='Project Assumptions'!$D$15+'Project Assumptions'!$D$16,-SUM('Detailed Project Costs'!$F$29:$F$30)*0.2/'Project Assumptions'!$D$16,0),0)+IF('Project Assumptions'!$D$16=0,IF(BZ$5='Project Assumptions'!$D$15,-SUM('Detailed Project Costs'!$F$29:$F$30)*0.2,0),0)</f>
        <v/>
      </c>
      <c r="BZ58" s="273">
        <f>IF('Project Assumptions'!$D$16=0,IF(CA$5='Project Assumptions'!$D$15,-SUM('Detailed Project Costs'!$F$29:$F$30)*0.8,0),IF(CA$5='Project Assumptions'!$D$15+1,-SUM('Detailed Project Costs'!$F$29:$F$30)*0.8,0))+IF(CA$5&gt;'Project Assumptions'!$D$15,IF(CA$5&lt;='Project Assumptions'!$D$15+'Project Assumptions'!$D$16,-SUM('Detailed Project Costs'!$F$29:$F$30)*0.2/'Project Assumptions'!$D$16,0),0)+IF('Project Assumptions'!$D$16=0,IF(CA$5='Project Assumptions'!$D$15,-SUM('Detailed Project Costs'!$F$29:$F$30)*0.2,0),0)</f>
        <v/>
      </c>
      <c r="CA58" s="273">
        <f>IF('Project Assumptions'!$D$16=0,IF(CB$5='Project Assumptions'!$D$15,-SUM('Detailed Project Costs'!$F$29:$F$30)*0.8,0),IF(CB$5='Project Assumptions'!$D$15+1,-SUM('Detailed Project Costs'!$F$29:$F$30)*0.8,0))+IF(CB$5&gt;'Project Assumptions'!$D$15,IF(CB$5&lt;='Project Assumptions'!$D$15+'Project Assumptions'!$D$16,-SUM('Detailed Project Costs'!$F$29:$F$30)*0.2/'Project Assumptions'!$D$16,0),0)+IF('Project Assumptions'!$D$16=0,IF(CB$5='Project Assumptions'!$D$15,-SUM('Detailed Project Costs'!$F$29:$F$30)*0.2,0),0)</f>
        <v/>
      </c>
      <c r="CB58" s="273">
        <f>IF('Project Assumptions'!$D$16=0,IF(CC$5='Project Assumptions'!$D$15,-SUM('Detailed Project Costs'!$F$29:$F$30)*0.8,0),IF(CC$5='Project Assumptions'!$D$15+1,-SUM('Detailed Project Costs'!$F$29:$F$30)*0.8,0))+IF(CC$5&gt;'Project Assumptions'!$D$15,IF(CC$5&lt;='Project Assumptions'!$D$15+'Project Assumptions'!$D$16,-SUM('Detailed Project Costs'!$F$29:$F$30)*0.2/'Project Assumptions'!$D$16,0),0)+IF('Project Assumptions'!$D$16=0,IF(CC$5='Project Assumptions'!$D$15,-SUM('Detailed Project Costs'!$F$29:$F$30)*0.2,0),0)</f>
        <v/>
      </c>
      <c r="CC58" s="273">
        <f>IF('Project Assumptions'!$D$16=0,IF(CD$5='Project Assumptions'!$D$15,-SUM('Detailed Project Costs'!$F$29:$F$30)*0.8,0),IF(CD$5='Project Assumptions'!$D$15+1,-SUM('Detailed Project Costs'!$F$29:$F$30)*0.8,0))+IF(CD$5&gt;'Project Assumptions'!$D$15,IF(CD$5&lt;='Project Assumptions'!$D$15+'Project Assumptions'!$D$16,-SUM('Detailed Project Costs'!$F$29:$F$30)*0.2/'Project Assumptions'!$D$16,0),0)+IF('Project Assumptions'!$D$16=0,IF(CD$5='Project Assumptions'!$D$15,-SUM('Detailed Project Costs'!$F$29:$F$30)*0.2,0),0)</f>
        <v/>
      </c>
      <c r="CD58" s="273">
        <f>IF('Project Assumptions'!$D$16=0,IF(CE$5='Project Assumptions'!$D$15,-SUM('Detailed Project Costs'!$F$29:$F$30)*0.8,0),IF(CE$5='Project Assumptions'!$D$15+1,-SUM('Detailed Project Costs'!$F$29:$F$30)*0.8,0))+IF(CE$5&gt;'Project Assumptions'!$D$15,IF(CE$5&lt;='Project Assumptions'!$D$15+'Project Assumptions'!$D$16,-SUM('Detailed Project Costs'!$F$29:$F$30)*0.2/'Project Assumptions'!$D$16,0),0)+IF('Project Assumptions'!$D$16=0,IF(CE$5='Project Assumptions'!$D$15,-SUM('Detailed Project Costs'!$F$29:$F$30)*0.2,0),0)</f>
        <v/>
      </c>
      <c r="CE58" s="273">
        <f>IF('Project Assumptions'!$D$16=0,IF(CF$5='Project Assumptions'!$D$15,-SUM('Detailed Project Costs'!$F$29:$F$30)*0.8,0),IF(CF$5='Project Assumptions'!$D$15+1,-SUM('Detailed Project Costs'!$F$29:$F$30)*0.8,0))+IF(CF$5&gt;'Project Assumptions'!$D$15,IF(CF$5&lt;='Project Assumptions'!$D$15+'Project Assumptions'!$D$16,-SUM('Detailed Project Costs'!$F$29:$F$30)*0.2/'Project Assumptions'!$D$16,0),0)+IF('Project Assumptions'!$D$16=0,IF(CF$5='Project Assumptions'!$D$15,-SUM('Detailed Project Costs'!$F$29:$F$30)*0.2,0),0)</f>
        <v/>
      </c>
      <c r="CF58" s="273">
        <f>IF('Project Assumptions'!$D$16=0,IF(CG$5='Project Assumptions'!$D$15,-SUM('Detailed Project Costs'!$F$29:$F$30)*0.8,0),IF(CG$5='Project Assumptions'!$D$15+1,-SUM('Detailed Project Costs'!$F$29:$F$30)*0.8,0))+IF(CG$5&gt;'Project Assumptions'!$D$15,IF(CG$5&lt;='Project Assumptions'!$D$15+'Project Assumptions'!$D$16,-SUM('Detailed Project Costs'!$F$29:$F$30)*0.2/'Project Assumptions'!$D$16,0),0)+IF('Project Assumptions'!$D$16=0,IF(CG$5='Project Assumptions'!$D$15,-SUM('Detailed Project Costs'!$F$29:$F$30)*0.2,0),0)</f>
        <v/>
      </c>
      <c r="CG58" s="273">
        <f>IF('Project Assumptions'!$D$16=0,IF(CH$5='Project Assumptions'!$D$15,-SUM('Detailed Project Costs'!$F$29:$F$30)*0.8,0),IF(CH$5='Project Assumptions'!$D$15+1,-SUM('Detailed Project Costs'!$F$29:$F$30)*0.8,0))+IF(CH$5&gt;'Project Assumptions'!$D$15,IF(CH$5&lt;='Project Assumptions'!$D$15+'Project Assumptions'!$D$16,-SUM('Detailed Project Costs'!$F$29:$F$30)*0.2/'Project Assumptions'!$D$16,0),0)+IF('Project Assumptions'!$D$16=0,IF(CH$5='Project Assumptions'!$D$15,-SUM('Detailed Project Costs'!$F$29:$F$30)*0.2,0),0)</f>
        <v/>
      </c>
      <c r="CH58" s="273">
        <f>IF('Project Assumptions'!$D$16=0,IF(CI$5='Project Assumptions'!$D$15,-SUM('Detailed Project Costs'!$F$29:$F$30)*0.8,0),IF(CI$5='Project Assumptions'!$D$15+1,-SUM('Detailed Project Costs'!$F$29:$F$30)*0.8,0))+IF(CI$5&gt;'Project Assumptions'!$D$15,IF(CI$5&lt;='Project Assumptions'!$D$15+'Project Assumptions'!$D$16,-SUM('Detailed Project Costs'!$F$29:$F$30)*0.2/'Project Assumptions'!$D$16,0),0)+IF('Project Assumptions'!$D$16=0,IF(CI$5='Project Assumptions'!$D$15,-SUM('Detailed Project Costs'!$F$29:$F$30)*0.2,0),0)</f>
        <v/>
      </c>
      <c r="CI58" s="273">
        <f>IF('Project Assumptions'!$D$16=0,IF(CJ$5='Project Assumptions'!$D$15,-SUM('Detailed Project Costs'!$F$29:$F$30)*0.8,0),IF(CJ$5='Project Assumptions'!$D$15+1,-SUM('Detailed Project Costs'!$F$29:$F$30)*0.8,0))+IF(CJ$5&gt;'Project Assumptions'!$D$15,IF(CJ$5&lt;='Project Assumptions'!$D$15+'Project Assumptions'!$D$16,-SUM('Detailed Project Costs'!$F$29:$F$30)*0.2/'Project Assumptions'!$D$16,0),0)+IF('Project Assumptions'!$D$16=0,IF(CJ$5='Project Assumptions'!$D$15,-SUM('Detailed Project Costs'!$F$29:$F$30)*0.2,0),0)</f>
        <v/>
      </c>
      <c r="CJ58" s="273">
        <f>IF('Project Assumptions'!$D$16=0,IF(CK$5='Project Assumptions'!$D$15,-SUM('Detailed Project Costs'!$F$29:$F$30)*0.8,0),IF(CK$5='Project Assumptions'!$D$15+1,-SUM('Detailed Project Costs'!$F$29:$F$30)*0.8,0))+IF(CK$5&gt;'Project Assumptions'!$D$15,IF(CK$5&lt;='Project Assumptions'!$D$15+'Project Assumptions'!$D$16,-SUM('Detailed Project Costs'!$F$29:$F$30)*0.2/'Project Assumptions'!$D$16,0),0)+IF('Project Assumptions'!$D$16=0,IF(CK$5='Project Assumptions'!$D$15,-SUM('Detailed Project Costs'!$F$29:$F$30)*0.2,0),0)</f>
        <v/>
      </c>
      <c r="CK58" s="273">
        <f>IF('Project Assumptions'!$D$16=0,IF(CL$5='Project Assumptions'!$D$15,-SUM('Detailed Project Costs'!$F$29:$F$30)*0.8,0),IF(CL$5='Project Assumptions'!$D$15+1,-SUM('Detailed Project Costs'!$F$29:$F$30)*0.8,0))+IF(CL$5&gt;'Project Assumptions'!$D$15,IF(CL$5&lt;='Project Assumptions'!$D$15+'Project Assumptions'!$D$16,-SUM('Detailed Project Costs'!$F$29:$F$30)*0.2/'Project Assumptions'!$D$16,0),0)+IF('Project Assumptions'!$D$16=0,IF(CL$5='Project Assumptions'!$D$15,-SUM('Detailed Project Costs'!$F$29:$F$30)*0.2,0),0)</f>
        <v/>
      </c>
      <c r="CL58" s="273">
        <f>IF('Project Assumptions'!$D$16=0,IF(CM$5='Project Assumptions'!$D$15,-SUM('Detailed Project Costs'!$F$29:$F$30)*0.8,0),IF(CM$5='Project Assumptions'!$D$15+1,-SUM('Detailed Project Costs'!$F$29:$F$30)*0.8,0))+IF(CM$5&gt;'Project Assumptions'!$D$15,IF(CM$5&lt;='Project Assumptions'!$D$15+'Project Assumptions'!$D$16,-SUM('Detailed Project Costs'!$F$29:$F$30)*0.2/'Project Assumptions'!$D$16,0),0)+IF('Project Assumptions'!$D$16=0,IF(CM$5='Project Assumptions'!$D$15,-SUM('Detailed Project Costs'!$F$29:$F$30)*0.2,0),0)</f>
        <v/>
      </c>
      <c r="CM58" s="273">
        <f>IF('Project Assumptions'!$D$16=0,IF(CN$5='Project Assumptions'!$D$15,-SUM('Detailed Project Costs'!$F$29:$F$30)*0.8,0),IF(CN$5='Project Assumptions'!$D$15+1,-SUM('Detailed Project Costs'!$F$29:$F$30)*0.8,0))+IF(CN$5&gt;'Project Assumptions'!$D$15,IF(CN$5&lt;='Project Assumptions'!$D$15+'Project Assumptions'!$D$16,-SUM('Detailed Project Costs'!$F$29:$F$30)*0.2/'Project Assumptions'!$D$16,0),0)+IF('Project Assumptions'!$D$16=0,IF(CN$5='Project Assumptions'!$D$15,-SUM('Detailed Project Costs'!$F$29:$F$30)*0.2,0),0)</f>
        <v/>
      </c>
      <c r="CN58" s="273">
        <f>IF('Project Assumptions'!$D$16=0,IF(CO$5='Project Assumptions'!$D$15,-SUM('Detailed Project Costs'!$F$29:$F$30)*0.8,0),IF(CO$5='Project Assumptions'!$D$15+1,-SUM('Detailed Project Costs'!$F$29:$F$30)*0.8,0))+IF(CO$5&gt;'Project Assumptions'!$D$15,IF(CO$5&lt;='Project Assumptions'!$D$15+'Project Assumptions'!$D$16,-SUM('Detailed Project Costs'!$F$29:$F$30)*0.2/'Project Assumptions'!$D$16,0),0)+IF('Project Assumptions'!$D$16=0,IF(CO$5='Project Assumptions'!$D$15,-SUM('Detailed Project Costs'!$F$29:$F$30)*0.2,0),0)</f>
        <v/>
      </c>
      <c r="CO58" s="273">
        <f>IF('Project Assumptions'!$D$16=0,IF(CP$5='Project Assumptions'!$D$15,-SUM('Detailed Project Costs'!$F$29:$F$30)*0.8,0),IF(CP$5='Project Assumptions'!$D$15+1,-SUM('Detailed Project Costs'!$F$29:$F$30)*0.8,0))+IF(CP$5&gt;'Project Assumptions'!$D$15,IF(CP$5&lt;='Project Assumptions'!$D$15+'Project Assumptions'!$D$16,-SUM('Detailed Project Costs'!$F$29:$F$30)*0.2/'Project Assumptions'!$D$16,0),0)+IF('Project Assumptions'!$D$16=0,IF(CP$5='Project Assumptions'!$D$15,-SUM('Detailed Project Costs'!$F$29:$F$30)*0.2,0),0)</f>
        <v/>
      </c>
      <c r="CP58" s="273">
        <f>IF('Project Assumptions'!$D$16=0,IF(CQ$5='Project Assumptions'!$D$15,-SUM('Detailed Project Costs'!$F$29:$F$30)*0.8,0),IF(CQ$5='Project Assumptions'!$D$15+1,-SUM('Detailed Project Costs'!$F$29:$F$30)*0.8,0))+IF(CQ$5&gt;'Project Assumptions'!$D$15,IF(CQ$5&lt;='Project Assumptions'!$D$15+'Project Assumptions'!$D$16,-SUM('Detailed Project Costs'!$F$29:$F$30)*0.2/'Project Assumptions'!$D$16,0),0)+IF('Project Assumptions'!$D$16=0,IF(CQ$5='Project Assumptions'!$D$15,-SUM('Detailed Project Costs'!$F$29:$F$30)*0.2,0),0)</f>
        <v/>
      </c>
      <c r="CQ58" s="273">
        <f>IF('Project Assumptions'!$D$16=0,IF(CR$5='Project Assumptions'!$D$15,-SUM('Detailed Project Costs'!$F$29:$F$30)*0.8,0),IF(CR$5='Project Assumptions'!$D$15+1,-SUM('Detailed Project Costs'!$F$29:$F$30)*0.8,0))+IF(CR$5&gt;'Project Assumptions'!$D$15,IF(CR$5&lt;='Project Assumptions'!$D$15+'Project Assumptions'!$D$16,-SUM('Detailed Project Costs'!$F$29:$F$30)*0.2/'Project Assumptions'!$D$16,0),0)+IF('Project Assumptions'!$D$16=0,IF(CR$5='Project Assumptions'!$D$15,-SUM('Detailed Project Costs'!$F$29:$F$30)*0.2,0),0)</f>
        <v/>
      </c>
      <c r="CR58" s="273">
        <f>IF('Project Assumptions'!$D$16=0,IF(CS$5='Project Assumptions'!$D$15,-SUM('Detailed Project Costs'!$F$29:$F$30)*0.8,0),IF(CS$5='Project Assumptions'!$D$15+1,-SUM('Detailed Project Costs'!$F$29:$F$30)*0.8,0))+IF(CS$5&gt;'Project Assumptions'!$D$15,IF(CS$5&lt;='Project Assumptions'!$D$15+'Project Assumptions'!$D$16,-SUM('Detailed Project Costs'!$F$29:$F$30)*0.2/'Project Assumptions'!$D$16,0),0)+IF('Project Assumptions'!$D$16=0,IF(CS$5='Project Assumptions'!$D$15,-SUM('Detailed Project Costs'!$F$29:$F$30)*0.2,0),0)</f>
        <v/>
      </c>
      <c r="CS58" s="273">
        <f>IF('Project Assumptions'!$D$16=0,IF(CT$5='Project Assumptions'!$D$15,-SUM('Detailed Project Costs'!$F$29:$F$30)*0.8,0),IF(CT$5='Project Assumptions'!$D$15+1,-SUM('Detailed Project Costs'!$F$29:$F$30)*0.8,0))+IF(CT$5&gt;'Project Assumptions'!$D$15,IF(CT$5&lt;='Project Assumptions'!$D$15+'Project Assumptions'!$D$16,-SUM('Detailed Project Costs'!$F$29:$F$30)*0.2/'Project Assumptions'!$D$16,0),0)+IF('Project Assumptions'!$D$16=0,IF(CT$5='Project Assumptions'!$D$15,-SUM('Detailed Project Costs'!$F$29:$F$30)*0.2,0),0)</f>
        <v/>
      </c>
      <c r="CT58" s="273">
        <f>IF('Project Assumptions'!$D$16=0,IF(CU$5='Project Assumptions'!$D$15,-SUM('Detailed Project Costs'!$F$29:$F$30)*0.8,0),IF(CU$5='Project Assumptions'!$D$15+1,-SUM('Detailed Project Costs'!$F$29:$F$30)*0.8,0))+IF(CU$5&gt;'Project Assumptions'!$D$15,IF(CU$5&lt;='Project Assumptions'!$D$15+'Project Assumptions'!$D$16,-SUM('Detailed Project Costs'!$F$29:$F$30)*0.2/'Project Assumptions'!$D$16,0),0)+IF('Project Assumptions'!$D$16=0,IF(CU$5='Project Assumptions'!$D$15,-SUM('Detailed Project Costs'!$F$29:$F$30)*0.2,0),0)</f>
        <v/>
      </c>
      <c r="CU58" s="273">
        <f>IF('Project Assumptions'!$D$16=0,IF(CV$5='Project Assumptions'!$D$15,-SUM('Detailed Project Costs'!$F$29:$F$30)*0.8,0),IF(CV$5='Project Assumptions'!$D$15+1,-SUM('Detailed Project Costs'!$F$29:$F$30)*0.8,0))+IF(CV$5&gt;'Project Assumptions'!$D$15,IF(CV$5&lt;='Project Assumptions'!$D$15+'Project Assumptions'!$D$16,-SUM('Detailed Project Costs'!$F$29:$F$30)*0.2/'Project Assumptions'!$D$16,0),0)+IF('Project Assumptions'!$D$16=0,IF(CV$5='Project Assumptions'!$D$15,-SUM('Detailed Project Costs'!$F$29:$F$30)*0.2,0),0)</f>
        <v/>
      </c>
      <c r="CV58" s="273">
        <f>IF('Project Assumptions'!$D$16=0,IF(CW$5='Project Assumptions'!$D$15,-SUM('Detailed Project Costs'!$F$29:$F$30)*0.8,0),IF(CW$5='Project Assumptions'!$D$15+1,-SUM('Detailed Project Costs'!$F$29:$F$30)*0.8,0))+IF(CW$5&gt;'Project Assumptions'!$D$15,IF(CW$5&lt;='Project Assumptions'!$D$15+'Project Assumptions'!$D$16,-SUM('Detailed Project Costs'!$F$29:$F$30)*0.2/'Project Assumptions'!$D$16,0),0)+IF('Project Assumptions'!$D$16=0,IF(CW$5='Project Assumptions'!$D$15,-SUM('Detailed Project Costs'!$F$29:$F$30)*0.2,0),0)</f>
        <v/>
      </c>
      <c r="CW58" s="273">
        <f>IF('Project Assumptions'!$D$16=0,IF(CX$5='Project Assumptions'!$D$15,-SUM('Detailed Project Costs'!$F$29:$F$30)*0.8,0),IF(CX$5='Project Assumptions'!$D$15+1,-SUM('Detailed Project Costs'!$F$29:$F$30)*0.8,0))+IF(CX$5&gt;'Project Assumptions'!$D$15,IF(CX$5&lt;='Project Assumptions'!$D$15+'Project Assumptions'!$D$16,-SUM('Detailed Project Costs'!$F$29:$F$30)*0.2/'Project Assumptions'!$D$16,0),0)+IF('Project Assumptions'!$D$16=0,IF(CX$5='Project Assumptions'!$D$15,-SUM('Detailed Project Costs'!$F$29:$F$30)*0.2,0),0)</f>
        <v/>
      </c>
      <c r="CX58" s="273">
        <f>IF('Project Assumptions'!$D$16=0,IF(CY$5='Project Assumptions'!$D$15,-SUM('Detailed Project Costs'!$F$29:$F$30)*0.8,0),IF(CY$5='Project Assumptions'!$D$15+1,-SUM('Detailed Project Costs'!$F$29:$F$30)*0.8,0))+IF(CY$5&gt;'Project Assumptions'!$D$15,IF(CY$5&lt;='Project Assumptions'!$D$15+'Project Assumptions'!$D$16,-SUM('Detailed Project Costs'!$F$29:$F$30)*0.2/'Project Assumptions'!$D$16,0),0)+IF('Project Assumptions'!$D$16=0,IF(CY$5='Project Assumptions'!$D$15,-SUM('Detailed Project Costs'!$F$29:$F$30)*0.2,0),0)</f>
        <v/>
      </c>
      <c r="CY58" s="273">
        <f>IF('Project Assumptions'!$D$16=0,IF(CZ$5='Project Assumptions'!$D$15,-SUM('Detailed Project Costs'!$F$29:$F$30)*0.8,0),IF(CZ$5='Project Assumptions'!$D$15+1,-SUM('Detailed Project Costs'!$F$29:$F$30)*0.8,0))+IF(CZ$5&gt;'Project Assumptions'!$D$15,IF(CZ$5&lt;='Project Assumptions'!$D$15+'Project Assumptions'!$D$16,-SUM('Detailed Project Costs'!$F$29:$F$30)*0.2/'Project Assumptions'!$D$16,0),0)+IF('Project Assumptions'!$D$16=0,IF(CZ$5='Project Assumptions'!$D$15,-SUM('Detailed Project Costs'!$F$29:$F$30)*0.2,0),0)</f>
        <v/>
      </c>
      <c r="CZ58" s="273">
        <f>IF('Project Assumptions'!$D$16=0,IF(DA$5='Project Assumptions'!$D$15,-SUM('Detailed Project Costs'!$F$29:$F$30)*0.8,0),IF(DA$5='Project Assumptions'!$D$15+1,-SUM('Detailed Project Costs'!$F$29:$F$30)*0.8,0))+IF(DA$5&gt;'Project Assumptions'!$D$15,IF(DA$5&lt;='Project Assumptions'!$D$15+'Project Assumptions'!$D$16,-SUM('Detailed Project Costs'!$F$29:$F$30)*0.2/'Project Assumptions'!$D$16,0),0)+IF('Project Assumptions'!$D$16=0,IF(DA$5='Project Assumptions'!$D$15,-SUM('Detailed Project Costs'!$F$29:$F$30)*0.2,0),0)</f>
        <v/>
      </c>
      <c r="DA58" s="273">
        <f>IF('Project Assumptions'!$D$16=0,IF(DB$5='Project Assumptions'!$D$15,-SUM('Detailed Project Costs'!$F$29:$F$30)*0.8,0),IF(DB$5='Project Assumptions'!$D$15+1,-SUM('Detailed Project Costs'!$F$29:$F$30)*0.8,0))+IF(DB$5&gt;'Project Assumptions'!$D$15,IF(DB$5&lt;='Project Assumptions'!$D$15+'Project Assumptions'!$D$16,-SUM('Detailed Project Costs'!$F$29:$F$30)*0.2/'Project Assumptions'!$D$16,0),0)+IF('Project Assumptions'!$D$16=0,IF(DB$5='Project Assumptions'!$D$15,-SUM('Detailed Project Costs'!$F$29:$F$30)*0.2,0),0)</f>
        <v/>
      </c>
      <c r="DB58" s="273">
        <f>IF('Project Assumptions'!$D$16=0,IF(DC$5='Project Assumptions'!$D$15,-SUM('Detailed Project Costs'!$F$29:$F$30)*0.8,0),IF(DC$5='Project Assumptions'!$D$15+1,-SUM('Detailed Project Costs'!$F$29:$F$30)*0.8,0))+IF(DC$5&gt;'Project Assumptions'!$D$15,IF(DC$5&lt;='Project Assumptions'!$D$15+'Project Assumptions'!$D$16,-SUM('Detailed Project Costs'!$F$29:$F$30)*0.2/'Project Assumptions'!$D$16,0),0)+IF('Project Assumptions'!$D$16=0,IF(DC$5='Project Assumptions'!$D$15,-SUM('Detailed Project Costs'!$F$29:$F$30)*0.2,0),0)</f>
        <v/>
      </c>
      <c r="DC58" s="273" t="n"/>
      <c r="DD58" s="295">
        <f>SUM(F58:DB58)</f>
        <v/>
      </c>
    </row>
    <row r="59">
      <c r="A59" s="1000" t="n"/>
      <c r="B59" s="701" t="inlineStr">
        <is>
          <t xml:space="preserve">   MEP Engineer (Shell)</t>
        </is>
      </c>
      <c r="C59" s="294" t="n"/>
      <c r="D59" s="295">
        <f>DD59</f>
        <v/>
      </c>
      <c r="E59" s="274" t="n"/>
      <c r="F59" s="273">
        <f>IF('Project Assumptions'!$D$16=0,IF(G$5='Project Assumptions'!$D$15,-SUM('Detailed Project Costs'!$F$31:$F$32)*0.8,0),IF(G$5='Project Assumptions'!$D$15+1,-SUM('Detailed Project Costs'!$F$31:$F$32)*0.8,0))+IF(G$5&gt;'Project Assumptions'!$D$15,IF(G$5&lt;='Project Assumptions'!$D$15+'Project Assumptions'!$D$16,-SUM('Detailed Project Costs'!$F$31:$F$32)*0.2/'Project Assumptions'!$D$16,0),0)+IF('Project Assumptions'!$D$16=0,IF(G$5='Project Assumptions'!$D$15,-SUM('Detailed Project Costs'!$F$31:$F$32)*0.2,0),0)</f>
        <v/>
      </c>
      <c r="G59" s="273">
        <f>IF('Project Assumptions'!$D$16=0,IF(H$5='Project Assumptions'!$D$15,-SUM('Detailed Project Costs'!$F$31:$F$32)*0.8,0),IF(H$5='Project Assumptions'!$D$15+1,-SUM('Detailed Project Costs'!$F$31:$F$32)*0.8,0))+IF(H$5&gt;'Project Assumptions'!$D$15,IF(H$5&lt;='Project Assumptions'!$D$15+'Project Assumptions'!$D$16,-SUM('Detailed Project Costs'!$F$31:$F$32)*0.2/'Project Assumptions'!$D$16,0),0)+IF('Project Assumptions'!$D$16=0,IF(H$5='Project Assumptions'!$D$15,-SUM('Detailed Project Costs'!$F$31:$F$32)*0.2,0),0)</f>
        <v/>
      </c>
      <c r="H59" s="273">
        <f>IF('Project Assumptions'!$D$16=0,IF(I$5='Project Assumptions'!$D$15,-SUM('Detailed Project Costs'!$F$31:$F$32)*0.8,0),IF(I$5='Project Assumptions'!$D$15+1,-SUM('Detailed Project Costs'!$F$31:$F$32)*0.8,0))+IF(I$5&gt;'Project Assumptions'!$D$15,IF(I$5&lt;='Project Assumptions'!$D$15+'Project Assumptions'!$D$16,-SUM('Detailed Project Costs'!$F$31:$F$32)*0.2/'Project Assumptions'!$D$16,0),0)+IF('Project Assumptions'!$D$16=0,IF(I$5='Project Assumptions'!$D$15,-SUM('Detailed Project Costs'!$F$31:$F$32)*0.2,0),0)</f>
        <v/>
      </c>
      <c r="I59" s="273">
        <f>IF('Project Assumptions'!$D$16=0,IF(J$5='Project Assumptions'!$D$15,-SUM('Detailed Project Costs'!$F$31:$F$32)*0.8,0),IF(J$5='Project Assumptions'!$D$15+1,-SUM('Detailed Project Costs'!$F$31:$F$32)*0.8,0))+IF(J$5&gt;'Project Assumptions'!$D$15,IF(J$5&lt;='Project Assumptions'!$D$15+'Project Assumptions'!$D$16,-SUM('Detailed Project Costs'!$F$31:$F$32)*0.2/'Project Assumptions'!$D$16,0),0)+IF('Project Assumptions'!$D$16=0,IF(J$5='Project Assumptions'!$D$15,-SUM('Detailed Project Costs'!$F$31:$F$32)*0.2,0),0)</f>
        <v/>
      </c>
      <c r="J59" s="273">
        <f>IF('Project Assumptions'!$D$16=0,IF(K$5='Project Assumptions'!$D$15,-SUM('Detailed Project Costs'!$F$31:$F$32)*0.8,0),IF(K$5='Project Assumptions'!$D$15+1,-SUM('Detailed Project Costs'!$F$31:$F$32)*0.8,0))+IF(K$5&gt;'Project Assumptions'!$D$15,IF(K$5&lt;='Project Assumptions'!$D$15+'Project Assumptions'!$D$16,-SUM('Detailed Project Costs'!$F$31:$F$32)*0.2/'Project Assumptions'!$D$16,0),0)+IF('Project Assumptions'!$D$16=0,IF(K$5='Project Assumptions'!$D$15,-SUM('Detailed Project Costs'!$F$31:$F$32)*0.2,0),0)</f>
        <v/>
      </c>
      <c r="K59" s="273">
        <f>IF('Project Assumptions'!$D$16=0,IF(L$5='Project Assumptions'!$D$15,-SUM('Detailed Project Costs'!$F$31:$F$32)*0.8,0),IF(L$5='Project Assumptions'!$D$15+1,-SUM('Detailed Project Costs'!$F$31:$F$32)*0.8,0))+IF(L$5&gt;'Project Assumptions'!$D$15,IF(L$5&lt;='Project Assumptions'!$D$15+'Project Assumptions'!$D$16,-SUM('Detailed Project Costs'!$F$31:$F$32)*0.2/'Project Assumptions'!$D$16,0),0)+IF('Project Assumptions'!$D$16=0,IF(L$5='Project Assumptions'!$D$15,-SUM('Detailed Project Costs'!$F$31:$F$32)*0.2,0),0)</f>
        <v/>
      </c>
      <c r="L59" s="273">
        <f>IF('Project Assumptions'!$D$16=0,IF(M$5='Project Assumptions'!$D$15,-SUM('Detailed Project Costs'!$F$31:$F$32)*0.8,0),IF(M$5='Project Assumptions'!$D$15+1,-SUM('Detailed Project Costs'!$F$31:$F$32)*0.8,0))+IF(M$5&gt;'Project Assumptions'!$D$15,IF(M$5&lt;='Project Assumptions'!$D$15+'Project Assumptions'!$D$16,-SUM('Detailed Project Costs'!$F$31:$F$32)*0.2/'Project Assumptions'!$D$16,0),0)+IF('Project Assumptions'!$D$16=0,IF(M$5='Project Assumptions'!$D$15,-SUM('Detailed Project Costs'!$F$31:$F$32)*0.2,0),0)</f>
        <v/>
      </c>
      <c r="M59" s="273">
        <f>IF('Project Assumptions'!$D$16=0,IF(N$5='Project Assumptions'!$D$15,-SUM('Detailed Project Costs'!$F$31:$F$32)*0.8,0),IF(N$5='Project Assumptions'!$D$15+1,-SUM('Detailed Project Costs'!$F$31:$F$32)*0.8,0))+IF(N$5&gt;'Project Assumptions'!$D$15,IF(N$5&lt;='Project Assumptions'!$D$15+'Project Assumptions'!$D$16,-SUM('Detailed Project Costs'!$F$31:$F$32)*0.2/'Project Assumptions'!$D$16,0),0)+IF('Project Assumptions'!$D$16=0,IF(N$5='Project Assumptions'!$D$15,-SUM('Detailed Project Costs'!$F$31:$F$32)*0.2,0),0)</f>
        <v/>
      </c>
      <c r="N59" s="273">
        <f>IF('Project Assumptions'!$D$16=0,IF(O$5='Project Assumptions'!$D$15,-SUM('Detailed Project Costs'!$F$31:$F$32)*0.8,0),IF(O$5='Project Assumptions'!$D$15+1,-SUM('Detailed Project Costs'!$F$31:$F$32)*0.8,0))+IF(O$5&gt;'Project Assumptions'!$D$15,IF(O$5&lt;='Project Assumptions'!$D$15+'Project Assumptions'!$D$16,-SUM('Detailed Project Costs'!$F$31:$F$32)*0.2/'Project Assumptions'!$D$16,0),0)+IF('Project Assumptions'!$D$16=0,IF(O$5='Project Assumptions'!$D$15,-SUM('Detailed Project Costs'!$F$31:$F$32)*0.2,0),0)</f>
        <v/>
      </c>
      <c r="O59" s="273">
        <f>IF('Project Assumptions'!$D$16=0,IF(P$5='Project Assumptions'!$D$15,-SUM('Detailed Project Costs'!$F$31:$F$32)*0.8,0),IF(P$5='Project Assumptions'!$D$15+1,-SUM('Detailed Project Costs'!$F$31:$F$32)*0.8,0))+IF(P$5&gt;'Project Assumptions'!$D$15,IF(P$5&lt;='Project Assumptions'!$D$15+'Project Assumptions'!$D$16,-SUM('Detailed Project Costs'!$F$31:$F$32)*0.2/'Project Assumptions'!$D$16,0),0)+IF('Project Assumptions'!$D$16=0,IF(P$5='Project Assumptions'!$D$15,-SUM('Detailed Project Costs'!$F$31:$F$32)*0.2,0),0)</f>
        <v/>
      </c>
      <c r="P59" s="273">
        <f>IF('Project Assumptions'!$D$16=0,IF(Q$5='Project Assumptions'!$D$15,-SUM('Detailed Project Costs'!$F$31:$F$32)*0.8,0),IF(Q$5='Project Assumptions'!$D$15+1,-SUM('Detailed Project Costs'!$F$31:$F$32)*0.8,0))+IF(Q$5&gt;'Project Assumptions'!$D$15,IF(Q$5&lt;='Project Assumptions'!$D$15+'Project Assumptions'!$D$16,-SUM('Detailed Project Costs'!$F$31:$F$32)*0.2/'Project Assumptions'!$D$16,0),0)+IF('Project Assumptions'!$D$16=0,IF(Q$5='Project Assumptions'!$D$15,-SUM('Detailed Project Costs'!$F$31:$F$32)*0.2,0),0)</f>
        <v/>
      </c>
      <c r="Q59" s="273">
        <f>IF('Project Assumptions'!$D$16=0,IF(R$5='Project Assumptions'!$D$15,-SUM('Detailed Project Costs'!$F$31:$F$32)*0.8,0),IF(R$5='Project Assumptions'!$D$15+1,-SUM('Detailed Project Costs'!$F$31:$F$32)*0.8,0))+IF(R$5&gt;'Project Assumptions'!$D$15,IF(R$5&lt;='Project Assumptions'!$D$15+'Project Assumptions'!$D$16,-SUM('Detailed Project Costs'!$F$31:$F$32)*0.2/'Project Assumptions'!$D$16,0),0)+IF('Project Assumptions'!$D$16=0,IF(R$5='Project Assumptions'!$D$15,-SUM('Detailed Project Costs'!$F$31:$F$32)*0.2,0),0)</f>
        <v/>
      </c>
      <c r="R59" s="273">
        <f>IF('Project Assumptions'!$D$16=0,IF(S$5='Project Assumptions'!$D$15,-SUM('Detailed Project Costs'!$F$31:$F$32)*0.8,0),IF(S$5='Project Assumptions'!$D$15+1,-SUM('Detailed Project Costs'!$F$31:$F$32)*0.8,0))+IF(S$5&gt;'Project Assumptions'!$D$15,IF(S$5&lt;='Project Assumptions'!$D$15+'Project Assumptions'!$D$16,-SUM('Detailed Project Costs'!$F$31:$F$32)*0.2/'Project Assumptions'!$D$16,0),0)+IF('Project Assumptions'!$D$16=0,IF(S$5='Project Assumptions'!$D$15,-SUM('Detailed Project Costs'!$F$31:$F$32)*0.2,0),0)</f>
        <v/>
      </c>
      <c r="S59" s="273">
        <f>IF('Project Assumptions'!$D$16=0,IF(T$5='Project Assumptions'!$D$15,-SUM('Detailed Project Costs'!$F$31:$F$32)*0.8,0),IF(T$5='Project Assumptions'!$D$15+1,-SUM('Detailed Project Costs'!$F$31:$F$32)*0.8,0))+IF(T$5&gt;'Project Assumptions'!$D$15,IF(T$5&lt;='Project Assumptions'!$D$15+'Project Assumptions'!$D$16,-SUM('Detailed Project Costs'!$F$31:$F$32)*0.2/'Project Assumptions'!$D$16,0),0)+IF('Project Assumptions'!$D$16=0,IF(T$5='Project Assumptions'!$D$15,-SUM('Detailed Project Costs'!$F$31:$F$32)*0.2,0),0)</f>
        <v/>
      </c>
      <c r="T59" s="273">
        <f>IF('Project Assumptions'!$D$16=0,IF(U$5='Project Assumptions'!$D$15,-SUM('Detailed Project Costs'!$F$31:$F$32)*0.8,0),IF(U$5='Project Assumptions'!$D$15+1,-SUM('Detailed Project Costs'!$F$31:$F$32)*0.8,0))+IF(U$5&gt;'Project Assumptions'!$D$15,IF(U$5&lt;='Project Assumptions'!$D$15+'Project Assumptions'!$D$16,-SUM('Detailed Project Costs'!$F$31:$F$32)*0.2/'Project Assumptions'!$D$16,0),0)+IF('Project Assumptions'!$D$16=0,IF(U$5='Project Assumptions'!$D$15,-SUM('Detailed Project Costs'!$F$31:$F$32)*0.2,0),0)</f>
        <v/>
      </c>
      <c r="U59" s="273">
        <f>IF('Project Assumptions'!$D$16=0,IF(V$5='Project Assumptions'!$D$15,-SUM('Detailed Project Costs'!$F$31:$F$32)*0.8,0),IF(V$5='Project Assumptions'!$D$15+1,-SUM('Detailed Project Costs'!$F$31:$F$32)*0.8,0))+IF(V$5&gt;'Project Assumptions'!$D$15,IF(V$5&lt;='Project Assumptions'!$D$15+'Project Assumptions'!$D$16,-SUM('Detailed Project Costs'!$F$31:$F$32)*0.2/'Project Assumptions'!$D$16,0),0)+IF('Project Assumptions'!$D$16=0,IF(V$5='Project Assumptions'!$D$15,-SUM('Detailed Project Costs'!$F$31:$F$32)*0.2,0),0)</f>
        <v/>
      </c>
      <c r="V59" s="273">
        <f>IF('Project Assumptions'!$D$16=0,IF(W$5='Project Assumptions'!$D$15,-SUM('Detailed Project Costs'!$F$31:$F$32)*0.8,0),IF(W$5='Project Assumptions'!$D$15+1,-SUM('Detailed Project Costs'!$F$31:$F$32)*0.8,0))+IF(W$5&gt;'Project Assumptions'!$D$15,IF(W$5&lt;='Project Assumptions'!$D$15+'Project Assumptions'!$D$16,-SUM('Detailed Project Costs'!$F$31:$F$32)*0.2/'Project Assumptions'!$D$16,0),0)+IF('Project Assumptions'!$D$16=0,IF(W$5='Project Assumptions'!$D$15,-SUM('Detailed Project Costs'!$F$31:$F$32)*0.2,0),0)</f>
        <v/>
      </c>
      <c r="W59" s="273">
        <f>IF('Project Assumptions'!$D$16=0,IF(X$5='Project Assumptions'!$D$15,-SUM('Detailed Project Costs'!$F$31:$F$32)*0.8,0),IF(X$5='Project Assumptions'!$D$15+1,-SUM('Detailed Project Costs'!$F$31:$F$32)*0.8,0))+IF(X$5&gt;'Project Assumptions'!$D$15,IF(X$5&lt;='Project Assumptions'!$D$15+'Project Assumptions'!$D$16,-SUM('Detailed Project Costs'!$F$31:$F$32)*0.2/'Project Assumptions'!$D$16,0),0)+IF('Project Assumptions'!$D$16=0,IF(X$5='Project Assumptions'!$D$15,-SUM('Detailed Project Costs'!$F$31:$F$32)*0.2,0),0)</f>
        <v/>
      </c>
      <c r="X59" s="273">
        <f>IF('Project Assumptions'!$D$16=0,IF(Y$5='Project Assumptions'!$D$15,-SUM('Detailed Project Costs'!$F$31:$F$32)*0.8,0),IF(Y$5='Project Assumptions'!$D$15+1,-SUM('Detailed Project Costs'!$F$31:$F$32)*0.8,0))+IF(Y$5&gt;'Project Assumptions'!$D$15,IF(Y$5&lt;='Project Assumptions'!$D$15+'Project Assumptions'!$D$16,-SUM('Detailed Project Costs'!$F$31:$F$32)*0.2/'Project Assumptions'!$D$16,0),0)+IF('Project Assumptions'!$D$16=0,IF(Y$5='Project Assumptions'!$D$15,-SUM('Detailed Project Costs'!$F$31:$F$32)*0.2,0),0)</f>
        <v/>
      </c>
      <c r="Y59" s="273">
        <f>IF('Project Assumptions'!$D$16=0,IF(Z$5='Project Assumptions'!$D$15,-SUM('Detailed Project Costs'!$F$31:$F$32)*0.8,0),IF(Z$5='Project Assumptions'!$D$15+1,-SUM('Detailed Project Costs'!$F$31:$F$32)*0.8,0))+IF(Z$5&gt;'Project Assumptions'!$D$15,IF(Z$5&lt;='Project Assumptions'!$D$15+'Project Assumptions'!$D$16,-SUM('Detailed Project Costs'!$F$31:$F$32)*0.2/'Project Assumptions'!$D$16,0),0)+IF('Project Assumptions'!$D$16=0,IF(Z$5='Project Assumptions'!$D$15,-SUM('Detailed Project Costs'!$F$31:$F$32)*0.2,0),0)</f>
        <v/>
      </c>
      <c r="Z59" s="273">
        <f>IF('Project Assumptions'!$D$16=0,IF(AA$5='Project Assumptions'!$D$15,-SUM('Detailed Project Costs'!$F$31:$F$32)*0.8,0),IF(AA$5='Project Assumptions'!$D$15+1,-SUM('Detailed Project Costs'!$F$31:$F$32)*0.8,0))+IF(AA$5&gt;'Project Assumptions'!$D$15,IF(AA$5&lt;='Project Assumptions'!$D$15+'Project Assumptions'!$D$16,-SUM('Detailed Project Costs'!$F$31:$F$32)*0.2/'Project Assumptions'!$D$16,0),0)+IF('Project Assumptions'!$D$16=0,IF(AA$5='Project Assumptions'!$D$15,-SUM('Detailed Project Costs'!$F$31:$F$32)*0.2,0),0)</f>
        <v/>
      </c>
      <c r="AA59" s="273">
        <f>IF('Project Assumptions'!$D$16=0,IF(AB$5='Project Assumptions'!$D$15,-SUM('Detailed Project Costs'!$F$31:$F$32)*0.8,0),IF(AB$5='Project Assumptions'!$D$15+1,-SUM('Detailed Project Costs'!$F$31:$F$32)*0.8,0))+IF(AB$5&gt;'Project Assumptions'!$D$15,IF(AB$5&lt;='Project Assumptions'!$D$15+'Project Assumptions'!$D$16,-SUM('Detailed Project Costs'!$F$31:$F$32)*0.2/'Project Assumptions'!$D$16,0),0)+IF('Project Assumptions'!$D$16=0,IF(AB$5='Project Assumptions'!$D$15,-SUM('Detailed Project Costs'!$F$31:$F$32)*0.2,0),0)</f>
        <v/>
      </c>
      <c r="AB59" s="273">
        <f>IF('Project Assumptions'!$D$16=0,IF(AC$5='Project Assumptions'!$D$15,-SUM('Detailed Project Costs'!$F$31:$F$32)*0.8,0),IF(AC$5='Project Assumptions'!$D$15+1,-SUM('Detailed Project Costs'!$F$31:$F$32)*0.8,0))+IF(AC$5&gt;'Project Assumptions'!$D$15,IF(AC$5&lt;='Project Assumptions'!$D$15+'Project Assumptions'!$D$16,-SUM('Detailed Project Costs'!$F$31:$F$32)*0.2/'Project Assumptions'!$D$16,0),0)+IF('Project Assumptions'!$D$16=0,IF(AC$5='Project Assumptions'!$D$15,-SUM('Detailed Project Costs'!$F$31:$F$32)*0.2,0),0)</f>
        <v/>
      </c>
      <c r="AC59" s="273">
        <f>IF('Project Assumptions'!$D$16=0,IF(AD$5='Project Assumptions'!$D$15,-SUM('Detailed Project Costs'!$F$31:$F$32)*0.8,0),IF(AD$5='Project Assumptions'!$D$15+1,-SUM('Detailed Project Costs'!$F$31:$F$32)*0.8,0))+IF(AD$5&gt;'Project Assumptions'!$D$15,IF(AD$5&lt;='Project Assumptions'!$D$15+'Project Assumptions'!$D$16,-SUM('Detailed Project Costs'!$F$31:$F$32)*0.2/'Project Assumptions'!$D$16,0),0)+IF('Project Assumptions'!$D$16=0,IF(AD$5='Project Assumptions'!$D$15,-SUM('Detailed Project Costs'!$F$31:$F$32)*0.2,0),0)</f>
        <v/>
      </c>
      <c r="AD59" s="273">
        <f>IF('Project Assumptions'!$D$16=0,IF(AE$5='Project Assumptions'!$D$15,-SUM('Detailed Project Costs'!$F$31:$F$32)*0.8,0),IF(AE$5='Project Assumptions'!$D$15+1,-SUM('Detailed Project Costs'!$F$31:$F$32)*0.8,0))+IF(AE$5&gt;'Project Assumptions'!$D$15,IF(AE$5&lt;='Project Assumptions'!$D$15+'Project Assumptions'!$D$16,-SUM('Detailed Project Costs'!$F$31:$F$32)*0.2/'Project Assumptions'!$D$16,0),0)+IF('Project Assumptions'!$D$16=0,IF(AE$5='Project Assumptions'!$D$15,-SUM('Detailed Project Costs'!$F$31:$F$32)*0.2,0),0)</f>
        <v/>
      </c>
      <c r="AE59" s="273">
        <f>IF('Project Assumptions'!$D$16=0,IF(AF$5='Project Assumptions'!$D$15,-SUM('Detailed Project Costs'!$F$31:$F$32)*0.8,0),IF(AF$5='Project Assumptions'!$D$15+1,-SUM('Detailed Project Costs'!$F$31:$F$32)*0.8,0))+IF(AF$5&gt;'Project Assumptions'!$D$15,IF(AF$5&lt;='Project Assumptions'!$D$15+'Project Assumptions'!$D$16,-SUM('Detailed Project Costs'!$F$31:$F$32)*0.2/'Project Assumptions'!$D$16,0),0)+IF('Project Assumptions'!$D$16=0,IF(AF$5='Project Assumptions'!$D$15,-SUM('Detailed Project Costs'!$F$31:$F$32)*0.2,0),0)</f>
        <v/>
      </c>
      <c r="AF59" s="273">
        <f>IF('Project Assumptions'!$D$16=0,IF(AG$5='Project Assumptions'!$D$15,-SUM('Detailed Project Costs'!$F$31:$F$32)*0.8,0),IF(AG$5='Project Assumptions'!$D$15+1,-SUM('Detailed Project Costs'!$F$31:$F$32)*0.8,0))+IF(AG$5&gt;'Project Assumptions'!$D$15,IF(AG$5&lt;='Project Assumptions'!$D$15+'Project Assumptions'!$D$16,-SUM('Detailed Project Costs'!$F$31:$F$32)*0.2/'Project Assumptions'!$D$16,0),0)+IF('Project Assumptions'!$D$16=0,IF(AG$5='Project Assumptions'!$D$15,-SUM('Detailed Project Costs'!$F$31:$F$32)*0.2,0),0)</f>
        <v/>
      </c>
      <c r="AG59" s="273">
        <f>IF('Project Assumptions'!$D$16=0,IF(AH$5='Project Assumptions'!$D$15,-SUM('Detailed Project Costs'!$F$31:$F$32)*0.8,0),IF(AH$5='Project Assumptions'!$D$15+1,-SUM('Detailed Project Costs'!$F$31:$F$32)*0.8,0))+IF(AH$5&gt;'Project Assumptions'!$D$15,IF(AH$5&lt;='Project Assumptions'!$D$15+'Project Assumptions'!$D$16,-SUM('Detailed Project Costs'!$F$31:$F$32)*0.2/'Project Assumptions'!$D$16,0),0)+IF('Project Assumptions'!$D$16=0,IF(AH$5='Project Assumptions'!$D$15,-SUM('Detailed Project Costs'!$F$31:$F$32)*0.2,0),0)</f>
        <v/>
      </c>
      <c r="AH59" s="273">
        <f>IF('Project Assumptions'!$D$16=0,IF(AI$5='Project Assumptions'!$D$15,-SUM('Detailed Project Costs'!$F$31:$F$32)*0.8,0),IF(AI$5='Project Assumptions'!$D$15+1,-SUM('Detailed Project Costs'!$F$31:$F$32)*0.8,0))+IF(AI$5&gt;'Project Assumptions'!$D$15,IF(AI$5&lt;='Project Assumptions'!$D$15+'Project Assumptions'!$D$16,-SUM('Detailed Project Costs'!$F$31:$F$32)*0.2/'Project Assumptions'!$D$16,0),0)+IF('Project Assumptions'!$D$16=0,IF(AI$5='Project Assumptions'!$D$15,-SUM('Detailed Project Costs'!$F$31:$F$32)*0.2,0),0)</f>
        <v/>
      </c>
      <c r="AI59" s="273">
        <f>IF('Project Assumptions'!$D$16=0,IF(AJ$5='Project Assumptions'!$D$15,-SUM('Detailed Project Costs'!$F$31:$F$32)*0.8,0),IF(AJ$5='Project Assumptions'!$D$15+1,-SUM('Detailed Project Costs'!$F$31:$F$32)*0.8,0))+IF(AJ$5&gt;'Project Assumptions'!$D$15,IF(AJ$5&lt;='Project Assumptions'!$D$15+'Project Assumptions'!$D$16,-SUM('Detailed Project Costs'!$F$31:$F$32)*0.2/'Project Assumptions'!$D$16,0),0)+IF('Project Assumptions'!$D$16=0,IF(AJ$5='Project Assumptions'!$D$15,-SUM('Detailed Project Costs'!$F$31:$F$32)*0.2,0),0)</f>
        <v/>
      </c>
      <c r="AJ59" s="273">
        <f>IF('Project Assumptions'!$D$16=0,IF(AK$5='Project Assumptions'!$D$15,-SUM('Detailed Project Costs'!$F$31:$F$32)*0.8,0),IF(AK$5='Project Assumptions'!$D$15+1,-SUM('Detailed Project Costs'!$F$31:$F$32)*0.8,0))+IF(AK$5&gt;'Project Assumptions'!$D$15,IF(AK$5&lt;='Project Assumptions'!$D$15+'Project Assumptions'!$D$16,-SUM('Detailed Project Costs'!$F$31:$F$32)*0.2/'Project Assumptions'!$D$16,0),0)+IF('Project Assumptions'!$D$16=0,IF(AK$5='Project Assumptions'!$D$15,-SUM('Detailed Project Costs'!$F$31:$F$32)*0.2,0),0)</f>
        <v/>
      </c>
      <c r="AK59" s="273">
        <f>IF('Project Assumptions'!$D$16=0,IF(AL$5='Project Assumptions'!$D$15,-SUM('Detailed Project Costs'!$F$31:$F$32)*0.8,0),IF(AL$5='Project Assumptions'!$D$15+1,-SUM('Detailed Project Costs'!$F$31:$F$32)*0.8,0))+IF(AL$5&gt;'Project Assumptions'!$D$15,IF(AL$5&lt;='Project Assumptions'!$D$15+'Project Assumptions'!$D$16,-SUM('Detailed Project Costs'!$F$31:$F$32)*0.2/'Project Assumptions'!$D$16,0),0)+IF('Project Assumptions'!$D$16=0,IF(AL$5='Project Assumptions'!$D$15,-SUM('Detailed Project Costs'!$F$31:$F$32)*0.2,0),0)</f>
        <v/>
      </c>
      <c r="AL59" s="273">
        <f>IF('Project Assumptions'!$D$16=0,IF(AM$5='Project Assumptions'!$D$15,-SUM('Detailed Project Costs'!$F$31:$F$32)*0.8,0),IF(AM$5='Project Assumptions'!$D$15+1,-SUM('Detailed Project Costs'!$F$31:$F$32)*0.8,0))+IF(AM$5&gt;'Project Assumptions'!$D$15,IF(AM$5&lt;='Project Assumptions'!$D$15+'Project Assumptions'!$D$16,-SUM('Detailed Project Costs'!$F$31:$F$32)*0.2/'Project Assumptions'!$D$16,0),0)+IF('Project Assumptions'!$D$16=0,IF(AM$5='Project Assumptions'!$D$15,-SUM('Detailed Project Costs'!$F$31:$F$32)*0.2,0),0)</f>
        <v/>
      </c>
      <c r="AM59" s="273">
        <f>IF('Project Assumptions'!$D$16=0,IF(AN$5='Project Assumptions'!$D$15,-SUM('Detailed Project Costs'!$F$31:$F$32)*0.8,0),IF(AN$5='Project Assumptions'!$D$15+1,-SUM('Detailed Project Costs'!$F$31:$F$32)*0.8,0))+IF(AN$5&gt;'Project Assumptions'!$D$15,IF(AN$5&lt;='Project Assumptions'!$D$15+'Project Assumptions'!$D$16,-SUM('Detailed Project Costs'!$F$31:$F$32)*0.2/'Project Assumptions'!$D$16,0),0)+IF('Project Assumptions'!$D$16=0,IF(AN$5='Project Assumptions'!$D$15,-SUM('Detailed Project Costs'!$F$31:$F$32)*0.2,0),0)</f>
        <v/>
      </c>
      <c r="AN59" s="273">
        <f>IF('Project Assumptions'!$D$16=0,IF(AO$5='Project Assumptions'!$D$15,-SUM('Detailed Project Costs'!$F$31:$F$32)*0.8,0),IF(AO$5='Project Assumptions'!$D$15+1,-SUM('Detailed Project Costs'!$F$31:$F$32)*0.8,0))+IF(AO$5&gt;'Project Assumptions'!$D$15,IF(AO$5&lt;='Project Assumptions'!$D$15+'Project Assumptions'!$D$16,-SUM('Detailed Project Costs'!$F$31:$F$32)*0.2/'Project Assumptions'!$D$16,0),0)+IF('Project Assumptions'!$D$16=0,IF(AO$5='Project Assumptions'!$D$15,-SUM('Detailed Project Costs'!$F$31:$F$32)*0.2,0),0)</f>
        <v/>
      </c>
      <c r="AO59" s="273">
        <f>IF('Project Assumptions'!$D$16=0,IF(AP$5='Project Assumptions'!$D$15,-SUM('Detailed Project Costs'!$F$31:$F$32)*0.8,0),IF(AP$5='Project Assumptions'!$D$15+1,-SUM('Detailed Project Costs'!$F$31:$F$32)*0.8,0))+IF(AP$5&gt;'Project Assumptions'!$D$15,IF(AP$5&lt;='Project Assumptions'!$D$15+'Project Assumptions'!$D$16,-SUM('Detailed Project Costs'!$F$31:$F$32)*0.2/'Project Assumptions'!$D$16,0),0)+IF('Project Assumptions'!$D$16=0,IF(AP$5='Project Assumptions'!$D$15,-SUM('Detailed Project Costs'!$F$31:$F$32)*0.2,0),0)</f>
        <v/>
      </c>
      <c r="AP59" s="273">
        <f>IF('Project Assumptions'!$D$16=0,IF(AQ$5='Project Assumptions'!$D$15,-SUM('Detailed Project Costs'!$F$31:$F$32)*0.8,0),IF(AQ$5='Project Assumptions'!$D$15+1,-SUM('Detailed Project Costs'!$F$31:$F$32)*0.8,0))+IF(AQ$5&gt;'Project Assumptions'!$D$15,IF(AQ$5&lt;='Project Assumptions'!$D$15+'Project Assumptions'!$D$16,-SUM('Detailed Project Costs'!$F$31:$F$32)*0.2/'Project Assumptions'!$D$16,0),0)+IF('Project Assumptions'!$D$16=0,IF(AQ$5='Project Assumptions'!$D$15,-SUM('Detailed Project Costs'!$F$31:$F$32)*0.2,0),0)</f>
        <v/>
      </c>
      <c r="AQ59" s="273">
        <f>IF('Project Assumptions'!$D$16=0,IF(AR$5='Project Assumptions'!$D$15,-SUM('Detailed Project Costs'!$F$31:$F$32)*0.8,0),IF(AR$5='Project Assumptions'!$D$15+1,-SUM('Detailed Project Costs'!$F$31:$F$32)*0.8,0))+IF(AR$5&gt;'Project Assumptions'!$D$15,IF(AR$5&lt;='Project Assumptions'!$D$15+'Project Assumptions'!$D$16,-SUM('Detailed Project Costs'!$F$31:$F$32)*0.2/'Project Assumptions'!$D$16,0),0)+IF('Project Assumptions'!$D$16=0,IF(AR$5='Project Assumptions'!$D$15,-SUM('Detailed Project Costs'!$F$31:$F$32)*0.2,0),0)</f>
        <v/>
      </c>
      <c r="AR59" s="273">
        <f>IF('Project Assumptions'!$D$16=0,IF(AS$5='Project Assumptions'!$D$15,-SUM('Detailed Project Costs'!$F$31:$F$32)*0.8,0),IF(AS$5='Project Assumptions'!$D$15+1,-SUM('Detailed Project Costs'!$F$31:$F$32)*0.8,0))+IF(AS$5&gt;'Project Assumptions'!$D$15,IF(AS$5&lt;='Project Assumptions'!$D$15+'Project Assumptions'!$D$16,-SUM('Detailed Project Costs'!$F$31:$F$32)*0.2/'Project Assumptions'!$D$16,0),0)+IF('Project Assumptions'!$D$16=0,IF(AS$5='Project Assumptions'!$D$15,-SUM('Detailed Project Costs'!$F$31:$F$32)*0.2,0),0)</f>
        <v/>
      </c>
      <c r="AS59" s="273">
        <f>IF('Project Assumptions'!$D$16=0,IF(AT$5='Project Assumptions'!$D$15,-SUM('Detailed Project Costs'!$F$31:$F$32)*0.8,0),IF(AT$5='Project Assumptions'!$D$15+1,-SUM('Detailed Project Costs'!$F$31:$F$32)*0.8,0))+IF(AT$5&gt;'Project Assumptions'!$D$15,IF(AT$5&lt;='Project Assumptions'!$D$15+'Project Assumptions'!$D$16,-SUM('Detailed Project Costs'!$F$31:$F$32)*0.2/'Project Assumptions'!$D$16,0),0)+IF('Project Assumptions'!$D$16=0,IF(AT$5='Project Assumptions'!$D$15,-SUM('Detailed Project Costs'!$F$31:$F$32)*0.2,0),0)</f>
        <v/>
      </c>
      <c r="AT59" s="273">
        <f>IF('Project Assumptions'!$D$16=0,IF(AU$5='Project Assumptions'!$D$15,-SUM('Detailed Project Costs'!$F$31:$F$32)*0.8,0),IF(AU$5='Project Assumptions'!$D$15+1,-SUM('Detailed Project Costs'!$F$31:$F$32)*0.8,0))+IF(AU$5&gt;'Project Assumptions'!$D$15,IF(AU$5&lt;='Project Assumptions'!$D$15+'Project Assumptions'!$D$16,-SUM('Detailed Project Costs'!$F$31:$F$32)*0.2/'Project Assumptions'!$D$16,0),0)+IF('Project Assumptions'!$D$16=0,IF(AU$5='Project Assumptions'!$D$15,-SUM('Detailed Project Costs'!$F$31:$F$32)*0.2,0),0)</f>
        <v/>
      </c>
      <c r="AU59" s="273">
        <f>IF('Project Assumptions'!$D$16=0,IF(AV$5='Project Assumptions'!$D$15,-SUM('Detailed Project Costs'!$F$31:$F$32)*0.8,0),IF(AV$5='Project Assumptions'!$D$15+1,-SUM('Detailed Project Costs'!$F$31:$F$32)*0.8,0))+IF(AV$5&gt;'Project Assumptions'!$D$15,IF(AV$5&lt;='Project Assumptions'!$D$15+'Project Assumptions'!$D$16,-SUM('Detailed Project Costs'!$F$31:$F$32)*0.2/'Project Assumptions'!$D$16,0),0)+IF('Project Assumptions'!$D$16=0,IF(AV$5='Project Assumptions'!$D$15,-SUM('Detailed Project Costs'!$F$31:$F$32)*0.2,0),0)</f>
        <v/>
      </c>
      <c r="AV59" s="273">
        <f>IF('Project Assumptions'!$D$16=0,IF(AW$5='Project Assumptions'!$D$15,-SUM('Detailed Project Costs'!$F$31:$F$32)*0.8,0),IF(AW$5='Project Assumptions'!$D$15+1,-SUM('Detailed Project Costs'!$F$31:$F$32)*0.8,0))+IF(AW$5&gt;'Project Assumptions'!$D$15,IF(AW$5&lt;='Project Assumptions'!$D$15+'Project Assumptions'!$D$16,-SUM('Detailed Project Costs'!$F$31:$F$32)*0.2/'Project Assumptions'!$D$16,0),0)+IF('Project Assumptions'!$D$16=0,IF(AW$5='Project Assumptions'!$D$15,-SUM('Detailed Project Costs'!$F$31:$F$32)*0.2,0),0)</f>
        <v/>
      </c>
      <c r="AW59" s="273">
        <f>IF('Project Assumptions'!$D$16=0,IF(AX$5='Project Assumptions'!$D$15,-SUM('Detailed Project Costs'!$F$31:$F$32)*0.8,0),IF(AX$5='Project Assumptions'!$D$15+1,-SUM('Detailed Project Costs'!$F$31:$F$32)*0.8,0))+IF(AX$5&gt;'Project Assumptions'!$D$15,IF(AX$5&lt;='Project Assumptions'!$D$15+'Project Assumptions'!$D$16,-SUM('Detailed Project Costs'!$F$31:$F$32)*0.2/'Project Assumptions'!$D$16,0),0)+IF('Project Assumptions'!$D$16=0,IF(AX$5='Project Assumptions'!$D$15,-SUM('Detailed Project Costs'!$F$31:$F$32)*0.2,0),0)</f>
        <v/>
      </c>
      <c r="AX59" s="273">
        <f>IF('Project Assumptions'!$D$16=0,IF(AY$5='Project Assumptions'!$D$15,-SUM('Detailed Project Costs'!$F$31:$F$32)*0.8,0),IF(AY$5='Project Assumptions'!$D$15+1,-SUM('Detailed Project Costs'!$F$31:$F$32)*0.8,0))+IF(AY$5&gt;'Project Assumptions'!$D$15,IF(AY$5&lt;='Project Assumptions'!$D$15+'Project Assumptions'!$D$16,-SUM('Detailed Project Costs'!$F$31:$F$32)*0.2/'Project Assumptions'!$D$16,0),0)+IF('Project Assumptions'!$D$16=0,IF(AY$5='Project Assumptions'!$D$15,-SUM('Detailed Project Costs'!$F$31:$F$32)*0.2,0),0)</f>
        <v/>
      </c>
      <c r="AY59" s="273">
        <f>IF('Project Assumptions'!$D$16=0,IF(AZ$5='Project Assumptions'!$D$15,-SUM('Detailed Project Costs'!$F$31:$F$32)*0.8,0),IF(AZ$5='Project Assumptions'!$D$15+1,-SUM('Detailed Project Costs'!$F$31:$F$32)*0.8,0))+IF(AZ$5&gt;'Project Assumptions'!$D$15,IF(AZ$5&lt;='Project Assumptions'!$D$15+'Project Assumptions'!$D$16,-SUM('Detailed Project Costs'!$F$31:$F$32)*0.2/'Project Assumptions'!$D$16,0),0)+IF('Project Assumptions'!$D$16=0,IF(AZ$5='Project Assumptions'!$D$15,-SUM('Detailed Project Costs'!$F$31:$F$32)*0.2,0),0)</f>
        <v/>
      </c>
      <c r="AZ59" s="273">
        <f>IF('Project Assumptions'!$D$16=0,IF(BA$5='Project Assumptions'!$D$15,-SUM('Detailed Project Costs'!$F$31:$F$32)*0.8,0),IF(BA$5='Project Assumptions'!$D$15+1,-SUM('Detailed Project Costs'!$F$31:$F$32)*0.8,0))+IF(BA$5&gt;'Project Assumptions'!$D$15,IF(BA$5&lt;='Project Assumptions'!$D$15+'Project Assumptions'!$D$16,-SUM('Detailed Project Costs'!$F$31:$F$32)*0.2/'Project Assumptions'!$D$16,0),0)+IF('Project Assumptions'!$D$16=0,IF(BA$5='Project Assumptions'!$D$15,-SUM('Detailed Project Costs'!$F$31:$F$32)*0.2,0),0)</f>
        <v/>
      </c>
      <c r="BA59" s="273">
        <f>IF('Project Assumptions'!$D$16=0,IF(BB$5='Project Assumptions'!$D$15,-SUM('Detailed Project Costs'!$F$31:$F$32)*0.8,0),IF(BB$5='Project Assumptions'!$D$15+1,-SUM('Detailed Project Costs'!$F$31:$F$32)*0.8,0))+IF(BB$5&gt;'Project Assumptions'!$D$15,IF(BB$5&lt;='Project Assumptions'!$D$15+'Project Assumptions'!$D$16,-SUM('Detailed Project Costs'!$F$31:$F$32)*0.2/'Project Assumptions'!$D$16,0),0)+IF('Project Assumptions'!$D$16=0,IF(BB$5='Project Assumptions'!$D$15,-SUM('Detailed Project Costs'!$F$31:$F$32)*0.2,0),0)</f>
        <v/>
      </c>
      <c r="BB59" s="273">
        <f>IF('Project Assumptions'!$D$16=0,IF(BC$5='Project Assumptions'!$D$15,-SUM('Detailed Project Costs'!$F$31:$F$32)*0.8,0),IF(BC$5='Project Assumptions'!$D$15+1,-SUM('Detailed Project Costs'!$F$31:$F$32)*0.8,0))+IF(BC$5&gt;'Project Assumptions'!$D$15,IF(BC$5&lt;='Project Assumptions'!$D$15+'Project Assumptions'!$D$16,-SUM('Detailed Project Costs'!$F$31:$F$32)*0.2/'Project Assumptions'!$D$16,0),0)+IF('Project Assumptions'!$D$16=0,IF(BC$5='Project Assumptions'!$D$15,-SUM('Detailed Project Costs'!$F$31:$F$32)*0.2,0),0)</f>
        <v/>
      </c>
      <c r="BC59" s="273">
        <f>IF('Project Assumptions'!$D$16=0,IF(BD$5='Project Assumptions'!$D$15,-SUM('Detailed Project Costs'!$F$31:$F$32)*0.8,0),IF(BD$5='Project Assumptions'!$D$15+1,-SUM('Detailed Project Costs'!$F$31:$F$32)*0.8,0))+IF(BD$5&gt;'Project Assumptions'!$D$15,IF(BD$5&lt;='Project Assumptions'!$D$15+'Project Assumptions'!$D$16,-SUM('Detailed Project Costs'!$F$31:$F$32)*0.2/'Project Assumptions'!$D$16,0),0)+IF('Project Assumptions'!$D$16=0,IF(BD$5='Project Assumptions'!$D$15,-SUM('Detailed Project Costs'!$F$31:$F$32)*0.2,0),0)</f>
        <v/>
      </c>
      <c r="BD59" s="273">
        <f>IF('Project Assumptions'!$D$16=0,IF(BE$5='Project Assumptions'!$D$15,-SUM('Detailed Project Costs'!$F$31:$F$32)*0.8,0),IF(BE$5='Project Assumptions'!$D$15+1,-SUM('Detailed Project Costs'!$F$31:$F$32)*0.8,0))+IF(BE$5&gt;'Project Assumptions'!$D$15,IF(BE$5&lt;='Project Assumptions'!$D$15+'Project Assumptions'!$D$16,-SUM('Detailed Project Costs'!$F$31:$F$32)*0.2/'Project Assumptions'!$D$16,0),0)+IF('Project Assumptions'!$D$16=0,IF(BE$5='Project Assumptions'!$D$15,-SUM('Detailed Project Costs'!$F$31:$F$32)*0.2,0),0)</f>
        <v/>
      </c>
      <c r="BE59" s="273">
        <f>IF('Project Assumptions'!$D$16=0,IF(BF$5='Project Assumptions'!$D$15,-SUM('Detailed Project Costs'!$F$31:$F$32)*0.8,0),IF(BF$5='Project Assumptions'!$D$15+1,-SUM('Detailed Project Costs'!$F$31:$F$32)*0.8,0))+IF(BF$5&gt;'Project Assumptions'!$D$15,IF(BF$5&lt;='Project Assumptions'!$D$15+'Project Assumptions'!$D$16,-SUM('Detailed Project Costs'!$F$31:$F$32)*0.2/'Project Assumptions'!$D$16,0),0)+IF('Project Assumptions'!$D$16=0,IF(BF$5='Project Assumptions'!$D$15,-SUM('Detailed Project Costs'!$F$31:$F$32)*0.2,0),0)</f>
        <v/>
      </c>
      <c r="BF59" s="273">
        <f>IF('Project Assumptions'!$D$16=0,IF(BG$5='Project Assumptions'!$D$15,-SUM('Detailed Project Costs'!$F$31:$F$32)*0.8,0),IF(BG$5='Project Assumptions'!$D$15+1,-SUM('Detailed Project Costs'!$F$31:$F$32)*0.8,0))+IF(BG$5&gt;'Project Assumptions'!$D$15,IF(BG$5&lt;='Project Assumptions'!$D$15+'Project Assumptions'!$D$16,-SUM('Detailed Project Costs'!$F$31:$F$32)*0.2/'Project Assumptions'!$D$16,0),0)+IF('Project Assumptions'!$D$16=0,IF(BG$5='Project Assumptions'!$D$15,-SUM('Detailed Project Costs'!$F$31:$F$32)*0.2,0),0)</f>
        <v/>
      </c>
      <c r="BG59" s="273">
        <f>IF('Project Assumptions'!$D$16=0,IF(BH$5='Project Assumptions'!$D$15,-SUM('Detailed Project Costs'!$F$31:$F$32)*0.8,0),IF(BH$5='Project Assumptions'!$D$15+1,-SUM('Detailed Project Costs'!$F$31:$F$32)*0.8,0))+IF(BH$5&gt;'Project Assumptions'!$D$15,IF(BH$5&lt;='Project Assumptions'!$D$15+'Project Assumptions'!$D$16,-SUM('Detailed Project Costs'!$F$31:$F$32)*0.2/'Project Assumptions'!$D$16,0),0)+IF('Project Assumptions'!$D$16=0,IF(BH$5='Project Assumptions'!$D$15,-SUM('Detailed Project Costs'!$F$31:$F$32)*0.2,0),0)</f>
        <v/>
      </c>
      <c r="BH59" s="273">
        <f>IF('Project Assumptions'!$D$16=0,IF(BI$5='Project Assumptions'!$D$15,-SUM('Detailed Project Costs'!$F$31:$F$32)*0.8,0),IF(BI$5='Project Assumptions'!$D$15+1,-SUM('Detailed Project Costs'!$F$31:$F$32)*0.8,0))+IF(BI$5&gt;'Project Assumptions'!$D$15,IF(BI$5&lt;='Project Assumptions'!$D$15+'Project Assumptions'!$D$16,-SUM('Detailed Project Costs'!$F$31:$F$32)*0.2/'Project Assumptions'!$D$16,0),0)+IF('Project Assumptions'!$D$16=0,IF(BI$5='Project Assumptions'!$D$15,-SUM('Detailed Project Costs'!$F$31:$F$32)*0.2,0),0)</f>
        <v/>
      </c>
      <c r="BI59" s="273">
        <f>IF('Project Assumptions'!$D$16=0,IF(BJ$5='Project Assumptions'!$D$15,-SUM('Detailed Project Costs'!$F$31:$F$32)*0.8,0),IF(BJ$5='Project Assumptions'!$D$15+1,-SUM('Detailed Project Costs'!$F$31:$F$32)*0.8,0))+IF(BJ$5&gt;'Project Assumptions'!$D$15,IF(BJ$5&lt;='Project Assumptions'!$D$15+'Project Assumptions'!$D$16,-SUM('Detailed Project Costs'!$F$31:$F$32)*0.2/'Project Assumptions'!$D$16,0),0)+IF('Project Assumptions'!$D$16=0,IF(BJ$5='Project Assumptions'!$D$15,-SUM('Detailed Project Costs'!$F$31:$F$32)*0.2,0),0)</f>
        <v/>
      </c>
      <c r="BJ59" s="273">
        <f>IF('Project Assumptions'!$D$16=0,IF(BK$5='Project Assumptions'!$D$15,-SUM('Detailed Project Costs'!$F$31:$F$32)*0.8,0),IF(BK$5='Project Assumptions'!$D$15+1,-SUM('Detailed Project Costs'!$F$31:$F$32)*0.8,0))+IF(BK$5&gt;'Project Assumptions'!$D$15,IF(BK$5&lt;='Project Assumptions'!$D$15+'Project Assumptions'!$D$16,-SUM('Detailed Project Costs'!$F$31:$F$32)*0.2/'Project Assumptions'!$D$16,0),0)+IF('Project Assumptions'!$D$16=0,IF(BK$5='Project Assumptions'!$D$15,-SUM('Detailed Project Costs'!$F$31:$F$32)*0.2,0),0)</f>
        <v/>
      </c>
      <c r="BK59" s="273">
        <f>IF('Project Assumptions'!$D$16=0,IF(BL$5='Project Assumptions'!$D$15,-SUM('Detailed Project Costs'!$F$31:$F$32)*0.8,0),IF(BL$5='Project Assumptions'!$D$15+1,-SUM('Detailed Project Costs'!$F$31:$F$32)*0.8,0))+IF(BL$5&gt;'Project Assumptions'!$D$15,IF(BL$5&lt;='Project Assumptions'!$D$15+'Project Assumptions'!$D$16,-SUM('Detailed Project Costs'!$F$31:$F$32)*0.2/'Project Assumptions'!$D$16,0),0)+IF('Project Assumptions'!$D$16=0,IF(BL$5='Project Assumptions'!$D$15,-SUM('Detailed Project Costs'!$F$31:$F$32)*0.2,0),0)</f>
        <v/>
      </c>
      <c r="BL59" s="273">
        <f>IF('Project Assumptions'!$D$16=0,IF(BM$5='Project Assumptions'!$D$15,-SUM('Detailed Project Costs'!$F$31:$F$32)*0.8,0),IF(BM$5='Project Assumptions'!$D$15+1,-SUM('Detailed Project Costs'!$F$31:$F$32)*0.8,0))+IF(BM$5&gt;'Project Assumptions'!$D$15,IF(BM$5&lt;='Project Assumptions'!$D$15+'Project Assumptions'!$D$16,-SUM('Detailed Project Costs'!$F$31:$F$32)*0.2/'Project Assumptions'!$D$16,0),0)+IF('Project Assumptions'!$D$16=0,IF(BM$5='Project Assumptions'!$D$15,-SUM('Detailed Project Costs'!$F$31:$F$32)*0.2,0),0)</f>
        <v/>
      </c>
      <c r="BM59" s="273">
        <f>IF('Project Assumptions'!$D$16=0,IF(BN$5='Project Assumptions'!$D$15,-SUM('Detailed Project Costs'!$F$31:$F$32)*0.8,0),IF(BN$5='Project Assumptions'!$D$15+1,-SUM('Detailed Project Costs'!$F$31:$F$32)*0.8,0))+IF(BN$5&gt;'Project Assumptions'!$D$15,IF(BN$5&lt;='Project Assumptions'!$D$15+'Project Assumptions'!$D$16,-SUM('Detailed Project Costs'!$F$31:$F$32)*0.2/'Project Assumptions'!$D$16,0),0)+IF('Project Assumptions'!$D$16=0,IF(BN$5='Project Assumptions'!$D$15,-SUM('Detailed Project Costs'!$F$31:$F$32)*0.2,0),0)</f>
        <v/>
      </c>
      <c r="BN59" s="273">
        <f>IF('Project Assumptions'!$D$16=0,IF(BO$5='Project Assumptions'!$D$15,-SUM('Detailed Project Costs'!$F$31:$F$32)*0.8,0),IF(BO$5='Project Assumptions'!$D$15+1,-SUM('Detailed Project Costs'!$F$31:$F$32)*0.8,0))+IF(BO$5&gt;'Project Assumptions'!$D$15,IF(BO$5&lt;='Project Assumptions'!$D$15+'Project Assumptions'!$D$16,-SUM('Detailed Project Costs'!$F$31:$F$32)*0.2/'Project Assumptions'!$D$16,0),0)+IF('Project Assumptions'!$D$16=0,IF(BO$5='Project Assumptions'!$D$15,-SUM('Detailed Project Costs'!$F$31:$F$32)*0.2,0),0)</f>
        <v/>
      </c>
      <c r="BO59" s="273">
        <f>IF('Project Assumptions'!$D$16=0,IF(BP$5='Project Assumptions'!$D$15,-SUM('Detailed Project Costs'!$F$31:$F$32)*0.8,0),IF(BP$5='Project Assumptions'!$D$15+1,-SUM('Detailed Project Costs'!$F$31:$F$32)*0.8,0))+IF(BP$5&gt;'Project Assumptions'!$D$15,IF(BP$5&lt;='Project Assumptions'!$D$15+'Project Assumptions'!$D$16,-SUM('Detailed Project Costs'!$F$31:$F$32)*0.2/'Project Assumptions'!$D$16,0),0)+IF('Project Assumptions'!$D$16=0,IF(BP$5='Project Assumptions'!$D$15,-SUM('Detailed Project Costs'!$F$31:$F$32)*0.2,0),0)</f>
        <v/>
      </c>
      <c r="BP59" s="273">
        <f>IF('Project Assumptions'!$D$16=0,IF(BQ$5='Project Assumptions'!$D$15,-SUM('Detailed Project Costs'!$F$31:$F$32)*0.8,0),IF(BQ$5='Project Assumptions'!$D$15+1,-SUM('Detailed Project Costs'!$F$31:$F$32)*0.8,0))+IF(BQ$5&gt;'Project Assumptions'!$D$15,IF(BQ$5&lt;='Project Assumptions'!$D$15+'Project Assumptions'!$D$16,-SUM('Detailed Project Costs'!$F$31:$F$32)*0.2/'Project Assumptions'!$D$16,0),0)+IF('Project Assumptions'!$D$16=0,IF(BQ$5='Project Assumptions'!$D$15,-SUM('Detailed Project Costs'!$F$31:$F$32)*0.2,0),0)</f>
        <v/>
      </c>
      <c r="BQ59" s="273">
        <f>IF('Project Assumptions'!$D$16=0,IF(BR$5='Project Assumptions'!$D$15,-SUM('Detailed Project Costs'!$F$31:$F$32)*0.8,0),IF(BR$5='Project Assumptions'!$D$15+1,-SUM('Detailed Project Costs'!$F$31:$F$32)*0.8,0))+IF(BR$5&gt;'Project Assumptions'!$D$15,IF(BR$5&lt;='Project Assumptions'!$D$15+'Project Assumptions'!$D$16,-SUM('Detailed Project Costs'!$F$31:$F$32)*0.2/'Project Assumptions'!$D$16,0),0)+IF('Project Assumptions'!$D$16=0,IF(BR$5='Project Assumptions'!$D$15,-SUM('Detailed Project Costs'!$F$31:$F$32)*0.2,0),0)</f>
        <v/>
      </c>
      <c r="BR59" s="273">
        <f>IF('Project Assumptions'!$D$16=0,IF(BS$5='Project Assumptions'!$D$15,-SUM('Detailed Project Costs'!$F$31:$F$32)*0.8,0),IF(BS$5='Project Assumptions'!$D$15+1,-SUM('Detailed Project Costs'!$F$31:$F$32)*0.8,0))+IF(BS$5&gt;'Project Assumptions'!$D$15,IF(BS$5&lt;='Project Assumptions'!$D$15+'Project Assumptions'!$D$16,-SUM('Detailed Project Costs'!$F$31:$F$32)*0.2/'Project Assumptions'!$D$16,0),0)+IF('Project Assumptions'!$D$16=0,IF(BS$5='Project Assumptions'!$D$15,-SUM('Detailed Project Costs'!$F$31:$F$32)*0.2,0),0)</f>
        <v/>
      </c>
      <c r="BS59" s="273">
        <f>IF('Project Assumptions'!$D$16=0,IF(BT$5='Project Assumptions'!$D$15,-SUM('Detailed Project Costs'!$F$31:$F$32)*0.8,0),IF(BT$5='Project Assumptions'!$D$15+1,-SUM('Detailed Project Costs'!$F$31:$F$32)*0.8,0))+IF(BT$5&gt;'Project Assumptions'!$D$15,IF(BT$5&lt;='Project Assumptions'!$D$15+'Project Assumptions'!$D$16,-SUM('Detailed Project Costs'!$F$31:$F$32)*0.2/'Project Assumptions'!$D$16,0),0)+IF('Project Assumptions'!$D$16=0,IF(BT$5='Project Assumptions'!$D$15,-SUM('Detailed Project Costs'!$F$31:$F$32)*0.2,0),0)</f>
        <v/>
      </c>
      <c r="BT59" s="273">
        <f>IF('Project Assumptions'!$D$16=0,IF(BU$5='Project Assumptions'!$D$15,-SUM('Detailed Project Costs'!$F$31:$F$32)*0.8,0),IF(BU$5='Project Assumptions'!$D$15+1,-SUM('Detailed Project Costs'!$F$31:$F$32)*0.8,0))+IF(BU$5&gt;'Project Assumptions'!$D$15,IF(BU$5&lt;='Project Assumptions'!$D$15+'Project Assumptions'!$D$16,-SUM('Detailed Project Costs'!$F$31:$F$32)*0.2/'Project Assumptions'!$D$16,0),0)+IF('Project Assumptions'!$D$16=0,IF(BU$5='Project Assumptions'!$D$15,-SUM('Detailed Project Costs'!$F$31:$F$32)*0.2,0),0)</f>
        <v/>
      </c>
      <c r="BU59" s="273">
        <f>IF('Project Assumptions'!$D$16=0,IF(BV$5='Project Assumptions'!$D$15,-SUM('Detailed Project Costs'!$F$31:$F$32)*0.8,0),IF(BV$5='Project Assumptions'!$D$15+1,-SUM('Detailed Project Costs'!$F$31:$F$32)*0.8,0))+IF(BV$5&gt;'Project Assumptions'!$D$15,IF(BV$5&lt;='Project Assumptions'!$D$15+'Project Assumptions'!$D$16,-SUM('Detailed Project Costs'!$F$31:$F$32)*0.2/'Project Assumptions'!$D$16,0),0)+IF('Project Assumptions'!$D$16=0,IF(BV$5='Project Assumptions'!$D$15,-SUM('Detailed Project Costs'!$F$31:$F$32)*0.2,0),0)</f>
        <v/>
      </c>
      <c r="BV59" s="273">
        <f>IF('Project Assumptions'!$D$16=0,IF(BW$5='Project Assumptions'!$D$15,-SUM('Detailed Project Costs'!$F$31:$F$32)*0.8,0),IF(BW$5='Project Assumptions'!$D$15+1,-SUM('Detailed Project Costs'!$F$31:$F$32)*0.8,0))+IF(BW$5&gt;'Project Assumptions'!$D$15,IF(BW$5&lt;='Project Assumptions'!$D$15+'Project Assumptions'!$D$16,-SUM('Detailed Project Costs'!$F$31:$F$32)*0.2/'Project Assumptions'!$D$16,0),0)+IF('Project Assumptions'!$D$16=0,IF(BW$5='Project Assumptions'!$D$15,-SUM('Detailed Project Costs'!$F$31:$F$32)*0.2,0),0)</f>
        <v/>
      </c>
      <c r="BW59" s="273">
        <f>IF('Project Assumptions'!$D$16=0,IF(BX$5='Project Assumptions'!$D$15,-SUM('Detailed Project Costs'!$F$31:$F$32)*0.8,0),IF(BX$5='Project Assumptions'!$D$15+1,-SUM('Detailed Project Costs'!$F$31:$F$32)*0.8,0))+IF(BX$5&gt;'Project Assumptions'!$D$15,IF(BX$5&lt;='Project Assumptions'!$D$15+'Project Assumptions'!$D$16,-SUM('Detailed Project Costs'!$F$31:$F$32)*0.2/'Project Assumptions'!$D$16,0),0)+IF('Project Assumptions'!$D$16=0,IF(BX$5='Project Assumptions'!$D$15,-SUM('Detailed Project Costs'!$F$31:$F$32)*0.2,0),0)</f>
        <v/>
      </c>
      <c r="BX59" s="273">
        <f>IF('Project Assumptions'!$D$16=0,IF(BY$5='Project Assumptions'!$D$15,-SUM('Detailed Project Costs'!$F$31:$F$32)*0.8,0),IF(BY$5='Project Assumptions'!$D$15+1,-SUM('Detailed Project Costs'!$F$31:$F$32)*0.8,0))+IF(BY$5&gt;'Project Assumptions'!$D$15,IF(BY$5&lt;='Project Assumptions'!$D$15+'Project Assumptions'!$D$16,-SUM('Detailed Project Costs'!$F$31:$F$32)*0.2/'Project Assumptions'!$D$16,0),0)+IF('Project Assumptions'!$D$16=0,IF(BY$5='Project Assumptions'!$D$15,-SUM('Detailed Project Costs'!$F$31:$F$32)*0.2,0),0)</f>
        <v/>
      </c>
      <c r="BY59" s="273">
        <f>IF('Project Assumptions'!$D$16=0,IF(BZ$5='Project Assumptions'!$D$15,-SUM('Detailed Project Costs'!$F$31:$F$32)*0.8,0),IF(BZ$5='Project Assumptions'!$D$15+1,-SUM('Detailed Project Costs'!$F$31:$F$32)*0.8,0))+IF(BZ$5&gt;'Project Assumptions'!$D$15,IF(BZ$5&lt;='Project Assumptions'!$D$15+'Project Assumptions'!$D$16,-SUM('Detailed Project Costs'!$F$31:$F$32)*0.2/'Project Assumptions'!$D$16,0),0)+IF('Project Assumptions'!$D$16=0,IF(BZ$5='Project Assumptions'!$D$15,-SUM('Detailed Project Costs'!$F$31:$F$32)*0.2,0),0)</f>
        <v/>
      </c>
      <c r="BZ59" s="273">
        <f>IF('Project Assumptions'!$D$16=0,IF(CA$5='Project Assumptions'!$D$15,-SUM('Detailed Project Costs'!$F$31:$F$32)*0.8,0),IF(CA$5='Project Assumptions'!$D$15+1,-SUM('Detailed Project Costs'!$F$31:$F$32)*0.8,0))+IF(CA$5&gt;'Project Assumptions'!$D$15,IF(CA$5&lt;='Project Assumptions'!$D$15+'Project Assumptions'!$D$16,-SUM('Detailed Project Costs'!$F$31:$F$32)*0.2/'Project Assumptions'!$D$16,0),0)+IF('Project Assumptions'!$D$16=0,IF(CA$5='Project Assumptions'!$D$15,-SUM('Detailed Project Costs'!$F$31:$F$32)*0.2,0),0)</f>
        <v/>
      </c>
      <c r="CA59" s="273">
        <f>IF('Project Assumptions'!$D$16=0,IF(CB$5='Project Assumptions'!$D$15,-SUM('Detailed Project Costs'!$F$31:$F$32)*0.8,0),IF(CB$5='Project Assumptions'!$D$15+1,-SUM('Detailed Project Costs'!$F$31:$F$32)*0.8,0))+IF(CB$5&gt;'Project Assumptions'!$D$15,IF(CB$5&lt;='Project Assumptions'!$D$15+'Project Assumptions'!$D$16,-SUM('Detailed Project Costs'!$F$31:$F$32)*0.2/'Project Assumptions'!$D$16,0),0)+IF('Project Assumptions'!$D$16=0,IF(CB$5='Project Assumptions'!$D$15,-SUM('Detailed Project Costs'!$F$31:$F$32)*0.2,0),0)</f>
        <v/>
      </c>
      <c r="CB59" s="273">
        <f>IF('Project Assumptions'!$D$16=0,IF(CC$5='Project Assumptions'!$D$15,-SUM('Detailed Project Costs'!$F$31:$F$32)*0.8,0),IF(CC$5='Project Assumptions'!$D$15+1,-SUM('Detailed Project Costs'!$F$31:$F$32)*0.8,0))+IF(CC$5&gt;'Project Assumptions'!$D$15,IF(CC$5&lt;='Project Assumptions'!$D$15+'Project Assumptions'!$D$16,-SUM('Detailed Project Costs'!$F$31:$F$32)*0.2/'Project Assumptions'!$D$16,0),0)+IF('Project Assumptions'!$D$16=0,IF(CC$5='Project Assumptions'!$D$15,-SUM('Detailed Project Costs'!$F$31:$F$32)*0.2,0),0)</f>
        <v/>
      </c>
      <c r="CC59" s="273">
        <f>IF('Project Assumptions'!$D$16=0,IF(CD$5='Project Assumptions'!$D$15,-SUM('Detailed Project Costs'!$F$31:$F$32)*0.8,0),IF(CD$5='Project Assumptions'!$D$15+1,-SUM('Detailed Project Costs'!$F$31:$F$32)*0.8,0))+IF(CD$5&gt;'Project Assumptions'!$D$15,IF(CD$5&lt;='Project Assumptions'!$D$15+'Project Assumptions'!$D$16,-SUM('Detailed Project Costs'!$F$31:$F$32)*0.2/'Project Assumptions'!$D$16,0),0)+IF('Project Assumptions'!$D$16=0,IF(CD$5='Project Assumptions'!$D$15,-SUM('Detailed Project Costs'!$F$31:$F$32)*0.2,0),0)</f>
        <v/>
      </c>
      <c r="CD59" s="273">
        <f>IF('Project Assumptions'!$D$16=0,IF(CE$5='Project Assumptions'!$D$15,-SUM('Detailed Project Costs'!$F$31:$F$32)*0.8,0),IF(CE$5='Project Assumptions'!$D$15+1,-SUM('Detailed Project Costs'!$F$31:$F$32)*0.8,0))+IF(CE$5&gt;'Project Assumptions'!$D$15,IF(CE$5&lt;='Project Assumptions'!$D$15+'Project Assumptions'!$D$16,-SUM('Detailed Project Costs'!$F$31:$F$32)*0.2/'Project Assumptions'!$D$16,0),0)+IF('Project Assumptions'!$D$16=0,IF(CE$5='Project Assumptions'!$D$15,-SUM('Detailed Project Costs'!$F$31:$F$32)*0.2,0),0)</f>
        <v/>
      </c>
      <c r="CE59" s="273">
        <f>IF('Project Assumptions'!$D$16=0,IF(CF$5='Project Assumptions'!$D$15,-SUM('Detailed Project Costs'!$F$31:$F$32)*0.8,0),IF(CF$5='Project Assumptions'!$D$15+1,-SUM('Detailed Project Costs'!$F$31:$F$32)*0.8,0))+IF(CF$5&gt;'Project Assumptions'!$D$15,IF(CF$5&lt;='Project Assumptions'!$D$15+'Project Assumptions'!$D$16,-SUM('Detailed Project Costs'!$F$31:$F$32)*0.2/'Project Assumptions'!$D$16,0),0)+IF('Project Assumptions'!$D$16=0,IF(CF$5='Project Assumptions'!$D$15,-SUM('Detailed Project Costs'!$F$31:$F$32)*0.2,0),0)</f>
        <v/>
      </c>
      <c r="CF59" s="273">
        <f>IF('Project Assumptions'!$D$16=0,IF(CG$5='Project Assumptions'!$D$15,-SUM('Detailed Project Costs'!$F$31:$F$32)*0.8,0),IF(CG$5='Project Assumptions'!$D$15+1,-SUM('Detailed Project Costs'!$F$31:$F$32)*0.8,0))+IF(CG$5&gt;'Project Assumptions'!$D$15,IF(CG$5&lt;='Project Assumptions'!$D$15+'Project Assumptions'!$D$16,-SUM('Detailed Project Costs'!$F$31:$F$32)*0.2/'Project Assumptions'!$D$16,0),0)+IF('Project Assumptions'!$D$16=0,IF(CG$5='Project Assumptions'!$D$15,-SUM('Detailed Project Costs'!$F$31:$F$32)*0.2,0),0)</f>
        <v/>
      </c>
      <c r="CG59" s="273">
        <f>IF('Project Assumptions'!$D$16=0,IF(CH$5='Project Assumptions'!$D$15,-SUM('Detailed Project Costs'!$F$31:$F$32)*0.8,0),IF(CH$5='Project Assumptions'!$D$15+1,-SUM('Detailed Project Costs'!$F$31:$F$32)*0.8,0))+IF(CH$5&gt;'Project Assumptions'!$D$15,IF(CH$5&lt;='Project Assumptions'!$D$15+'Project Assumptions'!$D$16,-SUM('Detailed Project Costs'!$F$31:$F$32)*0.2/'Project Assumptions'!$D$16,0),0)+IF('Project Assumptions'!$D$16=0,IF(CH$5='Project Assumptions'!$D$15,-SUM('Detailed Project Costs'!$F$31:$F$32)*0.2,0),0)</f>
        <v/>
      </c>
      <c r="CH59" s="273">
        <f>IF('Project Assumptions'!$D$16=0,IF(CI$5='Project Assumptions'!$D$15,-SUM('Detailed Project Costs'!$F$31:$F$32)*0.8,0),IF(CI$5='Project Assumptions'!$D$15+1,-SUM('Detailed Project Costs'!$F$31:$F$32)*0.8,0))+IF(CI$5&gt;'Project Assumptions'!$D$15,IF(CI$5&lt;='Project Assumptions'!$D$15+'Project Assumptions'!$D$16,-SUM('Detailed Project Costs'!$F$31:$F$32)*0.2/'Project Assumptions'!$D$16,0),0)+IF('Project Assumptions'!$D$16=0,IF(CI$5='Project Assumptions'!$D$15,-SUM('Detailed Project Costs'!$F$31:$F$32)*0.2,0),0)</f>
        <v/>
      </c>
      <c r="CI59" s="273">
        <f>IF('Project Assumptions'!$D$16=0,IF(CJ$5='Project Assumptions'!$D$15,-SUM('Detailed Project Costs'!$F$31:$F$32)*0.8,0),IF(CJ$5='Project Assumptions'!$D$15+1,-SUM('Detailed Project Costs'!$F$31:$F$32)*0.8,0))+IF(CJ$5&gt;'Project Assumptions'!$D$15,IF(CJ$5&lt;='Project Assumptions'!$D$15+'Project Assumptions'!$D$16,-SUM('Detailed Project Costs'!$F$31:$F$32)*0.2/'Project Assumptions'!$D$16,0),0)+IF('Project Assumptions'!$D$16=0,IF(CJ$5='Project Assumptions'!$D$15,-SUM('Detailed Project Costs'!$F$31:$F$32)*0.2,0),0)</f>
        <v/>
      </c>
      <c r="CJ59" s="273">
        <f>IF('Project Assumptions'!$D$16=0,IF(CK$5='Project Assumptions'!$D$15,-SUM('Detailed Project Costs'!$F$31:$F$32)*0.8,0),IF(CK$5='Project Assumptions'!$D$15+1,-SUM('Detailed Project Costs'!$F$31:$F$32)*0.8,0))+IF(CK$5&gt;'Project Assumptions'!$D$15,IF(CK$5&lt;='Project Assumptions'!$D$15+'Project Assumptions'!$D$16,-SUM('Detailed Project Costs'!$F$31:$F$32)*0.2/'Project Assumptions'!$D$16,0),0)+IF('Project Assumptions'!$D$16=0,IF(CK$5='Project Assumptions'!$D$15,-SUM('Detailed Project Costs'!$F$31:$F$32)*0.2,0),0)</f>
        <v/>
      </c>
      <c r="CK59" s="273">
        <f>IF('Project Assumptions'!$D$16=0,IF(CL$5='Project Assumptions'!$D$15,-SUM('Detailed Project Costs'!$F$31:$F$32)*0.8,0),IF(CL$5='Project Assumptions'!$D$15+1,-SUM('Detailed Project Costs'!$F$31:$F$32)*0.8,0))+IF(CL$5&gt;'Project Assumptions'!$D$15,IF(CL$5&lt;='Project Assumptions'!$D$15+'Project Assumptions'!$D$16,-SUM('Detailed Project Costs'!$F$31:$F$32)*0.2/'Project Assumptions'!$D$16,0),0)+IF('Project Assumptions'!$D$16=0,IF(CL$5='Project Assumptions'!$D$15,-SUM('Detailed Project Costs'!$F$31:$F$32)*0.2,0),0)</f>
        <v/>
      </c>
      <c r="CL59" s="273">
        <f>IF('Project Assumptions'!$D$16=0,IF(CM$5='Project Assumptions'!$D$15,-SUM('Detailed Project Costs'!$F$31:$F$32)*0.8,0),IF(CM$5='Project Assumptions'!$D$15+1,-SUM('Detailed Project Costs'!$F$31:$F$32)*0.8,0))+IF(CM$5&gt;'Project Assumptions'!$D$15,IF(CM$5&lt;='Project Assumptions'!$D$15+'Project Assumptions'!$D$16,-SUM('Detailed Project Costs'!$F$31:$F$32)*0.2/'Project Assumptions'!$D$16,0),0)+IF('Project Assumptions'!$D$16=0,IF(CM$5='Project Assumptions'!$D$15,-SUM('Detailed Project Costs'!$F$31:$F$32)*0.2,0),0)</f>
        <v/>
      </c>
      <c r="CM59" s="273">
        <f>IF('Project Assumptions'!$D$16=0,IF(CN$5='Project Assumptions'!$D$15,-SUM('Detailed Project Costs'!$F$31:$F$32)*0.8,0),IF(CN$5='Project Assumptions'!$D$15+1,-SUM('Detailed Project Costs'!$F$31:$F$32)*0.8,0))+IF(CN$5&gt;'Project Assumptions'!$D$15,IF(CN$5&lt;='Project Assumptions'!$D$15+'Project Assumptions'!$D$16,-SUM('Detailed Project Costs'!$F$31:$F$32)*0.2/'Project Assumptions'!$D$16,0),0)+IF('Project Assumptions'!$D$16=0,IF(CN$5='Project Assumptions'!$D$15,-SUM('Detailed Project Costs'!$F$31:$F$32)*0.2,0),0)</f>
        <v/>
      </c>
      <c r="CN59" s="273">
        <f>IF('Project Assumptions'!$D$16=0,IF(CO$5='Project Assumptions'!$D$15,-SUM('Detailed Project Costs'!$F$31:$F$32)*0.8,0),IF(CO$5='Project Assumptions'!$D$15+1,-SUM('Detailed Project Costs'!$F$31:$F$32)*0.8,0))+IF(CO$5&gt;'Project Assumptions'!$D$15,IF(CO$5&lt;='Project Assumptions'!$D$15+'Project Assumptions'!$D$16,-SUM('Detailed Project Costs'!$F$31:$F$32)*0.2/'Project Assumptions'!$D$16,0),0)+IF('Project Assumptions'!$D$16=0,IF(CO$5='Project Assumptions'!$D$15,-SUM('Detailed Project Costs'!$F$31:$F$32)*0.2,0),0)</f>
        <v/>
      </c>
      <c r="CO59" s="273">
        <f>IF('Project Assumptions'!$D$16=0,IF(CP$5='Project Assumptions'!$D$15,-SUM('Detailed Project Costs'!$F$31:$F$32)*0.8,0),IF(CP$5='Project Assumptions'!$D$15+1,-SUM('Detailed Project Costs'!$F$31:$F$32)*0.8,0))+IF(CP$5&gt;'Project Assumptions'!$D$15,IF(CP$5&lt;='Project Assumptions'!$D$15+'Project Assumptions'!$D$16,-SUM('Detailed Project Costs'!$F$31:$F$32)*0.2/'Project Assumptions'!$D$16,0),0)+IF('Project Assumptions'!$D$16=0,IF(CP$5='Project Assumptions'!$D$15,-SUM('Detailed Project Costs'!$F$31:$F$32)*0.2,0),0)</f>
        <v/>
      </c>
      <c r="CP59" s="273">
        <f>IF('Project Assumptions'!$D$16=0,IF(CQ$5='Project Assumptions'!$D$15,-SUM('Detailed Project Costs'!$F$31:$F$32)*0.8,0),IF(CQ$5='Project Assumptions'!$D$15+1,-SUM('Detailed Project Costs'!$F$31:$F$32)*0.8,0))+IF(CQ$5&gt;'Project Assumptions'!$D$15,IF(CQ$5&lt;='Project Assumptions'!$D$15+'Project Assumptions'!$D$16,-SUM('Detailed Project Costs'!$F$31:$F$32)*0.2/'Project Assumptions'!$D$16,0),0)+IF('Project Assumptions'!$D$16=0,IF(CQ$5='Project Assumptions'!$D$15,-SUM('Detailed Project Costs'!$F$31:$F$32)*0.2,0),0)</f>
        <v/>
      </c>
      <c r="CQ59" s="273">
        <f>IF('Project Assumptions'!$D$16=0,IF(CR$5='Project Assumptions'!$D$15,-SUM('Detailed Project Costs'!$F$31:$F$32)*0.8,0),IF(CR$5='Project Assumptions'!$D$15+1,-SUM('Detailed Project Costs'!$F$31:$F$32)*0.8,0))+IF(CR$5&gt;'Project Assumptions'!$D$15,IF(CR$5&lt;='Project Assumptions'!$D$15+'Project Assumptions'!$D$16,-SUM('Detailed Project Costs'!$F$31:$F$32)*0.2/'Project Assumptions'!$D$16,0),0)+IF('Project Assumptions'!$D$16=0,IF(CR$5='Project Assumptions'!$D$15,-SUM('Detailed Project Costs'!$F$31:$F$32)*0.2,0),0)</f>
        <v/>
      </c>
      <c r="CR59" s="273">
        <f>IF('Project Assumptions'!$D$16=0,IF(CS$5='Project Assumptions'!$D$15,-SUM('Detailed Project Costs'!$F$31:$F$32)*0.8,0),IF(CS$5='Project Assumptions'!$D$15+1,-SUM('Detailed Project Costs'!$F$31:$F$32)*0.8,0))+IF(CS$5&gt;'Project Assumptions'!$D$15,IF(CS$5&lt;='Project Assumptions'!$D$15+'Project Assumptions'!$D$16,-SUM('Detailed Project Costs'!$F$31:$F$32)*0.2/'Project Assumptions'!$D$16,0),0)+IF('Project Assumptions'!$D$16=0,IF(CS$5='Project Assumptions'!$D$15,-SUM('Detailed Project Costs'!$F$31:$F$32)*0.2,0),0)</f>
        <v/>
      </c>
      <c r="CS59" s="273">
        <f>IF('Project Assumptions'!$D$16=0,IF(CT$5='Project Assumptions'!$D$15,-SUM('Detailed Project Costs'!$F$31:$F$32)*0.8,0),IF(CT$5='Project Assumptions'!$D$15+1,-SUM('Detailed Project Costs'!$F$31:$F$32)*0.8,0))+IF(CT$5&gt;'Project Assumptions'!$D$15,IF(CT$5&lt;='Project Assumptions'!$D$15+'Project Assumptions'!$D$16,-SUM('Detailed Project Costs'!$F$31:$F$32)*0.2/'Project Assumptions'!$D$16,0),0)+IF('Project Assumptions'!$D$16=0,IF(CT$5='Project Assumptions'!$D$15,-SUM('Detailed Project Costs'!$F$31:$F$32)*0.2,0),0)</f>
        <v/>
      </c>
      <c r="CT59" s="273">
        <f>IF('Project Assumptions'!$D$16=0,IF(CU$5='Project Assumptions'!$D$15,-SUM('Detailed Project Costs'!$F$31:$F$32)*0.8,0),IF(CU$5='Project Assumptions'!$D$15+1,-SUM('Detailed Project Costs'!$F$31:$F$32)*0.8,0))+IF(CU$5&gt;'Project Assumptions'!$D$15,IF(CU$5&lt;='Project Assumptions'!$D$15+'Project Assumptions'!$D$16,-SUM('Detailed Project Costs'!$F$31:$F$32)*0.2/'Project Assumptions'!$D$16,0),0)+IF('Project Assumptions'!$D$16=0,IF(CU$5='Project Assumptions'!$D$15,-SUM('Detailed Project Costs'!$F$31:$F$32)*0.2,0),0)</f>
        <v/>
      </c>
      <c r="CU59" s="273">
        <f>IF('Project Assumptions'!$D$16=0,IF(CV$5='Project Assumptions'!$D$15,-SUM('Detailed Project Costs'!$F$31:$F$32)*0.8,0),IF(CV$5='Project Assumptions'!$D$15+1,-SUM('Detailed Project Costs'!$F$31:$F$32)*0.8,0))+IF(CV$5&gt;'Project Assumptions'!$D$15,IF(CV$5&lt;='Project Assumptions'!$D$15+'Project Assumptions'!$D$16,-SUM('Detailed Project Costs'!$F$31:$F$32)*0.2/'Project Assumptions'!$D$16,0),0)+IF('Project Assumptions'!$D$16=0,IF(CV$5='Project Assumptions'!$D$15,-SUM('Detailed Project Costs'!$F$31:$F$32)*0.2,0),0)</f>
        <v/>
      </c>
      <c r="CV59" s="273">
        <f>IF('Project Assumptions'!$D$16=0,IF(CW$5='Project Assumptions'!$D$15,-SUM('Detailed Project Costs'!$F$31:$F$32)*0.8,0),IF(CW$5='Project Assumptions'!$D$15+1,-SUM('Detailed Project Costs'!$F$31:$F$32)*0.8,0))+IF(CW$5&gt;'Project Assumptions'!$D$15,IF(CW$5&lt;='Project Assumptions'!$D$15+'Project Assumptions'!$D$16,-SUM('Detailed Project Costs'!$F$31:$F$32)*0.2/'Project Assumptions'!$D$16,0),0)+IF('Project Assumptions'!$D$16=0,IF(CW$5='Project Assumptions'!$D$15,-SUM('Detailed Project Costs'!$F$31:$F$32)*0.2,0),0)</f>
        <v/>
      </c>
      <c r="CW59" s="273">
        <f>IF('Project Assumptions'!$D$16=0,IF(CX$5='Project Assumptions'!$D$15,-SUM('Detailed Project Costs'!$F$31:$F$32)*0.8,0),IF(CX$5='Project Assumptions'!$D$15+1,-SUM('Detailed Project Costs'!$F$31:$F$32)*0.8,0))+IF(CX$5&gt;'Project Assumptions'!$D$15,IF(CX$5&lt;='Project Assumptions'!$D$15+'Project Assumptions'!$D$16,-SUM('Detailed Project Costs'!$F$31:$F$32)*0.2/'Project Assumptions'!$D$16,0),0)+IF('Project Assumptions'!$D$16=0,IF(CX$5='Project Assumptions'!$D$15,-SUM('Detailed Project Costs'!$F$31:$F$32)*0.2,0),0)</f>
        <v/>
      </c>
      <c r="CX59" s="273">
        <f>IF('Project Assumptions'!$D$16=0,IF(CY$5='Project Assumptions'!$D$15,-SUM('Detailed Project Costs'!$F$31:$F$32)*0.8,0),IF(CY$5='Project Assumptions'!$D$15+1,-SUM('Detailed Project Costs'!$F$31:$F$32)*0.8,0))+IF(CY$5&gt;'Project Assumptions'!$D$15,IF(CY$5&lt;='Project Assumptions'!$D$15+'Project Assumptions'!$D$16,-SUM('Detailed Project Costs'!$F$31:$F$32)*0.2/'Project Assumptions'!$D$16,0),0)+IF('Project Assumptions'!$D$16=0,IF(CY$5='Project Assumptions'!$D$15,-SUM('Detailed Project Costs'!$F$31:$F$32)*0.2,0),0)</f>
        <v/>
      </c>
      <c r="CY59" s="273">
        <f>IF('Project Assumptions'!$D$16=0,IF(CZ$5='Project Assumptions'!$D$15,-SUM('Detailed Project Costs'!$F$31:$F$32)*0.8,0),IF(CZ$5='Project Assumptions'!$D$15+1,-SUM('Detailed Project Costs'!$F$31:$F$32)*0.8,0))+IF(CZ$5&gt;'Project Assumptions'!$D$15,IF(CZ$5&lt;='Project Assumptions'!$D$15+'Project Assumptions'!$D$16,-SUM('Detailed Project Costs'!$F$31:$F$32)*0.2/'Project Assumptions'!$D$16,0),0)+IF('Project Assumptions'!$D$16=0,IF(CZ$5='Project Assumptions'!$D$15,-SUM('Detailed Project Costs'!$F$31:$F$32)*0.2,0),0)</f>
        <v/>
      </c>
      <c r="CZ59" s="273">
        <f>IF('Project Assumptions'!$D$16=0,IF(DA$5='Project Assumptions'!$D$15,-SUM('Detailed Project Costs'!$F$31:$F$32)*0.8,0),IF(DA$5='Project Assumptions'!$D$15+1,-SUM('Detailed Project Costs'!$F$31:$F$32)*0.8,0))+IF(DA$5&gt;'Project Assumptions'!$D$15,IF(DA$5&lt;='Project Assumptions'!$D$15+'Project Assumptions'!$D$16,-SUM('Detailed Project Costs'!$F$31:$F$32)*0.2/'Project Assumptions'!$D$16,0),0)+IF('Project Assumptions'!$D$16=0,IF(DA$5='Project Assumptions'!$D$15,-SUM('Detailed Project Costs'!$F$31:$F$32)*0.2,0),0)</f>
        <v/>
      </c>
      <c r="DA59" s="273">
        <f>IF('Project Assumptions'!$D$16=0,IF(DB$5='Project Assumptions'!$D$15,-SUM('Detailed Project Costs'!$F$31:$F$32)*0.8,0),IF(DB$5='Project Assumptions'!$D$15+1,-SUM('Detailed Project Costs'!$F$31:$F$32)*0.8,0))+IF(DB$5&gt;'Project Assumptions'!$D$15,IF(DB$5&lt;='Project Assumptions'!$D$15+'Project Assumptions'!$D$16,-SUM('Detailed Project Costs'!$F$31:$F$32)*0.2/'Project Assumptions'!$D$16,0),0)+IF('Project Assumptions'!$D$16=0,IF(DB$5='Project Assumptions'!$D$15,-SUM('Detailed Project Costs'!$F$31:$F$32)*0.2,0),0)</f>
        <v/>
      </c>
      <c r="DB59" s="273">
        <f>IF('Project Assumptions'!$D$16=0,IF(DC$5='Project Assumptions'!$D$15,-SUM('Detailed Project Costs'!$F$31:$F$32)*0.8,0),IF(DC$5='Project Assumptions'!$D$15+1,-SUM('Detailed Project Costs'!$F$31:$F$32)*0.8,0))+IF(DC$5&gt;'Project Assumptions'!$D$15,IF(DC$5&lt;='Project Assumptions'!$D$15+'Project Assumptions'!$D$16,-SUM('Detailed Project Costs'!$F$31:$F$32)*0.2/'Project Assumptions'!$D$16,0),0)+IF('Project Assumptions'!$D$16=0,IF(DC$5='Project Assumptions'!$D$15,-SUM('Detailed Project Costs'!$F$31:$F$32)*0.2,0),0)</f>
        <v/>
      </c>
      <c r="DC59" s="273" t="n"/>
      <c r="DD59" s="295">
        <f>SUM(F59:DB59)</f>
        <v/>
      </c>
    </row>
    <row r="60">
      <c r="A60" s="1000" t="n"/>
      <c r="B60" s="701" t="inlineStr">
        <is>
          <t xml:space="preserve">   Landscape Architect</t>
        </is>
      </c>
      <c r="C60" s="294" t="n"/>
      <c r="D60" s="295">
        <f>DD60</f>
        <v/>
      </c>
      <c r="E60" s="274" t="n"/>
      <c r="F60" s="273">
        <f>IF('Project Assumptions'!$D$16=0,IF(G$5='Project Assumptions'!$D$15,-SUM('Detailed Project Costs'!$F$33:$F$34)*0.8,0),IF(G$5='Project Assumptions'!$D$15+1,-SUM('Detailed Project Costs'!$F$33:$F$34)*0.8,0))+IF(G$5&gt;'Project Assumptions'!$D$15,IF(G$5&lt;='Project Assumptions'!$D$15+'Project Assumptions'!$D$16,-SUM('Detailed Project Costs'!$F$33:$F$34)*0.2/'Project Assumptions'!$D$16,0),0)+IF('Project Assumptions'!$D$16=0,IF(G$5='Project Assumptions'!$D$15,-SUM('Detailed Project Costs'!$F$33:$F$34)*0.2,0),0)</f>
        <v/>
      </c>
      <c r="G60" s="273">
        <f>IF('Project Assumptions'!$D$16=0,IF(H$5='Project Assumptions'!$D$15,-SUM('Detailed Project Costs'!$F$33:$F$34)*0.8,0),IF(H$5='Project Assumptions'!$D$15+1,-SUM('Detailed Project Costs'!$F$33:$F$34)*0.8,0))+IF(H$5&gt;'Project Assumptions'!$D$15,IF(H$5&lt;='Project Assumptions'!$D$15+'Project Assumptions'!$D$16,-SUM('Detailed Project Costs'!$F$33:$F$34)*0.2/'Project Assumptions'!$D$16,0),0)+IF('Project Assumptions'!$D$16=0,IF(H$5='Project Assumptions'!$D$15,-SUM('Detailed Project Costs'!$F$33:$F$34)*0.2,0),0)</f>
        <v/>
      </c>
      <c r="H60" s="273">
        <f>IF('Project Assumptions'!$D$16=0,IF(I$5='Project Assumptions'!$D$15,-SUM('Detailed Project Costs'!$F$33:$F$34)*0.8,0),IF(I$5='Project Assumptions'!$D$15+1,-SUM('Detailed Project Costs'!$F$33:$F$34)*0.8,0))+IF(I$5&gt;'Project Assumptions'!$D$15,IF(I$5&lt;='Project Assumptions'!$D$15+'Project Assumptions'!$D$16,-SUM('Detailed Project Costs'!$F$33:$F$34)*0.2/'Project Assumptions'!$D$16,0),0)+IF('Project Assumptions'!$D$16=0,IF(I$5='Project Assumptions'!$D$15,-SUM('Detailed Project Costs'!$F$33:$F$34)*0.2,0),0)</f>
        <v/>
      </c>
      <c r="I60" s="273">
        <f>IF('Project Assumptions'!$D$16=0,IF(J$5='Project Assumptions'!$D$15,-SUM('Detailed Project Costs'!$F$33:$F$34)*0.8,0),IF(J$5='Project Assumptions'!$D$15+1,-SUM('Detailed Project Costs'!$F$33:$F$34)*0.8,0))+IF(J$5&gt;'Project Assumptions'!$D$15,IF(J$5&lt;='Project Assumptions'!$D$15+'Project Assumptions'!$D$16,-SUM('Detailed Project Costs'!$F$33:$F$34)*0.2/'Project Assumptions'!$D$16,0),0)+IF('Project Assumptions'!$D$16=0,IF(J$5='Project Assumptions'!$D$15,-SUM('Detailed Project Costs'!$F$33:$F$34)*0.2,0),0)</f>
        <v/>
      </c>
      <c r="J60" s="273">
        <f>IF('Project Assumptions'!$D$16=0,IF(K$5='Project Assumptions'!$D$15,-SUM('Detailed Project Costs'!$F$33:$F$34)*0.8,0),IF(K$5='Project Assumptions'!$D$15+1,-SUM('Detailed Project Costs'!$F$33:$F$34)*0.8,0))+IF(K$5&gt;'Project Assumptions'!$D$15,IF(K$5&lt;='Project Assumptions'!$D$15+'Project Assumptions'!$D$16,-SUM('Detailed Project Costs'!$F$33:$F$34)*0.2/'Project Assumptions'!$D$16,0),0)+IF('Project Assumptions'!$D$16=0,IF(K$5='Project Assumptions'!$D$15,-SUM('Detailed Project Costs'!$F$33:$F$34)*0.2,0),0)</f>
        <v/>
      </c>
      <c r="K60" s="273">
        <f>IF('Project Assumptions'!$D$16=0,IF(L$5='Project Assumptions'!$D$15,-SUM('Detailed Project Costs'!$F$33:$F$34)*0.8,0),IF(L$5='Project Assumptions'!$D$15+1,-SUM('Detailed Project Costs'!$F$33:$F$34)*0.8,0))+IF(L$5&gt;'Project Assumptions'!$D$15,IF(L$5&lt;='Project Assumptions'!$D$15+'Project Assumptions'!$D$16,-SUM('Detailed Project Costs'!$F$33:$F$34)*0.2/'Project Assumptions'!$D$16,0),0)+IF('Project Assumptions'!$D$16=0,IF(L$5='Project Assumptions'!$D$15,-SUM('Detailed Project Costs'!$F$33:$F$34)*0.2,0),0)</f>
        <v/>
      </c>
      <c r="L60" s="273">
        <f>IF('Project Assumptions'!$D$16=0,IF(M$5='Project Assumptions'!$D$15,-SUM('Detailed Project Costs'!$F$33:$F$34)*0.8,0),IF(M$5='Project Assumptions'!$D$15+1,-SUM('Detailed Project Costs'!$F$33:$F$34)*0.8,0))+IF(M$5&gt;'Project Assumptions'!$D$15,IF(M$5&lt;='Project Assumptions'!$D$15+'Project Assumptions'!$D$16,-SUM('Detailed Project Costs'!$F$33:$F$34)*0.2/'Project Assumptions'!$D$16,0),0)+IF('Project Assumptions'!$D$16=0,IF(M$5='Project Assumptions'!$D$15,-SUM('Detailed Project Costs'!$F$33:$F$34)*0.2,0),0)</f>
        <v/>
      </c>
      <c r="M60" s="273">
        <f>IF('Project Assumptions'!$D$16=0,IF(N$5='Project Assumptions'!$D$15,-SUM('Detailed Project Costs'!$F$33:$F$34)*0.8,0),IF(N$5='Project Assumptions'!$D$15+1,-SUM('Detailed Project Costs'!$F$33:$F$34)*0.8,0))+IF(N$5&gt;'Project Assumptions'!$D$15,IF(N$5&lt;='Project Assumptions'!$D$15+'Project Assumptions'!$D$16,-SUM('Detailed Project Costs'!$F$33:$F$34)*0.2/'Project Assumptions'!$D$16,0),0)+IF('Project Assumptions'!$D$16=0,IF(N$5='Project Assumptions'!$D$15,-SUM('Detailed Project Costs'!$F$33:$F$34)*0.2,0),0)</f>
        <v/>
      </c>
      <c r="N60" s="273">
        <f>IF('Project Assumptions'!$D$16=0,IF(O$5='Project Assumptions'!$D$15,-SUM('Detailed Project Costs'!$F$33:$F$34)*0.8,0),IF(O$5='Project Assumptions'!$D$15+1,-SUM('Detailed Project Costs'!$F$33:$F$34)*0.8,0))+IF(O$5&gt;'Project Assumptions'!$D$15,IF(O$5&lt;='Project Assumptions'!$D$15+'Project Assumptions'!$D$16,-SUM('Detailed Project Costs'!$F$33:$F$34)*0.2/'Project Assumptions'!$D$16,0),0)+IF('Project Assumptions'!$D$16=0,IF(O$5='Project Assumptions'!$D$15,-SUM('Detailed Project Costs'!$F$33:$F$34)*0.2,0),0)</f>
        <v/>
      </c>
      <c r="O60" s="273">
        <f>IF('Project Assumptions'!$D$16=0,IF(P$5='Project Assumptions'!$D$15,-SUM('Detailed Project Costs'!$F$33:$F$34)*0.8,0),IF(P$5='Project Assumptions'!$D$15+1,-SUM('Detailed Project Costs'!$F$33:$F$34)*0.8,0))+IF(P$5&gt;'Project Assumptions'!$D$15,IF(P$5&lt;='Project Assumptions'!$D$15+'Project Assumptions'!$D$16,-SUM('Detailed Project Costs'!$F$33:$F$34)*0.2/'Project Assumptions'!$D$16,0),0)+IF('Project Assumptions'!$D$16=0,IF(P$5='Project Assumptions'!$D$15,-SUM('Detailed Project Costs'!$F$33:$F$34)*0.2,0),0)</f>
        <v/>
      </c>
      <c r="P60" s="273">
        <f>IF('Project Assumptions'!$D$16=0,IF(Q$5='Project Assumptions'!$D$15,-SUM('Detailed Project Costs'!$F$33:$F$34)*0.8,0),IF(Q$5='Project Assumptions'!$D$15+1,-SUM('Detailed Project Costs'!$F$33:$F$34)*0.8,0))+IF(Q$5&gt;'Project Assumptions'!$D$15,IF(Q$5&lt;='Project Assumptions'!$D$15+'Project Assumptions'!$D$16,-SUM('Detailed Project Costs'!$F$33:$F$34)*0.2/'Project Assumptions'!$D$16,0),0)+IF('Project Assumptions'!$D$16=0,IF(Q$5='Project Assumptions'!$D$15,-SUM('Detailed Project Costs'!$F$33:$F$34)*0.2,0),0)</f>
        <v/>
      </c>
      <c r="Q60" s="273">
        <f>IF('Project Assumptions'!$D$16=0,IF(R$5='Project Assumptions'!$D$15,-SUM('Detailed Project Costs'!$F$33:$F$34)*0.8,0),IF(R$5='Project Assumptions'!$D$15+1,-SUM('Detailed Project Costs'!$F$33:$F$34)*0.8,0))+IF(R$5&gt;'Project Assumptions'!$D$15,IF(R$5&lt;='Project Assumptions'!$D$15+'Project Assumptions'!$D$16,-SUM('Detailed Project Costs'!$F$33:$F$34)*0.2/'Project Assumptions'!$D$16,0),0)+IF('Project Assumptions'!$D$16=0,IF(R$5='Project Assumptions'!$D$15,-SUM('Detailed Project Costs'!$F$33:$F$34)*0.2,0),0)</f>
        <v/>
      </c>
      <c r="R60" s="273">
        <f>IF('Project Assumptions'!$D$16=0,IF(S$5='Project Assumptions'!$D$15,-SUM('Detailed Project Costs'!$F$33:$F$34)*0.8,0),IF(S$5='Project Assumptions'!$D$15+1,-SUM('Detailed Project Costs'!$F$33:$F$34)*0.8,0))+IF(S$5&gt;'Project Assumptions'!$D$15,IF(S$5&lt;='Project Assumptions'!$D$15+'Project Assumptions'!$D$16,-SUM('Detailed Project Costs'!$F$33:$F$34)*0.2/'Project Assumptions'!$D$16,0),0)+IF('Project Assumptions'!$D$16=0,IF(S$5='Project Assumptions'!$D$15,-SUM('Detailed Project Costs'!$F$33:$F$34)*0.2,0),0)</f>
        <v/>
      </c>
      <c r="S60" s="273">
        <f>IF('Project Assumptions'!$D$16=0,IF(T$5='Project Assumptions'!$D$15,-SUM('Detailed Project Costs'!$F$33:$F$34)*0.8,0),IF(T$5='Project Assumptions'!$D$15+1,-SUM('Detailed Project Costs'!$F$33:$F$34)*0.8,0))+IF(T$5&gt;'Project Assumptions'!$D$15,IF(T$5&lt;='Project Assumptions'!$D$15+'Project Assumptions'!$D$16,-SUM('Detailed Project Costs'!$F$33:$F$34)*0.2/'Project Assumptions'!$D$16,0),0)+IF('Project Assumptions'!$D$16=0,IF(T$5='Project Assumptions'!$D$15,-SUM('Detailed Project Costs'!$F$33:$F$34)*0.2,0),0)</f>
        <v/>
      </c>
      <c r="T60" s="273">
        <f>IF('Project Assumptions'!$D$16=0,IF(U$5='Project Assumptions'!$D$15,-SUM('Detailed Project Costs'!$F$33:$F$34)*0.8,0),IF(U$5='Project Assumptions'!$D$15+1,-SUM('Detailed Project Costs'!$F$33:$F$34)*0.8,0))+IF(U$5&gt;'Project Assumptions'!$D$15,IF(U$5&lt;='Project Assumptions'!$D$15+'Project Assumptions'!$D$16,-SUM('Detailed Project Costs'!$F$33:$F$34)*0.2/'Project Assumptions'!$D$16,0),0)+IF('Project Assumptions'!$D$16=0,IF(U$5='Project Assumptions'!$D$15,-SUM('Detailed Project Costs'!$F$33:$F$34)*0.2,0),0)</f>
        <v/>
      </c>
      <c r="U60" s="273">
        <f>IF('Project Assumptions'!$D$16=0,IF(V$5='Project Assumptions'!$D$15,-SUM('Detailed Project Costs'!$F$33:$F$34)*0.8,0),IF(V$5='Project Assumptions'!$D$15+1,-SUM('Detailed Project Costs'!$F$33:$F$34)*0.8,0))+IF(V$5&gt;'Project Assumptions'!$D$15,IF(V$5&lt;='Project Assumptions'!$D$15+'Project Assumptions'!$D$16,-SUM('Detailed Project Costs'!$F$33:$F$34)*0.2/'Project Assumptions'!$D$16,0),0)+IF('Project Assumptions'!$D$16=0,IF(V$5='Project Assumptions'!$D$15,-SUM('Detailed Project Costs'!$F$33:$F$34)*0.2,0),0)</f>
        <v/>
      </c>
      <c r="V60" s="273">
        <f>IF('Project Assumptions'!$D$16=0,IF(W$5='Project Assumptions'!$D$15,-SUM('Detailed Project Costs'!$F$33:$F$34)*0.8,0),IF(W$5='Project Assumptions'!$D$15+1,-SUM('Detailed Project Costs'!$F$33:$F$34)*0.8,0))+IF(W$5&gt;'Project Assumptions'!$D$15,IF(W$5&lt;='Project Assumptions'!$D$15+'Project Assumptions'!$D$16,-SUM('Detailed Project Costs'!$F$33:$F$34)*0.2/'Project Assumptions'!$D$16,0),0)+IF('Project Assumptions'!$D$16=0,IF(W$5='Project Assumptions'!$D$15,-SUM('Detailed Project Costs'!$F$33:$F$34)*0.2,0),0)</f>
        <v/>
      </c>
      <c r="W60" s="273">
        <f>IF('Project Assumptions'!$D$16=0,IF(X$5='Project Assumptions'!$D$15,-SUM('Detailed Project Costs'!$F$33:$F$34)*0.8,0),IF(X$5='Project Assumptions'!$D$15+1,-SUM('Detailed Project Costs'!$F$33:$F$34)*0.8,0))+IF(X$5&gt;'Project Assumptions'!$D$15,IF(X$5&lt;='Project Assumptions'!$D$15+'Project Assumptions'!$D$16,-SUM('Detailed Project Costs'!$F$33:$F$34)*0.2/'Project Assumptions'!$D$16,0),0)+IF('Project Assumptions'!$D$16=0,IF(X$5='Project Assumptions'!$D$15,-SUM('Detailed Project Costs'!$F$33:$F$34)*0.2,0),0)</f>
        <v/>
      </c>
      <c r="X60" s="273">
        <f>IF('Project Assumptions'!$D$16=0,IF(Y$5='Project Assumptions'!$D$15,-SUM('Detailed Project Costs'!$F$33:$F$34)*0.8,0),IF(Y$5='Project Assumptions'!$D$15+1,-SUM('Detailed Project Costs'!$F$33:$F$34)*0.8,0))+IF(Y$5&gt;'Project Assumptions'!$D$15,IF(Y$5&lt;='Project Assumptions'!$D$15+'Project Assumptions'!$D$16,-SUM('Detailed Project Costs'!$F$33:$F$34)*0.2/'Project Assumptions'!$D$16,0),0)+IF('Project Assumptions'!$D$16=0,IF(Y$5='Project Assumptions'!$D$15,-SUM('Detailed Project Costs'!$F$33:$F$34)*0.2,0),0)</f>
        <v/>
      </c>
      <c r="Y60" s="273">
        <f>IF('Project Assumptions'!$D$16=0,IF(Z$5='Project Assumptions'!$D$15,-SUM('Detailed Project Costs'!$F$33:$F$34)*0.8,0),IF(Z$5='Project Assumptions'!$D$15+1,-SUM('Detailed Project Costs'!$F$33:$F$34)*0.8,0))+IF(Z$5&gt;'Project Assumptions'!$D$15,IF(Z$5&lt;='Project Assumptions'!$D$15+'Project Assumptions'!$D$16,-SUM('Detailed Project Costs'!$F$33:$F$34)*0.2/'Project Assumptions'!$D$16,0),0)+IF('Project Assumptions'!$D$16=0,IF(Z$5='Project Assumptions'!$D$15,-SUM('Detailed Project Costs'!$F$33:$F$34)*0.2,0),0)</f>
        <v/>
      </c>
      <c r="Z60" s="273">
        <f>IF('Project Assumptions'!$D$16=0,IF(AA$5='Project Assumptions'!$D$15,-SUM('Detailed Project Costs'!$F$33:$F$34)*0.8,0),IF(AA$5='Project Assumptions'!$D$15+1,-SUM('Detailed Project Costs'!$F$33:$F$34)*0.8,0))+IF(AA$5&gt;'Project Assumptions'!$D$15,IF(AA$5&lt;='Project Assumptions'!$D$15+'Project Assumptions'!$D$16,-SUM('Detailed Project Costs'!$F$33:$F$34)*0.2/'Project Assumptions'!$D$16,0),0)+IF('Project Assumptions'!$D$16=0,IF(AA$5='Project Assumptions'!$D$15,-SUM('Detailed Project Costs'!$F$33:$F$34)*0.2,0),0)</f>
        <v/>
      </c>
      <c r="AA60" s="273">
        <f>IF('Project Assumptions'!$D$16=0,IF(AB$5='Project Assumptions'!$D$15,-SUM('Detailed Project Costs'!$F$33:$F$34)*0.8,0),IF(AB$5='Project Assumptions'!$D$15+1,-SUM('Detailed Project Costs'!$F$33:$F$34)*0.8,0))+IF(AB$5&gt;'Project Assumptions'!$D$15,IF(AB$5&lt;='Project Assumptions'!$D$15+'Project Assumptions'!$D$16,-SUM('Detailed Project Costs'!$F$33:$F$34)*0.2/'Project Assumptions'!$D$16,0),0)+IF('Project Assumptions'!$D$16=0,IF(AB$5='Project Assumptions'!$D$15,-SUM('Detailed Project Costs'!$F$33:$F$34)*0.2,0),0)</f>
        <v/>
      </c>
      <c r="AB60" s="273">
        <f>IF('Project Assumptions'!$D$16=0,IF(AC$5='Project Assumptions'!$D$15,-SUM('Detailed Project Costs'!$F$33:$F$34)*0.8,0),IF(AC$5='Project Assumptions'!$D$15+1,-SUM('Detailed Project Costs'!$F$33:$F$34)*0.8,0))+IF(AC$5&gt;'Project Assumptions'!$D$15,IF(AC$5&lt;='Project Assumptions'!$D$15+'Project Assumptions'!$D$16,-SUM('Detailed Project Costs'!$F$33:$F$34)*0.2/'Project Assumptions'!$D$16,0),0)+IF('Project Assumptions'!$D$16=0,IF(AC$5='Project Assumptions'!$D$15,-SUM('Detailed Project Costs'!$F$33:$F$34)*0.2,0),0)</f>
        <v/>
      </c>
      <c r="AC60" s="273">
        <f>IF('Project Assumptions'!$D$16=0,IF(AD$5='Project Assumptions'!$D$15,-SUM('Detailed Project Costs'!$F$33:$F$34)*0.8,0),IF(AD$5='Project Assumptions'!$D$15+1,-SUM('Detailed Project Costs'!$F$33:$F$34)*0.8,0))+IF(AD$5&gt;'Project Assumptions'!$D$15,IF(AD$5&lt;='Project Assumptions'!$D$15+'Project Assumptions'!$D$16,-SUM('Detailed Project Costs'!$F$33:$F$34)*0.2/'Project Assumptions'!$D$16,0),0)+IF('Project Assumptions'!$D$16=0,IF(AD$5='Project Assumptions'!$D$15,-SUM('Detailed Project Costs'!$F$33:$F$34)*0.2,0),0)</f>
        <v/>
      </c>
      <c r="AD60" s="273">
        <f>IF('Project Assumptions'!$D$16=0,IF(AE$5='Project Assumptions'!$D$15,-SUM('Detailed Project Costs'!$F$33:$F$34)*0.8,0),IF(AE$5='Project Assumptions'!$D$15+1,-SUM('Detailed Project Costs'!$F$33:$F$34)*0.8,0))+IF(AE$5&gt;'Project Assumptions'!$D$15,IF(AE$5&lt;='Project Assumptions'!$D$15+'Project Assumptions'!$D$16,-SUM('Detailed Project Costs'!$F$33:$F$34)*0.2/'Project Assumptions'!$D$16,0),0)+IF('Project Assumptions'!$D$16=0,IF(AE$5='Project Assumptions'!$D$15,-SUM('Detailed Project Costs'!$F$33:$F$34)*0.2,0),0)</f>
        <v/>
      </c>
      <c r="AE60" s="273">
        <f>IF('Project Assumptions'!$D$16=0,IF(AF$5='Project Assumptions'!$D$15,-SUM('Detailed Project Costs'!$F$33:$F$34)*0.8,0),IF(AF$5='Project Assumptions'!$D$15+1,-SUM('Detailed Project Costs'!$F$33:$F$34)*0.8,0))+IF(AF$5&gt;'Project Assumptions'!$D$15,IF(AF$5&lt;='Project Assumptions'!$D$15+'Project Assumptions'!$D$16,-SUM('Detailed Project Costs'!$F$33:$F$34)*0.2/'Project Assumptions'!$D$16,0),0)+IF('Project Assumptions'!$D$16=0,IF(AF$5='Project Assumptions'!$D$15,-SUM('Detailed Project Costs'!$F$33:$F$34)*0.2,0),0)</f>
        <v/>
      </c>
      <c r="AF60" s="273">
        <f>IF('Project Assumptions'!$D$16=0,IF(AG$5='Project Assumptions'!$D$15,-SUM('Detailed Project Costs'!$F$33:$F$34)*0.8,0),IF(AG$5='Project Assumptions'!$D$15+1,-SUM('Detailed Project Costs'!$F$33:$F$34)*0.8,0))+IF(AG$5&gt;'Project Assumptions'!$D$15,IF(AG$5&lt;='Project Assumptions'!$D$15+'Project Assumptions'!$D$16,-SUM('Detailed Project Costs'!$F$33:$F$34)*0.2/'Project Assumptions'!$D$16,0),0)+IF('Project Assumptions'!$D$16=0,IF(AG$5='Project Assumptions'!$D$15,-SUM('Detailed Project Costs'!$F$33:$F$34)*0.2,0),0)</f>
        <v/>
      </c>
      <c r="AG60" s="273">
        <f>IF('Project Assumptions'!$D$16=0,IF(AH$5='Project Assumptions'!$D$15,-SUM('Detailed Project Costs'!$F$33:$F$34)*0.8,0),IF(AH$5='Project Assumptions'!$D$15+1,-SUM('Detailed Project Costs'!$F$33:$F$34)*0.8,0))+IF(AH$5&gt;'Project Assumptions'!$D$15,IF(AH$5&lt;='Project Assumptions'!$D$15+'Project Assumptions'!$D$16,-SUM('Detailed Project Costs'!$F$33:$F$34)*0.2/'Project Assumptions'!$D$16,0),0)+IF('Project Assumptions'!$D$16=0,IF(AH$5='Project Assumptions'!$D$15,-SUM('Detailed Project Costs'!$F$33:$F$34)*0.2,0),0)</f>
        <v/>
      </c>
      <c r="AH60" s="273">
        <f>IF('Project Assumptions'!$D$16=0,IF(AI$5='Project Assumptions'!$D$15,-SUM('Detailed Project Costs'!$F$33:$F$34)*0.8,0),IF(AI$5='Project Assumptions'!$D$15+1,-SUM('Detailed Project Costs'!$F$33:$F$34)*0.8,0))+IF(AI$5&gt;'Project Assumptions'!$D$15,IF(AI$5&lt;='Project Assumptions'!$D$15+'Project Assumptions'!$D$16,-SUM('Detailed Project Costs'!$F$33:$F$34)*0.2/'Project Assumptions'!$D$16,0),0)+IF('Project Assumptions'!$D$16=0,IF(AI$5='Project Assumptions'!$D$15,-SUM('Detailed Project Costs'!$F$33:$F$34)*0.2,0),0)</f>
        <v/>
      </c>
      <c r="AI60" s="273">
        <f>IF('Project Assumptions'!$D$16=0,IF(AJ$5='Project Assumptions'!$D$15,-SUM('Detailed Project Costs'!$F$33:$F$34)*0.8,0),IF(AJ$5='Project Assumptions'!$D$15+1,-SUM('Detailed Project Costs'!$F$33:$F$34)*0.8,0))+IF(AJ$5&gt;'Project Assumptions'!$D$15,IF(AJ$5&lt;='Project Assumptions'!$D$15+'Project Assumptions'!$D$16,-SUM('Detailed Project Costs'!$F$33:$F$34)*0.2/'Project Assumptions'!$D$16,0),0)+IF('Project Assumptions'!$D$16=0,IF(AJ$5='Project Assumptions'!$D$15,-SUM('Detailed Project Costs'!$F$33:$F$34)*0.2,0),0)</f>
        <v/>
      </c>
      <c r="AJ60" s="273">
        <f>IF('Project Assumptions'!$D$16=0,IF(AK$5='Project Assumptions'!$D$15,-SUM('Detailed Project Costs'!$F$33:$F$34)*0.8,0),IF(AK$5='Project Assumptions'!$D$15+1,-SUM('Detailed Project Costs'!$F$33:$F$34)*0.8,0))+IF(AK$5&gt;'Project Assumptions'!$D$15,IF(AK$5&lt;='Project Assumptions'!$D$15+'Project Assumptions'!$D$16,-SUM('Detailed Project Costs'!$F$33:$F$34)*0.2/'Project Assumptions'!$D$16,0),0)+IF('Project Assumptions'!$D$16=0,IF(AK$5='Project Assumptions'!$D$15,-SUM('Detailed Project Costs'!$F$33:$F$34)*0.2,0),0)</f>
        <v/>
      </c>
      <c r="AK60" s="273">
        <f>IF('Project Assumptions'!$D$16=0,IF(AL$5='Project Assumptions'!$D$15,-SUM('Detailed Project Costs'!$F$33:$F$34)*0.8,0),IF(AL$5='Project Assumptions'!$D$15+1,-SUM('Detailed Project Costs'!$F$33:$F$34)*0.8,0))+IF(AL$5&gt;'Project Assumptions'!$D$15,IF(AL$5&lt;='Project Assumptions'!$D$15+'Project Assumptions'!$D$16,-SUM('Detailed Project Costs'!$F$33:$F$34)*0.2/'Project Assumptions'!$D$16,0),0)+IF('Project Assumptions'!$D$16=0,IF(AL$5='Project Assumptions'!$D$15,-SUM('Detailed Project Costs'!$F$33:$F$34)*0.2,0),0)</f>
        <v/>
      </c>
      <c r="AL60" s="273">
        <f>IF('Project Assumptions'!$D$16=0,IF(AM$5='Project Assumptions'!$D$15,-SUM('Detailed Project Costs'!$F$33:$F$34)*0.8,0),IF(AM$5='Project Assumptions'!$D$15+1,-SUM('Detailed Project Costs'!$F$33:$F$34)*0.8,0))+IF(AM$5&gt;'Project Assumptions'!$D$15,IF(AM$5&lt;='Project Assumptions'!$D$15+'Project Assumptions'!$D$16,-SUM('Detailed Project Costs'!$F$33:$F$34)*0.2/'Project Assumptions'!$D$16,0),0)+IF('Project Assumptions'!$D$16=0,IF(AM$5='Project Assumptions'!$D$15,-SUM('Detailed Project Costs'!$F$33:$F$34)*0.2,0),0)</f>
        <v/>
      </c>
      <c r="AM60" s="273">
        <f>IF('Project Assumptions'!$D$16=0,IF(AN$5='Project Assumptions'!$D$15,-SUM('Detailed Project Costs'!$F$33:$F$34)*0.8,0),IF(AN$5='Project Assumptions'!$D$15+1,-SUM('Detailed Project Costs'!$F$33:$F$34)*0.8,0))+IF(AN$5&gt;'Project Assumptions'!$D$15,IF(AN$5&lt;='Project Assumptions'!$D$15+'Project Assumptions'!$D$16,-SUM('Detailed Project Costs'!$F$33:$F$34)*0.2/'Project Assumptions'!$D$16,0),0)+IF('Project Assumptions'!$D$16=0,IF(AN$5='Project Assumptions'!$D$15,-SUM('Detailed Project Costs'!$F$33:$F$34)*0.2,0),0)</f>
        <v/>
      </c>
      <c r="AN60" s="273">
        <f>IF('Project Assumptions'!$D$16=0,IF(AO$5='Project Assumptions'!$D$15,-SUM('Detailed Project Costs'!$F$33:$F$34)*0.8,0),IF(AO$5='Project Assumptions'!$D$15+1,-SUM('Detailed Project Costs'!$F$33:$F$34)*0.8,0))+IF(AO$5&gt;'Project Assumptions'!$D$15,IF(AO$5&lt;='Project Assumptions'!$D$15+'Project Assumptions'!$D$16,-SUM('Detailed Project Costs'!$F$33:$F$34)*0.2/'Project Assumptions'!$D$16,0),0)+IF('Project Assumptions'!$D$16=0,IF(AO$5='Project Assumptions'!$D$15,-SUM('Detailed Project Costs'!$F$33:$F$34)*0.2,0),0)</f>
        <v/>
      </c>
      <c r="AO60" s="273">
        <f>IF('Project Assumptions'!$D$16=0,IF(AP$5='Project Assumptions'!$D$15,-SUM('Detailed Project Costs'!$F$33:$F$34)*0.8,0),IF(AP$5='Project Assumptions'!$D$15+1,-SUM('Detailed Project Costs'!$F$33:$F$34)*0.8,0))+IF(AP$5&gt;'Project Assumptions'!$D$15,IF(AP$5&lt;='Project Assumptions'!$D$15+'Project Assumptions'!$D$16,-SUM('Detailed Project Costs'!$F$33:$F$34)*0.2/'Project Assumptions'!$D$16,0),0)+IF('Project Assumptions'!$D$16=0,IF(AP$5='Project Assumptions'!$D$15,-SUM('Detailed Project Costs'!$F$33:$F$34)*0.2,0),0)</f>
        <v/>
      </c>
      <c r="AP60" s="273">
        <f>IF('Project Assumptions'!$D$16=0,IF(AQ$5='Project Assumptions'!$D$15,-SUM('Detailed Project Costs'!$F$33:$F$34)*0.8,0),IF(AQ$5='Project Assumptions'!$D$15+1,-SUM('Detailed Project Costs'!$F$33:$F$34)*0.8,0))+IF(AQ$5&gt;'Project Assumptions'!$D$15,IF(AQ$5&lt;='Project Assumptions'!$D$15+'Project Assumptions'!$D$16,-SUM('Detailed Project Costs'!$F$33:$F$34)*0.2/'Project Assumptions'!$D$16,0),0)+IF('Project Assumptions'!$D$16=0,IF(AQ$5='Project Assumptions'!$D$15,-SUM('Detailed Project Costs'!$F$33:$F$34)*0.2,0),0)</f>
        <v/>
      </c>
      <c r="AQ60" s="273">
        <f>IF('Project Assumptions'!$D$16=0,IF(AR$5='Project Assumptions'!$D$15,-SUM('Detailed Project Costs'!$F$33:$F$34)*0.8,0),IF(AR$5='Project Assumptions'!$D$15+1,-SUM('Detailed Project Costs'!$F$33:$F$34)*0.8,0))+IF(AR$5&gt;'Project Assumptions'!$D$15,IF(AR$5&lt;='Project Assumptions'!$D$15+'Project Assumptions'!$D$16,-SUM('Detailed Project Costs'!$F$33:$F$34)*0.2/'Project Assumptions'!$D$16,0),0)+IF('Project Assumptions'!$D$16=0,IF(AR$5='Project Assumptions'!$D$15,-SUM('Detailed Project Costs'!$F$33:$F$34)*0.2,0),0)</f>
        <v/>
      </c>
      <c r="AR60" s="273">
        <f>IF('Project Assumptions'!$D$16=0,IF(AS$5='Project Assumptions'!$D$15,-SUM('Detailed Project Costs'!$F$33:$F$34)*0.8,0),IF(AS$5='Project Assumptions'!$D$15+1,-SUM('Detailed Project Costs'!$F$33:$F$34)*0.8,0))+IF(AS$5&gt;'Project Assumptions'!$D$15,IF(AS$5&lt;='Project Assumptions'!$D$15+'Project Assumptions'!$D$16,-SUM('Detailed Project Costs'!$F$33:$F$34)*0.2/'Project Assumptions'!$D$16,0),0)+IF('Project Assumptions'!$D$16=0,IF(AS$5='Project Assumptions'!$D$15,-SUM('Detailed Project Costs'!$F$33:$F$34)*0.2,0),0)</f>
        <v/>
      </c>
      <c r="AS60" s="273">
        <f>IF('Project Assumptions'!$D$16=0,IF(AT$5='Project Assumptions'!$D$15,-SUM('Detailed Project Costs'!$F$33:$F$34)*0.8,0),IF(AT$5='Project Assumptions'!$D$15+1,-SUM('Detailed Project Costs'!$F$33:$F$34)*0.8,0))+IF(AT$5&gt;'Project Assumptions'!$D$15,IF(AT$5&lt;='Project Assumptions'!$D$15+'Project Assumptions'!$D$16,-SUM('Detailed Project Costs'!$F$33:$F$34)*0.2/'Project Assumptions'!$D$16,0),0)+IF('Project Assumptions'!$D$16=0,IF(AT$5='Project Assumptions'!$D$15,-SUM('Detailed Project Costs'!$F$33:$F$34)*0.2,0),0)</f>
        <v/>
      </c>
      <c r="AT60" s="273">
        <f>IF('Project Assumptions'!$D$16=0,IF(AU$5='Project Assumptions'!$D$15,-SUM('Detailed Project Costs'!$F$33:$F$34)*0.8,0),IF(AU$5='Project Assumptions'!$D$15+1,-SUM('Detailed Project Costs'!$F$33:$F$34)*0.8,0))+IF(AU$5&gt;'Project Assumptions'!$D$15,IF(AU$5&lt;='Project Assumptions'!$D$15+'Project Assumptions'!$D$16,-SUM('Detailed Project Costs'!$F$33:$F$34)*0.2/'Project Assumptions'!$D$16,0),0)+IF('Project Assumptions'!$D$16=0,IF(AU$5='Project Assumptions'!$D$15,-SUM('Detailed Project Costs'!$F$33:$F$34)*0.2,0),0)</f>
        <v/>
      </c>
      <c r="AU60" s="273">
        <f>IF('Project Assumptions'!$D$16=0,IF(AV$5='Project Assumptions'!$D$15,-SUM('Detailed Project Costs'!$F$33:$F$34)*0.8,0),IF(AV$5='Project Assumptions'!$D$15+1,-SUM('Detailed Project Costs'!$F$33:$F$34)*0.8,0))+IF(AV$5&gt;'Project Assumptions'!$D$15,IF(AV$5&lt;='Project Assumptions'!$D$15+'Project Assumptions'!$D$16,-SUM('Detailed Project Costs'!$F$33:$F$34)*0.2/'Project Assumptions'!$D$16,0),0)+IF('Project Assumptions'!$D$16=0,IF(AV$5='Project Assumptions'!$D$15,-SUM('Detailed Project Costs'!$F$33:$F$34)*0.2,0),0)</f>
        <v/>
      </c>
      <c r="AV60" s="273">
        <f>IF('Project Assumptions'!$D$16=0,IF(AW$5='Project Assumptions'!$D$15,-SUM('Detailed Project Costs'!$F$33:$F$34)*0.8,0),IF(AW$5='Project Assumptions'!$D$15+1,-SUM('Detailed Project Costs'!$F$33:$F$34)*0.8,0))+IF(AW$5&gt;'Project Assumptions'!$D$15,IF(AW$5&lt;='Project Assumptions'!$D$15+'Project Assumptions'!$D$16,-SUM('Detailed Project Costs'!$F$33:$F$34)*0.2/'Project Assumptions'!$D$16,0),0)+IF('Project Assumptions'!$D$16=0,IF(AW$5='Project Assumptions'!$D$15,-SUM('Detailed Project Costs'!$F$33:$F$34)*0.2,0),0)</f>
        <v/>
      </c>
      <c r="AW60" s="273">
        <f>IF('Project Assumptions'!$D$16=0,IF(AX$5='Project Assumptions'!$D$15,-SUM('Detailed Project Costs'!$F$33:$F$34)*0.8,0),IF(AX$5='Project Assumptions'!$D$15+1,-SUM('Detailed Project Costs'!$F$33:$F$34)*0.8,0))+IF(AX$5&gt;'Project Assumptions'!$D$15,IF(AX$5&lt;='Project Assumptions'!$D$15+'Project Assumptions'!$D$16,-SUM('Detailed Project Costs'!$F$33:$F$34)*0.2/'Project Assumptions'!$D$16,0),0)+IF('Project Assumptions'!$D$16=0,IF(AX$5='Project Assumptions'!$D$15,-SUM('Detailed Project Costs'!$F$33:$F$34)*0.2,0),0)</f>
        <v/>
      </c>
      <c r="AX60" s="273">
        <f>IF('Project Assumptions'!$D$16=0,IF(AY$5='Project Assumptions'!$D$15,-SUM('Detailed Project Costs'!$F$33:$F$34)*0.8,0),IF(AY$5='Project Assumptions'!$D$15+1,-SUM('Detailed Project Costs'!$F$33:$F$34)*0.8,0))+IF(AY$5&gt;'Project Assumptions'!$D$15,IF(AY$5&lt;='Project Assumptions'!$D$15+'Project Assumptions'!$D$16,-SUM('Detailed Project Costs'!$F$33:$F$34)*0.2/'Project Assumptions'!$D$16,0),0)+IF('Project Assumptions'!$D$16=0,IF(AY$5='Project Assumptions'!$D$15,-SUM('Detailed Project Costs'!$F$33:$F$34)*0.2,0),0)</f>
        <v/>
      </c>
      <c r="AY60" s="273">
        <f>IF('Project Assumptions'!$D$16=0,IF(AZ$5='Project Assumptions'!$D$15,-SUM('Detailed Project Costs'!$F$33:$F$34)*0.8,0),IF(AZ$5='Project Assumptions'!$D$15+1,-SUM('Detailed Project Costs'!$F$33:$F$34)*0.8,0))+IF(AZ$5&gt;'Project Assumptions'!$D$15,IF(AZ$5&lt;='Project Assumptions'!$D$15+'Project Assumptions'!$D$16,-SUM('Detailed Project Costs'!$F$33:$F$34)*0.2/'Project Assumptions'!$D$16,0),0)+IF('Project Assumptions'!$D$16=0,IF(AZ$5='Project Assumptions'!$D$15,-SUM('Detailed Project Costs'!$F$33:$F$34)*0.2,0),0)</f>
        <v/>
      </c>
      <c r="AZ60" s="273">
        <f>IF('Project Assumptions'!$D$16=0,IF(BA$5='Project Assumptions'!$D$15,-SUM('Detailed Project Costs'!$F$33:$F$34)*0.8,0),IF(BA$5='Project Assumptions'!$D$15+1,-SUM('Detailed Project Costs'!$F$33:$F$34)*0.8,0))+IF(BA$5&gt;'Project Assumptions'!$D$15,IF(BA$5&lt;='Project Assumptions'!$D$15+'Project Assumptions'!$D$16,-SUM('Detailed Project Costs'!$F$33:$F$34)*0.2/'Project Assumptions'!$D$16,0),0)+IF('Project Assumptions'!$D$16=0,IF(BA$5='Project Assumptions'!$D$15,-SUM('Detailed Project Costs'!$F$33:$F$34)*0.2,0),0)</f>
        <v/>
      </c>
      <c r="BA60" s="273">
        <f>IF('Project Assumptions'!$D$16=0,IF(BB$5='Project Assumptions'!$D$15,-SUM('Detailed Project Costs'!$F$33:$F$34)*0.8,0),IF(BB$5='Project Assumptions'!$D$15+1,-SUM('Detailed Project Costs'!$F$33:$F$34)*0.8,0))+IF(BB$5&gt;'Project Assumptions'!$D$15,IF(BB$5&lt;='Project Assumptions'!$D$15+'Project Assumptions'!$D$16,-SUM('Detailed Project Costs'!$F$33:$F$34)*0.2/'Project Assumptions'!$D$16,0),0)+IF('Project Assumptions'!$D$16=0,IF(BB$5='Project Assumptions'!$D$15,-SUM('Detailed Project Costs'!$F$33:$F$34)*0.2,0),0)</f>
        <v/>
      </c>
      <c r="BB60" s="273">
        <f>IF('Project Assumptions'!$D$16=0,IF(BC$5='Project Assumptions'!$D$15,-SUM('Detailed Project Costs'!$F$33:$F$34)*0.8,0),IF(BC$5='Project Assumptions'!$D$15+1,-SUM('Detailed Project Costs'!$F$33:$F$34)*0.8,0))+IF(BC$5&gt;'Project Assumptions'!$D$15,IF(BC$5&lt;='Project Assumptions'!$D$15+'Project Assumptions'!$D$16,-SUM('Detailed Project Costs'!$F$33:$F$34)*0.2/'Project Assumptions'!$D$16,0),0)+IF('Project Assumptions'!$D$16=0,IF(BC$5='Project Assumptions'!$D$15,-SUM('Detailed Project Costs'!$F$33:$F$34)*0.2,0),0)</f>
        <v/>
      </c>
      <c r="BC60" s="273">
        <f>IF('Project Assumptions'!$D$16=0,IF(BD$5='Project Assumptions'!$D$15,-SUM('Detailed Project Costs'!$F$33:$F$34)*0.8,0),IF(BD$5='Project Assumptions'!$D$15+1,-SUM('Detailed Project Costs'!$F$33:$F$34)*0.8,0))+IF(BD$5&gt;'Project Assumptions'!$D$15,IF(BD$5&lt;='Project Assumptions'!$D$15+'Project Assumptions'!$D$16,-SUM('Detailed Project Costs'!$F$33:$F$34)*0.2/'Project Assumptions'!$D$16,0),0)+IF('Project Assumptions'!$D$16=0,IF(BD$5='Project Assumptions'!$D$15,-SUM('Detailed Project Costs'!$F$33:$F$34)*0.2,0),0)</f>
        <v/>
      </c>
      <c r="BD60" s="273">
        <f>IF('Project Assumptions'!$D$16=0,IF(BE$5='Project Assumptions'!$D$15,-SUM('Detailed Project Costs'!$F$33:$F$34)*0.8,0),IF(BE$5='Project Assumptions'!$D$15+1,-SUM('Detailed Project Costs'!$F$33:$F$34)*0.8,0))+IF(BE$5&gt;'Project Assumptions'!$D$15,IF(BE$5&lt;='Project Assumptions'!$D$15+'Project Assumptions'!$D$16,-SUM('Detailed Project Costs'!$F$33:$F$34)*0.2/'Project Assumptions'!$D$16,0),0)+IF('Project Assumptions'!$D$16=0,IF(BE$5='Project Assumptions'!$D$15,-SUM('Detailed Project Costs'!$F$33:$F$34)*0.2,0),0)</f>
        <v/>
      </c>
      <c r="BE60" s="273">
        <f>IF('Project Assumptions'!$D$16=0,IF(BF$5='Project Assumptions'!$D$15,-SUM('Detailed Project Costs'!$F$33:$F$34)*0.8,0),IF(BF$5='Project Assumptions'!$D$15+1,-SUM('Detailed Project Costs'!$F$33:$F$34)*0.8,0))+IF(BF$5&gt;'Project Assumptions'!$D$15,IF(BF$5&lt;='Project Assumptions'!$D$15+'Project Assumptions'!$D$16,-SUM('Detailed Project Costs'!$F$33:$F$34)*0.2/'Project Assumptions'!$D$16,0),0)+IF('Project Assumptions'!$D$16=0,IF(BF$5='Project Assumptions'!$D$15,-SUM('Detailed Project Costs'!$F$33:$F$34)*0.2,0),0)</f>
        <v/>
      </c>
      <c r="BF60" s="273">
        <f>IF('Project Assumptions'!$D$16=0,IF(BG$5='Project Assumptions'!$D$15,-SUM('Detailed Project Costs'!$F$33:$F$34)*0.8,0),IF(BG$5='Project Assumptions'!$D$15+1,-SUM('Detailed Project Costs'!$F$33:$F$34)*0.8,0))+IF(BG$5&gt;'Project Assumptions'!$D$15,IF(BG$5&lt;='Project Assumptions'!$D$15+'Project Assumptions'!$D$16,-SUM('Detailed Project Costs'!$F$33:$F$34)*0.2/'Project Assumptions'!$D$16,0),0)+IF('Project Assumptions'!$D$16=0,IF(BG$5='Project Assumptions'!$D$15,-SUM('Detailed Project Costs'!$F$33:$F$34)*0.2,0),0)</f>
        <v/>
      </c>
      <c r="BG60" s="273">
        <f>IF('Project Assumptions'!$D$16=0,IF(BH$5='Project Assumptions'!$D$15,-SUM('Detailed Project Costs'!$F$33:$F$34)*0.8,0),IF(BH$5='Project Assumptions'!$D$15+1,-SUM('Detailed Project Costs'!$F$33:$F$34)*0.8,0))+IF(BH$5&gt;'Project Assumptions'!$D$15,IF(BH$5&lt;='Project Assumptions'!$D$15+'Project Assumptions'!$D$16,-SUM('Detailed Project Costs'!$F$33:$F$34)*0.2/'Project Assumptions'!$D$16,0),0)+IF('Project Assumptions'!$D$16=0,IF(BH$5='Project Assumptions'!$D$15,-SUM('Detailed Project Costs'!$F$33:$F$34)*0.2,0),0)</f>
        <v/>
      </c>
      <c r="BH60" s="273">
        <f>IF('Project Assumptions'!$D$16=0,IF(BI$5='Project Assumptions'!$D$15,-SUM('Detailed Project Costs'!$F$33:$F$34)*0.8,0),IF(BI$5='Project Assumptions'!$D$15+1,-SUM('Detailed Project Costs'!$F$33:$F$34)*0.8,0))+IF(BI$5&gt;'Project Assumptions'!$D$15,IF(BI$5&lt;='Project Assumptions'!$D$15+'Project Assumptions'!$D$16,-SUM('Detailed Project Costs'!$F$33:$F$34)*0.2/'Project Assumptions'!$D$16,0),0)+IF('Project Assumptions'!$D$16=0,IF(BI$5='Project Assumptions'!$D$15,-SUM('Detailed Project Costs'!$F$33:$F$34)*0.2,0),0)</f>
        <v/>
      </c>
      <c r="BI60" s="273">
        <f>IF('Project Assumptions'!$D$16=0,IF(BJ$5='Project Assumptions'!$D$15,-SUM('Detailed Project Costs'!$F$33:$F$34)*0.8,0),IF(BJ$5='Project Assumptions'!$D$15+1,-SUM('Detailed Project Costs'!$F$33:$F$34)*0.8,0))+IF(BJ$5&gt;'Project Assumptions'!$D$15,IF(BJ$5&lt;='Project Assumptions'!$D$15+'Project Assumptions'!$D$16,-SUM('Detailed Project Costs'!$F$33:$F$34)*0.2/'Project Assumptions'!$D$16,0),0)+IF('Project Assumptions'!$D$16=0,IF(BJ$5='Project Assumptions'!$D$15,-SUM('Detailed Project Costs'!$F$33:$F$34)*0.2,0),0)</f>
        <v/>
      </c>
      <c r="BJ60" s="273">
        <f>IF('Project Assumptions'!$D$16=0,IF(BK$5='Project Assumptions'!$D$15,-SUM('Detailed Project Costs'!$F$33:$F$34)*0.8,0),IF(BK$5='Project Assumptions'!$D$15+1,-SUM('Detailed Project Costs'!$F$33:$F$34)*0.8,0))+IF(BK$5&gt;'Project Assumptions'!$D$15,IF(BK$5&lt;='Project Assumptions'!$D$15+'Project Assumptions'!$D$16,-SUM('Detailed Project Costs'!$F$33:$F$34)*0.2/'Project Assumptions'!$D$16,0),0)+IF('Project Assumptions'!$D$16=0,IF(BK$5='Project Assumptions'!$D$15,-SUM('Detailed Project Costs'!$F$33:$F$34)*0.2,0),0)</f>
        <v/>
      </c>
      <c r="BK60" s="273">
        <f>IF('Project Assumptions'!$D$16=0,IF(BL$5='Project Assumptions'!$D$15,-SUM('Detailed Project Costs'!$F$33:$F$34)*0.8,0),IF(BL$5='Project Assumptions'!$D$15+1,-SUM('Detailed Project Costs'!$F$33:$F$34)*0.8,0))+IF(BL$5&gt;'Project Assumptions'!$D$15,IF(BL$5&lt;='Project Assumptions'!$D$15+'Project Assumptions'!$D$16,-SUM('Detailed Project Costs'!$F$33:$F$34)*0.2/'Project Assumptions'!$D$16,0),0)+IF('Project Assumptions'!$D$16=0,IF(BL$5='Project Assumptions'!$D$15,-SUM('Detailed Project Costs'!$F$33:$F$34)*0.2,0),0)</f>
        <v/>
      </c>
      <c r="BL60" s="273">
        <f>IF('Project Assumptions'!$D$16=0,IF(BM$5='Project Assumptions'!$D$15,-SUM('Detailed Project Costs'!$F$33:$F$34)*0.8,0),IF(BM$5='Project Assumptions'!$D$15+1,-SUM('Detailed Project Costs'!$F$33:$F$34)*0.8,0))+IF(BM$5&gt;'Project Assumptions'!$D$15,IF(BM$5&lt;='Project Assumptions'!$D$15+'Project Assumptions'!$D$16,-SUM('Detailed Project Costs'!$F$33:$F$34)*0.2/'Project Assumptions'!$D$16,0),0)+IF('Project Assumptions'!$D$16=0,IF(BM$5='Project Assumptions'!$D$15,-SUM('Detailed Project Costs'!$F$33:$F$34)*0.2,0),0)</f>
        <v/>
      </c>
      <c r="BM60" s="273">
        <f>IF('Project Assumptions'!$D$16=0,IF(BN$5='Project Assumptions'!$D$15,-SUM('Detailed Project Costs'!$F$33:$F$34)*0.8,0),IF(BN$5='Project Assumptions'!$D$15+1,-SUM('Detailed Project Costs'!$F$33:$F$34)*0.8,0))+IF(BN$5&gt;'Project Assumptions'!$D$15,IF(BN$5&lt;='Project Assumptions'!$D$15+'Project Assumptions'!$D$16,-SUM('Detailed Project Costs'!$F$33:$F$34)*0.2/'Project Assumptions'!$D$16,0),0)+IF('Project Assumptions'!$D$16=0,IF(BN$5='Project Assumptions'!$D$15,-SUM('Detailed Project Costs'!$F$33:$F$34)*0.2,0),0)</f>
        <v/>
      </c>
      <c r="BN60" s="273">
        <f>IF('Project Assumptions'!$D$16=0,IF(BO$5='Project Assumptions'!$D$15,-SUM('Detailed Project Costs'!$F$33:$F$34)*0.8,0),IF(BO$5='Project Assumptions'!$D$15+1,-SUM('Detailed Project Costs'!$F$33:$F$34)*0.8,0))+IF(BO$5&gt;'Project Assumptions'!$D$15,IF(BO$5&lt;='Project Assumptions'!$D$15+'Project Assumptions'!$D$16,-SUM('Detailed Project Costs'!$F$33:$F$34)*0.2/'Project Assumptions'!$D$16,0),0)+IF('Project Assumptions'!$D$16=0,IF(BO$5='Project Assumptions'!$D$15,-SUM('Detailed Project Costs'!$F$33:$F$34)*0.2,0),0)</f>
        <v/>
      </c>
      <c r="BO60" s="273">
        <f>IF('Project Assumptions'!$D$16=0,IF(BP$5='Project Assumptions'!$D$15,-SUM('Detailed Project Costs'!$F$33:$F$34)*0.8,0),IF(BP$5='Project Assumptions'!$D$15+1,-SUM('Detailed Project Costs'!$F$33:$F$34)*0.8,0))+IF(BP$5&gt;'Project Assumptions'!$D$15,IF(BP$5&lt;='Project Assumptions'!$D$15+'Project Assumptions'!$D$16,-SUM('Detailed Project Costs'!$F$33:$F$34)*0.2/'Project Assumptions'!$D$16,0),0)+IF('Project Assumptions'!$D$16=0,IF(BP$5='Project Assumptions'!$D$15,-SUM('Detailed Project Costs'!$F$33:$F$34)*0.2,0),0)</f>
        <v/>
      </c>
      <c r="BP60" s="273">
        <f>IF('Project Assumptions'!$D$16=0,IF(BQ$5='Project Assumptions'!$D$15,-SUM('Detailed Project Costs'!$F$33:$F$34)*0.8,0),IF(BQ$5='Project Assumptions'!$D$15+1,-SUM('Detailed Project Costs'!$F$33:$F$34)*0.8,0))+IF(BQ$5&gt;'Project Assumptions'!$D$15,IF(BQ$5&lt;='Project Assumptions'!$D$15+'Project Assumptions'!$D$16,-SUM('Detailed Project Costs'!$F$33:$F$34)*0.2/'Project Assumptions'!$D$16,0),0)+IF('Project Assumptions'!$D$16=0,IF(BQ$5='Project Assumptions'!$D$15,-SUM('Detailed Project Costs'!$F$33:$F$34)*0.2,0),0)</f>
        <v/>
      </c>
      <c r="BQ60" s="273">
        <f>IF('Project Assumptions'!$D$16=0,IF(BR$5='Project Assumptions'!$D$15,-SUM('Detailed Project Costs'!$F$33:$F$34)*0.8,0),IF(BR$5='Project Assumptions'!$D$15+1,-SUM('Detailed Project Costs'!$F$33:$F$34)*0.8,0))+IF(BR$5&gt;'Project Assumptions'!$D$15,IF(BR$5&lt;='Project Assumptions'!$D$15+'Project Assumptions'!$D$16,-SUM('Detailed Project Costs'!$F$33:$F$34)*0.2/'Project Assumptions'!$D$16,0),0)+IF('Project Assumptions'!$D$16=0,IF(BR$5='Project Assumptions'!$D$15,-SUM('Detailed Project Costs'!$F$33:$F$34)*0.2,0),0)</f>
        <v/>
      </c>
      <c r="BR60" s="273">
        <f>IF('Project Assumptions'!$D$16=0,IF(BS$5='Project Assumptions'!$D$15,-SUM('Detailed Project Costs'!$F$33:$F$34)*0.8,0),IF(BS$5='Project Assumptions'!$D$15+1,-SUM('Detailed Project Costs'!$F$33:$F$34)*0.8,0))+IF(BS$5&gt;'Project Assumptions'!$D$15,IF(BS$5&lt;='Project Assumptions'!$D$15+'Project Assumptions'!$D$16,-SUM('Detailed Project Costs'!$F$33:$F$34)*0.2/'Project Assumptions'!$D$16,0),0)+IF('Project Assumptions'!$D$16=0,IF(BS$5='Project Assumptions'!$D$15,-SUM('Detailed Project Costs'!$F$33:$F$34)*0.2,0),0)</f>
        <v/>
      </c>
      <c r="BS60" s="273">
        <f>IF('Project Assumptions'!$D$16=0,IF(BT$5='Project Assumptions'!$D$15,-SUM('Detailed Project Costs'!$F$33:$F$34)*0.8,0),IF(BT$5='Project Assumptions'!$D$15+1,-SUM('Detailed Project Costs'!$F$33:$F$34)*0.8,0))+IF(BT$5&gt;'Project Assumptions'!$D$15,IF(BT$5&lt;='Project Assumptions'!$D$15+'Project Assumptions'!$D$16,-SUM('Detailed Project Costs'!$F$33:$F$34)*0.2/'Project Assumptions'!$D$16,0),0)+IF('Project Assumptions'!$D$16=0,IF(BT$5='Project Assumptions'!$D$15,-SUM('Detailed Project Costs'!$F$33:$F$34)*0.2,0),0)</f>
        <v/>
      </c>
      <c r="BT60" s="273">
        <f>IF('Project Assumptions'!$D$16=0,IF(BU$5='Project Assumptions'!$D$15,-SUM('Detailed Project Costs'!$F$33:$F$34)*0.8,0),IF(BU$5='Project Assumptions'!$D$15+1,-SUM('Detailed Project Costs'!$F$33:$F$34)*0.8,0))+IF(BU$5&gt;'Project Assumptions'!$D$15,IF(BU$5&lt;='Project Assumptions'!$D$15+'Project Assumptions'!$D$16,-SUM('Detailed Project Costs'!$F$33:$F$34)*0.2/'Project Assumptions'!$D$16,0),0)+IF('Project Assumptions'!$D$16=0,IF(BU$5='Project Assumptions'!$D$15,-SUM('Detailed Project Costs'!$F$33:$F$34)*0.2,0),0)</f>
        <v/>
      </c>
      <c r="BU60" s="273">
        <f>IF('Project Assumptions'!$D$16=0,IF(BV$5='Project Assumptions'!$D$15,-SUM('Detailed Project Costs'!$F$33:$F$34)*0.8,0),IF(BV$5='Project Assumptions'!$D$15+1,-SUM('Detailed Project Costs'!$F$33:$F$34)*0.8,0))+IF(BV$5&gt;'Project Assumptions'!$D$15,IF(BV$5&lt;='Project Assumptions'!$D$15+'Project Assumptions'!$D$16,-SUM('Detailed Project Costs'!$F$33:$F$34)*0.2/'Project Assumptions'!$D$16,0),0)+IF('Project Assumptions'!$D$16=0,IF(BV$5='Project Assumptions'!$D$15,-SUM('Detailed Project Costs'!$F$33:$F$34)*0.2,0),0)</f>
        <v/>
      </c>
      <c r="BV60" s="273">
        <f>IF('Project Assumptions'!$D$16=0,IF(BW$5='Project Assumptions'!$D$15,-SUM('Detailed Project Costs'!$F$33:$F$34)*0.8,0),IF(BW$5='Project Assumptions'!$D$15+1,-SUM('Detailed Project Costs'!$F$33:$F$34)*0.8,0))+IF(BW$5&gt;'Project Assumptions'!$D$15,IF(BW$5&lt;='Project Assumptions'!$D$15+'Project Assumptions'!$D$16,-SUM('Detailed Project Costs'!$F$33:$F$34)*0.2/'Project Assumptions'!$D$16,0),0)+IF('Project Assumptions'!$D$16=0,IF(BW$5='Project Assumptions'!$D$15,-SUM('Detailed Project Costs'!$F$33:$F$34)*0.2,0),0)</f>
        <v/>
      </c>
      <c r="BW60" s="273">
        <f>IF('Project Assumptions'!$D$16=0,IF(BX$5='Project Assumptions'!$D$15,-SUM('Detailed Project Costs'!$F$33:$F$34)*0.8,0),IF(BX$5='Project Assumptions'!$D$15+1,-SUM('Detailed Project Costs'!$F$33:$F$34)*0.8,0))+IF(BX$5&gt;'Project Assumptions'!$D$15,IF(BX$5&lt;='Project Assumptions'!$D$15+'Project Assumptions'!$D$16,-SUM('Detailed Project Costs'!$F$33:$F$34)*0.2/'Project Assumptions'!$D$16,0),0)+IF('Project Assumptions'!$D$16=0,IF(BX$5='Project Assumptions'!$D$15,-SUM('Detailed Project Costs'!$F$33:$F$34)*0.2,0),0)</f>
        <v/>
      </c>
      <c r="BX60" s="273">
        <f>IF('Project Assumptions'!$D$16=0,IF(BY$5='Project Assumptions'!$D$15,-SUM('Detailed Project Costs'!$F$33:$F$34)*0.8,0),IF(BY$5='Project Assumptions'!$D$15+1,-SUM('Detailed Project Costs'!$F$33:$F$34)*0.8,0))+IF(BY$5&gt;'Project Assumptions'!$D$15,IF(BY$5&lt;='Project Assumptions'!$D$15+'Project Assumptions'!$D$16,-SUM('Detailed Project Costs'!$F$33:$F$34)*0.2/'Project Assumptions'!$D$16,0),0)+IF('Project Assumptions'!$D$16=0,IF(BY$5='Project Assumptions'!$D$15,-SUM('Detailed Project Costs'!$F$33:$F$34)*0.2,0),0)</f>
        <v/>
      </c>
      <c r="BY60" s="273">
        <f>IF('Project Assumptions'!$D$16=0,IF(BZ$5='Project Assumptions'!$D$15,-SUM('Detailed Project Costs'!$F$33:$F$34)*0.8,0),IF(BZ$5='Project Assumptions'!$D$15+1,-SUM('Detailed Project Costs'!$F$33:$F$34)*0.8,0))+IF(BZ$5&gt;'Project Assumptions'!$D$15,IF(BZ$5&lt;='Project Assumptions'!$D$15+'Project Assumptions'!$D$16,-SUM('Detailed Project Costs'!$F$33:$F$34)*0.2/'Project Assumptions'!$D$16,0),0)+IF('Project Assumptions'!$D$16=0,IF(BZ$5='Project Assumptions'!$D$15,-SUM('Detailed Project Costs'!$F$33:$F$34)*0.2,0),0)</f>
        <v/>
      </c>
      <c r="BZ60" s="273">
        <f>IF('Project Assumptions'!$D$16=0,IF(CA$5='Project Assumptions'!$D$15,-SUM('Detailed Project Costs'!$F$33:$F$34)*0.8,0),IF(CA$5='Project Assumptions'!$D$15+1,-SUM('Detailed Project Costs'!$F$33:$F$34)*0.8,0))+IF(CA$5&gt;'Project Assumptions'!$D$15,IF(CA$5&lt;='Project Assumptions'!$D$15+'Project Assumptions'!$D$16,-SUM('Detailed Project Costs'!$F$33:$F$34)*0.2/'Project Assumptions'!$D$16,0),0)+IF('Project Assumptions'!$D$16=0,IF(CA$5='Project Assumptions'!$D$15,-SUM('Detailed Project Costs'!$F$33:$F$34)*0.2,0),0)</f>
        <v/>
      </c>
      <c r="CA60" s="273">
        <f>IF('Project Assumptions'!$D$16=0,IF(CB$5='Project Assumptions'!$D$15,-SUM('Detailed Project Costs'!$F$33:$F$34)*0.8,0),IF(CB$5='Project Assumptions'!$D$15+1,-SUM('Detailed Project Costs'!$F$33:$F$34)*0.8,0))+IF(CB$5&gt;'Project Assumptions'!$D$15,IF(CB$5&lt;='Project Assumptions'!$D$15+'Project Assumptions'!$D$16,-SUM('Detailed Project Costs'!$F$33:$F$34)*0.2/'Project Assumptions'!$D$16,0),0)+IF('Project Assumptions'!$D$16=0,IF(CB$5='Project Assumptions'!$D$15,-SUM('Detailed Project Costs'!$F$33:$F$34)*0.2,0),0)</f>
        <v/>
      </c>
      <c r="CB60" s="273">
        <f>IF('Project Assumptions'!$D$16=0,IF(CC$5='Project Assumptions'!$D$15,-SUM('Detailed Project Costs'!$F$33:$F$34)*0.8,0),IF(CC$5='Project Assumptions'!$D$15+1,-SUM('Detailed Project Costs'!$F$33:$F$34)*0.8,0))+IF(CC$5&gt;'Project Assumptions'!$D$15,IF(CC$5&lt;='Project Assumptions'!$D$15+'Project Assumptions'!$D$16,-SUM('Detailed Project Costs'!$F$33:$F$34)*0.2/'Project Assumptions'!$D$16,0),0)+IF('Project Assumptions'!$D$16=0,IF(CC$5='Project Assumptions'!$D$15,-SUM('Detailed Project Costs'!$F$33:$F$34)*0.2,0),0)</f>
        <v/>
      </c>
      <c r="CC60" s="273">
        <f>IF('Project Assumptions'!$D$16=0,IF(CD$5='Project Assumptions'!$D$15,-SUM('Detailed Project Costs'!$F$33:$F$34)*0.8,0),IF(CD$5='Project Assumptions'!$D$15+1,-SUM('Detailed Project Costs'!$F$33:$F$34)*0.8,0))+IF(CD$5&gt;'Project Assumptions'!$D$15,IF(CD$5&lt;='Project Assumptions'!$D$15+'Project Assumptions'!$D$16,-SUM('Detailed Project Costs'!$F$33:$F$34)*0.2/'Project Assumptions'!$D$16,0),0)+IF('Project Assumptions'!$D$16=0,IF(CD$5='Project Assumptions'!$D$15,-SUM('Detailed Project Costs'!$F$33:$F$34)*0.2,0),0)</f>
        <v/>
      </c>
      <c r="CD60" s="273">
        <f>IF('Project Assumptions'!$D$16=0,IF(CE$5='Project Assumptions'!$D$15,-SUM('Detailed Project Costs'!$F$33:$F$34)*0.8,0),IF(CE$5='Project Assumptions'!$D$15+1,-SUM('Detailed Project Costs'!$F$33:$F$34)*0.8,0))+IF(CE$5&gt;'Project Assumptions'!$D$15,IF(CE$5&lt;='Project Assumptions'!$D$15+'Project Assumptions'!$D$16,-SUM('Detailed Project Costs'!$F$33:$F$34)*0.2/'Project Assumptions'!$D$16,0),0)+IF('Project Assumptions'!$D$16=0,IF(CE$5='Project Assumptions'!$D$15,-SUM('Detailed Project Costs'!$F$33:$F$34)*0.2,0),0)</f>
        <v/>
      </c>
      <c r="CE60" s="273">
        <f>IF('Project Assumptions'!$D$16=0,IF(CF$5='Project Assumptions'!$D$15,-SUM('Detailed Project Costs'!$F$33:$F$34)*0.8,0),IF(CF$5='Project Assumptions'!$D$15+1,-SUM('Detailed Project Costs'!$F$33:$F$34)*0.8,0))+IF(CF$5&gt;'Project Assumptions'!$D$15,IF(CF$5&lt;='Project Assumptions'!$D$15+'Project Assumptions'!$D$16,-SUM('Detailed Project Costs'!$F$33:$F$34)*0.2/'Project Assumptions'!$D$16,0),0)+IF('Project Assumptions'!$D$16=0,IF(CF$5='Project Assumptions'!$D$15,-SUM('Detailed Project Costs'!$F$33:$F$34)*0.2,0),0)</f>
        <v/>
      </c>
      <c r="CF60" s="273">
        <f>IF('Project Assumptions'!$D$16=0,IF(CG$5='Project Assumptions'!$D$15,-SUM('Detailed Project Costs'!$F$33:$F$34)*0.8,0),IF(CG$5='Project Assumptions'!$D$15+1,-SUM('Detailed Project Costs'!$F$33:$F$34)*0.8,0))+IF(CG$5&gt;'Project Assumptions'!$D$15,IF(CG$5&lt;='Project Assumptions'!$D$15+'Project Assumptions'!$D$16,-SUM('Detailed Project Costs'!$F$33:$F$34)*0.2/'Project Assumptions'!$D$16,0),0)+IF('Project Assumptions'!$D$16=0,IF(CG$5='Project Assumptions'!$D$15,-SUM('Detailed Project Costs'!$F$33:$F$34)*0.2,0),0)</f>
        <v/>
      </c>
      <c r="CG60" s="273">
        <f>IF('Project Assumptions'!$D$16=0,IF(CH$5='Project Assumptions'!$D$15,-SUM('Detailed Project Costs'!$F$33:$F$34)*0.8,0),IF(CH$5='Project Assumptions'!$D$15+1,-SUM('Detailed Project Costs'!$F$33:$F$34)*0.8,0))+IF(CH$5&gt;'Project Assumptions'!$D$15,IF(CH$5&lt;='Project Assumptions'!$D$15+'Project Assumptions'!$D$16,-SUM('Detailed Project Costs'!$F$33:$F$34)*0.2/'Project Assumptions'!$D$16,0),0)+IF('Project Assumptions'!$D$16=0,IF(CH$5='Project Assumptions'!$D$15,-SUM('Detailed Project Costs'!$F$33:$F$34)*0.2,0),0)</f>
        <v/>
      </c>
      <c r="CH60" s="273">
        <f>IF('Project Assumptions'!$D$16=0,IF(CI$5='Project Assumptions'!$D$15,-SUM('Detailed Project Costs'!$F$33:$F$34)*0.8,0),IF(CI$5='Project Assumptions'!$D$15+1,-SUM('Detailed Project Costs'!$F$33:$F$34)*0.8,0))+IF(CI$5&gt;'Project Assumptions'!$D$15,IF(CI$5&lt;='Project Assumptions'!$D$15+'Project Assumptions'!$D$16,-SUM('Detailed Project Costs'!$F$33:$F$34)*0.2/'Project Assumptions'!$D$16,0),0)+IF('Project Assumptions'!$D$16=0,IF(CI$5='Project Assumptions'!$D$15,-SUM('Detailed Project Costs'!$F$33:$F$34)*0.2,0),0)</f>
        <v/>
      </c>
      <c r="CI60" s="273">
        <f>IF('Project Assumptions'!$D$16=0,IF(CJ$5='Project Assumptions'!$D$15,-SUM('Detailed Project Costs'!$F$33:$F$34)*0.8,0),IF(CJ$5='Project Assumptions'!$D$15+1,-SUM('Detailed Project Costs'!$F$33:$F$34)*0.8,0))+IF(CJ$5&gt;'Project Assumptions'!$D$15,IF(CJ$5&lt;='Project Assumptions'!$D$15+'Project Assumptions'!$D$16,-SUM('Detailed Project Costs'!$F$33:$F$34)*0.2/'Project Assumptions'!$D$16,0),0)+IF('Project Assumptions'!$D$16=0,IF(CJ$5='Project Assumptions'!$D$15,-SUM('Detailed Project Costs'!$F$33:$F$34)*0.2,0),0)</f>
        <v/>
      </c>
      <c r="CJ60" s="273">
        <f>IF('Project Assumptions'!$D$16=0,IF(CK$5='Project Assumptions'!$D$15,-SUM('Detailed Project Costs'!$F$33:$F$34)*0.8,0),IF(CK$5='Project Assumptions'!$D$15+1,-SUM('Detailed Project Costs'!$F$33:$F$34)*0.8,0))+IF(CK$5&gt;'Project Assumptions'!$D$15,IF(CK$5&lt;='Project Assumptions'!$D$15+'Project Assumptions'!$D$16,-SUM('Detailed Project Costs'!$F$33:$F$34)*0.2/'Project Assumptions'!$D$16,0),0)+IF('Project Assumptions'!$D$16=0,IF(CK$5='Project Assumptions'!$D$15,-SUM('Detailed Project Costs'!$F$33:$F$34)*0.2,0),0)</f>
        <v/>
      </c>
      <c r="CK60" s="273">
        <f>IF('Project Assumptions'!$D$16=0,IF(CL$5='Project Assumptions'!$D$15,-SUM('Detailed Project Costs'!$F$33:$F$34)*0.8,0),IF(CL$5='Project Assumptions'!$D$15+1,-SUM('Detailed Project Costs'!$F$33:$F$34)*0.8,0))+IF(CL$5&gt;'Project Assumptions'!$D$15,IF(CL$5&lt;='Project Assumptions'!$D$15+'Project Assumptions'!$D$16,-SUM('Detailed Project Costs'!$F$33:$F$34)*0.2/'Project Assumptions'!$D$16,0),0)+IF('Project Assumptions'!$D$16=0,IF(CL$5='Project Assumptions'!$D$15,-SUM('Detailed Project Costs'!$F$33:$F$34)*0.2,0),0)</f>
        <v/>
      </c>
      <c r="CL60" s="273">
        <f>IF('Project Assumptions'!$D$16=0,IF(CM$5='Project Assumptions'!$D$15,-SUM('Detailed Project Costs'!$F$33:$F$34)*0.8,0),IF(CM$5='Project Assumptions'!$D$15+1,-SUM('Detailed Project Costs'!$F$33:$F$34)*0.8,0))+IF(CM$5&gt;'Project Assumptions'!$D$15,IF(CM$5&lt;='Project Assumptions'!$D$15+'Project Assumptions'!$D$16,-SUM('Detailed Project Costs'!$F$33:$F$34)*0.2/'Project Assumptions'!$D$16,0),0)+IF('Project Assumptions'!$D$16=0,IF(CM$5='Project Assumptions'!$D$15,-SUM('Detailed Project Costs'!$F$33:$F$34)*0.2,0),0)</f>
        <v/>
      </c>
      <c r="CM60" s="273">
        <f>IF('Project Assumptions'!$D$16=0,IF(CN$5='Project Assumptions'!$D$15,-SUM('Detailed Project Costs'!$F$33:$F$34)*0.8,0),IF(CN$5='Project Assumptions'!$D$15+1,-SUM('Detailed Project Costs'!$F$33:$F$34)*0.8,0))+IF(CN$5&gt;'Project Assumptions'!$D$15,IF(CN$5&lt;='Project Assumptions'!$D$15+'Project Assumptions'!$D$16,-SUM('Detailed Project Costs'!$F$33:$F$34)*0.2/'Project Assumptions'!$D$16,0),0)+IF('Project Assumptions'!$D$16=0,IF(CN$5='Project Assumptions'!$D$15,-SUM('Detailed Project Costs'!$F$33:$F$34)*0.2,0),0)</f>
        <v/>
      </c>
      <c r="CN60" s="273">
        <f>IF('Project Assumptions'!$D$16=0,IF(CO$5='Project Assumptions'!$D$15,-SUM('Detailed Project Costs'!$F$33:$F$34)*0.8,0),IF(CO$5='Project Assumptions'!$D$15+1,-SUM('Detailed Project Costs'!$F$33:$F$34)*0.8,0))+IF(CO$5&gt;'Project Assumptions'!$D$15,IF(CO$5&lt;='Project Assumptions'!$D$15+'Project Assumptions'!$D$16,-SUM('Detailed Project Costs'!$F$33:$F$34)*0.2/'Project Assumptions'!$D$16,0),0)+IF('Project Assumptions'!$D$16=0,IF(CO$5='Project Assumptions'!$D$15,-SUM('Detailed Project Costs'!$F$33:$F$34)*0.2,0),0)</f>
        <v/>
      </c>
      <c r="CO60" s="273">
        <f>IF('Project Assumptions'!$D$16=0,IF(CP$5='Project Assumptions'!$D$15,-SUM('Detailed Project Costs'!$F$33:$F$34)*0.8,0),IF(CP$5='Project Assumptions'!$D$15+1,-SUM('Detailed Project Costs'!$F$33:$F$34)*0.8,0))+IF(CP$5&gt;'Project Assumptions'!$D$15,IF(CP$5&lt;='Project Assumptions'!$D$15+'Project Assumptions'!$D$16,-SUM('Detailed Project Costs'!$F$33:$F$34)*0.2/'Project Assumptions'!$D$16,0),0)+IF('Project Assumptions'!$D$16=0,IF(CP$5='Project Assumptions'!$D$15,-SUM('Detailed Project Costs'!$F$33:$F$34)*0.2,0),0)</f>
        <v/>
      </c>
      <c r="CP60" s="273">
        <f>IF('Project Assumptions'!$D$16=0,IF(CQ$5='Project Assumptions'!$D$15,-SUM('Detailed Project Costs'!$F$33:$F$34)*0.8,0),IF(CQ$5='Project Assumptions'!$D$15+1,-SUM('Detailed Project Costs'!$F$33:$F$34)*0.8,0))+IF(CQ$5&gt;'Project Assumptions'!$D$15,IF(CQ$5&lt;='Project Assumptions'!$D$15+'Project Assumptions'!$D$16,-SUM('Detailed Project Costs'!$F$33:$F$34)*0.2/'Project Assumptions'!$D$16,0),0)+IF('Project Assumptions'!$D$16=0,IF(CQ$5='Project Assumptions'!$D$15,-SUM('Detailed Project Costs'!$F$33:$F$34)*0.2,0),0)</f>
        <v/>
      </c>
      <c r="CQ60" s="273">
        <f>IF('Project Assumptions'!$D$16=0,IF(CR$5='Project Assumptions'!$D$15,-SUM('Detailed Project Costs'!$F$33:$F$34)*0.8,0),IF(CR$5='Project Assumptions'!$D$15+1,-SUM('Detailed Project Costs'!$F$33:$F$34)*0.8,0))+IF(CR$5&gt;'Project Assumptions'!$D$15,IF(CR$5&lt;='Project Assumptions'!$D$15+'Project Assumptions'!$D$16,-SUM('Detailed Project Costs'!$F$33:$F$34)*0.2/'Project Assumptions'!$D$16,0),0)+IF('Project Assumptions'!$D$16=0,IF(CR$5='Project Assumptions'!$D$15,-SUM('Detailed Project Costs'!$F$33:$F$34)*0.2,0),0)</f>
        <v/>
      </c>
      <c r="CR60" s="273">
        <f>IF('Project Assumptions'!$D$16=0,IF(CS$5='Project Assumptions'!$D$15,-SUM('Detailed Project Costs'!$F$33:$F$34)*0.8,0),IF(CS$5='Project Assumptions'!$D$15+1,-SUM('Detailed Project Costs'!$F$33:$F$34)*0.8,0))+IF(CS$5&gt;'Project Assumptions'!$D$15,IF(CS$5&lt;='Project Assumptions'!$D$15+'Project Assumptions'!$D$16,-SUM('Detailed Project Costs'!$F$33:$F$34)*0.2/'Project Assumptions'!$D$16,0),0)+IF('Project Assumptions'!$D$16=0,IF(CS$5='Project Assumptions'!$D$15,-SUM('Detailed Project Costs'!$F$33:$F$34)*0.2,0),0)</f>
        <v/>
      </c>
      <c r="CS60" s="273">
        <f>IF('Project Assumptions'!$D$16=0,IF(CT$5='Project Assumptions'!$D$15,-SUM('Detailed Project Costs'!$F$33:$F$34)*0.8,0),IF(CT$5='Project Assumptions'!$D$15+1,-SUM('Detailed Project Costs'!$F$33:$F$34)*0.8,0))+IF(CT$5&gt;'Project Assumptions'!$D$15,IF(CT$5&lt;='Project Assumptions'!$D$15+'Project Assumptions'!$D$16,-SUM('Detailed Project Costs'!$F$33:$F$34)*0.2/'Project Assumptions'!$D$16,0),0)+IF('Project Assumptions'!$D$16=0,IF(CT$5='Project Assumptions'!$D$15,-SUM('Detailed Project Costs'!$F$33:$F$34)*0.2,0),0)</f>
        <v/>
      </c>
      <c r="CT60" s="273">
        <f>IF('Project Assumptions'!$D$16=0,IF(CU$5='Project Assumptions'!$D$15,-SUM('Detailed Project Costs'!$F$33:$F$34)*0.8,0),IF(CU$5='Project Assumptions'!$D$15+1,-SUM('Detailed Project Costs'!$F$33:$F$34)*0.8,0))+IF(CU$5&gt;'Project Assumptions'!$D$15,IF(CU$5&lt;='Project Assumptions'!$D$15+'Project Assumptions'!$D$16,-SUM('Detailed Project Costs'!$F$33:$F$34)*0.2/'Project Assumptions'!$D$16,0),0)+IF('Project Assumptions'!$D$16=0,IF(CU$5='Project Assumptions'!$D$15,-SUM('Detailed Project Costs'!$F$33:$F$34)*0.2,0),0)</f>
        <v/>
      </c>
      <c r="CU60" s="273">
        <f>IF('Project Assumptions'!$D$16=0,IF(CV$5='Project Assumptions'!$D$15,-SUM('Detailed Project Costs'!$F$33:$F$34)*0.8,0),IF(CV$5='Project Assumptions'!$D$15+1,-SUM('Detailed Project Costs'!$F$33:$F$34)*0.8,0))+IF(CV$5&gt;'Project Assumptions'!$D$15,IF(CV$5&lt;='Project Assumptions'!$D$15+'Project Assumptions'!$D$16,-SUM('Detailed Project Costs'!$F$33:$F$34)*0.2/'Project Assumptions'!$D$16,0),0)+IF('Project Assumptions'!$D$16=0,IF(CV$5='Project Assumptions'!$D$15,-SUM('Detailed Project Costs'!$F$33:$F$34)*0.2,0),0)</f>
        <v/>
      </c>
      <c r="CV60" s="273">
        <f>IF('Project Assumptions'!$D$16=0,IF(CW$5='Project Assumptions'!$D$15,-SUM('Detailed Project Costs'!$F$33:$F$34)*0.8,0),IF(CW$5='Project Assumptions'!$D$15+1,-SUM('Detailed Project Costs'!$F$33:$F$34)*0.8,0))+IF(CW$5&gt;'Project Assumptions'!$D$15,IF(CW$5&lt;='Project Assumptions'!$D$15+'Project Assumptions'!$D$16,-SUM('Detailed Project Costs'!$F$33:$F$34)*0.2/'Project Assumptions'!$D$16,0),0)+IF('Project Assumptions'!$D$16=0,IF(CW$5='Project Assumptions'!$D$15,-SUM('Detailed Project Costs'!$F$33:$F$34)*0.2,0),0)</f>
        <v/>
      </c>
      <c r="CW60" s="273">
        <f>IF('Project Assumptions'!$D$16=0,IF(CX$5='Project Assumptions'!$D$15,-SUM('Detailed Project Costs'!$F$33:$F$34)*0.8,0),IF(CX$5='Project Assumptions'!$D$15+1,-SUM('Detailed Project Costs'!$F$33:$F$34)*0.8,0))+IF(CX$5&gt;'Project Assumptions'!$D$15,IF(CX$5&lt;='Project Assumptions'!$D$15+'Project Assumptions'!$D$16,-SUM('Detailed Project Costs'!$F$33:$F$34)*0.2/'Project Assumptions'!$D$16,0),0)+IF('Project Assumptions'!$D$16=0,IF(CX$5='Project Assumptions'!$D$15,-SUM('Detailed Project Costs'!$F$33:$F$34)*0.2,0),0)</f>
        <v/>
      </c>
      <c r="CX60" s="273">
        <f>IF('Project Assumptions'!$D$16=0,IF(CY$5='Project Assumptions'!$D$15,-SUM('Detailed Project Costs'!$F$33:$F$34)*0.8,0),IF(CY$5='Project Assumptions'!$D$15+1,-SUM('Detailed Project Costs'!$F$33:$F$34)*0.8,0))+IF(CY$5&gt;'Project Assumptions'!$D$15,IF(CY$5&lt;='Project Assumptions'!$D$15+'Project Assumptions'!$D$16,-SUM('Detailed Project Costs'!$F$33:$F$34)*0.2/'Project Assumptions'!$D$16,0),0)+IF('Project Assumptions'!$D$16=0,IF(CY$5='Project Assumptions'!$D$15,-SUM('Detailed Project Costs'!$F$33:$F$34)*0.2,0),0)</f>
        <v/>
      </c>
      <c r="CY60" s="273">
        <f>IF('Project Assumptions'!$D$16=0,IF(CZ$5='Project Assumptions'!$D$15,-SUM('Detailed Project Costs'!$F$33:$F$34)*0.8,0),IF(CZ$5='Project Assumptions'!$D$15+1,-SUM('Detailed Project Costs'!$F$33:$F$34)*0.8,0))+IF(CZ$5&gt;'Project Assumptions'!$D$15,IF(CZ$5&lt;='Project Assumptions'!$D$15+'Project Assumptions'!$D$16,-SUM('Detailed Project Costs'!$F$33:$F$34)*0.2/'Project Assumptions'!$D$16,0),0)+IF('Project Assumptions'!$D$16=0,IF(CZ$5='Project Assumptions'!$D$15,-SUM('Detailed Project Costs'!$F$33:$F$34)*0.2,0),0)</f>
        <v/>
      </c>
      <c r="CZ60" s="273">
        <f>IF('Project Assumptions'!$D$16=0,IF(DA$5='Project Assumptions'!$D$15,-SUM('Detailed Project Costs'!$F$33:$F$34)*0.8,0),IF(DA$5='Project Assumptions'!$D$15+1,-SUM('Detailed Project Costs'!$F$33:$F$34)*0.8,0))+IF(DA$5&gt;'Project Assumptions'!$D$15,IF(DA$5&lt;='Project Assumptions'!$D$15+'Project Assumptions'!$D$16,-SUM('Detailed Project Costs'!$F$33:$F$34)*0.2/'Project Assumptions'!$D$16,0),0)+IF('Project Assumptions'!$D$16=0,IF(DA$5='Project Assumptions'!$D$15,-SUM('Detailed Project Costs'!$F$33:$F$34)*0.2,0),0)</f>
        <v/>
      </c>
      <c r="DA60" s="273">
        <f>IF('Project Assumptions'!$D$16=0,IF(DB$5='Project Assumptions'!$D$15,-SUM('Detailed Project Costs'!$F$33:$F$34)*0.8,0),IF(DB$5='Project Assumptions'!$D$15+1,-SUM('Detailed Project Costs'!$F$33:$F$34)*0.8,0))+IF(DB$5&gt;'Project Assumptions'!$D$15,IF(DB$5&lt;='Project Assumptions'!$D$15+'Project Assumptions'!$D$16,-SUM('Detailed Project Costs'!$F$33:$F$34)*0.2/'Project Assumptions'!$D$16,0),0)+IF('Project Assumptions'!$D$16=0,IF(DB$5='Project Assumptions'!$D$15,-SUM('Detailed Project Costs'!$F$33:$F$34)*0.2,0),0)</f>
        <v/>
      </c>
      <c r="DB60" s="273">
        <f>IF('Project Assumptions'!$D$16=0,IF(DC$5='Project Assumptions'!$D$15,-SUM('Detailed Project Costs'!$F$33:$F$34)*0.8,0),IF(DC$5='Project Assumptions'!$D$15+1,-SUM('Detailed Project Costs'!$F$33:$F$34)*0.8,0))+IF(DC$5&gt;'Project Assumptions'!$D$15,IF(DC$5&lt;='Project Assumptions'!$D$15+'Project Assumptions'!$D$16,-SUM('Detailed Project Costs'!$F$33:$F$34)*0.2/'Project Assumptions'!$D$16,0),0)+IF('Project Assumptions'!$D$16=0,IF(DC$5='Project Assumptions'!$D$15,-SUM('Detailed Project Costs'!$F$33:$F$34)*0.2,0),0)</f>
        <v/>
      </c>
      <c r="DC60" s="273" t="n"/>
      <c r="DD60" s="295">
        <f>SUM(F60:DB60)</f>
        <v/>
      </c>
    </row>
    <row r="61">
      <c r="A61" s="1005" t="n"/>
      <c r="B61" s="1123" t="inlineStr">
        <is>
          <t>Specialty Consultants</t>
        </is>
      </c>
      <c r="C61" s="337" t="n"/>
      <c r="D61" s="297">
        <f>DD61</f>
        <v/>
      </c>
      <c r="E61" s="276" t="n"/>
      <c r="F61" s="890">
        <f>IF('Project Assumptions'!$D$16=0,IF(G$5='Project Assumptions'!$D$15,-SUM('Detailed Project Costs'!$F$35:$F$36)*0.8,0),IF(G$5='Project Assumptions'!$D$15+1,-SUM('Detailed Project Costs'!$F$35:$F$36)*0.8,0))+IF(G$5&gt;'Project Assumptions'!$D$15,IF(G$5&lt;='Project Assumptions'!$D$15+'Project Assumptions'!$D$16,-SUM('Detailed Project Costs'!$F$35:$F$36)*0.2/'Project Assumptions'!$D$16,0),0)+IF('Project Assumptions'!$D$16=0,IF(G$5='Project Assumptions'!$D$15,-SUM('Detailed Project Costs'!$F$35:$F$36)*0.2,0),0)</f>
        <v/>
      </c>
      <c r="G61" s="890">
        <f>IF('Project Assumptions'!$D$16=0,IF(H$5='Project Assumptions'!$D$15,-SUM('Detailed Project Costs'!$F$35:$F$36)*0.8,0),IF(H$5='Project Assumptions'!$D$15+1,-SUM('Detailed Project Costs'!$F$35:$F$36)*0.8,0))+IF(H$5&gt;'Project Assumptions'!$D$15,IF(H$5&lt;='Project Assumptions'!$D$15+'Project Assumptions'!$D$16,-SUM('Detailed Project Costs'!$F$35:$F$36)*0.2/'Project Assumptions'!$D$16,0),0)+IF('Project Assumptions'!$D$16=0,IF(H$5='Project Assumptions'!$D$15,-SUM('Detailed Project Costs'!$F$35:$F$36)*0.2,0),0)</f>
        <v/>
      </c>
      <c r="H61" s="890">
        <f>IF('Project Assumptions'!$D$16=0,IF(I$5='Project Assumptions'!$D$15,-SUM('Detailed Project Costs'!$F$35:$F$36)*0.8,0),IF(I$5='Project Assumptions'!$D$15+1,-SUM('Detailed Project Costs'!$F$35:$F$36)*0.8,0))+IF(I$5&gt;'Project Assumptions'!$D$15,IF(I$5&lt;='Project Assumptions'!$D$15+'Project Assumptions'!$D$16,-SUM('Detailed Project Costs'!$F$35:$F$36)*0.2/'Project Assumptions'!$D$16,0),0)+IF('Project Assumptions'!$D$16=0,IF(I$5='Project Assumptions'!$D$15,-SUM('Detailed Project Costs'!$F$35:$F$36)*0.2,0),0)</f>
        <v/>
      </c>
      <c r="I61" s="890">
        <f>IF('Project Assumptions'!$D$16=0,IF(J$5='Project Assumptions'!$D$15,-SUM('Detailed Project Costs'!$F$35:$F$36)*0.8,0),IF(J$5='Project Assumptions'!$D$15+1,-SUM('Detailed Project Costs'!$F$35:$F$36)*0.8,0))+IF(J$5&gt;'Project Assumptions'!$D$15,IF(J$5&lt;='Project Assumptions'!$D$15+'Project Assumptions'!$D$16,-SUM('Detailed Project Costs'!$F$35:$F$36)*0.2/'Project Assumptions'!$D$16,0),0)+IF('Project Assumptions'!$D$16=0,IF(J$5='Project Assumptions'!$D$15,-SUM('Detailed Project Costs'!$F$35:$F$36)*0.2,0),0)</f>
        <v/>
      </c>
      <c r="J61" s="890">
        <f>IF('Project Assumptions'!$D$16=0,IF(K$5='Project Assumptions'!$D$15,-SUM('Detailed Project Costs'!$F$35:$F$36)*0.8,0),IF(K$5='Project Assumptions'!$D$15+1,-SUM('Detailed Project Costs'!$F$35:$F$36)*0.8,0))+IF(K$5&gt;'Project Assumptions'!$D$15,IF(K$5&lt;='Project Assumptions'!$D$15+'Project Assumptions'!$D$16,-SUM('Detailed Project Costs'!$F$35:$F$36)*0.2/'Project Assumptions'!$D$16,0),0)+IF('Project Assumptions'!$D$16=0,IF(K$5='Project Assumptions'!$D$15,-SUM('Detailed Project Costs'!$F$35:$F$36)*0.2,0),0)</f>
        <v/>
      </c>
      <c r="K61" s="890">
        <f>IF('Project Assumptions'!$D$16=0,IF(L$5='Project Assumptions'!$D$15,-SUM('Detailed Project Costs'!$F$35:$F$36)*0.8,0),IF(L$5='Project Assumptions'!$D$15+1,-SUM('Detailed Project Costs'!$F$35:$F$36)*0.8,0))+IF(L$5&gt;'Project Assumptions'!$D$15,IF(L$5&lt;='Project Assumptions'!$D$15+'Project Assumptions'!$D$16,-SUM('Detailed Project Costs'!$F$35:$F$36)*0.2/'Project Assumptions'!$D$16,0),0)+IF('Project Assumptions'!$D$16=0,IF(L$5='Project Assumptions'!$D$15,-SUM('Detailed Project Costs'!$F$35:$F$36)*0.2,0),0)</f>
        <v/>
      </c>
      <c r="L61" s="890">
        <f>IF('Project Assumptions'!$D$16=0,IF(M$5='Project Assumptions'!$D$15,-SUM('Detailed Project Costs'!$F$35:$F$36)*0.8,0),IF(M$5='Project Assumptions'!$D$15+1,-SUM('Detailed Project Costs'!$F$35:$F$36)*0.8,0))+IF(M$5&gt;'Project Assumptions'!$D$15,IF(M$5&lt;='Project Assumptions'!$D$15+'Project Assumptions'!$D$16,-SUM('Detailed Project Costs'!$F$35:$F$36)*0.2/'Project Assumptions'!$D$16,0),0)+IF('Project Assumptions'!$D$16=0,IF(M$5='Project Assumptions'!$D$15,-SUM('Detailed Project Costs'!$F$35:$F$36)*0.2,0),0)</f>
        <v/>
      </c>
      <c r="M61" s="890">
        <f>IF('Project Assumptions'!$D$16=0,IF(N$5='Project Assumptions'!$D$15,-SUM('Detailed Project Costs'!$F$35:$F$36)*0.8,0),IF(N$5='Project Assumptions'!$D$15+1,-SUM('Detailed Project Costs'!$F$35:$F$36)*0.8,0))+IF(N$5&gt;'Project Assumptions'!$D$15,IF(N$5&lt;='Project Assumptions'!$D$15+'Project Assumptions'!$D$16,-SUM('Detailed Project Costs'!$F$35:$F$36)*0.2/'Project Assumptions'!$D$16,0),0)+IF('Project Assumptions'!$D$16=0,IF(N$5='Project Assumptions'!$D$15,-SUM('Detailed Project Costs'!$F$35:$F$36)*0.2,0),0)</f>
        <v/>
      </c>
      <c r="N61" s="890">
        <f>IF('Project Assumptions'!$D$16=0,IF(O$5='Project Assumptions'!$D$15,-SUM('Detailed Project Costs'!$F$35:$F$36)*0.8,0),IF(O$5='Project Assumptions'!$D$15+1,-SUM('Detailed Project Costs'!$F$35:$F$36)*0.8,0))+IF(O$5&gt;'Project Assumptions'!$D$15,IF(O$5&lt;='Project Assumptions'!$D$15+'Project Assumptions'!$D$16,-SUM('Detailed Project Costs'!$F$35:$F$36)*0.2/'Project Assumptions'!$D$16,0),0)+IF('Project Assumptions'!$D$16=0,IF(O$5='Project Assumptions'!$D$15,-SUM('Detailed Project Costs'!$F$35:$F$36)*0.2,0),0)</f>
        <v/>
      </c>
      <c r="O61" s="890">
        <f>IF('Project Assumptions'!$D$16=0,IF(P$5='Project Assumptions'!$D$15,-SUM('Detailed Project Costs'!$F$35:$F$36)*0.8,0),IF(P$5='Project Assumptions'!$D$15+1,-SUM('Detailed Project Costs'!$F$35:$F$36)*0.8,0))+IF(P$5&gt;'Project Assumptions'!$D$15,IF(P$5&lt;='Project Assumptions'!$D$15+'Project Assumptions'!$D$16,-SUM('Detailed Project Costs'!$F$35:$F$36)*0.2/'Project Assumptions'!$D$16,0),0)+IF('Project Assumptions'!$D$16=0,IF(P$5='Project Assumptions'!$D$15,-SUM('Detailed Project Costs'!$F$35:$F$36)*0.2,0),0)</f>
        <v/>
      </c>
      <c r="P61" s="890">
        <f>IF('Project Assumptions'!$D$16=0,IF(Q$5='Project Assumptions'!$D$15,-SUM('Detailed Project Costs'!$F$35:$F$36)*0.8,0),IF(Q$5='Project Assumptions'!$D$15+1,-SUM('Detailed Project Costs'!$F$35:$F$36)*0.8,0))+IF(Q$5&gt;'Project Assumptions'!$D$15,IF(Q$5&lt;='Project Assumptions'!$D$15+'Project Assumptions'!$D$16,-SUM('Detailed Project Costs'!$F$35:$F$36)*0.2/'Project Assumptions'!$D$16,0),0)+IF('Project Assumptions'!$D$16=0,IF(Q$5='Project Assumptions'!$D$15,-SUM('Detailed Project Costs'!$F$35:$F$36)*0.2,0),0)</f>
        <v/>
      </c>
      <c r="Q61" s="890">
        <f>IF('Project Assumptions'!$D$16=0,IF(R$5='Project Assumptions'!$D$15,-SUM('Detailed Project Costs'!$F$35:$F$36)*0.8,0),IF(R$5='Project Assumptions'!$D$15+1,-SUM('Detailed Project Costs'!$F$35:$F$36)*0.8,0))+IF(R$5&gt;'Project Assumptions'!$D$15,IF(R$5&lt;='Project Assumptions'!$D$15+'Project Assumptions'!$D$16,-SUM('Detailed Project Costs'!$F$35:$F$36)*0.2/'Project Assumptions'!$D$16,0),0)+IF('Project Assumptions'!$D$16=0,IF(R$5='Project Assumptions'!$D$15,-SUM('Detailed Project Costs'!$F$35:$F$36)*0.2,0),0)</f>
        <v/>
      </c>
      <c r="R61" s="890">
        <f>IF('Project Assumptions'!$D$16=0,IF(S$5='Project Assumptions'!$D$15,-SUM('Detailed Project Costs'!$F$35:$F$36)*0.8,0),IF(S$5='Project Assumptions'!$D$15+1,-SUM('Detailed Project Costs'!$F$35:$F$36)*0.8,0))+IF(S$5&gt;'Project Assumptions'!$D$15,IF(S$5&lt;='Project Assumptions'!$D$15+'Project Assumptions'!$D$16,-SUM('Detailed Project Costs'!$F$35:$F$36)*0.2/'Project Assumptions'!$D$16,0),0)+IF('Project Assumptions'!$D$16=0,IF(S$5='Project Assumptions'!$D$15,-SUM('Detailed Project Costs'!$F$35:$F$36)*0.2,0),0)</f>
        <v/>
      </c>
      <c r="S61" s="890">
        <f>IF('Project Assumptions'!$D$16=0,IF(T$5='Project Assumptions'!$D$15,-SUM('Detailed Project Costs'!$F$35:$F$36)*0.8,0),IF(T$5='Project Assumptions'!$D$15+1,-SUM('Detailed Project Costs'!$F$35:$F$36)*0.8,0))+IF(T$5&gt;'Project Assumptions'!$D$15,IF(T$5&lt;='Project Assumptions'!$D$15+'Project Assumptions'!$D$16,-SUM('Detailed Project Costs'!$F$35:$F$36)*0.2/'Project Assumptions'!$D$16,0),0)+IF('Project Assumptions'!$D$16=0,IF(T$5='Project Assumptions'!$D$15,-SUM('Detailed Project Costs'!$F$35:$F$36)*0.2,0),0)</f>
        <v/>
      </c>
      <c r="T61" s="890">
        <f>IF('Project Assumptions'!$D$16=0,IF(U$5='Project Assumptions'!$D$15,-SUM('Detailed Project Costs'!$F$35:$F$36)*0.8,0),IF(U$5='Project Assumptions'!$D$15+1,-SUM('Detailed Project Costs'!$F$35:$F$36)*0.8,0))+IF(U$5&gt;'Project Assumptions'!$D$15,IF(U$5&lt;='Project Assumptions'!$D$15+'Project Assumptions'!$D$16,-SUM('Detailed Project Costs'!$F$35:$F$36)*0.2/'Project Assumptions'!$D$16,0),0)+IF('Project Assumptions'!$D$16=0,IF(U$5='Project Assumptions'!$D$15,-SUM('Detailed Project Costs'!$F$35:$F$36)*0.2,0),0)</f>
        <v/>
      </c>
      <c r="U61" s="890">
        <f>IF('Project Assumptions'!$D$16=0,IF(V$5='Project Assumptions'!$D$15,-SUM('Detailed Project Costs'!$F$35:$F$36)*0.8,0),IF(V$5='Project Assumptions'!$D$15+1,-SUM('Detailed Project Costs'!$F$35:$F$36)*0.8,0))+IF(V$5&gt;'Project Assumptions'!$D$15,IF(V$5&lt;='Project Assumptions'!$D$15+'Project Assumptions'!$D$16,-SUM('Detailed Project Costs'!$F$35:$F$36)*0.2/'Project Assumptions'!$D$16,0),0)+IF('Project Assumptions'!$D$16=0,IF(V$5='Project Assumptions'!$D$15,-SUM('Detailed Project Costs'!$F$35:$F$36)*0.2,0),0)</f>
        <v/>
      </c>
      <c r="V61" s="890">
        <f>IF('Project Assumptions'!$D$16=0,IF(W$5='Project Assumptions'!$D$15,-SUM('Detailed Project Costs'!$F$35:$F$36)*0.8,0),IF(W$5='Project Assumptions'!$D$15+1,-SUM('Detailed Project Costs'!$F$35:$F$36)*0.8,0))+IF(W$5&gt;'Project Assumptions'!$D$15,IF(W$5&lt;='Project Assumptions'!$D$15+'Project Assumptions'!$D$16,-SUM('Detailed Project Costs'!$F$35:$F$36)*0.2/'Project Assumptions'!$D$16,0),0)+IF('Project Assumptions'!$D$16=0,IF(W$5='Project Assumptions'!$D$15,-SUM('Detailed Project Costs'!$F$35:$F$36)*0.2,0),0)</f>
        <v/>
      </c>
      <c r="W61" s="890">
        <f>IF('Project Assumptions'!$D$16=0,IF(X$5='Project Assumptions'!$D$15,-SUM('Detailed Project Costs'!$F$35:$F$36)*0.8,0),IF(X$5='Project Assumptions'!$D$15+1,-SUM('Detailed Project Costs'!$F$35:$F$36)*0.8,0))+IF(X$5&gt;'Project Assumptions'!$D$15,IF(X$5&lt;='Project Assumptions'!$D$15+'Project Assumptions'!$D$16,-SUM('Detailed Project Costs'!$F$35:$F$36)*0.2/'Project Assumptions'!$D$16,0),0)+IF('Project Assumptions'!$D$16=0,IF(X$5='Project Assumptions'!$D$15,-SUM('Detailed Project Costs'!$F$35:$F$36)*0.2,0),0)</f>
        <v/>
      </c>
      <c r="X61" s="890">
        <f>IF('Project Assumptions'!$D$16=0,IF(Y$5='Project Assumptions'!$D$15,-SUM('Detailed Project Costs'!$F$35:$F$36)*0.8,0),IF(Y$5='Project Assumptions'!$D$15+1,-SUM('Detailed Project Costs'!$F$35:$F$36)*0.8,0))+IF(Y$5&gt;'Project Assumptions'!$D$15,IF(Y$5&lt;='Project Assumptions'!$D$15+'Project Assumptions'!$D$16,-SUM('Detailed Project Costs'!$F$35:$F$36)*0.2/'Project Assumptions'!$D$16,0),0)+IF('Project Assumptions'!$D$16=0,IF(Y$5='Project Assumptions'!$D$15,-SUM('Detailed Project Costs'!$F$35:$F$36)*0.2,0),0)</f>
        <v/>
      </c>
      <c r="Y61" s="890">
        <f>IF('Project Assumptions'!$D$16=0,IF(Z$5='Project Assumptions'!$D$15,-SUM('Detailed Project Costs'!$F$35:$F$36)*0.8,0),IF(Z$5='Project Assumptions'!$D$15+1,-SUM('Detailed Project Costs'!$F$35:$F$36)*0.8,0))+IF(Z$5&gt;'Project Assumptions'!$D$15,IF(Z$5&lt;='Project Assumptions'!$D$15+'Project Assumptions'!$D$16,-SUM('Detailed Project Costs'!$F$35:$F$36)*0.2/'Project Assumptions'!$D$16,0),0)+IF('Project Assumptions'!$D$16=0,IF(Z$5='Project Assumptions'!$D$15,-SUM('Detailed Project Costs'!$F$35:$F$36)*0.2,0),0)</f>
        <v/>
      </c>
      <c r="Z61" s="890">
        <f>IF('Project Assumptions'!$D$16=0,IF(AA$5='Project Assumptions'!$D$15,-SUM('Detailed Project Costs'!$F$35:$F$36)*0.8,0),IF(AA$5='Project Assumptions'!$D$15+1,-SUM('Detailed Project Costs'!$F$35:$F$36)*0.8,0))+IF(AA$5&gt;'Project Assumptions'!$D$15,IF(AA$5&lt;='Project Assumptions'!$D$15+'Project Assumptions'!$D$16,-SUM('Detailed Project Costs'!$F$35:$F$36)*0.2/'Project Assumptions'!$D$16,0),0)+IF('Project Assumptions'!$D$16=0,IF(AA$5='Project Assumptions'!$D$15,-SUM('Detailed Project Costs'!$F$35:$F$36)*0.2,0),0)</f>
        <v/>
      </c>
      <c r="AA61" s="890">
        <f>IF('Project Assumptions'!$D$16=0,IF(AB$5='Project Assumptions'!$D$15,-SUM('Detailed Project Costs'!$F$35:$F$36)*0.8,0),IF(AB$5='Project Assumptions'!$D$15+1,-SUM('Detailed Project Costs'!$F$35:$F$36)*0.8,0))+IF(AB$5&gt;'Project Assumptions'!$D$15,IF(AB$5&lt;='Project Assumptions'!$D$15+'Project Assumptions'!$D$16,-SUM('Detailed Project Costs'!$F$35:$F$36)*0.2/'Project Assumptions'!$D$16,0),0)+IF('Project Assumptions'!$D$16=0,IF(AB$5='Project Assumptions'!$D$15,-SUM('Detailed Project Costs'!$F$35:$F$36)*0.2,0),0)</f>
        <v/>
      </c>
      <c r="AB61" s="890">
        <f>IF('Project Assumptions'!$D$16=0,IF(AC$5='Project Assumptions'!$D$15,-SUM('Detailed Project Costs'!$F$35:$F$36)*0.8,0),IF(AC$5='Project Assumptions'!$D$15+1,-SUM('Detailed Project Costs'!$F$35:$F$36)*0.8,0))+IF(AC$5&gt;'Project Assumptions'!$D$15,IF(AC$5&lt;='Project Assumptions'!$D$15+'Project Assumptions'!$D$16,-SUM('Detailed Project Costs'!$F$35:$F$36)*0.2/'Project Assumptions'!$D$16,0),0)+IF('Project Assumptions'!$D$16=0,IF(AC$5='Project Assumptions'!$D$15,-SUM('Detailed Project Costs'!$F$35:$F$36)*0.2,0),0)</f>
        <v/>
      </c>
      <c r="AC61" s="890">
        <f>IF('Project Assumptions'!$D$16=0,IF(AD$5='Project Assumptions'!$D$15,-SUM('Detailed Project Costs'!$F$35:$F$36)*0.8,0),IF(AD$5='Project Assumptions'!$D$15+1,-SUM('Detailed Project Costs'!$F$35:$F$36)*0.8,0))+IF(AD$5&gt;'Project Assumptions'!$D$15,IF(AD$5&lt;='Project Assumptions'!$D$15+'Project Assumptions'!$D$16,-SUM('Detailed Project Costs'!$F$35:$F$36)*0.2/'Project Assumptions'!$D$16,0),0)+IF('Project Assumptions'!$D$16=0,IF(AD$5='Project Assumptions'!$D$15,-SUM('Detailed Project Costs'!$F$35:$F$36)*0.2,0),0)</f>
        <v/>
      </c>
      <c r="AD61" s="890">
        <f>IF('Project Assumptions'!$D$16=0,IF(AE$5='Project Assumptions'!$D$15,-SUM('Detailed Project Costs'!$F$35:$F$36)*0.8,0),IF(AE$5='Project Assumptions'!$D$15+1,-SUM('Detailed Project Costs'!$F$35:$F$36)*0.8,0))+IF(AE$5&gt;'Project Assumptions'!$D$15,IF(AE$5&lt;='Project Assumptions'!$D$15+'Project Assumptions'!$D$16,-SUM('Detailed Project Costs'!$F$35:$F$36)*0.2/'Project Assumptions'!$D$16,0),0)+IF('Project Assumptions'!$D$16=0,IF(AE$5='Project Assumptions'!$D$15,-SUM('Detailed Project Costs'!$F$35:$F$36)*0.2,0),0)</f>
        <v/>
      </c>
      <c r="AE61" s="890">
        <f>IF('Project Assumptions'!$D$16=0,IF(AF$5='Project Assumptions'!$D$15,-SUM('Detailed Project Costs'!$F$35:$F$36)*0.8,0),IF(AF$5='Project Assumptions'!$D$15+1,-SUM('Detailed Project Costs'!$F$35:$F$36)*0.8,0))+IF(AF$5&gt;'Project Assumptions'!$D$15,IF(AF$5&lt;='Project Assumptions'!$D$15+'Project Assumptions'!$D$16,-SUM('Detailed Project Costs'!$F$35:$F$36)*0.2/'Project Assumptions'!$D$16,0),0)+IF('Project Assumptions'!$D$16=0,IF(AF$5='Project Assumptions'!$D$15,-SUM('Detailed Project Costs'!$F$35:$F$36)*0.2,0),0)</f>
        <v/>
      </c>
      <c r="AF61" s="890">
        <f>IF('Project Assumptions'!$D$16=0,IF(AG$5='Project Assumptions'!$D$15,-SUM('Detailed Project Costs'!$F$35:$F$36)*0.8,0),IF(AG$5='Project Assumptions'!$D$15+1,-SUM('Detailed Project Costs'!$F$35:$F$36)*0.8,0))+IF(AG$5&gt;'Project Assumptions'!$D$15,IF(AG$5&lt;='Project Assumptions'!$D$15+'Project Assumptions'!$D$16,-SUM('Detailed Project Costs'!$F$35:$F$36)*0.2/'Project Assumptions'!$D$16,0),0)+IF('Project Assumptions'!$D$16=0,IF(AG$5='Project Assumptions'!$D$15,-SUM('Detailed Project Costs'!$F$35:$F$36)*0.2,0),0)</f>
        <v/>
      </c>
      <c r="AG61" s="890">
        <f>IF('Project Assumptions'!$D$16=0,IF(AH$5='Project Assumptions'!$D$15,-SUM('Detailed Project Costs'!$F$35:$F$36)*0.8,0),IF(AH$5='Project Assumptions'!$D$15+1,-SUM('Detailed Project Costs'!$F$35:$F$36)*0.8,0))+IF(AH$5&gt;'Project Assumptions'!$D$15,IF(AH$5&lt;='Project Assumptions'!$D$15+'Project Assumptions'!$D$16,-SUM('Detailed Project Costs'!$F$35:$F$36)*0.2/'Project Assumptions'!$D$16,0),0)+IF('Project Assumptions'!$D$16=0,IF(AH$5='Project Assumptions'!$D$15,-SUM('Detailed Project Costs'!$F$35:$F$36)*0.2,0),0)</f>
        <v/>
      </c>
      <c r="AH61" s="890">
        <f>IF('Project Assumptions'!$D$16=0,IF(AI$5='Project Assumptions'!$D$15,-SUM('Detailed Project Costs'!$F$35:$F$36)*0.8,0),IF(AI$5='Project Assumptions'!$D$15+1,-SUM('Detailed Project Costs'!$F$35:$F$36)*0.8,0))+IF(AI$5&gt;'Project Assumptions'!$D$15,IF(AI$5&lt;='Project Assumptions'!$D$15+'Project Assumptions'!$D$16,-SUM('Detailed Project Costs'!$F$35:$F$36)*0.2/'Project Assumptions'!$D$16,0),0)+IF('Project Assumptions'!$D$16=0,IF(AI$5='Project Assumptions'!$D$15,-SUM('Detailed Project Costs'!$F$35:$F$36)*0.2,0),0)</f>
        <v/>
      </c>
      <c r="AI61" s="890">
        <f>IF('Project Assumptions'!$D$16=0,IF(AJ$5='Project Assumptions'!$D$15,-SUM('Detailed Project Costs'!$F$35:$F$36)*0.8,0),IF(AJ$5='Project Assumptions'!$D$15+1,-SUM('Detailed Project Costs'!$F$35:$F$36)*0.8,0))+IF(AJ$5&gt;'Project Assumptions'!$D$15,IF(AJ$5&lt;='Project Assumptions'!$D$15+'Project Assumptions'!$D$16,-SUM('Detailed Project Costs'!$F$35:$F$36)*0.2/'Project Assumptions'!$D$16,0),0)+IF('Project Assumptions'!$D$16=0,IF(AJ$5='Project Assumptions'!$D$15,-SUM('Detailed Project Costs'!$F$35:$F$36)*0.2,0),0)</f>
        <v/>
      </c>
      <c r="AJ61" s="890">
        <f>IF('Project Assumptions'!$D$16=0,IF(AK$5='Project Assumptions'!$D$15,-SUM('Detailed Project Costs'!$F$35:$F$36)*0.8,0),IF(AK$5='Project Assumptions'!$D$15+1,-SUM('Detailed Project Costs'!$F$35:$F$36)*0.8,0))+IF(AK$5&gt;'Project Assumptions'!$D$15,IF(AK$5&lt;='Project Assumptions'!$D$15+'Project Assumptions'!$D$16,-SUM('Detailed Project Costs'!$F$35:$F$36)*0.2/'Project Assumptions'!$D$16,0),0)+IF('Project Assumptions'!$D$16=0,IF(AK$5='Project Assumptions'!$D$15,-SUM('Detailed Project Costs'!$F$35:$F$36)*0.2,0),0)</f>
        <v/>
      </c>
      <c r="AK61" s="890">
        <f>IF('Project Assumptions'!$D$16=0,IF(AL$5='Project Assumptions'!$D$15,-SUM('Detailed Project Costs'!$F$35:$F$36)*0.8,0),IF(AL$5='Project Assumptions'!$D$15+1,-SUM('Detailed Project Costs'!$F$35:$F$36)*0.8,0))+IF(AL$5&gt;'Project Assumptions'!$D$15,IF(AL$5&lt;='Project Assumptions'!$D$15+'Project Assumptions'!$D$16,-SUM('Detailed Project Costs'!$F$35:$F$36)*0.2/'Project Assumptions'!$D$16,0),0)+IF('Project Assumptions'!$D$16=0,IF(AL$5='Project Assumptions'!$D$15,-SUM('Detailed Project Costs'!$F$35:$F$36)*0.2,0),0)</f>
        <v/>
      </c>
      <c r="AL61" s="890">
        <f>IF('Project Assumptions'!$D$16=0,IF(AM$5='Project Assumptions'!$D$15,-SUM('Detailed Project Costs'!$F$35:$F$36)*0.8,0),IF(AM$5='Project Assumptions'!$D$15+1,-SUM('Detailed Project Costs'!$F$35:$F$36)*0.8,0))+IF(AM$5&gt;'Project Assumptions'!$D$15,IF(AM$5&lt;='Project Assumptions'!$D$15+'Project Assumptions'!$D$16,-SUM('Detailed Project Costs'!$F$35:$F$36)*0.2/'Project Assumptions'!$D$16,0),0)+IF('Project Assumptions'!$D$16=0,IF(AM$5='Project Assumptions'!$D$15,-SUM('Detailed Project Costs'!$F$35:$F$36)*0.2,0),0)</f>
        <v/>
      </c>
      <c r="AM61" s="890">
        <f>IF('Project Assumptions'!$D$16=0,IF(AN$5='Project Assumptions'!$D$15,-SUM('Detailed Project Costs'!$F$35:$F$36)*0.8,0),IF(AN$5='Project Assumptions'!$D$15+1,-SUM('Detailed Project Costs'!$F$35:$F$36)*0.8,0))+IF(AN$5&gt;'Project Assumptions'!$D$15,IF(AN$5&lt;='Project Assumptions'!$D$15+'Project Assumptions'!$D$16,-SUM('Detailed Project Costs'!$F$35:$F$36)*0.2/'Project Assumptions'!$D$16,0),0)+IF('Project Assumptions'!$D$16=0,IF(AN$5='Project Assumptions'!$D$15,-SUM('Detailed Project Costs'!$F$35:$F$36)*0.2,0),0)</f>
        <v/>
      </c>
      <c r="AN61" s="890">
        <f>IF('Project Assumptions'!$D$16=0,IF(AO$5='Project Assumptions'!$D$15,-SUM('Detailed Project Costs'!$F$35:$F$36)*0.8,0),IF(AO$5='Project Assumptions'!$D$15+1,-SUM('Detailed Project Costs'!$F$35:$F$36)*0.8,0))+IF(AO$5&gt;'Project Assumptions'!$D$15,IF(AO$5&lt;='Project Assumptions'!$D$15+'Project Assumptions'!$D$16,-SUM('Detailed Project Costs'!$F$35:$F$36)*0.2/'Project Assumptions'!$D$16,0),0)+IF('Project Assumptions'!$D$16=0,IF(AO$5='Project Assumptions'!$D$15,-SUM('Detailed Project Costs'!$F$35:$F$36)*0.2,0),0)</f>
        <v/>
      </c>
      <c r="AO61" s="890">
        <f>IF('Project Assumptions'!$D$16=0,IF(AP$5='Project Assumptions'!$D$15,-SUM('Detailed Project Costs'!$F$35:$F$36)*0.8,0),IF(AP$5='Project Assumptions'!$D$15+1,-SUM('Detailed Project Costs'!$F$35:$F$36)*0.8,0))+IF(AP$5&gt;'Project Assumptions'!$D$15,IF(AP$5&lt;='Project Assumptions'!$D$15+'Project Assumptions'!$D$16,-SUM('Detailed Project Costs'!$F$35:$F$36)*0.2/'Project Assumptions'!$D$16,0),0)+IF('Project Assumptions'!$D$16=0,IF(AP$5='Project Assumptions'!$D$15,-SUM('Detailed Project Costs'!$F$35:$F$36)*0.2,0),0)</f>
        <v/>
      </c>
      <c r="AP61" s="890">
        <f>IF('Project Assumptions'!$D$16=0,IF(AQ$5='Project Assumptions'!$D$15,-SUM('Detailed Project Costs'!$F$35:$F$36)*0.8,0),IF(AQ$5='Project Assumptions'!$D$15+1,-SUM('Detailed Project Costs'!$F$35:$F$36)*0.8,0))+IF(AQ$5&gt;'Project Assumptions'!$D$15,IF(AQ$5&lt;='Project Assumptions'!$D$15+'Project Assumptions'!$D$16,-SUM('Detailed Project Costs'!$F$35:$F$36)*0.2/'Project Assumptions'!$D$16,0),0)+IF('Project Assumptions'!$D$16=0,IF(AQ$5='Project Assumptions'!$D$15,-SUM('Detailed Project Costs'!$F$35:$F$36)*0.2,0),0)</f>
        <v/>
      </c>
      <c r="AQ61" s="890">
        <f>IF('Project Assumptions'!$D$16=0,IF(AR$5='Project Assumptions'!$D$15,-SUM('Detailed Project Costs'!$F$35:$F$36)*0.8,0),IF(AR$5='Project Assumptions'!$D$15+1,-SUM('Detailed Project Costs'!$F$35:$F$36)*0.8,0))+IF(AR$5&gt;'Project Assumptions'!$D$15,IF(AR$5&lt;='Project Assumptions'!$D$15+'Project Assumptions'!$D$16,-SUM('Detailed Project Costs'!$F$35:$F$36)*0.2/'Project Assumptions'!$D$16,0),0)+IF('Project Assumptions'!$D$16=0,IF(AR$5='Project Assumptions'!$D$15,-SUM('Detailed Project Costs'!$F$35:$F$36)*0.2,0),0)</f>
        <v/>
      </c>
      <c r="AR61" s="890">
        <f>IF('Project Assumptions'!$D$16=0,IF(AS$5='Project Assumptions'!$D$15,-SUM('Detailed Project Costs'!$F$35:$F$36)*0.8,0),IF(AS$5='Project Assumptions'!$D$15+1,-SUM('Detailed Project Costs'!$F$35:$F$36)*0.8,0))+IF(AS$5&gt;'Project Assumptions'!$D$15,IF(AS$5&lt;='Project Assumptions'!$D$15+'Project Assumptions'!$D$16,-SUM('Detailed Project Costs'!$F$35:$F$36)*0.2/'Project Assumptions'!$D$16,0),0)+IF('Project Assumptions'!$D$16=0,IF(AS$5='Project Assumptions'!$D$15,-SUM('Detailed Project Costs'!$F$35:$F$36)*0.2,0),0)</f>
        <v/>
      </c>
      <c r="AS61" s="890">
        <f>IF('Project Assumptions'!$D$16=0,IF(AT$5='Project Assumptions'!$D$15,-SUM('Detailed Project Costs'!$F$35:$F$36)*0.8,0),IF(AT$5='Project Assumptions'!$D$15+1,-SUM('Detailed Project Costs'!$F$35:$F$36)*0.8,0))+IF(AT$5&gt;'Project Assumptions'!$D$15,IF(AT$5&lt;='Project Assumptions'!$D$15+'Project Assumptions'!$D$16,-SUM('Detailed Project Costs'!$F$35:$F$36)*0.2/'Project Assumptions'!$D$16,0),0)+IF('Project Assumptions'!$D$16=0,IF(AT$5='Project Assumptions'!$D$15,-SUM('Detailed Project Costs'!$F$35:$F$36)*0.2,0),0)</f>
        <v/>
      </c>
      <c r="AT61" s="890">
        <f>IF('Project Assumptions'!$D$16=0,IF(AU$5='Project Assumptions'!$D$15,-SUM('Detailed Project Costs'!$F$35:$F$36)*0.8,0),IF(AU$5='Project Assumptions'!$D$15+1,-SUM('Detailed Project Costs'!$F$35:$F$36)*0.8,0))+IF(AU$5&gt;'Project Assumptions'!$D$15,IF(AU$5&lt;='Project Assumptions'!$D$15+'Project Assumptions'!$D$16,-SUM('Detailed Project Costs'!$F$35:$F$36)*0.2/'Project Assumptions'!$D$16,0),0)+IF('Project Assumptions'!$D$16=0,IF(AU$5='Project Assumptions'!$D$15,-SUM('Detailed Project Costs'!$F$35:$F$36)*0.2,0),0)</f>
        <v/>
      </c>
      <c r="AU61" s="890">
        <f>IF('Project Assumptions'!$D$16=0,IF(AV$5='Project Assumptions'!$D$15,-SUM('Detailed Project Costs'!$F$35:$F$36)*0.8,0),IF(AV$5='Project Assumptions'!$D$15+1,-SUM('Detailed Project Costs'!$F$35:$F$36)*0.8,0))+IF(AV$5&gt;'Project Assumptions'!$D$15,IF(AV$5&lt;='Project Assumptions'!$D$15+'Project Assumptions'!$D$16,-SUM('Detailed Project Costs'!$F$35:$F$36)*0.2/'Project Assumptions'!$D$16,0),0)+IF('Project Assumptions'!$D$16=0,IF(AV$5='Project Assumptions'!$D$15,-SUM('Detailed Project Costs'!$F$35:$F$36)*0.2,0),0)</f>
        <v/>
      </c>
      <c r="AV61" s="890">
        <f>IF('Project Assumptions'!$D$16=0,IF(AW$5='Project Assumptions'!$D$15,-SUM('Detailed Project Costs'!$F$35:$F$36)*0.8,0),IF(AW$5='Project Assumptions'!$D$15+1,-SUM('Detailed Project Costs'!$F$35:$F$36)*0.8,0))+IF(AW$5&gt;'Project Assumptions'!$D$15,IF(AW$5&lt;='Project Assumptions'!$D$15+'Project Assumptions'!$D$16,-SUM('Detailed Project Costs'!$F$35:$F$36)*0.2/'Project Assumptions'!$D$16,0),0)+IF('Project Assumptions'!$D$16=0,IF(AW$5='Project Assumptions'!$D$15,-SUM('Detailed Project Costs'!$F$35:$F$36)*0.2,0),0)</f>
        <v/>
      </c>
      <c r="AW61" s="890">
        <f>IF('Project Assumptions'!$D$16=0,IF(AX$5='Project Assumptions'!$D$15,-SUM('Detailed Project Costs'!$F$35:$F$36)*0.8,0),IF(AX$5='Project Assumptions'!$D$15+1,-SUM('Detailed Project Costs'!$F$35:$F$36)*0.8,0))+IF(AX$5&gt;'Project Assumptions'!$D$15,IF(AX$5&lt;='Project Assumptions'!$D$15+'Project Assumptions'!$D$16,-SUM('Detailed Project Costs'!$F$35:$F$36)*0.2/'Project Assumptions'!$D$16,0),0)+IF('Project Assumptions'!$D$16=0,IF(AX$5='Project Assumptions'!$D$15,-SUM('Detailed Project Costs'!$F$35:$F$36)*0.2,0),0)</f>
        <v/>
      </c>
      <c r="AX61" s="890">
        <f>IF('Project Assumptions'!$D$16=0,IF(AY$5='Project Assumptions'!$D$15,-SUM('Detailed Project Costs'!$F$35:$F$36)*0.8,0),IF(AY$5='Project Assumptions'!$D$15+1,-SUM('Detailed Project Costs'!$F$35:$F$36)*0.8,0))+IF(AY$5&gt;'Project Assumptions'!$D$15,IF(AY$5&lt;='Project Assumptions'!$D$15+'Project Assumptions'!$D$16,-SUM('Detailed Project Costs'!$F$35:$F$36)*0.2/'Project Assumptions'!$D$16,0),0)+IF('Project Assumptions'!$D$16=0,IF(AY$5='Project Assumptions'!$D$15,-SUM('Detailed Project Costs'!$F$35:$F$36)*0.2,0),0)</f>
        <v/>
      </c>
      <c r="AY61" s="890">
        <f>IF('Project Assumptions'!$D$16=0,IF(AZ$5='Project Assumptions'!$D$15,-SUM('Detailed Project Costs'!$F$35:$F$36)*0.8,0),IF(AZ$5='Project Assumptions'!$D$15+1,-SUM('Detailed Project Costs'!$F$35:$F$36)*0.8,0))+IF(AZ$5&gt;'Project Assumptions'!$D$15,IF(AZ$5&lt;='Project Assumptions'!$D$15+'Project Assumptions'!$D$16,-SUM('Detailed Project Costs'!$F$35:$F$36)*0.2/'Project Assumptions'!$D$16,0),0)+IF('Project Assumptions'!$D$16=0,IF(AZ$5='Project Assumptions'!$D$15,-SUM('Detailed Project Costs'!$F$35:$F$36)*0.2,0),0)</f>
        <v/>
      </c>
      <c r="AZ61" s="890">
        <f>IF('Project Assumptions'!$D$16=0,IF(BA$5='Project Assumptions'!$D$15,-SUM('Detailed Project Costs'!$F$35:$F$36)*0.8,0),IF(BA$5='Project Assumptions'!$D$15+1,-SUM('Detailed Project Costs'!$F$35:$F$36)*0.8,0))+IF(BA$5&gt;'Project Assumptions'!$D$15,IF(BA$5&lt;='Project Assumptions'!$D$15+'Project Assumptions'!$D$16,-SUM('Detailed Project Costs'!$F$35:$F$36)*0.2/'Project Assumptions'!$D$16,0),0)+IF('Project Assumptions'!$D$16=0,IF(BA$5='Project Assumptions'!$D$15,-SUM('Detailed Project Costs'!$F$35:$F$36)*0.2,0),0)</f>
        <v/>
      </c>
      <c r="BA61" s="890">
        <f>IF('Project Assumptions'!$D$16=0,IF(BB$5='Project Assumptions'!$D$15,-SUM('Detailed Project Costs'!$F$35:$F$36)*0.8,0),IF(BB$5='Project Assumptions'!$D$15+1,-SUM('Detailed Project Costs'!$F$35:$F$36)*0.8,0))+IF(BB$5&gt;'Project Assumptions'!$D$15,IF(BB$5&lt;='Project Assumptions'!$D$15+'Project Assumptions'!$D$16,-SUM('Detailed Project Costs'!$F$35:$F$36)*0.2/'Project Assumptions'!$D$16,0),0)+IF('Project Assumptions'!$D$16=0,IF(BB$5='Project Assumptions'!$D$15,-SUM('Detailed Project Costs'!$F$35:$F$36)*0.2,0),0)</f>
        <v/>
      </c>
      <c r="BB61" s="890">
        <f>IF('Project Assumptions'!$D$16=0,IF(BC$5='Project Assumptions'!$D$15,-SUM('Detailed Project Costs'!$F$35:$F$36)*0.8,0),IF(BC$5='Project Assumptions'!$D$15+1,-SUM('Detailed Project Costs'!$F$35:$F$36)*0.8,0))+IF(BC$5&gt;'Project Assumptions'!$D$15,IF(BC$5&lt;='Project Assumptions'!$D$15+'Project Assumptions'!$D$16,-SUM('Detailed Project Costs'!$F$35:$F$36)*0.2/'Project Assumptions'!$D$16,0),0)+IF('Project Assumptions'!$D$16=0,IF(BC$5='Project Assumptions'!$D$15,-SUM('Detailed Project Costs'!$F$35:$F$36)*0.2,0),0)</f>
        <v/>
      </c>
      <c r="BC61" s="890">
        <f>IF('Project Assumptions'!$D$16=0,IF(BD$5='Project Assumptions'!$D$15,-SUM('Detailed Project Costs'!$F$35:$F$36)*0.8,0),IF(BD$5='Project Assumptions'!$D$15+1,-SUM('Detailed Project Costs'!$F$35:$F$36)*0.8,0))+IF(BD$5&gt;'Project Assumptions'!$D$15,IF(BD$5&lt;='Project Assumptions'!$D$15+'Project Assumptions'!$D$16,-SUM('Detailed Project Costs'!$F$35:$F$36)*0.2/'Project Assumptions'!$D$16,0),0)+IF('Project Assumptions'!$D$16=0,IF(BD$5='Project Assumptions'!$D$15,-SUM('Detailed Project Costs'!$F$35:$F$36)*0.2,0),0)</f>
        <v/>
      </c>
      <c r="BD61" s="890">
        <f>IF('Project Assumptions'!$D$16=0,IF(BE$5='Project Assumptions'!$D$15,-SUM('Detailed Project Costs'!$F$35:$F$36)*0.8,0),IF(BE$5='Project Assumptions'!$D$15+1,-SUM('Detailed Project Costs'!$F$35:$F$36)*0.8,0))+IF(BE$5&gt;'Project Assumptions'!$D$15,IF(BE$5&lt;='Project Assumptions'!$D$15+'Project Assumptions'!$D$16,-SUM('Detailed Project Costs'!$F$35:$F$36)*0.2/'Project Assumptions'!$D$16,0),0)+IF('Project Assumptions'!$D$16=0,IF(BE$5='Project Assumptions'!$D$15,-SUM('Detailed Project Costs'!$F$35:$F$36)*0.2,0),0)</f>
        <v/>
      </c>
      <c r="BE61" s="890">
        <f>IF('Project Assumptions'!$D$16=0,IF(BF$5='Project Assumptions'!$D$15,-SUM('Detailed Project Costs'!$F$35:$F$36)*0.8,0),IF(BF$5='Project Assumptions'!$D$15+1,-SUM('Detailed Project Costs'!$F$35:$F$36)*0.8,0))+IF(BF$5&gt;'Project Assumptions'!$D$15,IF(BF$5&lt;='Project Assumptions'!$D$15+'Project Assumptions'!$D$16,-SUM('Detailed Project Costs'!$F$35:$F$36)*0.2/'Project Assumptions'!$D$16,0),0)+IF('Project Assumptions'!$D$16=0,IF(BF$5='Project Assumptions'!$D$15,-SUM('Detailed Project Costs'!$F$35:$F$36)*0.2,0),0)</f>
        <v/>
      </c>
      <c r="BF61" s="890">
        <f>IF('Project Assumptions'!$D$16=0,IF(BG$5='Project Assumptions'!$D$15,-SUM('Detailed Project Costs'!$F$35:$F$36)*0.8,0),IF(BG$5='Project Assumptions'!$D$15+1,-SUM('Detailed Project Costs'!$F$35:$F$36)*0.8,0))+IF(BG$5&gt;'Project Assumptions'!$D$15,IF(BG$5&lt;='Project Assumptions'!$D$15+'Project Assumptions'!$D$16,-SUM('Detailed Project Costs'!$F$35:$F$36)*0.2/'Project Assumptions'!$D$16,0),0)+IF('Project Assumptions'!$D$16=0,IF(BG$5='Project Assumptions'!$D$15,-SUM('Detailed Project Costs'!$F$35:$F$36)*0.2,0),0)</f>
        <v/>
      </c>
      <c r="BG61" s="890">
        <f>IF('Project Assumptions'!$D$16=0,IF(BH$5='Project Assumptions'!$D$15,-SUM('Detailed Project Costs'!$F$35:$F$36)*0.8,0),IF(BH$5='Project Assumptions'!$D$15+1,-SUM('Detailed Project Costs'!$F$35:$F$36)*0.8,0))+IF(BH$5&gt;'Project Assumptions'!$D$15,IF(BH$5&lt;='Project Assumptions'!$D$15+'Project Assumptions'!$D$16,-SUM('Detailed Project Costs'!$F$35:$F$36)*0.2/'Project Assumptions'!$D$16,0),0)+IF('Project Assumptions'!$D$16=0,IF(BH$5='Project Assumptions'!$D$15,-SUM('Detailed Project Costs'!$F$35:$F$36)*0.2,0),0)</f>
        <v/>
      </c>
      <c r="BH61" s="890">
        <f>IF('Project Assumptions'!$D$16=0,IF(BI$5='Project Assumptions'!$D$15,-SUM('Detailed Project Costs'!$F$35:$F$36)*0.8,0),IF(BI$5='Project Assumptions'!$D$15+1,-SUM('Detailed Project Costs'!$F$35:$F$36)*0.8,0))+IF(BI$5&gt;'Project Assumptions'!$D$15,IF(BI$5&lt;='Project Assumptions'!$D$15+'Project Assumptions'!$D$16,-SUM('Detailed Project Costs'!$F$35:$F$36)*0.2/'Project Assumptions'!$D$16,0),0)+IF('Project Assumptions'!$D$16=0,IF(BI$5='Project Assumptions'!$D$15,-SUM('Detailed Project Costs'!$F$35:$F$36)*0.2,0),0)</f>
        <v/>
      </c>
      <c r="BI61" s="890">
        <f>IF('Project Assumptions'!$D$16=0,IF(BJ$5='Project Assumptions'!$D$15,-SUM('Detailed Project Costs'!$F$35:$F$36)*0.8,0),IF(BJ$5='Project Assumptions'!$D$15+1,-SUM('Detailed Project Costs'!$F$35:$F$36)*0.8,0))+IF(BJ$5&gt;'Project Assumptions'!$D$15,IF(BJ$5&lt;='Project Assumptions'!$D$15+'Project Assumptions'!$D$16,-SUM('Detailed Project Costs'!$F$35:$F$36)*0.2/'Project Assumptions'!$D$16,0),0)+IF('Project Assumptions'!$D$16=0,IF(BJ$5='Project Assumptions'!$D$15,-SUM('Detailed Project Costs'!$F$35:$F$36)*0.2,0),0)</f>
        <v/>
      </c>
      <c r="BJ61" s="890">
        <f>IF('Project Assumptions'!$D$16=0,IF(BK$5='Project Assumptions'!$D$15,-SUM('Detailed Project Costs'!$F$35:$F$36)*0.8,0),IF(BK$5='Project Assumptions'!$D$15+1,-SUM('Detailed Project Costs'!$F$35:$F$36)*0.8,0))+IF(BK$5&gt;'Project Assumptions'!$D$15,IF(BK$5&lt;='Project Assumptions'!$D$15+'Project Assumptions'!$D$16,-SUM('Detailed Project Costs'!$F$35:$F$36)*0.2/'Project Assumptions'!$D$16,0),0)+IF('Project Assumptions'!$D$16=0,IF(BK$5='Project Assumptions'!$D$15,-SUM('Detailed Project Costs'!$F$35:$F$36)*0.2,0),0)</f>
        <v/>
      </c>
      <c r="BK61" s="890">
        <f>IF('Project Assumptions'!$D$16=0,IF(BL$5='Project Assumptions'!$D$15,-SUM('Detailed Project Costs'!$F$35:$F$36)*0.8,0),IF(BL$5='Project Assumptions'!$D$15+1,-SUM('Detailed Project Costs'!$F$35:$F$36)*0.8,0))+IF(BL$5&gt;'Project Assumptions'!$D$15,IF(BL$5&lt;='Project Assumptions'!$D$15+'Project Assumptions'!$D$16,-SUM('Detailed Project Costs'!$F$35:$F$36)*0.2/'Project Assumptions'!$D$16,0),0)+IF('Project Assumptions'!$D$16=0,IF(BL$5='Project Assumptions'!$D$15,-SUM('Detailed Project Costs'!$F$35:$F$36)*0.2,0),0)</f>
        <v/>
      </c>
      <c r="BL61" s="890">
        <f>IF('Project Assumptions'!$D$16=0,IF(BM$5='Project Assumptions'!$D$15,-SUM('Detailed Project Costs'!$F$35:$F$36)*0.8,0),IF(BM$5='Project Assumptions'!$D$15+1,-SUM('Detailed Project Costs'!$F$35:$F$36)*0.8,0))+IF(BM$5&gt;'Project Assumptions'!$D$15,IF(BM$5&lt;='Project Assumptions'!$D$15+'Project Assumptions'!$D$16,-SUM('Detailed Project Costs'!$F$35:$F$36)*0.2/'Project Assumptions'!$D$16,0),0)+IF('Project Assumptions'!$D$16=0,IF(BM$5='Project Assumptions'!$D$15,-SUM('Detailed Project Costs'!$F$35:$F$36)*0.2,0),0)</f>
        <v/>
      </c>
      <c r="BM61" s="890">
        <f>IF('Project Assumptions'!$D$16=0,IF(BN$5='Project Assumptions'!$D$15,-SUM('Detailed Project Costs'!$F$35:$F$36)*0.8,0),IF(BN$5='Project Assumptions'!$D$15+1,-SUM('Detailed Project Costs'!$F$35:$F$36)*0.8,0))+IF(BN$5&gt;'Project Assumptions'!$D$15,IF(BN$5&lt;='Project Assumptions'!$D$15+'Project Assumptions'!$D$16,-SUM('Detailed Project Costs'!$F$35:$F$36)*0.2/'Project Assumptions'!$D$16,0),0)+IF('Project Assumptions'!$D$16=0,IF(BN$5='Project Assumptions'!$D$15,-SUM('Detailed Project Costs'!$F$35:$F$36)*0.2,0),0)</f>
        <v/>
      </c>
      <c r="BN61" s="890">
        <f>IF('Project Assumptions'!$D$16=0,IF(BO$5='Project Assumptions'!$D$15,-SUM('Detailed Project Costs'!$F$35:$F$36)*0.8,0),IF(BO$5='Project Assumptions'!$D$15+1,-SUM('Detailed Project Costs'!$F$35:$F$36)*0.8,0))+IF(BO$5&gt;'Project Assumptions'!$D$15,IF(BO$5&lt;='Project Assumptions'!$D$15+'Project Assumptions'!$D$16,-SUM('Detailed Project Costs'!$F$35:$F$36)*0.2/'Project Assumptions'!$D$16,0),0)+IF('Project Assumptions'!$D$16=0,IF(BO$5='Project Assumptions'!$D$15,-SUM('Detailed Project Costs'!$F$35:$F$36)*0.2,0),0)</f>
        <v/>
      </c>
      <c r="BO61" s="890">
        <f>IF('Project Assumptions'!$D$16=0,IF(BP$5='Project Assumptions'!$D$15,-SUM('Detailed Project Costs'!$F$35:$F$36)*0.8,0),IF(BP$5='Project Assumptions'!$D$15+1,-SUM('Detailed Project Costs'!$F$35:$F$36)*0.8,0))+IF(BP$5&gt;'Project Assumptions'!$D$15,IF(BP$5&lt;='Project Assumptions'!$D$15+'Project Assumptions'!$D$16,-SUM('Detailed Project Costs'!$F$35:$F$36)*0.2/'Project Assumptions'!$D$16,0),0)+IF('Project Assumptions'!$D$16=0,IF(BP$5='Project Assumptions'!$D$15,-SUM('Detailed Project Costs'!$F$35:$F$36)*0.2,0),0)</f>
        <v/>
      </c>
      <c r="BP61" s="890">
        <f>IF('Project Assumptions'!$D$16=0,IF(BQ$5='Project Assumptions'!$D$15,-SUM('Detailed Project Costs'!$F$35:$F$36)*0.8,0),IF(BQ$5='Project Assumptions'!$D$15+1,-SUM('Detailed Project Costs'!$F$35:$F$36)*0.8,0))+IF(BQ$5&gt;'Project Assumptions'!$D$15,IF(BQ$5&lt;='Project Assumptions'!$D$15+'Project Assumptions'!$D$16,-SUM('Detailed Project Costs'!$F$35:$F$36)*0.2/'Project Assumptions'!$D$16,0),0)+IF('Project Assumptions'!$D$16=0,IF(BQ$5='Project Assumptions'!$D$15,-SUM('Detailed Project Costs'!$F$35:$F$36)*0.2,0),0)</f>
        <v/>
      </c>
      <c r="BQ61" s="890">
        <f>IF('Project Assumptions'!$D$16=0,IF(BR$5='Project Assumptions'!$D$15,-SUM('Detailed Project Costs'!$F$35:$F$36)*0.8,0),IF(BR$5='Project Assumptions'!$D$15+1,-SUM('Detailed Project Costs'!$F$35:$F$36)*0.8,0))+IF(BR$5&gt;'Project Assumptions'!$D$15,IF(BR$5&lt;='Project Assumptions'!$D$15+'Project Assumptions'!$D$16,-SUM('Detailed Project Costs'!$F$35:$F$36)*0.2/'Project Assumptions'!$D$16,0),0)+IF('Project Assumptions'!$D$16=0,IF(BR$5='Project Assumptions'!$D$15,-SUM('Detailed Project Costs'!$F$35:$F$36)*0.2,0),0)</f>
        <v/>
      </c>
      <c r="BR61" s="890">
        <f>IF('Project Assumptions'!$D$16=0,IF(BS$5='Project Assumptions'!$D$15,-SUM('Detailed Project Costs'!$F$35:$F$36)*0.8,0),IF(BS$5='Project Assumptions'!$D$15+1,-SUM('Detailed Project Costs'!$F$35:$F$36)*0.8,0))+IF(BS$5&gt;'Project Assumptions'!$D$15,IF(BS$5&lt;='Project Assumptions'!$D$15+'Project Assumptions'!$D$16,-SUM('Detailed Project Costs'!$F$35:$F$36)*0.2/'Project Assumptions'!$D$16,0),0)+IF('Project Assumptions'!$D$16=0,IF(BS$5='Project Assumptions'!$D$15,-SUM('Detailed Project Costs'!$F$35:$F$36)*0.2,0),0)</f>
        <v/>
      </c>
      <c r="BS61" s="890">
        <f>IF('Project Assumptions'!$D$16=0,IF(BT$5='Project Assumptions'!$D$15,-SUM('Detailed Project Costs'!$F$35:$F$36)*0.8,0),IF(BT$5='Project Assumptions'!$D$15+1,-SUM('Detailed Project Costs'!$F$35:$F$36)*0.8,0))+IF(BT$5&gt;'Project Assumptions'!$D$15,IF(BT$5&lt;='Project Assumptions'!$D$15+'Project Assumptions'!$D$16,-SUM('Detailed Project Costs'!$F$35:$F$36)*0.2/'Project Assumptions'!$D$16,0),0)+IF('Project Assumptions'!$D$16=0,IF(BT$5='Project Assumptions'!$D$15,-SUM('Detailed Project Costs'!$F$35:$F$36)*0.2,0),0)</f>
        <v/>
      </c>
      <c r="BT61" s="890">
        <f>IF('Project Assumptions'!$D$16=0,IF(BU$5='Project Assumptions'!$D$15,-SUM('Detailed Project Costs'!$F$35:$F$36)*0.8,0),IF(BU$5='Project Assumptions'!$D$15+1,-SUM('Detailed Project Costs'!$F$35:$F$36)*0.8,0))+IF(BU$5&gt;'Project Assumptions'!$D$15,IF(BU$5&lt;='Project Assumptions'!$D$15+'Project Assumptions'!$D$16,-SUM('Detailed Project Costs'!$F$35:$F$36)*0.2/'Project Assumptions'!$D$16,0),0)+IF('Project Assumptions'!$D$16=0,IF(BU$5='Project Assumptions'!$D$15,-SUM('Detailed Project Costs'!$F$35:$F$36)*0.2,0),0)</f>
        <v/>
      </c>
      <c r="BU61" s="890">
        <f>IF('Project Assumptions'!$D$16=0,IF(BV$5='Project Assumptions'!$D$15,-SUM('Detailed Project Costs'!$F$35:$F$36)*0.8,0),IF(BV$5='Project Assumptions'!$D$15+1,-SUM('Detailed Project Costs'!$F$35:$F$36)*0.8,0))+IF(BV$5&gt;'Project Assumptions'!$D$15,IF(BV$5&lt;='Project Assumptions'!$D$15+'Project Assumptions'!$D$16,-SUM('Detailed Project Costs'!$F$35:$F$36)*0.2/'Project Assumptions'!$D$16,0),0)+IF('Project Assumptions'!$D$16=0,IF(BV$5='Project Assumptions'!$D$15,-SUM('Detailed Project Costs'!$F$35:$F$36)*0.2,0),0)</f>
        <v/>
      </c>
      <c r="BV61" s="890">
        <f>IF('Project Assumptions'!$D$16=0,IF(BW$5='Project Assumptions'!$D$15,-SUM('Detailed Project Costs'!$F$35:$F$36)*0.8,0),IF(BW$5='Project Assumptions'!$D$15+1,-SUM('Detailed Project Costs'!$F$35:$F$36)*0.8,0))+IF(BW$5&gt;'Project Assumptions'!$D$15,IF(BW$5&lt;='Project Assumptions'!$D$15+'Project Assumptions'!$D$16,-SUM('Detailed Project Costs'!$F$35:$F$36)*0.2/'Project Assumptions'!$D$16,0),0)+IF('Project Assumptions'!$D$16=0,IF(BW$5='Project Assumptions'!$D$15,-SUM('Detailed Project Costs'!$F$35:$F$36)*0.2,0),0)</f>
        <v/>
      </c>
      <c r="BW61" s="890">
        <f>IF('Project Assumptions'!$D$16=0,IF(BX$5='Project Assumptions'!$D$15,-SUM('Detailed Project Costs'!$F$35:$F$36)*0.8,0),IF(BX$5='Project Assumptions'!$D$15+1,-SUM('Detailed Project Costs'!$F$35:$F$36)*0.8,0))+IF(BX$5&gt;'Project Assumptions'!$D$15,IF(BX$5&lt;='Project Assumptions'!$D$15+'Project Assumptions'!$D$16,-SUM('Detailed Project Costs'!$F$35:$F$36)*0.2/'Project Assumptions'!$D$16,0),0)+IF('Project Assumptions'!$D$16=0,IF(BX$5='Project Assumptions'!$D$15,-SUM('Detailed Project Costs'!$F$35:$F$36)*0.2,0),0)</f>
        <v/>
      </c>
      <c r="BX61" s="890">
        <f>IF('Project Assumptions'!$D$16=0,IF(BY$5='Project Assumptions'!$D$15,-SUM('Detailed Project Costs'!$F$35:$F$36)*0.8,0),IF(BY$5='Project Assumptions'!$D$15+1,-SUM('Detailed Project Costs'!$F$35:$F$36)*0.8,0))+IF(BY$5&gt;'Project Assumptions'!$D$15,IF(BY$5&lt;='Project Assumptions'!$D$15+'Project Assumptions'!$D$16,-SUM('Detailed Project Costs'!$F$35:$F$36)*0.2/'Project Assumptions'!$D$16,0),0)+IF('Project Assumptions'!$D$16=0,IF(BY$5='Project Assumptions'!$D$15,-SUM('Detailed Project Costs'!$F$35:$F$36)*0.2,0),0)</f>
        <v/>
      </c>
      <c r="BY61" s="890">
        <f>IF('Project Assumptions'!$D$16=0,IF(BZ$5='Project Assumptions'!$D$15,-SUM('Detailed Project Costs'!$F$35:$F$36)*0.8,0),IF(BZ$5='Project Assumptions'!$D$15+1,-SUM('Detailed Project Costs'!$F$35:$F$36)*0.8,0))+IF(BZ$5&gt;'Project Assumptions'!$D$15,IF(BZ$5&lt;='Project Assumptions'!$D$15+'Project Assumptions'!$D$16,-SUM('Detailed Project Costs'!$F$35:$F$36)*0.2/'Project Assumptions'!$D$16,0),0)+IF('Project Assumptions'!$D$16=0,IF(BZ$5='Project Assumptions'!$D$15,-SUM('Detailed Project Costs'!$F$35:$F$36)*0.2,0),0)</f>
        <v/>
      </c>
      <c r="BZ61" s="890">
        <f>IF('Project Assumptions'!$D$16=0,IF(CA$5='Project Assumptions'!$D$15,-SUM('Detailed Project Costs'!$F$35:$F$36)*0.8,0),IF(CA$5='Project Assumptions'!$D$15+1,-SUM('Detailed Project Costs'!$F$35:$F$36)*0.8,0))+IF(CA$5&gt;'Project Assumptions'!$D$15,IF(CA$5&lt;='Project Assumptions'!$D$15+'Project Assumptions'!$D$16,-SUM('Detailed Project Costs'!$F$35:$F$36)*0.2/'Project Assumptions'!$D$16,0),0)+IF('Project Assumptions'!$D$16=0,IF(CA$5='Project Assumptions'!$D$15,-SUM('Detailed Project Costs'!$F$35:$F$36)*0.2,0),0)</f>
        <v/>
      </c>
      <c r="CA61" s="890">
        <f>IF('Project Assumptions'!$D$16=0,IF(CB$5='Project Assumptions'!$D$15,-SUM('Detailed Project Costs'!$F$35:$F$36)*0.8,0),IF(CB$5='Project Assumptions'!$D$15+1,-SUM('Detailed Project Costs'!$F$35:$F$36)*0.8,0))+IF(CB$5&gt;'Project Assumptions'!$D$15,IF(CB$5&lt;='Project Assumptions'!$D$15+'Project Assumptions'!$D$16,-SUM('Detailed Project Costs'!$F$35:$F$36)*0.2/'Project Assumptions'!$D$16,0),0)+IF('Project Assumptions'!$D$16=0,IF(CB$5='Project Assumptions'!$D$15,-SUM('Detailed Project Costs'!$F$35:$F$36)*0.2,0),0)</f>
        <v/>
      </c>
      <c r="CB61" s="890">
        <f>IF('Project Assumptions'!$D$16=0,IF(CC$5='Project Assumptions'!$D$15,-SUM('Detailed Project Costs'!$F$35:$F$36)*0.8,0),IF(CC$5='Project Assumptions'!$D$15+1,-SUM('Detailed Project Costs'!$F$35:$F$36)*0.8,0))+IF(CC$5&gt;'Project Assumptions'!$D$15,IF(CC$5&lt;='Project Assumptions'!$D$15+'Project Assumptions'!$D$16,-SUM('Detailed Project Costs'!$F$35:$F$36)*0.2/'Project Assumptions'!$D$16,0),0)+IF('Project Assumptions'!$D$16=0,IF(CC$5='Project Assumptions'!$D$15,-SUM('Detailed Project Costs'!$F$35:$F$36)*0.2,0),0)</f>
        <v/>
      </c>
      <c r="CC61" s="890">
        <f>IF('Project Assumptions'!$D$16=0,IF(CD$5='Project Assumptions'!$D$15,-SUM('Detailed Project Costs'!$F$35:$F$36)*0.8,0),IF(CD$5='Project Assumptions'!$D$15+1,-SUM('Detailed Project Costs'!$F$35:$F$36)*0.8,0))+IF(CD$5&gt;'Project Assumptions'!$D$15,IF(CD$5&lt;='Project Assumptions'!$D$15+'Project Assumptions'!$D$16,-SUM('Detailed Project Costs'!$F$35:$F$36)*0.2/'Project Assumptions'!$D$16,0),0)+IF('Project Assumptions'!$D$16=0,IF(CD$5='Project Assumptions'!$D$15,-SUM('Detailed Project Costs'!$F$35:$F$36)*0.2,0),0)</f>
        <v/>
      </c>
      <c r="CD61" s="890">
        <f>IF('Project Assumptions'!$D$16=0,IF(CE$5='Project Assumptions'!$D$15,-SUM('Detailed Project Costs'!$F$35:$F$36)*0.8,0),IF(CE$5='Project Assumptions'!$D$15+1,-SUM('Detailed Project Costs'!$F$35:$F$36)*0.8,0))+IF(CE$5&gt;'Project Assumptions'!$D$15,IF(CE$5&lt;='Project Assumptions'!$D$15+'Project Assumptions'!$D$16,-SUM('Detailed Project Costs'!$F$35:$F$36)*0.2/'Project Assumptions'!$D$16,0),0)+IF('Project Assumptions'!$D$16=0,IF(CE$5='Project Assumptions'!$D$15,-SUM('Detailed Project Costs'!$F$35:$F$36)*0.2,0),0)</f>
        <v/>
      </c>
      <c r="CE61" s="890">
        <f>IF('Project Assumptions'!$D$16=0,IF(CF$5='Project Assumptions'!$D$15,-SUM('Detailed Project Costs'!$F$35:$F$36)*0.8,0),IF(CF$5='Project Assumptions'!$D$15+1,-SUM('Detailed Project Costs'!$F$35:$F$36)*0.8,0))+IF(CF$5&gt;'Project Assumptions'!$D$15,IF(CF$5&lt;='Project Assumptions'!$D$15+'Project Assumptions'!$D$16,-SUM('Detailed Project Costs'!$F$35:$F$36)*0.2/'Project Assumptions'!$D$16,0),0)+IF('Project Assumptions'!$D$16=0,IF(CF$5='Project Assumptions'!$D$15,-SUM('Detailed Project Costs'!$F$35:$F$36)*0.2,0),0)</f>
        <v/>
      </c>
      <c r="CF61" s="890">
        <f>IF('Project Assumptions'!$D$16=0,IF(CG$5='Project Assumptions'!$D$15,-SUM('Detailed Project Costs'!$F$35:$F$36)*0.8,0),IF(CG$5='Project Assumptions'!$D$15+1,-SUM('Detailed Project Costs'!$F$35:$F$36)*0.8,0))+IF(CG$5&gt;'Project Assumptions'!$D$15,IF(CG$5&lt;='Project Assumptions'!$D$15+'Project Assumptions'!$D$16,-SUM('Detailed Project Costs'!$F$35:$F$36)*0.2/'Project Assumptions'!$D$16,0),0)+IF('Project Assumptions'!$D$16=0,IF(CG$5='Project Assumptions'!$D$15,-SUM('Detailed Project Costs'!$F$35:$F$36)*0.2,0),0)</f>
        <v/>
      </c>
      <c r="CG61" s="890">
        <f>IF('Project Assumptions'!$D$16=0,IF(CH$5='Project Assumptions'!$D$15,-SUM('Detailed Project Costs'!$F$35:$F$36)*0.8,0),IF(CH$5='Project Assumptions'!$D$15+1,-SUM('Detailed Project Costs'!$F$35:$F$36)*0.8,0))+IF(CH$5&gt;'Project Assumptions'!$D$15,IF(CH$5&lt;='Project Assumptions'!$D$15+'Project Assumptions'!$D$16,-SUM('Detailed Project Costs'!$F$35:$F$36)*0.2/'Project Assumptions'!$D$16,0),0)+IF('Project Assumptions'!$D$16=0,IF(CH$5='Project Assumptions'!$D$15,-SUM('Detailed Project Costs'!$F$35:$F$36)*0.2,0),0)</f>
        <v/>
      </c>
      <c r="CH61" s="890">
        <f>IF('Project Assumptions'!$D$16=0,IF(CI$5='Project Assumptions'!$D$15,-SUM('Detailed Project Costs'!$F$35:$F$36)*0.8,0),IF(CI$5='Project Assumptions'!$D$15+1,-SUM('Detailed Project Costs'!$F$35:$F$36)*0.8,0))+IF(CI$5&gt;'Project Assumptions'!$D$15,IF(CI$5&lt;='Project Assumptions'!$D$15+'Project Assumptions'!$D$16,-SUM('Detailed Project Costs'!$F$35:$F$36)*0.2/'Project Assumptions'!$D$16,0),0)+IF('Project Assumptions'!$D$16=0,IF(CI$5='Project Assumptions'!$D$15,-SUM('Detailed Project Costs'!$F$35:$F$36)*0.2,0),0)</f>
        <v/>
      </c>
      <c r="CI61" s="890">
        <f>IF('Project Assumptions'!$D$16=0,IF(CJ$5='Project Assumptions'!$D$15,-SUM('Detailed Project Costs'!$F$35:$F$36)*0.8,0),IF(CJ$5='Project Assumptions'!$D$15+1,-SUM('Detailed Project Costs'!$F$35:$F$36)*0.8,0))+IF(CJ$5&gt;'Project Assumptions'!$D$15,IF(CJ$5&lt;='Project Assumptions'!$D$15+'Project Assumptions'!$D$16,-SUM('Detailed Project Costs'!$F$35:$F$36)*0.2/'Project Assumptions'!$D$16,0),0)+IF('Project Assumptions'!$D$16=0,IF(CJ$5='Project Assumptions'!$D$15,-SUM('Detailed Project Costs'!$F$35:$F$36)*0.2,0),0)</f>
        <v/>
      </c>
      <c r="CJ61" s="890">
        <f>IF('Project Assumptions'!$D$16=0,IF(CK$5='Project Assumptions'!$D$15,-SUM('Detailed Project Costs'!$F$35:$F$36)*0.8,0),IF(CK$5='Project Assumptions'!$D$15+1,-SUM('Detailed Project Costs'!$F$35:$F$36)*0.8,0))+IF(CK$5&gt;'Project Assumptions'!$D$15,IF(CK$5&lt;='Project Assumptions'!$D$15+'Project Assumptions'!$D$16,-SUM('Detailed Project Costs'!$F$35:$F$36)*0.2/'Project Assumptions'!$D$16,0),0)+IF('Project Assumptions'!$D$16=0,IF(CK$5='Project Assumptions'!$D$15,-SUM('Detailed Project Costs'!$F$35:$F$36)*0.2,0),0)</f>
        <v/>
      </c>
      <c r="CK61" s="890">
        <f>IF('Project Assumptions'!$D$16=0,IF(CL$5='Project Assumptions'!$D$15,-SUM('Detailed Project Costs'!$F$35:$F$36)*0.8,0),IF(CL$5='Project Assumptions'!$D$15+1,-SUM('Detailed Project Costs'!$F$35:$F$36)*0.8,0))+IF(CL$5&gt;'Project Assumptions'!$D$15,IF(CL$5&lt;='Project Assumptions'!$D$15+'Project Assumptions'!$D$16,-SUM('Detailed Project Costs'!$F$35:$F$36)*0.2/'Project Assumptions'!$D$16,0),0)+IF('Project Assumptions'!$D$16=0,IF(CL$5='Project Assumptions'!$D$15,-SUM('Detailed Project Costs'!$F$35:$F$36)*0.2,0),0)</f>
        <v/>
      </c>
      <c r="CL61" s="890">
        <f>IF('Project Assumptions'!$D$16=0,IF(CM$5='Project Assumptions'!$D$15,-SUM('Detailed Project Costs'!$F$35:$F$36)*0.8,0),IF(CM$5='Project Assumptions'!$D$15+1,-SUM('Detailed Project Costs'!$F$35:$F$36)*0.8,0))+IF(CM$5&gt;'Project Assumptions'!$D$15,IF(CM$5&lt;='Project Assumptions'!$D$15+'Project Assumptions'!$D$16,-SUM('Detailed Project Costs'!$F$35:$F$36)*0.2/'Project Assumptions'!$D$16,0),0)+IF('Project Assumptions'!$D$16=0,IF(CM$5='Project Assumptions'!$D$15,-SUM('Detailed Project Costs'!$F$35:$F$36)*0.2,0),0)</f>
        <v/>
      </c>
      <c r="CM61" s="890">
        <f>IF('Project Assumptions'!$D$16=0,IF(CN$5='Project Assumptions'!$D$15,-SUM('Detailed Project Costs'!$F$35:$F$36)*0.8,0),IF(CN$5='Project Assumptions'!$D$15+1,-SUM('Detailed Project Costs'!$F$35:$F$36)*0.8,0))+IF(CN$5&gt;'Project Assumptions'!$D$15,IF(CN$5&lt;='Project Assumptions'!$D$15+'Project Assumptions'!$D$16,-SUM('Detailed Project Costs'!$F$35:$F$36)*0.2/'Project Assumptions'!$D$16,0),0)+IF('Project Assumptions'!$D$16=0,IF(CN$5='Project Assumptions'!$D$15,-SUM('Detailed Project Costs'!$F$35:$F$36)*0.2,0),0)</f>
        <v/>
      </c>
      <c r="CN61" s="890">
        <f>IF('Project Assumptions'!$D$16=0,IF(CO$5='Project Assumptions'!$D$15,-SUM('Detailed Project Costs'!$F$35:$F$36)*0.8,0),IF(CO$5='Project Assumptions'!$D$15+1,-SUM('Detailed Project Costs'!$F$35:$F$36)*0.8,0))+IF(CO$5&gt;'Project Assumptions'!$D$15,IF(CO$5&lt;='Project Assumptions'!$D$15+'Project Assumptions'!$D$16,-SUM('Detailed Project Costs'!$F$35:$F$36)*0.2/'Project Assumptions'!$D$16,0),0)+IF('Project Assumptions'!$D$16=0,IF(CO$5='Project Assumptions'!$D$15,-SUM('Detailed Project Costs'!$F$35:$F$36)*0.2,0),0)</f>
        <v/>
      </c>
      <c r="CO61" s="890">
        <f>IF('Project Assumptions'!$D$16=0,IF(CP$5='Project Assumptions'!$D$15,-SUM('Detailed Project Costs'!$F$35:$F$36)*0.8,0),IF(CP$5='Project Assumptions'!$D$15+1,-SUM('Detailed Project Costs'!$F$35:$F$36)*0.8,0))+IF(CP$5&gt;'Project Assumptions'!$D$15,IF(CP$5&lt;='Project Assumptions'!$D$15+'Project Assumptions'!$D$16,-SUM('Detailed Project Costs'!$F$35:$F$36)*0.2/'Project Assumptions'!$D$16,0),0)+IF('Project Assumptions'!$D$16=0,IF(CP$5='Project Assumptions'!$D$15,-SUM('Detailed Project Costs'!$F$35:$F$36)*0.2,0),0)</f>
        <v/>
      </c>
      <c r="CP61" s="890">
        <f>IF('Project Assumptions'!$D$16=0,IF(CQ$5='Project Assumptions'!$D$15,-SUM('Detailed Project Costs'!$F$35:$F$36)*0.8,0),IF(CQ$5='Project Assumptions'!$D$15+1,-SUM('Detailed Project Costs'!$F$35:$F$36)*0.8,0))+IF(CQ$5&gt;'Project Assumptions'!$D$15,IF(CQ$5&lt;='Project Assumptions'!$D$15+'Project Assumptions'!$D$16,-SUM('Detailed Project Costs'!$F$35:$F$36)*0.2/'Project Assumptions'!$D$16,0),0)+IF('Project Assumptions'!$D$16=0,IF(CQ$5='Project Assumptions'!$D$15,-SUM('Detailed Project Costs'!$F$35:$F$36)*0.2,0),0)</f>
        <v/>
      </c>
      <c r="CQ61" s="890">
        <f>IF('Project Assumptions'!$D$16=0,IF(CR$5='Project Assumptions'!$D$15,-SUM('Detailed Project Costs'!$F$35:$F$36)*0.8,0),IF(CR$5='Project Assumptions'!$D$15+1,-SUM('Detailed Project Costs'!$F$35:$F$36)*0.8,0))+IF(CR$5&gt;'Project Assumptions'!$D$15,IF(CR$5&lt;='Project Assumptions'!$D$15+'Project Assumptions'!$D$16,-SUM('Detailed Project Costs'!$F$35:$F$36)*0.2/'Project Assumptions'!$D$16,0),0)+IF('Project Assumptions'!$D$16=0,IF(CR$5='Project Assumptions'!$D$15,-SUM('Detailed Project Costs'!$F$35:$F$36)*0.2,0),0)</f>
        <v/>
      </c>
      <c r="CR61" s="890">
        <f>IF('Project Assumptions'!$D$16=0,IF(CS$5='Project Assumptions'!$D$15,-SUM('Detailed Project Costs'!$F$35:$F$36)*0.8,0),IF(CS$5='Project Assumptions'!$D$15+1,-SUM('Detailed Project Costs'!$F$35:$F$36)*0.8,0))+IF(CS$5&gt;'Project Assumptions'!$D$15,IF(CS$5&lt;='Project Assumptions'!$D$15+'Project Assumptions'!$D$16,-SUM('Detailed Project Costs'!$F$35:$F$36)*0.2/'Project Assumptions'!$D$16,0),0)+IF('Project Assumptions'!$D$16=0,IF(CS$5='Project Assumptions'!$D$15,-SUM('Detailed Project Costs'!$F$35:$F$36)*0.2,0),0)</f>
        <v/>
      </c>
      <c r="CS61" s="890">
        <f>IF('Project Assumptions'!$D$16=0,IF(CT$5='Project Assumptions'!$D$15,-SUM('Detailed Project Costs'!$F$35:$F$36)*0.8,0),IF(CT$5='Project Assumptions'!$D$15+1,-SUM('Detailed Project Costs'!$F$35:$F$36)*0.8,0))+IF(CT$5&gt;'Project Assumptions'!$D$15,IF(CT$5&lt;='Project Assumptions'!$D$15+'Project Assumptions'!$D$16,-SUM('Detailed Project Costs'!$F$35:$F$36)*0.2/'Project Assumptions'!$D$16,0),0)+IF('Project Assumptions'!$D$16=0,IF(CT$5='Project Assumptions'!$D$15,-SUM('Detailed Project Costs'!$F$35:$F$36)*0.2,0),0)</f>
        <v/>
      </c>
      <c r="CT61" s="890">
        <f>IF('Project Assumptions'!$D$16=0,IF(CU$5='Project Assumptions'!$D$15,-SUM('Detailed Project Costs'!$F$35:$F$36)*0.8,0),IF(CU$5='Project Assumptions'!$D$15+1,-SUM('Detailed Project Costs'!$F$35:$F$36)*0.8,0))+IF(CU$5&gt;'Project Assumptions'!$D$15,IF(CU$5&lt;='Project Assumptions'!$D$15+'Project Assumptions'!$D$16,-SUM('Detailed Project Costs'!$F$35:$F$36)*0.2/'Project Assumptions'!$D$16,0),0)+IF('Project Assumptions'!$D$16=0,IF(CU$5='Project Assumptions'!$D$15,-SUM('Detailed Project Costs'!$F$35:$F$36)*0.2,0),0)</f>
        <v/>
      </c>
      <c r="CU61" s="890">
        <f>IF('Project Assumptions'!$D$16=0,IF(CV$5='Project Assumptions'!$D$15,-SUM('Detailed Project Costs'!$F$35:$F$36)*0.8,0),IF(CV$5='Project Assumptions'!$D$15+1,-SUM('Detailed Project Costs'!$F$35:$F$36)*0.8,0))+IF(CV$5&gt;'Project Assumptions'!$D$15,IF(CV$5&lt;='Project Assumptions'!$D$15+'Project Assumptions'!$D$16,-SUM('Detailed Project Costs'!$F$35:$F$36)*0.2/'Project Assumptions'!$D$16,0),0)+IF('Project Assumptions'!$D$16=0,IF(CV$5='Project Assumptions'!$D$15,-SUM('Detailed Project Costs'!$F$35:$F$36)*0.2,0),0)</f>
        <v/>
      </c>
      <c r="CV61" s="890">
        <f>IF('Project Assumptions'!$D$16=0,IF(CW$5='Project Assumptions'!$D$15,-SUM('Detailed Project Costs'!$F$35:$F$36)*0.8,0),IF(CW$5='Project Assumptions'!$D$15+1,-SUM('Detailed Project Costs'!$F$35:$F$36)*0.8,0))+IF(CW$5&gt;'Project Assumptions'!$D$15,IF(CW$5&lt;='Project Assumptions'!$D$15+'Project Assumptions'!$D$16,-SUM('Detailed Project Costs'!$F$35:$F$36)*0.2/'Project Assumptions'!$D$16,0),0)+IF('Project Assumptions'!$D$16=0,IF(CW$5='Project Assumptions'!$D$15,-SUM('Detailed Project Costs'!$F$35:$F$36)*0.2,0),0)</f>
        <v/>
      </c>
      <c r="CW61" s="890">
        <f>IF('Project Assumptions'!$D$16=0,IF(CX$5='Project Assumptions'!$D$15,-SUM('Detailed Project Costs'!$F$35:$F$36)*0.8,0),IF(CX$5='Project Assumptions'!$D$15+1,-SUM('Detailed Project Costs'!$F$35:$F$36)*0.8,0))+IF(CX$5&gt;'Project Assumptions'!$D$15,IF(CX$5&lt;='Project Assumptions'!$D$15+'Project Assumptions'!$D$16,-SUM('Detailed Project Costs'!$F$35:$F$36)*0.2/'Project Assumptions'!$D$16,0),0)+IF('Project Assumptions'!$D$16=0,IF(CX$5='Project Assumptions'!$D$15,-SUM('Detailed Project Costs'!$F$35:$F$36)*0.2,0),0)</f>
        <v/>
      </c>
      <c r="CX61" s="890">
        <f>IF('Project Assumptions'!$D$16=0,IF(CY$5='Project Assumptions'!$D$15,-SUM('Detailed Project Costs'!$F$35:$F$36)*0.8,0),IF(CY$5='Project Assumptions'!$D$15+1,-SUM('Detailed Project Costs'!$F$35:$F$36)*0.8,0))+IF(CY$5&gt;'Project Assumptions'!$D$15,IF(CY$5&lt;='Project Assumptions'!$D$15+'Project Assumptions'!$D$16,-SUM('Detailed Project Costs'!$F$35:$F$36)*0.2/'Project Assumptions'!$D$16,0),0)+IF('Project Assumptions'!$D$16=0,IF(CY$5='Project Assumptions'!$D$15,-SUM('Detailed Project Costs'!$F$35:$F$36)*0.2,0),0)</f>
        <v/>
      </c>
      <c r="CY61" s="890">
        <f>IF('Project Assumptions'!$D$16=0,IF(CZ$5='Project Assumptions'!$D$15,-SUM('Detailed Project Costs'!$F$35:$F$36)*0.8,0),IF(CZ$5='Project Assumptions'!$D$15+1,-SUM('Detailed Project Costs'!$F$35:$F$36)*0.8,0))+IF(CZ$5&gt;'Project Assumptions'!$D$15,IF(CZ$5&lt;='Project Assumptions'!$D$15+'Project Assumptions'!$D$16,-SUM('Detailed Project Costs'!$F$35:$F$36)*0.2/'Project Assumptions'!$D$16,0),0)+IF('Project Assumptions'!$D$16=0,IF(CZ$5='Project Assumptions'!$D$15,-SUM('Detailed Project Costs'!$F$35:$F$36)*0.2,0),0)</f>
        <v/>
      </c>
      <c r="CZ61" s="890">
        <f>IF('Project Assumptions'!$D$16=0,IF(DA$5='Project Assumptions'!$D$15,-SUM('Detailed Project Costs'!$F$35:$F$36)*0.8,0),IF(DA$5='Project Assumptions'!$D$15+1,-SUM('Detailed Project Costs'!$F$35:$F$36)*0.8,0))+IF(DA$5&gt;'Project Assumptions'!$D$15,IF(DA$5&lt;='Project Assumptions'!$D$15+'Project Assumptions'!$D$16,-SUM('Detailed Project Costs'!$F$35:$F$36)*0.2/'Project Assumptions'!$D$16,0),0)+IF('Project Assumptions'!$D$16=0,IF(DA$5='Project Assumptions'!$D$15,-SUM('Detailed Project Costs'!$F$35:$F$36)*0.2,0),0)</f>
        <v/>
      </c>
      <c r="DA61" s="890">
        <f>IF('Project Assumptions'!$D$16=0,IF(DB$5='Project Assumptions'!$D$15,-SUM('Detailed Project Costs'!$F$35:$F$36)*0.8,0),IF(DB$5='Project Assumptions'!$D$15+1,-SUM('Detailed Project Costs'!$F$35:$F$36)*0.8,0))+IF(DB$5&gt;'Project Assumptions'!$D$15,IF(DB$5&lt;='Project Assumptions'!$D$15+'Project Assumptions'!$D$16,-SUM('Detailed Project Costs'!$F$35:$F$36)*0.2/'Project Assumptions'!$D$16,0),0)+IF('Project Assumptions'!$D$16=0,IF(DB$5='Project Assumptions'!$D$15,-SUM('Detailed Project Costs'!$F$35:$F$36)*0.2,0),0)</f>
        <v/>
      </c>
      <c r="DB61" s="890">
        <f>IF('Project Assumptions'!$D$16=0,IF(DC$5='Project Assumptions'!$D$15,-SUM('Detailed Project Costs'!$F$35:$F$36)*0.8,0),IF(DC$5='Project Assumptions'!$D$15+1,-SUM('Detailed Project Costs'!$F$35:$F$36)*0.8,0))+IF(DC$5&gt;'Project Assumptions'!$D$15,IF(DC$5&lt;='Project Assumptions'!$D$15+'Project Assumptions'!$D$16,-SUM('Detailed Project Costs'!$F$35:$F$36)*0.2/'Project Assumptions'!$D$16,0),0)+IF('Project Assumptions'!$D$16=0,IF(DC$5='Project Assumptions'!$D$15,-SUM('Detailed Project Costs'!$F$35:$F$36)*0.2,0),0)</f>
        <v/>
      </c>
      <c r="DC61" s="890" t="n"/>
      <c r="DD61" s="297">
        <f>SUM(F61:DB61)</f>
        <v/>
      </c>
    </row>
    <row r="62">
      <c r="A62" s="699" t="inlineStr">
        <is>
          <t>Legal, Marketing, Insurance, Taxes</t>
        </is>
      </c>
      <c r="B62" s="792" t="inlineStr">
        <is>
          <t xml:space="preserve">   Legal - Financing</t>
        </is>
      </c>
      <c r="C62" s="700" t="n"/>
      <c r="D62" s="292">
        <f>DD62</f>
        <v/>
      </c>
      <c r="E62" s="641" t="n"/>
      <c r="F62" s="293">
        <f>IF('Project Assumptions'!$D$16=0,IF(F$5='Project Assumptions'!$D$15,-'Detailed Project Costs'!$F$37,0),IF(F$5='Project Assumptions'!$D$15+1,-'Detailed Project Costs'!$F$37,0))</f>
        <v/>
      </c>
      <c r="G62" s="293">
        <f>IF('Project Assumptions'!$D$16=0,IF(G$5='Project Assumptions'!$D$15,-'Detailed Project Costs'!$F$37,0),IF(G$5='Project Assumptions'!$D$15+1,-'Detailed Project Costs'!$F$37,0))</f>
        <v/>
      </c>
      <c r="H62" s="293">
        <f>IF('Project Assumptions'!$D$16=0,IF(H$5='Project Assumptions'!$D$15,-'Detailed Project Costs'!$F$37,0),IF(H$5='Project Assumptions'!$D$15+1,-'Detailed Project Costs'!$F$37,0))</f>
        <v/>
      </c>
      <c r="I62" s="293">
        <f>IF('Project Assumptions'!$D$16=0,IF(I$5='Project Assumptions'!$D$15,-'Detailed Project Costs'!$F$37,0),IF(I$5='Project Assumptions'!$D$15+1,-'Detailed Project Costs'!$F$37,0))</f>
        <v/>
      </c>
      <c r="J62" s="293">
        <f>IF('Project Assumptions'!$D$16=0,IF(J$5='Project Assumptions'!$D$15,-'Detailed Project Costs'!$F$37,0),IF(J$5='Project Assumptions'!$D$15+1,-'Detailed Project Costs'!$F$37,0))</f>
        <v/>
      </c>
      <c r="K62" s="293">
        <f>IF('Project Assumptions'!$D$16=0,IF(K$5='Project Assumptions'!$D$15,-'Detailed Project Costs'!$F$37,0),IF(K$5='Project Assumptions'!$D$15+1,-'Detailed Project Costs'!$F$37,0))</f>
        <v/>
      </c>
      <c r="L62" s="293">
        <f>IF('Project Assumptions'!$D$16=0,IF(L$5='Project Assumptions'!$D$15,-'Detailed Project Costs'!$F$37,0),IF(L$5='Project Assumptions'!$D$15+1,-'Detailed Project Costs'!$F$37,0))</f>
        <v/>
      </c>
      <c r="M62" s="293">
        <f>IF('Project Assumptions'!$D$16=0,IF(M$5='Project Assumptions'!$D$15,-'Detailed Project Costs'!$F$37,0),IF(M$5='Project Assumptions'!$D$15+1,-'Detailed Project Costs'!$F$37,0))</f>
        <v/>
      </c>
      <c r="N62" s="293">
        <f>IF('Project Assumptions'!$D$16=0,IF(N$5='Project Assumptions'!$D$15,-'Detailed Project Costs'!$F$37,0),IF(N$5='Project Assumptions'!$D$15+1,-'Detailed Project Costs'!$F$37,0))</f>
        <v/>
      </c>
      <c r="O62" s="293">
        <f>IF('Project Assumptions'!$D$16=0,IF(O$5='Project Assumptions'!$D$15,-'Detailed Project Costs'!$F$37,0),IF(O$5='Project Assumptions'!$D$15+1,-'Detailed Project Costs'!$F$37,0))</f>
        <v/>
      </c>
      <c r="P62" s="293">
        <f>IF('Project Assumptions'!$D$16=0,IF(P$5='Project Assumptions'!$D$15,-'Detailed Project Costs'!$F$37,0),IF(P$5='Project Assumptions'!$D$15+1,-'Detailed Project Costs'!$F$37,0))</f>
        <v/>
      </c>
      <c r="Q62" s="293">
        <f>IF('Project Assumptions'!$D$16=0,IF(Q$5='Project Assumptions'!$D$15,-'Detailed Project Costs'!$F$37,0),IF(Q$5='Project Assumptions'!$D$15+1,-'Detailed Project Costs'!$F$37,0))</f>
        <v/>
      </c>
      <c r="R62" s="293">
        <f>IF('Project Assumptions'!$D$16=0,IF(R$5='Project Assumptions'!$D$15,-'Detailed Project Costs'!$F$37,0),IF(R$5='Project Assumptions'!$D$15+1,-'Detailed Project Costs'!$F$37,0))</f>
        <v/>
      </c>
      <c r="S62" s="293">
        <f>IF('Project Assumptions'!$D$16=0,IF(S$5='Project Assumptions'!$D$15,-'Detailed Project Costs'!$F$37,0),IF(S$5='Project Assumptions'!$D$15+1,-'Detailed Project Costs'!$F$37,0))</f>
        <v/>
      </c>
      <c r="T62" s="293">
        <f>IF('Project Assumptions'!$D$16=0,IF(T$5='Project Assumptions'!$D$15,-'Detailed Project Costs'!$F$37,0),IF(T$5='Project Assumptions'!$D$15+1,-'Detailed Project Costs'!$F$37,0))</f>
        <v/>
      </c>
      <c r="U62" s="293">
        <f>IF('Project Assumptions'!$D$16=0,IF(U$5='Project Assumptions'!$D$15,-'Detailed Project Costs'!$F$37,0),IF(U$5='Project Assumptions'!$D$15+1,-'Detailed Project Costs'!$F$37,0))</f>
        <v/>
      </c>
      <c r="V62" s="293">
        <f>IF('Project Assumptions'!$D$16=0,IF(V$5='Project Assumptions'!$D$15,-'Detailed Project Costs'!$F$37,0),IF(V$5='Project Assumptions'!$D$15+1,-'Detailed Project Costs'!$F$37,0))</f>
        <v/>
      </c>
      <c r="W62" s="293">
        <f>IF('Project Assumptions'!$D$16=0,IF(W$5='Project Assumptions'!$D$15,-'Detailed Project Costs'!$F$37,0),IF(W$5='Project Assumptions'!$D$15+1,-'Detailed Project Costs'!$F$37,0))</f>
        <v/>
      </c>
      <c r="X62" s="293">
        <f>IF('Project Assumptions'!$D$16=0,IF(X$5='Project Assumptions'!$D$15,-'Detailed Project Costs'!$F$37,0),IF(X$5='Project Assumptions'!$D$15+1,-'Detailed Project Costs'!$F$37,0))</f>
        <v/>
      </c>
      <c r="Y62" s="293">
        <f>IF('Project Assumptions'!$D$16=0,IF(Y$5='Project Assumptions'!$D$15,-'Detailed Project Costs'!$F$37,0),IF(Y$5='Project Assumptions'!$D$15+1,-'Detailed Project Costs'!$F$37,0))</f>
        <v/>
      </c>
      <c r="Z62" s="293">
        <f>IF('Project Assumptions'!$D$16=0,IF(Z$5='Project Assumptions'!$D$15,-'Detailed Project Costs'!$F$37,0),IF(Z$5='Project Assumptions'!$D$15+1,-'Detailed Project Costs'!$F$37,0))</f>
        <v/>
      </c>
      <c r="AA62" s="293">
        <f>IF('Project Assumptions'!$D$16=0,IF(AA$5='Project Assumptions'!$D$15,-'Detailed Project Costs'!$F$37,0),IF(AA$5='Project Assumptions'!$D$15+1,-'Detailed Project Costs'!$F$37,0))</f>
        <v/>
      </c>
      <c r="AB62" s="293">
        <f>IF('Project Assumptions'!$D$16=0,IF(AB$5='Project Assumptions'!$D$15,-'Detailed Project Costs'!$F$37,0),IF(AB$5='Project Assumptions'!$D$15+1,-'Detailed Project Costs'!$F$37,0))</f>
        <v/>
      </c>
      <c r="AC62" s="293">
        <f>IF('Project Assumptions'!$D$16=0,IF(AC$5='Project Assumptions'!$D$15,-'Detailed Project Costs'!$F$37,0),IF(AC$5='Project Assumptions'!$D$15+1,-'Detailed Project Costs'!$F$37,0))</f>
        <v/>
      </c>
      <c r="AD62" s="293">
        <f>IF('Project Assumptions'!$D$16=0,IF(AD$5='Project Assumptions'!$D$15,-'Detailed Project Costs'!$F$37,0),IF(AD$5='Project Assumptions'!$D$15+1,-'Detailed Project Costs'!$F$37,0))</f>
        <v/>
      </c>
      <c r="AE62" s="293">
        <f>IF('Project Assumptions'!$D$16=0,IF(AE$5='Project Assumptions'!$D$15,-'Detailed Project Costs'!$F$37,0),IF(AE$5='Project Assumptions'!$D$15+1,-'Detailed Project Costs'!$F$37,0))</f>
        <v/>
      </c>
      <c r="AF62" s="293">
        <f>IF('Project Assumptions'!$D$16=0,IF(AF$5='Project Assumptions'!$D$15,-'Detailed Project Costs'!$F$37,0),IF(AF$5='Project Assumptions'!$D$15+1,-'Detailed Project Costs'!$F$37,0))</f>
        <v/>
      </c>
      <c r="AG62" s="293">
        <f>IF('Project Assumptions'!$D$16=0,IF(AG$5='Project Assumptions'!$D$15,-'Detailed Project Costs'!$F$37,0),IF(AG$5='Project Assumptions'!$D$15+1,-'Detailed Project Costs'!$F$37,0))</f>
        <v/>
      </c>
      <c r="AH62" s="293">
        <f>IF('Project Assumptions'!$D$16=0,IF(AH$5='Project Assumptions'!$D$15,-'Detailed Project Costs'!$F$37,0),IF(AH$5='Project Assumptions'!$D$15+1,-'Detailed Project Costs'!$F$37,0))</f>
        <v/>
      </c>
      <c r="AI62" s="293">
        <f>IF('Project Assumptions'!$D$16=0,IF(AI$5='Project Assumptions'!$D$15,-'Detailed Project Costs'!$F$37,0),IF(AI$5='Project Assumptions'!$D$15+1,-'Detailed Project Costs'!$F$37,0))</f>
        <v/>
      </c>
      <c r="AJ62" s="293">
        <f>IF('Project Assumptions'!$D$16=0,IF(AJ$5='Project Assumptions'!$D$15,-'Detailed Project Costs'!$F$37,0),IF(AJ$5='Project Assumptions'!$D$15+1,-'Detailed Project Costs'!$F$37,0))</f>
        <v/>
      </c>
      <c r="AK62" s="293">
        <f>IF('Project Assumptions'!$D$16=0,IF(AK$5='Project Assumptions'!$D$15,-'Detailed Project Costs'!$F$37,0),IF(AK$5='Project Assumptions'!$D$15+1,-'Detailed Project Costs'!$F$37,0))</f>
        <v/>
      </c>
      <c r="AL62" s="293">
        <f>IF('Project Assumptions'!$D$16=0,IF(AL$5='Project Assumptions'!$D$15,-'Detailed Project Costs'!$F$37,0),IF(AL$5='Project Assumptions'!$D$15+1,-'Detailed Project Costs'!$F$37,0))</f>
        <v/>
      </c>
      <c r="AM62" s="293">
        <f>IF('Project Assumptions'!$D$16=0,IF(AM$5='Project Assumptions'!$D$15,-'Detailed Project Costs'!$F$37,0),IF(AM$5='Project Assumptions'!$D$15+1,-'Detailed Project Costs'!$F$37,0))</f>
        <v/>
      </c>
      <c r="AN62" s="293">
        <f>IF('Project Assumptions'!$D$16=0,IF(AN$5='Project Assumptions'!$D$15,-'Detailed Project Costs'!$F$37,0),IF(AN$5='Project Assumptions'!$D$15+1,-'Detailed Project Costs'!$F$37,0))</f>
        <v/>
      </c>
      <c r="AO62" s="293">
        <f>IF('Project Assumptions'!$D$16=0,IF(AO$5='Project Assumptions'!$D$15,-'Detailed Project Costs'!$F$37,0),IF(AO$5='Project Assumptions'!$D$15+1,-'Detailed Project Costs'!$F$37,0))</f>
        <v/>
      </c>
      <c r="AP62" s="293">
        <f>IF('Project Assumptions'!$D$16=0,IF(AP$5='Project Assumptions'!$D$15,-'Detailed Project Costs'!$F$37,0),IF(AP$5='Project Assumptions'!$D$15+1,-'Detailed Project Costs'!$F$37,0))</f>
        <v/>
      </c>
      <c r="AQ62" s="293">
        <f>IF('Project Assumptions'!$D$16=0,IF(AQ$5='Project Assumptions'!$D$15,-'Detailed Project Costs'!$F$37,0),IF(AQ$5='Project Assumptions'!$D$15+1,-'Detailed Project Costs'!$F$37,0))</f>
        <v/>
      </c>
      <c r="AR62" s="293">
        <f>IF('Project Assumptions'!$D$16=0,IF(AR$5='Project Assumptions'!$D$15,-'Detailed Project Costs'!$F$37,0),IF(AR$5='Project Assumptions'!$D$15+1,-'Detailed Project Costs'!$F$37,0))</f>
        <v/>
      </c>
      <c r="AS62" s="293">
        <f>IF('Project Assumptions'!$D$16=0,IF(AS$5='Project Assumptions'!$D$15,-'Detailed Project Costs'!$F$37,0),IF(AS$5='Project Assumptions'!$D$15+1,-'Detailed Project Costs'!$F$37,0))</f>
        <v/>
      </c>
      <c r="AT62" s="293">
        <f>IF('Project Assumptions'!$D$16=0,IF(AT$5='Project Assumptions'!$D$15,-'Detailed Project Costs'!$F$37,0),IF(AT$5='Project Assumptions'!$D$15+1,-'Detailed Project Costs'!$F$37,0))</f>
        <v/>
      </c>
      <c r="AU62" s="293">
        <f>IF('Project Assumptions'!$D$16=0,IF(AU$5='Project Assumptions'!$D$15,-'Detailed Project Costs'!$F$37,0),IF(AU$5='Project Assumptions'!$D$15+1,-'Detailed Project Costs'!$F$37,0))</f>
        <v/>
      </c>
      <c r="AV62" s="293">
        <f>IF('Project Assumptions'!$D$16=0,IF(AV$5='Project Assumptions'!$D$15,-'Detailed Project Costs'!$F$37,0),IF(AV$5='Project Assumptions'!$D$15+1,-'Detailed Project Costs'!$F$37,0))</f>
        <v/>
      </c>
      <c r="AW62" s="293">
        <f>IF('Project Assumptions'!$D$16=0,IF(AW$5='Project Assumptions'!$D$15,-'Detailed Project Costs'!$F$37,0),IF(AW$5='Project Assumptions'!$D$15+1,-'Detailed Project Costs'!$F$37,0))</f>
        <v/>
      </c>
      <c r="AX62" s="293">
        <f>IF('Project Assumptions'!$D$16=0,IF(AX$5='Project Assumptions'!$D$15,-'Detailed Project Costs'!$F$37,0),IF(AX$5='Project Assumptions'!$D$15+1,-'Detailed Project Costs'!$F$37,0))</f>
        <v/>
      </c>
      <c r="AY62" s="293">
        <f>IF('Project Assumptions'!$D$16=0,IF(AY$5='Project Assumptions'!$D$15,-'Detailed Project Costs'!$F$37,0),IF(AY$5='Project Assumptions'!$D$15+1,-'Detailed Project Costs'!$F$37,0))</f>
        <v/>
      </c>
      <c r="AZ62" s="293">
        <f>IF('Project Assumptions'!$D$16=0,IF(AZ$5='Project Assumptions'!$D$15,-'Detailed Project Costs'!$F$37,0),IF(AZ$5='Project Assumptions'!$D$15+1,-'Detailed Project Costs'!$F$37,0))</f>
        <v/>
      </c>
      <c r="BA62" s="293">
        <f>IF('Project Assumptions'!$D$16=0,IF(BA$5='Project Assumptions'!$D$15,-'Detailed Project Costs'!$F$37,0),IF(BA$5='Project Assumptions'!$D$15+1,-'Detailed Project Costs'!$F$37,0))</f>
        <v/>
      </c>
      <c r="BB62" s="293">
        <f>IF('Project Assumptions'!$D$16=0,IF(BB$5='Project Assumptions'!$D$15,-'Detailed Project Costs'!$F$37,0),IF(BB$5='Project Assumptions'!$D$15+1,-'Detailed Project Costs'!$F$37,0))</f>
        <v/>
      </c>
      <c r="BC62" s="293">
        <f>IF('Project Assumptions'!$D$16=0,IF(BC$5='Project Assumptions'!$D$15,-'Detailed Project Costs'!$F$37,0),IF(BC$5='Project Assumptions'!$D$15+1,-'Detailed Project Costs'!$F$37,0))</f>
        <v/>
      </c>
      <c r="BD62" s="293">
        <f>IF('Project Assumptions'!$D$16=0,IF(BD$5='Project Assumptions'!$D$15,-'Detailed Project Costs'!$F$37,0),IF(BD$5='Project Assumptions'!$D$15+1,-'Detailed Project Costs'!$F$37,0))</f>
        <v/>
      </c>
      <c r="BE62" s="293">
        <f>IF('Project Assumptions'!$D$16=0,IF(BE$5='Project Assumptions'!$D$15,-'Detailed Project Costs'!$F$37,0),IF(BE$5='Project Assumptions'!$D$15+1,-'Detailed Project Costs'!$F$37,0))</f>
        <v/>
      </c>
      <c r="BF62" s="293">
        <f>IF('Project Assumptions'!$D$16=0,IF(BF$5='Project Assumptions'!$D$15,-'Detailed Project Costs'!$F$37,0),IF(BF$5='Project Assumptions'!$D$15+1,-'Detailed Project Costs'!$F$37,0))</f>
        <v/>
      </c>
      <c r="BG62" s="293">
        <f>IF('Project Assumptions'!$D$16=0,IF(BG$5='Project Assumptions'!$D$15,-'Detailed Project Costs'!$F$37,0),IF(BG$5='Project Assumptions'!$D$15+1,-'Detailed Project Costs'!$F$37,0))</f>
        <v/>
      </c>
      <c r="BH62" s="293">
        <f>IF('Project Assumptions'!$D$16=0,IF(BH$5='Project Assumptions'!$D$15,-'Detailed Project Costs'!$F$37,0),IF(BH$5='Project Assumptions'!$D$15+1,-'Detailed Project Costs'!$F$37,0))</f>
        <v/>
      </c>
      <c r="BI62" s="293">
        <f>IF('Project Assumptions'!$D$16=0,IF(BI$5='Project Assumptions'!$D$15,-'Detailed Project Costs'!$F$37,0),IF(BI$5='Project Assumptions'!$D$15+1,-'Detailed Project Costs'!$F$37,0))</f>
        <v/>
      </c>
      <c r="BJ62" s="293">
        <f>IF('Project Assumptions'!$D$16=0,IF(BJ$5='Project Assumptions'!$D$15,-'Detailed Project Costs'!$F$37,0),IF(BJ$5='Project Assumptions'!$D$15+1,-'Detailed Project Costs'!$F$37,0))</f>
        <v/>
      </c>
      <c r="BK62" s="293">
        <f>IF('Project Assumptions'!$D$16=0,IF(BK$5='Project Assumptions'!$D$15,-'Detailed Project Costs'!$F$37,0),IF(BK$5='Project Assumptions'!$D$15+1,-'Detailed Project Costs'!$F$37,0))</f>
        <v/>
      </c>
      <c r="BL62" s="293">
        <f>IF('Project Assumptions'!$D$16=0,IF(BL$5='Project Assumptions'!$D$15,-'Detailed Project Costs'!$F$37,0),IF(BL$5='Project Assumptions'!$D$15+1,-'Detailed Project Costs'!$F$37,0))</f>
        <v/>
      </c>
      <c r="BM62" s="293">
        <f>IF('Project Assumptions'!$D$16=0,IF(BM$5='Project Assumptions'!$D$15,-'Detailed Project Costs'!$F$37,0),IF(BM$5='Project Assumptions'!$D$15+1,-'Detailed Project Costs'!$F$37,0))</f>
        <v/>
      </c>
      <c r="BN62" s="293">
        <f>IF('Project Assumptions'!$D$16=0,IF(BN$5='Project Assumptions'!$D$15,-'Detailed Project Costs'!$F$37,0),IF(BN$5='Project Assumptions'!$D$15+1,-'Detailed Project Costs'!$F$37,0))</f>
        <v/>
      </c>
      <c r="BO62" s="293">
        <f>IF('Project Assumptions'!$D$16=0,IF(BO$5='Project Assumptions'!$D$15,-'Detailed Project Costs'!$F$37,0),IF(BO$5='Project Assumptions'!$D$15+1,-'Detailed Project Costs'!$F$37,0))</f>
        <v/>
      </c>
      <c r="BP62" s="293">
        <f>IF('Project Assumptions'!$D$16=0,IF(BP$5='Project Assumptions'!$D$15,-'Detailed Project Costs'!$F$37,0),IF(BP$5='Project Assumptions'!$D$15+1,-'Detailed Project Costs'!$F$37,0))</f>
        <v/>
      </c>
      <c r="BQ62" s="293">
        <f>IF('Project Assumptions'!$D$16=0,IF(BQ$5='Project Assumptions'!$D$15,-'Detailed Project Costs'!$F$37,0),IF(BQ$5='Project Assumptions'!$D$15+1,-'Detailed Project Costs'!$F$37,0))</f>
        <v/>
      </c>
      <c r="BR62" s="293">
        <f>IF('Project Assumptions'!$D$16=0,IF(BR$5='Project Assumptions'!$D$15,-'Detailed Project Costs'!$F$37,0),IF(BR$5='Project Assumptions'!$D$15+1,-'Detailed Project Costs'!$F$37,0))</f>
        <v/>
      </c>
      <c r="BS62" s="293">
        <f>IF('Project Assumptions'!$D$16=0,IF(BS$5='Project Assumptions'!$D$15,-'Detailed Project Costs'!$F$37,0),IF(BS$5='Project Assumptions'!$D$15+1,-'Detailed Project Costs'!$F$37,0))</f>
        <v/>
      </c>
      <c r="BT62" s="293">
        <f>IF('Project Assumptions'!$D$16=0,IF(BT$5='Project Assumptions'!$D$15,-'Detailed Project Costs'!$F$37,0),IF(BT$5='Project Assumptions'!$D$15+1,-'Detailed Project Costs'!$F$37,0))</f>
        <v/>
      </c>
      <c r="BU62" s="293">
        <f>IF('Project Assumptions'!$D$16=0,IF(BU$5='Project Assumptions'!$D$15,-'Detailed Project Costs'!$F$37,0),IF(BU$5='Project Assumptions'!$D$15+1,-'Detailed Project Costs'!$F$37,0))</f>
        <v/>
      </c>
      <c r="BV62" s="293">
        <f>IF('Project Assumptions'!$D$16=0,IF(BV$5='Project Assumptions'!$D$15,-'Detailed Project Costs'!$F$37,0),IF(BV$5='Project Assumptions'!$D$15+1,-'Detailed Project Costs'!$F$37,0))</f>
        <v/>
      </c>
      <c r="BW62" s="293">
        <f>IF('Project Assumptions'!$D$16=0,IF(BW$5='Project Assumptions'!$D$15,-'Detailed Project Costs'!$F$37,0),IF(BW$5='Project Assumptions'!$D$15+1,-'Detailed Project Costs'!$F$37,0))</f>
        <v/>
      </c>
      <c r="BX62" s="293">
        <f>IF('Project Assumptions'!$D$16=0,IF(BX$5='Project Assumptions'!$D$15,-'Detailed Project Costs'!$F$37,0),IF(BX$5='Project Assumptions'!$D$15+1,-'Detailed Project Costs'!$F$37,0))</f>
        <v/>
      </c>
      <c r="BY62" s="293">
        <f>IF('Project Assumptions'!$D$16=0,IF(BY$5='Project Assumptions'!$D$15,-'Detailed Project Costs'!$F$37,0),IF(BY$5='Project Assumptions'!$D$15+1,-'Detailed Project Costs'!$F$37,0))</f>
        <v/>
      </c>
      <c r="BZ62" s="293">
        <f>IF('Project Assumptions'!$D$16=0,IF(BZ$5='Project Assumptions'!$D$15,-'Detailed Project Costs'!$F$37,0),IF(BZ$5='Project Assumptions'!$D$15+1,-'Detailed Project Costs'!$F$37,0))</f>
        <v/>
      </c>
      <c r="CA62" s="293">
        <f>IF('Project Assumptions'!$D$16=0,IF(CA$5='Project Assumptions'!$D$15,-'Detailed Project Costs'!$F$37,0),IF(CA$5='Project Assumptions'!$D$15+1,-'Detailed Project Costs'!$F$37,0))</f>
        <v/>
      </c>
      <c r="CB62" s="293">
        <f>IF('Project Assumptions'!$D$16=0,IF(CB$5='Project Assumptions'!$D$15,-'Detailed Project Costs'!$F$37,0),IF(CB$5='Project Assumptions'!$D$15+1,-'Detailed Project Costs'!$F$37,0))</f>
        <v/>
      </c>
      <c r="CC62" s="293">
        <f>IF('Project Assumptions'!$D$16=0,IF(CC$5='Project Assumptions'!$D$15,-'Detailed Project Costs'!$F$37,0),IF(CC$5='Project Assumptions'!$D$15+1,-'Detailed Project Costs'!$F$37,0))</f>
        <v/>
      </c>
      <c r="CD62" s="293">
        <f>IF('Project Assumptions'!$D$16=0,IF(CD$5='Project Assumptions'!$D$15,-'Detailed Project Costs'!$F$37,0),IF(CD$5='Project Assumptions'!$D$15+1,-'Detailed Project Costs'!$F$37,0))</f>
        <v/>
      </c>
      <c r="CE62" s="293">
        <f>IF('Project Assumptions'!$D$16=0,IF(CE$5='Project Assumptions'!$D$15,-'Detailed Project Costs'!$F$37,0),IF(CE$5='Project Assumptions'!$D$15+1,-'Detailed Project Costs'!$F$37,0))</f>
        <v/>
      </c>
      <c r="CF62" s="293">
        <f>IF('Project Assumptions'!$D$16=0,IF(CF$5='Project Assumptions'!$D$15,-'Detailed Project Costs'!$F$37,0),IF(CF$5='Project Assumptions'!$D$15+1,-'Detailed Project Costs'!$F$37,0))</f>
        <v/>
      </c>
      <c r="CG62" s="293">
        <f>IF('Project Assumptions'!$D$16=0,IF(CG$5='Project Assumptions'!$D$15,-'Detailed Project Costs'!$F$37,0),IF(CG$5='Project Assumptions'!$D$15+1,-'Detailed Project Costs'!$F$37,0))</f>
        <v/>
      </c>
      <c r="CH62" s="293">
        <f>IF('Project Assumptions'!$D$16=0,IF(CH$5='Project Assumptions'!$D$15,-'Detailed Project Costs'!$F$37,0),IF(CH$5='Project Assumptions'!$D$15+1,-'Detailed Project Costs'!$F$37,0))</f>
        <v/>
      </c>
      <c r="CI62" s="293">
        <f>IF('Project Assumptions'!$D$16=0,IF(CI$5='Project Assumptions'!$D$15,-'Detailed Project Costs'!$F$37,0),IF(CI$5='Project Assumptions'!$D$15+1,-'Detailed Project Costs'!$F$37,0))</f>
        <v/>
      </c>
      <c r="CJ62" s="293">
        <f>IF('Project Assumptions'!$D$16=0,IF(CJ$5='Project Assumptions'!$D$15,-'Detailed Project Costs'!$F$37,0),IF(CJ$5='Project Assumptions'!$D$15+1,-'Detailed Project Costs'!$F$37,0))</f>
        <v/>
      </c>
      <c r="CK62" s="293">
        <f>IF('Project Assumptions'!$D$16=0,IF(CK$5='Project Assumptions'!$D$15,-'Detailed Project Costs'!$F$37,0),IF(CK$5='Project Assumptions'!$D$15+1,-'Detailed Project Costs'!$F$37,0))</f>
        <v/>
      </c>
      <c r="CL62" s="293">
        <f>IF('Project Assumptions'!$D$16=0,IF(CL$5='Project Assumptions'!$D$15,-'Detailed Project Costs'!$F$37,0),IF(CL$5='Project Assumptions'!$D$15+1,-'Detailed Project Costs'!$F$37,0))</f>
        <v/>
      </c>
      <c r="CM62" s="293">
        <f>IF('Project Assumptions'!$D$16=0,IF(CM$5='Project Assumptions'!$D$15,-'Detailed Project Costs'!$F$37,0),IF(CM$5='Project Assumptions'!$D$15+1,-'Detailed Project Costs'!$F$37,0))</f>
        <v/>
      </c>
      <c r="CN62" s="293">
        <f>IF('Project Assumptions'!$D$16=0,IF(CN$5='Project Assumptions'!$D$15,-'Detailed Project Costs'!$F$37,0),IF(CN$5='Project Assumptions'!$D$15+1,-'Detailed Project Costs'!$F$37,0))</f>
        <v/>
      </c>
      <c r="CO62" s="293">
        <f>IF('Project Assumptions'!$D$16=0,IF(CO$5='Project Assumptions'!$D$15,-'Detailed Project Costs'!$F$37,0),IF(CO$5='Project Assumptions'!$D$15+1,-'Detailed Project Costs'!$F$37,0))</f>
        <v/>
      </c>
      <c r="CP62" s="293">
        <f>IF('Project Assumptions'!$D$16=0,IF(CP$5='Project Assumptions'!$D$15,-'Detailed Project Costs'!$F$37,0),IF(CP$5='Project Assumptions'!$D$15+1,-'Detailed Project Costs'!$F$37,0))</f>
        <v/>
      </c>
      <c r="CQ62" s="293">
        <f>IF('Project Assumptions'!$D$16=0,IF(CQ$5='Project Assumptions'!$D$15,-'Detailed Project Costs'!$F$37,0),IF(CQ$5='Project Assumptions'!$D$15+1,-'Detailed Project Costs'!$F$37,0))</f>
        <v/>
      </c>
      <c r="CR62" s="293">
        <f>IF('Project Assumptions'!$D$16=0,IF(CR$5='Project Assumptions'!$D$15,-'Detailed Project Costs'!$F$37,0),IF(CR$5='Project Assumptions'!$D$15+1,-'Detailed Project Costs'!$F$37,0))</f>
        <v/>
      </c>
      <c r="CS62" s="293">
        <f>IF('Project Assumptions'!$D$16=0,IF(CS$5='Project Assumptions'!$D$15,-'Detailed Project Costs'!$F$37,0),IF(CS$5='Project Assumptions'!$D$15+1,-'Detailed Project Costs'!$F$37,0))</f>
        <v/>
      </c>
      <c r="CT62" s="293">
        <f>IF('Project Assumptions'!$D$16=0,IF(CT$5='Project Assumptions'!$D$15,-'Detailed Project Costs'!$F$37,0),IF(CT$5='Project Assumptions'!$D$15+1,-'Detailed Project Costs'!$F$37,0))</f>
        <v/>
      </c>
      <c r="CU62" s="293">
        <f>IF('Project Assumptions'!$D$16=0,IF(CU$5='Project Assumptions'!$D$15,-'Detailed Project Costs'!$F$37,0),IF(CU$5='Project Assumptions'!$D$15+1,-'Detailed Project Costs'!$F$37,0))</f>
        <v/>
      </c>
      <c r="CV62" s="293">
        <f>IF('Project Assumptions'!$D$16=0,IF(CV$5='Project Assumptions'!$D$15,-'Detailed Project Costs'!$F$37,0),IF(CV$5='Project Assumptions'!$D$15+1,-'Detailed Project Costs'!$F$37,0))</f>
        <v/>
      </c>
      <c r="CW62" s="293">
        <f>IF('Project Assumptions'!$D$16=0,IF(CW$5='Project Assumptions'!$D$15,-'Detailed Project Costs'!$F$37,0),IF(CW$5='Project Assumptions'!$D$15+1,-'Detailed Project Costs'!$F$37,0))</f>
        <v/>
      </c>
      <c r="CX62" s="293">
        <f>IF('Project Assumptions'!$D$16=0,IF(CX$5='Project Assumptions'!$D$15,-'Detailed Project Costs'!$F$37,0),IF(CX$5='Project Assumptions'!$D$15+1,-'Detailed Project Costs'!$F$37,0))</f>
        <v/>
      </c>
      <c r="CY62" s="293">
        <f>IF('Project Assumptions'!$D$16=0,IF(CY$5='Project Assumptions'!$D$15,-'Detailed Project Costs'!$F$37,0),IF(CY$5='Project Assumptions'!$D$15+1,-'Detailed Project Costs'!$F$37,0))</f>
        <v/>
      </c>
      <c r="CZ62" s="293">
        <f>IF('Project Assumptions'!$D$16=0,IF(CZ$5='Project Assumptions'!$D$15,-'Detailed Project Costs'!$F$37,0),IF(CZ$5='Project Assumptions'!$D$15+1,-'Detailed Project Costs'!$F$37,0))</f>
        <v/>
      </c>
      <c r="DA62" s="293">
        <f>IF('Project Assumptions'!$D$16=0,IF(DA$5='Project Assumptions'!$D$15,-'Detailed Project Costs'!$F$37,0),IF(DA$5='Project Assumptions'!$D$15+1,-'Detailed Project Costs'!$F$37,0))</f>
        <v/>
      </c>
      <c r="DB62" s="293">
        <f>IF('Project Assumptions'!$D$16=0,IF(DB$5='Project Assumptions'!$D$15,-'Detailed Project Costs'!$F$37,0),IF(DB$5='Project Assumptions'!$D$15+1,-'Detailed Project Costs'!$F$37,0))</f>
        <v/>
      </c>
      <c r="DC62" s="293" t="n"/>
      <c r="DD62" s="292">
        <f>SUM(F62:DB62)</f>
        <v/>
      </c>
    </row>
    <row r="63">
      <c r="A63" s="1000" t="n"/>
      <c r="B63" s="703" t="inlineStr">
        <is>
          <t xml:space="preserve">   Legal - Construction Contract Negotiation</t>
        </is>
      </c>
      <c r="C63" s="294" t="n"/>
      <c r="D63" s="295">
        <f>DD63</f>
        <v/>
      </c>
      <c r="E63" s="274" t="n"/>
      <c r="F63" s="273">
        <f>IF('Project Assumptions'!$D$16=0,IF(F$5='Project Assumptions'!$D$15,-'Detailed Project Costs'!$F$38,0),IF(F$5='Project Assumptions'!$D$15+1,-'Detailed Project Costs'!$F$38,0))</f>
        <v/>
      </c>
      <c r="G63" s="273">
        <f>IF('Project Assumptions'!$D$16=0,IF(G$5='Project Assumptions'!$D$15,-'Detailed Project Costs'!$F$38,0),IF(G$5='Project Assumptions'!$D$15+1,-'Detailed Project Costs'!$F$38,0))</f>
        <v/>
      </c>
      <c r="H63" s="273">
        <f>IF('Project Assumptions'!$D$16=0,IF(H$5='Project Assumptions'!$D$15,-'Detailed Project Costs'!$F$38,0),IF(H$5='Project Assumptions'!$D$15+1,-'Detailed Project Costs'!$F$38,0))</f>
        <v/>
      </c>
      <c r="I63" s="273">
        <f>IF('Project Assumptions'!$D$16=0,IF(I$5='Project Assumptions'!$D$15,-'Detailed Project Costs'!$F$38,0),IF(I$5='Project Assumptions'!$D$15+1,-'Detailed Project Costs'!$F$38,0))</f>
        <v/>
      </c>
      <c r="J63" s="273">
        <f>IF('Project Assumptions'!$D$16=0,IF(J$5='Project Assumptions'!$D$15,-'Detailed Project Costs'!$F$38,0),IF(J$5='Project Assumptions'!$D$15+1,-'Detailed Project Costs'!$F$38,0))</f>
        <v/>
      </c>
      <c r="K63" s="273">
        <f>IF('Project Assumptions'!$D$16=0,IF(K$5='Project Assumptions'!$D$15,-'Detailed Project Costs'!$F$38,0),IF(K$5='Project Assumptions'!$D$15+1,-'Detailed Project Costs'!$F$38,0))</f>
        <v/>
      </c>
      <c r="L63" s="273">
        <f>IF('Project Assumptions'!$D$16=0,IF(L$5='Project Assumptions'!$D$15,-'Detailed Project Costs'!$F$38,0),IF(L$5='Project Assumptions'!$D$15+1,-'Detailed Project Costs'!$F$38,0))</f>
        <v/>
      </c>
      <c r="M63" s="273">
        <f>IF('Project Assumptions'!$D$16=0,IF(M$5='Project Assumptions'!$D$15,-'Detailed Project Costs'!$F$38,0),IF(M$5='Project Assumptions'!$D$15+1,-'Detailed Project Costs'!$F$38,0))</f>
        <v/>
      </c>
      <c r="N63" s="273">
        <f>IF('Project Assumptions'!$D$16=0,IF(N$5='Project Assumptions'!$D$15,-'Detailed Project Costs'!$F$38,0),IF(N$5='Project Assumptions'!$D$15+1,-'Detailed Project Costs'!$F$38,0))</f>
        <v/>
      </c>
      <c r="O63" s="273">
        <f>IF('Project Assumptions'!$D$16=0,IF(O$5='Project Assumptions'!$D$15,-'Detailed Project Costs'!$F$38,0),IF(O$5='Project Assumptions'!$D$15+1,-'Detailed Project Costs'!$F$38,0))</f>
        <v/>
      </c>
      <c r="P63" s="273">
        <f>IF('Project Assumptions'!$D$16=0,IF(P$5='Project Assumptions'!$D$15,-'Detailed Project Costs'!$F$38,0),IF(P$5='Project Assumptions'!$D$15+1,-'Detailed Project Costs'!$F$38,0))</f>
        <v/>
      </c>
      <c r="Q63" s="273">
        <f>IF('Project Assumptions'!$D$16=0,IF(Q$5='Project Assumptions'!$D$15,-'Detailed Project Costs'!$F$38,0),IF(Q$5='Project Assumptions'!$D$15+1,-'Detailed Project Costs'!$F$38,0))</f>
        <v/>
      </c>
      <c r="R63" s="273">
        <f>IF('Project Assumptions'!$D$16=0,IF(R$5='Project Assumptions'!$D$15,-'Detailed Project Costs'!$F$38,0),IF(R$5='Project Assumptions'!$D$15+1,-'Detailed Project Costs'!$F$38,0))</f>
        <v/>
      </c>
      <c r="S63" s="273">
        <f>IF('Project Assumptions'!$D$16=0,IF(S$5='Project Assumptions'!$D$15,-'Detailed Project Costs'!$F$38,0),IF(S$5='Project Assumptions'!$D$15+1,-'Detailed Project Costs'!$F$38,0))</f>
        <v/>
      </c>
      <c r="T63" s="273">
        <f>IF('Project Assumptions'!$D$16=0,IF(T$5='Project Assumptions'!$D$15,-'Detailed Project Costs'!$F$38,0),IF(T$5='Project Assumptions'!$D$15+1,-'Detailed Project Costs'!$F$38,0))</f>
        <v/>
      </c>
      <c r="U63" s="273">
        <f>IF('Project Assumptions'!$D$16=0,IF(U$5='Project Assumptions'!$D$15,-'Detailed Project Costs'!$F$38,0),IF(U$5='Project Assumptions'!$D$15+1,-'Detailed Project Costs'!$F$38,0))</f>
        <v/>
      </c>
      <c r="V63" s="273">
        <f>IF('Project Assumptions'!$D$16=0,IF(V$5='Project Assumptions'!$D$15,-'Detailed Project Costs'!$F$38,0),IF(V$5='Project Assumptions'!$D$15+1,-'Detailed Project Costs'!$F$38,0))</f>
        <v/>
      </c>
      <c r="W63" s="273">
        <f>IF('Project Assumptions'!$D$16=0,IF(W$5='Project Assumptions'!$D$15,-'Detailed Project Costs'!$F$38,0),IF(W$5='Project Assumptions'!$D$15+1,-'Detailed Project Costs'!$F$38,0))</f>
        <v/>
      </c>
      <c r="X63" s="273">
        <f>IF('Project Assumptions'!$D$16=0,IF(X$5='Project Assumptions'!$D$15,-'Detailed Project Costs'!$F$38,0),IF(X$5='Project Assumptions'!$D$15+1,-'Detailed Project Costs'!$F$38,0))</f>
        <v/>
      </c>
      <c r="Y63" s="273">
        <f>IF('Project Assumptions'!$D$16=0,IF(Y$5='Project Assumptions'!$D$15,-'Detailed Project Costs'!$F$38,0),IF(Y$5='Project Assumptions'!$D$15+1,-'Detailed Project Costs'!$F$38,0))</f>
        <v/>
      </c>
      <c r="Z63" s="273">
        <f>IF('Project Assumptions'!$D$16=0,IF(Z$5='Project Assumptions'!$D$15,-'Detailed Project Costs'!$F$38,0),IF(Z$5='Project Assumptions'!$D$15+1,-'Detailed Project Costs'!$F$38,0))</f>
        <v/>
      </c>
      <c r="AA63" s="273">
        <f>IF('Project Assumptions'!$D$16=0,IF(AA$5='Project Assumptions'!$D$15,-'Detailed Project Costs'!$F$38,0),IF(AA$5='Project Assumptions'!$D$15+1,-'Detailed Project Costs'!$F$38,0))</f>
        <v/>
      </c>
      <c r="AB63" s="273">
        <f>IF('Project Assumptions'!$D$16=0,IF(AB$5='Project Assumptions'!$D$15,-'Detailed Project Costs'!$F$38,0),IF(AB$5='Project Assumptions'!$D$15+1,-'Detailed Project Costs'!$F$38,0))</f>
        <v/>
      </c>
      <c r="AC63" s="273">
        <f>IF('Project Assumptions'!$D$16=0,IF(AC$5='Project Assumptions'!$D$15,-'Detailed Project Costs'!$F$38,0),IF(AC$5='Project Assumptions'!$D$15+1,-'Detailed Project Costs'!$F$38,0))</f>
        <v/>
      </c>
      <c r="AD63" s="273">
        <f>IF('Project Assumptions'!$D$16=0,IF(AD$5='Project Assumptions'!$D$15,-'Detailed Project Costs'!$F$38,0),IF(AD$5='Project Assumptions'!$D$15+1,-'Detailed Project Costs'!$F$38,0))</f>
        <v/>
      </c>
      <c r="AE63" s="273">
        <f>IF('Project Assumptions'!$D$16=0,IF(AE$5='Project Assumptions'!$D$15,-'Detailed Project Costs'!$F$38,0),IF(AE$5='Project Assumptions'!$D$15+1,-'Detailed Project Costs'!$F$38,0))</f>
        <v/>
      </c>
      <c r="AF63" s="273">
        <f>IF('Project Assumptions'!$D$16=0,IF(AF$5='Project Assumptions'!$D$15,-'Detailed Project Costs'!$F$38,0),IF(AF$5='Project Assumptions'!$D$15+1,-'Detailed Project Costs'!$F$38,0))</f>
        <v/>
      </c>
      <c r="AG63" s="273">
        <f>IF('Project Assumptions'!$D$16=0,IF(AG$5='Project Assumptions'!$D$15,-'Detailed Project Costs'!$F$38,0),IF(AG$5='Project Assumptions'!$D$15+1,-'Detailed Project Costs'!$F$38,0))</f>
        <v/>
      </c>
      <c r="AH63" s="273">
        <f>IF('Project Assumptions'!$D$16=0,IF(AH$5='Project Assumptions'!$D$15,-'Detailed Project Costs'!$F$38,0),IF(AH$5='Project Assumptions'!$D$15+1,-'Detailed Project Costs'!$F$38,0))</f>
        <v/>
      </c>
      <c r="AI63" s="273">
        <f>IF('Project Assumptions'!$D$16=0,IF(AI$5='Project Assumptions'!$D$15,-'Detailed Project Costs'!$F$38,0),IF(AI$5='Project Assumptions'!$D$15+1,-'Detailed Project Costs'!$F$38,0))</f>
        <v/>
      </c>
      <c r="AJ63" s="273">
        <f>IF('Project Assumptions'!$D$16=0,IF(AJ$5='Project Assumptions'!$D$15,-'Detailed Project Costs'!$F$38,0),IF(AJ$5='Project Assumptions'!$D$15+1,-'Detailed Project Costs'!$F$38,0))</f>
        <v/>
      </c>
      <c r="AK63" s="273">
        <f>IF('Project Assumptions'!$D$16=0,IF(AK$5='Project Assumptions'!$D$15,-'Detailed Project Costs'!$F$38,0),IF(AK$5='Project Assumptions'!$D$15+1,-'Detailed Project Costs'!$F$38,0))</f>
        <v/>
      </c>
      <c r="AL63" s="273">
        <f>IF('Project Assumptions'!$D$16=0,IF(AL$5='Project Assumptions'!$D$15,-'Detailed Project Costs'!$F$38,0),IF(AL$5='Project Assumptions'!$D$15+1,-'Detailed Project Costs'!$F$38,0))</f>
        <v/>
      </c>
      <c r="AM63" s="273">
        <f>IF('Project Assumptions'!$D$16=0,IF(AM$5='Project Assumptions'!$D$15,-'Detailed Project Costs'!$F$38,0),IF(AM$5='Project Assumptions'!$D$15+1,-'Detailed Project Costs'!$F$38,0))</f>
        <v/>
      </c>
      <c r="AN63" s="273">
        <f>IF('Project Assumptions'!$D$16=0,IF(AN$5='Project Assumptions'!$D$15,-'Detailed Project Costs'!$F$38,0),IF(AN$5='Project Assumptions'!$D$15+1,-'Detailed Project Costs'!$F$38,0))</f>
        <v/>
      </c>
      <c r="AO63" s="273">
        <f>IF('Project Assumptions'!$D$16=0,IF(AO$5='Project Assumptions'!$D$15,-'Detailed Project Costs'!$F$38,0),IF(AO$5='Project Assumptions'!$D$15+1,-'Detailed Project Costs'!$F$38,0))</f>
        <v/>
      </c>
      <c r="AP63" s="273">
        <f>IF('Project Assumptions'!$D$16=0,IF(AP$5='Project Assumptions'!$D$15,-'Detailed Project Costs'!$F$38,0),IF(AP$5='Project Assumptions'!$D$15+1,-'Detailed Project Costs'!$F$38,0))</f>
        <v/>
      </c>
      <c r="AQ63" s="273">
        <f>IF('Project Assumptions'!$D$16=0,IF(AQ$5='Project Assumptions'!$D$15,-'Detailed Project Costs'!$F$38,0),IF(AQ$5='Project Assumptions'!$D$15+1,-'Detailed Project Costs'!$F$38,0))</f>
        <v/>
      </c>
      <c r="AR63" s="273">
        <f>IF('Project Assumptions'!$D$16=0,IF(AR$5='Project Assumptions'!$D$15,-'Detailed Project Costs'!$F$38,0),IF(AR$5='Project Assumptions'!$D$15+1,-'Detailed Project Costs'!$F$38,0))</f>
        <v/>
      </c>
      <c r="AS63" s="273">
        <f>IF('Project Assumptions'!$D$16=0,IF(AS$5='Project Assumptions'!$D$15,-'Detailed Project Costs'!$F$38,0),IF(AS$5='Project Assumptions'!$D$15+1,-'Detailed Project Costs'!$F$38,0))</f>
        <v/>
      </c>
      <c r="AT63" s="273">
        <f>IF('Project Assumptions'!$D$16=0,IF(AT$5='Project Assumptions'!$D$15,-'Detailed Project Costs'!$F$38,0),IF(AT$5='Project Assumptions'!$D$15+1,-'Detailed Project Costs'!$F$38,0))</f>
        <v/>
      </c>
      <c r="AU63" s="273">
        <f>IF('Project Assumptions'!$D$16=0,IF(AU$5='Project Assumptions'!$D$15,-'Detailed Project Costs'!$F$38,0),IF(AU$5='Project Assumptions'!$D$15+1,-'Detailed Project Costs'!$F$38,0))</f>
        <v/>
      </c>
      <c r="AV63" s="273">
        <f>IF('Project Assumptions'!$D$16=0,IF(AV$5='Project Assumptions'!$D$15,-'Detailed Project Costs'!$F$38,0),IF(AV$5='Project Assumptions'!$D$15+1,-'Detailed Project Costs'!$F$38,0))</f>
        <v/>
      </c>
      <c r="AW63" s="273">
        <f>IF('Project Assumptions'!$D$16=0,IF(AW$5='Project Assumptions'!$D$15,-'Detailed Project Costs'!$F$38,0),IF(AW$5='Project Assumptions'!$D$15+1,-'Detailed Project Costs'!$F$38,0))</f>
        <v/>
      </c>
      <c r="AX63" s="273">
        <f>IF('Project Assumptions'!$D$16=0,IF(AX$5='Project Assumptions'!$D$15,-'Detailed Project Costs'!$F$38,0),IF(AX$5='Project Assumptions'!$D$15+1,-'Detailed Project Costs'!$F$38,0))</f>
        <v/>
      </c>
      <c r="AY63" s="273">
        <f>IF('Project Assumptions'!$D$16=0,IF(AY$5='Project Assumptions'!$D$15,-'Detailed Project Costs'!$F$38,0),IF(AY$5='Project Assumptions'!$D$15+1,-'Detailed Project Costs'!$F$38,0))</f>
        <v/>
      </c>
      <c r="AZ63" s="273">
        <f>IF('Project Assumptions'!$D$16=0,IF(AZ$5='Project Assumptions'!$D$15,-'Detailed Project Costs'!$F$38,0),IF(AZ$5='Project Assumptions'!$D$15+1,-'Detailed Project Costs'!$F$38,0))</f>
        <v/>
      </c>
      <c r="BA63" s="273">
        <f>IF('Project Assumptions'!$D$16=0,IF(BA$5='Project Assumptions'!$D$15,-'Detailed Project Costs'!$F$38,0),IF(BA$5='Project Assumptions'!$D$15+1,-'Detailed Project Costs'!$F$38,0))</f>
        <v/>
      </c>
      <c r="BB63" s="273">
        <f>IF('Project Assumptions'!$D$16=0,IF(BB$5='Project Assumptions'!$D$15,-'Detailed Project Costs'!$F$38,0),IF(BB$5='Project Assumptions'!$D$15+1,-'Detailed Project Costs'!$F$38,0))</f>
        <v/>
      </c>
      <c r="BC63" s="273">
        <f>IF('Project Assumptions'!$D$16=0,IF(BC$5='Project Assumptions'!$D$15,-'Detailed Project Costs'!$F$38,0),IF(BC$5='Project Assumptions'!$D$15+1,-'Detailed Project Costs'!$F$38,0))</f>
        <v/>
      </c>
      <c r="BD63" s="273">
        <f>IF('Project Assumptions'!$D$16=0,IF(BD$5='Project Assumptions'!$D$15,-'Detailed Project Costs'!$F$38,0),IF(BD$5='Project Assumptions'!$D$15+1,-'Detailed Project Costs'!$F$38,0))</f>
        <v/>
      </c>
      <c r="BE63" s="273">
        <f>IF('Project Assumptions'!$D$16=0,IF(BE$5='Project Assumptions'!$D$15,-'Detailed Project Costs'!$F$38,0),IF(BE$5='Project Assumptions'!$D$15+1,-'Detailed Project Costs'!$F$38,0))</f>
        <v/>
      </c>
      <c r="BF63" s="273">
        <f>IF('Project Assumptions'!$D$16=0,IF(BF$5='Project Assumptions'!$D$15,-'Detailed Project Costs'!$F$38,0),IF(BF$5='Project Assumptions'!$D$15+1,-'Detailed Project Costs'!$F$38,0))</f>
        <v/>
      </c>
      <c r="BG63" s="273">
        <f>IF('Project Assumptions'!$D$16=0,IF(BG$5='Project Assumptions'!$D$15,-'Detailed Project Costs'!$F$38,0),IF(BG$5='Project Assumptions'!$D$15+1,-'Detailed Project Costs'!$F$38,0))</f>
        <v/>
      </c>
      <c r="BH63" s="273">
        <f>IF('Project Assumptions'!$D$16=0,IF(BH$5='Project Assumptions'!$D$15,-'Detailed Project Costs'!$F$38,0),IF(BH$5='Project Assumptions'!$D$15+1,-'Detailed Project Costs'!$F$38,0))</f>
        <v/>
      </c>
      <c r="BI63" s="273">
        <f>IF('Project Assumptions'!$D$16=0,IF(BI$5='Project Assumptions'!$D$15,-'Detailed Project Costs'!$F$38,0),IF(BI$5='Project Assumptions'!$D$15+1,-'Detailed Project Costs'!$F$38,0))</f>
        <v/>
      </c>
      <c r="BJ63" s="273">
        <f>IF('Project Assumptions'!$D$16=0,IF(BJ$5='Project Assumptions'!$D$15,-'Detailed Project Costs'!$F$38,0),IF(BJ$5='Project Assumptions'!$D$15+1,-'Detailed Project Costs'!$F$38,0))</f>
        <v/>
      </c>
      <c r="BK63" s="273">
        <f>IF('Project Assumptions'!$D$16=0,IF(BK$5='Project Assumptions'!$D$15,-'Detailed Project Costs'!$F$38,0),IF(BK$5='Project Assumptions'!$D$15+1,-'Detailed Project Costs'!$F$38,0))</f>
        <v/>
      </c>
      <c r="BL63" s="273">
        <f>IF('Project Assumptions'!$D$16=0,IF(BL$5='Project Assumptions'!$D$15,-'Detailed Project Costs'!$F$38,0),IF(BL$5='Project Assumptions'!$D$15+1,-'Detailed Project Costs'!$F$38,0))</f>
        <v/>
      </c>
      <c r="BM63" s="273">
        <f>IF('Project Assumptions'!$D$16=0,IF(BM$5='Project Assumptions'!$D$15,-'Detailed Project Costs'!$F$38,0),IF(BM$5='Project Assumptions'!$D$15+1,-'Detailed Project Costs'!$F$38,0))</f>
        <v/>
      </c>
      <c r="BN63" s="273">
        <f>IF('Project Assumptions'!$D$16=0,IF(BN$5='Project Assumptions'!$D$15,-'Detailed Project Costs'!$F$38,0),IF(BN$5='Project Assumptions'!$D$15+1,-'Detailed Project Costs'!$F$38,0))</f>
        <v/>
      </c>
      <c r="BO63" s="273">
        <f>IF('Project Assumptions'!$D$16=0,IF(BO$5='Project Assumptions'!$D$15,-'Detailed Project Costs'!$F$38,0),IF(BO$5='Project Assumptions'!$D$15+1,-'Detailed Project Costs'!$F$38,0))</f>
        <v/>
      </c>
      <c r="BP63" s="273">
        <f>IF('Project Assumptions'!$D$16=0,IF(BP$5='Project Assumptions'!$D$15,-'Detailed Project Costs'!$F$38,0),IF(BP$5='Project Assumptions'!$D$15+1,-'Detailed Project Costs'!$F$38,0))</f>
        <v/>
      </c>
      <c r="BQ63" s="273">
        <f>IF('Project Assumptions'!$D$16=0,IF(BQ$5='Project Assumptions'!$D$15,-'Detailed Project Costs'!$F$38,0),IF(BQ$5='Project Assumptions'!$D$15+1,-'Detailed Project Costs'!$F$38,0))</f>
        <v/>
      </c>
      <c r="BR63" s="273">
        <f>IF('Project Assumptions'!$D$16=0,IF(BR$5='Project Assumptions'!$D$15,-'Detailed Project Costs'!$F$38,0),IF(BR$5='Project Assumptions'!$D$15+1,-'Detailed Project Costs'!$F$38,0))</f>
        <v/>
      </c>
      <c r="BS63" s="273">
        <f>IF('Project Assumptions'!$D$16=0,IF(BS$5='Project Assumptions'!$D$15,-'Detailed Project Costs'!$F$38,0),IF(BS$5='Project Assumptions'!$D$15+1,-'Detailed Project Costs'!$F$38,0))</f>
        <v/>
      </c>
      <c r="BT63" s="273">
        <f>IF('Project Assumptions'!$D$16=0,IF(BT$5='Project Assumptions'!$D$15,-'Detailed Project Costs'!$F$38,0),IF(BT$5='Project Assumptions'!$D$15+1,-'Detailed Project Costs'!$F$38,0))</f>
        <v/>
      </c>
      <c r="BU63" s="273">
        <f>IF('Project Assumptions'!$D$16=0,IF(BU$5='Project Assumptions'!$D$15,-'Detailed Project Costs'!$F$38,0),IF(BU$5='Project Assumptions'!$D$15+1,-'Detailed Project Costs'!$F$38,0))</f>
        <v/>
      </c>
      <c r="BV63" s="273">
        <f>IF('Project Assumptions'!$D$16=0,IF(BV$5='Project Assumptions'!$D$15,-'Detailed Project Costs'!$F$38,0),IF(BV$5='Project Assumptions'!$D$15+1,-'Detailed Project Costs'!$F$38,0))</f>
        <v/>
      </c>
      <c r="BW63" s="273">
        <f>IF('Project Assumptions'!$D$16=0,IF(BW$5='Project Assumptions'!$D$15,-'Detailed Project Costs'!$F$38,0),IF(BW$5='Project Assumptions'!$D$15+1,-'Detailed Project Costs'!$F$38,0))</f>
        <v/>
      </c>
      <c r="BX63" s="273">
        <f>IF('Project Assumptions'!$D$16=0,IF(BX$5='Project Assumptions'!$D$15,-'Detailed Project Costs'!$F$38,0),IF(BX$5='Project Assumptions'!$D$15+1,-'Detailed Project Costs'!$F$38,0))</f>
        <v/>
      </c>
      <c r="BY63" s="273">
        <f>IF('Project Assumptions'!$D$16=0,IF(BY$5='Project Assumptions'!$D$15,-'Detailed Project Costs'!$F$38,0),IF(BY$5='Project Assumptions'!$D$15+1,-'Detailed Project Costs'!$F$38,0))</f>
        <v/>
      </c>
      <c r="BZ63" s="273">
        <f>IF('Project Assumptions'!$D$16=0,IF(BZ$5='Project Assumptions'!$D$15,-'Detailed Project Costs'!$F$38,0),IF(BZ$5='Project Assumptions'!$D$15+1,-'Detailed Project Costs'!$F$38,0))</f>
        <v/>
      </c>
      <c r="CA63" s="273">
        <f>IF('Project Assumptions'!$D$16=0,IF(CA$5='Project Assumptions'!$D$15,-'Detailed Project Costs'!$F$38,0),IF(CA$5='Project Assumptions'!$D$15+1,-'Detailed Project Costs'!$F$38,0))</f>
        <v/>
      </c>
      <c r="CB63" s="273">
        <f>IF('Project Assumptions'!$D$16=0,IF(CB$5='Project Assumptions'!$D$15,-'Detailed Project Costs'!$F$38,0),IF(CB$5='Project Assumptions'!$D$15+1,-'Detailed Project Costs'!$F$38,0))</f>
        <v/>
      </c>
      <c r="CC63" s="273">
        <f>IF('Project Assumptions'!$D$16=0,IF(CC$5='Project Assumptions'!$D$15,-'Detailed Project Costs'!$F$38,0),IF(CC$5='Project Assumptions'!$D$15+1,-'Detailed Project Costs'!$F$38,0))</f>
        <v/>
      </c>
      <c r="CD63" s="273">
        <f>IF('Project Assumptions'!$D$16=0,IF(CD$5='Project Assumptions'!$D$15,-'Detailed Project Costs'!$F$38,0),IF(CD$5='Project Assumptions'!$D$15+1,-'Detailed Project Costs'!$F$38,0))</f>
        <v/>
      </c>
      <c r="CE63" s="273">
        <f>IF('Project Assumptions'!$D$16=0,IF(CE$5='Project Assumptions'!$D$15,-'Detailed Project Costs'!$F$38,0),IF(CE$5='Project Assumptions'!$D$15+1,-'Detailed Project Costs'!$F$38,0))</f>
        <v/>
      </c>
      <c r="CF63" s="273">
        <f>IF('Project Assumptions'!$D$16=0,IF(CF$5='Project Assumptions'!$D$15,-'Detailed Project Costs'!$F$38,0),IF(CF$5='Project Assumptions'!$D$15+1,-'Detailed Project Costs'!$F$38,0))</f>
        <v/>
      </c>
      <c r="CG63" s="273">
        <f>IF('Project Assumptions'!$D$16=0,IF(CG$5='Project Assumptions'!$D$15,-'Detailed Project Costs'!$F$38,0),IF(CG$5='Project Assumptions'!$D$15+1,-'Detailed Project Costs'!$F$38,0))</f>
        <v/>
      </c>
      <c r="CH63" s="273">
        <f>IF('Project Assumptions'!$D$16=0,IF(CH$5='Project Assumptions'!$D$15,-'Detailed Project Costs'!$F$38,0),IF(CH$5='Project Assumptions'!$D$15+1,-'Detailed Project Costs'!$F$38,0))</f>
        <v/>
      </c>
      <c r="CI63" s="273">
        <f>IF('Project Assumptions'!$D$16=0,IF(CI$5='Project Assumptions'!$D$15,-'Detailed Project Costs'!$F$38,0),IF(CI$5='Project Assumptions'!$D$15+1,-'Detailed Project Costs'!$F$38,0))</f>
        <v/>
      </c>
      <c r="CJ63" s="273">
        <f>IF('Project Assumptions'!$D$16=0,IF(CJ$5='Project Assumptions'!$D$15,-'Detailed Project Costs'!$F$38,0),IF(CJ$5='Project Assumptions'!$D$15+1,-'Detailed Project Costs'!$F$38,0))</f>
        <v/>
      </c>
      <c r="CK63" s="273">
        <f>IF('Project Assumptions'!$D$16=0,IF(CK$5='Project Assumptions'!$D$15,-'Detailed Project Costs'!$F$38,0),IF(CK$5='Project Assumptions'!$D$15+1,-'Detailed Project Costs'!$F$38,0))</f>
        <v/>
      </c>
      <c r="CL63" s="273">
        <f>IF('Project Assumptions'!$D$16=0,IF(CL$5='Project Assumptions'!$D$15,-'Detailed Project Costs'!$F$38,0),IF(CL$5='Project Assumptions'!$D$15+1,-'Detailed Project Costs'!$F$38,0))</f>
        <v/>
      </c>
      <c r="CM63" s="273">
        <f>IF('Project Assumptions'!$D$16=0,IF(CM$5='Project Assumptions'!$D$15,-'Detailed Project Costs'!$F$38,0),IF(CM$5='Project Assumptions'!$D$15+1,-'Detailed Project Costs'!$F$38,0))</f>
        <v/>
      </c>
      <c r="CN63" s="273">
        <f>IF('Project Assumptions'!$D$16=0,IF(CN$5='Project Assumptions'!$D$15,-'Detailed Project Costs'!$F$38,0),IF(CN$5='Project Assumptions'!$D$15+1,-'Detailed Project Costs'!$F$38,0))</f>
        <v/>
      </c>
      <c r="CO63" s="273">
        <f>IF('Project Assumptions'!$D$16=0,IF(CO$5='Project Assumptions'!$D$15,-'Detailed Project Costs'!$F$38,0),IF(CO$5='Project Assumptions'!$D$15+1,-'Detailed Project Costs'!$F$38,0))</f>
        <v/>
      </c>
      <c r="CP63" s="273">
        <f>IF('Project Assumptions'!$D$16=0,IF(CP$5='Project Assumptions'!$D$15,-'Detailed Project Costs'!$F$38,0),IF(CP$5='Project Assumptions'!$D$15+1,-'Detailed Project Costs'!$F$38,0))</f>
        <v/>
      </c>
      <c r="CQ63" s="273">
        <f>IF('Project Assumptions'!$D$16=0,IF(CQ$5='Project Assumptions'!$D$15,-'Detailed Project Costs'!$F$38,0),IF(CQ$5='Project Assumptions'!$D$15+1,-'Detailed Project Costs'!$F$38,0))</f>
        <v/>
      </c>
      <c r="CR63" s="273">
        <f>IF('Project Assumptions'!$D$16=0,IF(CR$5='Project Assumptions'!$D$15,-'Detailed Project Costs'!$F$38,0),IF(CR$5='Project Assumptions'!$D$15+1,-'Detailed Project Costs'!$F$38,0))</f>
        <v/>
      </c>
      <c r="CS63" s="273">
        <f>IF('Project Assumptions'!$D$16=0,IF(CS$5='Project Assumptions'!$D$15,-'Detailed Project Costs'!$F$38,0),IF(CS$5='Project Assumptions'!$D$15+1,-'Detailed Project Costs'!$F$38,0))</f>
        <v/>
      </c>
      <c r="CT63" s="273">
        <f>IF('Project Assumptions'!$D$16=0,IF(CT$5='Project Assumptions'!$D$15,-'Detailed Project Costs'!$F$38,0),IF(CT$5='Project Assumptions'!$D$15+1,-'Detailed Project Costs'!$F$38,0))</f>
        <v/>
      </c>
      <c r="CU63" s="273">
        <f>IF('Project Assumptions'!$D$16=0,IF(CU$5='Project Assumptions'!$D$15,-'Detailed Project Costs'!$F$38,0),IF(CU$5='Project Assumptions'!$D$15+1,-'Detailed Project Costs'!$F$38,0))</f>
        <v/>
      </c>
      <c r="CV63" s="273">
        <f>IF('Project Assumptions'!$D$16=0,IF(CV$5='Project Assumptions'!$D$15,-'Detailed Project Costs'!$F$38,0),IF(CV$5='Project Assumptions'!$D$15+1,-'Detailed Project Costs'!$F$38,0))</f>
        <v/>
      </c>
      <c r="CW63" s="273">
        <f>IF('Project Assumptions'!$D$16=0,IF(CW$5='Project Assumptions'!$D$15,-'Detailed Project Costs'!$F$38,0),IF(CW$5='Project Assumptions'!$D$15+1,-'Detailed Project Costs'!$F$38,0))</f>
        <v/>
      </c>
      <c r="CX63" s="273">
        <f>IF('Project Assumptions'!$D$16=0,IF(CX$5='Project Assumptions'!$D$15,-'Detailed Project Costs'!$F$38,0),IF(CX$5='Project Assumptions'!$D$15+1,-'Detailed Project Costs'!$F$38,0))</f>
        <v/>
      </c>
      <c r="CY63" s="273">
        <f>IF('Project Assumptions'!$D$16=0,IF(CY$5='Project Assumptions'!$D$15,-'Detailed Project Costs'!$F$38,0),IF(CY$5='Project Assumptions'!$D$15+1,-'Detailed Project Costs'!$F$38,0))</f>
        <v/>
      </c>
      <c r="CZ63" s="273">
        <f>IF('Project Assumptions'!$D$16=0,IF(CZ$5='Project Assumptions'!$D$15,-'Detailed Project Costs'!$F$38,0),IF(CZ$5='Project Assumptions'!$D$15+1,-'Detailed Project Costs'!$F$38,0))</f>
        <v/>
      </c>
      <c r="DA63" s="273">
        <f>IF('Project Assumptions'!$D$16=0,IF(DA$5='Project Assumptions'!$D$15,-'Detailed Project Costs'!$F$38,0),IF(DA$5='Project Assumptions'!$D$15+1,-'Detailed Project Costs'!$F$38,0))</f>
        <v/>
      </c>
      <c r="DB63" s="273">
        <f>IF('Project Assumptions'!$D$16=0,IF(DB$5='Project Assumptions'!$D$15,-'Detailed Project Costs'!$F$38,0),IF(DB$5='Project Assumptions'!$D$15+1,-'Detailed Project Costs'!$F$38,0))</f>
        <v/>
      </c>
      <c r="DC63" s="273" t="n"/>
      <c r="DD63" s="295">
        <f>SUM(F63:DB63)</f>
        <v/>
      </c>
    </row>
    <row r="64">
      <c r="A64" s="1000" t="n"/>
      <c r="B64" s="703" t="inlineStr">
        <is>
          <t xml:space="preserve">   Legal - Lease</t>
        </is>
      </c>
      <c r="C64" s="294" t="n"/>
      <c r="D64" s="295">
        <f>DD64</f>
        <v/>
      </c>
      <c r="E64" s="274" t="n"/>
      <c r="F64" s="273">
        <f>-'Detailed Project Costs'!$F$39*(MAX(G112-F112,0))/MAX('Economic Assumptions'!$C$22,1)+IF('Economic Assumptions'!$C$22=0,IF(F5='Project Assumptions'!$D$15+'Project Assumptions'!$D$16,-'Detailed Project Costs'!$F$39,0),0)</f>
        <v/>
      </c>
      <c r="G64" s="273">
        <f>-'Detailed Project Costs'!$F$39*(MAX(H112-G112,0))/MAX('Economic Assumptions'!$C$22,1)+IF('Economic Assumptions'!$C$22=0,IF(G5='Project Assumptions'!$D$15+'Project Assumptions'!$D$16,-'Detailed Project Costs'!$F$39,0),0)</f>
        <v/>
      </c>
      <c r="H64" s="273">
        <f>-'Detailed Project Costs'!$F$39*(MAX(I112-H112,0))/MAX('Economic Assumptions'!$C$22,1)+IF('Economic Assumptions'!$C$22=0,IF(H5='Project Assumptions'!$D$15+'Project Assumptions'!$D$16,-'Detailed Project Costs'!$F$39,0),0)</f>
        <v/>
      </c>
      <c r="I64" s="273">
        <f>-'Detailed Project Costs'!$F$39*(MAX(J112-I112,0))/MAX('Economic Assumptions'!$C$22,1)+IF('Economic Assumptions'!$C$22=0,IF(I5='Project Assumptions'!$D$15+'Project Assumptions'!$D$16,-'Detailed Project Costs'!$F$39,0),0)</f>
        <v/>
      </c>
      <c r="J64" s="273">
        <f>-'Detailed Project Costs'!$F$39*(MAX(K112-J112,0))/MAX('Economic Assumptions'!$C$22,1)+IF('Economic Assumptions'!$C$22=0,IF(J5='Project Assumptions'!$D$15+'Project Assumptions'!$D$16,-'Detailed Project Costs'!$F$39,0),0)</f>
        <v/>
      </c>
      <c r="K64" s="273">
        <f>-'Detailed Project Costs'!$F$39*(MAX(L112-K112,0))/MAX('Economic Assumptions'!$C$22,1)+IF('Economic Assumptions'!$C$22=0,IF(K5='Project Assumptions'!$D$15+'Project Assumptions'!$D$16,-'Detailed Project Costs'!$F$39,0),0)</f>
        <v/>
      </c>
      <c r="L64" s="273">
        <f>-'Detailed Project Costs'!$F$39*(MAX(M112-L112,0))/MAX('Economic Assumptions'!$C$22,1)+IF('Economic Assumptions'!$C$22=0,IF(L5='Project Assumptions'!$D$15+'Project Assumptions'!$D$16,-'Detailed Project Costs'!$F$39,0),0)</f>
        <v/>
      </c>
      <c r="M64" s="273">
        <f>-'Detailed Project Costs'!$F$39*(MAX(N112-M112,0))/MAX('Economic Assumptions'!$C$22,1)+IF('Economic Assumptions'!$C$22=0,IF(M5='Project Assumptions'!$D$15+'Project Assumptions'!$D$16,-'Detailed Project Costs'!$F$39,0),0)</f>
        <v/>
      </c>
      <c r="N64" s="273">
        <f>-'Detailed Project Costs'!$F$39*(MAX(O112-N112,0))/MAX('Economic Assumptions'!$C$22,1)+IF('Economic Assumptions'!$C$22=0,IF(N5='Project Assumptions'!$D$15+'Project Assumptions'!$D$16,-'Detailed Project Costs'!$F$39,0),0)</f>
        <v/>
      </c>
      <c r="O64" s="273">
        <f>-'Detailed Project Costs'!$F$39*(MAX(P112-O112,0))/MAX('Economic Assumptions'!$C$22,1)+IF('Economic Assumptions'!$C$22=0,IF(O5='Project Assumptions'!$D$15+'Project Assumptions'!$D$16,-'Detailed Project Costs'!$F$39,0),0)</f>
        <v/>
      </c>
      <c r="P64" s="273">
        <f>-'Detailed Project Costs'!$F$39*(MAX(Q112-P112,0))/MAX('Economic Assumptions'!$C$22,1)+IF('Economic Assumptions'!$C$22=0,IF(P5='Project Assumptions'!$D$15+'Project Assumptions'!$D$16,-'Detailed Project Costs'!$F$39,0),0)</f>
        <v/>
      </c>
      <c r="Q64" s="273">
        <f>-'Detailed Project Costs'!$F$39*(MAX(R112-Q112,0))/MAX('Economic Assumptions'!$C$22,1)+IF('Economic Assumptions'!$C$22=0,IF(Q5='Project Assumptions'!$D$15+'Project Assumptions'!$D$16,-'Detailed Project Costs'!$F$39,0),0)</f>
        <v/>
      </c>
      <c r="R64" s="273">
        <f>-'Detailed Project Costs'!$F$39*(MAX(S112-R112,0))/MAX('Economic Assumptions'!$C$22,1)+IF('Economic Assumptions'!$C$22=0,IF(R5='Project Assumptions'!$D$15+'Project Assumptions'!$D$16,-'Detailed Project Costs'!$F$39,0),0)</f>
        <v/>
      </c>
      <c r="S64" s="273">
        <f>-'Detailed Project Costs'!$F$39*(MAX(T112-S112,0))/MAX('Economic Assumptions'!$C$22,1)+IF('Economic Assumptions'!$C$22=0,IF(S5='Project Assumptions'!$D$15+'Project Assumptions'!$D$16,-'Detailed Project Costs'!$F$39,0),0)</f>
        <v/>
      </c>
      <c r="T64" s="273">
        <f>-'Detailed Project Costs'!$F$39*(MAX(U112-T112,0))/MAX('Economic Assumptions'!$C$22,1)+IF('Economic Assumptions'!$C$22=0,IF(T5='Project Assumptions'!$D$15+'Project Assumptions'!$D$16,-'Detailed Project Costs'!$F$39,0),0)</f>
        <v/>
      </c>
      <c r="U64" s="273">
        <f>-'Detailed Project Costs'!$F$39*(MAX(V112-U112,0))/MAX('Economic Assumptions'!$C$22,1)+IF('Economic Assumptions'!$C$22=0,IF(U5='Project Assumptions'!$D$15+'Project Assumptions'!$D$16,-'Detailed Project Costs'!$F$39,0),0)</f>
        <v/>
      </c>
      <c r="V64" s="273">
        <f>-'Detailed Project Costs'!$F$39*(MAX(W112-V112,0))/MAX('Economic Assumptions'!$C$22,1)+IF('Economic Assumptions'!$C$22=0,IF(V5='Project Assumptions'!$D$15+'Project Assumptions'!$D$16,-'Detailed Project Costs'!$F$39,0),0)</f>
        <v/>
      </c>
      <c r="W64" s="273">
        <f>-'Detailed Project Costs'!$F$39*(MAX(X112-W112,0))/MAX('Economic Assumptions'!$C$22,1)+IF('Economic Assumptions'!$C$22=0,IF(W5='Project Assumptions'!$D$15+'Project Assumptions'!$D$16,-'Detailed Project Costs'!$F$39,0),0)</f>
        <v/>
      </c>
      <c r="X64" s="273">
        <f>-'Detailed Project Costs'!$F$39*(MAX(Y112-X112,0))/MAX('Economic Assumptions'!$C$22,1)+IF('Economic Assumptions'!$C$22=0,IF(X5='Project Assumptions'!$D$15+'Project Assumptions'!$D$16,-'Detailed Project Costs'!$F$39,0),0)</f>
        <v/>
      </c>
      <c r="Y64" s="273">
        <f>-'Detailed Project Costs'!$F$39*(MAX(Z112-Y112,0))/MAX('Economic Assumptions'!$C$22,1)+IF('Economic Assumptions'!$C$22=0,IF(Y5='Project Assumptions'!$D$15+'Project Assumptions'!$D$16,-'Detailed Project Costs'!$F$39,0),0)</f>
        <v/>
      </c>
      <c r="Z64" s="273">
        <f>-'Detailed Project Costs'!$F$39*(MAX(AA112-Z112,0))/MAX('Economic Assumptions'!$C$22,1)+IF('Economic Assumptions'!$C$22=0,IF(Z5='Project Assumptions'!$D$15+'Project Assumptions'!$D$16,-'Detailed Project Costs'!$F$39,0),0)</f>
        <v/>
      </c>
      <c r="AA64" s="273">
        <f>-'Detailed Project Costs'!$F$39*(MAX(AB112-AA112,0))/MAX('Economic Assumptions'!$C$22,1)+IF('Economic Assumptions'!$C$22=0,IF(AA5='Project Assumptions'!$D$15+'Project Assumptions'!$D$16,-'Detailed Project Costs'!$F$39,0),0)</f>
        <v/>
      </c>
      <c r="AB64" s="273">
        <f>-'Detailed Project Costs'!$F$39*(MAX(AC112-AB112,0))/MAX('Economic Assumptions'!$C$22,1)+IF('Economic Assumptions'!$C$22=0,IF(AB5='Project Assumptions'!$D$15+'Project Assumptions'!$D$16,-'Detailed Project Costs'!$F$39,0),0)</f>
        <v/>
      </c>
      <c r="AC64" s="273">
        <f>-'Detailed Project Costs'!$F$39*(MAX(AD112-AC112,0))/MAX('Economic Assumptions'!$C$22,1)+IF('Economic Assumptions'!$C$22=0,IF(AC5='Project Assumptions'!$D$15+'Project Assumptions'!$D$16,-'Detailed Project Costs'!$F$39,0),0)</f>
        <v/>
      </c>
      <c r="AD64" s="273">
        <f>-'Detailed Project Costs'!$F$39*(MAX(AE112-AD112,0))/MAX('Economic Assumptions'!$C$22,1)+IF('Economic Assumptions'!$C$22=0,IF(AD5='Project Assumptions'!$D$15+'Project Assumptions'!$D$16,-'Detailed Project Costs'!$F$39,0),0)</f>
        <v/>
      </c>
      <c r="AE64" s="273">
        <f>-'Detailed Project Costs'!$F$39*(MAX(AF112-AE112,0))/MAX('Economic Assumptions'!$C$22,1)+IF('Economic Assumptions'!$C$22=0,IF(AE5='Project Assumptions'!$D$15+'Project Assumptions'!$D$16,-'Detailed Project Costs'!$F$39,0),0)</f>
        <v/>
      </c>
      <c r="AF64" s="273">
        <f>-'Detailed Project Costs'!$F$39*(MAX(AG112-AF112,0))/MAX('Economic Assumptions'!$C$22,1)+IF('Economic Assumptions'!$C$22=0,IF(AF5='Project Assumptions'!$D$15+'Project Assumptions'!$D$16,-'Detailed Project Costs'!$F$39,0),0)</f>
        <v/>
      </c>
      <c r="AG64" s="273">
        <f>-'Detailed Project Costs'!$F$39*(MAX(AH112-AG112,0))/MAX('Economic Assumptions'!$C$22,1)+IF('Economic Assumptions'!$C$22=0,IF(AG5='Project Assumptions'!$D$15+'Project Assumptions'!$D$16,-'Detailed Project Costs'!$F$39,0),0)</f>
        <v/>
      </c>
      <c r="AH64" s="273">
        <f>-'Detailed Project Costs'!$F$39*(MAX(AI112-AH112,0))/MAX('Economic Assumptions'!$C$22,1)+IF('Economic Assumptions'!$C$22=0,IF(AH5='Project Assumptions'!$D$15+'Project Assumptions'!$D$16,-'Detailed Project Costs'!$F$39,0),0)</f>
        <v/>
      </c>
      <c r="AI64" s="273">
        <f>-'Detailed Project Costs'!$F$39*(MAX(AJ112-AI112,0))/MAX('Economic Assumptions'!$C$22,1)+IF('Economic Assumptions'!$C$22=0,IF(AI5='Project Assumptions'!$D$15+'Project Assumptions'!$D$16,-'Detailed Project Costs'!$F$39,0),0)</f>
        <v/>
      </c>
      <c r="AJ64" s="273">
        <f>-'Detailed Project Costs'!$F$39*(MAX(AK112-AJ112,0))/MAX('Economic Assumptions'!$C$22,1)+IF('Economic Assumptions'!$C$22=0,IF(AJ5='Project Assumptions'!$D$15+'Project Assumptions'!$D$16,-'Detailed Project Costs'!$F$39,0),0)</f>
        <v/>
      </c>
      <c r="AK64" s="273">
        <f>-'Detailed Project Costs'!$F$39*(MAX(AL112-AK112,0))/MAX('Economic Assumptions'!$C$22,1)+IF('Economic Assumptions'!$C$22=0,IF(AK5='Project Assumptions'!$D$15+'Project Assumptions'!$D$16,-'Detailed Project Costs'!$F$39,0),0)</f>
        <v/>
      </c>
      <c r="AL64" s="273">
        <f>-'Detailed Project Costs'!$F$39*(MAX(AM112-AL112,0))/MAX('Economic Assumptions'!$C$22,1)+IF('Economic Assumptions'!$C$22=0,IF(AL5='Project Assumptions'!$D$15+'Project Assumptions'!$D$16,-'Detailed Project Costs'!$F$39,0),0)</f>
        <v/>
      </c>
      <c r="AM64" s="273">
        <f>-'Detailed Project Costs'!$F$39*(MAX(AN112-AM112,0))/MAX('Economic Assumptions'!$C$22,1)+IF('Economic Assumptions'!$C$22=0,IF(AM5='Project Assumptions'!$D$15+'Project Assumptions'!$D$16,-'Detailed Project Costs'!$F$39,0),0)</f>
        <v/>
      </c>
      <c r="AN64" s="273">
        <f>-'Detailed Project Costs'!$F$39*(MAX(AO112-AN112,0))/MAX('Economic Assumptions'!$C$22,1)+IF('Economic Assumptions'!$C$22=0,IF(AN5='Project Assumptions'!$D$15+'Project Assumptions'!$D$16,-'Detailed Project Costs'!$F$39,0),0)</f>
        <v/>
      </c>
      <c r="AO64" s="273">
        <f>-'Detailed Project Costs'!$F$39*(MAX(AP112-AO112,0))/MAX('Economic Assumptions'!$C$22,1)+IF('Economic Assumptions'!$C$22=0,IF(AO5='Project Assumptions'!$D$15+'Project Assumptions'!$D$16,-'Detailed Project Costs'!$F$39,0),0)</f>
        <v/>
      </c>
      <c r="AP64" s="273">
        <f>-'Detailed Project Costs'!$F$39*(MAX(AQ112-AP112,0))/MAX('Economic Assumptions'!$C$22,1)+IF('Economic Assumptions'!$C$22=0,IF(AP5='Project Assumptions'!$D$15+'Project Assumptions'!$D$16,-'Detailed Project Costs'!$F$39,0),0)</f>
        <v/>
      </c>
      <c r="AQ64" s="273">
        <f>-'Detailed Project Costs'!$F$39*(MAX(AR112-AQ112,0))/MAX('Economic Assumptions'!$C$22,1)+IF('Economic Assumptions'!$C$22=0,IF(AQ5='Project Assumptions'!$D$15+'Project Assumptions'!$D$16,-'Detailed Project Costs'!$F$39,0),0)</f>
        <v/>
      </c>
      <c r="AR64" s="273">
        <f>-'Detailed Project Costs'!$F$39*(MAX(AS112-AR112,0))/MAX('Economic Assumptions'!$C$22,1)+IF('Economic Assumptions'!$C$22=0,IF(AR5='Project Assumptions'!$D$15+'Project Assumptions'!$D$16,-'Detailed Project Costs'!$F$39,0),0)</f>
        <v/>
      </c>
      <c r="AS64" s="273">
        <f>-'Detailed Project Costs'!$F$39*(MAX(AT112-AS112,0))/MAX('Economic Assumptions'!$C$22,1)+IF('Economic Assumptions'!$C$22=0,IF(AS5='Project Assumptions'!$D$15+'Project Assumptions'!$D$16,-'Detailed Project Costs'!$F$39,0),0)</f>
        <v/>
      </c>
      <c r="AT64" s="273">
        <f>-'Detailed Project Costs'!$F$39*(MAX(AU112-AT112,0))/MAX('Economic Assumptions'!$C$22,1)+IF('Economic Assumptions'!$C$22=0,IF(AT5='Project Assumptions'!$D$15+'Project Assumptions'!$D$16,-'Detailed Project Costs'!$F$39,0),0)</f>
        <v/>
      </c>
      <c r="AU64" s="273">
        <f>-'Detailed Project Costs'!$F$39*(MAX(AV112-AU112,0))/MAX('Economic Assumptions'!$C$22,1)+IF('Economic Assumptions'!$C$22=0,IF(AU5='Project Assumptions'!$D$15+'Project Assumptions'!$D$16,-'Detailed Project Costs'!$F$39,0),0)</f>
        <v/>
      </c>
      <c r="AV64" s="273">
        <f>-'Detailed Project Costs'!$F$39*(MAX(AW112-AV112,0))/MAX('Economic Assumptions'!$C$22,1)+IF('Economic Assumptions'!$C$22=0,IF(AV5='Project Assumptions'!$D$15+'Project Assumptions'!$D$16,-'Detailed Project Costs'!$F$39,0),0)</f>
        <v/>
      </c>
      <c r="AW64" s="273">
        <f>-'Detailed Project Costs'!$F$39*(MAX(AX112-AW112,0))/MAX('Economic Assumptions'!$C$22,1)+IF('Economic Assumptions'!$C$22=0,IF(AW5='Project Assumptions'!$D$15+'Project Assumptions'!$D$16,-'Detailed Project Costs'!$F$39,0),0)</f>
        <v/>
      </c>
      <c r="AX64" s="273">
        <f>-'Detailed Project Costs'!$F$39*(MAX(AY112-AX112,0))/MAX('Economic Assumptions'!$C$22,1)+IF('Economic Assumptions'!$C$22=0,IF(AX5='Project Assumptions'!$D$15+'Project Assumptions'!$D$16,-'Detailed Project Costs'!$F$39,0),0)</f>
        <v/>
      </c>
      <c r="AY64" s="273">
        <f>-'Detailed Project Costs'!$F$39*(MAX(AZ112-AY112,0))/MAX('Economic Assumptions'!$C$22,1)+IF('Economic Assumptions'!$C$22=0,IF(AY5='Project Assumptions'!$D$15+'Project Assumptions'!$D$16,-'Detailed Project Costs'!$F$39,0),0)</f>
        <v/>
      </c>
      <c r="AZ64" s="273">
        <f>-'Detailed Project Costs'!$F$39*(MAX(BA112-AZ112,0))/MAX('Economic Assumptions'!$C$22,1)+IF('Economic Assumptions'!$C$22=0,IF(AZ5='Project Assumptions'!$D$15+'Project Assumptions'!$D$16,-'Detailed Project Costs'!$F$39,0),0)</f>
        <v/>
      </c>
      <c r="BA64" s="273">
        <f>-'Detailed Project Costs'!$F$39*(MAX(BB112-BA112,0))/MAX('Economic Assumptions'!$C$22,1)+IF('Economic Assumptions'!$C$22=0,IF(BA5='Project Assumptions'!$D$15+'Project Assumptions'!$D$16,-'Detailed Project Costs'!$F$39,0),0)</f>
        <v/>
      </c>
      <c r="BB64" s="273">
        <f>-'Detailed Project Costs'!$F$39*(MAX(BC112-BB112,0))/MAX('Economic Assumptions'!$C$22,1)+IF('Economic Assumptions'!$C$22=0,IF(BB5='Project Assumptions'!$D$15+'Project Assumptions'!$D$16,-'Detailed Project Costs'!$F$39,0),0)</f>
        <v/>
      </c>
      <c r="BC64" s="273">
        <f>-'Detailed Project Costs'!$F$39*(MAX(BD112-BC112,0))/MAX('Economic Assumptions'!$C$22,1)+IF('Economic Assumptions'!$C$22=0,IF(BC5='Project Assumptions'!$D$15+'Project Assumptions'!$D$16,-'Detailed Project Costs'!$F$39,0),0)</f>
        <v/>
      </c>
      <c r="BD64" s="273">
        <f>-'Detailed Project Costs'!$F$39*(MAX(BE112-BD112,0))/MAX('Economic Assumptions'!$C$22,1)+IF('Economic Assumptions'!$C$22=0,IF(BD5='Project Assumptions'!$D$15+'Project Assumptions'!$D$16,-'Detailed Project Costs'!$F$39,0),0)</f>
        <v/>
      </c>
      <c r="BE64" s="273">
        <f>-'Detailed Project Costs'!$F$39*(MAX(BF112-BE112,0))/MAX('Economic Assumptions'!$C$22,1)+IF('Economic Assumptions'!$C$22=0,IF(BE5='Project Assumptions'!$D$15+'Project Assumptions'!$D$16,-'Detailed Project Costs'!$F$39,0),0)</f>
        <v/>
      </c>
      <c r="BF64" s="273">
        <f>-'Detailed Project Costs'!$F$39*(MAX(BG112-BF112,0))/MAX('Economic Assumptions'!$C$22,1)+IF('Economic Assumptions'!$C$22=0,IF(BF5='Project Assumptions'!$D$15+'Project Assumptions'!$D$16,-'Detailed Project Costs'!$F$39,0),0)</f>
        <v/>
      </c>
      <c r="BG64" s="273">
        <f>-'Detailed Project Costs'!$F$39*(MAX(BH112-BG112,0))/MAX('Economic Assumptions'!$C$22,1)+IF('Economic Assumptions'!$C$22=0,IF(BG5='Project Assumptions'!$D$15+'Project Assumptions'!$D$16,-'Detailed Project Costs'!$F$39,0),0)</f>
        <v/>
      </c>
      <c r="BH64" s="273">
        <f>-'Detailed Project Costs'!$F$39*(MAX(BI112-BH112,0))/MAX('Economic Assumptions'!$C$22,1)+IF('Economic Assumptions'!$C$22=0,IF(BH5='Project Assumptions'!$D$15+'Project Assumptions'!$D$16,-'Detailed Project Costs'!$F$39,0),0)</f>
        <v/>
      </c>
      <c r="BI64" s="273">
        <f>-'Detailed Project Costs'!$F$39*(MAX(BJ112-BI112,0))/MAX('Economic Assumptions'!$C$22,1)+IF('Economic Assumptions'!$C$22=0,IF(BI5='Project Assumptions'!$D$15+'Project Assumptions'!$D$16,-'Detailed Project Costs'!$F$39,0),0)</f>
        <v/>
      </c>
      <c r="BJ64" s="273">
        <f>-'Detailed Project Costs'!$F$39*(MAX(BK112-BJ112,0))/MAX('Economic Assumptions'!$C$22,1)+IF('Economic Assumptions'!$C$22=0,IF(BJ5='Project Assumptions'!$D$15+'Project Assumptions'!$D$16,-'Detailed Project Costs'!$F$39,0),0)</f>
        <v/>
      </c>
      <c r="BK64" s="273">
        <f>-'Detailed Project Costs'!$F$39*(MAX(BL112-BK112,0))/MAX('Economic Assumptions'!$C$22,1)+IF('Economic Assumptions'!$C$22=0,IF(BK5='Project Assumptions'!$D$15+'Project Assumptions'!$D$16,-'Detailed Project Costs'!$F$39,0),0)</f>
        <v/>
      </c>
      <c r="BL64" s="273">
        <f>-'Detailed Project Costs'!$F$39*(MAX(BM112-BL112,0))/MAX('Economic Assumptions'!$C$22,1)+IF('Economic Assumptions'!$C$22=0,IF(BL5='Project Assumptions'!$D$15+'Project Assumptions'!$D$16,-'Detailed Project Costs'!$F$39,0),0)</f>
        <v/>
      </c>
      <c r="BM64" s="273">
        <f>-'Detailed Project Costs'!$F$39*(MAX(BN112-BM112,0))/MAX('Economic Assumptions'!$C$22,1)+IF('Economic Assumptions'!$C$22=0,IF(BM5='Project Assumptions'!$D$15+'Project Assumptions'!$D$16,-'Detailed Project Costs'!$F$39,0),0)</f>
        <v/>
      </c>
      <c r="BN64" s="273">
        <f>-'Detailed Project Costs'!$F$39*(MAX(BO112-BN112,0))/MAX('Economic Assumptions'!$C$22,1)+IF('Economic Assumptions'!$C$22=0,IF(BN5='Project Assumptions'!$D$15+'Project Assumptions'!$D$16,-'Detailed Project Costs'!$F$39,0),0)</f>
        <v/>
      </c>
      <c r="BO64" s="273">
        <f>-'Detailed Project Costs'!$F$39*(MAX(BP112-BO112,0))/MAX('Economic Assumptions'!$C$22,1)+IF('Economic Assumptions'!$C$22=0,IF(BO5='Project Assumptions'!$D$15+'Project Assumptions'!$D$16,-'Detailed Project Costs'!$F$39,0),0)</f>
        <v/>
      </c>
      <c r="BP64" s="273">
        <f>-'Detailed Project Costs'!$F$39*(MAX(BQ112-BP112,0))/MAX('Economic Assumptions'!$C$22,1)+IF('Economic Assumptions'!$C$22=0,IF(BP5='Project Assumptions'!$D$15+'Project Assumptions'!$D$16,-'Detailed Project Costs'!$F$39,0),0)</f>
        <v/>
      </c>
      <c r="BQ64" s="273">
        <f>-'Detailed Project Costs'!$F$39*(MAX(BR112-BQ112,0))/MAX('Economic Assumptions'!$C$22,1)+IF('Economic Assumptions'!$C$22=0,IF(BQ5='Project Assumptions'!$D$15+'Project Assumptions'!$D$16,-'Detailed Project Costs'!$F$39,0),0)</f>
        <v/>
      </c>
      <c r="BR64" s="273">
        <f>-'Detailed Project Costs'!$F$39*(MAX(BS112-BR112,0))/MAX('Economic Assumptions'!$C$22,1)+IF('Economic Assumptions'!$C$22=0,IF(BR5='Project Assumptions'!$D$15+'Project Assumptions'!$D$16,-'Detailed Project Costs'!$F$39,0),0)</f>
        <v/>
      </c>
      <c r="BS64" s="273">
        <f>-'Detailed Project Costs'!$F$39*(MAX(BT112-BS112,0))/MAX('Economic Assumptions'!$C$22,1)+IF('Economic Assumptions'!$C$22=0,IF(BS5='Project Assumptions'!$D$15+'Project Assumptions'!$D$16,-'Detailed Project Costs'!$F$39,0),0)</f>
        <v/>
      </c>
      <c r="BT64" s="273">
        <f>-'Detailed Project Costs'!$F$39*(MAX(BU112-BT112,0))/MAX('Economic Assumptions'!$C$22,1)+IF('Economic Assumptions'!$C$22=0,IF(BT5='Project Assumptions'!$D$15+'Project Assumptions'!$D$16,-'Detailed Project Costs'!$F$39,0),0)</f>
        <v/>
      </c>
      <c r="BU64" s="273">
        <f>-'Detailed Project Costs'!$F$39*(MAX(BV112-BU112,0))/MAX('Economic Assumptions'!$C$22,1)+IF('Economic Assumptions'!$C$22=0,IF(BU5='Project Assumptions'!$D$15+'Project Assumptions'!$D$16,-'Detailed Project Costs'!$F$39,0),0)</f>
        <v/>
      </c>
      <c r="BV64" s="273">
        <f>-'Detailed Project Costs'!$F$39*(MAX(BW112-BV112,0))/MAX('Economic Assumptions'!$C$22,1)+IF('Economic Assumptions'!$C$22=0,IF(BV5='Project Assumptions'!$D$15+'Project Assumptions'!$D$16,-'Detailed Project Costs'!$F$39,0),0)</f>
        <v/>
      </c>
      <c r="BW64" s="273">
        <f>-'Detailed Project Costs'!$F$39*(MAX(BX112-BW112,0))/MAX('Economic Assumptions'!$C$22,1)+IF('Economic Assumptions'!$C$22=0,IF(BW5='Project Assumptions'!$D$15+'Project Assumptions'!$D$16,-'Detailed Project Costs'!$F$39,0),0)</f>
        <v/>
      </c>
      <c r="BX64" s="273">
        <f>-'Detailed Project Costs'!$F$39*(MAX(BY112-BX112,0))/MAX('Economic Assumptions'!$C$22,1)+IF('Economic Assumptions'!$C$22=0,IF(BX5='Project Assumptions'!$D$15+'Project Assumptions'!$D$16,-'Detailed Project Costs'!$F$39,0),0)</f>
        <v/>
      </c>
      <c r="BY64" s="273">
        <f>-'Detailed Project Costs'!$F$39*(MAX(BZ112-BY112,0))/MAX('Economic Assumptions'!$C$22,1)+IF('Economic Assumptions'!$C$22=0,IF(BY5='Project Assumptions'!$D$15+'Project Assumptions'!$D$16,-'Detailed Project Costs'!$F$39,0),0)</f>
        <v/>
      </c>
      <c r="BZ64" s="273">
        <f>-'Detailed Project Costs'!$F$39*(MAX(CA112-BZ112,0))/MAX('Economic Assumptions'!$C$22,1)+IF('Economic Assumptions'!$C$22=0,IF(BZ5='Project Assumptions'!$D$15+'Project Assumptions'!$D$16,-'Detailed Project Costs'!$F$39,0),0)</f>
        <v/>
      </c>
      <c r="CA64" s="273">
        <f>-'Detailed Project Costs'!$F$39*(MAX(CB112-CA112,0))/MAX('Economic Assumptions'!$C$22,1)+IF('Economic Assumptions'!$C$22=0,IF(CA5='Project Assumptions'!$D$15+'Project Assumptions'!$D$16,-'Detailed Project Costs'!$F$39,0),0)</f>
        <v/>
      </c>
      <c r="CB64" s="273">
        <f>-'Detailed Project Costs'!$F$39*(MAX(CC112-CB112,0))/MAX('Economic Assumptions'!$C$22,1)+IF('Economic Assumptions'!$C$22=0,IF(CB5='Project Assumptions'!$D$15+'Project Assumptions'!$D$16,-'Detailed Project Costs'!$F$39,0),0)</f>
        <v/>
      </c>
      <c r="CC64" s="273">
        <f>-'Detailed Project Costs'!$F$39*(MAX(CD112-CC112,0))/MAX('Economic Assumptions'!$C$22,1)+IF('Economic Assumptions'!$C$22=0,IF(CC5='Project Assumptions'!$D$15+'Project Assumptions'!$D$16,-'Detailed Project Costs'!$F$39,0),0)</f>
        <v/>
      </c>
      <c r="CD64" s="273">
        <f>-'Detailed Project Costs'!$F$39*(MAX(CE112-CD112,0))/MAX('Economic Assumptions'!$C$22,1)+IF('Economic Assumptions'!$C$22=0,IF(CD5='Project Assumptions'!$D$15+'Project Assumptions'!$D$16,-'Detailed Project Costs'!$F$39,0),0)</f>
        <v/>
      </c>
      <c r="CE64" s="273">
        <f>-'Detailed Project Costs'!$F$39*(MAX(CF112-CE112,0))/MAX('Economic Assumptions'!$C$22,1)+IF('Economic Assumptions'!$C$22=0,IF(CE5='Project Assumptions'!$D$15+'Project Assumptions'!$D$16,-'Detailed Project Costs'!$F$39,0),0)</f>
        <v/>
      </c>
      <c r="CF64" s="273">
        <f>-'Detailed Project Costs'!$F$39*(MAX(CG112-CF112,0))/MAX('Economic Assumptions'!$C$22,1)+IF('Economic Assumptions'!$C$22=0,IF(CF5='Project Assumptions'!$D$15+'Project Assumptions'!$D$16,-'Detailed Project Costs'!$F$39,0),0)</f>
        <v/>
      </c>
      <c r="CG64" s="273">
        <f>-'Detailed Project Costs'!$F$39*(MAX(CH112-CG112,0))/MAX('Economic Assumptions'!$C$22,1)+IF('Economic Assumptions'!$C$22=0,IF(CG5='Project Assumptions'!$D$15+'Project Assumptions'!$D$16,-'Detailed Project Costs'!$F$39,0),0)</f>
        <v/>
      </c>
      <c r="CH64" s="273">
        <f>-'Detailed Project Costs'!$F$39*(MAX(CI112-CH112,0))/MAX('Economic Assumptions'!$C$22,1)+IF('Economic Assumptions'!$C$22=0,IF(CH5='Project Assumptions'!$D$15+'Project Assumptions'!$D$16,-'Detailed Project Costs'!$F$39,0),0)</f>
        <v/>
      </c>
      <c r="CI64" s="273">
        <f>-'Detailed Project Costs'!$F$39*(MAX(CJ112-CI112,0))/MAX('Economic Assumptions'!$C$22,1)+IF('Economic Assumptions'!$C$22=0,IF(CI5='Project Assumptions'!$D$15+'Project Assumptions'!$D$16,-'Detailed Project Costs'!$F$39,0),0)</f>
        <v/>
      </c>
      <c r="CJ64" s="273">
        <f>-'Detailed Project Costs'!$F$39*(MAX(CK112-CJ112,0))/MAX('Economic Assumptions'!$C$22,1)+IF('Economic Assumptions'!$C$22=0,IF(CJ5='Project Assumptions'!$D$15+'Project Assumptions'!$D$16,-'Detailed Project Costs'!$F$39,0),0)</f>
        <v/>
      </c>
      <c r="CK64" s="273">
        <f>-'Detailed Project Costs'!$F$39*(MAX(CL112-CK112,0))/MAX('Economic Assumptions'!$C$22,1)+IF('Economic Assumptions'!$C$22=0,IF(CK5='Project Assumptions'!$D$15+'Project Assumptions'!$D$16,-'Detailed Project Costs'!$F$39,0),0)</f>
        <v/>
      </c>
      <c r="CL64" s="273">
        <f>-'Detailed Project Costs'!$F$39*(MAX(CM112-CL112,0))/MAX('Economic Assumptions'!$C$22,1)+IF('Economic Assumptions'!$C$22=0,IF(CL5='Project Assumptions'!$D$15+'Project Assumptions'!$D$16,-'Detailed Project Costs'!$F$39,0),0)</f>
        <v/>
      </c>
      <c r="CM64" s="273">
        <f>-'Detailed Project Costs'!$F$39*(MAX(CN112-CM112,0))/MAX('Economic Assumptions'!$C$22,1)+IF('Economic Assumptions'!$C$22=0,IF(CM5='Project Assumptions'!$D$15+'Project Assumptions'!$D$16,-'Detailed Project Costs'!$F$39,0),0)</f>
        <v/>
      </c>
      <c r="CN64" s="273">
        <f>-'Detailed Project Costs'!$F$39*(MAX(CO112-CN112,0))/MAX('Economic Assumptions'!$C$22,1)+IF('Economic Assumptions'!$C$22=0,IF(CN5='Project Assumptions'!$D$15+'Project Assumptions'!$D$16,-'Detailed Project Costs'!$F$39,0),0)</f>
        <v/>
      </c>
      <c r="CO64" s="273">
        <f>-'Detailed Project Costs'!$F$39*(MAX(CP112-CO112,0))/MAX('Economic Assumptions'!$C$22,1)+IF('Economic Assumptions'!$C$22=0,IF(CO5='Project Assumptions'!$D$15+'Project Assumptions'!$D$16,-'Detailed Project Costs'!$F$39,0),0)</f>
        <v/>
      </c>
      <c r="CP64" s="273">
        <f>-'Detailed Project Costs'!$F$39*(MAX(CQ112-CP112,0))/MAX('Economic Assumptions'!$C$22,1)+IF('Economic Assumptions'!$C$22=0,IF(CP5='Project Assumptions'!$D$15+'Project Assumptions'!$D$16,-'Detailed Project Costs'!$F$39,0),0)</f>
        <v/>
      </c>
      <c r="CQ64" s="273">
        <f>-'Detailed Project Costs'!$F$39*(MAX(CR112-CQ112,0))/MAX('Economic Assumptions'!$C$22,1)+IF('Economic Assumptions'!$C$22=0,IF(CQ5='Project Assumptions'!$D$15+'Project Assumptions'!$D$16,-'Detailed Project Costs'!$F$39,0),0)</f>
        <v/>
      </c>
      <c r="CR64" s="273">
        <f>-'Detailed Project Costs'!$F$39*(MAX(CS112-CR112,0))/MAX('Economic Assumptions'!$C$22,1)+IF('Economic Assumptions'!$C$22=0,IF(CR5='Project Assumptions'!$D$15+'Project Assumptions'!$D$16,-'Detailed Project Costs'!$F$39,0),0)</f>
        <v/>
      </c>
      <c r="CS64" s="273">
        <f>-'Detailed Project Costs'!$F$39*(MAX(CT112-CS112,0))/MAX('Economic Assumptions'!$C$22,1)+IF('Economic Assumptions'!$C$22=0,IF(CS5='Project Assumptions'!$D$15+'Project Assumptions'!$D$16,-'Detailed Project Costs'!$F$39,0),0)</f>
        <v/>
      </c>
      <c r="CT64" s="273">
        <f>-'Detailed Project Costs'!$F$39*(MAX(CU112-CT112,0))/MAX('Economic Assumptions'!$C$22,1)+IF('Economic Assumptions'!$C$22=0,IF(CT5='Project Assumptions'!$D$15+'Project Assumptions'!$D$16,-'Detailed Project Costs'!$F$39,0),0)</f>
        <v/>
      </c>
      <c r="CU64" s="273">
        <f>-'Detailed Project Costs'!$F$39*(MAX(CV112-CU112,0))/MAX('Economic Assumptions'!$C$22,1)+IF('Economic Assumptions'!$C$22=0,IF(CU5='Project Assumptions'!$D$15+'Project Assumptions'!$D$16,-'Detailed Project Costs'!$F$39,0),0)</f>
        <v/>
      </c>
      <c r="CV64" s="273">
        <f>-'Detailed Project Costs'!$F$39*(MAX(CW112-CV112,0))/MAX('Economic Assumptions'!$C$22,1)+IF('Economic Assumptions'!$C$22=0,IF(CV5='Project Assumptions'!$D$15+'Project Assumptions'!$D$16,-'Detailed Project Costs'!$F$39,0),0)</f>
        <v/>
      </c>
      <c r="CW64" s="273">
        <f>-'Detailed Project Costs'!$F$39*(MAX(CX112-CW112,0))/MAX('Economic Assumptions'!$C$22,1)+IF('Economic Assumptions'!$C$22=0,IF(CW5='Project Assumptions'!$D$15+'Project Assumptions'!$D$16,-'Detailed Project Costs'!$F$39,0),0)</f>
        <v/>
      </c>
      <c r="CX64" s="273">
        <f>-'Detailed Project Costs'!$F$39*(MAX(CY112-CX112,0))/MAX('Economic Assumptions'!$C$22,1)+IF('Economic Assumptions'!$C$22=0,IF(CX5='Project Assumptions'!$D$15+'Project Assumptions'!$D$16,-'Detailed Project Costs'!$F$39,0),0)</f>
        <v/>
      </c>
      <c r="CY64" s="273">
        <f>-'Detailed Project Costs'!$F$39*(MAX(CZ112-CY112,0))/MAX('Economic Assumptions'!$C$22,1)+IF('Economic Assumptions'!$C$22=0,IF(CY5='Project Assumptions'!$D$15+'Project Assumptions'!$D$16,-'Detailed Project Costs'!$F$39,0),0)</f>
        <v/>
      </c>
      <c r="CZ64" s="273">
        <f>-'Detailed Project Costs'!$F$39*(MAX(DA112-CZ112,0))/MAX('Economic Assumptions'!$C$22,1)+IF('Economic Assumptions'!$C$22=0,IF(CZ5='Project Assumptions'!$D$15+'Project Assumptions'!$D$16,-'Detailed Project Costs'!$F$39,0),0)</f>
        <v/>
      </c>
      <c r="DA64" s="273">
        <f>-'Detailed Project Costs'!$F$39*(MAX(DB112-DA112,0))/MAX('Economic Assumptions'!$C$22,1)+IF('Economic Assumptions'!$C$22=0,IF(DA5='Project Assumptions'!$D$15+'Project Assumptions'!$D$16,-'Detailed Project Costs'!$F$39,0),0)</f>
        <v/>
      </c>
      <c r="DB64" s="273">
        <f>-'Detailed Project Costs'!$F$39*(MAX(DC112-DB112,0))/MAX('Economic Assumptions'!$C$22,1)+IF('Economic Assumptions'!$C$22=0,IF(DB5='Project Assumptions'!$D$15+'Project Assumptions'!$D$16,-'Detailed Project Costs'!$F$39,0),0)</f>
        <v/>
      </c>
      <c r="DC64" s="273" t="n"/>
      <c r="DD64" s="295">
        <f>SUM(F64:DB64)</f>
        <v/>
      </c>
    </row>
    <row r="65">
      <c r="A65" s="1000" t="n"/>
      <c r="B65" s="703" t="inlineStr">
        <is>
          <t xml:space="preserve">   Legal - Other Legal</t>
        </is>
      </c>
      <c r="C65" s="294" t="n"/>
      <c r="D65" s="295">
        <f>DD65</f>
        <v/>
      </c>
      <c r="E65" s="274" t="n"/>
      <c r="F65" s="273">
        <f>IF('Project Assumptions'!$D$16=0,IF(F$5='Project Assumptions'!$D$15,-'Detailed Project Costs'!$F$40,0),IF(F$5='Project Assumptions'!$D$15+1,-'Detailed Project Costs'!$F$40,0))</f>
        <v/>
      </c>
      <c r="G65" s="273">
        <f>IF('Project Assumptions'!$D$16=0,IF(G$5='Project Assumptions'!$D$15,-'Detailed Project Costs'!$F$40,0),IF(G$5='Project Assumptions'!$D$15+1,-'Detailed Project Costs'!$F$40,0))</f>
        <v/>
      </c>
      <c r="H65" s="273">
        <f>IF('Project Assumptions'!$D$16=0,IF(H$5='Project Assumptions'!$D$15,-'Detailed Project Costs'!$F$40,0),IF(H$5='Project Assumptions'!$D$15+1,-'Detailed Project Costs'!$F$40,0))</f>
        <v/>
      </c>
      <c r="I65" s="273">
        <f>IF('Project Assumptions'!$D$16=0,IF(I$5='Project Assumptions'!$D$15,-'Detailed Project Costs'!$F$40,0),IF(I$5='Project Assumptions'!$D$15+1,-'Detailed Project Costs'!$F$40,0))</f>
        <v/>
      </c>
      <c r="J65" s="273">
        <f>IF('Project Assumptions'!$D$16=0,IF(J$5='Project Assumptions'!$D$15,-'Detailed Project Costs'!$F$40,0),IF(J$5='Project Assumptions'!$D$15+1,-'Detailed Project Costs'!$F$40,0))</f>
        <v/>
      </c>
      <c r="K65" s="273">
        <f>IF('Project Assumptions'!$D$16=0,IF(K$5='Project Assumptions'!$D$15,-'Detailed Project Costs'!$F$40,0),IF(K$5='Project Assumptions'!$D$15+1,-'Detailed Project Costs'!$F$40,0))</f>
        <v/>
      </c>
      <c r="L65" s="273">
        <f>IF('Project Assumptions'!$D$16=0,IF(L$5='Project Assumptions'!$D$15,-'Detailed Project Costs'!$F$40,0),IF(L$5='Project Assumptions'!$D$15+1,-'Detailed Project Costs'!$F$40,0))</f>
        <v/>
      </c>
      <c r="M65" s="273">
        <f>IF('Project Assumptions'!$D$16=0,IF(M$5='Project Assumptions'!$D$15,-'Detailed Project Costs'!$F$40,0),IF(M$5='Project Assumptions'!$D$15+1,-'Detailed Project Costs'!$F$40,0))</f>
        <v/>
      </c>
      <c r="N65" s="273">
        <f>IF('Project Assumptions'!$D$16=0,IF(N$5='Project Assumptions'!$D$15,-'Detailed Project Costs'!$F$40,0),IF(N$5='Project Assumptions'!$D$15+1,-'Detailed Project Costs'!$F$40,0))</f>
        <v/>
      </c>
      <c r="O65" s="273">
        <f>IF('Project Assumptions'!$D$16=0,IF(O$5='Project Assumptions'!$D$15,-'Detailed Project Costs'!$F$40,0),IF(O$5='Project Assumptions'!$D$15+1,-'Detailed Project Costs'!$F$40,0))</f>
        <v/>
      </c>
      <c r="P65" s="273">
        <f>IF('Project Assumptions'!$D$16=0,IF(P$5='Project Assumptions'!$D$15,-'Detailed Project Costs'!$F$40,0),IF(P$5='Project Assumptions'!$D$15+1,-'Detailed Project Costs'!$F$40,0))</f>
        <v/>
      </c>
      <c r="Q65" s="273">
        <f>IF('Project Assumptions'!$D$16=0,IF(Q$5='Project Assumptions'!$D$15,-'Detailed Project Costs'!$F$40,0),IF(Q$5='Project Assumptions'!$D$15+1,-'Detailed Project Costs'!$F$40,0))</f>
        <v/>
      </c>
      <c r="R65" s="273">
        <f>IF('Project Assumptions'!$D$16=0,IF(R$5='Project Assumptions'!$D$15,-'Detailed Project Costs'!$F$40,0),IF(R$5='Project Assumptions'!$D$15+1,-'Detailed Project Costs'!$F$40,0))</f>
        <v/>
      </c>
      <c r="S65" s="273">
        <f>IF('Project Assumptions'!$D$16=0,IF(S$5='Project Assumptions'!$D$15,-'Detailed Project Costs'!$F$40,0),IF(S$5='Project Assumptions'!$D$15+1,-'Detailed Project Costs'!$F$40,0))</f>
        <v/>
      </c>
      <c r="T65" s="273">
        <f>IF('Project Assumptions'!$D$16=0,IF(T$5='Project Assumptions'!$D$15,-'Detailed Project Costs'!$F$40,0),IF(T$5='Project Assumptions'!$D$15+1,-'Detailed Project Costs'!$F$40,0))</f>
        <v/>
      </c>
      <c r="U65" s="273">
        <f>IF('Project Assumptions'!$D$16=0,IF(U$5='Project Assumptions'!$D$15,-'Detailed Project Costs'!$F$40,0),IF(U$5='Project Assumptions'!$D$15+1,-'Detailed Project Costs'!$F$40,0))</f>
        <v/>
      </c>
      <c r="V65" s="273">
        <f>IF('Project Assumptions'!$D$16=0,IF(V$5='Project Assumptions'!$D$15,-'Detailed Project Costs'!$F$40,0),IF(V$5='Project Assumptions'!$D$15+1,-'Detailed Project Costs'!$F$40,0))</f>
        <v/>
      </c>
      <c r="W65" s="273">
        <f>IF('Project Assumptions'!$D$16=0,IF(W$5='Project Assumptions'!$D$15,-'Detailed Project Costs'!$F$40,0),IF(W$5='Project Assumptions'!$D$15+1,-'Detailed Project Costs'!$F$40,0))</f>
        <v/>
      </c>
      <c r="X65" s="273">
        <f>IF('Project Assumptions'!$D$16=0,IF(X$5='Project Assumptions'!$D$15,-'Detailed Project Costs'!$F$40,0),IF(X$5='Project Assumptions'!$D$15+1,-'Detailed Project Costs'!$F$40,0))</f>
        <v/>
      </c>
      <c r="Y65" s="273">
        <f>IF('Project Assumptions'!$D$16=0,IF(Y$5='Project Assumptions'!$D$15,-'Detailed Project Costs'!$F$40,0),IF(Y$5='Project Assumptions'!$D$15+1,-'Detailed Project Costs'!$F$40,0))</f>
        <v/>
      </c>
      <c r="Z65" s="273">
        <f>IF('Project Assumptions'!$D$16=0,IF(Z$5='Project Assumptions'!$D$15,-'Detailed Project Costs'!$F$40,0),IF(Z$5='Project Assumptions'!$D$15+1,-'Detailed Project Costs'!$F$40,0))</f>
        <v/>
      </c>
      <c r="AA65" s="273">
        <f>IF('Project Assumptions'!$D$16=0,IF(AA$5='Project Assumptions'!$D$15,-'Detailed Project Costs'!$F$40,0),IF(AA$5='Project Assumptions'!$D$15+1,-'Detailed Project Costs'!$F$40,0))</f>
        <v/>
      </c>
      <c r="AB65" s="273">
        <f>IF('Project Assumptions'!$D$16=0,IF(AB$5='Project Assumptions'!$D$15,-'Detailed Project Costs'!$F$40,0),IF(AB$5='Project Assumptions'!$D$15+1,-'Detailed Project Costs'!$F$40,0))</f>
        <v/>
      </c>
      <c r="AC65" s="273">
        <f>IF('Project Assumptions'!$D$16=0,IF(AC$5='Project Assumptions'!$D$15,-'Detailed Project Costs'!$F$40,0),IF(AC$5='Project Assumptions'!$D$15+1,-'Detailed Project Costs'!$F$40,0))</f>
        <v/>
      </c>
      <c r="AD65" s="273">
        <f>IF('Project Assumptions'!$D$16=0,IF(AD$5='Project Assumptions'!$D$15,-'Detailed Project Costs'!$F$40,0),IF(AD$5='Project Assumptions'!$D$15+1,-'Detailed Project Costs'!$F$40,0))</f>
        <v/>
      </c>
      <c r="AE65" s="273">
        <f>IF('Project Assumptions'!$D$16=0,IF(AE$5='Project Assumptions'!$D$15,-'Detailed Project Costs'!$F$40,0),IF(AE$5='Project Assumptions'!$D$15+1,-'Detailed Project Costs'!$F$40,0))</f>
        <v/>
      </c>
      <c r="AF65" s="273">
        <f>IF('Project Assumptions'!$D$16=0,IF(AF$5='Project Assumptions'!$D$15,-'Detailed Project Costs'!$F$40,0),IF(AF$5='Project Assumptions'!$D$15+1,-'Detailed Project Costs'!$F$40,0))</f>
        <v/>
      </c>
      <c r="AG65" s="273">
        <f>IF('Project Assumptions'!$D$16=0,IF(AG$5='Project Assumptions'!$D$15,-'Detailed Project Costs'!$F$40,0),IF(AG$5='Project Assumptions'!$D$15+1,-'Detailed Project Costs'!$F$40,0))</f>
        <v/>
      </c>
      <c r="AH65" s="273">
        <f>IF('Project Assumptions'!$D$16=0,IF(AH$5='Project Assumptions'!$D$15,-'Detailed Project Costs'!$F$40,0),IF(AH$5='Project Assumptions'!$D$15+1,-'Detailed Project Costs'!$F$40,0))</f>
        <v/>
      </c>
      <c r="AI65" s="273">
        <f>IF('Project Assumptions'!$D$16=0,IF(AI$5='Project Assumptions'!$D$15,-'Detailed Project Costs'!$F$40,0),IF(AI$5='Project Assumptions'!$D$15+1,-'Detailed Project Costs'!$F$40,0))</f>
        <v/>
      </c>
      <c r="AJ65" s="273">
        <f>IF('Project Assumptions'!$D$16=0,IF(AJ$5='Project Assumptions'!$D$15,-'Detailed Project Costs'!$F$40,0),IF(AJ$5='Project Assumptions'!$D$15+1,-'Detailed Project Costs'!$F$40,0))</f>
        <v/>
      </c>
      <c r="AK65" s="273">
        <f>IF('Project Assumptions'!$D$16=0,IF(AK$5='Project Assumptions'!$D$15,-'Detailed Project Costs'!$F$40,0),IF(AK$5='Project Assumptions'!$D$15+1,-'Detailed Project Costs'!$F$40,0))</f>
        <v/>
      </c>
      <c r="AL65" s="273">
        <f>IF('Project Assumptions'!$D$16=0,IF(AL$5='Project Assumptions'!$D$15,-'Detailed Project Costs'!$F$40,0),IF(AL$5='Project Assumptions'!$D$15+1,-'Detailed Project Costs'!$F$40,0))</f>
        <v/>
      </c>
      <c r="AM65" s="273">
        <f>IF('Project Assumptions'!$D$16=0,IF(AM$5='Project Assumptions'!$D$15,-'Detailed Project Costs'!$F$40,0),IF(AM$5='Project Assumptions'!$D$15+1,-'Detailed Project Costs'!$F$40,0))</f>
        <v/>
      </c>
      <c r="AN65" s="273">
        <f>IF('Project Assumptions'!$D$16=0,IF(AN$5='Project Assumptions'!$D$15,-'Detailed Project Costs'!$F$40,0),IF(AN$5='Project Assumptions'!$D$15+1,-'Detailed Project Costs'!$F$40,0))</f>
        <v/>
      </c>
      <c r="AO65" s="273">
        <f>IF('Project Assumptions'!$D$16=0,IF(AO$5='Project Assumptions'!$D$15,-'Detailed Project Costs'!$F$40,0),IF(AO$5='Project Assumptions'!$D$15+1,-'Detailed Project Costs'!$F$40,0))</f>
        <v/>
      </c>
      <c r="AP65" s="273">
        <f>IF('Project Assumptions'!$D$16=0,IF(AP$5='Project Assumptions'!$D$15,-'Detailed Project Costs'!$F$40,0),IF(AP$5='Project Assumptions'!$D$15+1,-'Detailed Project Costs'!$F$40,0))</f>
        <v/>
      </c>
      <c r="AQ65" s="273">
        <f>IF('Project Assumptions'!$D$16=0,IF(AQ$5='Project Assumptions'!$D$15,-'Detailed Project Costs'!$F$40,0),IF(AQ$5='Project Assumptions'!$D$15+1,-'Detailed Project Costs'!$F$40,0))</f>
        <v/>
      </c>
      <c r="AR65" s="273">
        <f>IF('Project Assumptions'!$D$16=0,IF(AR$5='Project Assumptions'!$D$15,-'Detailed Project Costs'!$F$40,0),IF(AR$5='Project Assumptions'!$D$15+1,-'Detailed Project Costs'!$F$40,0))</f>
        <v/>
      </c>
      <c r="AS65" s="273">
        <f>IF('Project Assumptions'!$D$16=0,IF(AS$5='Project Assumptions'!$D$15,-'Detailed Project Costs'!$F$40,0),IF(AS$5='Project Assumptions'!$D$15+1,-'Detailed Project Costs'!$F$40,0))</f>
        <v/>
      </c>
      <c r="AT65" s="273">
        <f>IF('Project Assumptions'!$D$16=0,IF(AT$5='Project Assumptions'!$D$15,-'Detailed Project Costs'!$F$40,0),IF(AT$5='Project Assumptions'!$D$15+1,-'Detailed Project Costs'!$F$40,0))</f>
        <v/>
      </c>
      <c r="AU65" s="273">
        <f>IF('Project Assumptions'!$D$16=0,IF(AU$5='Project Assumptions'!$D$15,-'Detailed Project Costs'!$F$40,0),IF(AU$5='Project Assumptions'!$D$15+1,-'Detailed Project Costs'!$F$40,0))</f>
        <v/>
      </c>
      <c r="AV65" s="273">
        <f>IF('Project Assumptions'!$D$16=0,IF(AV$5='Project Assumptions'!$D$15,-'Detailed Project Costs'!$F$40,0),IF(AV$5='Project Assumptions'!$D$15+1,-'Detailed Project Costs'!$F$40,0))</f>
        <v/>
      </c>
      <c r="AW65" s="273">
        <f>IF('Project Assumptions'!$D$16=0,IF(AW$5='Project Assumptions'!$D$15,-'Detailed Project Costs'!$F$40,0),IF(AW$5='Project Assumptions'!$D$15+1,-'Detailed Project Costs'!$F$40,0))</f>
        <v/>
      </c>
      <c r="AX65" s="273">
        <f>IF('Project Assumptions'!$D$16=0,IF(AX$5='Project Assumptions'!$D$15,-'Detailed Project Costs'!$F$40,0),IF(AX$5='Project Assumptions'!$D$15+1,-'Detailed Project Costs'!$F$40,0))</f>
        <v/>
      </c>
      <c r="AY65" s="273">
        <f>IF('Project Assumptions'!$D$16=0,IF(AY$5='Project Assumptions'!$D$15,-'Detailed Project Costs'!$F$40,0),IF(AY$5='Project Assumptions'!$D$15+1,-'Detailed Project Costs'!$F$40,0))</f>
        <v/>
      </c>
      <c r="AZ65" s="273">
        <f>IF('Project Assumptions'!$D$16=0,IF(AZ$5='Project Assumptions'!$D$15,-'Detailed Project Costs'!$F$40,0),IF(AZ$5='Project Assumptions'!$D$15+1,-'Detailed Project Costs'!$F$40,0))</f>
        <v/>
      </c>
      <c r="BA65" s="273">
        <f>IF('Project Assumptions'!$D$16=0,IF(BA$5='Project Assumptions'!$D$15,-'Detailed Project Costs'!$F$40,0),IF(BA$5='Project Assumptions'!$D$15+1,-'Detailed Project Costs'!$F$40,0))</f>
        <v/>
      </c>
      <c r="BB65" s="273">
        <f>IF('Project Assumptions'!$D$16=0,IF(BB$5='Project Assumptions'!$D$15,-'Detailed Project Costs'!$F$40,0),IF(BB$5='Project Assumptions'!$D$15+1,-'Detailed Project Costs'!$F$40,0))</f>
        <v/>
      </c>
      <c r="BC65" s="273">
        <f>IF('Project Assumptions'!$D$16=0,IF(BC$5='Project Assumptions'!$D$15,-'Detailed Project Costs'!$F$40,0),IF(BC$5='Project Assumptions'!$D$15+1,-'Detailed Project Costs'!$F$40,0))</f>
        <v/>
      </c>
      <c r="BD65" s="273">
        <f>IF('Project Assumptions'!$D$16=0,IF(BD$5='Project Assumptions'!$D$15,-'Detailed Project Costs'!$F$40,0),IF(BD$5='Project Assumptions'!$D$15+1,-'Detailed Project Costs'!$F$40,0))</f>
        <v/>
      </c>
      <c r="BE65" s="273">
        <f>IF('Project Assumptions'!$D$16=0,IF(BE$5='Project Assumptions'!$D$15,-'Detailed Project Costs'!$F$40,0),IF(BE$5='Project Assumptions'!$D$15+1,-'Detailed Project Costs'!$F$40,0))</f>
        <v/>
      </c>
      <c r="BF65" s="273">
        <f>IF('Project Assumptions'!$D$16=0,IF(BF$5='Project Assumptions'!$D$15,-'Detailed Project Costs'!$F$40,0),IF(BF$5='Project Assumptions'!$D$15+1,-'Detailed Project Costs'!$F$40,0))</f>
        <v/>
      </c>
      <c r="BG65" s="273">
        <f>IF('Project Assumptions'!$D$16=0,IF(BG$5='Project Assumptions'!$D$15,-'Detailed Project Costs'!$F$40,0),IF(BG$5='Project Assumptions'!$D$15+1,-'Detailed Project Costs'!$F$40,0))</f>
        <v/>
      </c>
      <c r="BH65" s="273">
        <f>IF('Project Assumptions'!$D$16=0,IF(BH$5='Project Assumptions'!$D$15,-'Detailed Project Costs'!$F$40,0),IF(BH$5='Project Assumptions'!$D$15+1,-'Detailed Project Costs'!$F$40,0))</f>
        <v/>
      </c>
      <c r="BI65" s="273">
        <f>IF('Project Assumptions'!$D$16=0,IF(BI$5='Project Assumptions'!$D$15,-'Detailed Project Costs'!$F$40,0),IF(BI$5='Project Assumptions'!$D$15+1,-'Detailed Project Costs'!$F$40,0))</f>
        <v/>
      </c>
      <c r="BJ65" s="273">
        <f>IF('Project Assumptions'!$D$16=0,IF(BJ$5='Project Assumptions'!$D$15,-'Detailed Project Costs'!$F$40,0),IF(BJ$5='Project Assumptions'!$D$15+1,-'Detailed Project Costs'!$F$40,0))</f>
        <v/>
      </c>
      <c r="BK65" s="273">
        <f>IF('Project Assumptions'!$D$16=0,IF(BK$5='Project Assumptions'!$D$15,-'Detailed Project Costs'!$F$40,0),IF(BK$5='Project Assumptions'!$D$15+1,-'Detailed Project Costs'!$F$40,0))</f>
        <v/>
      </c>
      <c r="BL65" s="273">
        <f>IF('Project Assumptions'!$D$16=0,IF(BL$5='Project Assumptions'!$D$15,-'Detailed Project Costs'!$F$40,0),IF(BL$5='Project Assumptions'!$D$15+1,-'Detailed Project Costs'!$F$40,0))</f>
        <v/>
      </c>
      <c r="BM65" s="273">
        <f>IF('Project Assumptions'!$D$16=0,IF(BM$5='Project Assumptions'!$D$15,-'Detailed Project Costs'!$F$40,0),IF(BM$5='Project Assumptions'!$D$15+1,-'Detailed Project Costs'!$F$40,0))</f>
        <v/>
      </c>
      <c r="BN65" s="273">
        <f>IF('Project Assumptions'!$D$16=0,IF(BN$5='Project Assumptions'!$D$15,-'Detailed Project Costs'!$F$40,0),IF(BN$5='Project Assumptions'!$D$15+1,-'Detailed Project Costs'!$F$40,0))</f>
        <v/>
      </c>
      <c r="BO65" s="273">
        <f>IF('Project Assumptions'!$D$16=0,IF(BO$5='Project Assumptions'!$D$15,-'Detailed Project Costs'!$F$40,0),IF(BO$5='Project Assumptions'!$D$15+1,-'Detailed Project Costs'!$F$40,0))</f>
        <v/>
      </c>
      <c r="BP65" s="273">
        <f>IF('Project Assumptions'!$D$16=0,IF(BP$5='Project Assumptions'!$D$15,-'Detailed Project Costs'!$F$40,0),IF(BP$5='Project Assumptions'!$D$15+1,-'Detailed Project Costs'!$F$40,0))</f>
        <v/>
      </c>
      <c r="BQ65" s="273">
        <f>IF('Project Assumptions'!$D$16=0,IF(BQ$5='Project Assumptions'!$D$15,-'Detailed Project Costs'!$F$40,0),IF(BQ$5='Project Assumptions'!$D$15+1,-'Detailed Project Costs'!$F$40,0))</f>
        <v/>
      </c>
      <c r="BR65" s="273">
        <f>IF('Project Assumptions'!$D$16=0,IF(BR$5='Project Assumptions'!$D$15,-'Detailed Project Costs'!$F$40,0),IF(BR$5='Project Assumptions'!$D$15+1,-'Detailed Project Costs'!$F$40,0))</f>
        <v/>
      </c>
      <c r="BS65" s="273">
        <f>IF('Project Assumptions'!$D$16=0,IF(BS$5='Project Assumptions'!$D$15,-'Detailed Project Costs'!$F$40,0),IF(BS$5='Project Assumptions'!$D$15+1,-'Detailed Project Costs'!$F$40,0))</f>
        <v/>
      </c>
      <c r="BT65" s="273">
        <f>IF('Project Assumptions'!$D$16=0,IF(BT$5='Project Assumptions'!$D$15,-'Detailed Project Costs'!$F$40,0),IF(BT$5='Project Assumptions'!$D$15+1,-'Detailed Project Costs'!$F$40,0))</f>
        <v/>
      </c>
      <c r="BU65" s="273">
        <f>IF('Project Assumptions'!$D$16=0,IF(BU$5='Project Assumptions'!$D$15,-'Detailed Project Costs'!$F$40,0),IF(BU$5='Project Assumptions'!$D$15+1,-'Detailed Project Costs'!$F$40,0))</f>
        <v/>
      </c>
      <c r="BV65" s="273">
        <f>IF('Project Assumptions'!$D$16=0,IF(BV$5='Project Assumptions'!$D$15,-'Detailed Project Costs'!$F$40,0),IF(BV$5='Project Assumptions'!$D$15+1,-'Detailed Project Costs'!$F$40,0))</f>
        <v/>
      </c>
      <c r="BW65" s="273">
        <f>IF('Project Assumptions'!$D$16=0,IF(BW$5='Project Assumptions'!$D$15,-'Detailed Project Costs'!$F$40,0),IF(BW$5='Project Assumptions'!$D$15+1,-'Detailed Project Costs'!$F$40,0))</f>
        <v/>
      </c>
      <c r="BX65" s="273">
        <f>IF('Project Assumptions'!$D$16=0,IF(BX$5='Project Assumptions'!$D$15,-'Detailed Project Costs'!$F$40,0),IF(BX$5='Project Assumptions'!$D$15+1,-'Detailed Project Costs'!$F$40,0))</f>
        <v/>
      </c>
      <c r="BY65" s="273">
        <f>IF('Project Assumptions'!$D$16=0,IF(BY$5='Project Assumptions'!$D$15,-'Detailed Project Costs'!$F$40,0),IF(BY$5='Project Assumptions'!$D$15+1,-'Detailed Project Costs'!$F$40,0))</f>
        <v/>
      </c>
      <c r="BZ65" s="273">
        <f>IF('Project Assumptions'!$D$16=0,IF(BZ$5='Project Assumptions'!$D$15,-'Detailed Project Costs'!$F$40,0),IF(BZ$5='Project Assumptions'!$D$15+1,-'Detailed Project Costs'!$F$40,0))</f>
        <v/>
      </c>
      <c r="CA65" s="273">
        <f>IF('Project Assumptions'!$D$16=0,IF(CA$5='Project Assumptions'!$D$15,-'Detailed Project Costs'!$F$40,0),IF(CA$5='Project Assumptions'!$D$15+1,-'Detailed Project Costs'!$F$40,0))</f>
        <v/>
      </c>
      <c r="CB65" s="273">
        <f>IF('Project Assumptions'!$D$16=0,IF(CB$5='Project Assumptions'!$D$15,-'Detailed Project Costs'!$F$40,0),IF(CB$5='Project Assumptions'!$D$15+1,-'Detailed Project Costs'!$F$40,0))</f>
        <v/>
      </c>
      <c r="CC65" s="273">
        <f>IF('Project Assumptions'!$D$16=0,IF(CC$5='Project Assumptions'!$D$15,-'Detailed Project Costs'!$F$40,0),IF(CC$5='Project Assumptions'!$D$15+1,-'Detailed Project Costs'!$F$40,0))</f>
        <v/>
      </c>
      <c r="CD65" s="273">
        <f>IF('Project Assumptions'!$D$16=0,IF(CD$5='Project Assumptions'!$D$15,-'Detailed Project Costs'!$F$40,0),IF(CD$5='Project Assumptions'!$D$15+1,-'Detailed Project Costs'!$F$40,0))</f>
        <v/>
      </c>
      <c r="CE65" s="273">
        <f>IF('Project Assumptions'!$D$16=0,IF(CE$5='Project Assumptions'!$D$15,-'Detailed Project Costs'!$F$40,0),IF(CE$5='Project Assumptions'!$D$15+1,-'Detailed Project Costs'!$F$40,0))</f>
        <v/>
      </c>
      <c r="CF65" s="273">
        <f>IF('Project Assumptions'!$D$16=0,IF(CF$5='Project Assumptions'!$D$15,-'Detailed Project Costs'!$F$40,0),IF(CF$5='Project Assumptions'!$D$15+1,-'Detailed Project Costs'!$F$40,0))</f>
        <v/>
      </c>
      <c r="CG65" s="273">
        <f>IF('Project Assumptions'!$D$16=0,IF(CG$5='Project Assumptions'!$D$15,-'Detailed Project Costs'!$F$40,0),IF(CG$5='Project Assumptions'!$D$15+1,-'Detailed Project Costs'!$F$40,0))</f>
        <v/>
      </c>
      <c r="CH65" s="273">
        <f>IF('Project Assumptions'!$D$16=0,IF(CH$5='Project Assumptions'!$D$15,-'Detailed Project Costs'!$F$40,0),IF(CH$5='Project Assumptions'!$D$15+1,-'Detailed Project Costs'!$F$40,0))</f>
        <v/>
      </c>
      <c r="CI65" s="273">
        <f>IF('Project Assumptions'!$D$16=0,IF(CI$5='Project Assumptions'!$D$15,-'Detailed Project Costs'!$F$40,0),IF(CI$5='Project Assumptions'!$D$15+1,-'Detailed Project Costs'!$F$40,0))</f>
        <v/>
      </c>
      <c r="CJ65" s="273">
        <f>IF('Project Assumptions'!$D$16=0,IF(CJ$5='Project Assumptions'!$D$15,-'Detailed Project Costs'!$F$40,0),IF(CJ$5='Project Assumptions'!$D$15+1,-'Detailed Project Costs'!$F$40,0))</f>
        <v/>
      </c>
      <c r="CK65" s="273">
        <f>IF('Project Assumptions'!$D$16=0,IF(CK$5='Project Assumptions'!$D$15,-'Detailed Project Costs'!$F$40,0),IF(CK$5='Project Assumptions'!$D$15+1,-'Detailed Project Costs'!$F$40,0))</f>
        <v/>
      </c>
      <c r="CL65" s="273">
        <f>IF('Project Assumptions'!$D$16=0,IF(CL$5='Project Assumptions'!$D$15,-'Detailed Project Costs'!$F$40,0),IF(CL$5='Project Assumptions'!$D$15+1,-'Detailed Project Costs'!$F$40,0))</f>
        <v/>
      </c>
      <c r="CM65" s="273">
        <f>IF('Project Assumptions'!$D$16=0,IF(CM$5='Project Assumptions'!$D$15,-'Detailed Project Costs'!$F$40,0),IF(CM$5='Project Assumptions'!$D$15+1,-'Detailed Project Costs'!$F$40,0))</f>
        <v/>
      </c>
      <c r="CN65" s="273">
        <f>IF('Project Assumptions'!$D$16=0,IF(CN$5='Project Assumptions'!$D$15,-'Detailed Project Costs'!$F$40,0),IF(CN$5='Project Assumptions'!$D$15+1,-'Detailed Project Costs'!$F$40,0))</f>
        <v/>
      </c>
      <c r="CO65" s="273">
        <f>IF('Project Assumptions'!$D$16=0,IF(CO$5='Project Assumptions'!$D$15,-'Detailed Project Costs'!$F$40,0),IF(CO$5='Project Assumptions'!$D$15+1,-'Detailed Project Costs'!$F$40,0))</f>
        <v/>
      </c>
      <c r="CP65" s="273">
        <f>IF('Project Assumptions'!$D$16=0,IF(CP$5='Project Assumptions'!$D$15,-'Detailed Project Costs'!$F$40,0),IF(CP$5='Project Assumptions'!$D$15+1,-'Detailed Project Costs'!$F$40,0))</f>
        <v/>
      </c>
      <c r="CQ65" s="273">
        <f>IF('Project Assumptions'!$D$16=0,IF(CQ$5='Project Assumptions'!$D$15,-'Detailed Project Costs'!$F$40,0),IF(CQ$5='Project Assumptions'!$D$15+1,-'Detailed Project Costs'!$F$40,0))</f>
        <v/>
      </c>
      <c r="CR65" s="273">
        <f>IF('Project Assumptions'!$D$16=0,IF(CR$5='Project Assumptions'!$D$15,-'Detailed Project Costs'!$F$40,0),IF(CR$5='Project Assumptions'!$D$15+1,-'Detailed Project Costs'!$F$40,0))</f>
        <v/>
      </c>
      <c r="CS65" s="273">
        <f>IF('Project Assumptions'!$D$16=0,IF(CS$5='Project Assumptions'!$D$15,-'Detailed Project Costs'!$F$40,0),IF(CS$5='Project Assumptions'!$D$15+1,-'Detailed Project Costs'!$F$40,0))</f>
        <v/>
      </c>
      <c r="CT65" s="273">
        <f>IF('Project Assumptions'!$D$16=0,IF(CT$5='Project Assumptions'!$D$15,-'Detailed Project Costs'!$F$40,0),IF(CT$5='Project Assumptions'!$D$15+1,-'Detailed Project Costs'!$F$40,0))</f>
        <v/>
      </c>
      <c r="CU65" s="273">
        <f>IF('Project Assumptions'!$D$16=0,IF(CU$5='Project Assumptions'!$D$15,-'Detailed Project Costs'!$F$40,0),IF(CU$5='Project Assumptions'!$D$15+1,-'Detailed Project Costs'!$F$40,0))</f>
        <v/>
      </c>
      <c r="CV65" s="273">
        <f>IF('Project Assumptions'!$D$16=0,IF(CV$5='Project Assumptions'!$D$15,-'Detailed Project Costs'!$F$40,0),IF(CV$5='Project Assumptions'!$D$15+1,-'Detailed Project Costs'!$F$40,0))</f>
        <v/>
      </c>
      <c r="CW65" s="273">
        <f>IF('Project Assumptions'!$D$16=0,IF(CW$5='Project Assumptions'!$D$15,-'Detailed Project Costs'!$F$40,0),IF(CW$5='Project Assumptions'!$D$15+1,-'Detailed Project Costs'!$F$40,0))</f>
        <v/>
      </c>
      <c r="CX65" s="273">
        <f>IF('Project Assumptions'!$D$16=0,IF(CX$5='Project Assumptions'!$D$15,-'Detailed Project Costs'!$F$40,0),IF(CX$5='Project Assumptions'!$D$15+1,-'Detailed Project Costs'!$F$40,0))</f>
        <v/>
      </c>
      <c r="CY65" s="273">
        <f>IF('Project Assumptions'!$D$16=0,IF(CY$5='Project Assumptions'!$D$15,-'Detailed Project Costs'!$F$40,0),IF(CY$5='Project Assumptions'!$D$15+1,-'Detailed Project Costs'!$F$40,0))</f>
        <v/>
      </c>
      <c r="CZ65" s="273">
        <f>IF('Project Assumptions'!$D$16=0,IF(CZ$5='Project Assumptions'!$D$15,-'Detailed Project Costs'!$F$40,0),IF(CZ$5='Project Assumptions'!$D$15+1,-'Detailed Project Costs'!$F$40,0))</f>
        <v/>
      </c>
      <c r="DA65" s="273">
        <f>IF('Project Assumptions'!$D$16=0,IF(DA$5='Project Assumptions'!$D$15,-'Detailed Project Costs'!$F$40,0),IF(DA$5='Project Assumptions'!$D$15+1,-'Detailed Project Costs'!$F$40,0))</f>
        <v/>
      </c>
      <c r="DB65" s="273">
        <f>IF('Project Assumptions'!$D$16=0,IF(DB$5='Project Assumptions'!$D$15,-'Detailed Project Costs'!$F$40,0),IF(DB$5='Project Assumptions'!$D$15+1,-'Detailed Project Costs'!$F$40,0))</f>
        <v/>
      </c>
      <c r="DC65" s="273" t="n"/>
      <c r="DD65" s="295">
        <f>SUM(F65:DB65)</f>
        <v/>
      </c>
    </row>
    <row r="66">
      <c r="A66" s="1000" t="n"/>
      <c r="B66" s="704" t="inlineStr">
        <is>
          <t xml:space="preserve">   Marketing - Space Planning (prospects)</t>
        </is>
      </c>
      <c r="C66" s="294" t="n"/>
      <c r="D66" s="295">
        <f>DD66</f>
        <v/>
      </c>
      <c r="E66" s="274" t="n"/>
      <c r="F66" s="273">
        <f>-'Detailed Project Costs'!$F$41*(MAX(G112-F112,0))/MAX('Economic Assumptions'!$C$22,1)+IF('Economic Assumptions'!$C$22=0,IF(F5='Project Assumptions'!$D$15+'Project Assumptions'!$D$16,'Detailed Project Costs'!$F$41,0),0)</f>
        <v/>
      </c>
      <c r="G66" s="273">
        <f>-'Detailed Project Costs'!$F$41*(MAX(H112-G112,0))/MAX('Economic Assumptions'!$C$22,1)+IF('Economic Assumptions'!$C$22=0,IF(G5='Project Assumptions'!$D$15+'Project Assumptions'!$D$16,'Detailed Project Costs'!$F$41,0),0)</f>
        <v/>
      </c>
      <c r="H66" s="273">
        <f>-'Detailed Project Costs'!$F$41*(MAX(I112-H112,0))/MAX('Economic Assumptions'!$C$22,1)+IF('Economic Assumptions'!$C$22=0,IF(H5='Project Assumptions'!$D$15+'Project Assumptions'!$D$16,'Detailed Project Costs'!$F$41,0),0)</f>
        <v/>
      </c>
      <c r="I66" s="273">
        <f>-'Detailed Project Costs'!$F$41*(MAX(J112-I112,0))/MAX('Economic Assumptions'!$C$22,1)+IF('Economic Assumptions'!$C$22=0,IF(I5='Project Assumptions'!$D$15+'Project Assumptions'!$D$16,'Detailed Project Costs'!$F$41,0),0)</f>
        <v/>
      </c>
      <c r="J66" s="273">
        <f>-'Detailed Project Costs'!$F$41*(MAX(K112-J112,0))/MAX('Economic Assumptions'!$C$22,1)+IF('Economic Assumptions'!$C$22=0,IF(J5='Project Assumptions'!$D$15+'Project Assumptions'!$D$16,'Detailed Project Costs'!$F$41,0),0)</f>
        <v/>
      </c>
      <c r="K66" s="273">
        <f>-'Detailed Project Costs'!$F$41*(MAX(L112-K112,0))/MAX('Economic Assumptions'!$C$22,1)+IF('Economic Assumptions'!$C$22=0,IF(K5='Project Assumptions'!$D$15+'Project Assumptions'!$D$16,'Detailed Project Costs'!$F$41,0),0)</f>
        <v/>
      </c>
      <c r="L66" s="273">
        <f>-'Detailed Project Costs'!$F$41*(MAX(M112-L112,0))/MAX('Economic Assumptions'!$C$22,1)+IF('Economic Assumptions'!$C$22=0,IF(L5='Project Assumptions'!$D$15+'Project Assumptions'!$D$16,'Detailed Project Costs'!$F$41,0),0)</f>
        <v/>
      </c>
      <c r="M66" s="273">
        <f>-'Detailed Project Costs'!$F$41*(MAX(N112-M112,0))/MAX('Economic Assumptions'!$C$22,1)+IF('Economic Assumptions'!$C$22=0,IF(M5='Project Assumptions'!$D$15+'Project Assumptions'!$D$16,'Detailed Project Costs'!$F$41,0),0)</f>
        <v/>
      </c>
      <c r="N66" s="273">
        <f>-'Detailed Project Costs'!$F$41*(MAX(O112-N112,0))/MAX('Economic Assumptions'!$C$22,1)+IF('Economic Assumptions'!$C$22=0,IF(N5='Project Assumptions'!$D$15+'Project Assumptions'!$D$16,'Detailed Project Costs'!$F$41,0),0)</f>
        <v/>
      </c>
      <c r="O66" s="273">
        <f>-'Detailed Project Costs'!$F$41*(MAX(P112-O112,0))/MAX('Economic Assumptions'!$C$22,1)+IF('Economic Assumptions'!$C$22=0,IF(O5='Project Assumptions'!$D$15+'Project Assumptions'!$D$16,'Detailed Project Costs'!$F$41,0),0)</f>
        <v/>
      </c>
      <c r="P66" s="273">
        <f>-'Detailed Project Costs'!$F$41*(MAX(Q112-P112,0))/MAX('Economic Assumptions'!$C$22,1)+IF('Economic Assumptions'!$C$22=0,IF(P5='Project Assumptions'!$D$15+'Project Assumptions'!$D$16,'Detailed Project Costs'!$F$41,0),0)</f>
        <v/>
      </c>
      <c r="Q66" s="273">
        <f>-'Detailed Project Costs'!$F$41*(MAX(R112-Q112,0))/MAX('Economic Assumptions'!$C$22,1)+IF('Economic Assumptions'!$C$22=0,IF(Q5='Project Assumptions'!$D$15+'Project Assumptions'!$D$16,'Detailed Project Costs'!$F$41,0),0)</f>
        <v/>
      </c>
      <c r="R66" s="273">
        <f>-'Detailed Project Costs'!$F$41*(MAX(S112-R112,0))/MAX('Economic Assumptions'!$C$22,1)+IF('Economic Assumptions'!$C$22=0,IF(R5='Project Assumptions'!$D$15+'Project Assumptions'!$D$16,'Detailed Project Costs'!$F$41,0),0)</f>
        <v/>
      </c>
      <c r="S66" s="273">
        <f>-'Detailed Project Costs'!$F$41*(MAX(T112-S112,0))/MAX('Economic Assumptions'!$C$22,1)+IF('Economic Assumptions'!$C$22=0,IF(S5='Project Assumptions'!$D$15+'Project Assumptions'!$D$16,'Detailed Project Costs'!$F$41,0),0)</f>
        <v/>
      </c>
      <c r="T66" s="273">
        <f>-'Detailed Project Costs'!$F$41*(MAX(U112-T112,0))/MAX('Economic Assumptions'!$C$22,1)+IF('Economic Assumptions'!$C$22=0,IF(T5='Project Assumptions'!$D$15+'Project Assumptions'!$D$16,'Detailed Project Costs'!$F$41,0),0)</f>
        <v/>
      </c>
      <c r="U66" s="273">
        <f>-'Detailed Project Costs'!$F$41*(MAX(V112-U112,0))/MAX('Economic Assumptions'!$C$22,1)+IF('Economic Assumptions'!$C$22=0,IF(U5='Project Assumptions'!$D$15+'Project Assumptions'!$D$16,'Detailed Project Costs'!$F$41,0),0)</f>
        <v/>
      </c>
      <c r="V66" s="273">
        <f>-'Detailed Project Costs'!$F$41*(MAX(W112-V112,0))/MAX('Economic Assumptions'!$C$22,1)+IF('Economic Assumptions'!$C$22=0,IF(V5='Project Assumptions'!$D$15+'Project Assumptions'!$D$16,'Detailed Project Costs'!$F$41,0),0)</f>
        <v/>
      </c>
      <c r="W66" s="273">
        <f>-'Detailed Project Costs'!$F$41*(MAX(X112-W112,0))/MAX('Economic Assumptions'!$C$22,1)+IF('Economic Assumptions'!$C$22=0,IF(W5='Project Assumptions'!$D$15+'Project Assumptions'!$D$16,'Detailed Project Costs'!$F$41,0),0)</f>
        <v/>
      </c>
      <c r="X66" s="273">
        <f>-'Detailed Project Costs'!$F$41*(MAX(Y112-X112,0))/MAX('Economic Assumptions'!$C$22,1)+IF('Economic Assumptions'!$C$22=0,IF(X5='Project Assumptions'!$D$15+'Project Assumptions'!$D$16,'Detailed Project Costs'!$F$41,0),0)</f>
        <v/>
      </c>
      <c r="Y66" s="273">
        <f>-'Detailed Project Costs'!$F$41*(MAX(Z112-Y112,0))/MAX('Economic Assumptions'!$C$22,1)+IF('Economic Assumptions'!$C$22=0,IF(Y5='Project Assumptions'!$D$15+'Project Assumptions'!$D$16,'Detailed Project Costs'!$F$41,0),0)</f>
        <v/>
      </c>
      <c r="Z66" s="273">
        <f>-'Detailed Project Costs'!$F$41*(MAX(AA112-Z112,0))/MAX('Economic Assumptions'!$C$22,1)+IF('Economic Assumptions'!$C$22=0,IF(Z5='Project Assumptions'!$D$15+'Project Assumptions'!$D$16,'Detailed Project Costs'!$F$41,0),0)</f>
        <v/>
      </c>
      <c r="AA66" s="273">
        <f>-'Detailed Project Costs'!$F$41*(MAX(AB112-AA112,0))/MAX('Economic Assumptions'!$C$22,1)+IF('Economic Assumptions'!$C$22=0,IF(AA5='Project Assumptions'!$D$15+'Project Assumptions'!$D$16,'Detailed Project Costs'!$F$41,0),0)</f>
        <v/>
      </c>
      <c r="AB66" s="273">
        <f>-'Detailed Project Costs'!$F$41*(MAX(AC112-AB112,0))/MAX('Economic Assumptions'!$C$22,1)+IF('Economic Assumptions'!$C$22=0,IF(AB5='Project Assumptions'!$D$15+'Project Assumptions'!$D$16,'Detailed Project Costs'!$F$41,0),0)</f>
        <v/>
      </c>
      <c r="AC66" s="273">
        <f>-'Detailed Project Costs'!$F$41*(MAX(AD112-AC112,0))/MAX('Economic Assumptions'!$C$22,1)+IF('Economic Assumptions'!$C$22=0,IF(AC5='Project Assumptions'!$D$15+'Project Assumptions'!$D$16,'Detailed Project Costs'!$F$41,0),0)</f>
        <v/>
      </c>
      <c r="AD66" s="273">
        <f>-'Detailed Project Costs'!$F$41*(MAX(AE112-AD112,0))/MAX('Economic Assumptions'!$C$22,1)+IF('Economic Assumptions'!$C$22=0,IF(AD5='Project Assumptions'!$D$15+'Project Assumptions'!$D$16,'Detailed Project Costs'!$F$41,0),0)</f>
        <v/>
      </c>
      <c r="AE66" s="273">
        <f>-'Detailed Project Costs'!$F$41*(MAX(AF112-AE112,0))/MAX('Economic Assumptions'!$C$22,1)+IF('Economic Assumptions'!$C$22=0,IF(AE5='Project Assumptions'!$D$15+'Project Assumptions'!$D$16,'Detailed Project Costs'!$F$41,0),0)</f>
        <v/>
      </c>
      <c r="AF66" s="273">
        <f>-'Detailed Project Costs'!$F$41*(MAX(AG112-AF112,0))/MAX('Economic Assumptions'!$C$22,1)+IF('Economic Assumptions'!$C$22=0,IF(AF5='Project Assumptions'!$D$15+'Project Assumptions'!$D$16,'Detailed Project Costs'!$F$41,0),0)</f>
        <v/>
      </c>
      <c r="AG66" s="273">
        <f>-'Detailed Project Costs'!$F$41*(MAX(AH112-AG112,0))/MAX('Economic Assumptions'!$C$22,1)+IF('Economic Assumptions'!$C$22=0,IF(AG5='Project Assumptions'!$D$15+'Project Assumptions'!$D$16,'Detailed Project Costs'!$F$41,0),0)</f>
        <v/>
      </c>
      <c r="AH66" s="273">
        <f>-'Detailed Project Costs'!$F$41*(MAX(AI112-AH112,0))/MAX('Economic Assumptions'!$C$22,1)+IF('Economic Assumptions'!$C$22=0,IF(AH5='Project Assumptions'!$D$15+'Project Assumptions'!$D$16,'Detailed Project Costs'!$F$41,0),0)</f>
        <v/>
      </c>
      <c r="AI66" s="273">
        <f>-'Detailed Project Costs'!$F$41*(MAX(AJ112-AI112,0))/MAX('Economic Assumptions'!$C$22,1)+IF('Economic Assumptions'!$C$22=0,IF(AI5='Project Assumptions'!$D$15+'Project Assumptions'!$D$16,'Detailed Project Costs'!$F$41,0),0)</f>
        <v/>
      </c>
      <c r="AJ66" s="273">
        <f>-'Detailed Project Costs'!$F$41*(MAX(AK112-AJ112,0))/MAX('Economic Assumptions'!$C$22,1)+IF('Economic Assumptions'!$C$22=0,IF(AJ5='Project Assumptions'!$D$15+'Project Assumptions'!$D$16,'Detailed Project Costs'!$F$41,0),0)</f>
        <v/>
      </c>
      <c r="AK66" s="273">
        <f>-'Detailed Project Costs'!$F$41*(MAX(AL112-AK112,0))/MAX('Economic Assumptions'!$C$22,1)+IF('Economic Assumptions'!$C$22=0,IF(AK5='Project Assumptions'!$D$15+'Project Assumptions'!$D$16,'Detailed Project Costs'!$F$41,0),0)</f>
        <v/>
      </c>
      <c r="AL66" s="273">
        <f>-'Detailed Project Costs'!$F$41*(MAX(AM112-AL112,0))/MAX('Economic Assumptions'!$C$22,1)+IF('Economic Assumptions'!$C$22=0,IF(AL5='Project Assumptions'!$D$15+'Project Assumptions'!$D$16,'Detailed Project Costs'!$F$41,0),0)</f>
        <v/>
      </c>
      <c r="AM66" s="273">
        <f>-'Detailed Project Costs'!$F$41*(MAX(AN112-AM112,0))/MAX('Economic Assumptions'!$C$22,1)+IF('Economic Assumptions'!$C$22=0,IF(AM5='Project Assumptions'!$D$15+'Project Assumptions'!$D$16,'Detailed Project Costs'!$F$41,0),0)</f>
        <v/>
      </c>
      <c r="AN66" s="273">
        <f>-'Detailed Project Costs'!$F$41*(MAX(AO112-AN112,0))/MAX('Economic Assumptions'!$C$22,1)+IF('Economic Assumptions'!$C$22=0,IF(AN5='Project Assumptions'!$D$15+'Project Assumptions'!$D$16,'Detailed Project Costs'!$F$41,0),0)</f>
        <v/>
      </c>
      <c r="AO66" s="273">
        <f>-'Detailed Project Costs'!$F$41*(MAX(AP112-AO112,0))/MAX('Economic Assumptions'!$C$22,1)+IF('Economic Assumptions'!$C$22=0,IF(AO5='Project Assumptions'!$D$15+'Project Assumptions'!$D$16,'Detailed Project Costs'!$F$41,0),0)</f>
        <v/>
      </c>
      <c r="AP66" s="273">
        <f>-'Detailed Project Costs'!$F$41*(MAX(AQ112-AP112,0))/MAX('Economic Assumptions'!$C$22,1)+IF('Economic Assumptions'!$C$22=0,IF(AP5='Project Assumptions'!$D$15+'Project Assumptions'!$D$16,'Detailed Project Costs'!$F$41,0),0)</f>
        <v/>
      </c>
      <c r="AQ66" s="273">
        <f>-'Detailed Project Costs'!$F$41*(MAX(AR112-AQ112,0))/MAX('Economic Assumptions'!$C$22,1)+IF('Economic Assumptions'!$C$22=0,IF(AQ5='Project Assumptions'!$D$15+'Project Assumptions'!$D$16,'Detailed Project Costs'!$F$41,0),0)</f>
        <v/>
      </c>
      <c r="AR66" s="273">
        <f>-'Detailed Project Costs'!$F$41*(MAX(AS112-AR112,0))/MAX('Economic Assumptions'!$C$22,1)+IF('Economic Assumptions'!$C$22=0,IF(AR5='Project Assumptions'!$D$15+'Project Assumptions'!$D$16,'Detailed Project Costs'!$F$41,0),0)</f>
        <v/>
      </c>
      <c r="AS66" s="273">
        <f>-'Detailed Project Costs'!$F$41*(MAX(AT112-AS112,0))/MAX('Economic Assumptions'!$C$22,1)+IF('Economic Assumptions'!$C$22=0,IF(AS5='Project Assumptions'!$D$15+'Project Assumptions'!$D$16,'Detailed Project Costs'!$F$41,0),0)</f>
        <v/>
      </c>
      <c r="AT66" s="273">
        <f>-'Detailed Project Costs'!$F$41*(MAX(AU112-AT112,0))/MAX('Economic Assumptions'!$C$22,1)+IF('Economic Assumptions'!$C$22=0,IF(AT5='Project Assumptions'!$D$15+'Project Assumptions'!$D$16,'Detailed Project Costs'!$F$41,0),0)</f>
        <v/>
      </c>
      <c r="AU66" s="273">
        <f>-'Detailed Project Costs'!$F$41*(MAX(AV112-AU112,0))/MAX('Economic Assumptions'!$C$22,1)+IF('Economic Assumptions'!$C$22=0,IF(AU5='Project Assumptions'!$D$15+'Project Assumptions'!$D$16,'Detailed Project Costs'!$F$41,0),0)</f>
        <v/>
      </c>
      <c r="AV66" s="273">
        <f>-'Detailed Project Costs'!$F$41*(MAX(AW112-AV112,0))/MAX('Economic Assumptions'!$C$22,1)+IF('Economic Assumptions'!$C$22=0,IF(AV5='Project Assumptions'!$D$15+'Project Assumptions'!$D$16,'Detailed Project Costs'!$F$41,0),0)</f>
        <v/>
      </c>
      <c r="AW66" s="273">
        <f>-'Detailed Project Costs'!$F$41*(MAX(AX112-AW112,0))/MAX('Economic Assumptions'!$C$22,1)+IF('Economic Assumptions'!$C$22=0,IF(AW5='Project Assumptions'!$D$15+'Project Assumptions'!$D$16,'Detailed Project Costs'!$F$41,0),0)</f>
        <v/>
      </c>
      <c r="AX66" s="273">
        <f>-'Detailed Project Costs'!$F$41*(MAX(AY112-AX112,0))/MAX('Economic Assumptions'!$C$22,1)+IF('Economic Assumptions'!$C$22=0,IF(AX5='Project Assumptions'!$D$15+'Project Assumptions'!$D$16,'Detailed Project Costs'!$F$41,0),0)</f>
        <v/>
      </c>
      <c r="AY66" s="273">
        <f>-'Detailed Project Costs'!$F$41*(MAX(AZ112-AY112,0))/MAX('Economic Assumptions'!$C$22,1)+IF('Economic Assumptions'!$C$22=0,IF(AY5='Project Assumptions'!$D$15+'Project Assumptions'!$D$16,'Detailed Project Costs'!$F$41,0),0)</f>
        <v/>
      </c>
      <c r="AZ66" s="273">
        <f>-'Detailed Project Costs'!$F$41*(MAX(BA112-AZ112,0))/MAX('Economic Assumptions'!$C$22,1)+IF('Economic Assumptions'!$C$22=0,IF(AZ5='Project Assumptions'!$D$15+'Project Assumptions'!$D$16,'Detailed Project Costs'!$F$41,0),0)</f>
        <v/>
      </c>
      <c r="BA66" s="273">
        <f>-'Detailed Project Costs'!$F$41*(MAX(BB112-BA112,0))/MAX('Economic Assumptions'!$C$22,1)+IF('Economic Assumptions'!$C$22=0,IF(BA5='Project Assumptions'!$D$15+'Project Assumptions'!$D$16,'Detailed Project Costs'!$F$41,0),0)</f>
        <v/>
      </c>
      <c r="BB66" s="273">
        <f>-'Detailed Project Costs'!$F$41*(MAX(BC112-BB112,0))/MAX('Economic Assumptions'!$C$22,1)+IF('Economic Assumptions'!$C$22=0,IF(BB5='Project Assumptions'!$D$15+'Project Assumptions'!$D$16,'Detailed Project Costs'!$F$41,0),0)</f>
        <v/>
      </c>
      <c r="BC66" s="273">
        <f>-'Detailed Project Costs'!$F$41*(MAX(BD112-BC112,0))/MAX('Economic Assumptions'!$C$22,1)+IF('Economic Assumptions'!$C$22=0,IF(BC5='Project Assumptions'!$D$15+'Project Assumptions'!$D$16,'Detailed Project Costs'!$F$41,0),0)</f>
        <v/>
      </c>
      <c r="BD66" s="273">
        <f>-'Detailed Project Costs'!$F$41*(MAX(BE112-BD112,0))/MAX('Economic Assumptions'!$C$22,1)+IF('Economic Assumptions'!$C$22=0,IF(BD5='Project Assumptions'!$D$15+'Project Assumptions'!$D$16,'Detailed Project Costs'!$F$41,0),0)</f>
        <v/>
      </c>
      <c r="BE66" s="273">
        <f>-'Detailed Project Costs'!$F$41*(MAX(BF112-BE112,0))/MAX('Economic Assumptions'!$C$22,1)+IF('Economic Assumptions'!$C$22=0,IF(BE5='Project Assumptions'!$D$15+'Project Assumptions'!$D$16,'Detailed Project Costs'!$F$41,0),0)</f>
        <v/>
      </c>
      <c r="BF66" s="273">
        <f>-'Detailed Project Costs'!$F$41*(MAX(BG112-BF112,0))/MAX('Economic Assumptions'!$C$22,1)+IF('Economic Assumptions'!$C$22=0,IF(BF5='Project Assumptions'!$D$15+'Project Assumptions'!$D$16,'Detailed Project Costs'!$F$41,0),0)</f>
        <v/>
      </c>
      <c r="BG66" s="273">
        <f>-'Detailed Project Costs'!$F$41*(MAX(BH112-BG112,0))/MAX('Economic Assumptions'!$C$22,1)+IF('Economic Assumptions'!$C$22=0,IF(BG5='Project Assumptions'!$D$15+'Project Assumptions'!$D$16,'Detailed Project Costs'!$F$41,0),0)</f>
        <v/>
      </c>
      <c r="BH66" s="273">
        <f>-'Detailed Project Costs'!$F$41*(MAX(BI112-BH112,0))/MAX('Economic Assumptions'!$C$22,1)+IF('Economic Assumptions'!$C$22=0,IF(BH5='Project Assumptions'!$D$15+'Project Assumptions'!$D$16,'Detailed Project Costs'!$F$41,0),0)</f>
        <v/>
      </c>
      <c r="BI66" s="273">
        <f>-'Detailed Project Costs'!$F$41*(MAX(BJ112-BI112,0))/MAX('Economic Assumptions'!$C$22,1)+IF('Economic Assumptions'!$C$22=0,IF(BI5='Project Assumptions'!$D$15+'Project Assumptions'!$D$16,'Detailed Project Costs'!$F$41,0),0)</f>
        <v/>
      </c>
      <c r="BJ66" s="273">
        <f>-'Detailed Project Costs'!$F$41*(MAX(BK112-BJ112,0))/MAX('Economic Assumptions'!$C$22,1)+IF('Economic Assumptions'!$C$22=0,IF(BJ5='Project Assumptions'!$D$15+'Project Assumptions'!$D$16,'Detailed Project Costs'!$F$41,0),0)</f>
        <v/>
      </c>
      <c r="BK66" s="273">
        <f>-'Detailed Project Costs'!$F$41*(MAX(BL112-BK112,0))/MAX('Economic Assumptions'!$C$22,1)+IF('Economic Assumptions'!$C$22=0,IF(BK5='Project Assumptions'!$D$15+'Project Assumptions'!$D$16,'Detailed Project Costs'!$F$41,0),0)</f>
        <v/>
      </c>
      <c r="BL66" s="273">
        <f>-'Detailed Project Costs'!$F$41*(MAX(BM112-BL112,0))/MAX('Economic Assumptions'!$C$22,1)+IF('Economic Assumptions'!$C$22=0,IF(BL5='Project Assumptions'!$D$15+'Project Assumptions'!$D$16,'Detailed Project Costs'!$F$41,0),0)</f>
        <v/>
      </c>
      <c r="BM66" s="273">
        <f>-'Detailed Project Costs'!$F$41*(MAX(BN112-BM112,0))/MAX('Economic Assumptions'!$C$22,1)+IF('Economic Assumptions'!$C$22=0,IF(BM5='Project Assumptions'!$D$15+'Project Assumptions'!$D$16,'Detailed Project Costs'!$F$41,0),0)</f>
        <v/>
      </c>
      <c r="BN66" s="273">
        <f>-'Detailed Project Costs'!$F$41*(MAX(BO112-BN112,0))/MAX('Economic Assumptions'!$C$22,1)+IF('Economic Assumptions'!$C$22=0,IF(BN5='Project Assumptions'!$D$15+'Project Assumptions'!$D$16,'Detailed Project Costs'!$F$41,0),0)</f>
        <v/>
      </c>
      <c r="BO66" s="273">
        <f>-'Detailed Project Costs'!$F$41*(MAX(BP112-BO112,0))/MAX('Economic Assumptions'!$C$22,1)+IF('Economic Assumptions'!$C$22=0,IF(BO5='Project Assumptions'!$D$15+'Project Assumptions'!$D$16,'Detailed Project Costs'!$F$41,0),0)</f>
        <v/>
      </c>
      <c r="BP66" s="273">
        <f>-'Detailed Project Costs'!$F$41*(MAX(BQ112-BP112,0))/MAX('Economic Assumptions'!$C$22,1)+IF('Economic Assumptions'!$C$22=0,IF(BP5='Project Assumptions'!$D$15+'Project Assumptions'!$D$16,'Detailed Project Costs'!$F$41,0),0)</f>
        <v/>
      </c>
      <c r="BQ66" s="273">
        <f>-'Detailed Project Costs'!$F$41*(MAX(BR112-BQ112,0))/MAX('Economic Assumptions'!$C$22,1)+IF('Economic Assumptions'!$C$22=0,IF(BQ5='Project Assumptions'!$D$15+'Project Assumptions'!$D$16,'Detailed Project Costs'!$F$41,0),0)</f>
        <v/>
      </c>
      <c r="BR66" s="273">
        <f>-'Detailed Project Costs'!$F$41*(MAX(BS112-BR112,0))/MAX('Economic Assumptions'!$C$22,1)+IF('Economic Assumptions'!$C$22=0,IF(BR5='Project Assumptions'!$D$15+'Project Assumptions'!$D$16,'Detailed Project Costs'!$F$41,0),0)</f>
        <v/>
      </c>
      <c r="BS66" s="273">
        <f>-'Detailed Project Costs'!$F$41*(MAX(BT112-BS112,0))/MAX('Economic Assumptions'!$C$22,1)+IF('Economic Assumptions'!$C$22=0,IF(BS5='Project Assumptions'!$D$15+'Project Assumptions'!$D$16,'Detailed Project Costs'!$F$41,0),0)</f>
        <v/>
      </c>
      <c r="BT66" s="273">
        <f>-'Detailed Project Costs'!$F$41*(MAX(BU112-BT112,0))/MAX('Economic Assumptions'!$C$22,1)+IF('Economic Assumptions'!$C$22=0,IF(BT5='Project Assumptions'!$D$15+'Project Assumptions'!$D$16,'Detailed Project Costs'!$F$41,0),0)</f>
        <v/>
      </c>
      <c r="BU66" s="273">
        <f>-'Detailed Project Costs'!$F$41*(MAX(BV112-BU112,0))/MAX('Economic Assumptions'!$C$22,1)+IF('Economic Assumptions'!$C$22=0,IF(BU5='Project Assumptions'!$D$15+'Project Assumptions'!$D$16,'Detailed Project Costs'!$F$41,0),0)</f>
        <v/>
      </c>
      <c r="BV66" s="273">
        <f>-'Detailed Project Costs'!$F$41*(MAX(BW112-BV112,0))/MAX('Economic Assumptions'!$C$22,1)+IF('Economic Assumptions'!$C$22=0,IF(BV5='Project Assumptions'!$D$15+'Project Assumptions'!$D$16,'Detailed Project Costs'!$F$41,0),0)</f>
        <v/>
      </c>
      <c r="BW66" s="273">
        <f>-'Detailed Project Costs'!$F$41*(MAX(BX112-BW112,0))/MAX('Economic Assumptions'!$C$22,1)+IF('Economic Assumptions'!$C$22=0,IF(BW5='Project Assumptions'!$D$15+'Project Assumptions'!$D$16,'Detailed Project Costs'!$F$41,0),0)</f>
        <v/>
      </c>
      <c r="BX66" s="273">
        <f>-'Detailed Project Costs'!$F$41*(MAX(BY112-BX112,0))/MAX('Economic Assumptions'!$C$22,1)+IF('Economic Assumptions'!$C$22=0,IF(BX5='Project Assumptions'!$D$15+'Project Assumptions'!$D$16,'Detailed Project Costs'!$F$41,0),0)</f>
        <v/>
      </c>
      <c r="BY66" s="273">
        <f>-'Detailed Project Costs'!$F$41*(MAX(BZ112-BY112,0))/MAX('Economic Assumptions'!$C$22,1)+IF('Economic Assumptions'!$C$22=0,IF(BY5='Project Assumptions'!$D$15+'Project Assumptions'!$D$16,'Detailed Project Costs'!$F$41,0),0)</f>
        <v/>
      </c>
      <c r="BZ66" s="273">
        <f>-'Detailed Project Costs'!$F$41*(MAX(CA112-BZ112,0))/MAX('Economic Assumptions'!$C$22,1)+IF('Economic Assumptions'!$C$22=0,IF(BZ5='Project Assumptions'!$D$15+'Project Assumptions'!$D$16,'Detailed Project Costs'!$F$41,0),0)</f>
        <v/>
      </c>
      <c r="CA66" s="273">
        <f>-'Detailed Project Costs'!$F$41*(MAX(CB112-CA112,0))/MAX('Economic Assumptions'!$C$22,1)+IF('Economic Assumptions'!$C$22=0,IF(CA5='Project Assumptions'!$D$15+'Project Assumptions'!$D$16,'Detailed Project Costs'!$F$41,0),0)</f>
        <v/>
      </c>
      <c r="CB66" s="273">
        <f>-'Detailed Project Costs'!$F$41*(MAX(CC112-CB112,0))/MAX('Economic Assumptions'!$C$22,1)+IF('Economic Assumptions'!$C$22=0,IF(CB5='Project Assumptions'!$D$15+'Project Assumptions'!$D$16,'Detailed Project Costs'!$F$41,0),0)</f>
        <v/>
      </c>
      <c r="CC66" s="273">
        <f>-'Detailed Project Costs'!$F$41*(MAX(CD112-CC112,0))/MAX('Economic Assumptions'!$C$22,1)+IF('Economic Assumptions'!$C$22=0,IF(CC5='Project Assumptions'!$D$15+'Project Assumptions'!$D$16,'Detailed Project Costs'!$F$41,0),0)</f>
        <v/>
      </c>
      <c r="CD66" s="273">
        <f>-'Detailed Project Costs'!$F$41*(MAX(CE112-CD112,0))/MAX('Economic Assumptions'!$C$22,1)+IF('Economic Assumptions'!$C$22=0,IF(CD5='Project Assumptions'!$D$15+'Project Assumptions'!$D$16,'Detailed Project Costs'!$F$41,0),0)</f>
        <v/>
      </c>
      <c r="CE66" s="273">
        <f>-'Detailed Project Costs'!$F$41*(MAX(CF112-CE112,0))/MAX('Economic Assumptions'!$C$22,1)+IF('Economic Assumptions'!$C$22=0,IF(CE5='Project Assumptions'!$D$15+'Project Assumptions'!$D$16,'Detailed Project Costs'!$F$41,0),0)</f>
        <v/>
      </c>
      <c r="CF66" s="273">
        <f>-'Detailed Project Costs'!$F$41*(MAX(CG112-CF112,0))/MAX('Economic Assumptions'!$C$22,1)+IF('Economic Assumptions'!$C$22=0,IF(CF5='Project Assumptions'!$D$15+'Project Assumptions'!$D$16,'Detailed Project Costs'!$F$41,0),0)</f>
        <v/>
      </c>
      <c r="CG66" s="273">
        <f>-'Detailed Project Costs'!$F$41*(MAX(CH112-CG112,0))/MAX('Economic Assumptions'!$C$22,1)+IF('Economic Assumptions'!$C$22=0,IF(CG5='Project Assumptions'!$D$15+'Project Assumptions'!$D$16,'Detailed Project Costs'!$F$41,0),0)</f>
        <v/>
      </c>
      <c r="CH66" s="273">
        <f>-'Detailed Project Costs'!$F$41*(MAX(CI112-CH112,0))/MAX('Economic Assumptions'!$C$22,1)+IF('Economic Assumptions'!$C$22=0,IF(CH5='Project Assumptions'!$D$15+'Project Assumptions'!$D$16,'Detailed Project Costs'!$F$41,0),0)</f>
        <v/>
      </c>
      <c r="CI66" s="273">
        <f>-'Detailed Project Costs'!$F$41*(MAX(CJ112-CI112,0))/MAX('Economic Assumptions'!$C$22,1)+IF('Economic Assumptions'!$C$22=0,IF(CI5='Project Assumptions'!$D$15+'Project Assumptions'!$D$16,'Detailed Project Costs'!$F$41,0),0)</f>
        <v/>
      </c>
      <c r="CJ66" s="273">
        <f>-'Detailed Project Costs'!$F$41*(MAX(CK112-CJ112,0))/MAX('Economic Assumptions'!$C$22,1)+IF('Economic Assumptions'!$C$22=0,IF(CJ5='Project Assumptions'!$D$15+'Project Assumptions'!$D$16,'Detailed Project Costs'!$F$41,0),0)</f>
        <v/>
      </c>
      <c r="CK66" s="273">
        <f>-'Detailed Project Costs'!$F$41*(MAX(CL112-CK112,0))/MAX('Economic Assumptions'!$C$22,1)+IF('Economic Assumptions'!$C$22=0,IF(CK5='Project Assumptions'!$D$15+'Project Assumptions'!$D$16,'Detailed Project Costs'!$F$41,0),0)</f>
        <v/>
      </c>
      <c r="CL66" s="273">
        <f>-'Detailed Project Costs'!$F$41*(MAX(CM112-CL112,0))/MAX('Economic Assumptions'!$C$22,1)+IF('Economic Assumptions'!$C$22=0,IF(CL5='Project Assumptions'!$D$15+'Project Assumptions'!$D$16,'Detailed Project Costs'!$F$41,0),0)</f>
        <v/>
      </c>
      <c r="CM66" s="273">
        <f>-'Detailed Project Costs'!$F$41*(MAX(CN112-CM112,0))/MAX('Economic Assumptions'!$C$22,1)+IF('Economic Assumptions'!$C$22=0,IF(CM5='Project Assumptions'!$D$15+'Project Assumptions'!$D$16,'Detailed Project Costs'!$F$41,0),0)</f>
        <v/>
      </c>
      <c r="CN66" s="273">
        <f>-'Detailed Project Costs'!$F$41*(MAX(CO112-CN112,0))/MAX('Economic Assumptions'!$C$22,1)+IF('Economic Assumptions'!$C$22=0,IF(CN5='Project Assumptions'!$D$15+'Project Assumptions'!$D$16,'Detailed Project Costs'!$F$41,0),0)</f>
        <v/>
      </c>
      <c r="CO66" s="273">
        <f>-'Detailed Project Costs'!$F$41*(MAX(CP112-CO112,0))/MAX('Economic Assumptions'!$C$22,1)+IF('Economic Assumptions'!$C$22=0,IF(CO5='Project Assumptions'!$D$15+'Project Assumptions'!$D$16,'Detailed Project Costs'!$F$41,0),0)</f>
        <v/>
      </c>
      <c r="CP66" s="273">
        <f>-'Detailed Project Costs'!$F$41*(MAX(CQ112-CP112,0))/MAX('Economic Assumptions'!$C$22,1)+IF('Economic Assumptions'!$C$22=0,IF(CP5='Project Assumptions'!$D$15+'Project Assumptions'!$D$16,'Detailed Project Costs'!$F$41,0),0)</f>
        <v/>
      </c>
      <c r="CQ66" s="273">
        <f>-'Detailed Project Costs'!$F$41*(MAX(CR112-CQ112,0))/MAX('Economic Assumptions'!$C$22,1)+IF('Economic Assumptions'!$C$22=0,IF(CQ5='Project Assumptions'!$D$15+'Project Assumptions'!$D$16,'Detailed Project Costs'!$F$41,0),0)</f>
        <v/>
      </c>
      <c r="CR66" s="273">
        <f>-'Detailed Project Costs'!$F$41*(MAX(CS112-CR112,0))/MAX('Economic Assumptions'!$C$22,1)+IF('Economic Assumptions'!$C$22=0,IF(CR5='Project Assumptions'!$D$15+'Project Assumptions'!$D$16,'Detailed Project Costs'!$F$41,0),0)</f>
        <v/>
      </c>
      <c r="CS66" s="273">
        <f>-'Detailed Project Costs'!$F$41*(MAX(CT112-CS112,0))/MAX('Economic Assumptions'!$C$22,1)+IF('Economic Assumptions'!$C$22=0,IF(CS5='Project Assumptions'!$D$15+'Project Assumptions'!$D$16,'Detailed Project Costs'!$F$41,0),0)</f>
        <v/>
      </c>
      <c r="CT66" s="273">
        <f>-'Detailed Project Costs'!$F$41*(MAX(CU112-CT112,0))/MAX('Economic Assumptions'!$C$22,1)+IF('Economic Assumptions'!$C$22=0,IF(CT5='Project Assumptions'!$D$15+'Project Assumptions'!$D$16,'Detailed Project Costs'!$F$41,0),0)</f>
        <v/>
      </c>
      <c r="CU66" s="273">
        <f>-'Detailed Project Costs'!$F$41*(MAX(CV112-CU112,0))/MAX('Economic Assumptions'!$C$22,1)+IF('Economic Assumptions'!$C$22=0,IF(CU5='Project Assumptions'!$D$15+'Project Assumptions'!$D$16,'Detailed Project Costs'!$F$41,0),0)</f>
        <v/>
      </c>
      <c r="CV66" s="273">
        <f>-'Detailed Project Costs'!$F$41*(MAX(CW112-CV112,0))/MAX('Economic Assumptions'!$C$22,1)+IF('Economic Assumptions'!$C$22=0,IF(CV5='Project Assumptions'!$D$15+'Project Assumptions'!$D$16,'Detailed Project Costs'!$F$41,0),0)</f>
        <v/>
      </c>
      <c r="CW66" s="273">
        <f>-'Detailed Project Costs'!$F$41*(MAX(CX112-CW112,0))/MAX('Economic Assumptions'!$C$22,1)+IF('Economic Assumptions'!$C$22=0,IF(CW5='Project Assumptions'!$D$15+'Project Assumptions'!$D$16,'Detailed Project Costs'!$F$41,0),0)</f>
        <v/>
      </c>
      <c r="CX66" s="273">
        <f>-'Detailed Project Costs'!$F$41*(MAX(CY112-CX112,0))/MAX('Economic Assumptions'!$C$22,1)+IF('Economic Assumptions'!$C$22=0,IF(CX5='Project Assumptions'!$D$15+'Project Assumptions'!$D$16,'Detailed Project Costs'!$F$41,0),0)</f>
        <v/>
      </c>
      <c r="CY66" s="273">
        <f>-'Detailed Project Costs'!$F$41*(MAX(CZ112-CY112,0))/MAX('Economic Assumptions'!$C$22,1)+IF('Economic Assumptions'!$C$22=0,IF(CY5='Project Assumptions'!$D$15+'Project Assumptions'!$D$16,'Detailed Project Costs'!$F$41,0),0)</f>
        <v/>
      </c>
      <c r="CZ66" s="273">
        <f>-'Detailed Project Costs'!$F$41*(MAX(DA112-CZ112,0))/MAX('Economic Assumptions'!$C$22,1)+IF('Economic Assumptions'!$C$22=0,IF(CZ5='Project Assumptions'!$D$15+'Project Assumptions'!$D$16,'Detailed Project Costs'!$F$41,0),0)</f>
        <v/>
      </c>
      <c r="DA66" s="273">
        <f>-'Detailed Project Costs'!$F$41*(MAX(DB112-DA112,0))/MAX('Economic Assumptions'!$C$22,1)+IF('Economic Assumptions'!$C$22=0,IF(DA5='Project Assumptions'!$D$15+'Project Assumptions'!$D$16,'Detailed Project Costs'!$F$41,0),0)</f>
        <v/>
      </c>
      <c r="DB66" s="273">
        <f>-'Detailed Project Costs'!$F$41*(MAX(DC112-DB112,0))/MAX('Economic Assumptions'!$C$22,1)+IF('Economic Assumptions'!$C$22=0,IF(DB5='Project Assumptions'!$D$15+'Project Assumptions'!$D$16,'Detailed Project Costs'!$F$41,0),0)</f>
        <v/>
      </c>
      <c r="DC66" s="273" t="n"/>
      <c r="DD66" s="295">
        <f>SUM(F66:DB66)</f>
        <v/>
      </c>
    </row>
    <row r="67">
      <c r="A67" s="1000" t="n"/>
      <c r="B67" s="1124" t="inlineStr">
        <is>
          <t>Marketing and Leasing Program</t>
        </is>
      </c>
      <c r="C67" s="294" t="n"/>
      <c r="D67" s="295">
        <f>DD67</f>
        <v/>
      </c>
      <c r="E67" s="274" t="n"/>
      <c r="F67" s="273">
        <f>IF(MAX('Economic Assumptions'!$B$10:$B$19)&gt;1,IF(F5='Project Assumptions'!$D$15+'Project Assumptions'!$D$16+1,-'Detailed Project Costs'!$F$42,0),IF(F5='Project Assumptions'!$D$15+'Project Assumptions'!$D$16,-'Detailed Project Costs'!$F$42,0))</f>
        <v/>
      </c>
      <c r="G67" s="273">
        <f>IF(MAX('Economic Assumptions'!$B$10:$B$19)&gt;1,IF(G5='Project Assumptions'!$D$15+'Project Assumptions'!$D$16+1,-'Detailed Project Costs'!$F$42,0),IF(G5='Project Assumptions'!$D$15+'Project Assumptions'!$D$16,-'Detailed Project Costs'!$F$42,0))</f>
        <v/>
      </c>
      <c r="H67" s="273">
        <f>IF(MAX('Economic Assumptions'!$B$10:$B$19)&gt;1,IF(H5='Project Assumptions'!$D$15+'Project Assumptions'!$D$16+1,-'Detailed Project Costs'!$F$42,0),IF(H5='Project Assumptions'!$D$15+'Project Assumptions'!$D$16,-'Detailed Project Costs'!$F$42,0))</f>
        <v/>
      </c>
      <c r="I67" s="273">
        <f>IF(MAX('Economic Assumptions'!$B$10:$B$19)&gt;1,IF(I5='Project Assumptions'!$D$15+'Project Assumptions'!$D$16+1,-'Detailed Project Costs'!$F$42,0),IF(I5='Project Assumptions'!$D$15+'Project Assumptions'!$D$16,-'Detailed Project Costs'!$F$42,0))</f>
        <v/>
      </c>
      <c r="J67" s="273">
        <f>IF(MAX('Economic Assumptions'!$B$10:$B$19)&gt;1,IF(J5='Project Assumptions'!$D$15+'Project Assumptions'!$D$16+1,-'Detailed Project Costs'!$F$42,0),IF(J5='Project Assumptions'!$D$15+'Project Assumptions'!$D$16,-'Detailed Project Costs'!$F$42,0))</f>
        <v/>
      </c>
      <c r="K67" s="273">
        <f>IF(MAX('Economic Assumptions'!$B$10:$B$19)&gt;1,IF(K5='Project Assumptions'!$D$15+'Project Assumptions'!$D$16+1,-'Detailed Project Costs'!$F$42,0),IF(K5='Project Assumptions'!$D$15+'Project Assumptions'!$D$16,-'Detailed Project Costs'!$F$42,0))</f>
        <v/>
      </c>
      <c r="L67" s="273">
        <f>IF(MAX('Economic Assumptions'!$B$10:$B$19)&gt;1,IF(L5='Project Assumptions'!$D$15+'Project Assumptions'!$D$16+1,-'Detailed Project Costs'!$F$42,0),IF(L5='Project Assumptions'!$D$15+'Project Assumptions'!$D$16,-'Detailed Project Costs'!$F$42,0))</f>
        <v/>
      </c>
      <c r="M67" s="273">
        <f>IF(MAX('Economic Assumptions'!$B$10:$B$19)&gt;1,IF(M5='Project Assumptions'!$D$15+'Project Assumptions'!$D$16+1,-'Detailed Project Costs'!$F$42,0),IF(M5='Project Assumptions'!$D$15+'Project Assumptions'!$D$16,-'Detailed Project Costs'!$F$42,0))</f>
        <v/>
      </c>
      <c r="N67" s="273">
        <f>IF(MAX('Economic Assumptions'!$B$10:$B$19)&gt;1,IF(N5='Project Assumptions'!$D$15+'Project Assumptions'!$D$16+1,-'Detailed Project Costs'!$F$42,0),IF(N5='Project Assumptions'!$D$15+'Project Assumptions'!$D$16,-'Detailed Project Costs'!$F$42,0))</f>
        <v/>
      </c>
      <c r="O67" s="273">
        <f>IF(MAX('Economic Assumptions'!$B$10:$B$19)&gt;1,IF(O5='Project Assumptions'!$D$15+'Project Assumptions'!$D$16+1,-'Detailed Project Costs'!$F$42,0),IF(O5='Project Assumptions'!$D$15+'Project Assumptions'!$D$16,-'Detailed Project Costs'!$F$42,0))</f>
        <v/>
      </c>
      <c r="P67" s="273">
        <f>IF(MAX('Economic Assumptions'!$B$10:$B$19)&gt;1,IF(P5='Project Assumptions'!$D$15+'Project Assumptions'!$D$16+1,-'Detailed Project Costs'!$F$42,0),IF(P5='Project Assumptions'!$D$15+'Project Assumptions'!$D$16,-'Detailed Project Costs'!$F$42,0))</f>
        <v/>
      </c>
      <c r="Q67" s="273">
        <f>IF(MAX('Economic Assumptions'!$B$10:$B$19)&gt;1,IF(Q5='Project Assumptions'!$D$15+'Project Assumptions'!$D$16+1,-'Detailed Project Costs'!$F$42,0),IF(Q5='Project Assumptions'!$D$15+'Project Assumptions'!$D$16,-'Detailed Project Costs'!$F$42,0))</f>
        <v/>
      </c>
      <c r="R67" s="273">
        <f>IF(MAX('Economic Assumptions'!$B$10:$B$19)&gt;1,IF(R5='Project Assumptions'!$D$15+'Project Assumptions'!$D$16+1,-'Detailed Project Costs'!$F$42,0),IF(R5='Project Assumptions'!$D$15+'Project Assumptions'!$D$16,-'Detailed Project Costs'!$F$42,0))</f>
        <v/>
      </c>
      <c r="S67" s="273">
        <f>IF(MAX('Economic Assumptions'!$B$10:$B$19)&gt;1,IF(S5='Project Assumptions'!$D$15+'Project Assumptions'!$D$16+1,-'Detailed Project Costs'!$F$42,0),IF(S5='Project Assumptions'!$D$15+'Project Assumptions'!$D$16,-'Detailed Project Costs'!$F$42,0))</f>
        <v/>
      </c>
      <c r="T67" s="273">
        <f>IF(MAX('Economic Assumptions'!$B$10:$B$19)&gt;1,IF(T5='Project Assumptions'!$D$15+'Project Assumptions'!$D$16+1,-'Detailed Project Costs'!$F$42,0),IF(T5='Project Assumptions'!$D$15+'Project Assumptions'!$D$16,-'Detailed Project Costs'!$F$42,0))</f>
        <v/>
      </c>
      <c r="U67" s="273">
        <f>IF(MAX('Economic Assumptions'!$B$10:$B$19)&gt;1,IF(U5='Project Assumptions'!$D$15+'Project Assumptions'!$D$16+1,-'Detailed Project Costs'!$F$42,0),IF(U5='Project Assumptions'!$D$15+'Project Assumptions'!$D$16,-'Detailed Project Costs'!$F$42,0))</f>
        <v/>
      </c>
      <c r="V67" s="273">
        <f>IF(MAX('Economic Assumptions'!$B$10:$B$19)&gt;1,IF(V5='Project Assumptions'!$D$15+'Project Assumptions'!$D$16+1,-'Detailed Project Costs'!$F$42,0),IF(V5='Project Assumptions'!$D$15+'Project Assumptions'!$D$16,-'Detailed Project Costs'!$F$42,0))</f>
        <v/>
      </c>
      <c r="W67" s="273">
        <f>IF(MAX('Economic Assumptions'!$B$10:$B$19)&gt;1,IF(W5='Project Assumptions'!$D$15+'Project Assumptions'!$D$16+1,-'Detailed Project Costs'!$F$42,0),IF(W5='Project Assumptions'!$D$15+'Project Assumptions'!$D$16,-'Detailed Project Costs'!$F$42,0))</f>
        <v/>
      </c>
      <c r="X67" s="273">
        <f>IF(MAX('Economic Assumptions'!$B$10:$B$19)&gt;1,IF(X5='Project Assumptions'!$D$15+'Project Assumptions'!$D$16+1,-'Detailed Project Costs'!$F$42,0),IF(X5='Project Assumptions'!$D$15+'Project Assumptions'!$D$16,-'Detailed Project Costs'!$F$42,0))</f>
        <v/>
      </c>
      <c r="Y67" s="273">
        <f>IF(MAX('Economic Assumptions'!$B$10:$B$19)&gt;1,IF(Y5='Project Assumptions'!$D$15+'Project Assumptions'!$D$16+1,-'Detailed Project Costs'!$F$42,0),IF(Y5='Project Assumptions'!$D$15+'Project Assumptions'!$D$16,-'Detailed Project Costs'!$F$42,0))</f>
        <v/>
      </c>
      <c r="Z67" s="273">
        <f>IF(MAX('Economic Assumptions'!$B$10:$B$19)&gt;1,IF(Z5='Project Assumptions'!$D$15+'Project Assumptions'!$D$16+1,-'Detailed Project Costs'!$F$42,0),IF(Z5='Project Assumptions'!$D$15+'Project Assumptions'!$D$16,-'Detailed Project Costs'!$F$42,0))</f>
        <v/>
      </c>
      <c r="AA67" s="273">
        <f>IF(MAX('Economic Assumptions'!$B$10:$B$19)&gt;1,IF(AA5='Project Assumptions'!$D$15+'Project Assumptions'!$D$16+1,-'Detailed Project Costs'!$F$42,0),IF(AA5='Project Assumptions'!$D$15+'Project Assumptions'!$D$16,-'Detailed Project Costs'!$F$42,0))</f>
        <v/>
      </c>
      <c r="AB67" s="273">
        <f>IF(MAX('Economic Assumptions'!$B$10:$B$19)&gt;1,IF(AB5='Project Assumptions'!$D$15+'Project Assumptions'!$D$16+1,-'Detailed Project Costs'!$F$42,0),IF(AB5='Project Assumptions'!$D$15+'Project Assumptions'!$D$16,-'Detailed Project Costs'!$F$42,0))</f>
        <v/>
      </c>
      <c r="AC67" s="273">
        <f>IF(MAX('Economic Assumptions'!$B$10:$B$19)&gt;1,IF(AC5='Project Assumptions'!$D$15+'Project Assumptions'!$D$16+1,-'Detailed Project Costs'!$F$42,0),IF(AC5='Project Assumptions'!$D$15+'Project Assumptions'!$D$16,-'Detailed Project Costs'!$F$42,0))</f>
        <v/>
      </c>
      <c r="AD67" s="273">
        <f>IF(MAX('Economic Assumptions'!$B$10:$B$19)&gt;1,IF(AD5='Project Assumptions'!$D$15+'Project Assumptions'!$D$16+1,-'Detailed Project Costs'!$F$42,0),IF(AD5='Project Assumptions'!$D$15+'Project Assumptions'!$D$16,-'Detailed Project Costs'!$F$42,0))</f>
        <v/>
      </c>
      <c r="AE67" s="273">
        <f>IF(MAX('Economic Assumptions'!$B$10:$B$19)&gt;1,IF(AE5='Project Assumptions'!$D$15+'Project Assumptions'!$D$16+1,-'Detailed Project Costs'!$F$42,0),IF(AE5='Project Assumptions'!$D$15+'Project Assumptions'!$D$16,-'Detailed Project Costs'!$F$42,0))</f>
        <v/>
      </c>
      <c r="AF67" s="273">
        <f>IF(MAX('Economic Assumptions'!$B$10:$B$19)&gt;1,IF(AF5='Project Assumptions'!$D$15+'Project Assumptions'!$D$16+1,-'Detailed Project Costs'!$F$42,0),IF(AF5='Project Assumptions'!$D$15+'Project Assumptions'!$D$16,-'Detailed Project Costs'!$F$42,0))</f>
        <v/>
      </c>
      <c r="AG67" s="273">
        <f>IF(MAX('Economic Assumptions'!$B$10:$B$19)&gt;1,IF(AG5='Project Assumptions'!$D$15+'Project Assumptions'!$D$16+1,-'Detailed Project Costs'!$F$42,0),IF(AG5='Project Assumptions'!$D$15+'Project Assumptions'!$D$16,-'Detailed Project Costs'!$F$42,0))</f>
        <v/>
      </c>
      <c r="AH67" s="273">
        <f>IF(MAX('Economic Assumptions'!$B$10:$B$19)&gt;1,IF(AH5='Project Assumptions'!$D$15+'Project Assumptions'!$D$16+1,-'Detailed Project Costs'!$F$42,0),IF(AH5='Project Assumptions'!$D$15+'Project Assumptions'!$D$16,-'Detailed Project Costs'!$F$42,0))</f>
        <v/>
      </c>
      <c r="AI67" s="273">
        <f>IF(MAX('Economic Assumptions'!$B$10:$B$19)&gt;1,IF(AI5='Project Assumptions'!$D$15+'Project Assumptions'!$D$16+1,-'Detailed Project Costs'!$F$42,0),IF(AI5='Project Assumptions'!$D$15+'Project Assumptions'!$D$16,-'Detailed Project Costs'!$F$42,0))</f>
        <v/>
      </c>
      <c r="AJ67" s="273">
        <f>IF(MAX('Economic Assumptions'!$B$10:$B$19)&gt;1,IF(AJ5='Project Assumptions'!$D$15+'Project Assumptions'!$D$16+1,-'Detailed Project Costs'!$F$42,0),IF(AJ5='Project Assumptions'!$D$15+'Project Assumptions'!$D$16,-'Detailed Project Costs'!$F$42,0))</f>
        <v/>
      </c>
      <c r="AK67" s="273">
        <f>IF(MAX('Economic Assumptions'!$B$10:$B$19)&gt;1,IF(AK5='Project Assumptions'!$D$15+'Project Assumptions'!$D$16+1,-'Detailed Project Costs'!$F$42,0),IF(AK5='Project Assumptions'!$D$15+'Project Assumptions'!$D$16,-'Detailed Project Costs'!$F$42,0))</f>
        <v/>
      </c>
      <c r="AL67" s="273">
        <f>IF(MAX('Economic Assumptions'!$B$10:$B$19)&gt;1,IF(AL5='Project Assumptions'!$D$15+'Project Assumptions'!$D$16+1,-'Detailed Project Costs'!$F$42,0),IF(AL5='Project Assumptions'!$D$15+'Project Assumptions'!$D$16,-'Detailed Project Costs'!$F$42,0))</f>
        <v/>
      </c>
      <c r="AM67" s="273">
        <f>IF(MAX('Economic Assumptions'!$B$10:$B$19)&gt;1,IF(AM5='Project Assumptions'!$D$15+'Project Assumptions'!$D$16+1,-'Detailed Project Costs'!$F$42,0),IF(AM5='Project Assumptions'!$D$15+'Project Assumptions'!$D$16,-'Detailed Project Costs'!$F$42,0))</f>
        <v/>
      </c>
      <c r="AN67" s="273">
        <f>IF(MAX('Economic Assumptions'!$B$10:$B$19)&gt;1,IF(AN5='Project Assumptions'!$D$15+'Project Assumptions'!$D$16+1,-'Detailed Project Costs'!$F$42,0),IF(AN5='Project Assumptions'!$D$15+'Project Assumptions'!$D$16,-'Detailed Project Costs'!$F$42,0))</f>
        <v/>
      </c>
      <c r="AO67" s="273">
        <f>IF(MAX('Economic Assumptions'!$B$10:$B$19)&gt;1,IF(AO5='Project Assumptions'!$D$15+'Project Assumptions'!$D$16+1,-'Detailed Project Costs'!$F$42,0),IF(AO5='Project Assumptions'!$D$15+'Project Assumptions'!$D$16,-'Detailed Project Costs'!$F$42,0))</f>
        <v/>
      </c>
      <c r="AP67" s="273">
        <f>IF(MAX('Economic Assumptions'!$B$10:$B$19)&gt;1,IF(AP5='Project Assumptions'!$D$15+'Project Assumptions'!$D$16+1,-'Detailed Project Costs'!$F$42,0),IF(AP5='Project Assumptions'!$D$15+'Project Assumptions'!$D$16,-'Detailed Project Costs'!$F$42,0))</f>
        <v/>
      </c>
      <c r="AQ67" s="273">
        <f>IF(MAX('Economic Assumptions'!$B$10:$B$19)&gt;1,IF(AQ5='Project Assumptions'!$D$15+'Project Assumptions'!$D$16+1,-'Detailed Project Costs'!$F$42,0),IF(AQ5='Project Assumptions'!$D$15+'Project Assumptions'!$D$16,-'Detailed Project Costs'!$F$42,0))</f>
        <v/>
      </c>
      <c r="AR67" s="273">
        <f>IF(MAX('Economic Assumptions'!$B$10:$B$19)&gt;1,IF(AR5='Project Assumptions'!$D$15+'Project Assumptions'!$D$16+1,-'Detailed Project Costs'!$F$42,0),IF(AR5='Project Assumptions'!$D$15+'Project Assumptions'!$D$16,-'Detailed Project Costs'!$F$42,0))</f>
        <v/>
      </c>
      <c r="AS67" s="273">
        <f>IF(MAX('Economic Assumptions'!$B$10:$B$19)&gt;1,IF(AS5='Project Assumptions'!$D$15+'Project Assumptions'!$D$16+1,-'Detailed Project Costs'!$F$42,0),IF(AS5='Project Assumptions'!$D$15+'Project Assumptions'!$D$16,-'Detailed Project Costs'!$F$42,0))</f>
        <v/>
      </c>
      <c r="AT67" s="273">
        <f>IF(MAX('Economic Assumptions'!$B$10:$B$19)&gt;1,IF(AT5='Project Assumptions'!$D$15+'Project Assumptions'!$D$16+1,-'Detailed Project Costs'!$F$42,0),IF(AT5='Project Assumptions'!$D$15+'Project Assumptions'!$D$16,-'Detailed Project Costs'!$F$42,0))</f>
        <v/>
      </c>
      <c r="AU67" s="273">
        <f>IF(MAX('Economic Assumptions'!$B$10:$B$19)&gt;1,IF(AU5='Project Assumptions'!$D$15+'Project Assumptions'!$D$16+1,-'Detailed Project Costs'!$F$42,0),IF(AU5='Project Assumptions'!$D$15+'Project Assumptions'!$D$16,-'Detailed Project Costs'!$F$42,0))</f>
        <v/>
      </c>
      <c r="AV67" s="273">
        <f>IF(MAX('Economic Assumptions'!$B$10:$B$19)&gt;1,IF(AV5='Project Assumptions'!$D$15+'Project Assumptions'!$D$16+1,-'Detailed Project Costs'!$F$42,0),IF(AV5='Project Assumptions'!$D$15+'Project Assumptions'!$D$16,-'Detailed Project Costs'!$F$42,0))</f>
        <v/>
      </c>
      <c r="AW67" s="273">
        <f>IF(MAX('Economic Assumptions'!$B$10:$B$19)&gt;1,IF(AW5='Project Assumptions'!$D$15+'Project Assumptions'!$D$16+1,-'Detailed Project Costs'!$F$42,0),IF(AW5='Project Assumptions'!$D$15+'Project Assumptions'!$D$16,-'Detailed Project Costs'!$F$42,0))</f>
        <v/>
      </c>
      <c r="AX67" s="273">
        <f>IF(MAX('Economic Assumptions'!$B$10:$B$19)&gt;1,IF(AX5='Project Assumptions'!$D$15+'Project Assumptions'!$D$16+1,-'Detailed Project Costs'!$F$42,0),IF(AX5='Project Assumptions'!$D$15+'Project Assumptions'!$D$16,-'Detailed Project Costs'!$F$42,0))</f>
        <v/>
      </c>
      <c r="AY67" s="273">
        <f>IF(MAX('Economic Assumptions'!$B$10:$B$19)&gt;1,IF(AY5='Project Assumptions'!$D$15+'Project Assumptions'!$D$16+1,-'Detailed Project Costs'!$F$42,0),IF(AY5='Project Assumptions'!$D$15+'Project Assumptions'!$D$16,-'Detailed Project Costs'!$F$42,0))</f>
        <v/>
      </c>
      <c r="AZ67" s="273">
        <f>IF(MAX('Economic Assumptions'!$B$10:$B$19)&gt;1,IF(AZ5='Project Assumptions'!$D$15+'Project Assumptions'!$D$16+1,-'Detailed Project Costs'!$F$42,0),IF(AZ5='Project Assumptions'!$D$15+'Project Assumptions'!$D$16,-'Detailed Project Costs'!$F$42,0))</f>
        <v/>
      </c>
      <c r="BA67" s="273">
        <f>IF(MAX('Economic Assumptions'!$B$10:$B$19)&gt;1,IF(BA5='Project Assumptions'!$D$15+'Project Assumptions'!$D$16+1,-'Detailed Project Costs'!$F$42,0),IF(BA5='Project Assumptions'!$D$15+'Project Assumptions'!$D$16,-'Detailed Project Costs'!$F$42,0))</f>
        <v/>
      </c>
      <c r="BB67" s="273">
        <f>IF(MAX('Economic Assumptions'!$B$10:$B$19)&gt;1,IF(BB5='Project Assumptions'!$D$15+'Project Assumptions'!$D$16+1,-'Detailed Project Costs'!$F$42,0),IF(BB5='Project Assumptions'!$D$15+'Project Assumptions'!$D$16,-'Detailed Project Costs'!$F$42,0))</f>
        <v/>
      </c>
      <c r="BC67" s="273">
        <f>IF(MAX('Economic Assumptions'!$B$10:$B$19)&gt;1,IF(BC5='Project Assumptions'!$D$15+'Project Assumptions'!$D$16+1,-'Detailed Project Costs'!$F$42,0),IF(BC5='Project Assumptions'!$D$15+'Project Assumptions'!$D$16,-'Detailed Project Costs'!$F$42,0))</f>
        <v/>
      </c>
      <c r="BD67" s="273">
        <f>IF(MAX('Economic Assumptions'!$B$10:$B$19)&gt;1,IF(BD5='Project Assumptions'!$D$15+'Project Assumptions'!$D$16+1,-'Detailed Project Costs'!$F$42,0),IF(BD5='Project Assumptions'!$D$15+'Project Assumptions'!$D$16,-'Detailed Project Costs'!$F$42,0))</f>
        <v/>
      </c>
      <c r="BE67" s="273">
        <f>IF(MAX('Economic Assumptions'!$B$10:$B$19)&gt;1,IF(BE5='Project Assumptions'!$D$15+'Project Assumptions'!$D$16+1,-'Detailed Project Costs'!$F$42,0),IF(BE5='Project Assumptions'!$D$15+'Project Assumptions'!$D$16,-'Detailed Project Costs'!$F$42,0))</f>
        <v/>
      </c>
      <c r="BF67" s="273">
        <f>IF(MAX('Economic Assumptions'!$B$10:$B$19)&gt;1,IF(BF5='Project Assumptions'!$D$15+'Project Assumptions'!$D$16+1,-'Detailed Project Costs'!$F$42,0),IF(BF5='Project Assumptions'!$D$15+'Project Assumptions'!$D$16,-'Detailed Project Costs'!$F$42,0))</f>
        <v/>
      </c>
      <c r="BG67" s="273">
        <f>IF(MAX('Economic Assumptions'!$B$10:$B$19)&gt;1,IF(BG5='Project Assumptions'!$D$15+'Project Assumptions'!$D$16+1,-'Detailed Project Costs'!$F$42,0),IF(BG5='Project Assumptions'!$D$15+'Project Assumptions'!$D$16,-'Detailed Project Costs'!$F$42,0))</f>
        <v/>
      </c>
      <c r="BH67" s="273">
        <f>IF(MAX('Economic Assumptions'!$B$10:$B$19)&gt;1,IF(BH5='Project Assumptions'!$D$15+'Project Assumptions'!$D$16+1,-'Detailed Project Costs'!$F$42,0),IF(BH5='Project Assumptions'!$D$15+'Project Assumptions'!$D$16,-'Detailed Project Costs'!$F$42,0))</f>
        <v/>
      </c>
      <c r="BI67" s="273">
        <f>IF(MAX('Economic Assumptions'!$B$10:$B$19)&gt;1,IF(BI5='Project Assumptions'!$D$15+'Project Assumptions'!$D$16+1,-'Detailed Project Costs'!$F$42,0),IF(BI5='Project Assumptions'!$D$15+'Project Assumptions'!$D$16,-'Detailed Project Costs'!$F$42,0))</f>
        <v/>
      </c>
      <c r="BJ67" s="273">
        <f>IF(MAX('Economic Assumptions'!$B$10:$B$19)&gt;1,IF(BJ5='Project Assumptions'!$D$15+'Project Assumptions'!$D$16+1,-'Detailed Project Costs'!$F$42,0),IF(BJ5='Project Assumptions'!$D$15+'Project Assumptions'!$D$16,-'Detailed Project Costs'!$F$42,0))</f>
        <v/>
      </c>
      <c r="BK67" s="273">
        <f>IF(MAX('Economic Assumptions'!$B$10:$B$19)&gt;1,IF(BK5='Project Assumptions'!$D$15+'Project Assumptions'!$D$16+1,-'Detailed Project Costs'!$F$42,0),IF(BK5='Project Assumptions'!$D$15+'Project Assumptions'!$D$16,-'Detailed Project Costs'!$F$42,0))</f>
        <v/>
      </c>
      <c r="BL67" s="273">
        <f>IF(MAX('Economic Assumptions'!$B$10:$B$19)&gt;1,IF(BL5='Project Assumptions'!$D$15+'Project Assumptions'!$D$16+1,-'Detailed Project Costs'!$F$42,0),IF(BL5='Project Assumptions'!$D$15+'Project Assumptions'!$D$16,-'Detailed Project Costs'!$F$42,0))</f>
        <v/>
      </c>
      <c r="BM67" s="273">
        <f>IF(MAX('Economic Assumptions'!$B$10:$B$19)&gt;1,IF(BM5='Project Assumptions'!$D$15+'Project Assumptions'!$D$16+1,-'Detailed Project Costs'!$F$42,0),IF(BM5='Project Assumptions'!$D$15+'Project Assumptions'!$D$16,-'Detailed Project Costs'!$F$42,0))</f>
        <v/>
      </c>
      <c r="BN67" s="273">
        <f>IF(MAX('Economic Assumptions'!$B$10:$B$19)&gt;1,IF(BN5='Project Assumptions'!$D$15+'Project Assumptions'!$D$16+1,-'Detailed Project Costs'!$F$42,0),IF(BN5='Project Assumptions'!$D$15+'Project Assumptions'!$D$16,-'Detailed Project Costs'!$F$42,0))</f>
        <v/>
      </c>
      <c r="BO67" s="273">
        <f>IF(MAX('Economic Assumptions'!$B$10:$B$19)&gt;1,IF(BO5='Project Assumptions'!$D$15+'Project Assumptions'!$D$16+1,-'Detailed Project Costs'!$F$42,0),IF(BO5='Project Assumptions'!$D$15+'Project Assumptions'!$D$16,-'Detailed Project Costs'!$F$42,0))</f>
        <v/>
      </c>
      <c r="BP67" s="273">
        <f>IF(MAX('Economic Assumptions'!$B$10:$B$19)&gt;1,IF(BP5='Project Assumptions'!$D$15+'Project Assumptions'!$D$16+1,-'Detailed Project Costs'!$F$42,0),IF(BP5='Project Assumptions'!$D$15+'Project Assumptions'!$D$16,-'Detailed Project Costs'!$F$42,0))</f>
        <v/>
      </c>
      <c r="BQ67" s="273">
        <f>IF(MAX('Economic Assumptions'!$B$10:$B$19)&gt;1,IF(BQ5='Project Assumptions'!$D$15+'Project Assumptions'!$D$16+1,-'Detailed Project Costs'!$F$42,0),IF(BQ5='Project Assumptions'!$D$15+'Project Assumptions'!$D$16,-'Detailed Project Costs'!$F$42,0))</f>
        <v/>
      </c>
      <c r="BR67" s="273">
        <f>IF(MAX('Economic Assumptions'!$B$10:$B$19)&gt;1,IF(BR5='Project Assumptions'!$D$15+'Project Assumptions'!$D$16+1,-'Detailed Project Costs'!$F$42,0),IF(BR5='Project Assumptions'!$D$15+'Project Assumptions'!$D$16,-'Detailed Project Costs'!$F$42,0))</f>
        <v/>
      </c>
      <c r="BS67" s="273">
        <f>IF(MAX('Economic Assumptions'!$B$10:$B$19)&gt;1,IF(BS5='Project Assumptions'!$D$15+'Project Assumptions'!$D$16+1,-'Detailed Project Costs'!$F$42,0),IF(BS5='Project Assumptions'!$D$15+'Project Assumptions'!$D$16,-'Detailed Project Costs'!$F$42,0))</f>
        <v/>
      </c>
      <c r="BT67" s="273">
        <f>IF(MAX('Economic Assumptions'!$B$10:$B$19)&gt;1,IF(BT5='Project Assumptions'!$D$15+'Project Assumptions'!$D$16+1,-'Detailed Project Costs'!$F$42,0),IF(BT5='Project Assumptions'!$D$15+'Project Assumptions'!$D$16,-'Detailed Project Costs'!$F$42,0))</f>
        <v/>
      </c>
      <c r="BU67" s="273">
        <f>IF(MAX('Economic Assumptions'!$B$10:$B$19)&gt;1,IF(BU5='Project Assumptions'!$D$15+'Project Assumptions'!$D$16+1,-'Detailed Project Costs'!$F$42,0),IF(BU5='Project Assumptions'!$D$15+'Project Assumptions'!$D$16,-'Detailed Project Costs'!$F$42,0))</f>
        <v/>
      </c>
      <c r="BV67" s="273">
        <f>IF(MAX('Economic Assumptions'!$B$10:$B$19)&gt;1,IF(BV5='Project Assumptions'!$D$15+'Project Assumptions'!$D$16+1,-'Detailed Project Costs'!$F$42,0),IF(BV5='Project Assumptions'!$D$15+'Project Assumptions'!$D$16,-'Detailed Project Costs'!$F$42,0))</f>
        <v/>
      </c>
      <c r="BW67" s="273">
        <f>IF(MAX('Economic Assumptions'!$B$10:$B$19)&gt;1,IF(BW5='Project Assumptions'!$D$15+'Project Assumptions'!$D$16+1,-'Detailed Project Costs'!$F$42,0),IF(BW5='Project Assumptions'!$D$15+'Project Assumptions'!$D$16,-'Detailed Project Costs'!$F$42,0))</f>
        <v/>
      </c>
      <c r="BX67" s="273">
        <f>IF(MAX('Economic Assumptions'!$B$10:$B$19)&gt;1,IF(BX5='Project Assumptions'!$D$15+'Project Assumptions'!$D$16+1,-'Detailed Project Costs'!$F$42,0),IF(BX5='Project Assumptions'!$D$15+'Project Assumptions'!$D$16,-'Detailed Project Costs'!$F$42,0))</f>
        <v/>
      </c>
      <c r="BY67" s="273">
        <f>IF(MAX('Economic Assumptions'!$B$10:$B$19)&gt;1,IF(BY5='Project Assumptions'!$D$15+'Project Assumptions'!$D$16+1,-'Detailed Project Costs'!$F$42,0),IF(BY5='Project Assumptions'!$D$15+'Project Assumptions'!$D$16,-'Detailed Project Costs'!$F$42,0))</f>
        <v/>
      </c>
      <c r="BZ67" s="273">
        <f>IF(MAX('Economic Assumptions'!$B$10:$B$19)&gt;1,IF(BZ5='Project Assumptions'!$D$15+'Project Assumptions'!$D$16+1,-'Detailed Project Costs'!$F$42,0),IF(BZ5='Project Assumptions'!$D$15+'Project Assumptions'!$D$16,-'Detailed Project Costs'!$F$42,0))</f>
        <v/>
      </c>
      <c r="CA67" s="273">
        <f>IF(MAX('Economic Assumptions'!$B$10:$B$19)&gt;1,IF(CA5='Project Assumptions'!$D$15+'Project Assumptions'!$D$16+1,-'Detailed Project Costs'!$F$42,0),IF(CA5='Project Assumptions'!$D$15+'Project Assumptions'!$D$16,-'Detailed Project Costs'!$F$42,0))</f>
        <v/>
      </c>
      <c r="CB67" s="273">
        <f>IF(MAX('Economic Assumptions'!$B$10:$B$19)&gt;1,IF(CB5='Project Assumptions'!$D$15+'Project Assumptions'!$D$16+1,-'Detailed Project Costs'!$F$42,0),IF(CB5='Project Assumptions'!$D$15+'Project Assumptions'!$D$16,-'Detailed Project Costs'!$F$42,0))</f>
        <v/>
      </c>
      <c r="CC67" s="273">
        <f>IF(MAX('Economic Assumptions'!$B$10:$B$19)&gt;1,IF(CC5='Project Assumptions'!$D$15+'Project Assumptions'!$D$16+1,-'Detailed Project Costs'!$F$42,0),IF(CC5='Project Assumptions'!$D$15+'Project Assumptions'!$D$16,-'Detailed Project Costs'!$F$42,0))</f>
        <v/>
      </c>
      <c r="CD67" s="273">
        <f>IF(MAX('Economic Assumptions'!$B$10:$B$19)&gt;1,IF(CD5='Project Assumptions'!$D$15+'Project Assumptions'!$D$16+1,-'Detailed Project Costs'!$F$42,0),IF(CD5='Project Assumptions'!$D$15+'Project Assumptions'!$D$16,-'Detailed Project Costs'!$F$42,0))</f>
        <v/>
      </c>
      <c r="CE67" s="273">
        <f>IF(MAX('Economic Assumptions'!$B$10:$B$19)&gt;1,IF(CE5='Project Assumptions'!$D$15+'Project Assumptions'!$D$16+1,-'Detailed Project Costs'!$F$42,0),IF(CE5='Project Assumptions'!$D$15+'Project Assumptions'!$D$16,-'Detailed Project Costs'!$F$42,0))</f>
        <v/>
      </c>
      <c r="CF67" s="273">
        <f>IF(MAX('Economic Assumptions'!$B$10:$B$19)&gt;1,IF(CF5='Project Assumptions'!$D$15+'Project Assumptions'!$D$16+1,-'Detailed Project Costs'!$F$42,0),IF(CF5='Project Assumptions'!$D$15+'Project Assumptions'!$D$16,-'Detailed Project Costs'!$F$42,0))</f>
        <v/>
      </c>
      <c r="CG67" s="273">
        <f>IF(MAX('Economic Assumptions'!$B$10:$B$19)&gt;1,IF(CG5='Project Assumptions'!$D$15+'Project Assumptions'!$D$16+1,-'Detailed Project Costs'!$F$42,0),IF(CG5='Project Assumptions'!$D$15+'Project Assumptions'!$D$16,-'Detailed Project Costs'!$F$42,0))</f>
        <v/>
      </c>
      <c r="CH67" s="273">
        <f>IF(MAX('Economic Assumptions'!$B$10:$B$19)&gt;1,IF(CH5='Project Assumptions'!$D$15+'Project Assumptions'!$D$16+1,-'Detailed Project Costs'!$F$42,0),IF(CH5='Project Assumptions'!$D$15+'Project Assumptions'!$D$16,-'Detailed Project Costs'!$F$42,0))</f>
        <v/>
      </c>
      <c r="CI67" s="273">
        <f>IF(MAX('Economic Assumptions'!$B$10:$B$19)&gt;1,IF(CI5='Project Assumptions'!$D$15+'Project Assumptions'!$D$16+1,-'Detailed Project Costs'!$F$42,0),IF(CI5='Project Assumptions'!$D$15+'Project Assumptions'!$D$16,-'Detailed Project Costs'!$F$42,0))</f>
        <v/>
      </c>
      <c r="CJ67" s="273">
        <f>IF(MAX('Economic Assumptions'!$B$10:$B$19)&gt;1,IF(CJ5='Project Assumptions'!$D$15+'Project Assumptions'!$D$16+1,-'Detailed Project Costs'!$F$42,0),IF(CJ5='Project Assumptions'!$D$15+'Project Assumptions'!$D$16,-'Detailed Project Costs'!$F$42,0))</f>
        <v/>
      </c>
      <c r="CK67" s="273">
        <f>IF(MAX('Economic Assumptions'!$B$10:$B$19)&gt;1,IF(CK5='Project Assumptions'!$D$15+'Project Assumptions'!$D$16+1,-'Detailed Project Costs'!$F$42,0),IF(CK5='Project Assumptions'!$D$15+'Project Assumptions'!$D$16,-'Detailed Project Costs'!$F$42,0))</f>
        <v/>
      </c>
      <c r="CL67" s="273">
        <f>IF(MAX('Economic Assumptions'!$B$10:$B$19)&gt;1,IF(CL5='Project Assumptions'!$D$15+'Project Assumptions'!$D$16+1,-'Detailed Project Costs'!$F$42,0),IF(CL5='Project Assumptions'!$D$15+'Project Assumptions'!$D$16,-'Detailed Project Costs'!$F$42,0))</f>
        <v/>
      </c>
      <c r="CM67" s="273">
        <f>IF(MAX('Economic Assumptions'!$B$10:$B$19)&gt;1,IF(CM5='Project Assumptions'!$D$15+'Project Assumptions'!$D$16+1,-'Detailed Project Costs'!$F$42,0),IF(CM5='Project Assumptions'!$D$15+'Project Assumptions'!$D$16,-'Detailed Project Costs'!$F$42,0))</f>
        <v/>
      </c>
      <c r="CN67" s="273">
        <f>IF(MAX('Economic Assumptions'!$B$10:$B$19)&gt;1,IF(CN5='Project Assumptions'!$D$15+'Project Assumptions'!$D$16+1,-'Detailed Project Costs'!$F$42,0),IF(CN5='Project Assumptions'!$D$15+'Project Assumptions'!$D$16,-'Detailed Project Costs'!$F$42,0))</f>
        <v/>
      </c>
      <c r="CO67" s="273">
        <f>IF(MAX('Economic Assumptions'!$B$10:$B$19)&gt;1,IF(CO5='Project Assumptions'!$D$15+'Project Assumptions'!$D$16+1,-'Detailed Project Costs'!$F$42,0),IF(CO5='Project Assumptions'!$D$15+'Project Assumptions'!$D$16,-'Detailed Project Costs'!$F$42,0))</f>
        <v/>
      </c>
      <c r="CP67" s="273">
        <f>IF(MAX('Economic Assumptions'!$B$10:$B$19)&gt;1,IF(CP5='Project Assumptions'!$D$15+'Project Assumptions'!$D$16+1,-'Detailed Project Costs'!$F$42,0),IF(CP5='Project Assumptions'!$D$15+'Project Assumptions'!$D$16,-'Detailed Project Costs'!$F$42,0))</f>
        <v/>
      </c>
      <c r="CQ67" s="273">
        <f>IF(MAX('Economic Assumptions'!$B$10:$B$19)&gt;1,IF(CQ5='Project Assumptions'!$D$15+'Project Assumptions'!$D$16+1,-'Detailed Project Costs'!$F$42,0),IF(CQ5='Project Assumptions'!$D$15+'Project Assumptions'!$D$16,-'Detailed Project Costs'!$F$42,0))</f>
        <v/>
      </c>
      <c r="CR67" s="273">
        <f>IF(MAX('Economic Assumptions'!$B$10:$B$19)&gt;1,IF(CR5='Project Assumptions'!$D$15+'Project Assumptions'!$D$16+1,-'Detailed Project Costs'!$F$42,0),IF(CR5='Project Assumptions'!$D$15+'Project Assumptions'!$D$16,-'Detailed Project Costs'!$F$42,0))</f>
        <v/>
      </c>
      <c r="CS67" s="273">
        <f>IF(MAX('Economic Assumptions'!$B$10:$B$19)&gt;1,IF(CS5='Project Assumptions'!$D$15+'Project Assumptions'!$D$16+1,-'Detailed Project Costs'!$F$42,0),IF(CS5='Project Assumptions'!$D$15+'Project Assumptions'!$D$16,-'Detailed Project Costs'!$F$42,0))</f>
        <v/>
      </c>
      <c r="CT67" s="273">
        <f>IF(MAX('Economic Assumptions'!$B$10:$B$19)&gt;1,IF(CT5='Project Assumptions'!$D$15+'Project Assumptions'!$D$16+1,-'Detailed Project Costs'!$F$42,0),IF(CT5='Project Assumptions'!$D$15+'Project Assumptions'!$D$16,-'Detailed Project Costs'!$F$42,0))</f>
        <v/>
      </c>
      <c r="CU67" s="273">
        <f>IF(MAX('Economic Assumptions'!$B$10:$B$19)&gt;1,IF(CU5='Project Assumptions'!$D$15+'Project Assumptions'!$D$16+1,-'Detailed Project Costs'!$F$42,0),IF(CU5='Project Assumptions'!$D$15+'Project Assumptions'!$D$16,-'Detailed Project Costs'!$F$42,0))</f>
        <v/>
      </c>
      <c r="CV67" s="273">
        <f>IF(MAX('Economic Assumptions'!$B$10:$B$19)&gt;1,IF(CV5='Project Assumptions'!$D$15+'Project Assumptions'!$D$16+1,-'Detailed Project Costs'!$F$42,0),IF(CV5='Project Assumptions'!$D$15+'Project Assumptions'!$D$16,-'Detailed Project Costs'!$F$42,0))</f>
        <v/>
      </c>
      <c r="CW67" s="273">
        <f>IF(MAX('Economic Assumptions'!$B$10:$B$19)&gt;1,IF(CW5='Project Assumptions'!$D$15+'Project Assumptions'!$D$16+1,-'Detailed Project Costs'!$F$42,0),IF(CW5='Project Assumptions'!$D$15+'Project Assumptions'!$D$16,-'Detailed Project Costs'!$F$42,0))</f>
        <v/>
      </c>
      <c r="CX67" s="273">
        <f>IF(MAX('Economic Assumptions'!$B$10:$B$19)&gt;1,IF(CX5='Project Assumptions'!$D$15+'Project Assumptions'!$D$16+1,-'Detailed Project Costs'!$F$42,0),IF(CX5='Project Assumptions'!$D$15+'Project Assumptions'!$D$16,-'Detailed Project Costs'!$F$42,0))</f>
        <v/>
      </c>
      <c r="CY67" s="273">
        <f>IF(MAX('Economic Assumptions'!$B$10:$B$19)&gt;1,IF(CY5='Project Assumptions'!$D$15+'Project Assumptions'!$D$16+1,-'Detailed Project Costs'!$F$42,0),IF(CY5='Project Assumptions'!$D$15+'Project Assumptions'!$D$16,-'Detailed Project Costs'!$F$42,0))</f>
        <v/>
      </c>
      <c r="CZ67" s="273">
        <f>IF(MAX('Economic Assumptions'!$B$10:$B$19)&gt;1,IF(CZ5='Project Assumptions'!$D$15+'Project Assumptions'!$D$16+1,-'Detailed Project Costs'!$F$42,0),IF(CZ5='Project Assumptions'!$D$15+'Project Assumptions'!$D$16,-'Detailed Project Costs'!$F$42,0))</f>
        <v/>
      </c>
      <c r="DA67" s="273">
        <f>IF(MAX('Economic Assumptions'!$B$10:$B$19)&gt;1,IF(DA5='Project Assumptions'!$D$15+'Project Assumptions'!$D$16+1,-'Detailed Project Costs'!$F$42,0),IF(DA5='Project Assumptions'!$D$15+'Project Assumptions'!$D$16,-'Detailed Project Costs'!$F$42,0))</f>
        <v/>
      </c>
      <c r="DB67" s="273">
        <f>IF(MAX('Economic Assumptions'!$B$10:$B$19)&gt;1,IF(DB5='Project Assumptions'!$D$15+'Project Assumptions'!$D$16+1,-'Detailed Project Costs'!$F$42,0),IF(DB5='Project Assumptions'!$D$15+'Project Assumptions'!$D$16,-'Detailed Project Costs'!$F$42,0))</f>
        <v/>
      </c>
      <c r="DC67" s="273" t="n"/>
      <c r="DD67" s="295">
        <f>SUM(F67:DB67)</f>
        <v/>
      </c>
    </row>
    <row r="68">
      <c r="A68" s="1000" t="n"/>
      <c r="B68" s="703" t="inlineStr">
        <is>
          <t xml:space="preserve">   Insurance - Title Insurance</t>
        </is>
      </c>
      <c r="C68" s="294" t="n"/>
      <c r="D68" s="295">
        <f>DD68</f>
        <v/>
      </c>
      <c r="E68" s="274" t="n"/>
      <c r="F68" s="273">
        <f>IF(F$5='Project Assumptions'!$D$15,-'Detailed Project Costs'!$F$43, 0)</f>
        <v/>
      </c>
      <c r="G68" s="273">
        <f>IF(G$5='Project Assumptions'!$D$15,-'Detailed Project Costs'!$F$43, 0)</f>
        <v/>
      </c>
      <c r="H68" s="273">
        <f>IF(H$5='Project Assumptions'!$D$15,-'Detailed Project Costs'!$F$43, 0)</f>
        <v/>
      </c>
      <c r="I68" s="273">
        <f>IF(I$5='Project Assumptions'!$D$15,-'Detailed Project Costs'!$F$43, 0)</f>
        <v/>
      </c>
      <c r="J68" s="273">
        <f>IF(J$5='Project Assumptions'!$D$15,-'Detailed Project Costs'!$F$43, 0)</f>
        <v/>
      </c>
      <c r="K68" s="273">
        <f>IF(K$5='Project Assumptions'!$D$15,-'Detailed Project Costs'!$F$43, 0)</f>
        <v/>
      </c>
      <c r="L68" s="273">
        <f>IF(L$5='Project Assumptions'!$D$15,-'Detailed Project Costs'!$F$43, 0)</f>
        <v/>
      </c>
      <c r="M68" s="273">
        <f>IF(M$5='Project Assumptions'!$D$15,-'Detailed Project Costs'!$F$43, 0)</f>
        <v/>
      </c>
      <c r="N68" s="273">
        <f>IF(N$5='Project Assumptions'!$D$15,-'Detailed Project Costs'!$F$43, 0)</f>
        <v/>
      </c>
      <c r="O68" s="273">
        <f>IF(O$5='Project Assumptions'!$D$15,-'Detailed Project Costs'!$F$43, 0)</f>
        <v/>
      </c>
      <c r="P68" s="273">
        <f>IF(P$5='Project Assumptions'!$D$15,-'Detailed Project Costs'!$F$43, 0)</f>
        <v/>
      </c>
      <c r="Q68" s="273">
        <f>IF(Q$5='Project Assumptions'!$D$15,-'Detailed Project Costs'!$F$43, 0)</f>
        <v/>
      </c>
      <c r="R68" s="273">
        <f>IF(R$5='Project Assumptions'!$D$15,-'Detailed Project Costs'!$F$43, 0)</f>
        <v/>
      </c>
      <c r="S68" s="273">
        <f>IF(S$5='Project Assumptions'!$D$15,-'Detailed Project Costs'!$F$43, 0)</f>
        <v/>
      </c>
      <c r="T68" s="273">
        <f>IF(T$5='Project Assumptions'!$D$15,-'Detailed Project Costs'!$F$43, 0)</f>
        <v/>
      </c>
      <c r="U68" s="273">
        <f>IF(U$5='Project Assumptions'!$D$15,-'Detailed Project Costs'!$F$43, 0)</f>
        <v/>
      </c>
      <c r="V68" s="273">
        <f>IF(V$5='Project Assumptions'!$D$15,-'Detailed Project Costs'!$F$43, 0)</f>
        <v/>
      </c>
      <c r="W68" s="273">
        <f>IF(W$5='Project Assumptions'!$D$15,-'Detailed Project Costs'!$F$43, 0)</f>
        <v/>
      </c>
      <c r="X68" s="273">
        <f>IF(X$5='Project Assumptions'!$D$15,-'Detailed Project Costs'!$F$43, 0)</f>
        <v/>
      </c>
      <c r="Y68" s="273">
        <f>IF(Y$5='Project Assumptions'!$D$15,-'Detailed Project Costs'!$F$43, 0)</f>
        <v/>
      </c>
      <c r="Z68" s="273">
        <f>IF(Z$5='Project Assumptions'!$D$15,-'Detailed Project Costs'!$F$43, 0)</f>
        <v/>
      </c>
      <c r="AA68" s="273">
        <f>IF(AA$5='Project Assumptions'!$D$15,-'Detailed Project Costs'!$F$43, 0)</f>
        <v/>
      </c>
      <c r="AB68" s="273">
        <f>IF(AB$5='Project Assumptions'!$D$15,-'Detailed Project Costs'!$F$43, 0)</f>
        <v/>
      </c>
      <c r="AC68" s="273">
        <f>IF(AC$5='Project Assumptions'!$D$15,-'Detailed Project Costs'!$F$43, 0)</f>
        <v/>
      </c>
      <c r="AD68" s="273">
        <f>IF(AD$5='Project Assumptions'!$D$15,-'Detailed Project Costs'!$F$43, 0)</f>
        <v/>
      </c>
      <c r="AE68" s="273">
        <f>IF(AE$5='Project Assumptions'!$D$15,-'Detailed Project Costs'!$F$43, 0)</f>
        <v/>
      </c>
      <c r="AF68" s="273">
        <f>IF(AF$5='Project Assumptions'!$D$15,-'Detailed Project Costs'!$F$43, 0)</f>
        <v/>
      </c>
      <c r="AG68" s="273">
        <f>IF(AG$5='Project Assumptions'!$D$15,-'Detailed Project Costs'!$F$43, 0)</f>
        <v/>
      </c>
      <c r="AH68" s="273">
        <f>IF(AH$5='Project Assumptions'!$D$15,-'Detailed Project Costs'!$F$43, 0)</f>
        <v/>
      </c>
      <c r="AI68" s="273">
        <f>IF(AI$5='Project Assumptions'!$D$15,-'Detailed Project Costs'!$F$43, 0)</f>
        <v/>
      </c>
      <c r="AJ68" s="273">
        <f>IF(AJ$5='Project Assumptions'!$D$15,-'Detailed Project Costs'!$F$43, 0)</f>
        <v/>
      </c>
      <c r="AK68" s="273">
        <f>IF(AK$5='Project Assumptions'!$D$15,-'Detailed Project Costs'!$F$43, 0)</f>
        <v/>
      </c>
      <c r="AL68" s="273">
        <f>IF(AL$5='Project Assumptions'!$D$15,-'Detailed Project Costs'!$F$43, 0)</f>
        <v/>
      </c>
      <c r="AM68" s="273">
        <f>IF(AM$5='Project Assumptions'!$D$15,-'Detailed Project Costs'!$F$43, 0)</f>
        <v/>
      </c>
      <c r="AN68" s="273">
        <f>IF(AN$5='Project Assumptions'!$D$15,-'Detailed Project Costs'!$F$43, 0)</f>
        <v/>
      </c>
      <c r="AO68" s="273">
        <f>IF(AO$5='Project Assumptions'!$D$15,-'Detailed Project Costs'!$F$43, 0)</f>
        <v/>
      </c>
      <c r="AP68" s="273">
        <f>IF(AP$5='Project Assumptions'!$D$15,-'Detailed Project Costs'!$F$43, 0)</f>
        <v/>
      </c>
      <c r="AQ68" s="273">
        <f>IF(AQ$5='Project Assumptions'!$D$15,-'Detailed Project Costs'!$F$43, 0)</f>
        <v/>
      </c>
      <c r="AR68" s="273">
        <f>IF(AR$5='Project Assumptions'!$D$15,-'Detailed Project Costs'!$F$43, 0)</f>
        <v/>
      </c>
      <c r="AS68" s="273">
        <f>IF(AS$5='Project Assumptions'!$D$15,-'Detailed Project Costs'!$F$43, 0)</f>
        <v/>
      </c>
      <c r="AT68" s="273">
        <f>IF(AT$5='Project Assumptions'!$D$15,-'Detailed Project Costs'!$F$43, 0)</f>
        <v/>
      </c>
      <c r="AU68" s="273">
        <f>IF(AU$5='Project Assumptions'!$D$15,-'Detailed Project Costs'!$F$43, 0)</f>
        <v/>
      </c>
      <c r="AV68" s="273">
        <f>IF(AV$5='Project Assumptions'!$D$15,-'Detailed Project Costs'!$F$43, 0)</f>
        <v/>
      </c>
      <c r="AW68" s="273">
        <f>IF(AW$5='Project Assumptions'!$D$15,-'Detailed Project Costs'!$F$43, 0)</f>
        <v/>
      </c>
      <c r="AX68" s="273">
        <f>IF(AX$5='Project Assumptions'!$D$15,-'Detailed Project Costs'!$F$43, 0)</f>
        <v/>
      </c>
      <c r="AY68" s="273">
        <f>IF(AY$5='Project Assumptions'!$D$15,-'Detailed Project Costs'!$F$43, 0)</f>
        <v/>
      </c>
      <c r="AZ68" s="273">
        <f>IF(AZ$5='Project Assumptions'!$D$15,-'Detailed Project Costs'!$F$43, 0)</f>
        <v/>
      </c>
      <c r="BA68" s="273">
        <f>IF(BA$5='Project Assumptions'!$D$15,-'Detailed Project Costs'!$F$43, 0)</f>
        <v/>
      </c>
      <c r="BB68" s="273">
        <f>IF(BB$5='Project Assumptions'!$D$15,-'Detailed Project Costs'!$F$43, 0)</f>
        <v/>
      </c>
      <c r="BC68" s="273">
        <f>IF(BC$5='Project Assumptions'!$D$15,-'Detailed Project Costs'!$F$43, 0)</f>
        <v/>
      </c>
      <c r="BD68" s="273">
        <f>IF(BD$5='Project Assumptions'!$D$15,-'Detailed Project Costs'!$F$43, 0)</f>
        <v/>
      </c>
      <c r="BE68" s="273">
        <f>IF(BE$5='Project Assumptions'!$D$15,-'Detailed Project Costs'!$F$43, 0)</f>
        <v/>
      </c>
      <c r="BF68" s="273">
        <f>IF(BF$5='Project Assumptions'!$D$15,-'Detailed Project Costs'!$F$43, 0)</f>
        <v/>
      </c>
      <c r="BG68" s="273">
        <f>IF(BG$5='Project Assumptions'!$D$15,-'Detailed Project Costs'!$F$43, 0)</f>
        <v/>
      </c>
      <c r="BH68" s="273">
        <f>IF(BH$5='Project Assumptions'!$D$15,-'Detailed Project Costs'!$F$43, 0)</f>
        <v/>
      </c>
      <c r="BI68" s="273">
        <f>IF(BI$5='Project Assumptions'!$D$15,-'Detailed Project Costs'!$F$43, 0)</f>
        <v/>
      </c>
      <c r="BJ68" s="273">
        <f>IF(BJ$5='Project Assumptions'!$D$15,-'Detailed Project Costs'!$F$43, 0)</f>
        <v/>
      </c>
      <c r="BK68" s="273">
        <f>IF(BK$5='Project Assumptions'!$D$15,-'Detailed Project Costs'!$F$43, 0)</f>
        <v/>
      </c>
      <c r="BL68" s="273">
        <f>IF(BL$5='Project Assumptions'!$D$15,-'Detailed Project Costs'!$F$43, 0)</f>
        <v/>
      </c>
      <c r="BM68" s="273">
        <f>IF(BM$5='Project Assumptions'!$D$15,-'Detailed Project Costs'!$F$43, 0)</f>
        <v/>
      </c>
      <c r="BN68" s="273">
        <f>IF(BN$5='Project Assumptions'!$D$15,-'Detailed Project Costs'!$F$43, 0)</f>
        <v/>
      </c>
      <c r="BO68" s="273">
        <f>IF(BO$5='Project Assumptions'!$D$15,-'Detailed Project Costs'!$F$43, 0)</f>
        <v/>
      </c>
      <c r="BP68" s="273">
        <f>IF(BP$5='Project Assumptions'!$D$15,-'Detailed Project Costs'!$F$43, 0)</f>
        <v/>
      </c>
      <c r="BQ68" s="273">
        <f>IF(BQ$5='Project Assumptions'!$D$15,-'Detailed Project Costs'!$F$43, 0)</f>
        <v/>
      </c>
      <c r="BR68" s="273">
        <f>IF(BR$5='Project Assumptions'!$D$15,-'Detailed Project Costs'!$F$43, 0)</f>
        <v/>
      </c>
      <c r="BS68" s="273">
        <f>IF(BS$5='Project Assumptions'!$D$15,-'Detailed Project Costs'!$F$43, 0)</f>
        <v/>
      </c>
      <c r="BT68" s="273">
        <f>IF(BT$5='Project Assumptions'!$D$15,-'Detailed Project Costs'!$F$43, 0)</f>
        <v/>
      </c>
      <c r="BU68" s="273">
        <f>IF(BU$5='Project Assumptions'!$D$15,-'Detailed Project Costs'!$F$43, 0)</f>
        <v/>
      </c>
      <c r="BV68" s="273">
        <f>IF(BV$5='Project Assumptions'!$D$15,-'Detailed Project Costs'!$F$43, 0)</f>
        <v/>
      </c>
      <c r="BW68" s="273">
        <f>IF(BW$5='Project Assumptions'!$D$15,-'Detailed Project Costs'!$F$43, 0)</f>
        <v/>
      </c>
      <c r="BX68" s="273">
        <f>IF(BX$5='Project Assumptions'!$D$15,-'Detailed Project Costs'!$F$43, 0)</f>
        <v/>
      </c>
      <c r="BY68" s="273">
        <f>IF(BY$5='Project Assumptions'!$D$15,-'Detailed Project Costs'!$F$43, 0)</f>
        <v/>
      </c>
      <c r="BZ68" s="273">
        <f>IF(BZ$5='Project Assumptions'!$D$15,-'Detailed Project Costs'!$F$43, 0)</f>
        <v/>
      </c>
      <c r="CA68" s="273">
        <f>IF(CA$5='Project Assumptions'!$D$15,-'Detailed Project Costs'!$F$43, 0)</f>
        <v/>
      </c>
      <c r="CB68" s="273">
        <f>IF(CB$5='Project Assumptions'!$D$15,-'Detailed Project Costs'!$F$43, 0)</f>
        <v/>
      </c>
      <c r="CC68" s="273">
        <f>IF(CC$5='Project Assumptions'!$D$15,-'Detailed Project Costs'!$F$43, 0)</f>
        <v/>
      </c>
      <c r="CD68" s="273">
        <f>IF(CD$5='Project Assumptions'!$D$15,-'Detailed Project Costs'!$F$43, 0)</f>
        <v/>
      </c>
      <c r="CE68" s="273">
        <f>IF(CE$5='Project Assumptions'!$D$15,-'Detailed Project Costs'!$F$43, 0)</f>
        <v/>
      </c>
      <c r="CF68" s="273">
        <f>IF(CF$5='Project Assumptions'!$D$15,-'Detailed Project Costs'!$F$43, 0)</f>
        <v/>
      </c>
      <c r="CG68" s="273">
        <f>IF(CG$5='Project Assumptions'!$D$15,-'Detailed Project Costs'!$F$43, 0)</f>
        <v/>
      </c>
      <c r="CH68" s="273">
        <f>IF(CH$5='Project Assumptions'!$D$15,-'Detailed Project Costs'!$F$43, 0)</f>
        <v/>
      </c>
      <c r="CI68" s="273">
        <f>IF(CI$5='Project Assumptions'!$D$15,-'Detailed Project Costs'!$F$43, 0)</f>
        <v/>
      </c>
      <c r="CJ68" s="273">
        <f>IF(CJ$5='Project Assumptions'!$D$15,-'Detailed Project Costs'!$F$43, 0)</f>
        <v/>
      </c>
      <c r="CK68" s="273">
        <f>IF(CK$5='Project Assumptions'!$D$15,-'Detailed Project Costs'!$F$43, 0)</f>
        <v/>
      </c>
      <c r="CL68" s="273">
        <f>IF(CL$5='Project Assumptions'!$D$15,-'Detailed Project Costs'!$F$43, 0)</f>
        <v/>
      </c>
      <c r="CM68" s="273">
        <f>IF(CM$5='Project Assumptions'!$D$15,-'Detailed Project Costs'!$F$43, 0)</f>
        <v/>
      </c>
      <c r="CN68" s="273">
        <f>IF(CN$5='Project Assumptions'!$D$15,-'Detailed Project Costs'!$F$43, 0)</f>
        <v/>
      </c>
      <c r="CO68" s="273">
        <f>IF(CO$5='Project Assumptions'!$D$15,-'Detailed Project Costs'!$F$43, 0)</f>
        <v/>
      </c>
      <c r="CP68" s="273">
        <f>IF(CP$5='Project Assumptions'!$D$15,-'Detailed Project Costs'!$F$43, 0)</f>
        <v/>
      </c>
      <c r="CQ68" s="273">
        <f>IF(CQ$5='Project Assumptions'!$D$15,-'Detailed Project Costs'!$F$43, 0)</f>
        <v/>
      </c>
      <c r="CR68" s="273">
        <f>IF(CR$5='Project Assumptions'!$D$15,-'Detailed Project Costs'!$F$43, 0)</f>
        <v/>
      </c>
      <c r="CS68" s="273">
        <f>IF(CS$5='Project Assumptions'!$D$15,-'Detailed Project Costs'!$F$43, 0)</f>
        <v/>
      </c>
      <c r="CT68" s="273">
        <f>IF(CT$5='Project Assumptions'!$D$15,-'Detailed Project Costs'!$F$43, 0)</f>
        <v/>
      </c>
      <c r="CU68" s="273">
        <f>IF(CU$5='Project Assumptions'!$D$15,-'Detailed Project Costs'!$F$43, 0)</f>
        <v/>
      </c>
      <c r="CV68" s="273">
        <f>IF(CV$5='Project Assumptions'!$D$15,-'Detailed Project Costs'!$F$43, 0)</f>
        <v/>
      </c>
      <c r="CW68" s="273">
        <f>IF(CW$5='Project Assumptions'!$D$15,-'Detailed Project Costs'!$F$43, 0)</f>
        <v/>
      </c>
      <c r="CX68" s="273">
        <f>IF(CX$5='Project Assumptions'!$D$15,-'Detailed Project Costs'!$F$43, 0)</f>
        <v/>
      </c>
      <c r="CY68" s="273">
        <f>IF(CY$5='Project Assumptions'!$D$15,-'Detailed Project Costs'!$F$43, 0)</f>
        <v/>
      </c>
      <c r="CZ68" s="273">
        <f>IF(CZ$5='Project Assumptions'!$D$15,-'Detailed Project Costs'!$F$43, 0)</f>
        <v/>
      </c>
      <c r="DA68" s="273">
        <f>IF(DA$5='Project Assumptions'!$D$15,-'Detailed Project Costs'!$F$43, 0)</f>
        <v/>
      </c>
      <c r="DB68" s="273">
        <f>IF(DB$5='Project Assumptions'!$D$15,-'Detailed Project Costs'!$F$43, 0)</f>
        <v/>
      </c>
      <c r="DC68" s="273" t="n"/>
      <c r="DD68" s="295">
        <f>SUM(F68:DB68)</f>
        <v/>
      </c>
    </row>
    <row r="69">
      <c r="A69" s="1000" t="n"/>
      <c r="B69" s="704" t="inlineStr">
        <is>
          <t xml:space="preserve">   Insurance - Owner's Risk Policy</t>
        </is>
      </c>
      <c r="C69" s="294" t="n"/>
      <c r="D69" s="295">
        <f>DD69</f>
        <v/>
      </c>
      <c r="E69" s="274" t="n"/>
      <c r="F69" s="273">
        <f>IF('Project Assumptions'!$D$16=0,IF(F$5='Project Assumptions'!$D$15,-'Detailed Project Costs'!$F$44,0),IF(F$5='Project Assumptions'!$D$15+1,-'Detailed Project Costs'!$F$44,0))</f>
        <v/>
      </c>
      <c r="G69" s="273">
        <f>IF('Project Assumptions'!$D$16=0,IF(G$5='Project Assumptions'!$D$15,-'Detailed Project Costs'!$F$44,0),IF(G$5='Project Assumptions'!$D$15+1,-'Detailed Project Costs'!$F$44,0))</f>
        <v/>
      </c>
      <c r="H69" s="273">
        <f>IF('Project Assumptions'!$D$16=0,IF(H$5='Project Assumptions'!$D$15,-'Detailed Project Costs'!$F$44,0),IF(H$5='Project Assumptions'!$D$15+1,-'Detailed Project Costs'!$F$44,0))</f>
        <v/>
      </c>
      <c r="I69" s="273">
        <f>IF('Project Assumptions'!$D$16=0,IF(I$5='Project Assumptions'!$D$15,-'Detailed Project Costs'!$F$44,0),IF(I$5='Project Assumptions'!$D$15+1,-'Detailed Project Costs'!$F$44,0))</f>
        <v/>
      </c>
      <c r="J69" s="273">
        <f>IF('Project Assumptions'!$D$16=0,IF(J$5='Project Assumptions'!$D$15,-'Detailed Project Costs'!$F$44,0),IF(J$5='Project Assumptions'!$D$15+1,-'Detailed Project Costs'!$F$44,0))</f>
        <v/>
      </c>
      <c r="K69" s="273">
        <f>IF('Project Assumptions'!$D$16=0,IF(K$5='Project Assumptions'!$D$15,-'Detailed Project Costs'!$F$44,0),IF(K$5='Project Assumptions'!$D$15+1,-'Detailed Project Costs'!$F$44,0))</f>
        <v/>
      </c>
      <c r="L69" s="273">
        <f>IF('Project Assumptions'!$D$16=0,IF(L$5='Project Assumptions'!$D$15,-'Detailed Project Costs'!$F$44,0),IF(L$5='Project Assumptions'!$D$15+1,-'Detailed Project Costs'!$F$44,0))</f>
        <v/>
      </c>
      <c r="M69" s="273">
        <f>IF('Project Assumptions'!$D$16=0,IF(M$5='Project Assumptions'!$D$15,-'Detailed Project Costs'!$F$44,0),IF(M$5='Project Assumptions'!$D$15+1,-'Detailed Project Costs'!$F$44,0))</f>
        <v/>
      </c>
      <c r="N69" s="273">
        <f>IF('Project Assumptions'!$D$16=0,IF(N$5='Project Assumptions'!$D$15,-'Detailed Project Costs'!$F$44,0),IF(N$5='Project Assumptions'!$D$15+1,-'Detailed Project Costs'!$F$44,0))</f>
        <v/>
      </c>
      <c r="O69" s="273">
        <f>IF('Project Assumptions'!$D$16=0,IF(O$5='Project Assumptions'!$D$15,-'Detailed Project Costs'!$F$44,0),IF(O$5='Project Assumptions'!$D$15+1,-'Detailed Project Costs'!$F$44,0))</f>
        <v/>
      </c>
      <c r="P69" s="273">
        <f>IF('Project Assumptions'!$D$16=0,IF(P$5='Project Assumptions'!$D$15,-'Detailed Project Costs'!$F$44,0),IF(P$5='Project Assumptions'!$D$15+1,-'Detailed Project Costs'!$F$44,0))</f>
        <v/>
      </c>
      <c r="Q69" s="273">
        <f>IF('Project Assumptions'!$D$16=0,IF(Q$5='Project Assumptions'!$D$15,-'Detailed Project Costs'!$F$44,0),IF(Q$5='Project Assumptions'!$D$15+1,-'Detailed Project Costs'!$F$44,0))</f>
        <v/>
      </c>
      <c r="R69" s="273">
        <f>IF('Project Assumptions'!$D$16=0,IF(R$5='Project Assumptions'!$D$15,-'Detailed Project Costs'!$F$44,0),IF(R$5='Project Assumptions'!$D$15+1,-'Detailed Project Costs'!$F$44,0))</f>
        <v/>
      </c>
      <c r="S69" s="273">
        <f>IF('Project Assumptions'!$D$16=0,IF(S$5='Project Assumptions'!$D$15,-'Detailed Project Costs'!$F$44,0),IF(S$5='Project Assumptions'!$D$15+1,-'Detailed Project Costs'!$F$44,0))</f>
        <v/>
      </c>
      <c r="T69" s="273">
        <f>IF('Project Assumptions'!$D$16=0,IF(T$5='Project Assumptions'!$D$15,-'Detailed Project Costs'!$F$44,0),IF(T$5='Project Assumptions'!$D$15+1,-'Detailed Project Costs'!$F$44,0))</f>
        <v/>
      </c>
      <c r="U69" s="273">
        <f>IF('Project Assumptions'!$D$16=0,IF(U$5='Project Assumptions'!$D$15,-'Detailed Project Costs'!$F$44,0),IF(U$5='Project Assumptions'!$D$15+1,-'Detailed Project Costs'!$F$44,0))</f>
        <v/>
      </c>
      <c r="V69" s="273">
        <f>IF('Project Assumptions'!$D$16=0,IF(V$5='Project Assumptions'!$D$15,-'Detailed Project Costs'!$F$44,0),IF(V$5='Project Assumptions'!$D$15+1,-'Detailed Project Costs'!$F$44,0))</f>
        <v/>
      </c>
      <c r="W69" s="273">
        <f>IF('Project Assumptions'!$D$16=0,IF(W$5='Project Assumptions'!$D$15,-'Detailed Project Costs'!$F$44,0),IF(W$5='Project Assumptions'!$D$15+1,-'Detailed Project Costs'!$F$44,0))</f>
        <v/>
      </c>
      <c r="X69" s="273">
        <f>IF('Project Assumptions'!$D$16=0,IF(X$5='Project Assumptions'!$D$15,-'Detailed Project Costs'!$F$44,0),IF(X$5='Project Assumptions'!$D$15+1,-'Detailed Project Costs'!$F$44,0))</f>
        <v/>
      </c>
      <c r="Y69" s="273">
        <f>IF('Project Assumptions'!$D$16=0,IF(Y$5='Project Assumptions'!$D$15,-'Detailed Project Costs'!$F$44,0),IF(Y$5='Project Assumptions'!$D$15+1,-'Detailed Project Costs'!$F$44,0))</f>
        <v/>
      </c>
      <c r="Z69" s="273">
        <f>IF('Project Assumptions'!$D$16=0,IF(Z$5='Project Assumptions'!$D$15,-'Detailed Project Costs'!$F$44,0),IF(Z$5='Project Assumptions'!$D$15+1,-'Detailed Project Costs'!$F$44,0))</f>
        <v/>
      </c>
      <c r="AA69" s="273">
        <f>IF('Project Assumptions'!$D$16=0,IF(AA$5='Project Assumptions'!$D$15,-'Detailed Project Costs'!$F$44,0),IF(AA$5='Project Assumptions'!$D$15+1,-'Detailed Project Costs'!$F$44,0))</f>
        <v/>
      </c>
      <c r="AB69" s="273">
        <f>IF('Project Assumptions'!$D$16=0,IF(AB$5='Project Assumptions'!$D$15,-'Detailed Project Costs'!$F$44,0),IF(AB$5='Project Assumptions'!$D$15+1,-'Detailed Project Costs'!$F$44,0))</f>
        <v/>
      </c>
      <c r="AC69" s="273">
        <f>IF('Project Assumptions'!$D$16=0,IF(AC$5='Project Assumptions'!$D$15,-'Detailed Project Costs'!$F$44,0),IF(AC$5='Project Assumptions'!$D$15+1,-'Detailed Project Costs'!$F$44,0))</f>
        <v/>
      </c>
      <c r="AD69" s="273">
        <f>IF('Project Assumptions'!$D$16=0,IF(AD$5='Project Assumptions'!$D$15,-'Detailed Project Costs'!$F$44,0),IF(AD$5='Project Assumptions'!$D$15+1,-'Detailed Project Costs'!$F$44,0))</f>
        <v/>
      </c>
      <c r="AE69" s="273">
        <f>IF('Project Assumptions'!$D$16=0,IF(AE$5='Project Assumptions'!$D$15,-'Detailed Project Costs'!$F$44,0),IF(AE$5='Project Assumptions'!$D$15+1,-'Detailed Project Costs'!$F$44,0))</f>
        <v/>
      </c>
      <c r="AF69" s="273">
        <f>IF('Project Assumptions'!$D$16=0,IF(AF$5='Project Assumptions'!$D$15,-'Detailed Project Costs'!$F$44,0),IF(AF$5='Project Assumptions'!$D$15+1,-'Detailed Project Costs'!$F$44,0))</f>
        <v/>
      </c>
      <c r="AG69" s="273">
        <f>IF('Project Assumptions'!$D$16=0,IF(AG$5='Project Assumptions'!$D$15,-'Detailed Project Costs'!$F$44,0),IF(AG$5='Project Assumptions'!$D$15+1,-'Detailed Project Costs'!$F$44,0))</f>
        <v/>
      </c>
      <c r="AH69" s="273">
        <f>IF('Project Assumptions'!$D$16=0,IF(AH$5='Project Assumptions'!$D$15,-'Detailed Project Costs'!$F$44,0),IF(AH$5='Project Assumptions'!$D$15+1,-'Detailed Project Costs'!$F$44,0))</f>
        <v/>
      </c>
      <c r="AI69" s="273">
        <f>IF('Project Assumptions'!$D$16=0,IF(AI$5='Project Assumptions'!$D$15,-'Detailed Project Costs'!$F$44,0),IF(AI$5='Project Assumptions'!$D$15+1,-'Detailed Project Costs'!$F$44,0))</f>
        <v/>
      </c>
      <c r="AJ69" s="273">
        <f>IF('Project Assumptions'!$D$16=0,IF(AJ$5='Project Assumptions'!$D$15,-'Detailed Project Costs'!$F$44,0),IF(AJ$5='Project Assumptions'!$D$15+1,-'Detailed Project Costs'!$F$44,0))</f>
        <v/>
      </c>
      <c r="AK69" s="273">
        <f>IF('Project Assumptions'!$D$16=0,IF(AK$5='Project Assumptions'!$D$15,-'Detailed Project Costs'!$F$44,0),IF(AK$5='Project Assumptions'!$D$15+1,-'Detailed Project Costs'!$F$44,0))</f>
        <v/>
      </c>
      <c r="AL69" s="273">
        <f>IF('Project Assumptions'!$D$16=0,IF(AL$5='Project Assumptions'!$D$15,-'Detailed Project Costs'!$F$44,0),IF(AL$5='Project Assumptions'!$D$15+1,-'Detailed Project Costs'!$F$44,0))</f>
        <v/>
      </c>
      <c r="AM69" s="273">
        <f>IF('Project Assumptions'!$D$16=0,IF(AM$5='Project Assumptions'!$D$15,-'Detailed Project Costs'!$F$44,0),IF(AM$5='Project Assumptions'!$D$15+1,-'Detailed Project Costs'!$F$44,0))</f>
        <v/>
      </c>
      <c r="AN69" s="273">
        <f>IF('Project Assumptions'!$D$16=0,IF(AN$5='Project Assumptions'!$D$15,-'Detailed Project Costs'!$F$44,0),IF(AN$5='Project Assumptions'!$D$15+1,-'Detailed Project Costs'!$F$44,0))</f>
        <v/>
      </c>
      <c r="AO69" s="273">
        <f>IF('Project Assumptions'!$D$16=0,IF(AO$5='Project Assumptions'!$D$15,-'Detailed Project Costs'!$F$44,0),IF(AO$5='Project Assumptions'!$D$15+1,-'Detailed Project Costs'!$F$44,0))</f>
        <v/>
      </c>
      <c r="AP69" s="273">
        <f>IF('Project Assumptions'!$D$16=0,IF(AP$5='Project Assumptions'!$D$15,-'Detailed Project Costs'!$F$44,0),IF(AP$5='Project Assumptions'!$D$15+1,-'Detailed Project Costs'!$F$44,0))</f>
        <v/>
      </c>
      <c r="AQ69" s="273">
        <f>IF('Project Assumptions'!$D$16=0,IF(AQ$5='Project Assumptions'!$D$15,-'Detailed Project Costs'!$F$44,0),IF(AQ$5='Project Assumptions'!$D$15+1,-'Detailed Project Costs'!$F$44,0))</f>
        <v/>
      </c>
      <c r="AR69" s="273">
        <f>IF('Project Assumptions'!$D$16=0,IF(AR$5='Project Assumptions'!$D$15,-'Detailed Project Costs'!$F$44,0),IF(AR$5='Project Assumptions'!$D$15+1,-'Detailed Project Costs'!$F$44,0))</f>
        <v/>
      </c>
      <c r="AS69" s="273">
        <f>IF('Project Assumptions'!$D$16=0,IF(AS$5='Project Assumptions'!$D$15,-'Detailed Project Costs'!$F$44,0),IF(AS$5='Project Assumptions'!$D$15+1,-'Detailed Project Costs'!$F$44,0))</f>
        <v/>
      </c>
      <c r="AT69" s="273">
        <f>IF('Project Assumptions'!$D$16=0,IF(AT$5='Project Assumptions'!$D$15,-'Detailed Project Costs'!$F$44,0),IF(AT$5='Project Assumptions'!$D$15+1,-'Detailed Project Costs'!$F$44,0))</f>
        <v/>
      </c>
      <c r="AU69" s="273">
        <f>IF('Project Assumptions'!$D$16=0,IF(AU$5='Project Assumptions'!$D$15,-'Detailed Project Costs'!$F$44,0),IF(AU$5='Project Assumptions'!$D$15+1,-'Detailed Project Costs'!$F$44,0))</f>
        <v/>
      </c>
      <c r="AV69" s="273">
        <f>IF('Project Assumptions'!$D$16=0,IF(AV$5='Project Assumptions'!$D$15,-'Detailed Project Costs'!$F$44,0),IF(AV$5='Project Assumptions'!$D$15+1,-'Detailed Project Costs'!$F$44,0))</f>
        <v/>
      </c>
      <c r="AW69" s="273">
        <f>IF('Project Assumptions'!$D$16=0,IF(AW$5='Project Assumptions'!$D$15,-'Detailed Project Costs'!$F$44,0),IF(AW$5='Project Assumptions'!$D$15+1,-'Detailed Project Costs'!$F$44,0))</f>
        <v/>
      </c>
      <c r="AX69" s="273">
        <f>IF('Project Assumptions'!$D$16=0,IF(AX$5='Project Assumptions'!$D$15,-'Detailed Project Costs'!$F$44,0),IF(AX$5='Project Assumptions'!$D$15+1,-'Detailed Project Costs'!$F$44,0))</f>
        <v/>
      </c>
      <c r="AY69" s="273">
        <f>IF('Project Assumptions'!$D$16=0,IF(AY$5='Project Assumptions'!$D$15,-'Detailed Project Costs'!$F$44,0),IF(AY$5='Project Assumptions'!$D$15+1,-'Detailed Project Costs'!$F$44,0))</f>
        <v/>
      </c>
      <c r="AZ69" s="273">
        <f>IF('Project Assumptions'!$D$16=0,IF(AZ$5='Project Assumptions'!$D$15,-'Detailed Project Costs'!$F$44,0),IF(AZ$5='Project Assumptions'!$D$15+1,-'Detailed Project Costs'!$F$44,0))</f>
        <v/>
      </c>
      <c r="BA69" s="273">
        <f>IF('Project Assumptions'!$D$16=0,IF(BA$5='Project Assumptions'!$D$15,-'Detailed Project Costs'!$F$44,0),IF(BA$5='Project Assumptions'!$D$15+1,-'Detailed Project Costs'!$F$44,0))</f>
        <v/>
      </c>
      <c r="BB69" s="273">
        <f>IF('Project Assumptions'!$D$16=0,IF(BB$5='Project Assumptions'!$D$15,-'Detailed Project Costs'!$F$44,0),IF(BB$5='Project Assumptions'!$D$15+1,-'Detailed Project Costs'!$F$44,0))</f>
        <v/>
      </c>
      <c r="BC69" s="273">
        <f>IF('Project Assumptions'!$D$16=0,IF(BC$5='Project Assumptions'!$D$15,-'Detailed Project Costs'!$F$44,0),IF(BC$5='Project Assumptions'!$D$15+1,-'Detailed Project Costs'!$F$44,0))</f>
        <v/>
      </c>
      <c r="BD69" s="273">
        <f>IF('Project Assumptions'!$D$16=0,IF(BD$5='Project Assumptions'!$D$15,-'Detailed Project Costs'!$F$44,0),IF(BD$5='Project Assumptions'!$D$15+1,-'Detailed Project Costs'!$F$44,0))</f>
        <v/>
      </c>
      <c r="BE69" s="273">
        <f>IF('Project Assumptions'!$D$16=0,IF(BE$5='Project Assumptions'!$D$15,-'Detailed Project Costs'!$F$44,0),IF(BE$5='Project Assumptions'!$D$15+1,-'Detailed Project Costs'!$F$44,0))</f>
        <v/>
      </c>
      <c r="BF69" s="273">
        <f>IF('Project Assumptions'!$D$16=0,IF(BF$5='Project Assumptions'!$D$15,-'Detailed Project Costs'!$F$44,0),IF(BF$5='Project Assumptions'!$D$15+1,-'Detailed Project Costs'!$F$44,0))</f>
        <v/>
      </c>
      <c r="BG69" s="273">
        <f>IF('Project Assumptions'!$D$16=0,IF(BG$5='Project Assumptions'!$D$15,-'Detailed Project Costs'!$F$44,0),IF(BG$5='Project Assumptions'!$D$15+1,-'Detailed Project Costs'!$F$44,0))</f>
        <v/>
      </c>
      <c r="BH69" s="273">
        <f>IF('Project Assumptions'!$D$16=0,IF(BH$5='Project Assumptions'!$D$15,-'Detailed Project Costs'!$F$44,0),IF(BH$5='Project Assumptions'!$D$15+1,-'Detailed Project Costs'!$F$44,0))</f>
        <v/>
      </c>
      <c r="BI69" s="273">
        <f>IF('Project Assumptions'!$D$16=0,IF(BI$5='Project Assumptions'!$D$15,-'Detailed Project Costs'!$F$44,0),IF(BI$5='Project Assumptions'!$D$15+1,-'Detailed Project Costs'!$F$44,0))</f>
        <v/>
      </c>
      <c r="BJ69" s="273">
        <f>IF('Project Assumptions'!$D$16=0,IF(BJ$5='Project Assumptions'!$D$15,-'Detailed Project Costs'!$F$44,0),IF(BJ$5='Project Assumptions'!$D$15+1,-'Detailed Project Costs'!$F$44,0))</f>
        <v/>
      </c>
      <c r="BK69" s="273">
        <f>IF('Project Assumptions'!$D$16=0,IF(BK$5='Project Assumptions'!$D$15,-'Detailed Project Costs'!$F$44,0),IF(BK$5='Project Assumptions'!$D$15+1,-'Detailed Project Costs'!$F$44,0))</f>
        <v/>
      </c>
      <c r="BL69" s="273">
        <f>IF('Project Assumptions'!$D$16=0,IF(BL$5='Project Assumptions'!$D$15,-'Detailed Project Costs'!$F$44,0),IF(BL$5='Project Assumptions'!$D$15+1,-'Detailed Project Costs'!$F$44,0))</f>
        <v/>
      </c>
      <c r="BM69" s="273">
        <f>IF('Project Assumptions'!$D$16=0,IF(BM$5='Project Assumptions'!$D$15,-'Detailed Project Costs'!$F$44,0),IF(BM$5='Project Assumptions'!$D$15+1,-'Detailed Project Costs'!$F$44,0))</f>
        <v/>
      </c>
      <c r="BN69" s="273">
        <f>IF('Project Assumptions'!$D$16=0,IF(BN$5='Project Assumptions'!$D$15,-'Detailed Project Costs'!$F$44,0),IF(BN$5='Project Assumptions'!$D$15+1,-'Detailed Project Costs'!$F$44,0))</f>
        <v/>
      </c>
      <c r="BO69" s="273">
        <f>IF('Project Assumptions'!$D$16=0,IF(BO$5='Project Assumptions'!$D$15,-'Detailed Project Costs'!$F$44,0),IF(BO$5='Project Assumptions'!$D$15+1,-'Detailed Project Costs'!$F$44,0))</f>
        <v/>
      </c>
      <c r="BP69" s="273">
        <f>IF('Project Assumptions'!$D$16=0,IF(BP$5='Project Assumptions'!$D$15,-'Detailed Project Costs'!$F$44,0),IF(BP$5='Project Assumptions'!$D$15+1,-'Detailed Project Costs'!$F$44,0))</f>
        <v/>
      </c>
      <c r="BQ69" s="273">
        <f>IF('Project Assumptions'!$D$16=0,IF(BQ$5='Project Assumptions'!$D$15,-'Detailed Project Costs'!$F$44,0),IF(BQ$5='Project Assumptions'!$D$15+1,-'Detailed Project Costs'!$F$44,0))</f>
        <v/>
      </c>
      <c r="BR69" s="273">
        <f>IF('Project Assumptions'!$D$16=0,IF(BR$5='Project Assumptions'!$D$15,-'Detailed Project Costs'!$F$44,0),IF(BR$5='Project Assumptions'!$D$15+1,-'Detailed Project Costs'!$F$44,0))</f>
        <v/>
      </c>
      <c r="BS69" s="273">
        <f>IF('Project Assumptions'!$D$16=0,IF(BS$5='Project Assumptions'!$D$15,-'Detailed Project Costs'!$F$44,0),IF(BS$5='Project Assumptions'!$D$15+1,-'Detailed Project Costs'!$F$44,0))</f>
        <v/>
      </c>
      <c r="BT69" s="273">
        <f>IF('Project Assumptions'!$D$16=0,IF(BT$5='Project Assumptions'!$D$15,-'Detailed Project Costs'!$F$44,0),IF(BT$5='Project Assumptions'!$D$15+1,-'Detailed Project Costs'!$F$44,0))</f>
        <v/>
      </c>
      <c r="BU69" s="273">
        <f>IF('Project Assumptions'!$D$16=0,IF(BU$5='Project Assumptions'!$D$15,-'Detailed Project Costs'!$F$44,0),IF(BU$5='Project Assumptions'!$D$15+1,-'Detailed Project Costs'!$F$44,0))</f>
        <v/>
      </c>
      <c r="BV69" s="273">
        <f>IF('Project Assumptions'!$D$16=0,IF(BV$5='Project Assumptions'!$D$15,-'Detailed Project Costs'!$F$44,0),IF(BV$5='Project Assumptions'!$D$15+1,-'Detailed Project Costs'!$F$44,0))</f>
        <v/>
      </c>
      <c r="BW69" s="273">
        <f>IF('Project Assumptions'!$D$16=0,IF(BW$5='Project Assumptions'!$D$15,-'Detailed Project Costs'!$F$44,0),IF(BW$5='Project Assumptions'!$D$15+1,-'Detailed Project Costs'!$F$44,0))</f>
        <v/>
      </c>
      <c r="BX69" s="273">
        <f>IF('Project Assumptions'!$D$16=0,IF(BX$5='Project Assumptions'!$D$15,-'Detailed Project Costs'!$F$44,0),IF(BX$5='Project Assumptions'!$D$15+1,-'Detailed Project Costs'!$F$44,0))</f>
        <v/>
      </c>
      <c r="BY69" s="273">
        <f>IF('Project Assumptions'!$D$16=0,IF(BY$5='Project Assumptions'!$D$15,-'Detailed Project Costs'!$F$44,0),IF(BY$5='Project Assumptions'!$D$15+1,-'Detailed Project Costs'!$F$44,0))</f>
        <v/>
      </c>
      <c r="BZ69" s="273">
        <f>IF('Project Assumptions'!$D$16=0,IF(BZ$5='Project Assumptions'!$D$15,-'Detailed Project Costs'!$F$44,0),IF(BZ$5='Project Assumptions'!$D$15+1,-'Detailed Project Costs'!$F$44,0))</f>
        <v/>
      </c>
      <c r="CA69" s="273">
        <f>IF('Project Assumptions'!$D$16=0,IF(CA$5='Project Assumptions'!$D$15,-'Detailed Project Costs'!$F$44,0),IF(CA$5='Project Assumptions'!$D$15+1,-'Detailed Project Costs'!$F$44,0))</f>
        <v/>
      </c>
      <c r="CB69" s="273">
        <f>IF('Project Assumptions'!$D$16=0,IF(CB$5='Project Assumptions'!$D$15,-'Detailed Project Costs'!$F$44,0),IF(CB$5='Project Assumptions'!$D$15+1,-'Detailed Project Costs'!$F$44,0))</f>
        <v/>
      </c>
      <c r="CC69" s="273">
        <f>IF('Project Assumptions'!$D$16=0,IF(CC$5='Project Assumptions'!$D$15,-'Detailed Project Costs'!$F$44,0),IF(CC$5='Project Assumptions'!$D$15+1,-'Detailed Project Costs'!$F$44,0))</f>
        <v/>
      </c>
      <c r="CD69" s="273">
        <f>IF('Project Assumptions'!$D$16=0,IF(CD$5='Project Assumptions'!$D$15,-'Detailed Project Costs'!$F$44,0),IF(CD$5='Project Assumptions'!$D$15+1,-'Detailed Project Costs'!$F$44,0))</f>
        <v/>
      </c>
      <c r="CE69" s="273">
        <f>IF('Project Assumptions'!$D$16=0,IF(CE$5='Project Assumptions'!$D$15,-'Detailed Project Costs'!$F$44,0),IF(CE$5='Project Assumptions'!$D$15+1,-'Detailed Project Costs'!$F$44,0))</f>
        <v/>
      </c>
      <c r="CF69" s="273">
        <f>IF('Project Assumptions'!$D$16=0,IF(CF$5='Project Assumptions'!$D$15,-'Detailed Project Costs'!$F$44,0),IF(CF$5='Project Assumptions'!$D$15+1,-'Detailed Project Costs'!$F$44,0))</f>
        <v/>
      </c>
      <c r="CG69" s="273">
        <f>IF('Project Assumptions'!$D$16=0,IF(CG$5='Project Assumptions'!$D$15,-'Detailed Project Costs'!$F$44,0),IF(CG$5='Project Assumptions'!$D$15+1,-'Detailed Project Costs'!$F$44,0))</f>
        <v/>
      </c>
      <c r="CH69" s="273">
        <f>IF('Project Assumptions'!$D$16=0,IF(CH$5='Project Assumptions'!$D$15,-'Detailed Project Costs'!$F$44,0),IF(CH$5='Project Assumptions'!$D$15+1,-'Detailed Project Costs'!$F$44,0))</f>
        <v/>
      </c>
      <c r="CI69" s="273">
        <f>IF('Project Assumptions'!$D$16=0,IF(CI$5='Project Assumptions'!$D$15,-'Detailed Project Costs'!$F$44,0),IF(CI$5='Project Assumptions'!$D$15+1,-'Detailed Project Costs'!$F$44,0))</f>
        <v/>
      </c>
      <c r="CJ69" s="273">
        <f>IF('Project Assumptions'!$D$16=0,IF(CJ$5='Project Assumptions'!$D$15,-'Detailed Project Costs'!$F$44,0),IF(CJ$5='Project Assumptions'!$D$15+1,-'Detailed Project Costs'!$F$44,0))</f>
        <v/>
      </c>
      <c r="CK69" s="273">
        <f>IF('Project Assumptions'!$D$16=0,IF(CK$5='Project Assumptions'!$D$15,-'Detailed Project Costs'!$F$44,0),IF(CK$5='Project Assumptions'!$D$15+1,-'Detailed Project Costs'!$F$44,0))</f>
        <v/>
      </c>
      <c r="CL69" s="273">
        <f>IF('Project Assumptions'!$D$16=0,IF(CL$5='Project Assumptions'!$D$15,-'Detailed Project Costs'!$F$44,0),IF(CL$5='Project Assumptions'!$D$15+1,-'Detailed Project Costs'!$F$44,0))</f>
        <v/>
      </c>
      <c r="CM69" s="273">
        <f>IF('Project Assumptions'!$D$16=0,IF(CM$5='Project Assumptions'!$D$15,-'Detailed Project Costs'!$F$44,0),IF(CM$5='Project Assumptions'!$D$15+1,-'Detailed Project Costs'!$F$44,0))</f>
        <v/>
      </c>
      <c r="CN69" s="273">
        <f>IF('Project Assumptions'!$D$16=0,IF(CN$5='Project Assumptions'!$D$15,-'Detailed Project Costs'!$F$44,0),IF(CN$5='Project Assumptions'!$D$15+1,-'Detailed Project Costs'!$F$44,0))</f>
        <v/>
      </c>
      <c r="CO69" s="273">
        <f>IF('Project Assumptions'!$D$16=0,IF(CO$5='Project Assumptions'!$D$15,-'Detailed Project Costs'!$F$44,0),IF(CO$5='Project Assumptions'!$D$15+1,-'Detailed Project Costs'!$F$44,0))</f>
        <v/>
      </c>
      <c r="CP69" s="273">
        <f>IF('Project Assumptions'!$D$16=0,IF(CP$5='Project Assumptions'!$D$15,-'Detailed Project Costs'!$F$44,0),IF(CP$5='Project Assumptions'!$D$15+1,-'Detailed Project Costs'!$F$44,0))</f>
        <v/>
      </c>
      <c r="CQ69" s="273">
        <f>IF('Project Assumptions'!$D$16=0,IF(CQ$5='Project Assumptions'!$D$15,-'Detailed Project Costs'!$F$44,0),IF(CQ$5='Project Assumptions'!$D$15+1,-'Detailed Project Costs'!$F$44,0))</f>
        <v/>
      </c>
      <c r="CR69" s="273">
        <f>IF('Project Assumptions'!$D$16=0,IF(CR$5='Project Assumptions'!$D$15,-'Detailed Project Costs'!$F$44,0),IF(CR$5='Project Assumptions'!$D$15+1,-'Detailed Project Costs'!$F$44,0))</f>
        <v/>
      </c>
      <c r="CS69" s="273">
        <f>IF('Project Assumptions'!$D$16=0,IF(CS$5='Project Assumptions'!$D$15,-'Detailed Project Costs'!$F$44,0),IF(CS$5='Project Assumptions'!$D$15+1,-'Detailed Project Costs'!$F$44,0))</f>
        <v/>
      </c>
      <c r="CT69" s="273">
        <f>IF('Project Assumptions'!$D$16=0,IF(CT$5='Project Assumptions'!$D$15,-'Detailed Project Costs'!$F$44,0),IF(CT$5='Project Assumptions'!$D$15+1,-'Detailed Project Costs'!$F$44,0))</f>
        <v/>
      </c>
      <c r="CU69" s="273">
        <f>IF('Project Assumptions'!$D$16=0,IF(CU$5='Project Assumptions'!$D$15,-'Detailed Project Costs'!$F$44,0),IF(CU$5='Project Assumptions'!$D$15+1,-'Detailed Project Costs'!$F$44,0))</f>
        <v/>
      </c>
      <c r="CV69" s="273">
        <f>IF('Project Assumptions'!$D$16=0,IF(CV$5='Project Assumptions'!$D$15,-'Detailed Project Costs'!$F$44,0),IF(CV$5='Project Assumptions'!$D$15+1,-'Detailed Project Costs'!$F$44,0))</f>
        <v/>
      </c>
      <c r="CW69" s="273">
        <f>IF('Project Assumptions'!$D$16=0,IF(CW$5='Project Assumptions'!$D$15,-'Detailed Project Costs'!$F$44,0),IF(CW$5='Project Assumptions'!$D$15+1,-'Detailed Project Costs'!$F$44,0))</f>
        <v/>
      </c>
      <c r="CX69" s="273">
        <f>IF('Project Assumptions'!$D$16=0,IF(CX$5='Project Assumptions'!$D$15,-'Detailed Project Costs'!$F$44,0),IF(CX$5='Project Assumptions'!$D$15+1,-'Detailed Project Costs'!$F$44,0))</f>
        <v/>
      </c>
      <c r="CY69" s="273">
        <f>IF('Project Assumptions'!$D$16=0,IF(CY$5='Project Assumptions'!$D$15,-'Detailed Project Costs'!$F$44,0),IF(CY$5='Project Assumptions'!$D$15+1,-'Detailed Project Costs'!$F$44,0))</f>
        <v/>
      </c>
      <c r="CZ69" s="273">
        <f>IF('Project Assumptions'!$D$16=0,IF(CZ$5='Project Assumptions'!$D$15,-'Detailed Project Costs'!$F$44,0),IF(CZ$5='Project Assumptions'!$D$15+1,-'Detailed Project Costs'!$F$44,0))</f>
        <v/>
      </c>
      <c r="DA69" s="273">
        <f>IF('Project Assumptions'!$D$16=0,IF(DA$5='Project Assumptions'!$D$15,-'Detailed Project Costs'!$F$44,0),IF(DA$5='Project Assumptions'!$D$15+1,-'Detailed Project Costs'!$F$44,0))</f>
        <v/>
      </c>
      <c r="DB69" s="273">
        <f>IF('Project Assumptions'!$D$16=0,IF(DB$5='Project Assumptions'!$D$15,-'Detailed Project Costs'!$F$44,0),IF(DB$5='Project Assumptions'!$D$15+1,-'Detailed Project Costs'!$F$44,0))</f>
        <v/>
      </c>
      <c r="DC69" s="273" t="n"/>
      <c r="DD69" s="295">
        <f>SUM(F69:DB69)</f>
        <v/>
      </c>
    </row>
    <row r="70">
      <c r="A70" s="1005" t="n"/>
      <c r="B70" s="308" t="inlineStr">
        <is>
          <t xml:space="preserve">   Taxes - R.E. Taxes during Construction</t>
        </is>
      </c>
      <c r="C70" s="337" t="n"/>
      <c r="D70" s="297">
        <f>DD70</f>
        <v/>
      </c>
      <c r="E70" s="276" t="n"/>
      <c r="F70" s="890">
        <f>IF(F$5&gt;'Project Assumptions'!$D$15,IF(F$5&lt;='Project Assumptions'!$D$15+'Project Assumptions'!$D$16,-'Detailed Project Costs'!$F$45/'Project Assumptions'!$D$16,0),0)+IF('Project Assumptions'!$D$16=0,IF(F$5='Project Assumptions'!$D$15,-'Detailed Project Costs'!$F$45,0),0)</f>
        <v/>
      </c>
      <c r="G70" s="890">
        <f>IF(G$5&gt;'Project Assumptions'!$D$15,IF(G$5&lt;='Project Assumptions'!$D$15+'Project Assumptions'!$D$16,-'Detailed Project Costs'!$F$45/'Project Assumptions'!$D$16,0),0)+IF('Project Assumptions'!$D$16=0,IF(G$5='Project Assumptions'!$D$15,-'Detailed Project Costs'!$F$45,0),0)</f>
        <v/>
      </c>
      <c r="H70" s="890">
        <f>IF(H$5&gt;'Project Assumptions'!$D$15,IF(H$5&lt;='Project Assumptions'!$D$15+'Project Assumptions'!$D$16,-'Detailed Project Costs'!$F$45/'Project Assumptions'!$D$16,0),0)+IF('Project Assumptions'!$D$16=0,IF(H$5='Project Assumptions'!$D$15,-'Detailed Project Costs'!$F$45,0),0)</f>
        <v/>
      </c>
      <c r="I70" s="890">
        <f>IF(I$5&gt;'Project Assumptions'!$D$15,IF(I$5&lt;='Project Assumptions'!$D$15+'Project Assumptions'!$D$16,-'Detailed Project Costs'!$F$45/'Project Assumptions'!$D$16,0),0)+IF('Project Assumptions'!$D$16=0,IF(I$5='Project Assumptions'!$D$15,-'Detailed Project Costs'!$F$45,0),0)</f>
        <v/>
      </c>
      <c r="J70" s="890">
        <f>IF(J$5&gt;'Project Assumptions'!$D$15,IF(J$5&lt;='Project Assumptions'!$D$15+'Project Assumptions'!$D$16,-'Detailed Project Costs'!$F$45/'Project Assumptions'!$D$16,0),0)+IF('Project Assumptions'!$D$16=0,IF(J$5='Project Assumptions'!$D$15,-'Detailed Project Costs'!$F$45,0),0)</f>
        <v/>
      </c>
      <c r="K70" s="890">
        <f>IF(K$5&gt;'Project Assumptions'!$D$15,IF(K$5&lt;='Project Assumptions'!$D$15+'Project Assumptions'!$D$16,-'Detailed Project Costs'!$F$45/'Project Assumptions'!$D$16,0),0)+IF('Project Assumptions'!$D$16=0,IF(K$5='Project Assumptions'!$D$15,-'Detailed Project Costs'!$F$45,0),0)</f>
        <v/>
      </c>
      <c r="L70" s="890">
        <f>IF(L$5&gt;'Project Assumptions'!$D$15,IF(L$5&lt;='Project Assumptions'!$D$15+'Project Assumptions'!$D$16,-'Detailed Project Costs'!$F$45/'Project Assumptions'!$D$16,0),0)+IF('Project Assumptions'!$D$16=0,IF(L$5='Project Assumptions'!$D$15,-'Detailed Project Costs'!$F$45,0),0)</f>
        <v/>
      </c>
      <c r="M70" s="890">
        <f>IF(M$5&gt;'Project Assumptions'!$D$15,IF(M$5&lt;='Project Assumptions'!$D$15+'Project Assumptions'!$D$16,-'Detailed Project Costs'!$F$45/'Project Assumptions'!$D$16,0),0)+IF('Project Assumptions'!$D$16=0,IF(M$5='Project Assumptions'!$D$15,-'Detailed Project Costs'!$F$45,0),0)</f>
        <v/>
      </c>
      <c r="N70" s="890">
        <f>IF(N$5&gt;'Project Assumptions'!$D$15,IF(N$5&lt;='Project Assumptions'!$D$15+'Project Assumptions'!$D$16,-'Detailed Project Costs'!$F$45/'Project Assumptions'!$D$16,0),0)+IF('Project Assumptions'!$D$16=0,IF(N$5='Project Assumptions'!$D$15,-'Detailed Project Costs'!$F$45,0),0)</f>
        <v/>
      </c>
      <c r="O70" s="890">
        <f>IF(O$5&gt;'Project Assumptions'!$D$15,IF(O$5&lt;='Project Assumptions'!$D$15+'Project Assumptions'!$D$16,-'Detailed Project Costs'!$F$45/'Project Assumptions'!$D$16,0),0)+IF('Project Assumptions'!$D$16=0,IF(O$5='Project Assumptions'!$D$15,-'Detailed Project Costs'!$F$45,0),0)</f>
        <v/>
      </c>
      <c r="P70" s="890">
        <f>IF(P$5&gt;'Project Assumptions'!$D$15,IF(P$5&lt;='Project Assumptions'!$D$15+'Project Assumptions'!$D$16,-'Detailed Project Costs'!$F$45/'Project Assumptions'!$D$16,0),0)+IF('Project Assumptions'!$D$16=0,IF(P$5='Project Assumptions'!$D$15,-'Detailed Project Costs'!$F$45,0),0)</f>
        <v/>
      </c>
      <c r="Q70" s="890">
        <f>IF(Q$5&gt;'Project Assumptions'!$D$15,IF(Q$5&lt;='Project Assumptions'!$D$15+'Project Assumptions'!$D$16,-'Detailed Project Costs'!$F$45/'Project Assumptions'!$D$16,0),0)+IF('Project Assumptions'!$D$16=0,IF(Q$5='Project Assumptions'!$D$15,-'Detailed Project Costs'!$F$45,0),0)</f>
        <v/>
      </c>
      <c r="R70" s="890">
        <f>IF(R$5&gt;'Project Assumptions'!$D$15,IF(R$5&lt;='Project Assumptions'!$D$15+'Project Assumptions'!$D$16,-'Detailed Project Costs'!$F$45/'Project Assumptions'!$D$16,0),0)+IF('Project Assumptions'!$D$16=0,IF(R$5='Project Assumptions'!$D$15,-'Detailed Project Costs'!$F$45,0),0)</f>
        <v/>
      </c>
      <c r="S70" s="890">
        <f>IF(S$5&gt;'Project Assumptions'!$D$15,IF(S$5&lt;='Project Assumptions'!$D$15+'Project Assumptions'!$D$16,-'Detailed Project Costs'!$F$45/'Project Assumptions'!$D$16,0),0)+IF('Project Assumptions'!$D$16=0,IF(S$5='Project Assumptions'!$D$15,-'Detailed Project Costs'!$F$45,0),0)</f>
        <v/>
      </c>
      <c r="T70" s="890">
        <f>IF(T$5&gt;'Project Assumptions'!$D$15,IF(T$5&lt;='Project Assumptions'!$D$15+'Project Assumptions'!$D$16,-'Detailed Project Costs'!$F$45/'Project Assumptions'!$D$16,0),0)+IF('Project Assumptions'!$D$16=0,IF(T$5='Project Assumptions'!$D$15,-'Detailed Project Costs'!$F$45,0),0)</f>
        <v/>
      </c>
      <c r="U70" s="890">
        <f>IF(U$5&gt;'Project Assumptions'!$D$15,IF(U$5&lt;='Project Assumptions'!$D$15+'Project Assumptions'!$D$16,-'Detailed Project Costs'!$F$45/'Project Assumptions'!$D$16,0),0)+IF('Project Assumptions'!$D$16=0,IF(U$5='Project Assumptions'!$D$15,-'Detailed Project Costs'!$F$45,0),0)</f>
        <v/>
      </c>
      <c r="V70" s="890">
        <f>IF(V$5&gt;'Project Assumptions'!$D$15,IF(V$5&lt;='Project Assumptions'!$D$15+'Project Assumptions'!$D$16,-'Detailed Project Costs'!$F$45/'Project Assumptions'!$D$16,0),0)+IF('Project Assumptions'!$D$16=0,IF(V$5='Project Assumptions'!$D$15,-'Detailed Project Costs'!$F$45,0),0)</f>
        <v/>
      </c>
      <c r="W70" s="890">
        <f>IF(W$5&gt;'Project Assumptions'!$D$15,IF(W$5&lt;='Project Assumptions'!$D$15+'Project Assumptions'!$D$16,-'Detailed Project Costs'!$F$45/'Project Assumptions'!$D$16,0),0)+IF('Project Assumptions'!$D$16=0,IF(W$5='Project Assumptions'!$D$15,-'Detailed Project Costs'!$F$45,0),0)</f>
        <v/>
      </c>
      <c r="X70" s="890">
        <f>IF(X$5&gt;'Project Assumptions'!$D$15,IF(X$5&lt;='Project Assumptions'!$D$15+'Project Assumptions'!$D$16,-'Detailed Project Costs'!$F$45/'Project Assumptions'!$D$16,0),0)+IF('Project Assumptions'!$D$16=0,IF(X$5='Project Assumptions'!$D$15,-'Detailed Project Costs'!$F$45,0),0)</f>
        <v/>
      </c>
      <c r="Y70" s="890">
        <f>IF(Y$5&gt;'Project Assumptions'!$D$15,IF(Y$5&lt;='Project Assumptions'!$D$15+'Project Assumptions'!$D$16,-'Detailed Project Costs'!$F$45/'Project Assumptions'!$D$16,0),0)+IF('Project Assumptions'!$D$16=0,IF(Y$5='Project Assumptions'!$D$15,-'Detailed Project Costs'!$F$45,0),0)</f>
        <v/>
      </c>
      <c r="Z70" s="890">
        <f>IF(Z$5&gt;'Project Assumptions'!$D$15,IF(Z$5&lt;='Project Assumptions'!$D$15+'Project Assumptions'!$D$16,-'Detailed Project Costs'!$F$45/'Project Assumptions'!$D$16,0),0)+IF('Project Assumptions'!$D$16=0,IF(Z$5='Project Assumptions'!$D$15,-'Detailed Project Costs'!$F$45,0),0)</f>
        <v/>
      </c>
      <c r="AA70" s="890">
        <f>IF(AA$5&gt;'Project Assumptions'!$D$15,IF(AA$5&lt;='Project Assumptions'!$D$15+'Project Assumptions'!$D$16,-'Detailed Project Costs'!$F$45/'Project Assumptions'!$D$16,0),0)+IF('Project Assumptions'!$D$16=0,IF(AA$5='Project Assumptions'!$D$15,-'Detailed Project Costs'!$F$45,0),0)</f>
        <v/>
      </c>
      <c r="AB70" s="890">
        <f>IF(AB$5&gt;'Project Assumptions'!$D$15,IF(AB$5&lt;='Project Assumptions'!$D$15+'Project Assumptions'!$D$16,-'Detailed Project Costs'!$F$45/'Project Assumptions'!$D$16,0),0)+IF('Project Assumptions'!$D$16=0,IF(AB$5='Project Assumptions'!$D$15,-'Detailed Project Costs'!$F$45,0),0)</f>
        <v/>
      </c>
      <c r="AC70" s="890">
        <f>IF(AC$5&gt;'Project Assumptions'!$D$15,IF(AC$5&lt;='Project Assumptions'!$D$15+'Project Assumptions'!$D$16,-'Detailed Project Costs'!$F$45/'Project Assumptions'!$D$16,0),0)+IF('Project Assumptions'!$D$16=0,IF(AC$5='Project Assumptions'!$D$15,-'Detailed Project Costs'!$F$45,0),0)</f>
        <v/>
      </c>
      <c r="AD70" s="890">
        <f>IF(AD$5&gt;'Project Assumptions'!$D$15,IF(AD$5&lt;='Project Assumptions'!$D$15+'Project Assumptions'!$D$16,-'Detailed Project Costs'!$F$45/'Project Assumptions'!$D$16,0),0)+IF('Project Assumptions'!$D$16=0,IF(AD$5='Project Assumptions'!$D$15,-'Detailed Project Costs'!$F$45,0),0)</f>
        <v/>
      </c>
      <c r="AE70" s="890">
        <f>IF(AE$5&gt;'Project Assumptions'!$D$15,IF(AE$5&lt;='Project Assumptions'!$D$15+'Project Assumptions'!$D$16,-'Detailed Project Costs'!$F$45/'Project Assumptions'!$D$16,0),0)+IF('Project Assumptions'!$D$16=0,IF(AE$5='Project Assumptions'!$D$15,-'Detailed Project Costs'!$F$45,0),0)</f>
        <v/>
      </c>
      <c r="AF70" s="890">
        <f>IF(AF$5&gt;'Project Assumptions'!$D$15,IF(AF$5&lt;='Project Assumptions'!$D$15+'Project Assumptions'!$D$16,-'Detailed Project Costs'!$F$45/'Project Assumptions'!$D$16,0),0)+IF('Project Assumptions'!$D$16=0,IF(AF$5='Project Assumptions'!$D$15,-'Detailed Project Costs'!$F$45,0),0)</f>
        <v/>
      </c>
      <c r="AG70" s="890">
        <f>IF(AG$5&gt;'Project Assumptions'!$D$15,IF(AG$5&lt;='Project Assumptions'!$D$15+'Project Assumptions'!$D$16,-'Detailed Project Costs'!$F$45/'Project Assumptions'!$D$16,0),0)+IF('Project Assumptions'!$D$16=0,IF(AG$5='Project Assumptions'!$D$15,-'Detailed Project Costs'!$F$45,0),0)</f>
        <v/>
      </c>
      <c r="AH70" s="890">
        <f>IF(AH$5&gt;'Project Assumptions'!$D$15,IF(AH$5&lt;='Project Assumptions'!$D$15+'Project Assumptions'!$D$16,-'Detailed Project Costs'!$F$45/'Project Assumptions'!$D$16,0),0)+IF('Project Assumptions'!$D$16=0,IF(AH$5='Project Assumptions'!$D$15,-'Detailed Project Costs'!$F$45,0),0)</f>
        <v/>
      </c>
      <c r="AI70" s="890">
        <f>IF(AI$5&gt;'Project Assumptions'!$D$15,IF(AI$5&lt;='Project Assumptions'!$D$15+'Project Assumptions'!$D$16,-'Detailed Project Costs'!$F$45/'Project Assumptions'!$D$16,0),0)+IF('Project Assumptions'!$D$16=0,IF(AI$5='Project Assumptions'!$D$15,-'Detailed Project Costs'!$F$45,0),0)</f>
        <v/>
      </c>
      <c r="AJ70" s="890">
        <f>IF(AJ$5&gt;'Project Assumptions'!$D$15,IF(AJ$5&lt;='Project Assumptions'!$D$15+'Project Assumptions'!$D$16,-'Detailed Project Costs'!$F$45/'Project Assumptions'!$D$16,0),0)+IF('Project Assumptions'!$D$16=0,IF(AJ$5='Project Assumptions'!$D$15,-'Detailed Project Costs'!$F$45,0),0)</f>
        <v/>
      </c>
      <c r="AK70" s="890">
        <f>IF(AK$5&gt;'Project Assumptions'!$D$15,IF(AK$5&lt;='Project Assumptions'!$D$15+'Project Assumptions'!$D$16,-'Detailed Project Costs'!$F$45/'Project Assumptions'!$D$16,0),0)+IF('Project Assumptions'!$D$16=0,IF(AK$5='Project Assumptions'!$D$15,-'Detailed Project Costs'!$F$45,0),0)</f>
        <v/>
      </c>
      <c r="AL70" s="890">
        <f>IF(AL$5&gt;'Project Assumptions'!$D$15,IF(AL$5&lt;='Project Assumptions'!$D$15+'Project Assumptions'!$D$16,-'Detailed Project Costs'!$F$45/'Project Assumptions'!$D$16,0),0)+IF('Project Assumptions'!$D$16=0,IF(AL$5='Project Assumptions'!$D$15,-'Detailed Project Costs'!$F$45,0),0)</f>
        <v/>
      </c>
      <c r="AM70" s="890">
        <f>IF(AM$5&gt;'Project Assumptions'!$D$15,IF(AM$5&lt;='Project Assumptions'!$D$15+'Project Assumptions'!$D$16,-'Detailed Project Costs'!$F$45/'Project Assumptions'!$D$16,0),0)+IF('Project Assumptions'!$D$16=0,IF(AM$5='Project Assumptions'!$D$15,-'Detailed Project Costs'!$F$45,0),0)</f>
        <v/>
      </c>
      <c r="AN70" s="890">
        <f>IF(AN$5&gt;'Project Assumptions'!$D$15,IF(AN$5&lt;='Project Assumptions'!$D$15+'Project Assumptions'!$D$16,-'Detailed Project Costs'!$F$45/'Project Assumptions'!$D$16,0),0)+IF('Project Assumptions'!$D$16=0,IF(AN$5='Project Assumptions'!$D$15,-'Detailed Project Costs'!$F$45,0),0)</f>
        <v/>
      </c>
      <c r="AO70" s="890">
        <f>IF(AO$5&gt;'Project Assumptions'!$D$15,IF(AO$5&lt;='Project Assumptions'!$D$15+'Project Assumptions'!$D$16,-'Detailed Project Costs'!$F$45/'Project Assumptions'!$D$16,0),0)+IF('Project Assumptions'!$D$16=0,IF(AO$5='Project Assumptions'!$D$15,-'Detailed Project Costs'!$F$45,0),0)</f>
        <v/>
      </c>
      <c r="AP70" s="890">
        <f>IF(AP$5&gt;'Project Assumptions'!$D$15,IF(AP$5&lt;='Project Assumptions'!$D$15+'Project Assumptions'!$D$16,-'Detailed Project Costs'!$F$45/'Project Assumptions'!$D$16,0),0)+IF('Project Assumptions'!$D$16=0,IF(AP$5='Project Assumptions'!$D$15,-'Detailed Project Costs'!$F$45,0),0)</f>
        <v/>
      </c>
      <c r="AQ70" s="890">
        <f>IF(AQ$5&gt;'Project Assumptions'!$D$15,IF(AQ$5&lt;='Project Assumptions'!$D$15+'Project Assumptions'!$D$16,-'Detailed Project Costs'!$F$45/'Project Assumptions'!$D$16,0),0)+IF('Project Assumptions'!$D$16=0,IF(AQ$5='Project Assumptions'!$D$15,-'Detailed Project Costs'!$F$45,0),0)</f>
        <v/>
      </c>
      <c r="AR70" s="890">
        <f>IF(AR$5&gt;'Project Assumptions'!$D$15,IF(AR$5&lt;='Project Assumptions'!$D$15+'Project Assumptions'!$D$16,-'Detailed Project Costs'!$F$45/'Project Assumptions'!$D$16,0),0)+IF('Project Assumptions'!$D$16=0,IF(AR$5='Project Assumptions'!$D$15,-'Detailed Project Costs'!$F$45,0),0)</f>
        <v/>
      </c>
      <c r="AS70" s="890">
        <f>IF(AS$5&gt;'Project Assumptions'!$D$15,IF(AS$5&lt;='Project Assumptions'!$D$15+'Project Assumptions'!$D$16,-'Detailed Project Costs'!$F$45/'Project Assumptions'!$D$16,0),0)+IF('Project Assumptions'!$D$16=0,IF(AS$5='Project Assumptions'!$D$15,-'Detailed Project Costs'!$F$45,0),0)</f>
        <v/>
      </c>
      <c r="AT70" s="890">
        <f>IF(AT$5&gt;'Project Assumptions'!$D$15,IF(AT$5&lt;='Project Assumptions'!$D$15+'Project Assumptions'!$D$16,-'Detailed Project Costs'!$F$45/'Project Assumptions'!$D$16,0),0)+IF('Project Assumptions'!$D$16=0,IF(AT$5='Project Assumptions'!$D$15,-'Detailed Project Costs'!$F$45,0),0)</f>
        <v/>
      </c>
      <c r="AU70" s="890">
        <f>IF(AU$5&gt;'Project Assumptions'!$D$15,IF(AU$5&lt;='Project Assumptions'!$D$15+'Project Assumptions'!$D$16,-'Detailed Project Costs'!$F$45/'Project Assumptions'!$D$16,0),0)+IF('Project Assumptions'!$D$16=0,IF(AU$5='Project Assumptions'!$D$15,-'Detailed Project Costs'!$F$45,0),0)</f>
        <v/>
      </c>
      <c r="AV70" s="890">
        <f>IF(AV$5&gt;'Project Assumptions'!$D$15,IF(AV$5&lt;='Project Assumptions'!$D$15+'Project Assumptions'!$D$16,-'Detailed Project Costs'!$F$45/'Project Assumptions'!$D$16,0),0)+IF('Project Assumptions'!$D$16=0,IF(AV$5='Project Assumptions'!$D$15,-'Detailed Project Costs'!$F$45,0),0)</f>
        <v/>
      </c>
      <c r="AW70" s="890">
        <f>IF(AW$5&gt;'Project Assumptions'!$D$15,IF(AW$5&lt;='Project Assumptions'!$D$15+'Project Assumptions'!$D$16,-'Detailed Project Costs'!$F$45/'Project Assumptions'!$D$16,0),0)+IF('Project Assumptions'!$D$16=0,IF(AW$5='Project Assumptions'!$D$15,-'Detailed Project Costs'!$F$45,0),0)</f>
        <v/>
      </c>
      <c r="AX70" s="890">
        <f>IF(AX$5&gt;'Project Assumptions'!$D$15,IF(AX$5&lt;='Project Assumptions'!$D$15+'Project Assumptions'!$D$16,-'Detailed Project Costs'!$F$45/'Project Assumptions'!$D$16,0),0)+IF('Project Assumptions'!$D$16=0,IF(AX$5='Project Assumptions'!$D$15,-'Detailed Project Costs'!$F$45,0),0)</f>
        <v/>
      </c>
      <c r="AY70" s="890">
        <f>IF(AY$5&gt;'Project Assumptions'!$D$15,IF(AY$5&lt;='Project Assumptions'!$D$15+'Project Assumptions'!$D$16,-'Detailed Project Costs'!$F$45/'Project Assumptions'!$D$16,0),0)+IF('Project Assumptions'!$D$16=0,IF(AY$5='Project Assumptions'!$D$15,-'Detailed Project Costs'!$F$45,0),0)</f>
        <v/>
      </c>
      <c r="AZ70" s="890">
        <f>IF(AZ$5&gt;'Project Assumptions'!$D$15,IF(AZ$5&lt;='Project Assumptions'!$D$15+'Project Assumptions'!$D$16,-'Detailed Project Costs'!$F$45/'Project Assumptions'!$D$16,0),0)+IF('Project Assumptions'!$D$16=0,IF(AZ$5='Project Assumptions'!$D$15,-'Detailed Project Costs'!$F$45,0),0)</f>
        <v/>
      </c>
      <c r="BA70" s="890">
        <f>IF(BA$5&gt;'Project Assumptions'!$D$15,IF(BA$5&lt;='Project Assumptions'!$D$15+'Project Assumptions'!$D$16,-'Detailed Project Costs'!$F$45/'Project Assumptions'!$D$16,0),0)+IF('Project Assumptions'!$D$16=0,IF(BA$5='Project Assumptions'!$D$15,-'Detailed Project Costs'!$F$45,0),0)</f>
        <v/>
      </c>
      <c r="BB70" s="890">
        <f>IF(BB$5&gt;'Project Assumptions'!$D$15,IF(BB$5&lt;='Project Assumptions'!$D$15+'Project Assumptions'!$D$16,-'Detailed Project Costs'!$F$45/'Project Assumptions'!$D$16,0),0)+IF('Project Assumptions'!$D$16=0,IF(BB$5='Project Assumptions'!$D$15,-'Detailed Project Costs'!$F$45,0),0)</f>
        <v/>
      </c>
      <c r="BC70" s="890">
        <f>IF(BC$5&gt;'Project Assumptions'!$D$15,IF(BC$5&lt;='Project Assumptions'!$D$15+'Project Assumptions'!$D$16,-'Detailed Project Costs'!$F$45/'Project Assumptions'!$D$16,0),0)+IF('Project Assumptions'!$D$16=0,IF(BC$5='Project Assumptions'!$D$15,-'Detailed Project Costs'!$F$45,0),0)</f>
        <v/>
      </c>
      <c r="BD70" s="890">
        <f>IF(BD$5&gt;'Project Assumptions'!$D$15,IF(BD$5&lt;='Project Assumptions'!$D$15+'Project Assumptions'!$D$16,-'Detailed Project Costs'!$F$45/'Project Assumptions'!$D$16,0),0)+IF('Project Assumptions'!$D$16=0,IF(BD$5='Project Assumptions'!$D$15,-'Detailed Project Costs'!$F$45,0),0)</f>
        <v/>
      </c>
      <c r="BE70" s="890">
        <f>IF(BE$5&gt;'Project Assumptions'!$D$15,IF(BE$5&lt;='Project Assumptions'!$D$15+'Project Assumptions'!$D$16,-'Detailed Project Costs'!$F$45/'Project Assumptions'!$D$16,0),0)+IF('Project Assumptions'!$D$16=0,IF(BE$5='Project Assumptions'!$D$15,-'Detailed Project Costs'!$F$45,0),0)</f>
        <v/>
      </c>
      <c r="BF70" s="890">
        <f>IF(BF$5&gt;'Project Assumptions'!$D$15,IF(BF$5&lt;='Project Assumptions'!$D$15+'Project Assumptions'!$D$16,-'Detailed Project Costs'!$F$45/'Project Assumptions'!$D$16,0),0)+IF('Project Assumptions'!$D$16=0,IF(BF$5='Project Assumptions'!$D$15,-'Detailed Project Costs'!$F$45,0),0)</f>
        <v/>
      </c>
      <c r="BG70" s="890">
        <f>IF(BG$5&gt;'Project Assumptions'!$D$15,IF(BG$5&lt;='Project Assumptions'!$D$15+'Project Assumptions'!$D$16,-'Detailed Project Costs'!$F$45/'Project Assumptions'!$D$16,0),0)+IF('Project Assumptions'!$D$16=0,IF(BG$5='Project Assumptions'!$D$15,-'Detailed Project Costs'!$F$45,0),0)</f>
        <v/>
      </c>
      <c r="BH70" s="890">
        <f>IF(BH$5&gt;'Project Assumptions'!$D$15,IF(BH$5&lt;='Project Assumptions'!$D$15+'Project Assumptions'!$D$16,-'Detailed Project Costs'!$F$45/'Project Assumptions'!$D$16,0),0)+IF('Project Assumptions'!$D$16=0,IF(BH$5='Project Assumptions'!$D$15,-'Detailed Project Costs'!$F$45,0),0)</f>
        <v/>
      </c>
      <c r="BI70" s="890">
        <f>IF(BI$5&gt;'Project Assumptions'!$D$15,IF(BI$5&lt;='Project Assumptions'!$D$15+'Project Assumptions'!$D$16,-'Detailed Project Costs'!$F$45/'Project Assumptions'!$D$16,0),0)+IF('Project Assumptions'!$D$16=0,IF(BI$5='Project Assumptions'!$D$15,-'Detailed Project Costs'!$F$45,0),0)</f>
        <v/>
      </c>
      <c r="BJ70" s="890">
        <f>IF(BJ$5&gt;'Project Assumptions'!$D$15,IF(BJ$5&lt;='Project Assumptions'!$D$15+'Project Assumptions'!$D$16,-'Detailed Project Costs'!$F$45/'Project Assumptions'!$D$16,0),0)+IF('Project Assumptions'!$D$16=0,IF(BJ$5='Project Assumptions'!$D$15,-'Detailed Project Costs'!$F$45,0),0)</f>
        <v/>
      </c>
      <c r="BK70" s="890">
        <f>IF(BK$5&gt;'Project Assumptions'!$D$15,IF(BK$5&lt;='Project Assumptions'!$D$15+'Project Assumptions'!$D$16,-'Detailed Project Costs'!$F$45/'Project Assumptions'!$D$16,0),0)+IF('Project Assumptions'!$D$16=0,IF(BK$5='Project Assumptions'!$D$15,-'Detailed Project Costs'!$F$45,0),0)</f>
        <v/>
      </c>
      <c r="BL70" s="890">
        <f>IF(BL$5&gt;'Project Assumptions'!$D$15,IF(BL$5&lt;='Project Assumptions'!$D$15+'Project Assumptions'!$D$16,-'Detailed Project Costs'!$F$45/'Project Assumptions'!$D$16,0),0)+IF('Project Assumptions'!$D$16=0,IF(BL$5='Project Assumptions'!$D$15,-'Detailed Project Costs'!$F$45,0),0)</f>
        <v/>
      </c>
      <c r="BM70" s="890">
        <f>IF(BM$5&gt;'Project Assumptions'!$D$15,IF(BM$5&lt;='Project Assumptions'!$D$15+'Project Assumptions'!$D$16,-'Detailed Project Costs'!$F$45/'Project Assumptions'!$D$16,0),0)+IF('Project Assumptions'!$D$16=0,IF(BM$5='Project Assumptions'!$D$15,-'Detailed Project Costs'!$F$45,0),0)</f>
        <v/>
      </c>
      <c r="BN70" s="890">
        <f>IF(BN$5&gt;'Project Assumptions'!$D$15,IF(BN$5&lt;='Project Assumptions'!$D$15+'Project Assumptions'!$D$16,-'Detailed Project Costs'!$F$45/'Project Assumptions'!$D$16,0),0)+IF('Project Assumptions'!$D$16=0,IF(BN$5='Project Assumptions'!$D$15,-'Detailed Project Costs'!$F$45,0),0)</f>
        <v/>
      </c>
      <c r="BO70" s="890">
        <f>IF(BO$5&gt;'Project Assumptions'!$D$15,IF(BO$5&lt;='Project Assumptions'!$D$15+'Project Assumptions'!$D$16,-'Detailed Project Costs'!$F$45/'Project Assumptions'!$D$16,0),0)+IF('Project Assumptions'!$D$16=0,IF(BO$5='Project Assumptions'!$D$15,-'Detailed Project Costs'!$F$45,0),0)</f>
        <v/>
      </c>
      <c r="BP70" s="890">
        <f>IF(BP$5&gt;'Project Assumptions'!$D$15,IF(BP$5&lt;='Project Assumptions'!$D$15+'Project Assumptions'!$D$16,-'Detailed Project Costs'!$F$45/'Project Assumptions'!$D$16,0),0)+IF('Project Assumptions'!$D$16=0,IF(BP$5='Project Assumptions'!$D$15,-'Detailed Project Costs'!$F$45,0),0)</f>
        <v/>
      </c>
      <c r="BQ70" s="890">
        <f>IF(BQ$5&gt;'Project Assumptions'!$D$15,IF(BQ$5&lt;='Project Assumptions'!$D$15+'Project Assumptions'!$D$16,-'Detailed Project Costs'!$F$45/'Project Assumptions'!$D$16,0),0)+IF('Project Assumptions'!$D$16=0,IF(BQ$5='Project Assumptions'!$D$15,-'Detailed Project Costs'!$F$45,0),0)</f>
        <v/>
      </c>
      <c r="BR70" s="890">
        <f>IF(BR$5&gt;'Project Assumptions'!$D$15,IF(BR$5&lt;='Project Assumptions'!$D$15+'Project Assumptions'!$D$16,-'Detailed Project Costs'!$F$45/'Project Assumptions'!$D$16,0),0)+IF('Project Assumptions'!$D$16=0,IF(BR$5='Project Assumptions'!$D$15,-'Detailed Project Costs'!$F$45,0),0)</f>
        <v/>
      </c>
      <c r="BS70" s="890">
        <f>IF(BS$5&gt;'Project Assumptions'!$D$15,IF(BS$5&lt;='Project Assumptions'!$D$15+'Project Assumptions'!$D$16,-'Detailed Project Costs'!$F$45/'Project Assumptions'!$D$16,0),0)+IF('Project Assumptions'!$D$16=0,IF(BS$5='Project Assumptions'!$D$15,-'Detailed Project Costs'!$F$45,0),0)</f>
        <v/>
      </c>
      <c r="BT70" s="890">
        <f>IF(BT$5&gt;'Project Assumptions'!$D$15,IF(BT$5&lt;='Project Assumptions'!$D$15+'Project Assumptions'!$D$16,-'Detailed Project Costs'!$F$45/'Project Assumptions'!$D$16,0),0)+IF('Project Assumptions'!$D$16=0,IF(BT$5='Project Assumptions'!$D$15,-'Detailed Project Costs'!$F$45,0),0)</f>
        <v/>
      </c>
      <c r="BU70" s="890">
        <f>IF(BU$5&gt;'Project Assumptions'!$D$15,IF(BU$5&lt;='Project Assumptions'!$D$15+'Project Assumptions'!$D$16,-'Detailed Project Costs'!$F$45/'Project Assumptions'!$D$16,0),0)+IF('Project Assumptions'!$D$16=0,IF(BU$5='Project Assumptions'!$D$15,-'Detailed Project Costs'!$F$45,0),0)</f>
        <v/>
      </c>
      <c r="BV70" s="890">
        <f>IF(BV$5&gt;'Project Assumptions'!$D$15,IF(BV$5&lt;='Project Assumptions'!$D$15+'Project Assumptions'!$D$16,-'Detailed Project Costs'!$F$45/'Project Assumptions'!$D$16,0),0)+IF('Project Assumptions'!$D$16=0,IF(BV$5='Project Assumptions'!$D$15,-'Detailed Project Costs'!$F$45,0),0)</f>
        <v/>
      </c>
      <c r="BW70" s="890">
        <f>IF(BW$5&gt;'Project Assumptions'!$D$15,IF(BW$5&lt;='Project Assumptions'!$D$15+'Project Assumptions'!$D$16,-'Detailed Project Costs'!$F$45/'Project Assumptions'!$D$16,0),0)+IF('Project Assumptions'!$D$16=0,IF(BW$5='Project Assumptions'!$D$15,-'Detailed Project Costs'!$F$45,0),0)</f>
        <v/>
      </c>
      <c r="BX70" s="890">
        <f>IF(BX$5&gt;'Project Assumptions'!$D$15,IF(BX$5&lt;='Project Assumptions'!$D$15+'Project Assumptions'!$D$16,-'Detailed Project Costs'!$F$45/'Project Assumptions'!$D$16,0),0)+IF('Project Assumptions'!$D$16=0,IF(BX$5='Project Assumptions'!$D$15,-'Detailed Project Costs'!$F$45,0),0)</f>
        <v/>
      </c>
      <c r="BY70" s="890">
        <f>IF(BY$5&gt;'Project Assumptions'!$D$15,IF(BY$5&lt;='Project Assumptions'!$D$15+'Project Assumptions'!$D$16,-'Detailed Project Costs'!$F$45/'Project Assumptions'!$D$16,0),0)+IF('Project Assumptions'!$D$16=0,IF(BY$5='Project Assumptions'!$D$15,-'Detailed Project Costs'!$F$45,0),0)</f>
        <v/>
      </c>
      <c r="BZ70" s="890">
        <f>IF(BZ$5&gt;'Project Assumptions'!$D$15,IF(BZ$5&lt;='Project Assumptions'!$D$15+'Project Assumptions'!$D$16,-'Detailed Project Costs'!$F$45/'Project Assumptions'!$D$16,0),0)+IF('Project Assumptions'!$D$16=0,IF(BZ$5='Project Assumptions'!$D$15,-'Detailed Project Costs'!$F$45,0),0)</f>
        <v/>
      </c>
      <c r="CA70" s="890">
        <f>IF(CA$5&gt;'Project Assumptions'!$D$15,IF(CA$5&lt;='Project Assumptions'!$D$15+'Project Assumptions'!$D$16,-'Detailed Project Costs'!$F$45/'Project Assumptions'!$D$16,0),0)+IF('Project Assumptions'!$D$16=0,IF(CA$5='Project Assumptions'!$D$15,-'Detailed Project Costs'!$F$45,0),0)</f>
        <v/>
      </c>
      <c r="CB70" s="890">
        <f>IF(CB$5&gt;'Project Assumptions'!$D$15,IF(CB$5&lt;='Project Assumptions'!$D$15+'Project Assumptions'!$D$16,-'Detailed Project Costs'!$F$45/'Project Assumptions'!$D$16,0),0)+IF('Project Assumptions'!$D$16=0,IF(CB$5='Project Assumptions'!$D$15,-'Detailed Project Costs'!$F$45,0),0)</f>
        <v/>
      </c>
      <c r="CC70" s="890">
        <f>IF(CC$5&gt;'Project Assumptions'!$D$15,IF(CC$5&lt;='Project Assumptions'!$D$15+'Project Assumptions'!$D$16,-'Detailed Project Costs'!$F$45/'Project Assumptions'!$D$16,0),0)+IF('Project Assumptions'!$D$16=0,IF(CC$5='Project Assumptions'!$D$15,-'Detailed Project Costs'!$F$45,0),0)</f>
        <v/>
      </c>
      <c r="CD70" s="890">
        <f>IF(CD$5&gt;'Project Assumptions'!$D$15,IF(CD$5&lt;='Project Assumptions'!$D$15+'Project Assumptions'!$D$16,-'Detailed Project Costs'!$F$45/'Project Assumptions'!$D$16,0),0)+IF('Project Assumptions'!$D$16=0,IF(CD$5='Project Assumptions'!$D$15,-'Detailed Project Costs'!$F$45,0),0)</f>
        <v/>
      </c>
      <c r="CE70" s="890">
        <f>IF(CE$5&gt;'Project Assumptions'!$D$15,IF(CE$5&lt;='Project Assumptions'!$D$15+'Project Assumptions'!$D$16,-'Detailed Project Costs'!$F$45/'Project Assumptions'!$D$16,0),0)+IF('Project Assumptions'!$D$16=0,IF(CE$5='Project Assumptions'!$D$15,-'Detailed Project Costs'!$F$45,0),0)</f>
        <v/>
      </c>
      <c r="CF70" s="890">
        <f>IF(CF$5&gt;'Project Assumptions'!$D$15,IF(CF$5&lt;='Project Assumptions'!$D$15+'Project Assumptions'!$D$16,-'Detailed Project Costs'!$F$45/'Project Assumptions'!$D$16,0),0)+IF('Project Assumptions'!$D$16=0,IF(CF$5='Project Assumptions'!$D$15,-'Detailed Project Costs'!$F$45,0),0)</f>
        <v/>
      </c>
      <c r="CG70" s="890">
        <f>IF(CG$5&gt;'Project Assumptions'!$D$15,IF(CG$5&lt;='Project Assumptions'!$D$15+'Project Assumptions'!$D$16,-'Detailed Project Costs'!$F$45/'Project Assumptions'!$D$16,0),0)+IF('Project Assumptions'!$D$16=0,IF(CG$5='Project Assumptions'!$D$15,-'Detailed Project Costs'!$F$45,0),0)</f>
        <v/>
      </c>
      <c r="CH70" s="890">
        <f>IF(CH$5&gt;'Project Assumptions'!$D$15,IF(CH$5&lt;='Project Assumptions'!$D$15+'Project Assumptions'!$D$16,-'Detailed Project Costs'!$F$45/'Project Assumptions'!$D$16,0),0)+IF('Project Assumptions'!$D$16=0,IF(CH$5='Project Assumptions'!$D$15,-'Detailed Project Costs'!$F$45,0),0)</f>
        <v/>
      </c>
      <c r="CI70" s="890">
        <f>IF(CI$5&gt;'Project Assumptions'!$D$15,IF(CI$5&lt;='Project Assumptions'!$D$15+'Project Assumptions'!$D$16,-'Detailed Project Costs'!$F$45/'Project Assumptions'!$D$16,0),0)+IF('Project Assumptions'!$D$16=0,IF(CI$5='Project Assumptions'!$D$15,-'Detailed Project Costs'!$F$45,0),0)</f>
        <v/>
      </c>
      <c r="CJ70" s="890">
        <f>IF(CJ$5&gt;'Project Assumptions'!$D$15,IF(CJ$5&lt;='Project Assumptions'!$D$15+'Project Assumptions'!$D$16,-'Detailed Project Costs'!$F$45/'Project Assumptions'!$D$16,0),0)+IF('Project Assumptions'!$D$16=0,IF(CJ$5='Project Assumptions'!$D$15,-'Detailed Project Costs'!$F$45,0),0)</f>
        <v/>
      </c>
      <c r="CK70" s="890">
        <f>IF(CK$5&gt;'Project Assumptions'!$D$15,IF(CK$5&lt;='Project Assumptions'!$D$15+'Project Assumptions'!$D$16,-'Detailed Project Costs'!$F$45/'Project Assumptions'!$D$16,0),0)+IF('Project Assumptions'!$D$16=0,IF(CK$5='Project Assumptions'!$D$15,-'Detailed Project Costs'!$F$45,0),0)</f>
        <v/>
      </c>
      <c r="CL70" s="890">
        <f>IF(CL$5&gt;'Project Assumptions'!$D$15,IF(CL$5&lt;='Project Assumptions'!$D$15+'Project Assumptions'!$D$16,-'Detailed Project Costs'!$F$45/'Project Assumptions'!$D$16,0),0)+IF('Project Assumptions'!$D$16=0,IF(CL$5='Project Assumptions'!$D$15,-'Detailed Project Costs'!$F$45,0),0)</f>
        <v/>
      </c>
      <c r="CM70" s="890">
        <f>IF(CM$5&gt;'Project Assumptions'!$D$15,IF(CM$5&lt;='Project Assumptions'!$D$15+'Project Assumptions'!$D$16,-'Detailed Project Costs'!$F$45/'Project Assumptions'!$D$16,0),0)+IF('Project Assumptions'!$D$16=0,IF(CM$5='Project Assumptions'!$D$15,-'Detailed Project Costs'!$F$45,0),0)</f>
        <v/>
      </c>
      <c r="CN70" s="890">
        <f>IF(CN$5&gt;'Project Assumptions'!$D$15,IF(CN$5&lt;='Project Assumptions'!$D$15+'Project Assumptions'!$D$16,-'Detailed Project Costs'!$F$45/'Project Assumptions'!$D$16,0),0)+IF('Project Assumptions'!$D$16=0,IF(CN$5='Project Assumptions'!$D$15,-'Detailed Project Costs'!$F$45,0),0)</f>
        <v/>
      </c>
      <c r="CO70" s="890">
        <f>IF(CO$5&gt;'Project Assumptions'!$D$15,IF(CO$5&lt;='Project Assumptions'!$D$15+'Project Assumptions'!$D$16,-'Detailed Project Costs'!$F$45/'Project Assumptions'!$D$16,0),0)+IF('Project Assumptions'!$D$16=0,IF(CO$5='Project Assumptions'!$D$15,-'Detailed Project Costs'!$F$45,0),0)</f>
        <v/>
      </c>
      <c r="CP70" s="890">
        <f>IF(CP$5&gt;'Project Assumptions'!$D$15,IF(CP$5&lt;='Project Assumptions'!$D$15+'Project Assumptions'!$D$16,-'Detailed Project Costs'!$F$45/'Project Assumptions'!$D$16,0),0)+IF('Project Assumptions'!$D$16=0,IF(CP$5='Project Assumptions'!$D$15,-'Detailed Project Costs'!$F$45,0),0)</f>
        <v/>
      </c>
      <c r="CQ70" s="890">
        <f>IF(CQ$5&gt;'Project Assumptions'!$D$15,IF(CQ$5&lt;='Project Assumptions'!$D$15+'Project Assumptions'!$D$16,-'Detailed Project Costs'!$F$45/'Project Assumptions'!$D$16,0),0)+IF('Project Assumptions'!$D$16=0,IF(CQ$5='Project Assumptions'!$D$15,-'Detailed Project Costs'!$F$45,0),0)</f>
        <v/>
      </c>
      <c r="CR70" s="890">
        <f>IF(CR$5&gt;'Project Assumptions'!$D$15,IF(CR$5&lt;='Project Assumptions'!$D$15+'Project Assumptions'!$D$16,-'Detailed Project Costs'!$F$45/'Project Assumptions'!$D$16,0),0)+IF('Project Assumptions'!$D$16=0,IF(CR$5='Project Assumptions'!$D$15,-'Detailed Project Costs'!$F$45,0),0)</f>
        <v/>
      </c>
      <c r="CS70" s="890">
        <f>IF(CS$5&gt;'Project Assumptions'!$D$15,IF(CS$5&lt;='Project Assumptions'!$D$15+'Project Assumptions'!$D$16,-'Detailed Project Costs'!$F$45/'Project Assumptions'!$D$16,0),0)+IF('Project Assumptions'!$D$16=0,IF(CS$5='Project Assumptions'!$D$15,-'Detailed Project Costs'!$F$45,0),0)</f>
        <v/>
      </c>
      <c r="CT70" s="890">
        <f>IF(CT$5&gt;'Project Assumptions'!$D$15,IF(CT$5&lt;='Project Assumptions'!$D$15+'Project Assumptions'!$D$16,-'Detailed Project Costs'!$F$45/'Project Assumptions'!$D$16,0),0)+IF('Project Assumptions'!$D$16=0,IF(CT$5='Project Assumptions'!$D$15,-'Detailed Project Costs'!$F$45,0),0)</f>
        <v/>
      </c>
      <c r="CU70" s="890">
        <f>IF(CU$5&gt;'Project Assumptions'!$D$15,IF(CU$5&lt;='Project Assumptions'!$D$15+'Project Assumptions'!$D$16,-'Detailed Project Costs'!$F$45/'Project Assumptions'!$D$16,0),0)+IF('Project Assumptions'!$D$16=0,IF(CU$5='Project Assumptions'!$D$15,-'Detailed Project Costs'!$F$45,0),0)</f>
        <v/>
      </c>
      <c r="CV70" s="890">
        <f>IF(CV$5&gt;'Project Assumptions'!$D$15,IF(CV$5&lt;='Project Assumptions'!$D$15+'Project Assumptions'!$D$16,-'Detailed Project Costs'!$F$45/'Project Assumptions'!$D$16,0),0)+IF('Project Assumptions'!$D$16=0,IF(CV$5='Project Assumptions'!$D$15,-'Detailed Project Costs'!$F$45,0),0)</f>
        <v/>
      </c>
      <c r="CW70" s="890">
        <f>IF(CW$5&gt;'Project Assumptions'!$D$15,IF(CW$5&lt;='Project Assumptions'!$D$15+'Project Assumptions'!$D$16,-'Detailed Project Costs'!$F$45/'Project Assumptions'!$D$16,0),0)+IF('Project Assumptions'!$D$16=0,IF(CW$5='Project Assumptions'!$D$15,-'Detailed Project Costs'!$F$45,0),0)</f>
        <v/>
      </c>
      <c r="CX70" s="890">
        <f>IF(CX$5&gt;'Project Assumptions'!$D$15,IF(CX$5&lt;='Project Assumptions'!$D$15+'Project Assumptions'!$D$16,-'Detailed Project Costs'!$F$45/'Project Assumptions'!$D$16,0),0)+IF('Project Assumptions'!$D$16=0,IF(CX$5='Project Assumptions'!$D$15,-'Detailed Project Costs'!$F$45,0),0)</f>
        <v/>
      </c>
      <c r="CY70" s="890">
        <f>IF(CY$5&gt;'Project Assumptions'!$D$15,IF(CY$5&lt;='Project Assumptions'!$D$15+'Project Assumptions'!$D$16,-'Detailed Project Costs'!$F$45/'Project Assumptions'!$D$16,0),0)+IF('Project Assumptions'!$D$16=0,IF(CY$5='Project Assumptions'!$D$15,-'Detailed Project Costs'!$F$45,0),0)</f>
        <v/>
      </c>
      <c r="CZ70" s="890">
        <f>IF(CZ$5&gt;'Project Assumptions'!$D$15,IF(CZ$5&lt;='Project Assumptions'!$D$15+'Project Assumptions'!$D$16,-'Detailed Project Costs'!$F$45/'Project Assumptions'!$D$16,0),0)+IF('Project Assumptions'!$D$16=0,IF(CZ$5='Project Assumptions'!$D$15,-'Detailed Project Costs'!$F$45,0),0)</f>
        <v/>
      </c>
      <c r="DA70" s="890">
        <f>IF(DA$5&gt;'Project Assumptions'!$D$15,IF(DA$5&lt;='Project Assumptions'!$D$15+'Project Assumptions'!$D$16,-'Detailed Project Costs'!$F$45/'Project Assumptions'!$D$16,0),0)+IF('Project Assumptions'!$D$16=0,IF(DA$5='Project Assumptions'!$D$15,-'Detailed Project Costs'!$F$45,0),0)</f>
        <v/>
      </c>
      <c r="DB70" s="890">
        <f>IF(DB$5&gt;'Project Assumptions'!$D$15,IF(DB$5&lt;='Project Assumptions'!$D$15+'Project Assumptions'!$D$16,-'Detailed Project Costs'!$F$45/'Project Assumptions'!$D$16,0),0)+IF('Project Assumptions'!$D$16=0,IF(DB$5='Project Assumptions'!$D$15,-'Detailed Project Costs'!$F$45,0),0)</f>
        <v/>
      </c>
      <c r="DC70" s="890" t="n"/>
      <c r="DD70" s="297">
        <f>SUM(F70:DB70)</f>
        <v/>
      </c>
    </row>
    <row r="71">
      <c r="A71" s="699" t="inlineStr">
        <is>
          <t>Permits, Testing/Insp., Fees, Bonds</t>
        </is>
      </c>
      <c r="B71" s="791" t="inlineStr">
        <is>
          <t xml:space="preserve">   Permits</t>
        </is>
      </c>
      <c r="C71" s="700" t="n"/>
      <c r="D71" s="292">
        <f>DD71</f>
        <v/>
      </c>
      <c r="E71" s="641" t="n"/>
      <c r="F71" s="293">
        <f>IF('Project Assumptions'!$D$16=0,IF(F$5='Project Assumptions'!$D$15,-SUM('Detailed Project Costs'!$F$46:$F$48),0),IF(F$5='Project Assumptions'!$D$15+1,-SUM('Detailed Project Costs'!$F$46:$F$48),0))</f>
        <v/>
      </c>
      <c r="G71" s="293">
        <f>IF('Project Assumptions'!$D$16=0,IF(G$5='Project Assumptions'!$D$15,-SUM('Detailed Project Costs'!$F$46:$F$48),0),IF(G$5='Project Assumptions'!$D$15+1,-SUM('Detailed Project Costs'!$F$46:$F$48),0))</f>
        <v/>
      </c>
      <c r="H71" s="293">
        <f>IF('Project Assumptions'!$D$16=0,IF(H$5='Project Assumptions'!$D$15,-SUM('Detailed Project Costs'!$F$46:$F$48),0),IF(H$5='Project Assumptions'!$D$15+1,-SUM('Detailed Project Costs'!$F$46:$F$48),0))</f>
        <v/>
      </c>
      <c r="I71" s="293">
        <f>IF('Project Assumptions'!$D$16=0,IF(I$5='Project Assumptions'!$D$15,-SUM('Detailed Project Costs'!$F$46:$F$48),0),IF(I$5='Project Assumptions'!$D$15+1,-SUM('Detailed Project Costs'!$F$46:$F$48),0))</f>
        <v/>
      </c>
      <c r="J71" s="293">
        <f>IF('Project Assumptions'!$D$16=0,IF(J$5='Project Assumptions'!$D$15,-SUM('Detailed Project Costs'!$F$46:$F$48),0),IF(J$5='Project Assumptions'!$D$15+1,-SUM('Detailed Project Costs'!$F$46:$F$48),0))</f>
        <v/>
      </c>
      <c r="K71" s="293">
        <f>IF('Project Assumptions'!$D$16=0,IF(K$5='Project Assumptions'!$D$15,-SUM('Detailed Project Costs'!$F$46:$F$48),0),IF(K$5='Project Assumptions'!$D$15+1,-SUM('Detailed Project Costs'!$F$46:$F$48),0))</f>
        <v/>
      </c>
      <c r="L71" s="293">
        <f>IF('Project Assumptions'!$D$16=0,IF(L$5='Project Assumptions'!$D$15,-SUM('Detailed Project Costs'!$F$46:$F$48),0),IF(L$5='Project Assumptions'!$D$15+1,-SUM('Detailed Project Costs'!$F$46:$F$48),0))</f>
        <v/>
      </c>
      <c r="M71" s="293">
        <f>IF('Project Assumptions'!$D$16=0,IF(M$5='Project Assumptions'!$D$15,-SUM('Detailed Project Costs'!$F$46:$F$48),0),IF(M$5='Project Assumptions'!$D$15+1,-SUM('Detailed Project Costs'!$F$46:$F$48),0))</f>
        <v/>
      </c>
      <c r="N71" s="293">
        <f>IF('Project Assumptions'!$D$16=0,IF(N$5='Project Assumptions'!$D$15,-SUM('Detailed Project Costs'!$F$46:$F$48),0),IF(N$5='Project Assumptions'!$D$15+1,-SUM('Detailed Project Costs'!$F$46:$F$48),0))</f>
        <v/>
      </c>
      <c r="O71" s="293">
        <f>IF('Project Assumptions'!$D$16=0,IF(O$5='Project Assumptions'!$D$15,-SUM('Detailed Project Costs'!$F$46:$F$48),0),IF(O$5='Project Assumptions'!$D$15+1,-SUM('Detailed Project Costs'!$F$46:$F$48),0))</f>
        <v/>
      </c>
      <c r="P71" s="293">
        <f>IF('Project Assumptions'!$D$16=0,IF(P$5='Project Assumptions'!$D$15,-SUM('Detailed Project Costs'!$F$46:$F$48),0),IF(P$5='Project Assumptions'!$D$15+1,-SUM('Detailed Project Costs'!$F$46:$F$48),0))</f>
        <v/>
      </c>
      <c r="Q71" s="293">
        <f>IF('Project Assumptions'!$D$16=0,IF(Q$5='Project Assumptions'!$D$15,-SUM('Detailed Project Costs'!$F$46:$F$48),0),IF(Q$5='Project Assumptions'!$D$15+1,-SUM('Detailed Project Costs'!$F$46:$F$48),0))</f>
        <v/>
      </c>
      <c r="R71" s="293">
        <f>IF('Project Assumptions'!$D$16=0,IF(R$5='Project Assumptions'!$D$15,-SUM('Detailed Project Costs'!$F$46:$F$48),0),IF(R$5='Project Assumptions'!$D$15+1,-SUM('Detailed Project Costs'!$F$46:$F$48),0))</f>
        <v/>
      </c>
      <c r="S71" s="293">
        <f>IF('Project Assumptions'!$D$16=0,IF(S$5='Project Assumptions'!$D$15,-SUM('Detailed Project Costs'!$F$46:$F$48),0),IF(S$5='Project Assumptions'!$D$15+1,-SUM('Detailed Project Costs'!$F$46:$F$48),0))</f>
        <v/>
      </c>
      <c r="T71" s="293">
        <f>IF('Project Assumptions'!$D$16=0,IF(T$5='Project Assumptions'!$D$15,-SUM('Detailed Project Costs'!$F$46:$F$48),0),IF(T$5='Project Assumptions'!$D$15+1,-SUM('Detailed Project Costs'!$F$46:$F$48),0))</f>
        <v/>
      </c>
      <c r="U71" s="293">
        <f>IF('Project Assumptions'!$D$16=0,IF(U$5='Project Assumptions'!$D$15,-SUM('Detailed Project Costs'!$F$46:$F$48),0),IF(U$5='Project Assumptions'!$D$15+1,-SUM('Detailed Project Costs'!$F$46:$F$48),0))</f>
        <v/>
      </c>
      <c r="V71" s="293">
        <f>IF('Project Assumptions'!$D$16=0,IF(V$5='Project Assumptions'!$D$15,-SUM('Detailed Project Costs'!$F$46:$F$48),0),IF(V$5='Project Assumptions'!$D$15+1,-SUM('Detailed Project Costs'!$F$46:$F$48),0))</f>
        <v/>
      </c>
      <c r="W71" s="293">
        <f>IF('Project Assumptions'!$D$16=0,IF(W$5='Project Assumptions'!$D$15,-SUM('Detailed Project Costs'!$F$46:$F$48),0),IF(W$5='Project Assumptions'!$D$15+1,-SUM('Detailed Project Costs'!$F$46:$F$48),0))</f>
        <v/>
      </c>
      <c r="X71" s="293">
        <f>IF('Project Assumptions'!$D$16=0,IF(X$5='Project Assumptions'!$D$15,-SUM('Detailed Project Costs'!$F$46:$F$48),0),IF(X$5='Project Assumptions'!$D$15+1,-SUM('Detailed Project Costs'!$F$46:$F$48),0))</f>
        <v/>
      </c>
      <c r="Y71" s="293">
        <f>IF('Project Assumptions'!$D$16=0,IF(Y$5='Project Assumptions'!$D$15,-SUM('Detailed Project Costs'!$F$46:$F$48),0),IF(Y$5='Project Assumptions'!$D$15+1,-SUM('Detailed Project Costs'!$F$46:$F$48),0))</f>
        <v/>
      </c>
      <c r="Z71" s="293">
        <f>IF('Project Assumptions'!$D$16=0,IF(Z$5='Project Assumptions'!$D$15,-SUM('Detailed Project Costs'!$F$46:$F$48),0),IF(Z$5='Project Assumptions'!$D$15+1,-SUM('Detailed Project Costs'!$F$46:$F$48),0))</f>
        <v/>
      </c>
      <c r="AA71" s="293">
        <f>IF('Project Assumptions'!$D$16=0,IF(AA$5='Project Assumptions'!$D$15,-SUM('Detailed Project Costs'!$F$46:$F$48),0),IF(AA$5='Project Assumptions'!$D$15+1,-SUM('Detailed Project Costs'!$F$46:$F$48),0))</f>
        <v/>
      </c>
      <c r="AB71" s="293">
        <f>IF('Project Assumptions'!$D$16=0,IF(AB$5='Project Assumptions'!$D$15,-SUM('Detailed Project Costs'!$F$46:$F$48),0),IF(AB$5='Project Assumptions'!$D$15+1,-SUM('Detailed Project Costs'!$F$46:$F$48),0))</f>
        <v/>
      </c>
      <c r="AC71" s="293">
        <f>IF('Project Assumptions'!$D$16=0,IF(AC$5='Project Assumptions'!$D$15,-SUM('Detailed Project Costs'!$F$46:$F$48),0),IF(AC$5='Project Assumptions'!$D$15+1,-SUM('Detailed Project Costs'!$F$46:$F$48),0))</f>
        <v/>
      </c>
      <c r="AD71" s="293">
        <f>IF('Project Assumptions'!$D$16=0,IF(AD$5='Project Assumptions'!$D$15,-SUM('Detailed Project Costs'!$F$46:$F$48),0),IF(AD$5='Project Assumptions'!$D$15+1,-SUM('Detailed Project Costs'!$F$46:$F$48),0))</f>
        <v/>
      </c>
      <c r="AE71" s="293">
        <f>IF('Project Assumptions'!$D$16=0,IF(AE$5='Project Assumptions'!$D$15,-SUM('Detailed Project Costs'!$F$46:$F$48),0),IF(AE$5='Project Assumptions'!$D$15+1,-SUM('Detailed Project Costs'!$F$46:$F$48),0))</f>
        <v/>
      </c>
      <c r="AF71" s="293">
        <f>IF('Project Assumptions'!$D$16=0,IF(AF$5='Project Assumptions'!$D$15,-SUM('Detailed Project Costs'!$F$46:$F$48),0),IF(AF$5='Project Assumptions'!$D$15+1,-SUM('Detailed Project Costs'!$F$46:$F$48),0))</f>
        <v/>
      </c>
      <c r="AG71" s="293">
        <f>IF('Project Assumptions'!$D$16=0,IF(AG$5='Project Assumptions'!$D$15,-SUM('Detailed Project Costs'!$F$46:$F$48),0),IF(AG$5='Project Assumptions'!$D$15+1,-SUM('Detailed Project Costs'!$F$46:$F$48),0))</f>
        <v/>
      </c>
      <c r="AH71" s="293">
        <f>IF('Project Assumptions'!$D$16=0,IF(AH$5='Project Assumptions'!$D$15,-SUM('Detailed Project Costs'!$F$46:$F$48),0),IF(AH$5='Project Assumptions'!$D$15+1,-SUM('Detailed Project Costs'!$F$46:$F$48),0))</f>
        <v/>
      </c>
      <c r="AI71" s="293">
        <f>IF('Project Assumptions'!$D$16=0,IF(AI$5='Project Assumptions'!$D$15,-SUM('Detailed Project Costs'!$F$46:$F$48),0),IF(AI$5='Project Assumptions'!$D$15+1,-SUM('Detailed Project Costs'!$F$46:$F$48),0))</f>
        <v/>
      </c>
      <c r="AJ71" s="293">
        <f>IF('Project Assumptions'!$D$16=0,IF(AJ$5='Project Assumptions'!$D$15,-SUM('Detailed Project Costs'!$F$46:$F$48),0),IF(AJ$5='Project Assumptions'!$D$15+1,-SUM('Detailed Project Costs'!$F$46:$F$48),0))</f>
        <v/>
      </c>
      <c r="AK71" s="293">
        <f>IF('Project Assumptions'!$D$16=0,IF(AK$5='Project Assumptions'!$D$15,-SUM('Detailed Project Costs'!$F$46:$F$48),0),IF(AK$5='Project Assumptions'!$D$15+1,-SUM('Detailed Project Costs'!$F$46:$F$48),0))</f>
        <v/>
      </c>
      <c r="AL71" s="293">
        <f>IF('Project Assumptions'!$D$16=0,IF(AL$5='Project Assumptions'!$D$15,-SUM('Detailed Project Costs'!$F$46:$F$48),0),IF(AL$5='Project Assumptions'!$D$15+1,-SUM('Detailed Project Costs'!$F$46:$F$48),0))</f>
        <v/>
      </c>
      <c r="AM71" s="293">
        <f>IF('Project Assumptions'!$D$16=0,IF(AM$5='Project Assumptions'!$D$15,-SUM('Detailed Project Costs'!$F$46:$F$48),0),IF(AM$5='Project Assumptions'!$D$15+1,-SUM('Detailed Project Costs'!$F$46:$F$48),0))</f>
        <v/>
      </c>
      <c r="AN71" s="293">
        <f>IF('Project Assumptions'!$D$16=0,IF(AN$5='Project Assumptions'!$D$15,-SUM('Detailed Project Costs'!$F$46:$F$48),0),IF(AN$5='Project Assumptions'!$D$15+1,-SUM('Detailed Project Costs'!$F$46:$F$48),0))</f>
        <v/>
      </c>
      <c r="AO71" s="293">
        <f>IF('Project Assumptions'!$D$16=0,IF(AO$5='Project Assumptions'!$D$15,-SUM('Detailed Project Costs'!$F$46:$F$48),0),IF(AO$5='Project Assumptions'!$D$15+1,-SUM('Detailed Project Costs'!$F$46:$F$48),0))</f>
        <v/>
      </c>
      <c r="AP71" s="293">
        <f>IF('Project Assumptions'!$D$16=0,IF(AP$5='Project Assumptions'!$D$15,-SUM('Detailed Project Costs'!$F$46:$F$48),0),IF(AP$5='Project Assumptions'!$D$15+1,-SUM('Detailed Project Costs'!$F$46:$F$48),0))</f>
        <v/>
      </c>
      <c r="AQ71" s="293">
        <f>IF('Project Assumptions'!$D$16=0,IF(AQ$5='Project Assumptions'!$D$15,-SUM('Detailed Project Costs'!$F$46:$F$48),0),IF(AQ$5='Project Assumptions'!$D$15+1,-SUM('Detailed Project Costs'!$F$46:$F$48),0))</f>
        <v/>
      </c>
      <c r="AR71" s="293">
        <f>IF('Project Assumptions'!$D$16=0,IF(AR$5='Project Assumptions'!$D$15,-SUM('Detailed Project Costs'!$F$46:$F$48),0),IF(AR$5='Project Assumptions'!$D$15+1,-SUM('Detailed Project Costs'!$F$46:$F$48),0))</f>
        <v/>
      </c>
      <c r="AS71" s="293">
        <f>IF('Project Assumptions'!$D$16=0,IF(AS$5='Project Assumptions'!$D$15,-SUM('Detailed Project Costs'!$F$46:$F$48),0),IF(AS$5='Project Assumptions'!$D$15+1,-SUM('Detailed Project Costs'!$F$46:$F$48),0))</f>
        <v/>
      </c>
      <c r="AT71" s="293">
        <f>IF('Project Assumptions'!$D$16=0,IF(AT$5='Project Assumptions'!$D$15,-SUM('Detailed Project Costs'!$F$46:$F$48),0),IF(AT$5='Project Assumptions'!$D$15+1,-SUM('Detailed Project Costs'!$F$46:$F$48),0))</f>
        <v/>
      </c>
      <c r="AU71" s="293">
        <f>IF('Project Assumptions'!$D$16=0,IF(AU$5='Project Assumptions'!$D$15,-SUM('Detailed Project Costs'!$F$46:$F$48),0),IF(AU$5='Project Assumptions'!$D$15+1,-SUM('Detailed Project Costs'!$F$46:$F$48),0))</f>
        <v/>
      </c>
      <c r="AV71" s="293">
        <f>IF('Project Assumptions'!$D$16=0,IF(AV$5='Project Assumptions'!$D$15,-SUM('Detailed Project Costs'!$F$46:$F$48),0),IF(AV$5='Project Assumptions'!$D$15+1,-SUM('Detailed Project Costs'!$F$46:$F$48),0))</f>
        <v/>
      </c>
      <c r="AW71" s="293">
        <f>IF('Project Assumptions'!$D$16=0,IF(AW$5='Project Assumptions'!$D$15,-SUM('Detailed Project Costs'!$F$46:$F$48),0),IF(AW$5='Project Assumptions'!$D$15+1,-SUM('Detailed Project Costs'!$F$46:$F$48),0))</f>
        <v/>
      </c>
      <c r="AX71" s="293">
        <f>IF('Project Assumptions'!$D$16=0,IF(AX$5='Project Assumptions'!$D$15,-SUM('Detailed Project Costs'!$F$46:$F$48),0),IF(AX$5='Project Assumptions'!$D$15+1,-SUM('Detailed Project Costs'!$F$46:$F$48),0))</f>
        <v/>
      </c>
      <c r="AY71" s="293">
        <f>IF('Project Assumptions'!$D$16=0,IF(AY$5='Project Assumptions'!$D$15,-SUM('Detailed Project Costs'!$F$46:$F$48),0),IF(AY$5='Project Assumptions'!$D$15+1,-SUM('Detailed Project Costs'!$F$46:$F$48),0))</f>
        <v/>
      </c>
      <c r="AZ71" s="293">
        <f>IF('Project Assumptions'!$D$16=0,IF(AZ$5='Project Assumptions'!$D$15,-SUM('Detailed Project Costs'!$F$46:$F$48),0),IF(AZ$5='Project Assumptions'!$D$15+1,-SUM('Detailed Project Costs'!$F$46:$F$48),0))</f>
        <v/>
      </c>
      <c r="BA71" s="293">
        <f>IF('Project Assumptions'!$D$16=0,IF(BA$5='Project Assumptions'!$D$15,-SUM('Detailed Project Costs'!$F$46:$F$48),0),IF(BA$5='Project Assumptions'!$D$15+1,-SUM('Detailed Project Costs'!$F$46:$F$48),0))</f>
        <v/>
      </c>
      <c r="BB71" s="293">
        <f>IF('Project Assumptions'!$D$16=0,IF(BB$5='Project Assumptions'!$D$15,-SUM('Detailed Project Costs'!$F$46:$F$48),0),IF(BB$5='Project Assumptions'!$D$15+1,-SUM('Detailed Project Costs'!$F$46:$F$48),0))</f>
        <v/>
      </c>
      <c r="BC71" s="293">
        <f>IF('Project Assumptions'!$D$16=0,IF(BC$5='Project Assumptions'!$D$15,-SUM('Detailed Project Costs'!$F$46:$F$48),0),IF(BC$5='Project Assumptions'!$D$15+1,-SUM('Detailed Project Costs'!$F$46:$F$48),0))</f>
        <v/>
      </c>
      <c r="BD71" s="293">
        <f>IF('Project Assumptions'!$D$16=0,IF(BD$5='Project Assumptions'!$D$15,-SUM('Detailed Project Costs'!$F$46:$F$48),0),IF(BD$5='Project Assumptions'!$D$15+1,-SUM('Detailed Project Costs'!$F$46:$F$48),0))</f>
        <v/>
      </c>
      <c r="BE71" s="293">
        <f>IF('Project Assumptions'!$D$16=0,IF(BE$5='Project Assumptions'!$D$15,-SUM('Detailed Project Costs'!$F$46:$F$48),0),IF(BE$5='Project Assumptions'!$D$15+1,-SUM('Detailed Project Costs'!$F$46:$F$48),0))</f>
        <v/>
      </c>
      <c r="BF71" s="293">
        <f>IF('Project Assumptions'!$D$16=0,IF(BF$5='Project Assumptions'!$D$15,-SUM('Detailed Project Costs'!$F$46:$F$48),0),IF(BF$5='Project Assumptions'!$D$15+1,-SUM('Detailed Project Costs'!$F$46:$F$48),0))</f>
        <v/>
      </c>
      <c r="BG71" s="293">
        <f>IF('Project Assumptions'!$D$16=0,IF(BG$5='Project Assumptions'!$D$15,-SUM('Detailed Project Costs'!$F$46:$F$48),0),IF(BG$5='Project Assumptions'!$D$15+1,-SUM('Detailed Project Costs'!$F$46:$F$48),0))</f>
        <v/>
      </c>
      <c r="BH71" s="293">
        <f>IF('Project Assumptions'!$D$16=0,IF(BH$5='Project Assumptions'!$D$15,-SUM('Detailed Project Costs'!$F$46:$F$48),0),IF(BH$5='Project Assumptions'!$D$15+1,-SUM('Detailed Project Costs'!$F$46:$F$48),0))</f>
        <v/>
      </c>
      <c r="BI71" s="293">
        <f>IF('Project Assumptions'!$D$16=0,IF(BI$5='Project Assumptions'!$D$15,-SUM('Detailed Project Costs'!$F$46:$F$48),0),IF(BI$5='Project Assumptions'!$D$15+1,-SUM('Detailed Project Costs'!$F$46:$F$48),0))</f>
        <v/>
      </c>
      <c r="BJ71" s="293">
        <f>IF('Project Assumptions'!$D$16=0,IF(BJ$5='Project Assumptions'!$D$15,-SUM('Detailed Project Costs'!$F$46:$F$48),0),IF(BJ$5='Project Assumptions'!$D$15+1,-SUM('Detailed Project Costs'!$F$46:$F$48),0))</f>
        <v/>
      </c>
      <c r="BK71" s="293">
        <f>IF('Project Assumptions'!$D$16=0,IF(BK$5='Project Assumptions'!$D$15,-SUM('Detailed Project Costs'!$F$46:$F$48),0),IF(BK$5='Project Assumptions'!$D$15+1,-SUM('Detailed Project Costs'!$F$46:$F$48),0))</f>
        <v/>
      </c>
      <c r="BL71" s="293">
        <f>IF('Project Assumptions'!$D$16=0,IF(BL$5='Project Assumptions'!$D$15,-SUM('Detailed Project Costs'!$F$46:$F$48),0),IF(BL$5='Project Assumptions'!$D$15+1,-SUM('Detailed Project Costs'!$F$46:$F$48),0))</f>
        <v/>
      </c>
      <c r="BM71" s="293">
        <f>IF('Project Assumptions'!$D$16=0,IF(BM$5='Project Assumptions'!$D$15,-SUM('Detailed Project Costs'!$F$46:$F$48),0),IF(BM$5='Project Assumptions'!$D$15+1,-SUM('Detailed Project Costs'!$F$46:$F$48),0))</f>
        <v/>
      </c>
      <c r="BN71" s="293">
        <f>IF('Project Assumptions'!$D$16=0,IF(BN$5='Project Assumptions'!$D$15,-SUM('Detailed Project Costs'!$F$46:$F$48),0),IF(BN$5='Project Assumptions'!$D$15+1,-SUM('Detailed Project Costs'!$F$46:$F$48),0))</f>
        <v/>
      </c>
      <c r="BO71" s="293">
        <f>IF('Project Assumptions'!$D$16=0,IF(BO$5='Project Assumptions'!$D$15,-SUM('Detailed Project Costs'!$F$46:$F$48),0),IF(BO$5='Project Assumptions'!$D$15+1,-SUM('Detailed Project Costs'!$F$46:$F$48),0))</f>
        <v/>
      </c>
      <c r="BP71" s="293">
        <f>IF('Project Assumptions'!$D$16=0,IF(BP$5='Project Assumptions'!$D$15,-SUM('Detailed Project Costs'!$F$46:$F$48),0),IF(BP$5='Project Assumptions'!$D$15+1,-SUM('Detailed Project Costs'!$F$46:$F$48),0))</f>
        <v/>
      </c>
      <c r="BQ71" s="293">
        <f>IF('Project Assumptions'!$D$16=0,IF(BQ$5='Project Assumptions'!$D$15,-SUM('Detailed Project Costs'!$F$46:$F$48),0),IF(BQ$5='Project Assumptions'!$D$15+1,-SUM('Detailed Project Costs'!$F$46:$F$48),0))</f>
        <v/>
      </c>
      <c r="BR71" s="293">
        <f>IF('Project Assumptions'!$D$16=0,IF(BR$5='Project Assumptions'!$D$15,-SUM('Detailed Project Costs'!$F$46:$F$48),0),IF(BR$5='Project Assumptions'!$D$15+1,-SUM('Detailed Project Costs'!$F$46:$F$48),0))</f>
        <v/>
      </c>
      <c r="BS71" s="293">
        <f>IF('Project Assumptions'!$D$16=0,IF(BS$5='Project Assumptions'!$D$15,-SUM('Detailed Project Costs'!$F$46:$F$48),0),IF(BS$5='Project Assumptions'!$D$15+1,-SUM('Detailed Project Costs'!$F$46:$F$48),0))</f>
        <v/>
      </c>
      <c r="BT71" s="293">
        <f>IF('Project Assumptions'!$D$16=0,IF(BT$5='Project Assumptions'!$D$15,-SUM('Detailed Project Costs'!$F$46:$F$48),0),IF(BT$5='Project Assumptions'!$D$15+1,-SUM('Detailed Project Costs'!$F$46:$F$48),0))</f>
        <v/>
      </c>
      <c r="BU71" s="293">
        <f>IF('Project Assumptions'!$D$16=0,IF(BU$5='Project Assumptions'!$D$15,-SUM('Detailed Project Costs'!$F$46:$F$48),0),IF(BU$5='Project Assumptions'!$D$15+1,-SUM('Detailed Project Costs'!$F$46:$F$48),0))</f>
        <v/>
      </c>
      <c r="BV71" s="293">
        <f>IF('Project Assumptions'!$D$16=0,IF(BV$5='Project Assumptions'!$D$15,-SUM('Detailed Project Costs'!$F$46:$F$48),0),IF(BV$5='Project Assumptions'!$D$15+1,-SUM('Detailed Project Costs'!$F$46:$F$48),0))</f>
        <v/>
      </c>
      <c r="BW71" s="293">
        <f>IF('Project Assumptions'!$D$16=0,IF(BW$5='Project Assumptions'!$D$15,-SUM('Detailed Project Costs'!$F$46:$F$48),0),IF(BW$5='Project Assumptions'!$D$15+1,-SUM('Detailed Project Costs'!$F$46:$F$48),0))</f>
        <v/>
      </c>
      <c r="BX71" s="293">
        <f>IF('Project Assumptions'!$D$16=0,IF(BX$5='Project Assumptions'!$D$15,-SUM('Detailed Project Costs'!$F$46:$F$48),0),IF(BX$5='Project Assumptions'!$D$15+1,-SUM('Detailed Project Costs'!$F$46:$F$48),0))</f>
        <v/>
      </c>
      <c r="BY71" s="293">
        <f>IF('Project Assumptions'!$D$16=0,IF(BY$5='Project Assumptions'!$D$15,-SUM('Detailed Project Costs'!$F$46:$F$48),0),IF(BY$5='Project Assumptions'!$D$15+1,-SUM('Detailed Project Costs'!$F$46:$F$48),0))</f>
        <v/>
      </c>
      <c r="BZ71" s="293">
        <f>IF('Project Assumptions'!$D$16=0,IF(BZ$5='Project Assumptions'!$D$15,-SUM('Detailed Project Costs'!$F$46:$F$48),0),IF(BZ$5='Project Assumptions'!$D$15+1,-SUM('Detailed Project Costs'!$F$46:$F$48),0))</f>
        <v/>
      </c>
      <c r="CA71" s="293">
        <f>IF('Project Assumptions'!$D$16=0,IF(CA$5='Project Assumptions'!$D$15,-SUM('Detailed Project Costs'!$F$46:$F$48),0),IF(CA$5='Project Assumptions'!$D$15+1,-SUM('Detailed Project Costs'!$F$46:$F$48),0))</f>
        <v/>
      </c>
      <c r="CB71" s="293">
        <f>IF('Project Assumptions'!$D$16=0,IF(CB$5='Project Assumptions'!$D$15,-SUM('Detailed Project Costs'!$F$46:$F$48),0),IF(CB$5='Project Assumptions'!$D$15+1,-SUM('Detailed Project Costs'!$F$46:$F$48),0))</f>
        <v/>
      </c>
      <c r="CC71" s="293">
        <f>IF('Project Assumptions'!$D$16=0,IF(CC$5='Project Assumptions'!$D$15,-SUM('Detailed Project Costs'!$F$46:$F$48),0),IF(CC$5='Project Assumptions'!$D$15+1,-SUM('Detailed Project Costs'!$F$46:$F$48),0))</f>
        <v/>
      </c>
      <c r="CD71" s="293">
        <f>IF('Project Assumptions'!$D$16=0,IF(CD$5='Project Assumptions'!$D$15,-SUM('Detailed Project Costs'!$F$46:$F$48),0),IF(CD$5='Project Assumptions'!$D$15+1,-SUM('Detailed Project Costs'!$F$46:$F$48),0))</f>
        <v/>
      </c>
      <c r="CE71" s="293">
        <f>IF('Project Assumptions'!$D$16=0,IF(CE$5='Project Assumptions'!$D$15,-SUM('Detailed Project Costs'!$F$46:$F$48),0),IF(CE$5='Project Assumptions'!$D$15+1,-SUM('Detailed Project Costs'!$F$46:$F$48),0))</f>
        <v/>
      </c>
      <c r="CF71" s="293">
        <f>IF('Project Assumptions'!$D$16=0,IF(CF$5='Project Assumptions'!$D$15,-SUM('Detailed Project Costs'!$F$46:$F$48),0),IF(CF$5='Project Assumptions'!$D$15+1,-SUM('Detailed Project Costs'!$F$46:$F$48),0))</f>
        <v/>
      </c>
      <c r="CG71" s="293">
        <f>IF('Project Assumptions'!$D$16=0,IF(CG$5='Project Assumptions'!$D$15,-SUM('Detailed Project Costs'!$F$46:$F$48),0),IF(CG$5='Project Assumptions'!$D$15+1,-SUM('Detailed Project Costs'!$F$46:$F$48),0))</f>
        <v/>
      </c>
      <c r="CH71" s="293">
        <f>IF('Project Assumptions'!$D$16=0,IF(CH$5='Project Assumptions'!$D$15,-SUM('Detailed Project Costs'!$F$46:$F$48),0),IF(CH$5='Project Assumptions'!$D$15+1,-SUM('Detailed Project Costs'!$F$46:$F$48),0))</f>
        <v/>
      </c>
      <c r="CI71" s="293">
        <f>IF('Project Assumptions'!$D$16=0,IF(CI$5='Project Assumptions'!$D$15,-SUM('Detailed Project Costs'!$F$46:$F$48),0),IF(CI$5='Project Assumptions'!$D$15+1,-SUM('Detailed Project Costs'!$F$46:$F$48),0))</f>
        <v/>
      </c>
      <c r="CJ71" s="293">
        <f>IF('Project Assumptions'!$D$16=0,IF(CJ$5='Project Assumptions'!$D$15,-SUM('Detailed Project Costs'!$F$46:$F$48),0),IF(CJ$5='Project Assumptions'!$D$15+1,-SUM('Detailed Project Costs'!$F$46:$F$48),0))</f>
        <v/>
      </c>
      <c r="CK71" s="293">
        <f>IF('Project Assumptions'!$D$16=0,IF(CK$5='Project Assumptions'!$D$15,-SUM('Detailed Project Costs'!$F$46:$F$48),0),IF(CK$5='Project Assumptions'!$D$15+1,-SUM('Detailed Project Costs'!$F$46:$F$48),0))</f>
        <v/>
      </c>
      <c r="CL71" s="293">
        <f>IF('Project Assumptions'!$D$16=0,IF(CL$5='Project Assumptions'!$D$15,-SUM('Detailed Project Costs'!$F$46:$F$48),0),IF(CL$5='Project Assumptions'!$D$15+1,-SUM('Detailed Project Costs'!$F$46:$F$48),0))</f>
        <v/>
      </c>
      <c r="CM71" s="293">
        <f>IF('Project Assumptions'!$D$16=0,IF(CM$5='Project Assumptions'!$D$15,-SUM('Detailed Project Costs'!$F$46:$F$48),0),IF(CM$5='Project Assumptions'!$D$15+1,-SUM('Detailed Project Costs'!$F$46:$F$48),0))</f>
        <v/>
      </c>
      <c r="CN71" s="293">
        <f>IF('Project Assumptions'!$D$16=0,IF(CN$5='Project Assumptions'!$D$15,-SUM('Detailed Project Costs'!$F$46:$F$48),0),IF(CN$5='Project Assumptions'!$D$15+1,-SUM('Detailed Project Costs'!$F$46:$F$48),0))</f>
        <v/>
      </c>
      <c r="CO71" s="293">
        <f>IF('Project Assumptions'!$D$16=0,IF(CO$5='Project Assumptions'!$D$15,-SUM('Detailed Project Costs'!$F$46:$F$48),0),IF(CO$5='Project Assumptions'!$D$15+1,-SUM('Detailed Project Costs'!$F$46:$F$48),0))</f>
        <v/>
      </c>
      <c r="CP71" s="293">
        <f>IF('Project Assumptions'!$D$16=0,IF(CP$5='Project Assumptions'!$D$15,-SUM('Detailed Project Costs'!$F$46:$F$48),0),IF(CP$5='Project Assumptions'!$D$15+1,-SUM('Detailed Project Costs'!$F$46:$F$48),0))</f>
        <v/>
      </c>
      <c r="CQ71" s="293">
        <f>IF('Project Assumptions'!$D$16=0,IF(CQ$5='Project Assumptions'!$D$15,-SUM('Detailed Project Costs'!$F$46:$F$48),0),IF(CQ$5='Project Assumptions'!$D$15+1,-SUM('Detailed Project Costs'!$F$46:$F$48),0))</f>
        <v/>
      </c>
      <c r="CR71" s="293">
        <f>IF('Project Assumptions'!$D$16=0,IF(CR$5='Project Assumptions'!$D$15,-SUM('Detailed Project Costs'!$F$46:$F$48),0),IF(CR$5='Project Assumptions'!$D$15+1,-SUM('Detailed Project Costs'!$F$46:$F$48),0))</f>
        <v/>
      </c>
      <c r="CS71" s="293">
        <f>IF('Project Assumptions'!$D$16=0,IF(CS$5='Project Assumptions'!$D$15,-SUM('Detailed Project Costs'!$F$46:$F$48),0),IF(CS$5='Project Assumptions'!$D$15+1,-SUM('Detailed Project Costs'!$F$46:$F$48),0))</f>
        <v/>
      </c>
      <c r="CT71" s="293">
        <f>IF('Project Assumptions'!$D$16=0,IF(CT$5='Project Assumptions'!$D$15,-SUM('Detailed Project Costs'!$F$46:$F$48),0),IF(CT$5='Project Assumptions'!$D$15+1,-SUM('Detailed Project Costs'!$F$46:$F$48),0))</f>
        <v/>
      </c>
      <c r="CU71" s="293">
        <f>IF('Project Assumptions'!$D$16=0,IF(CU$5='Project Assumptions'!$D$15,-SUM('Detailed Project Costs'!$F$46:$F$48),0),IF(CU$5='Project Assumptions'!$D$15+1,-SUM('Detailed Project Costs'!$F$46:$F$48),0))</f>
        <v/>
      </c>
      <c r="CV71" s="293">
        <f>IF('Project Assumptions'!$D$16=0,IF(CV$5='Project Assumptions'!$D$15,-SUM('Detailed Project Costs'!$F$46:$F$48),0),IF(CV$5='Project Assumptions'!$D$15+1,-SUM('Detailed Project Costs'!$F$46:$F$48),0))</f>
        <v/>
      </c>
      <c r="CW71" s="293">
        <f>IF('Project Assumptions'!$D$16=0,IF(CW$5='Project Assumptions'!$D$15,-SUM('Detailed Project Costs'!$F$46:$F$48),0),IF(CW$5='Project Assumptions'!$D$15+1,-SUM('Detailed Project Costs'!$F$46:$F$48),0))</f>
        <v/>
      </c>
      <c r="CX71" s="293">
        <f>IF('Project Assumptions'!$D$16=0,IF(CX$5='Project Assumptions'!$D$15,-SUM('Detailed Project Costs'!$F$46:$F$48),0),IF(CX$5='Project Assumptions'!$D$15+1,-SUM('Detailed Project Costs'!$F$46:$F$48),0))</f>
        <v/>
      </c>
      <c r="CY71" s="293">
        <f>IF('Project Assumptions'!$D$16=0,IF(CY$5='Project Assumptions'!$D$15,-SUM('Detailed Project Costs'!$F$46:$F$48),0),IF(CY$5='Project Assumptions'!$D$15+1,-SUM('Detailed Project Costs'!$F$46:$F$48),0))</f>
        <v/>
      </c>
      <c r="CZ71" s="293">
        <f>IF('Project Assumptions'!$D$16=0,IF(CZ$5='Project Assumptions'!$D$15,-SUM('Detailed Project Costs'!$F$46:$F$48),0),IF(CZ$5='Project Assumptions'!$D$15+1,-SUM('Detailed Project Costs'!$F$46:$F$48),0))</f>
        <v/>
      </c>
      <c r="DA71" s="293">
        <f>IF('Project Assumptions'!$D$16=0,IF(DA$5='Project Assumptions'!$D$15,-SUM('Detailed Project Costs'!$F$46:$F$48),0),IF(DA$5='Project Assumptions'!$D$15+1,-SUM('Detailed Project Costs'!$F$46:$F$48),0))</f>
        <v/>
      </c>
      <c r="DB71" s="293">
        <f>IF('Project Assumptions'!$D$16=0,IF(DB$5='Project Assumptions'!$D$15,-SUM('Detailed Project Costs'!$F$46:$F$48),0),IF(DB$5='Project Assumptions'!$D$15+1,-SUM('Detailed Project Costs'!$F$46:$F$48),0))</f>
        <v/>
      </c>
      <c r="DC71" s="293" t="n"/>
      <c r="DD71" s="292">
        <f>SUM(F71:DB71)</f>
        <v/>
      </c>
    </row>
    <row r="72">
      <c r="A72" s="1000" t="n"/>
      <c r="B72" s="701" t="inlineStr">
        <is>
          <t xml:space="preserve">   Testing/Inspection</t>
        </is>
      </c>
      <c r="C72" s="294" t="n"/>
      <c r="D72" s="295">
        <f>DD72</f>
        <v/>
      </c>
      <c r="E72" s="274" t="n"/>
      <c r="F72" s="273">
        <f>IF(F5&gt;'Project Assumptions'!$D$15,IF(F5&lt;='Project Assumptions'!$D$15+'Project Assumptions'!$D$16,-SUM('Detailed Project Costs'!$F$49:$F$50)/'Project Assumptions'!$D$16,0),0)+IF('Project Assumptions'!$D$16=0,IF(F5='Project Assumptions'!$D$15,-SUM('Detailed Project Costs'!$F$49:$F$50),0),0)</f>
        <v/>
      </c>
      <c r="G72" s="273">
        <f>IF(G5&gt;'Project Assumptions'!$D$15,IF(G5&lt;='Project Assumptions'!$D$15+'Project Assumptions'!$D$16,-SUM('Detailed Project Costs'!$F$49:$F$50)/'Project Assumptions'!$D$16,0),0)+IF('Project Assumptions'!$D$16=0,IF(G5='Project Assumptions'!$D$15,-SUM('Detailed Project Costs'!$F$49:$F$50),0),0)</f>
        <v/>
      </c>
      <c r="H72" s="273">
        <f>IF(H5&gt;'Project Assumptions'!$D$15,IF(H5&lt;='Project Assumptions'!$D$15+'Project Assumptions'!$D$16,-SUM('Detailed Project Costs'!$F$49:$F$50)/'Project Assumptions'!$D$16,0),0)+IF('Project Assumptions'!$D$16=0,IF(H5='Project Assumptions'!$D$15,-SUM('Detailed Project Costs'!$F$49:$F$50),0),0)</f>
        <v/>
      </c>
      <c r="I72" s="273">
        <f>IF(I5&gt;'Project Assumptions'!$D$15,IF(I5&lt;='Project Assumptions'!$D$15+'Project Assumptions'!$D$16,-SUM('Detailed Project Costs'!$F$49:$F$50)/'Project Assumptions'!$D$16,0),0)+IF('Project Assumptions'!$D$16=0,IF(I5='Project Assumptions'!$D$15,-SUM('Detailed Project Costs'!$F$49:$F$50),0),0)</f>
        <v/>
      </c>
      <c r="J72" s="273">
        <f>IF(J5&gt;'Project Assumptions'!$D$15,IF(J5&lt;='Project Assumptions'!$D$15+'Project Assumptions'!$D$16,-SUM('Detailed Project Costs'!$F$49:$F$50)/'Project Assumptions'!$D$16,0),0)+IF('Project Assumptions'!$D$16=0,IF(J5='Project Assumptions'!$D$15,-SUM('Detailed Project Costs'!$F$49:$F$50),0),0)</f>
        <v/>
      </c>
      <c r="K72" s="273">
        <f>IF(K5&gt;'Project Assumptions'!$D$15,IF(K5&lt;='Project Assumptions'!$D$15+'Project Assumptions'!$D$16,-SUM('Detailed Project Costs'!$F$49:$F$50)/'Project Assumptions'!$D$16,0),0)+IF('Project Assumptions'!$D$16=0,IF(K5='Project Assumptions'!$D$15,-SUM('Detailed Project Costs'!$F$49:$F$50),0),0)</f>
        <v/>
      </c>
      <c r="L72" s="273">
        <f>IF(L5&gt;'Project Assumptions'!$D$15,IF(L5&lt;='Project Assumptions'!$D$15+'Project Assumptions'!$D$16,-SUM('Detailed Project Costs'!$F$49:$F$50)/'Project Assumptions'!$D$16,0),0)+IF('Project Assumptions'!$D$16=0,IF(L5='Project Assumptions'!$D$15,-SUM('Detailed Project Costs'!$F$49:$F$50),0),0)</f>
        <v/>
      </c>
      <c r="M72" s="273">
        <f>IF(M5&gt;'Project Assumptions'!$D$15,IF(M5&lt;='Project Assumptions'!$D$15+'Project Assumptions'!$D$16,-SUM('Detailed Project Costs'!$F$49:$F$50)/'Project Assumptions'!$D$16,0),0)+IF('Project Assumptions'!$D$16=0,IF(M5='Project Assumptions'!$D$15,-SUM('Detailed Project Costs'!$F$49:$F$50),0),0)</f>
        <v/>
      </c>
      <c r="N72" s="273">
        <f>IF(N5&gt;'Project Assumptions'!$D$15,IF(N5&lt;='Project Assumptions'!$D$15+'Project Assumptions'!$D$16,-SUM('Detailed Project Costs'!$F$49:$F$50)/'Project Assumptions'!$D$16,0),0)+IF('Project Assumptions'!$D$16=0,IF(N5='Project Assumptions'!$D$15,-SUM('Detailed Project Costs'!$F$49:$F$50),0),0)</f>
        <v/>
      </c>
      <c r="O72" s="273">
        <f>IF(O5&gt;'Project Assumptions'!$D$15,IF(O5&lt;='Project Assumptions'!$D$15+'Project Assumptions'!$D$16,-SUM('Detailed Project Costs'!$F$49:$F$50)/'Project Assumptions'!$D$16,0),0)+IF('Project Assumptions'!$D$16=0,IF(O5='Project Assumptions'!$D$15,-SUM('Detailed Project Costs'!$F$49:$F$50),0),0)</f>
        <v/>
      </c>
      <c r="P72" s="273">
        <f>IF(P5&gt;'Project Assumptions'!$D$15,IF(P5&lt;='Project Assumptions'!$D$15+'Project Assumptions'!$D$16,-SUM('Detailed Project Costs'!$F$49:$F$50)/'Project Assumptions'!$D$16,0),0)+IF('Project Assumptions'!$D$16=0,IF(P5='Project Assumptions'!$D$15,-SUM('Detailed Project Costs'!$F$49:$F$50),0),0)</f>
        <v/>
      </c>
      <c r="Q72" s="273">
        <f>IF(Q5&gt;'Project Assumptions'!$D$15,IF(Q5&lt;='Project Assumptions'!$D$15+'Project Assumptions'!$D$16,-SUM('Detailed Project Costs'!$F$49:$F$50)/'Project Assumptions'!$D$16,0),0)+IF('Project Assumptions'!$D$16=0,IF(Q5='Project Assumptions'!$D$15,-SUM('Detailed Project Costs'!$F$49:$F$50),0),0)</f>
        <v/>
      </c>
      <c r="R72" s="273">
        <f>IF(R5&gt;'Project Assumptions'!$D$15,IF(R5&lt;='Project Assumptions'!$D$15+'Project Assumptions'!$D$16,-SUM('Detailed Project Costs'!$F$49:$F$50)/'Project Assumptions'!$D$16,0),0)+IF('Project Assumptions'!$D$16=0,IF(R5='Project Assumptions'!$D$15,-SUM('Detailed Project Costs'!$F$49:$F$50),0),0)</f>
        <v/>
      </c>
      <c r="S72" s="273">
        <f>IF(S5&gt;'Project Assumptions'!$D$15,IF(S5&lt;='Project Assumptions'!$D$15+'Project Assumptions'!$D$16,-SUM('Detailed Project Costs'!$F$49:$F$50)/'Project Assumptions'!$D$16,0),0)+IF('Project Assumptions'!$D$16=0,IF(S5='Project Assumptions'!$D$15,-SUM('Detailed Project Costs'!$F$49:$F$50),0),0)</f>
        <v/>
      </c>
      <c r="T72" s="273">
        <f>IF(T5&gt;'Project Assumptions'!$D$15,IF(T5&lt;='Project Assumptions'!$D$15+'Project Assumptions'!$D$16,-SUM('Detailed Project Costs'!$F$49:$F$50)/'Project Assumptions'!$D$16,0),0)+IF('Project Assumptions'!$D$16=0,IF(T5='Project Assumptions'!$D$15,-SUM('Detailed Project Costs'!$F$49:$F$50),0),0)</f>
        <v/>
      </c>
      <c r="U72" s="273">
        <f>IF(U5&gt;'Project Assumptions'!$D$15,IF(U5&lt;='Project Assumptions'!$D$15+'Project Assumptions'!$D$16,-SUM('Detailed Project Costs'!$F$49:$F$50)/'Project Assumptions'!$D$16,0),0)+IF('Project Assumptions'!$D$16=0,IF(U5='Project Assumptions'!$D$15,-SUM('Detailed Project Costs'!$F$49:$F$50),0),0)</f>
        <v/>
      </c>
      <c r="V72" s="273">
        <f>IF(V5&gt;'Project Assumptions'!$D$15,IF(V5&lt;='Project Assumptions'!$D$15+'Project Assumptions'!$D$16,-SUM('Detailed Project Costs'!$F$49:$F$50)/'Project Assumptions'!$D$16,0),0)+IF('Project Assumptions'!$D$16=0,IF(V5='Project Assumptions'!$D$15,-SUM('Detailed Project Costs'!$F$49:$F$50),0),0)</f>
        <v/>
      </c>
      <c r="W72" s="273">
        <f>IF(W5&gt;'Project Assumptions'!$D$15,IF(W5&lt;='Project Assumptions'!$D$15+'Project Assumptions'!$D$16,-SUM('Detailed Project Costs'!$F$49:$F$50)/'Project Assumptions'!$D$16,0),0)+IF('Project Assumptions'!$D$16=0,IF(W5='Project Assumptions'!$D$15,-SUM('Detailed Project Costs'!$F$49:$F$50),0),0)</f>
        <v/>
      </c>
      <c r="X72" s="273">
        <f>IF(X5&gt;'Project Assumptions'!$D$15,IF(X5&lt;='Project Assumptions'!$D$15+'Project Assumptions'!$D$16,-SUM('Detailed Project Costs'!$F$49:$F$50)/'Project Assumptions'!$D$16,0),0)+IF('Project Assumptions'!$D$16=0,IF(X5='Project Assumptions'!$D$15,-SUM('Detailed Project Costs'!$F$49:$F$50),0),0)</f>
        <v/>
      </c>
      <c r="Y72" s="273">
        <f>IF(Y5&gt;'Project Assumptions'!$D$15,IF(Y5&lt;='Project Assumptions'!$D$15+'Project Assumptions'!$D$16,-SUM('Detailed Project Costs'!$F$49:$F$50)/'Project Assumptions'!$D$16,0),0)+IF('Project Assumptions'!$D$16=0,IF(Y5='Project Assumptions'!$D$15,-SUM('Detailed Project Costs'!$F$49:$F$50),0),0)</f>
        <v/>
      </c>
      <c r="Z72" s="273">
        <f>IF(Z5&gt;'Project Assumptions'!$D$15,IF(Z5&lt;='Project Assumptions'!$D$15+'Project Assumptions'!$D$16,-SUM('Detailed Project Costs'!$F$49:$F$50)/'Project Assumptions'!$D$16,0),0)+IF('Project Assumptions'!$D$16=0,IF(Z5='Project Assumptions'!$D$15,-SUM('Detailed Project Costs'!$F$49:$F$50),0),0)</f>
        <v/>
      </c>
      <c r="AA72" s="273">
        <f>IF(AA5&gt;'Project Assumptions'!$D$15,IF(AA5&lt;='Project Assumptions'!$D$15+'Project Assumptions'!$D$16,-SUM('Detailed Project Costs'!$F$49:$F$50)/'Project Assumptions'!$D$16,0),0)+IF('Project Assumptions'!$D$16=0,IF(AA5='Project Assumptions'!$D$15,-SUM('Detailed Project Costs'!$F$49:$F$50),0),0)</f>
        <v/>
      </c>
      <c r="AB72" s="273">
        <f>IF(AB5&gt;'Project Assumptions'!$D$15,IF(AB5&lt;='Project Assumptions'!$D$15+'Project Assumptions'!$D$16,-SUM('Detailed Project Costs'!$F$49:$F$50)/'Project Assumptions'!$D$16,0),0)+IF('Project Assumptions'!$D$16=0,IF(AB5='Project Assumptions'!$D$15,-SUM('Detailed Project Costs'!$F$49:$F$50),0),0)</f>
        <v/>
      </c>
      <c r="AC72" s="273">
        <f>IF(AC5&gt;'Project Assumptions'!$D$15,IF(AC5&lt;='Project Assumptions'!$D$15+'Project Assumptions'!$D$16,-SUM('Detailed Project Costs'!$F$49:$F$50)/'Project Assumptions'!$D$16,0),0)+IF('Project Assumptions'!$D$16=0,IF(AC5='Project Assumptions'!$D$15,-SUM('Detailed Project Costs'!$F$49:$F$50),0),0)</f>
        <v/>
      </c>
      <c r="AD72" s="273">
        <f>IF(AD5&gt;'Project Assumptions'!$D$15,IF(AD5&lt;='Project Assumptions'!$D$15+'Project Assumptions'!$D$16,-SUM('Detailed Project Costs'!$F$49:$F$50)/'Project Assumptions'!$D$16,0),0)+IF('Project Assumptions'!$D$16=0,IF(AD5='Project Assumptions'!$D$15,-SUM('Detailed Project Costs'!$F$49:$F$50),0),0)</f>
        <v/>
      </c>
      <c r="AE72" s="273">
        <f>IF(AE5&gt;'Project Assumptions'!$D$15,IF(AE5&lt;='Project Assumptions'!$D$15+'Project Assumptions'!$D$16,-SUM('Detailed Project Costs'!$F$49:$F$50)/'Project Assumptions'!$D$16,0),0)+IF('Project Assumptions'!$D$16=0,IF(AE5='Project Assumptions'!$D$15,-SUM('Detailed Project Costs'!$F$49:$F$50),0),0)</f>
        <v/>
      </c>
      <c r="AF72" s="273">
        <f>IF(AF5&gt;'Project Assumptions'!$D$15,IF(AF5&lt;='Project Assumptions'!$D$15+'Project Assumptions'!$D$16,-SUM('Detailed Project Costs'!$F$49:$F$50)/'Project Assumptions'!$D$16,0),0)+IF('Project Assumptions'!$D$16=0,IF(AF5='Project Assumptions'!$D$15,-SUM('Detailed Project Costs'!$F$49:$F$50),0),0)</f>
        <v/>
      </c>
      <c r="AG72" s="273">
        <f>IF(AG5&gt;'Project Assumptions'!$D$15,IF(AG5&lt;='Project Assumptions'!$D$15+'Project Assumptions'!$D$16,-SUM('Detailed Project Costs'!$F$49:$F$50)/'Project Assumptions'!$D$16,0),0)+IF('Project Assumptions'!$D$16=0,IF(AG5='Project Assumptions'!$D$15,-SUM('Detailed Project Costs'!$F$49:$F$50),0),0)</f>
        <v/>
      </c>
      <c r="AH72" s="273">
        <f>IF(AH5&gt;'Project Assumptions'!$D$15,IF(AH5&lt;='Project Assumptions'!$D$15+'Project Assumptions'!$D$16,-SUM('Detailed Project Costs'!$F$49:$F$50)/'Project Assumptions'!$D$16,0),0)+IF('Project Assumptions'!$D$16=0,IF(AH5='Project Assumptions'!$D$15,-SUM('Detailed Project Costs'!$F$49:$F$50),0),0)</f>
        <v/>
      </c>
      <c r="AI72" s="273">
        <f>IF(AI5&gt;'Project Assumptions'!$D$15,IF(AI5&lt;='Project Assumptions'!$D$15+'Project Assumptions'!$D$16,-SUM('Detailed Project Costs'!$F$49:$F$50)/'Project Assumptions'!$D$16,0),0)+IF('Project Assumptions'!$D$16=0,IF(AI5='Project Assumptions'!$D$15,-SUM('Detailed Project Costs'!$F$49:$F$50),0),0)</f>
        <v/>
      </c>
      <c r="AJ72" s="273">
        <f>IF(AJ5&gt;'Project Assumptions'!$D$15,IF(AJ5&lt;='Project Assumptions'!$D$15+'Project Assumptions'!$D$16,-SUM('Detailed Project Costs'!$F$49:$F$50)/'Project Assumptions'!$D$16,0),0)+IF('Project Assumptions'!$D$16=0,IF(AJ5='Project Assumptions'!$D$15,-SUM('Detailed Project Costs'!$F$49:$F$50),0),0)</f>
        <v/>
      </c>
      <c r="AK72" s="273">
        <f>IF(AK5&gt;'Project Assumptions'!$D$15,IF(AK5&lt;='Project Assumptions'!$D$15+'Project Assumptions'!$D$16,-SUM('Detailed Project Costs'!$F$49:$F$50)/'Project Assumptions'!$D$16,0),0)+IF('Project Assumptions'!$D$16=0,IF(AK5='Project Assumptions'!$D$15,-SUM('Detailed Project Costs'!$F$49:$F$50),0),0)</f>
        <v/>
      </c>
      <c r="AL72" s="273">
        <f>IF(AL5&gt;'Project Assumptions'!$D$15,IF(AL5&lt;='Project Assumptions'!$D$15+'Project Assumptions'!$D$16,-SUM('Detailed Project Costs'!$F$49:$F$50)/'Project Assumptions'!$D$16,0),0)+IF('Project Assumptions'!$D$16=0,IF(AL5='Project Assumptions'!$D$15,-SUM('Detailed Project Costs'!$F$49:$F$50),0),0)</f>
        <v/>
      </c>
      <c r="AM72" s="273">
        <f>IF(AM5&gt;'Project Assumptions'!$D$15,IF(AM5&lt;='Project Assumptions'!$D$15+'Project Assumptions'!$D$16,-SUM('Detailed Project Costs'!$F$49:$F$50)/'Project Assumptions'!$D$16,0),0)+IF('Project Assumptions'!$D$16=0,IF(AM5='Project Assumptions'!$D$15,-SUM('Detailed Project Costs'!$F$49:$F$50),0),0)</f>
        <v/>
      </c>
      <c r="AN72" s="273">
        <f>IF(AN5&gt;'Project Assumptions'!$D$15,IF(AN5&lt;='Project Assumptions'!$D$15+'Project Assumptions'!$D$16,-SUM('Detailed Project Costs'!$F$49:$F$50)/'Project Assumptions'!$D$16,0),0)+IF('Project Assumptions'!$D$16=0,IF(AN5='Project Assumptions'!$D$15,-SUM('Detailed Project Costs'!$F$49:$F$50),0),0)</f>
        <v/>
      </c>
      <c r="AO72" s="273">
        <f>IF(AO5&gt;'Project Assumptions'!$D$15,IF(AO5&lt;='Project Assumptions'!$D$15+'Project Assumptions'!$D$16,-SUM('Detailed Project Costs'!$F$49:$F$50)/'Project Assumptions'!$D$16,0),0)+IF('Project Assumptions'!$D$16=0,IF(AO5='Project Assumptions'!$D$15,-SUM('Detailed Project Costs'!$F$49:$F$50),0),0)</f>
        <v/>
      </c>
      <c r="AP72" s="273">
        <f>IF(AP5&gt;'Project Assumptions'!$D$15,IF(AP5&lt;='Project Assumptions'!$D$15+'Project Assumptions'!$D$16,-SUM('Detailed Project Costs'!$F$49:$F$50)/'Project Assumptions'!$D$16,0),0)+IF('Project Assumptions'!$D$16=0,IF(AP5='Project Assumptions'!$D$15,-SUM('Detailed Project Costs'!$F$49:$F$50),0),0)</f>
        <v/>
      </c>
      <c r="AQ72" s="273">
        <f>IF(AQ5&gt;'Project Assumptions'!$D$15,IF(AQ5&lt;='Project Assumptions'!$D$15+'Project Assumptions'!$D$16,-SUM('Detailed Project Costs'!$F$49:$F$50)/'Project Assumptions'!$D$16,0),0)+IF('Project Assumptions'!$D$16=0,IF(AQ5='Project Assumptions'!$D$15,-SUM('Detailed Project Costs'!$F$49:$F$50),0),0)</f>
        <v/>
      </c>
      <c r="AR72" s="273">
        <f>IF(AR5&gt;'Project Assumptions'!$D$15,IF(AR5&lt;='Project Assumptions'!$D$15+'Project Assumptions'!$D$16,-SUM('Detailed Project Costs'!$F$49:$F$50)/'Project Assumptions'!$D$16,0),0)+IF('Project Assumptions'!$D$16=0,IF(AR5='Project Assumptions'!$D$15,-SUM('Detailed Project Costs'!$F$49:$F$50),0),0)</f>
        <v/>
      </c>
      <c r="AS72" s="273">
        <f>IF(AS5&gt;'Project Assumptions'!$D$15,IF(AS5&lt;='Project Assumptions'!$D$15+'Project Assumptions'!$D$16,-SUM('Detailed Project Costs'!$F$49:$F$50)/'Project Assumptions'!$D$16,0),0)+IF('Project Assumptions'!$D$16=0,IF(AS5='Project Assumptions'!$D$15,-SUM('Detailed Project Costs'!$F$49:$F$50),0),0)</f>
        <v/>
      </c>
      <c r="AT72" s="273">
        <f>IF(AT5&gt;'Project Assumptions'!$D$15,IF(AT5&lt;='Project Assumptions'!$D$15+'Project Assumptions'!$D$16,-SUM('Detailed Project Costs'!$F$49:$F$50)/'Project Assumptions'!$D$16,0),0)+IF('Project Assumptions'!$D$16=0,IF(AT5='Project Assumptions'!$D$15,-SUM('Detailed Project Costs'!$F$49:$F$50),0),0)</f>
        <v/>
      </c>
      <c r="AU72" s="273">
        <f>IF(AU5&gt;'Project Assumptions'!$D$15,IF(AU5&lt;='Project Assumptions'!$D$15+'Project Assumptions'!$D$16,-SUM('Detailed Project Costs'!$F$49:$F$50)/'Project Assumptions'!$D$16,0),0)+IF('Project Assumptions'!$D$16=0,IF(AU5='Project Assumptions'!$D$15,-SUM('Detailed Project Costs'!$F$49:$F$50),0),0)</f>
        <v/>
      </c>
      <c r="AV72" s="273">
        <f>IF(AV5&gt;'Project Assumptions'!$D$15,IF(AV5&lt;='Project Assumptions'!$D$15+'Project Assumptions'!$D$16,-SUM('Detailed Project Costs'!$F$49:$F$50)/'Project Assumptions'!$D$16,0),0)+IF('Project Assumptions'!$D$16=0,IF(AV5='Project Assumptions'!$D$15,-SUM('Detailed Project Costs'!$F$49:$F$50),0),0)</f>
        <v/>
      </c>
      <c r="AW72" s="273">
        <f>IF(AW5&gt;'Project Assumptions'!$D$15,IF(AW5&lt;='Project Assumptions'!$D$15+'Project Assumptions'!$D$16,-SUM('Detailed Project Costs'!$F$49:$F$50)/'Project Assumptions'!$D$16,0),0)+IF('Project Assumptions'!$D$16=0,IF(AW5='Project Assumptions'!$D$15,-SUM('Detailed Project Costs'!$F$49:$F$50),0),0)</f>
        <v/>
      </c>
      <c r="AX72" s="273">
        <f>IF(AX5&gt;'Project Assumptions'!$D$15,IF(AX5&lt;='Project Assumptions'!$D$15+'Project Assumptions'!$D$16,-SUM('Detailed Project Costs'!$F$49:$F$50)/'Project Assumptions'!$D$16,0),0)+IF('Project Assumptions'!$D$16=0,IF(AX5='Project Assumptions'!$D$15,-SUM('Detailed Project Costs'!$F$49:$F$50),0),0)</f>
        <v/>
      </c>
      <c r="AY72" s="273">
        <f>IF(AY5&gt;'Project Assumptions'!$D$15,IF(AY5&lt;='Project Assumptions'!$D$15+'Project Assumptions'!$D$16,-SUM('Detailed Project Costs'!$F$49:$F$50)/'Project Assumptions'!$D$16,0),0)+IF('Project Assumptions'!$D$16=0,IF(AY5='Project Assumptions'!$D$15,-SUM('Detailed Project Costs'!$F$49:$F$50),0),0)</f>
        <v/>
      </c>
      <c r="AZ72" s="273">
        <f>IF(AZ5&gt;'Project Assumptions'!$D$15,IF(AZ5&lt;='Project Assumptions'!$D$15+'Project Assumptions'!$D$16,-SUM('Detailed Project Costs'!$F$49:$F$50)/'Project Assumptions'!$D$16,0),0)+IF('Project Assumptions'!$D$16=0,IF(AZ5='Project Assumptions'!$D$15,-SUM('Detailed Project Costs'!$F$49:$F$50),0),0)</f>
        <v/>
      </c>
      <c r="BA72" s="273">
        <f>IF(BA5&gt;'Project Assumptions'!$D$15,IF(BA5&lt;='Project Assumptions'!$D$15+'Project Assumptions'!$D$16,-SUM('Detailed Project Costs'!$F$49:$F$50)/'Project Assumptions'!$D$16,0),0)+IF('Project Assumptions'!$D$16=0,IF(BA5='Project Assumptions'!$D$15,-SUM('Detailed Project Costs'!$F$49:$F$50),0),0)</f>
        <v/>
      </c>
      <c r="BB72" s="273">
        <f>IF(BB5&gt;'Project Assumptions'!$D$15,IF(BB5&lt;='Project Assumptions'!$D$15+'Project Assumptions'!$D$16,-SUM('Detailed Project Costs'!$F$49:$F$50)/'Project Assumptions'!$D$16,0),0)+IF('Project Assumptions'!$D$16=0,IF(BB5='Project Assumptions'!$D$15,-SUM('Detailed Project Costs'!$F$49:$F$50),0),0)</f>
        <v/>
      </c>
      <c r="BC72" s="273">
        <f>IF(BC5&gt;'Project Assumptions'!$D$15,IF(BC5&lt;='Project Assumptions'!$D$15+'Project Assumptions'!$D$16,-SUM('Detailed Project Costs'!$F$49:$F$50)/'Project Assumptions'!$D$16,0),0)+IF('Project Assumptions'!$D$16=0,IF(BC5='Project Assumptions'!$D$15,-SUM('Detailed Project Costs'!$F$49:$F$50),0),0)</f>
        <v/>
      </c>
      <c r="BD72" s="273">
        <f>IF(BD5&gt;'Project Assumptions'!$D$15,IF(BD5&lt;='Project Assumptions'!$D$15+'Project Assumptions'!$D$16,-SUM('Detailed Project Costs'!$F$49:$F$50)/'Project Assumptions'!$D$16,0),0)+IF('Project Assumptions'!$D$16=0,IF(BD5='Project Assumptions'!$D$15,-SUM('Detailed Project Costs'!$F$49:$F$50),0),0)</f>
        <v/>
      </c>
      <c r="BE72" s="273">
        <f>IF(BE5&gt;'Project Assumptions'!$D$15,IF(BE5&lt;='Project Assumptions'!$D$15+'Project Assumptions'!$D$16,-SUM('Detailed Project Costs'!$F$49:$F$50)/'Project Assumptions'!$D$16,0),0)+IF('Project Assumptions'!$D$16=0,IF(BE5='Project Assumptions'!$D$15,-SUM('Detailed Project Costs'!$F$49:$F$50),0),0)</f>
        <v/>
      </c>
      <c r="BF72" s="273">
        <f>IF(BF5&gt;'Project Assumptions'!$D$15,IF(BF5&lt;='Project Assumptions'!$D$15+'Project Assumptions'!$D$16,-SUM('Detailed Project Costs'!$F$49:$F$50)/'Project Assumptions'!$D$16,0),0)+IF('Project Assumptions'!$D$16=0,IF(BF5='Project Assumptions'!$D$15,-SUM('Detailed Project Costs'!$F$49:$F$50),0),0)</f>
        <v/>
      </c>
      <c r="BG72" s="273">
        <f>IF(BG5&gt;'Project Assumptions'!$D$15,IF(BG5&lt;='Project Assumptions'!$D$15+'Project Assumptions'!$D$16,-SUM('Detailed Project Costs'!$F$49:$F$50)/'Project Assumptions'!$D$16,0),0)+IF('Project Assumptions'!$D$16=0,IF(BG5='Project Assumptions'!$D$15,-SUM('Detailed Project Costs'!$F$49:$F$50),0),0)</f>
        <v/>
      </c>
      <c r="BH72" s="273">
        <f>IF(BH5&gt;'Project Assumptions'!$D$15,IF(BH5&lt;='Project Assumptions'!$D$15+'Project Assumptions'!$D$16,-SUM('Detailed Project Costs'!$F$49:$F$50)/'Project Assumptions'!$D$16,0),0)+IF('Project Assumptions'!$D$16=0,IF(BH5='Project Assumptions'!$D$15,-SUM('Detailed Project Costs'!$F$49:$F$50),0),0)</f>
        <v/>
      </c>
      <c r="BI72" s="273">
        <f>IF(BI5&gt;'Project Assumptions'!$D$15,IF(BI5&lt;='Project Assumptions'!$D$15+'Project Assumptions'!$D$16,-SUM('Detailed Project Costs'!$F$49:$F$50)/'Project Assumptions'!$D$16,0),0)+IF('Project Assumptions'!$D$16=0,IF(BI5='Project Assumptions'!$D$15,-SUM('Detailed Project Costs'!$F$49:$F$50),0),0)</f>
        <v/>
      </c>
      <c r="BJ72" s="273">
        <f>IF(BJ5&gt;'Project Assumptions'!$D$15,IF(BJ5&lt;='Project Assumptions'!$D$15+'Project Assumptions'!$D$16,-SUM('Detailed Project Costs'!$F$49:$F$50)/'Project Assumptions'!$D$16,0),0)+IF('Project Assumptions'!$D$16=0,IF(BJ5='Project Assumptions'!$D$15,-SUM('Detailed Project Costs'!$F$49:$F$50),0),0)</f>
        <v/>
      </c>
      <c r="BK72" s="273">
        <f>IF(BK5&gt;'Project Assumptions'!$D$15,IF(BK5&lt;='Project Assumptions'!$D$15+'Project Assumptions'!$D$16,-SUM('Detailed Project Costs'!$F$49:$F$50)/'Project Assumptions'!$D$16,0),0)+IF('Project Assumptions'!$D$16=0,IF(BK5='Project Assumptions'!$D$15,-SUM('Detailed Project Costs'!$F$49:$F$50),0),0)</f>
        <v/>
      </c>
      <c r="BL72" s="273">
        <f>IF(BL5&gt;'Project Assumptions'!$D$15,IF(BL5&lt;='Project Assumptions'!$D$15+'Project Assumptions'!$D$16,-SUM('Detailed Project Costs'!$F$49:$F$50)/'Project Assumptions'!$D$16,0),0)+IF('Project Assumptions'!$D$16=0,IF(BL5='Project Assumptions'!$D$15,-SUM('Detailed Project Costs'!$F$49:$F$50),0),0)</f>
        <v/>
      </c>
      <c r="BM72" s="273">
        <f>IF(BM5&gt;'Project Assumptions'!$D$15,IF(BM5&lt;='Project Assumptions'!$D$15+'Project Assumptions'!$D$16,-SUM('Detailed Project Costs'!$F$49:$F$50)/'Project Assumptions'!$D$16,0),0)+IF('Project Assumptions'!$D$16=0,IF(BM5='Project Assumptions'!$D$15,-SUM('Detailed Project Costs'!$F$49:$F$50),0),0)</f>
        <v/>
      </c>
      <c r="BN72" s="273">
        <f>IF(BN5&gt;'Project Assumptions'!$D$15,IF(BN5&lt;='Project Assumptions'!$D$15+'Project Assumptions'!$D$16,-SUM('Detailed Project Costs'!$F$49:$F$50)/'Project Assumptions'!$D$16,0),0)+IF('Project Assumptions'!$D$16=0,IF(BN5='Project Assumptions'!$D$15,-SUM('Detailed Project Costs'!$F$49:$F$50),0),0)</f>
        <v/>
      </c>
      <c r="BO72" s="273">
        <f>IF(BO5&gt;'Project Assumptions'!$D$15,IF(BO5&lt;='Project Assumptions'!$D$15+'Project Assumptions'!$D$16,-SUM('Detailed Project Costs'!$F$49:$F$50)/'Project Assumptions'!$D$16,0),0)+IF('Project Assumptions'!$D$16=0,IF(BO5='Project Assumptions'!$D$15,-SUM('Detailed Project Costs'!$F$49:$F$50),0),0)</f>
        <v/>
      </c>
      <c r="BP72" s="273">
        <f>IF(BP5&gt;'Project Assumptions'!$D$15,IF(BP5&lt;='Project Assumptions'!$D$15+'Project Assumptions'!$D$16,-SUM('Detailed Project Costs'!$F$49:$F$50)/'Project Assumptions'!$D$16,0),0)+IF('Project Assumptions'!$D$16=0,IF(BP5='Project Assumptions'!$D$15,-SUM('Detailed Project Costs'!$F$49:$F$50),0),0)</f>
        <v/>
      </c>
      <c r="BQ72" s="273">
        <f>IF(BQ5&gt;'Project Assumptions'!$D$15,IF(BQ5&lt;='Project Assumptions'!$D$15+'Project Assumptions'!$D$16,-SUM('Detailed Project Costs'!$F$49:$F$50)/'Project Assumptions'!$D$16,0),0)+IF('Project Assumptions'!$D$16=0,IF(BQ5='Project Assumptions'!$D$15,-SUM('Detailed Project Costs'!$F$49:$F$50),0),0)</f>
        <v/>
      </c>
      <c r="BR72" s="273">
        <f>IF(BR5&gt;'Project Assumptions'!$D$15,IF(BR5&lt;='Project Assumptions'!$D$15+'Project Assumptions'!$D$16,-SUM('Detailed Project Costs'!$F$49:$F$50)/'Project Assumptions'!$D$16,0),0)+IF('Project Assumptions'!$D$16=0,IF(BR5='Project Assumptions'!$D$15,-SUM('Detailed Project Costs'!$F$49:$F$50),0),0)</f>
        <v/>
      </c>
      <c r="BS72" s="273">
        <f>IF(BS5&gt;'Project Assumptions'!$D$15,IF(BS5&lt;='Project Assumptions'!$D$15+'Project Assumptions'!$D$16,-SUM('Detailed Project Costs'!$F$49:$F$50)/'Project Assumptions'!$D$16,0),0)+IF('Project Assumptions'!$D$16=0,IF(BS5='Project Assumptions'!$D$15,-SUM('Detailed Project Costs'!$F$49:$F$50),0),0)</f>
        <v/>
      </c>
      <c r="BT72" s="273">
        <f>IF(BT5&gt;'Project Assumptions'!$D$15,IF(BT5&lt;='Project Assumptions'!$D$15+'Project Assumptions'!$D$16,-SUM('Detailed Project Costs'!$F$49:$F$50)/'Project Assumptions'!$D$16,0),0)+IF('Project Assumptions'!$D$16=0,IF(BT5='Project Assumptions'!$D$15,-SUM('Detailed Project Costs'!$F$49:$F$50),0),0)</f>
        <v/>
      </c>
      <c r="BU72" s="273">
        <f>IF(BU5&gt;'Project Assumptions'!$D$15,IF(BU5&lt;='Project Assumptions'!$D$15+'Project Assumptions'!$D$16,-SUM('Detailed Project Costs'!$F$49:$F$50)/'Project Assumptions'!$D$16,0),0)+IF('Project Assumptions'!$D$16=0,IF(BU5='Project Assumptions'!$D$15,-SUM('Detailed Project Costs'!$F$49:$F$50),0),0)</f>
        <v/>
      </c>
      <c r="BV72" s="273">
        <f>IF(BV5&gt;'Project Assumptions'!$D$15,IF(BV5&lt;='Project Assumptions'!$D$15+'Project Assumptions'!$D$16,-SUM('Detailed Project Costs'!$F$49:$F$50)/'Project Assumptions'!$D$16,0),0)+IF('Project Assumptions'!$D$16=0,IF(BV5='Project Assumptions'!$D$15,-SUM('Detailed Project Costs'!$F$49:$F$50),0),0)</f>
        <v/>
      </c>
      <c r="BW72" s="273">
        <f>IF(BW5&gt;'Project Assumptions'!$D$15,IF(BW5&lt;='Project Assumptions'!$D$15+'Project Assumptions'!$D$16,-SUM('Detailed Project Costs'!$F$49:$F$50)/'Project Assumptions'!$D$16,0),0)+IF('Project Assumptions'!$D$16=0,IF(BW5='Project Assumptions'!$D$15,-SUM('Detailed Project Costs'!$F$49:$F$50),0),0)</f>
        <v/>
      </c>
      <c r="BX72" s="273">
        <f>IF(BX5&gt;'Project Assumptions'!$D$15,IF(BX5&lt;='Project Assumptions'!$D$15+'Project Assumptions'!$D$16,-SUM('Detailed Project Costs'!$F$49:$F$50)/'Project Assumptions'!$D$16,0),0)+IF('Project Assumptions'!$D$16=0,IF(BX5='Project Assumptions'!$D$15,-SUM('Detailed Project Costs'!$F$49:$F$50),0),0)</f>
        <v/>
      </c>
      <c r="BY72" s="273">
        <f>IF(BY5&gt;'Project Assumptions'!$D$15,IF(BY5&lt;='Project Assumptions'!$D$15+'Project Assumptions'!$D$16,-SUM('Detailed Project Costs'!$F$49:$F$50)/'Project Assumptions'!$D$16,0),0)+IF('Project Assumptions'!$D$16=0,IF(BY5='Project Assumptions'!$D$15,-SUM('Detailed Project Costs'!$F$49:$F$50),0),0)</f>
        <v/>
      </c>
      <c r="BZ72" s="273">
        <f>IF(BZ5&gt;'Project Assumptions'!$D$15,IF(BZ5&lt;='Project Assumptions'!$D$15+'Project Assumptions'!$D$16,-SUM('Detailed Project Costs'!$F$49:$F$50)/'Project Assumptions'!$D$16,0),0)+IF('Project Assumptions'!$D$16=0,IF(BZ5='Project Assumptions'!$D$15,-SUM('Detailed Project Costs'!$F$49:$F$50),0),0)</f>
        <v/>
      </c>
      <c r="CA72" s="273">
        <f>IF(CA5&gt;'Project Assumptions'!$D$15,IF(CA5&lt;='Project Assumptions'!$D$15+'Project Assumptions'!$D$16,-SUM('Detailed Project Costs'!$F$49:$F$50)/'Project Assumptions'!$D$16,0),0)+IF('Project Assumptions'!$D$16=0,IF(CA5='Project Assumptions'!$D$15,-SUM('Detailed Project Costs'!$F$49:$F$50),0),0)</f>
        <v/>
      </c>
      <c r="CB72" s="273">
        <f>IF(CB5&gt;'Project Assumptions'!$D$15,IF(CB5&lt;='Project Assumptions'!$D$15+'Project Assumptions'!$D$16,-SUM('Detailed Project Costs'!$F$49:$F$50)/'Project Assumptions'!$D$16,0),0)+IF('Project Assumptions'!$D$16=0,IF(CB5='Project Assumptions'!$D$15,-SUM('Detailed Project Costs'!$F$49:$F$50),0),0)</f>
        <v/>
      </c>
      <c r="CC72" s="273">
        <f>IF(CC5&gt;'Project Assumptions'!$D$15,IF(CC5&lt;='Project Assumptions'!$D$15+'Project Assumptions'!$D$16,-SUM('Detailed Project Costs'!$F$49:$F$50)/'Project Assumptions'!$D$16,0),0)+IF('Project Assumptions'!$D$16=0,IF(CC5='Project Assumptions'!$D$15,-SUM('Detailed Project Costs'!$F$49:$F$50),0),0)</f>
        <v/>
      </c>
      <c r="CD72" s="273">
        <f>IF(CD5&gt;'Project Assumptions'!$D$15,IF(CD5&lt;='Project Assumptions'!$D$15+'Project Assumptions'!$D$16,-SUM('Detailed Project Costs'!$F$49:$F$50)/'Project Assumptions'!$D$16,0),0)+IF('Project Assumptions'!$D$16=0,IF(CD5='Project Assumptions'!$D$15,-SUM('Detailed Project Costs'!$F$49:$F$50),0),0)</f>
        <v/>
      </c>
      <c r="CE72" s="273">
        <f>IF(CE5&gt;'Project Assumptions'!$D$15,IF(CE5&lt;='Project Assumptions'!$D$15+'Project Assumptions'!$D$16,-SUM('Detailed Project Costs'!$F$49:$F$50)/'Project Assumptions'!$D$16,0),0)+IF('Project Assumptions'!$D$16=0,IF(CE5='Project Assumptions'!$D$15,-SUM('Detailed Project Costs'!$F$49:$F$50),0),0)</f>
        <v/>
      </c>
      <c r="CF72" s="273">
        <f>IF(CF5&gt;'Project Assumptions'!$D$15,IF(CF5&lt;='Project Assumptions'!$D$15+'Project Assumptions'!$D$16,-SUM('Detailed Project Costs'!$F$49:$F$50)/'Project Assumptions'!$D$16,0),0)+IF('Project Assumptions'!$D$16=0,IF(CF5='Project Assumptions'!$D$15,-SUM('Detailed Project Costs'!$F$49:$F$50),0),0)</f>
        <v/>
      </c>
      <c r="CG72" s="273">
        <f>IF(CG5&gt;'Project Assumptions'!$D$15,IF(CG5&lt;='Project Assumptions'!$D$15+'Project Assumptions'!$D$16,-SUM('Detailed Project Costs'!$F$49:$F$50)/'Project Assumptions'!$D$16,0),0)+IF('Project Assumptions'!$D$16=0,IF(CG5='Project Assumptions'!$D$15,-SUM('Detailed Project Costs'!$F$49:$F$50),0),0)</f>
        <v/>
      </c>
      <c r="CH72" s="273">
        <f>IF(CH5&gt;'Project Assumptions'!$D$15,IF(CH5&lt;='Project Assumptions'!$D$15+'Project Assumptions'!$D$16,-SUM('Detailed Project Costs'!$F$49:$F$50)/'Project Assumptions'!$D$16,0),0)+IF('Project Assumptions'!$D$16=0,IF(CH5='Project Assumptions'!$D$15,-SUM('Detailed Project Costs'!$F$49:$F$50),0),0)</f>
        <v/>
      </c>
      <c r="CI72" s="273">
        <f>IF(CI5&gt;'Project Assumptions'!$D$15,IF(CI5&lt;='Project Assumptions'!$D$15+'Project Assumptions'!$D$16,-SUM('Detailed Project Costs'!$F$49:$F$50)/'Project Assumptions'!$D$16,0),0)+IF('Project Assumptions'!$D$16=0,IF(CI5='Project Assumptions'!$D$15,-SUM('Detailed Project Costs'!$F$49:$F$50),0),0)</f>
        <v/>
      </c>
      <c r="CJ72" s="273">
        <f>IF(CJ5&gt;'Project Assumptions'!$D$15,IF(CJ5&lt;='Project Assumptions'!$D$15+'Project Assumptions'!$D$16,-SUM('Detailed Project Costs'!$F$49:$F$50)/'Project Assumptions'!$D$16,0),0)+IF('Project Assumptions'!$D$16=0,IF(CJ5='Project Assumptions'!$D$15,-SUM('Detailed Project Costs'!$F$49:$F$50),0),0)</f>
        <v/>
      </c>
      <c r="CK72" s="273">
        <f>IF(CK5&gt;'Project Assumptions'!$D$15,IF(CK5&lt;='Project Assumptions'!$D$15+'Project Assumptions'!$D$16,-SUM('Detailed Project Costs'!$F$49:$F$50)/'Project Assumptions'!$D$16,0),0)+IF('Project Assumptions'!$D$16=0,IF(CK5='Project Assumptions'!$D$15,-SUM('Detailed Project Costs'!$F$49:$F$50),0),0)</f>
        <v/>
      </c>
      <c r="CL72" s="273">
        <f>IF(CL5&gt;'Project Assumptions'!$D$15,IF(CL5&lt;='Project Assumptions'!$D$15+'Project Assumptions'!$D$16,-SUM('Detailed Project Costs'!$F$49:$F$50)/'Project Assumptions'!$D$16,0),0)+IF('Project Assumptions'!$D$16=0,IF(CL5='Project Assumptions'!$D$15,-SUM('Detailed Project Costs'!$F$49:$F$50),0),0)</f>
        <v/>
      </c>
      <c r="CM72" s="273">
        <f>IF(CM5&gt;'Project Assumptions'!$D$15,IF(CM5&lt;='Project Assumptions'!$D$15+'Project Assumptions'!$D$16,-SUM('Detailed Project Costs'!$F$49:$F$50)/'Project Assumptions'!$D$16,0),0)+IF('Project Assumptions'!$D$16=0,IF(CM5='Project Assumptions'!$D$15,-SUM('Detailed Project Costs'!$F$49:$F$50),0),0)</f>
        <v/>
      </c>
      <c r="CN72" s="273">
        <f>IF(CN5&gt;'Project Assumptions'!$D$15,IF(CN5&lt;='Project Assumptions'!$D$15+'Project Assumptions'!$D$16,-SUM('Detailed Project Costs'!$F$49:$F$50)/'Project Assumptions'!$D$16,0),0)+IF('Project Assumptions'!$D$16=0,IF(CN5='Project Assumptions'!$D$15,-SUM('Detailed Project Costs'!$F$49:$F$50),0),0)</f>
        <v/>
      </c>
      <c r="CO72" s="273">
        <f>IF(CO5&gt;'Project Assumptions'!$D$15,IF(CO5&lt;='Project Assumptions'!$D$15+'Project Assumptions'!$D$16,-SUM('Detailed Project Costs'!$F$49:$F$50)/'Project Assumptions'!$D$16,0),0)+IF('Project Assumptions'!$D$16=0,IF(CO5='Project Assumptions'!$D$15,-SUM('Detailed Project Costs'!$F$49:$F$50),0),0)</f>
        <v/>
      </c>
      <c r="CP72" s="273">
        <f>IF(CP5&gt;'Project Assumptions'!$D$15,IF(CP5&lt;='Project Assumptions'!$D$15+'Project Assumptions'!$D$16,-SUM('Detailed Project Costs'!$F$49:$F$50)/'Project Assumptions'!$D$16,0),0)+IF('Project Assumptions'!$D$16=0,IF(CP5='Project Assumptions'!$D$15,-SUM('Detailed Project Costs'!$F$49:$F$50),0),0)</f>
        <v/>
      </c>
      <c r="CQ72" s="273">
        <f>IF(CQ5&gt;'Project Assumptions'!$D$15,IF(CQ5&lt;='Project Assumptions'!$D$15+'Project Assumptions'!$D$16,-SUM('Detailed Project Costs'!$F$49:$F$50)/'Project Assumptions'!$D$16,0),0)+IF('Project Assumptions'!$D$16=0,IF(CQ5='Project Assumptions'!$D$15,-SUM('Detailed Project Costs'!$F$49:$F$50),0),0)</f>
        <v/>
      </c>
      <c r="CR72" s="273">
        <f>IF(CR5&gt;'Project Assumptions'!$D$15,IF(CR5&lt;='Project Assumptions'!$D$15+'Project Assumptions'!$D$16,-SUM('Detailed Project Costs'!$F$49:$F$50)/'Project Assumptions'!$D$16,0),0)+IF('Project Assumptions'!$D$16=0,IF(CR5='Project Assumptions'!$D$15,-SUM('Detailed Project Costs'!$F$49:$F$50),0),0)</f>
        <v/>
      </c>
      <c r="CS72" s="273">
        <f>IF(CS5&gt;'Project Assumptions'!$D$15,IF(CS5&lt;='Project Assumptions'!$D$15+'Project Assumptions'!$D$16,-SUM('Detailed Project Costs'!$F$49:$F$50)/'Project Assumptions'!$D$16,0),0)+IF('Project Assumptions'!$D$16=0,IF(CS5='Project Assumptions'!$D$15,-SUM('Detailed Project Costs'!$F$49:$F$50),0),0)</f>
        <v/>
      </c>
      <c r="CT72" s="273">
        <f>IF(CT5&gt;'Project Assumptions'!$D$15,IF(CT5&lt;='Project Assumptions'!$D$15+'Project Assumptions'!$D$16,-SUM('Detailed Project Costs'!$F$49:$F$50)/'Project Assumptions'!$D$16,0),0)+IF('Project Assumptions'!$D$16=0,IF(CT5='Project Assumptions'!$D$15,-SUM('Detailed Project Costs'!$F$49:$F$50),0),0)</f>
        <v/>
      </c>
      <c r="CU72" s="273">
        <f>IF(CU5&gt;'Project Assumptions'!$D$15,IF(CU5&lt;='Project Assumptions'!$D$15+'Project Assumptions'!$D$16,-SUM('Detailed Project Costs'!$F$49:$F$50)/'Project Assumptions'!$D$16,0),0)+IF('Project Assumptions'!$D$16=0,IF(CU5='Project Assumptions'!$D$15,-SUM('Detailed Project Costs'!$F$49:$F$50),0),0)</f>
        <v/>
      </c>
      <c r="CV72" s="273">
        <f>IF(CV5&gt;'Project Assumptions'!$D$15,IF(CV5&lt;='Project Assumptions'!$D$15+'Project Assumptions'!$D$16,-SUM('Detailed Project Costs'!$F$49:$F$50)/'Project Assumptions'!$D$16,0),0)+IF('Project Assumptions'!$D$16=0,IF(CV5='Project Assumptions'!$D$15,-SUM('Detailed Project Costs'!$F$49:$F$50),0),0)</f>
        <v/>
      </c>
      <c r="CW72" s="273">
        <f>IF(CW5&gt;'Project Assumptions'!$D$15,IF(CW5&lt;='Project Assumptions'!$D$15+'Project Assumptions'!$D$16,-SUM('Detailed Project Costs'!$F$49:$F$50)/'Project Assumptions'!$D$16,0),0)+IF('Project Assumptions'!$D$16=0,IF(CW5='Project Assumptions'!$D$15,-SUM('Detailed Project Costs'!$F$49:$F$50),0),0)</f>
        <v/>
      </c>
      <c r="CX72" s="273">
        <f>IF(CX5&gt;'Project Assumptions'!$D$15,IF(CX5&lt;='Project Assumptions'!$D$15+'Project Assumptions'!$D$16,-SUM('Detailed Project Costs'!$F$49:$F$50)/'Project Assumptions'!$D$16,0),0)+IF('Project Assumptions'!$D$16=0,IF(CX5='Project Assumptions'!$D$15,-SUM('Detailed Project Costs'!$F$49:$F$50),0),0)</f>
        <v/>
      </c>
      <c r="CY72" s="273">
        <f>IF(CY5&gt;'Project Assumptions'!$D$15,IF(CY5&lt;='Project Assumptions'!$D$15+'Project Assumptions'!$D$16,-SUM('Detailed Project Costs'!$F$49:$F$50)/'Project Assumptions'!$D$16,0),0)+IF('Project Assumptions'!$D$16=0,IF(CY5='Project Assumptions'!$D$15,-SUM('Detailed Project Costs'!$F$49:$F$50),0),0)</f>
        <v/>
      </c>
      <c r="CZ72" s="273">
        <f>IF(CZ5&gt;'Project Assumptions'!$D$15,IF(CZ5&lt;='Project Assumptions'!$D$15+'Project Assumptions'!$D$16,-SUM('Detailed Project Costs'!$F$49:$F$50)/'Project Assumptions'!$D$16,0),0)+IF('Project Assumptions'!$D$16=0,IF(CZ5='Project Assumptions'!$D$15,-SUM('Detailed Project Costs'!$F$49:$F$50),0),0)</f>
        <v/>
      </c>
      <c r="DA72" s="273">
        <f>IF(DA5&gt;'Project Assumptions'!$D$15,IF(DA5&lt;='Project Assumptions'!$D$15+'Project Assumptions'!$D$16,-SUM('Detailed Project Costs'!$F$49:$F$50)/'Project Assumptions'!$D$16,0),0)+IF('Project Assumptions'!$D$16=0,IF(DA5='Project Assumptions'!$D$15,-SUM('Detailed Project Costs'!$F$49:$F$50),0),0)</f>
        <v/>
      </c>
      <c r="DB72" s="273">
        <f>IF(DB5&gt;'Project Assumptions'!$D$15,IF(DB5&lt;='Project Assumptions'!$D$15+'Project Assumptions'!$D$16,-SUM('Detailed Project Costs'!$F$49:$F$50)/'Project Assumptions'!$D$16,0),0)+IF('Project Assumptions'!$D$16=0,IF(DB5='Project Assumptions'!$D$15,-SUM('Detailed Project Costs'!$F$49:$F$50),0),0)</f>
        <v/>
      </c>
      <c r="DC72" s="273" t="n"/>
      <c r="DD72" s="295">
        <f>SUM(F72:DB72)</f>
        <v/>
      </c>
    </row>
    <row r="73">
      <c r="A73" s="1000" t="n"/>
      <c r="B73" s="701" t="inlineStr">
        <is>
          <t xml:space="preserve">   Fees</t>
        </is>
      </c>
      <c r="C73" s="294" t="n"/>
      <c r="D73" s="295">
        <f>DD73</f>
        <v/>
      </c>
      <c r="E73" s="274" t="n"/>
      <c r="F73" s="273">
        <f>IF('Project Assumptions'!$D$16=0,IF(F$5='Project Assumptions'!$D$15,-SUM('Detailed Project Costs'!$F$51:$F$52),0),IF(F$5='Project Assumptions'!$D$15+1,-SUM('Detailed Project Costs'!$F$51:$F$52),0))</f>
        <v/>
      </c>
      <c r="G73" s="273">
        <f>IF('Project Assumptions'!$D$16=0,IF(G$5='Project Assumptions'!$D$15,-SUM('Detailed Project Costs'!$F$51:$F$52),0),IF(G$5='Project Assumptions'!$D$15+1,-SUM('Detailed Project Costs'!$F$51:$F$52),0))</f>
        <v/>
      </c>
      <c r="H73" s="273">
        <f>IF('Project Assumptions'!$D$16=0,IF(H$5='Project Assumptions'!$D$15,-SUM('Detailed Project Costs'!$F$51:$F$52),0),IF(H$5='Project Assumptions'!$D$15+1,-SUM('Detailed Project Costs'!$F$51:$F$52),0))</f>
        <v/>
      </c>
      <c r="I73" s="273">
        <f>IF('Project Assumptions'!$D$16=0,IF(I$5='Project Assumptions'!$D$15,-SUM('Detailed Project Costs'!$F$51:$F$52),0),IF(I$5='Project Assumptions'!$D$15+1,-SUM('Detailed Project Costs'!$F$51:$F$52),0))</f>
        <v/>
      </c>
      <c r="J73" s="273">
        <f>IF('Project Assumptions'!$D$16=0,IF(J$5='Project Assumptions'!$D$15,-SUM('Detailed Project Costs'!$F$51:$F$52),0),IF(J$5='Project Assumptions'!$D$15+1,-SUM('Detailed Project Costs'!$F$51:$F$52),0))</f>
        <v/>
      </c>
      <c r="K73" s="273">
        <f>IF('Project Assumptions'!$D$16=0,IF(K$5='Project Assumptions'!$D$15,-SUM('Detailed Project Costs'!$F$51:$F$52),0),IF(K$5='Project Assumptions'!$D$15+1,-SUM('Detailed Project Costs'!$F$51:$F$52),0))</f>
        <v/>
      </c>
      <c r="L73" s="273">
        <f>IF('Project Assumptions'!$D$16=0,IF(L$5='Project Assumptions'!$D$15,-SUM('Detailed Project Costs'!$F$51:$F$52),0),IF(L$5='Project Assumptions'!$D$15+1,-SUM('Detailed Project Costs'!$F$51:$F$52),0))</f>
        <v/>
      </c>
      <c r="M73" s="273">
        <f>IF('Project Assumptions'!$D$16=0,IF(M$5='Project Assumptions'!$D$15,-SUM('Detailed Project Costs'!$F$51:$F$52),0),IF(M$5='Project Assumptions'!$D$15+1,-SUM('Detailed Project Costs'!$F$51:$F$52),0))</f>
        <v/>
      </c>
      <c r="N73" s="273">
        <f>IF('Project Assumptions'!$D$16=0,IF(N$5='Project Assumptions'!$D$15,-SUM('Detailed Project Costs'!$F$51:$F$52),0),IF(N$5='Project Assumptions'!$D$15+1,-SUM('Detailed Project Costs'!$F$51:$F$52),0))</f>
        <v/>
      </c>
      <c r="O73" s="273">
        <f>IF('Project Assumptions'!$D$16=0,IF(O$5='Project Assumptions'!$D$15,-SUM('Detailed Project Costs'!$F$51:$F$52),0),IF(O$5='Project Assumptions'!$D$15+1,-SUM('Detailed Project Costs'!$F$51:$F$52),0))</f>
        <v/>
      </c>
      <c r="P73" s="273">
        <f>IF('Project Assumptions'!$D$16=0,IF(P$5='Project Assumptions'!$D$15,-SUM('Detailed Project Costs'!$F$51:$F$52),0),IF(P$5='Project Assumptions'!$D$15+1,-SUM('Detailed Project Costs'!$F$51:$F$52),0))</f>
        <v/>
      </c>
      <c r="Q73" s="273">
        <f>IF('Project Assumptions'!$D$16=0,IF(Q$5='Project Assumptions'!$D$15,-SUM('Detailed Project Costs'!$F$51:$F$52),0),IF(Q$5='Project Assumptions'!$D$15+1,-SUM('Detailed Project Costs'!$F$51:$F$52),0))</f>
        <v/>
      </c>
      <c r="R73" s="273">
        <f>IF('Project Assumptions'!$D$16=0,IF(R$5='Project Assumptions'!$D$15,-SUM('Detailed Project Costs'!$F$51:$F$52),0),IF(R$5='Project Assumptions'!$D$15+1,-SUM('Detailed Project Costs'!$F$51:$F$52),0))</f>
        <v/>
      </c>
      <c r="S73" s="273">
        <f>IF('Project Assumptions'!$D$16=0,IF(S$5='Project Assumptions'!$D$15,-SUM('Detailed Project Costs'!$F$51:$F$52),0),IF(S$5='Project Assumptions'!$D$15+1,-SUM('Detailed Project Costs'!$F$51:$F$52),0))</f>
        <v/>
      </c>
      <c r="T73" s="273">
        <f>IF('Project Assumptions'!$D$16=0,IF(T$5='Project Assumptions'!$D$15,-SUM('Detailed Project Costs'!$F$51:$F$52),0),IF(T$5='Project Assumptions'!$D$15+1,-SUM('Detailed Project Costs'!$F$51:$F$52),0))</f>
        <v/>
      </c>
      <c r="U73" s="273">
        <f>IF('Project Assumptions'!$D$16=0,IF(U$5='Project Assumptions'!$D$15,-SUM('Detailed Project Costs'!$F$51:$F$52),0),IF(U$5='Project Assumptions'!$D$15+1,-SUM('Detailed Project Costs'!$F$51:$F$52),0))</f>
        <v/>
      </c>
      <c r="V73" s="273">
        <f>IF('Project Assumptions'!$D$16=0,IF(V$5='Project Assumptions'!$D$15,-SUM('Detailed Project Costs'!$F$51:$F$52),0),IF(V$5='Project Assumptions'!$D$15+1,-SUM('Detailed Project Costs'!$F$51:$F$52),0))</f>
        <v/>
      </c>
      <c r="W73" s="273">
        <f>IF('Project Assumptions'!$D$16=0,IF(W$5='Project Assumptions'!$D$15,-SUM('Detailed Project Costs'!$F$51:$F$52),0),IF(W$5='Project Assumptions'!$D$15+1,-SUM('Detailed Project Costs'!$F$51:$F$52),0))</f>
        <v/>
      </c>
      <c r="X73" s="273">
        <f>IF('Project Assumptions'!$D$16=0,IF(X$5='Project Assumptions'!$D$15,-SUM('Detailed Project Costs'!$F$51:$F$52),0),IF(X$5='Project Assumptions'!$D$15+1,-SUM('Detailed Project Costs'!$F$51:$F$52),0))</f>
        <v/>
      </c>
      <c r="Y73" s="273">
        <f>IF('Project Assumptions'!$D$16=0,IF(Y$5='Project Assumptions'!$D$15,-SUM('Detailed Project Costs'!$F$51:$F$52),0),IF(Y$5='Project Assumptions'!$D$15+1,-SUM('Detailed Project Costs'!$F$51:$F$52),0))</f>
        <v/>
      </c>
      <c r="Z73" s="273">
        <f>IF('Project Assumptions'!$D$16=0,IF(Z$5='Project Assumptions'!$D$15,-SUM('Detailed Project Costs'!$F$51:$F$52),0),IF(Z$5='Project Assumptions'!$D$15+1,-SUM('Detailed Project Costs'!$F$51:$F$52),0))</f>
        <v/>
      </c>
      <c r="AA73" s="273">
        <f>IF('Project Assumptions'!$D$16=0,IF(AA$5='Project Assumptions'!$D$15,-SUM('Detailed Project Costs'!$F$51:$F$52),0),IF(AA$5='Project Assumptions'!$D$15+1,-SUM('Detailed Project Costs'!$F$51:$F$52),0))</f>
        <v/>
      </c>
      <c r="AB73" s="273">
        <f>IF('Project Assumptions'!$D$16=0,IF(AB$5='Project Assumptions'!$D$15,-SUM('Detailed Project Costs'!$F$51:$F$52),0),IF(AB$5='Project Assumptions'!$D$15+1,-SUM('Detailed Project Costs'!$F$51:$F$52),0))</f>
        <v/>
      </c>
      <c r="AC73" s="273">
        <f>IF('Project Assumptions'!$D$16=0,IF(AC$5='Project Assumptions'!$D$15,-SUM('Detailed Project Costs'!$F$51:$F$52),0),IF(AC$5='Project Assumptions'!$D$15+1,-SUM('Detailed Project Costs'!$F$51:$F$52),0))</f>
        <v/>
      </c>
      <c r="AD73" s="273">
        <f>IF('Project Assumptions'!$D$16=0,IF(AD$5='Project Assumptions'!$D$15,-SUM('Detailed Project Costs'!$F$51:$F$52),0),IF(AD$5='Project Assumptions'!$D$15+1,-SUM('Detailed Project Costs'!$F$51:$F$52),0))</f>
        <v/>
      </c>
      <c r="AE73" s="273">
        <f>IF('Project Assumptions'!$D$16=0,IF(AE$5='Project Assumptions'!$D$15,-SUM('Detailed Project Costs'!$F$51:$F$52),0),IF(AE$5='Project Assumptions'!$D$15+1,-SUM('Detailed Project Costs'!$F$51:$F$52),0))</f>
        <v/>
      </c>
      <c r="AF73" s="273">
        <f>IF('Project Assumptions'!$D$16=0,IF(AF$5='Project Assumptions'!$D$15,-SUM('Detailed Project Costs'!$F$51:$F$52),0),IF(AF$5='Project Assumptions'!$D$15+1,-SUM('Detailed Project Costs'!$F$51:$F$52),0))</f>
        <v/>
      </c>
      <c r="AG73" s="273">
        <f>IF('Project Assumptions'!$D$16=0,IF(AG$5='Project Assumptions'!$D$15,-SUM('Detailed Project Costs'!$F$51:$F$52),0),IF(AG$5='Project Assumptions'!$D$15+1,-SUM('Detailed Project Costs'!$F$51:$F$52),0))</f>
        <v/>
      </c>
      <c r="AH73" s="273">
        <f>IF('Project Assumptions'!$D$16=0,IF(AH$5='Project Assumptions'!$D$15,-SUM('Detailed Project Costs'!$F$51:$F$52),0),IF(AH$5='Project Assumptions'!$D$15+1,-SUM('Detailed Project Costs'!$F$51:$F$52),0))</f>
        <v/>
      </c>
      <c r="AI73" s="273">
        <f>IF('Project Assumptions'!$D$16=0,IF(AI$5='Project Assumptions'!$D$15,-SUM('Detailed Project Costs'!$F$51:$F$52),0),IF(AI$5='Project Assumptions'!$D$15+1,-SUM('Detailed Project Costs'!$F$51:$F$52),0))</f>
        <v/>
      </c>
      <c r="AJ73" s="273">
        <f>IF('Project Assumptions'!$D$16=0,IF(AJ$5='Project Assumptions'!$D$15,-SUM('Detailed Project Costs'!$F$51:$F$52),0),IF(AJ$5='Project Assumptions'!$D$15+1,-SUM('Detailed Project Costs'!$F$51:$F$52),0))</f>
        <v/>
      </c>
      <c r="AK73" s="273">
        <f>IF('Project Assumptions'!$D$16=0,IF(AK$5='Project Assumptions'!$D$15,-SUM('Detailed Project Costs'!$F$51:$F$52),0),IF(AK$5='Project Assumptions'!$D$15+1,-SUM('Detailed Project Costs'!$F$51:$F$52),0))</f>
        <v/>
      </c>
      <c r="AL73" s="273">
        <f>IF('Project Assumptions'!$D$16=0,IF(AL$5='Project Assumptions'!$D$15,-SUM('Detailed Project Costs'!$F$51:$F$52),0),IF(AL$5='Project Assumptions'!$D$15+1,-SUM('Detailed Project Costs'!$F$51:$F$52),0))</f>
        <v/>
      </c>
      <c r="AM73" s="273">
        <f>IF('Project Assumptions'!$D$16=0,IF(AM$5='Project Assumptions'!$D$15,-SUM('Detailed Project Costs'!$F$51:$F$52),0),IF(AM$5='Project Assumptions'!$D$15+1,-SUM('Detailed Project Costs'!$F$51:$F$52),0))</f>
        <v/>
      </c>
      <c r="AN73" s="273">
        <f>IF('Project Assumptions'!$D$16=0,IF(AN$5='Project Assumptions'!$D$15,-SUM('Detailed Project Costs'!$F$51:$F$52),0),IF(AN$5='Project Assumptions'!$D$15+1,-SUM('Detailed Project Costs'!$F$51:$F$52),0))</f>
        <v/>
      </c>
      <c r="AO73" s="273">
        <f>IF('Project Assumptions'!$D$16=0,IF(AO$5='Project Assumptions'!$D$15,-SUM('Detailed Project Costs'!$F$51:$F$52),0),IF(AO$5='Project Assumptions'!$D$15+1,-SUM('Detailed Project Costs'!$F$51:$F$52),0))</f>
        <v/>
      </c>
      <c r="AP73" s="273">
        <f>IF('Project Assumptions'!$D$16=0,IF(AP$5='Project Assumptions'!$D$15,-SUM('Detailed Project Costs'!$F$51:$F$52),0),IF(AP$5='Project Assumptions'!$D$15+1,-SUM('Detailed Project Costs'!$F$51:$F$52),0))</f>
        <v/>
      </c>
      <c r="AQ73" s="273">
        <f>IF('Project Assumptions'!$D$16=0,IF(AQ$5='Project Assumptions'!$D$15,-SUM('Detailed Project Costs'!$F$51:$F$52),0),IF(AQ$5='Project Assumptions'!$D$15+1,-SUM('Detailed Project Costs'!$F$51:$F$52),0))</f>
        <v/>
      </c>
      <c r="AR73" s="273">
        <f>IF('Project Assumptions'!$D$16=0,IF(AR$5='Project Assumptions'!$D$15,-SUM('Detailed Project Costs'!$F$51:$F$52),0),IF(AR$5='Project Assumptions'!$D$15+1,-SUM('Detailed Project Costs'!$F$51:$F$52),0))</f>
        <v/>
      </c>
      <c r="AS73" s="273">
        <f>IF('Project Assumptions'!$D$16=0,IF(AS$5='Project Assumptions'!$D$15,-SUM('Detailed Project Costs'!$F$51:$F$52),0),IF(AS$5='Project Assumptions'!$D$15+1,-SUM('Detailed Project Costs'!$F$51:$F$52),0))</f>
        <v/>
      </c>
      <c r="AT73" s="273">
        <f>IF('Project Assumptions'!$D$16=0,IF(AT$5='Project Assumptions'!$D$15,-SUM('Detailed Project Costs'!$F$51:$F$52),0),IF(AT$5='Project Assumptions'!$D$15+1,-SUM('Detailed Project Costs'!$F$51:$F$52),0))</f>
        <v/>
      </c>
      <c r="AU73" s="273">
        <f>IF('Project Assumptions'!$D$16=0,IF(AU$5='Project Assumptions'!$D$15,-SUM('Detailed Project Costs'!$F$51:$F$52),0),IF(AU$5='Project Assumptions'!$D$15+1,-SUM('Detailed Project Costs'!$F$51:$F$52),0))</f>
        <v/>
      </c>
      <c r="AV73" s="273">
        <f>IF('Project Assumptions'!$D$16=0,IF(AV$5='Project Assumptions'!$D$15,-SUM('Detailed Project Costs'!$F$51:$F$52),0),IF(AV$5='Project Assumptions'!$D$15+1,-SUM('Detailed Project Costs'!$F$51:$F$52),0))</f>
        <v/>
      </c>
      <c r="AW73" s="273">
        <f>IF('Project Assumptions'!$D$16=0,IF(AW$5='Project Assumptions'!$D$15,-SUM('Detailed Project Costs'!$F$51:$F$52),0),IF(AW$5='Project Assumptions'!$D$15+1,-SUM('Detailed Project Costs'!$F$51:$F$52),0))</f>
        <v/>
      </c>
      <c r="AX73" s="273">
        <f>IF('Project Assumptions'!$D$16=0,IF(AX$5='Project Assumptions'!$D$15,-SUM('Detailed Project Costs'!$F$51:$F$52),0),IF(AX$5='Project Assumptions'!$D$15+1,-SUM('Detailed Project Costs'!$F$51:$F$52),0))</f>
        <v/>
      </c>
      <c r="AY73" s="273">
        <f>IF('Project Assumptions'!$D$16=0,IF(AY$5='Project Assumptions'!$D$15,-SUM('Detailed Project Costs'!$F$51:$F$52),0),IF(AY$5='Project Assumptions'!$D$15+1,-SUM('Detailed Project Costs'!$F$51:$F$52),0))</f>
        <v/>
      </c>
      <c r="AZ73" s="273">
        <f>IF('Project Assumptions'!$D$16=0,IF(AZ$5='Project Assumptions'!$D$15,-SUM('Detailed Project Costs'!$F$51:$F$52),0),IF(AZ$5='Project Assumptions'!$D$15+1,-SUM('Detailed Project Costs'!$F$51:$F$52),0))</f>
        <v/>
      </c>
      <c r="BA73" s="273">
        <f>IF('Project Assumptions'!$D$16=0,IF(BA$5='Project Assumptions'!$D$15,-SUM('Detailed Project Costs'!$F$51:$F$52),0),IF(BA$5='Project Assumptions'!$D$15+1,-SUM('Detailed Project Costs'!$F$51:$F$52),0))</f>
        <v/>
      </c>
      <c r="BB73" s="273">
        <f>IF('Project Assumptions'!$D$16=0,IF(BB$5='Project Assumptions'!$D$15,-SUM('Detailed Project Costs'!$F$51:$F$52),0),IF(BB$5='Project Assumptions'!$D$15+1,-SUM('Detailed Project Costs'!$F$51:$F$52),0))</f>
        <v/>
      </c>
      <c r="BC73" s="273">
        <f>IF('Project Assumptions'!$D$16=0,IF(BC$5='Project Assumptions'!$D$15,-SUM('Detailed Project Costs'!$F$51:$F$52),0),IF(BC$5='Project Assumptions'!$D$15+1,-SUM('Detailed Project Costs'!$F$51:$F$52),0))</f>
        <v/>
      </c>
      <c r="BD73" s="273">
        <f>IF('Project Assumptions'!$D$16=0,IF(BD$5='Project Assumptions'!$D$15,-SUM('Detailed Project Costs'!$F$51:$F$52),0),IF(BD$5='Project Assumptions'!$D$15+1,-SUM('Detailed Project Costs'!$F$51:$F$52),0))</f>
        <v/>
      </c>
      <c r="BE73" s="273">
        <f>IF('Project Assumptions'!$D$16=0,IF(BE$5='Project Assumptions'!$D$15,-SUM('Detailed Project Costs'!$F$51:$F$52),0),IF(BE$5='Project Assumptions'!$D$15+1,-SUM('Detailed Project Costs'!$F$51:$F$52),0))</f>
        <v/>
      </c>
      <c r="BF73" s="273">
        <f>IF('Project Assumptions'!$D$16=0,IF(BF$5='Project Assumptions'!$D$15,-SUM('Detailed Project Costs'!$F$51:$F$52),0),IF(BF$5='Project Assumptions'!$D$15+1,-SUM('Detailed Project Costs'!$F$51:$F$52),0))</f>
        <v/>
      </c>
      <c r="BG73" s="273">
        <f>IF('Project Assumptions'!$D$16=0,IF(BG$5='Project Assumptions'!$D$15,-SUM('Detailed Project Costs'!$F$51:$F$52),0),IF(BG$5='Project Assumptions'!$D$15+1,-SUM('Detailed Project Costs'!$F$51:$F$52),0))</f>
        <v/>
      </c>
      <c r="BH73" s="273">
        <f>IF('Project Assumptions'!$D$16=0,IF(BH$5='Project Assumptions'!$D$15,-SUM('Detailed Project Costs'!$F$51:$F$52),0),IF(BH$5='Project Assumptions'!$D$15+1,-SUM('Detailed Project Costs'!$F$51:$F$52),0))</f>
        <v/>
      </c>
      <c r="BI73" s="273">
        <f>IF('Project Assumptions'!$D$16=0,IF(BI$5='Project Assumptions'!$D$15,-SUM('Detailed Project Costs'!$F$51:$F$52),0),IF(BI$5='Project Assumptions'!$D$15+1,-SUM('Detailed Project Costs'!$F$51:$F$52),0))</f>
        <v/>
      </c>
      <c r="BJ73" s="273">
        <f>IF('Project Assumptions'!$D$16=0,IF(BJ$5='Project Assumptions'!$D$15,-SUM('Detailed Project Costs'!$F$51:$F$52),0),IF(BJ$5='Project Assumptions'!$D$15+1,-SUM('Detailed Project Costs'!$F$51:$F$52),0))</f>
        <v/>
      </c>
      <c r="BK73" s="273">
        <f>IF('Project Assumptions'!$D$16=0,IF(BK$5='Project Assumptions'!$D$15,-SUM('Detailed Project Costs'!$F$51:$F$52),0),IF(BK$5='Project Assumptions'!$D$15+1,-SUM('Detailed Project Costs'!$F$51:$F$52),0))</f>
        <v/>
      </c>
      <c r="BL73" s="273">
        <f>IF('Project Assumptions'!$D$16=0,IF(BL$5='Project Assumptions'!$D$15,-SUM('Detailed Project Costs'!$F$51:$F$52),0),IF(BL$5='Project Assumptions'!$D$15+1,-SUM('Detailed Project Costs'!$F$51:$F$52),0))</f>
        <v/>
      </c>
      <c r="BM73" s="273">
        <f>IF('Project Assumptions'!$D$16=0,IF(BM$5='Project Assumptions'!$D$15,-SUM('Detailed Project Costs'!$F$51:$F$52),0),IF(BM$5='Project Assumptions'!$D$15+1,-SUM('Detailed Project Costs'!$F$51:$F$52),0))</f>
        <v/>
      </c>
      <c r="BN73" s="273">
        <f>IF('Project Assumptions'!$D$16=0,IF(BN$5='Project Assumptions'!$D$15,-SUM('Detailed Project Costs'!$F$51:$F$52),0),IF(BN$5='Project Assumptions'!$D$15+1,-SUM('Detailed Project Costs'!$F$51:$F$52),0))</f>
        <v/>
      </c>
      <c r="BO73" s="273">
        <f>IF('Project Assumptions'!$D$16=0,IF(BO$5='Project Assumptions'!$D$15,-SUM('Detailed Project Costs'!$F$51:$F$52),0),IF(BO$5='Project Assumptions'!$D$15+1,-SUM('Detailed Project Costs'!$F$51:$F$52),0))</f>
        <v/>
      </c>
      <c r="BP73" s="273">
        <f>IF('Project Assumptions'!$D$16=0,IF(BP$5='Project Assumptions'!$D$15,-SUM('Detailed Project Costs'!$F$51:$F$52),0),IF(BP$5='Project Assumptions'!$D$15+1,-SUM('Detailed Project Costs'!$F$51:$F$52),0))</f>
        <v/>
      </c>
      <c r="BQ73" s="273">
        <f>IF('Project Assumptions'!$D$16=0,IF(BQ$5='Project Assumptions'!$D$15,-SUM('Detailed Project Costs'!$F$51:$F$52),0),IF(BQ$5='Project Assumptions'!$D$15+1,-SUM('Detailed Project Costs'!$F$51:$F$52),0))</f>
        <v/>
      </c>
      <c r="BR73" s="273">
        <f>IF('Project Assumptions'!$D$16=0,IF(BR$5='Project Assumptions'!$D$15,-SUM('Detailed Project Costs'!$F$51:$F$52),0),IF(BR$5='Project Assumptions'!$D$15+1,-SUM('Detailed Project Costs'!$F$51:$F$52),0))</f>
        <v/>
      </c>
      <c r="BS73" s="273">
        <f>IF('Project Assumptions'!$D$16=0,IF(BS$5='Project Assumptions'!$D$15,-SUM('Detailed Project Costs'!$F$51:$F$52),0),IF(BS$5='Project Assumptions'!$D$15+1,-SUM('Detailed Project Costs'!$F$51:$F$52),0))</f>
        <v/>
      </c>
      <c r="BT73" s="273">
        <f>IF('Project Assumptions'!$D$16=0,IF(BT$5='Project Assumptions'!$D$15,-SUM('Detailed Project Costs'!$F$51:$F$52),0),IF(BT$5='Project Assumptions'!$D$15+1,-SUM('Detailed Project Costs'!$F$51:$F$52),0))</f>
        <v/>
      </c>
      <c r="BU73" s="273">
        <f>IF('Project Assumptions'!$D$16=0,IF(BU$5='Project Assumptions'!$D$15,-SUM('Detailed Project Costs'!$F$51:$F$52),0),IF(BU$5='Project Assumptions'!$D$15+1,-SUM('Detailed Project Costs'!$F$51:$F$52),0))</f>
        <v/>
      </c>
      <c r="BV73" s="273">
        <f>IF('Project Assumptions'!$D$16=0,IF(BV$5='Project Assumptions'!$D$15,-SUM('Detailed Project Costs'!$F$51:$F$52),0),IF(BV$5='Project Assumptions'!$D$15+1,-SUM('Detailed Project Costs'!$F$51:$F$52),0))</f>
        <v/>
      </c>
      <c r="BW73" s="273">
        <f>IF('Project Assumptions'!$D$16=0,IF(BW$5='Project Assumptions'!$D$15,-SUM('Detailed Project Costs'!$F$51:$F$52),0),IF(BW$5='Project Assumptions'!$D$15+1,-SUM('Detailed Project Costs'!$F$51:$F$52),0))</f>
        <v/>
      </c>
      <c r="BX73" s="273">
        <f>IF('Project Assumptions'!$D$16=0,IF(BX$5='Project Assumptions'!$D$15,-SUM('Detailed Project Costs'!$F$51:$F$52),0),IF(BX$5='Project Assumptions'!$D$15+1,-SUM('Detailed Project Costs'!$F$51:$F$52),0))</f>
        <v/>
      </c>
      <c r="BY73" s="273">
        <f>IF('Project Assumptions'!$D$16=0,IF(BY$5='Project Assumptions'!$D$15,-SUM('Detailed Project Costs'!$F$51:$F$52),0),IF(BY$5='Project Assumptions'!$D$15+1,-SUM('Detailed Project Costs'!$F$51:$F$52),0))</f>
        <v/>
      </c>
      <c r="BZ73" s="273">
        <f>IF('Project Assumptions'!$D$16=0,IF(BZ$5='Project Assumptions'!$D$15,-SUM('Detailed Project Costs'!$F$51:$F$52),0),IF(BZ$5='Project Assumptions'!$D$15+1,-SUM('Detailed Project Costs'!$F$51:$F$52),0))</f>
        <v/>
      </c>
      <c r="CA73" s="273">
        <f>IF('Project Assumptions'!$D$16=0,IF(CA$5='Project Assumptions'!$D$15,-SUM('Detailed Project Costs'!$F$51:$F$52),0),IF(CA$5='Project Assumptions'!$D$15+1,-SUM('Detailed Project Costs'!$F$51:$F$52),0))</f>
        <v/>
      </c>
      <c r="CB73" s="273">
        <f>IF('Project Assumptions'!$D$16=0,IF(CB$5='Project Assumptions'!$D$15,-SUM('Detailed Project Costs'!$F$51:$F$52),0),IF(CB$5='Project Assumptions'!$D$15+1,-SUM('Detailed Project Costs'!$F$51:$F$52),0))</f>
        <v/>
      </c>
      <c r="CC73" s="273">
        <f>IF('Project Assumptions'!$D$16=0,IF(CC$5='Project Assumptions'!$D$15,-SUM('Detailed Project Costs'!$F$51:$F$52),0),IF(CC$5='Project Assumptions'!$D$15+1,-SUM('Detailed Project Costs'!$F$51:$F$52),0))</f>
        <v/>
      </c>
      <c r="CD73" s="273">
        <f>IF('Project Assumptions'!$D$16=0,IF(CD$5='Project Assumptions'!$D$15,-SUM('Detailed Project Costs'!$F$51:$F$52),0),IF(CD$5='Project Assumptions'!$D$15+1,-SUM('Detailed Project Costs'!$F$51:$F$52),0))</f>
        <v/>
      </c>
      <c r="CE73" s="273">
        <f>IF('Project Assumptions'!$D$16=0,IF(CE$5='Project Assumptions'!$D$15,-SUM('Detailed Project Costs'!$F$51:$F$52),0),IF(CE$5='Project Assumptions'!$D$15+1,-SUM('Detailed Project Costs'!$F$51:$F$52),0))</f>
        <v/>
      </c>
      <c r="CF73" s="273">
        <f>IF('Project Assumptions'!$D$16=0,IF(CF$5='Project Assumptions'!$D$15,-SUM('Detailed Project Costs'!$F$51:$F$52),0),IF(CF$5='Project Assumptions'!$D$15+1,-SUM('Detailed Project Costs'!$F$51:$F$52),0))</f>
        <v/>
      </c>
      <c r="CG73" s="273">
        <f>IF('Project Assumptions'!$D$16=0,IF(CG$5='Project Assumptions'!$D$15,-SUM('Detailed Project Costs'!$F$51:$F$52),0),IF(CG$5='Project Assumptions'!$D$15+1,-SUM('Detailed Project Costs'!$F$51:$F$52),0))</f>
        <v/>
      </c>
      <c r="CH73" s="273">
        <f>IF('Project Assumptions'!$D$16=0,IF(CH$5='Project Assumptions'!$D$15,-SUM('Detailed Project Costs'!$F$51:$F$52),0),IF(CH$5='Project Assumptions'!$D$15+1,-SUM('Detailed Project Costs'!$F$51:$F$52),0))</f>
        <v/>
      </c>
      <c r="CI73" s="273">
        <f>IF('Project Assumptions'!$D$16=0,IF(CI$5='Project Assumptions'!$D$15,-SUM('Detailed Project Costs'!$F$51:$F$52),0),IF(CI$5='Project Assumptions'!$D$15+1,-SUM('Detailed Project Costs'!$F$51:$F$52),0))</f>
        <v/>
      </c>
      <c r="CJ73" s="273">
        <f>IF('Project Assumptions'!$D$16=0,IF(CJ$5='Project Assumptions'!$D$15,-SUM('Detailed Project Costs'!$F$51:$F$52),0),IF(CJ$5='Project Assumptions'!$D$15+1,-SUM('Detailed Project Costs'!$F$51:$F$52),0))</f>
        <v/>
      </c>
      <c r="CK73" s="273">
        <f>IF('Project Assumptions'!$D$16=0,IF(CK$5='Project Assumptions'!$D$15,-SUM('Detailed Project Costs'!$F$51:$F$52),0),IF(CK$5='Project Assumptions'!$D$15+1,-SUM('Detailed Project Costs'!$F$51:$F$52),0))</f>
        <v/>
      </c>
      <c r="CL73" s="273">
        <f>IF('Project Assumptions'!$D$16=0,IF(CL$5='Project Assumptions'!$D$15,-SUM('Detailed Project Costs'!$F$51:$F$52),0),IF(CL$5='Project Assumptions'!$D$15+1,-SUM('Detailed Project Costs'!$F$51:$F$52),0))</f>
        <v/>
      </c>
      <c r="CM73" s="273">
        <f>IF('Project Assumptions'!$D$16=0,IF(CM$5='Project Assumptions'!$D$15,-SUM('Detailed Project Costs'!$F$51:$F$52),0),IF(CM$5='Project Assumptions'!$D$15+1,-SUM('Detailed Project Costs'!$F$51:$F$52),0))</f>
        <v/>
      </c>
      <c r="CN73" s="273">
        <f>IF('Project Assumptions'!$D$16=0,IF(CN$5='Project Assumptions'!$D$15,-SUM('Detailed Project Costs'!$F$51:$F$52),0),IF(CN$5='Project Assumptions'!$D$15+1,-SUM('Detailed Project Costs'!$F$51:$F$52),0))</f>
        <v/>
      </c>
      <c r="CO73" s="273">
        <f>IF('Project Assumptions'!$D$16=0,IF(CO$5='Project Assumptions'!$D$15,-SUM('Detailed Project Costs'!$F$51:$F$52),0),IF(CO$5='Project Assumptions'!$D$15+1,-SUM('Detailed Project Costs'!$F$51:$F$52),0))</f>
        <v/>
      </c>
      <c r="CP73" s="273">
        <f>IF('Project Assumptions'!$D$16=0,IF(CP$5='Project Assumptions'!$D$15,-SUM('Detailed Project Costs'!$F$51:$F$52),0),IF(CP$5='Project Assumptions'!$D$15+1,-SUM('Detailed Project Costs'!$F$51:$F$52),0))</f>
        <v/>
      </c>
      <c r="CQ73" s="273">
        <f>IF('Project Assumptions'!$D$16=0,IF(CQ$5='Project Assumptions'!$D$15,-SUM('Detailed Project Costs'!$F$51:$F$52),0),IF(CQ$5='Project Assumptions'!$D$15+1,-SUM('Detailed Project Costs'!$F$51:$F$52),0))</f>
        <v/>
      </c>
      <c r="CR73" s="273">
        <f>IF('Project Assumptions'!$D$16=0,IF(CR$5='Project Assumptions'!$D$15,-SUM('Detailed Project Costs'!$F$51:$F$52),0),IF(CR$5='Project Assumptions'!$D$15+1,-SUM('Detailed Project Costs'!$F$51:$F$52),0))</f>
        <v/>
      </c>
      <c r="CS73" s="273">
        <f>IF('Project Assumptions'!$D$16=0,IF(CS$5='Project Assumptions'!$D$15,-SUM('Detailed Project Costs'!$F$51:$F$52),0),IF(CS$5='Project Assumptions'!$D$15+1,-SUM('Detailed Project Costs'!$F$51:$F$52),0))</f>
        <v/>
      </c>
      <c r="CT73" s="273">
        <f>IF('Project Assumptions'!$D$16=0,IF(CT$5='Project Assumptions'!$D$15,-SUM('Detailed Project Costs'!$F$51:$F$52),0),IF(CT$5='Project Assumptions'!$D$15+1,-SUM('Detailed Project Costs'!$F$51:$F$52),0))</f>
        <v/>
      </c>
      <c r="CU73" s="273">
        <f>IF('Project Assumptions'!$D$16=0,IF(CU$5='Project Assumptions'!$D$15,-SUM('Detailed Project Costs'!$F$51:$F$52),0),IF(CU$5='Project Assumptions'!$D$15+1,-SUM('Detailed Project Costs'!$F$51:$F$52),0))</f>
        <v/>
      </c>
      <c r="CV73" s="273">
        <f>IF('Project Assumptions'!$D$16=0,IF(CV$5='Project Assumptions'!$D$15,-SUM('Detailed Project Costs'!$F$51:$F$52),0),IF(CV$5='Project Assumptions'!$D$15+1,-SUM('Detailed Project Costs'!$F$51:$F$52),0))</f>
        <v/>
      </c>
      <c r="CW73" s="273">
        <f>IF('Project Assumptions'!$D$16=0,IF(CW$5='Project Assumptions'!$D$15,-SUM('Detailed Project Costs'!$F$51:$F$52),0),IF(CW$5='Project Assumptions'!$D$15+1,-SUM('Detailed Project Costs'!$F$51:$F$52),0))</f>
        <v/>
      </c>
      <c r="CX73" s="273">
        <f>IF('Project Assumptions'!$D$16=0,IF(CX$5='Project Assumptions'!$D$15,-SUM('Detailed Project Costs'!$F$51:$F$52),0),IF(CX$5='Project Assumptions'!$D$15+1,-SUM('Detailed Project Costs'!$F$51:$F$52),0))</f>
        <v/>
      </c>
      <c r="CY73" s="273">
        <f>IF('Project Assumptions'!$D$16=0,IF(CY$5='Project Assumptions'!$D$15,-SUM('Detailed Project Costs'!$F$51:$F$52),0),IF(CY$5='Project Assumptions'!$D$15+1,-SUM('Detailed Project Costs'!$F$51:$F$52),0))</f>
        <v/>
      </c>
      <c r="CZ73" s="273">
        <f>IF('Project Assumptions'!$D$16=0,IF(CZ$5='Project Assumptions'!$D$15,-SUM('Detailed Project Costs'!$F$51:$F$52),0),IF(CZ$5='Project Assumptions'!$D$15+1,-SUM('Detailed Project Costs'!$F$51:$F$52),0))</f>
        <v/>
      </c>
      <c r="DA73" s="273">
        <f>IF('Project Assumptions'!$D$16=0,IF(DA$5='Project Assumptions'!$D$15,-SUM('Detailed Project Costs'!$F$51:$F$52),0),IF(DA$5='Project Assumptions'!$D$15+1,-SUM('Detailed Project Costs'!$F$51:$F$52),0))</f>
        <v/>
      </c>
      <c r="DB73" s="273">
        <f>IF('Project Assumptions'!$D$16=0,IF(DB$5='Project Assumptions'!$D$15,-SUM('Detailed Project Costs'!$F$51:$F$52),0),IF(DB$5='Project Assumptions'!$D$15+1,-SUM('Detailed Project Costs'!$F$51:$F$52),0))</f>
        <v/>
      </c>
      <c r="DC73" s="273" t="n"/>
      <c r="DD73" s="295">
        <f>SUM(F73:DB73)</f>
        <v/>
      </c>
    </row>
    <row r="74">
      <c r="A74" s="1005" t="n"/>
      <c r="B74" s="296" t="inlineStr">
        <is>
          <t xml:space="preserve">   Bonds</t>
        </is>
      </c>
      <c r="C74" s="337" t="n"/>
      <c r="D74" s="297">
        <f>DD74</f>
        <v/>
      </c>
      <c r="E74" s="276" t="n"/>
      <c r="F74" s="890">
        <f>IF('Project Assumptions'!$D$16=0,IF(F$5='Project Assumptions'!$D$15,-SUM('Detailed Project Costs'!$F$53:$F$54),0),IF(F$5='Project Assumptions'!$D$15+1,-SUM('Detailed Project Costs'!$F$53:$F$54),0))</f>
        <v/>
      </c>
      <c r="G74" s="890">
        <f>IF('Project Assumptions'!$D$16=0,IF(G$5='Project Assumptions'!$D$15,-SUM('Detailed Project Costs'!$F$53:$F$54),0),IF(G$5='Project Assumptions'!$D$15+1,-SUM('Detailed Project Costs'!$F$53:$F$54),0))</f>
        <v/>
      </c>
      <c r="H74" s="890">
        <f>IF('Project Assumptions'!$D$16=0,IF(H$5='Project Assumptions'!$D$15,-SUM('Detailed Project Costs'!$F$53:$F$54),0),IF(H$5='Project Assumptions'!$D$15+1,-SUM('Detailed Project Costs'!$F$53:$F$54),0))</f>
        <v/>
      </c>
      <c r="I74" s="890">
        <f>IF('Project Assumptions'!$D$16=0,IF(I$5='Project Assumptions'!$D$15,-SUM('Detailed Project Costs'!$F$53:$F$54),0),IF(I$5='Project Assumptions'!$D$15+1,-SUM('Detailed Project Costs'!$F$53:$F$54),0))</f>
        <v/>
      </c>
      <c r="J74" s="890">
        <f>IF('Project Assumptions'!$D$16=0,IF(J$5='Project Assumptions'!$D$15,-SUM('Detailed Project Costs'!$F$53:$F$54),0),IF(J$5='Project Assumptions'!$D$15+1,-SUM('Detailed Project Costs'!$F$53:$F$54),0))</f>
        <v/>
      </c>
      <c r="K74" s="890">
        <f>IF('Project Assumptions'!$D$16=0,IF(K$5='Project Assumptions'!$D$15,-SUM('Detailed Project Costs'!$F$53:$F$54),0),IF(K$5='Project Assumptions'!$D$15+1,-SUM('Detailed Project Costs'!$F$53:$F$54),0))</f>
        <v/>
      </c>
      <c r="L74" s="890">
        <f>IF('Project Assumptions'!$D$16=0,IF(L$5='Project Assumptions'!$D$15,-SUM('Detailed Project Costs'!$F$53:$F$54),0),IF(L$5='Project Assumptions'!$D$15+1,-SUM('Detailed Project Costs'!$F$53:$F$54),0))</f>
        <v/>
      </c>
      <c r="M74" s="890">
        <f>IF('Project Assumptions'!$D$16=0,IF(M$5='Project Assumptions'!$D$15,-SUM('Detailed Project Costs'!$F$53:$F$54),0),IF(M$5='Project Assumptions'!$D$15+1,-SUM('Detailed Project Costs'!$F$53:$F$54),0))</f>
        <v/>
      </c>
      <c r="N74" s="890">
        <f>IF('Project Assumptions'!$D$16=0,IF(N$5='Project Assumptions'!$D$15,-SUM('Detailed Project Costs'!$F$53:$F$54),0),IF(N$5='Project Assumptions'!$D$15+1,-SUM('Detailed Project Costs'!$F$53:$F$54),0))</f>
        <v/>
      </c>
      <c r="O74" s="890">
        <f>IF('Project Assumptions'!$D$16=0,IF(O$5='Project Assumptions'!$D$15,-SUM('Detailed Project Costs'!$F$53:$F$54),0),IF(O$5='Project Assumptions'!$D$15+1,-SUM('Detailed Project Costs'!$F$53:$F$54),0))</f>
        <v/>
      </c>
      <c r="P74" s="890">
        <f>IF('Project Assumptions'!$D$16=0,IF(P$5='Project Assumptions'!$D$15,-SUM('Detailed Project Costs'!$F$53:$F$54),0),IF(P$5='Project Assumptions'!$D$15+1,-SUM('Detailed Project Costs'!$F$53:$F$54),0))</f>
        <v/>
      </c>
      <c r="Q74" s="890">
        <f>IF('Project Assumptions'!$D$16=0,IF(Q$5='Project Assumptions'!$D$15,-SUM('Detailed Project Costs'!$F$53:$F$54),0),IF(Q$5='Project Assumptions'!$D$15+1,-SUM('Detailed Project Costs'!$F$53:$F$54),0))</f>
        <v/>
      </c>
      <c r="R74" s="890">
        <f>IF('Project Assumptions'!$D$16=0,IF(R$5='Project Assumptions'!$D$15,-SUM('Detailed Project Costs'!$F$53:$F$54),0),IF(R$5='Project Assumptions'!$D$15+1,-SUM('Detailed Project Costs'!$F$53:$F$54),0))</f>
        <v/>
      </c>
      <c r="S74" s="890">
        <f>IF('Project Assumptions'!$D$16=0,IF(S$5='Project Assumptions'!$D$15,-SUM('Detailed Project Costs'!$F$53:$F$54),0),IF(S$5='Project Assumptions'!$D$15+1,-SUM('Detailed Project Costs'!$F$53:$F$54),0))</f>
        <v/>
      </c>
      <c r="T74" s="890">
        <f>IF('Project Assumptions'!$D$16=0,IF(T$5='Project Assumptions'!$D$15,-SUM('Detailed Project Costs'!$F$53:$F$54),0),IF(T$5='Project Assumptions'!$D$15+1,-SUM('Detailed Project Costs'!$F$53:$F$54),0))</f>
        <v/>
      </c>
      <c r="U74" s="890">
        <f>IF('Project Assumptions'!$D$16=0,IF(U$5='Project Assumptions'!$D$15,-SUM('Detailed Project Costs'!$F$53:$F$54),0),IF(U$5='Project Assumptions'!$D$15+1,-SUM('Detailed Project Costs'!$F$53:$F$54),0))</f>
        <v/>
      </c>
      <c r="V74" s="890">
        <f>IF('Project Assumptions'!$D$16=0,IF(V$5='Project Assumptions'!$D$15,-SUM('Detailed Project Costs'!$F$53:$F$54),0),IF(V$5='Project Assumptions'!$D$15+1,-SUM('Detailed Project Costs'!$F$53:$F$54),0))</f>
        <v/>
      </c>
      <c r="W74" s="890">
        <f>IF('Project Assumptions'!$D$16=0,IF(W$5='Project Assumptions'!$D$15,-SUM('Detailed Project Costs'!$F$53:$F$54),0),IF(W$5='Project Assumptions'!$D$15+1,-SUM('Detailed Project Costs'!$F$53:$F$54),0))</f>
        <v/>
      </c>
      <c r="X74" s="890">
        <f>IF('Project Assumptions'!$D$16=0,IF(X$5='Project Assumptions'!$D$15,-SUM('Detailed Project Costs'!$F$53:$F$54),0),IF(X$5='Project Assumptions'!$D$15+1,-SUM('Detailed Project Costs'!$F$53:$F$54),0))</f>
        <v/>
      </c>
      <c r="Y74" s="890">
        <f>IF('Project Assumptions'!$D$16=0,IF(Y$5='Project Assumptions'!$D$15,-SUM('Detailed Project Costs'!$F$53:$F$54),0),IF(Y$5='Project Assumptions'!$D$15+1,-SUM('Detailed Project Costs'!$F$53:$F$54),0))</f>
        <v/>
      </c>
      <c r="Z74" s="890">
        <f>IF('Project Assumptions'!$D$16=0,IF(Z$5='Project Assumptions'!$D$15,-SUM('Detailed Project Costs'!$F$53:$F$54),0),IF(Z$5='Project Assumptions'!$D$15+1,-SUM('Detailed Project Costs'!$F$53:$F$54),0))</f>
        <v/>
      </c>
      <c r="AA74" s="890">
        <f>IF('Project Assumptions'!$D$16=0,IF(AA$5='Project Assumptions'!$D$15,-SUM('Detailed Project Costs'!$F$53:$F$54),0),IF(AA$5='Project Assumptions'!$D$15+1,-SUM('Detailed Project Costs'!$F$53:$F$54),0))</f>
        <v/>
      </c>
      <c r="AB74" s="890">
        <f>IF('Project Assumptions'!$D$16=0,IF(AB$5='Project Assumptions'!$D$15,-SUM('Detailed Project Costs'!$F$53:$F$54),0),IF(AB$5='Project Assumptions'!$D$15+1,-SUM('Detailed Project Costs'!$F$53:$F$54),0))</f>
        <v/>
      </c>
      <c r="AC74" s="890">
        <f>IF('Project Assumptions'!$D$16=0,IF(AC$5='Project Assumptions'!$D$15,-SUM('Detailed Project Costs'!$F$53:$F$54),0),IF(AC$5='Project Assumptions'!$D$15+1,-SUM('Detailed Project Costs'!$F$53:$F$54),0))</f>
        <v/>
      </c>
      <c r="AD74" s="890">
        <f>IF('Project Assumptions'!$D$16=0,IF(AD$5='Project Assumptions'!$D$15,-SUM('Detailed Project Costs'!$F$53:$F$54),0),IF(AD$5='Project Assumptions'!$D$15+1,-SUM('Detailed Project Costs'!$F$53:$F$54),0))</f>
        <v/>
      </c>
      <c r="AE74" s="890">
        <f>IF('Project Assumptions'!$D$16=0,IF(AE$5='Project Assumptions'!$D$15,-SUM('Detailed Project Costs'!$F$53:$F$54),0),IF(AE$5='Project Assumptions'!$D$15+1,-SUM('Detailed Project Costs'!$F$53:$F$54),0))</f>
        <v/>
      </c>
      <c r="AF74" s="890">
        <f>IF('Project Assumptions'!$D$16=0,IF(AF$5='Project Assumptions'!$D$15,-SUM('Detailed Project Costs'!$F$53:$F$54),0),IF(AF$5='Project Assumptions'!$D$15+1,-SUM('Detailed Project Costs'!$F$53:$F$54),0))</f>
        <v/>
      </c>
      <c r="AG74" s="890">
        <f>IF('Project Assumptions'!$D$16=0,IF(AG$5='Project Assumptions'!$D$15,-SUM('Detailed Project Costs'!$F$53:$F$54),0),IF(AG$5='Project Assumptions'!$D$15+1,-SUM('Detailed Project Costs'!$F$53:$F$54),0))</f>
        <v/>
      </c>
      <c r="AH74" s="890">
        <f>IF('Project Assumptions'!$D$16=0,IF(AH$5='Project Assumptions'!$D$15,-SUM('Detailed Project Costs'!$F$53:$F$54),0),IF(AH$5='Project Assumptions'!$D$15+1,-SUM('Detailed Project Costs'!$F$53:$F$54),0))</f>
        <v/>
      </c>
      <c r="AI74" s="890">
        <f>IF('Project Assumptions'!$D$16=0,IF(AI$5='Project Assumptions'!$D$15,-SUM('Detailed Project Costs'!$F$53:$F$54),0),IF(AI$5='Project Assumptions'!$D$15+1,-SUM('Detailed Project Costs'!$F$53:$F$54),0))</f>
        <v/>
      </c>
      <c r="AJ74" s="890">
        <f>IF('Project Assumptions'!$D$16=0,IF(AJ$5='Project Assumptions'!$D$15,-SUM('Detailed Project Costs'!$F$53:$F$54),0),IF(AJ$5='Project Assumptions'!$D$15+1,-SUM('Detailed Project Costs'!$F$53:$F$54),0))</f>
        <v/>
      </c>
      <c r="AK74" s="890">
        <f>IF('Project Assumptions'!$D$16=0,IF(AK$5='Project Assumptions'!$D$15,-SUM('Detailed Project Costs'!$F$53:$F$54),0),IF(AK$5='Project Assumptions'!$D$15+1,-SUM('Detailed Project Costs'!$F$53:$F$54),0))</f>
        <v/>
      </c>
      <c r="AL74" s="890">
        <f>IF('Project Assumptions'!$D$16=0,IF(AL$5='Project Assumptions'!$D$15,-SUM('Detailed Project Costs'!$F$53:$F$54),0),IF(AL$5='Project Assumptions'!$D$15+1,-SUM('Detailed Project Costs'!$F$53:$F$54),0))</f>
        <v/>
      </c>
      <c r="AM74" s="890">
        <f>IF('Project Assumptions'!$D$16=0,IF(AM$5='Project Assumptions'!$D$15,-SUM('Detailed Project Costs'!$F$53:$F$54),0),IF(AM$5='Project Assumptions'!$D$15+1,-SUM('Detailed Project Costs'!$F$53:$F$54),0))</f>
        <v/>
      </c>
      <c r="AN74" s="890">
        <f>IF('Project Assumptions'!$D$16=0,IF(AN$5='Project Assumptions'!$D$15,-SUM('Detailed Project Costs'!$F$53:$F$54),0),IF(AN$5='Project Assumptions'!$D$15+1,-SUM('Detailed Project Costs'!$F$53:$F$54),0))</f>
        <v/>
      </c>
      <c r="AO74" s="890">
        <f>IF('Project Assumptions'!$D$16=0,IF(AO$5='Project Assumptions'!$D$15,-SUM('Detailed Project Costs'!$F$53:$F$54),0),IF(AO$5='Project Assumptions'!$D$15+1,-SUM('Detailed Project Costs'!$F$53:$F$54),0))</f>
        <v/>
      </c>
      <c r="AP74" s="890">
        <f>IF('Project Assumptions'!$D$16=0,IF(AP$5='Project Assumptions'!$D$15,-SUM('Detailed Project Costs'!$F$53:$F$54),0),IF(AP$5='Project Assumptions'!$D$15+1,-SUM('Detailed Project Costs'!$F$53:$F$54),0))</f>
        <v/>
      </c>
      <c r="AQ74" s="890">
        <f>IF('Project Assumptions'!$D$16=0,IF(AQ$5='Project Assumptions'!$D$15,-SUM('Detailed Project Costs'!$F$53:$F$54),0),IF(AQ$5='Project Assumptions'!$D$15+1,-SUM('Detailed Project Costs'!$F$53:$F$54),0))</f>
        <v/>
      </c>
      <c r="AR74" s="890">
        <f>IF('Project Assumptions'!$D$16=0,IF(AR$5='Project Assumptions'!$D$15,-SUM('Detailed Project Costs'!$F$53:$F$54),0),IF(AR$5='Project Assumptions'!$D$15+1,-SUM('Detailed Project Costs'!$F$53:$F$54),0))</f>
        <v/>
      </c>
      <c r="AS74" s="890">
        <f>IF('Project Assumptions'!$D$16=0,IF(AS$5='Project Assumptions'!$D$15,-SUM('Detailed Project Costs'!$F$53:$F$54),0),IF(AS$5='Project Assumptions'!$D$15+1,-SUM('Detailed Project Costs'!$F$53:$F$54),0))</f>
        <v/>
      </c>
      <c r="AT74" s="890">
        <f>IF('Project Assumptions'!$D$16=0,IF(AT$5='Project Assumptions'!$D$15,-SUM('Detailed Project Costs'!$F$53:$F$54),0),IF(AT$5='Project Assumptions'!$D$15+1,-SUM('Detailed Project Costs'!$F$53:$F$54),0))</f>
        <v/>
      </c>
      <c r="AU74" s="890">
        <f>IF('Project Assumptions'!$D$16=0,IF(AU$5='Project Assumptions'!$D$15,-SUM('Detailed Project Costs'!$F$53:$F$54),0),IF(AU$5='Project Assumptions'!$D$15+1,-SUM('Detailed Project Costs'!$F$53:$F$54),0))</f>
        <v/>
      </c>
      <c r="AV74" s="890">
        <f>IF('Project Assumptions'!$D$16=0,IF(AV$5='Project Assumptions'!$D$15,-SUM('Detailed Project Costs'!$F$53:$F$54),0),IF(AV$5='Project Assumptions'!$D$15+1,-SUM('Detailed Project Costs'!$F$53:$F$54),0))</f>
        <v/>
      </c>
      <c r="AW74" s="890">
        <f>IF('Project Assumptions'!$D$16=0,IF(AW$5='Project Assumptions'!$D$15,-SUM('Detailed Project Costs'!$F$53:$F$54),0),IF(AW$5='Project Assumptions'!$D$15+1,-SUM('Detailed Project Costs'!$F$53:$F$54),0))</f>
        <v/>
      </c>
      <c r="AX74" s="890">
        <f>IF('Project Assumptions'!$D$16=0,IF(AX$5='Project Assumptions'!$D$15,-SUM('Detailed Project Costs'!$F$53:$F$54),0),IF(AX$5='Project Assumptions'!$D$15+1,-SUM('Detailed Project Costs'!$F$53:$F$54),0))</f>
        <v/>
      </c>
      <c r="AY74" s="890">
        <f>IF('Project Assumptions'!$D$16=0,IF(AY$5='Project Assumptions'!$D$15,-SUM('Detailed Project Costs'!$F$53:$F$54),0),IF(AY$5='Project Assumptions'!$D$15+1,-SUM('Detailed Project Costs'!$F$53:$F$54),0))</f>
        <v/>
      </c>
      <c r="AZ74" s="890">
        <f>IF('Project Assumptions'!$D$16=0,IF(AZ$5='Project Assumptions'!$D$15,-SUM('Detailed Project Costs'!$F$53:$F$54),0),IF(AZ$5='Project Assumptions'!$D$15+1,-SUM('Detailed Project Costs'!$F$53:$F$54),0))</f>
        <v/>
      </c>
      <c r="BA74" s="890">
        <f>IF('Project Assumptions'!$D$16=0,IF(BA$5='Project Assumptions'!$D$15,-SUM('Detailed Project Costs'!$F$53:$F$54),0),IF(BA$5='Project Assumptions'!$D$15+1,-SUM('Detailed Project Costs'!$F$53:$F$54),0))</f>
        <v/>
      </c>
      <c r="BB74" s="890">
        <f>IF('Project Assumptions'!$D$16=0,IF(BB$5='Project Assumptions'!$D$15,-SUM('Detailed Project Costs'!$F$53:$F$54),0),IF(BB$5='Project Assumptions'!$D$15+1,-SUM('Detailed Project Costs'!$F$53:$F$54),0))</f>
        <v/>
      </c>
      <c r="BC74" s="890">
        <f>IF('Project Assumptions'!$D$16=0,IF(BC$5='Project Assumptions'!$D$15,-SUM('Detailed Project Costs'!$F$53:$F$54),0),IF(BC$5='Project Assumptions'!$D$15+1,-SUM('Detailed Project Costs'!$F$53:$F$54),0))</f>
        <v/>
      </c>
      <c r="BD74" s="890">
        <f>IF('Project Assumptions'!$D$16=0,IF(BD$5='Project Assumptions'!$D$15,-SUM('Detailed Project Costs'!$F$53:$F$54),0),IF(BD$5='Project Assumptions'!$D$15+1,-SUM('Detailed Project Costs'!$F$53:$F$54),0))</f>
        <v/>
      </c>
      <c r="BE74" s="890">
        <f>IF('Project Assumptions'!$D$16=0,IF(BE$5='Project Assumptions'!$D$15,-SUM('Detailed Project Costs'!$F$53:$F$54),0),IF(BE$5='Project Assumptions'!$D$15+1,-SUM('Detailed Project Costs'!$F$53:$F$54),0))</f>
        <v/>
      </c>
      <c r="BF74" s="890">
        <f>IF('Project Assumptions'!$D$16=0,IF(BF$5='Project Assumptions'!$D$15,-SUM('Detailed Project Costs'!$F$53:$F$54),0),IF(BF$5='Project Assumptions'!$D$15+1,-SUM('Detailed Project Costs'!$F$53:$F$54),0))</f>
        <v/>
      </c>
      <c r="BG74" s="890">
        <f>IF('Project Assumptions'!$D$16=0,IF(BG$5='Project Assumptions'!$D$15,-SUM('Detailed Project Costs'!$F$53:$F$54),0),IF(BG$5='Project Assumptions'!$D$15+1,-SUM('Detailed Project Costs'!$F$53:$F$54),0))</f>
        <v/>
      </c>
      <c r="BH74" s="890">
        <f>IF('Project Assumptions'!$D$16=0,IF(BH$5='Project Assumptions'!$D$15,-SUM('Detailed Project Costs'!$F$53:$F$54),0),IF(BH$5='Project Assumptions'!$D$15+1,-SUM('Detailed Project Costs'!$F$53:$F$54),0))</f>
        <v/>
      </c>
      <c r="BI74" s="890">
        <f>IF('Project Assumptions'!$D$16=0,IF(BI$5='Project Assumptions'!$D$15,-SUM('Detailed Project Costs'!$F$53:$F$54),0),IF(BI$5='Project Assumptions'!$D$15+1,-SUM('Detailed Project Costs'!$F$53:$F$54),0))</f>
        <v/>
      </c>
      <c r="BJ74" s="890">
        <f>IF('Project Assumptions'!$D$16=0,IF(BJ$5='Project Assumptions'!$D$15,-SUM('Detailed Project Costs'!$F$53:$F$54),0),IF(BJ$5='Project Assumptions'!$D$15+1,-SUM('Detailed Project Costs'!$F$53:$F$54),0))</f>
        <v/>
      </c>
      <c r="BK74" s="890">
        <f>IF('Project Assumptions'!$D$16=0,IF(BK$5='Project Assumptions'!$D$15,-SUM('Detailed Project Costs'!$F$53:$F$54),0),IF(BK$5='Project Assumptions'!$D$15+1,-SUM('Detailed Project Costs'!$F$53:$F$54),0))</f>
        <v/>
      </c>
      <c r="BL74" s="890">
        <f>IF('Project Assumptions'!$D$16=0,IF(BL$5='Project Assumptions'!$D$15,-SUM('Detailed Project Costs'!$F$53:$F$54),0),IF(BL$5='Project Assumptions'!$D$15+1,-SUM('Detailed Project Costs'!$F$53:$F$54),0))</f>
        <v/>
      </c>
      <c r="BM74" s="890">
        <f>IF('Project Assumptions'!$D$16=0,IF(BM$5='Project Assumptions'!$D$15,-SUM('Detailed Project Costs'!$F$53:$F$54),0),IF(BM$5='Project Assumptions'!$D$15+1,-SUM('Detailed Project Costs'!$F$53:$F$54),0))</f>
        <v/>
      </c>
      <c r="BN74" s="890">
        <f>IF('Project Assumptions'!$D$16=0,IF(BN$5='Project Assumptions'!$D$15,-SUM('Detailed Project Costs'!$F$53:$F$54),0),IF(BN$5='Project Assumptions'!$D$15+1,-SUM('Detailed Project Costs'!$F$53:$F$54),0))</f>
        <v/>
      </c>
      <c r="BO74" s="890">
        <f>IF('Project Assumptions'!$D$16=0,IF(BO$5='Project Assumptions'!$D$15,-SUM('Detailed Project Costs'!$F$53:$F$54),0),IF(BO$5='Project Assumptions'!$D$15+1,-SUM('Detailed Project Costs'!$F$53:$F$54),0))</f>
        <v/>
      </c>
      <c r="BP74" s="890">
        <f>IF('Project Assumptions'!$D$16=0,IF(BP$5='Project Assumptions'!$D$15,-SUM('Detailed Project Costs'!$F$53:$F$54),0),IF(BP$5='Project Assumptions'!$D$15+1,-SUM('Detailed Project Costs'!$F$53:$F$54),0))</f>
        <v/>
      </c>
      <c r="BQ74" s="890">
        <f>IF('Project Assumptions'!$D$16=0,IF(BQ$5='Project Assumptions'!$D$15,-SUM('Detailed Project Costs'!$F$53:$F$54),0),IF(BQ$5='Project Assumptions'!$D$15+1,-SUM('Detailed Project Costs'!$F$53:$F$54),0))</f>
        <v/>
      </c>
      <c r="BR74" s="890">
        <f>IF('Project Assumptions'!$D$16=0,IF(BR$5='Project Assumptions'!$D$15,-SUM('Detailed Project Costs'!$F$53:$F$54),0),IF(BR$5='Project Assumptions'!$D$15+1,-SUM('Detailed Project Costs'!$F$53:$F$54),0))</f>
        <v/>
      </c>
      <c r="BS74" s="890">
        <f>IF('Project Assumptions'!$D$16=0,IF(BS$5='Project Assumptions'!$D$15,-SUM('Detailed Project Costs'!$F$53:$F$54),0),IF(BS$5='Project Assumptions'!$D$15+1,-SUM('Detailed Project Costs'!$F$53:$F$54),0))</f>
        <v/>
      </c>
      <c r="BT74" s="890">
        <f>IF('Project Assumptions'!$D$16=0,IF(BT$5='Project Assumptions'!$D$15,-SUM('Detailed Project Costs'!$F$53:$F$54),0),IF(BT$5='Project Assumptions'!$D$15+1,-SUM('Detailed Project Costs'!$F$53:$F$54),0))</f>
        <v/>
      </c>
      <c r="BU74" s="890">
        <f>IF('Project Assumptions'!$D$16=0,IF(BU$5='Project Assumptions'!$D$15,-SUM('Detailed Project Costs'!$F$53:$F$54),0),IF(BU$5='Project Assumptions'!$D$15+1,-SUM('Detailed Project Costs'!$F$53:$F$54),0))</f>
        <v/>
      </c>
      <c r="BV74" s="890">
        <f>IF('Project Assumptions'!$D$16=0,IF(BV$5='Project Assumptions'!$D$15,-SUM('Detailed Project Costs'!$F$53:$F$54),0),IF(BV$5='Project Assumptions'!$D$15+1,-SUM('Detailed Project Costs'!$F$53:$F$54),0))</f>
        <v/>
      </c>
      <c r="BW74" s="890">
        <f>IF('Project Assumptions'!$D$16=0,IF(BW$5='Project Assumptions'!$D$15,-SUM('Detailed Project Costs'!$F$53:$F$54),0),IF(BW$5='Project Assumptions'!$D$15+1,-SUM('Detailed Project Costs'!$F$53:$F$54),0))</f>
        <v/>
      </c>
      <c r="BX74" s="890">
        <f>IF('Project Assumptions'!$D$16=0,IF(BX$5='Project Assumptions'!$D$15,-SUM('Detailed Project Costs'!$F$53:$F$54),0),IF(BX$5='Project Assumptions'!$D$15+1,-SUM('Detailed Project Costs'!$F$53:$F$54),0))</f>
        <v/>
      </c>
      <c r="BY74" s="890">
        <f>IF('Project Assumptions'!$D$16=0,IF(BY$5='Project Assumptions'!$D$15,-SUM('Detailed Project Costs'!$F$53:$F$54),0),IF(BY$5='Project Assumptions'!$D$15+1,-SUM('Detailed Project Costs'!$F$53:$F$54),0))</f>
        <v/>
      </c>
      <c r="BZ74" s="890">
        <f>IF('Project Assumptions'!$D$16=0,IF(BZ$5='Project Assumptions'!$D$15,-SUM('Detailed Project Costs'!$F$53:$F$54),0),IF(BZ$5='Project Assumptions'!$D$15+1,-SUM('Detailed Project Costs'!$F$53:$F$54),0))</f>
        <v/>
      </c>
      <c r="CA74" s="890">
        <f>IF('Project Assumptions'!$D$16=0,IF(CA$5='Project Assumptions'!$D$15,-SUM('Detailed Project Costs'!$F$53:$F$54),0),IF(CA$5='Project Assumptions'!$D$15+1,-SUM('Detailed Project Costs'!$F$53:$F$54),0))</f>
        <v/>
      </c>
      <c r="CB74" s="890">
        <f>IF('Project Assumptions'!$D$16=0,IF(CB$5='Project Assumptions'!$D$15,-SUM('Detailed Project Costs'!$F$53:$F$54),0),IF(CB$5='Project Assumptions'!$D$15+1,-SUM('Detailed Project Costs'!$F$53:$F$54),0))</f>
        <v/>
      </c>
      <c r="CC74" s="890">
        <f>IF('Project Assumptions'!$D$16=0,IF(CC$5='Project Assumptions'!$D$15,-SUM('Detailed Project Costs'!$F$53:$F$54),0),IF(CC$5='Project Assumptions'!$D$15+1,-SUM('Detailed Project Costs'!$F$53:$F$54),0))</f>
        <v/>
      </c>
      <c r="CD74" s="890">
        <f>IF('Project Assumptions'!$D$16=0,IF(CD$5='Project Assumptions'!$D$15,-SUM('Detailed Project Costs'!$F$53:$F$54),0),IF(CD$5='Project Assumptions'!$D$15+1,-SUM('Detailed Project Costs'!$F$53:$F$54),0))</f>
        <v/>
      </c>
      <c r="CE74" s="890">
        <f>IF('Project Assumptions'!$D$16=0,IF(CE$5='Project Assumptions'!$D$15,-SUM('Detailed Project Costs'!$F$53:$F$54),0),IF(CE$5='Project Assumptions'!$D$15+1,-SUM('Detailed Project Costs'!$F$53:$F$54),0))</f>
        <v/>
      </c>
      <c r="CF74" s="890">
        <f>IF('Project Assumptions'!$D$16=0,IF(CF$5='Project Assumptions'!$D$15,-SUM('Detailed Project Costs'!$F$53:$F$54),0),IF(CF$5='Project Assumptions'!$D$15+1,-SUM('Detailed Project Costs'!$F$53:$F$54),0))</f>
        <v/>
      </c>
      <c r="CG74" s="890">
        <f>IF('Project Assumptions'!$D$16=0,IF(CG$5='Project Assumptions'!$D$15,-SUM('Detailed Project Costs'!$F$53:$F$54),0),IF(CG$5='Project Assumptions'!$D$15+1,-SUM('Detailed Project Costs'!$F$53:$F$54),0))</f>
        <v/>
      </c>
      <c r="CH74" s="890">
        <f>IF('Project Assumptions'!$D$16=0,IF(CH$5='Project Assumptions'!$D$15,-SUM('Detailed Project Costs'!$F$53:$F$54),0),IF(CH$5='Project Assumptions'!$D$15+1,-SUM('Detailed Project Costs'!$F$53:$F$54),0))</f>
        <v/>
      </c>
      <c r="CI74" s="890">
        <f>IF('Project Assumptions'!$D$16=0,IF(CI$5='Project Assumptions'!$D$15,-SUM('Detailed Project Costs'!$F$53:$F$54),0),IF(CI$5='Project Assumptions'!$D$15+1,-SUM('Detailed Project Costs'!$F$53:$F$54),0))</f>
        <v/>
      </c>
      <c r="CJ74" s="890">
        <f>IF('Project Assumptions'!$D$16=0,IF(CJ$5='Project Assumptions'!$D$15,-SUM('Detailed Project Costs'!$F$53:$F$54),0),IF(CJ$5='Project Assumptions'!$D$15+1,-SUM('Detailed Project Costs'!$F$53:$F$54),0))</f>
        <v/>
      </c>
      <c r="CK74" s="890">
        <f>IF('Project Assumptions'!$D$16=0,IF(CK$5='Project Assumptions'!$D$15,-SUM('Detailed Project Costs'!$F$53:$F$54),0),IF(CK$5='Project Assumptions'!$D$15+1,-SUM('Detailed Project Costs'!$F$53:$F$54),0))</f>
        <v/>
      </c>
      <c r="CL74" s="890">
        <f>IF('Project Assumptions'!$D$16=0,IF(CL$5='Project Assumptions'!$D$15,-SUM('Detailed Project Costs'!$F$53:$F$54),0),IF(CL$5='Project Assumptions'!$D$15+1,-SUM('Detailed Project Costs'!$F$53:$F$54),0))</f>
        <v/>
      </c>
      <c r="CM74" s="890">
        <f>IF('Project Assumptions'!$D$16=0,IF(CM$5='Project Assumptions'!$D$15,-SUM('Detailed Project Costs'!$F$53:$F$54),0),IF(CM$5='Project Assumptions'!$D$15+1,-SUM('Detailed Project Costs'!$F$53:$F$54),0))</f>
        <v/>
      </c>
      <c r="CN74" s="890">
        <f>IF('Project Assumptions'!$D$16=0,IF(CN$5='Project Assumptions'!$D$15,-SUM('Detailed Project Costs'!$F$53:$F$54),0),IF(CN$5='Project Assumptions'!$D$15+1,-SUM('Detailed Project Costs'!$F$53:$F$54),0))</f>
        <v/>
      </c>
      <c r="CO74" s="890">
        <f>IF('Project Assumptions'!$D$16=0,IF(CO$5='Project Assumptions'!$D$15,-SUM('Detailed Project Costs'!$F$53:$F$54),0),IF(CO$5='Project Assumptions'!$D$15+1,-SUM('Detailed Project Costs'!$F$53:$F$54),0))</f>
        <v/>
      </c>
      <c r="CP74" s="890">
        <f>IF('Project Assumptions'!$D$16=0,IF(CP$5='Project Assumptions'!$D$15,-SUM('Detailed Project Costs'!$F$53:$F$54),0),IF(CP$5='Project Assumptions'!$D$15+1,-SUM('Detailed Project Costs'!$F$53:$F$54),0))</f>
        <v/>
      </c>
      <c r="CQ74" s="890">
        <f>IF('Project Assumptions'!$D$16=0,IF(CQ$5='Project Assumptions'!$D$15,-SUM('Detailed Project Costs'!$F$53:$F$54),0),IF(CQ$5='Project Assumptions'!$D$15+1,-SUM('Detailed Project Costs'!$F$53:$F$54),0))</f>
        <v/>
      </c>
      <c r="CR74" s="890">
        <f>IF('Project Assumptions'!$D$16=0,IF(CR$5='Project Assumptions'!$D$15,-SUM('Detailed Project Costs'!$F$53:$F$54),0),IF(CR$5='Project Assumptions'!$D$15+1,-SUM('Detailed Project Costs'!$F$53:$F$54),0))</f>
        <v/>
      </c>
      <c r="CS74" s="890">
        <f>IF('Project Assumptions'!$D$16=0,IF(CS$5='Project Assumptions'!$D$15,-SUM('Detailed Project Costs'!$F$53:$F$54),0),IF(CS$5='Project Assumptions'!$D$15+1,-SUM('Detailed Project Costs'!$F$53:$F$54),0))</f>
        <v/>
      </c>
      <c r="CT74" s="890">
        <f>IF('Project Assumptions'!$D$16=0,IF(CT$5='Project Assumptions'!$D$15,-SUM('Detailed Project Costs'!$F$53:$F$54),0),IF(CT$5='Project Assumptions'!$D$15+1,-SUM('Detailed Project Costs'!$F$53:$F$54),0))</f>
        <v/>
      </c>
      <c r="CU74" s="890">
        <f>IF('Project Assumptions'!$D$16=0,IF(CU$5='Project Assumptions'!$D$15,-SUM('Detailed Project Costs'!$F$53:$F$54),0),IF(CU$5='Project Assumptions'!$D$15+1,-SUM('Detailed Project Costs'!$F$53:$F$54),0))</f>
        <v/>
      </c>
      <c r="CV74" s="890">
        <f>IF('Project Assumptions'!$D$16=0,IF(CV$5='Project Assumptions'!$D$15,-SUM('Detailed Project Costs'!$F$53:$F$54),0),IF(CV$5='Project Assumptions'!$D$15+1,-SUM('Detailed Project Costs'!$F$53:$F$54),0))</f>
        <v/>
      </c>
      <c r="CW74" s="890">
        <f>IF('Project Assumptions'!$D$16=0,IF(CW$5='Project Assumptions'!$D$15,-SUM('Detailed Project Costs'!$F$53:$F$54),0),IF(CW$5='Project Assumptions'!$D$15+1,-SUM('Detailed Project Costs'!$F$53:$F$54),0))</f>
        <v/>
      </c>
      <c r="CX74" s="890">
        <f>IF('Project Assumptions'!$D$16=0,IF(CX$5='Project Assumptions'!$D$15,-SUM('Detailed Project Costs'!$F$53:$F$54),0),IF(CX$5='Project Assumptions'!$D$15+1,-SUM('Detailed Project Costs'!$F$53:$F$54),0))</f>
        <v/>
      </c>
      <c r="CY74" s="890">
        <f>IF('Project Assumptions'!$D$16=0,IF(CY$5='Project Assumptions'!$D$15,-SUM('Detailed Project Costs'!$F$53:$F$54),0),IF(CY$5='Project Assumptions'!$D$15+1,-SUM('Detailed Project Costs'!$F$53:$F$54),0))</f>
        <v/>
      </c>
      <c r="CZ74" s="890">
        <f>IF('Project Assumptions'!$D$16=0,IF(CZ$5='Project Assumptions'!$D$15,-SUM('Detailed Project Costs'!$F$53:$F$54),0),IF(CZ$5='Project Assumptions'!$D$15+1,-SUM('Detailed Project Costs'!$F$53:$F$54),0))</f>
        <v/>
      </c>
      <c r="DA74" s="890">
        <f>IF('Project Assumptions'!$D$16=0,IF(DA$5='Project Assumptions'!$D$15,-SUM('Detailed Project Costs'!$F$53:$F$54),0),IF(DA$5='Project Assumptions'!$D$15+1,-SUM('Detailed Project Costs'!$F$53:$F$54),0))</f>
        <v/>
      </c>
      <c r="DB74" s="890">
        <f>IF('Project Assumptions'!$D$16=0,IF(DB$5='Project Assumptions'!$D$15,-SUM('Detailed Project Costs'!$F$53:$F$54),0),IF(DB$5='Project Assumptions'!$D$15+1,-SUM('Detailed Project Costs'!$F$53:$F$54),0))</f>
        <v/>
      </c>
      <c r="DC74" s="890" t="n"/>
      <c r="DD74" s="297">
        <f>SUM(F74:DB74)</f>
        <v/>
      </c>
    </row>
    <row r="75">
      <c r="A75" s="699" t="inlineStr">
        <is>
          <t>Leasing Commissions</t>
        </is>
      </c>
      <c r="B75" s="791" t="inlineStr">
        <is>
          <t xml:space="preserve">   Third Party Commissions</t>
        </is>
      </c>
      <c r="C75" s="700" t="n"/>
      <c r="D75" s="292">
        <f>DD75</f>
        <v/>
      </c>
      <c r="E75" s="641" t="n"/>
      <c r="F75" s="293">
        <f>SUM(F76:F86)</f>
        <v/>
      </c>
      <c r="G75" s="293">
        <f>SUM(G76:G86)</f>
        <v/>
      </c>
      <c r="H75" s="293">
        <f>SUM(H76:H86)</f>
        <v/>
      </c>
      <c r="I75" s="293">
        <f>SUM(I76:I86)</f>
        <v/>
      </c>
      <c r="J75" s="293">
        <f>SUM(J76:J86)</f>
        <v/>
      </c>
      <c r="K75" s="293">
        <f>SUM(K76:K86)</f>
        <v/>
      </c>
      <c r="L75" s="293">
        <f>SUM(L76:L86)</f>
        <v/>
      </c>
      <c r="M75" s="293">
        <f>SUM(M76:M86)</f>
        <v/>
      </c>
      <c r="N75" s="293">
        <f>SUM(N76:N86)</f>
        <v/>
      </c>
      <c r="O75" s="293">
        <f>SUM(O76:O86)</f>
        <v/>
      </c>
      <c r="P75" s="293">
        <f>SUM(P76:P86)</f>
        <v/>
      </c>
      <c r="Q75" s="293">
        <f>SUM(Q76:Q86)</f>
        <v/>
      </c>
      <c r="R75" s="293">
        <f>SUM(R76:R86)</f>
        <v/>
      </c>
      <c r="S75" s="293">
        <f>SUM(S76:S86)</f>
        <v/>
      </c>
      <c r="T75" s="293">
        <f>SUM(T76:T86)</f>
        <v/>
      </c>
      <c r="U75" s="293">
        <f>SUM(U76:U86)</f>
        <v/>
      </c>
      <c r="V75" s="293">
        <f>SUM(V76:V86)</f>
        <v/>
      </c>
      <c r="W75" s="293">
        <f>SUM(W76:W86)</f>
        <v/>
      </c>
      <c r="X75" s="293">
        <f>SUM(X76:X86)</f>
        <v/>
      </c>
      <c r="Y75" s="293">
        <f>SUM(Y76:Y86)</f>
        <v/>
      </c>
      <c r="Z75" s="293">
        <f>SUM(Z76:Z86)</f>
        <v/>
      </c>
      <c r="AA75" s="293">
        <f>SUM(AA76:AA86)</f>
        <v/>
      </c>
      <c r="AB75" s="293">
        <f>SUM(AB76:AB86)</f>
        <v/>
      </c>
      <c r="AC75" s="293">
        <f>SUM(AC76:AC86)</f>
        <v/>
      </c>
      <c r="AD75" s="293">
        <f>SUM(AD76:AD86)</f>
        <v/>
      </c>
      <c r="AE75" s="293">
        <f>SUM(AE76:AE86)</f>
        <v/>
      </c>
      <c r="AF75" s="293">
        <f>SUM(AF76:AF86)</f>
        <v/>
      </c>
      <c r="AG75" s="293">
        <f>SUM(AG76:AG86)</f>
        <v/>
      </c>
      <c r="AH75" s="293">
        <f>SUM(AH76:AH86)</f>
        <v/>
      </c>
      <c r="AI75" s="293">
        <f>SUM(AI76:AI86)</f>
        <v/>
      </c>
      <c r="AJ75" s="293">
        <f>SUM(AJ76:AJ86)</f>
        <v/>
      </c>
      <c r="AK75" s="293">
        <f>SUM(AK76:AK86)</f>
        <v/>
      </c>
      <c r="AL75" s="293">
        <f>SUM(AL76:AL86)</f>
        <v/>
      </c>
      <c r="AM75" s="293">
        <f>SUM(AM76:AM86)</f>
        <v/>
      </c>
      <c r="AN75" s="293">
        <f>SUM(AN76:AN86)</f>
        <v/>
      </c>
      <c r="AO75" s="293">
        <f>SUM(AO76:AO86)</f>
        <v/>
      </c>
      <c r="AP75" s="293">
        <f>SUM(AP76:AP86)</f>
        <v/>
      </c>
      <c r="AQ75" s="293">
        <f>SUM(AQ76:AQ86)</f>
        <v/>
      </c>
      <c r="AR75" s="293">
        <f>SUM(AR76:AR86)</f>
        <v/>
      </c>
      <c r="AS75" s="293">
        <f>SUM(AS76:AS86)</f>
        <v/>
      </c>
      <c r="AT75" s="293">
        <f>SUM(AT76:AT86)</f>
        <v/>
      </c>
      <c r="AU75" s="293">
        <f>SUM(AU76:AU86)</f>
        <v/>
      </c>
      <c r="AV75" s="293">
        <f>SUM(AV76:AV86)</f>
        <v/>
      </c>
      <c r="AW75" s="293">
        <f>SUM(AW76:AW86)</f>
        <v/>
      </c>
      <c r="AX75" s="293">
        <f>SUM(AX76:AX86)</f>
        <v/>
      </c>
      <c r="AY75" s="293">
        <f>SUM(AY76:AY86)</f>
        <v/>
      </c>
      <c r="AZ75" s="293">
        <f>SUM(AZ76:AZ86)</f>
        <v/>
      </c>
      <c r="BA75" s="293">
        <f>SUM(BA76:BA86)</f>
        <v/>
      </c>
      <c r="BB75" s="293">
        <f>SUM(BB76:BB86)</f>
        <v/>
      </c>
      <c r="BC75" s="293">
        <f>SUM(BC76:BC86)</f>
        <v/>
      </c>
      <c r="BD75" s="293">
        <f>SUM(BD76:BD86)</f>
        <v/>
      </c>
      <c r="BE75" s="293">
        <f>SUM(BE76:BE86)</f>
        <v/>
      </c>
      <c r="BF75" s="293">
        <f>SUM(BF76:BF86)</f>
        <v/>
      </c>
      <c r="BG75" s="293">
        <f>SUM(BG76:BG86)</f>
        <v/>
      </c>
      <c r="BH75" s="293">
        <f>SUM(BH76:BH86)</f>
        <v/>
      </c>
      <c r="BI75" s="293">
        <f>SUM(BI76:BI86)</f>
        <v/>
      </c>
      <c r="BJ75" s="293">
        <f>SUM(BJ76:BJ86)</f>
        <v/>
      </c>
      <c r="BK75" s="293">
        <f>SUM(BK76:BK86)</f>
        <v/>
      </c>
      <c r="BL75" s="293">
        <f>SUM(BL76:BL86)</f>
        <v/>
      </c>
      <c r="BM75" s="293">
        <f>SUM(BM76:BM86)</f>
        <v/>
      </c>
      <c r="BN75" s="293">
        <f>SUM(BN76:BN86)</f>
        <v/>
      </c>
      <c r="BO75" s="293">
        <f>SUM(BO76:BO86)</f>
        <v/>
      </c>
      <c r="BP75" s="293">
        <f>SUM(BP76:BP86)</f>
        <v/>
      </c>
      <c r="BQ75" s="293">
        <f>SUM(BQ76:BQ86)</f>
        <v/>
      </c>
      <c r="BR75" s="293">
        <f>SUM(BR76:BR86)</f>
        <v/>
      </c>
      <c r="BS75" s="293">
        <f>SUM(BS76:BS86)</f>
        <v/>
      </c>
      <c r="BT75" s="293">
        <f>SUM(BT76:BT86)</f>
        <v/>
      </c>
      <c r="BU75" s="293">
        <f>SUM(BU76:BU86)</f>
        <v/>
      </c>
      <c r="BV75" s="293">
        <f>SUM(BV76:BV86)</f>
        <v/>
      </c>
      <c r="BW75" s="293">
        <f>SUM(BW76:BW86)</f>
        <v/>
      </c>
      <c r="BX75" s="293">
        <f>SUM(BX76:BX86)</f>
        <v/>
      </c>
      <c r="BY75" s="293">
        <f>SUM(BY76:BY86)</f>
        <v/>
      </c>
      <c r="BZ75" s="293">
        <f>SUM(BZ76:BZ86)</f>
        <v/>
      </c>
      <c r="CA75" s="293">
        <f>SUM(CA76:CA86)</f>
        <v/>
      </c>
      <c r="CB75" s="293">
        <f>SUM(CB76:CB86)</f>
        <v/>
      </c>
      <c r="CC75" s="293">
        <f>SUM(CC76:CC86)</f>
        <v/>
      </c>
      <c r="CD75" s="293">
        <f>SUM(CD76:CD86)</f>
        <v/>
      </c>
      <c r="CE75" s="293">
        <f>SUM(CE76:CE86)</f>
        <v/>
      </c>
      <c r="CF75" s="293">
        <f>SUM(CF76:CF86)</f>
        <v/>
      </c>
      <c r="CG75" s="293">
        <f>SUM(CG76:CG86)</f>
        <v/>
      </c>
      <c r="CH75" s="293">
        <f>SUM(CH76:CH86)</f>
        <v/>
      </c>
      <c r="CI75" s="293">
        <f>SUM(CI76:CI86)</f>
        <v/>
      </c>
      <c r="CJ75" s="293">
        <f>SUM(CJ76:CJ86)</f>
        <v/>
      </c>
      <c r="CK75" s="293">
        <f>SUM(CK76:CK86)</f>
        <v/>
      </c>
      <c r="CL75" s="293">
        <f>SUM(CL76:CL86)</f>
        <v/>
      </c>
      <c r="CM75" s="293">
        <f>SUM(CM76:CM86)</f>
        <v/>
      </c>
      <c r="CN75" s="293">
        <f>SUM(CN76:CN86)</f>
        <v/>
      </c>
      <c r="CO75" s="293">
        <f>SUM(CO76:CO86)</f>
        <v/>
      </c>
      <c r="CP75" s="293">
        <f>SUM(CP76:CP86)</f>
        <v/>
      </c>
      <c r="CQ75" s="293">
        <f>SUM(CQ76:CQ86)</f>
        <v/>
      </c>
      <c r="CR75" s="293">
        <f>SUM(CR76:CR86)</f>
        <v/>
      </c>
      <c r="CS75" s="293">
        <f>SUM(CS76:CS86)</f>
        <v/>
      </c>
      <c r="CT75" s="293">
        <f>SUM(CT76:CT86)</f>
        <v/>
      </c>
      <c r="CU75" s="293">
        <f>SUM(CU76:CU86)</f>
        <v/>
      </c>
      <c r="CV75" s="293">
        <f>SUM(CV76:CV86)</f>
        <v/>
      </c>
      <c r="CW75" s="293">
        <f>SUM(CW76:CW86)</f>
        <v/>
      </c>
      <c r="CX75" s="293">
        <f>SUM(CX76:CX86)</f>
        <v/>
      </c>
      <c r="CY75" s="293">
        <f>SUM(CY76:CY86)</f>
        <v/>
      </c>
      <c r="CZ75" s="293">
        <f>SUM(CZ76:CZ86)</f>
        <v/>
      </c>
      <c r="DA75" s="293">
        <f>SUM(DA76:DA86)</f>
        <v/>
      </c>
      <c r="DB75" s="293">
        <f>SUM(DB76:DB86)</f>
        <v/>
      </c>
      <c r="DC75" s="293">
        <f>SUM(DC76:DC86)</f>
        <v/>
      </c>
      <c r="DD75" s="292">
        <f>SUM(F75:DB75)</f>
        <v/>
      </c>
    </row>
    <row r="76" hidden="1" outlineLevel="1">
      <c r="A76" s="1000" t="n"/>
      <c r="B76" s="640">
        <f>'Economic Assumptions'!$A$10</f>
        <v/>
      </c>
      <c r="C76" s="294" t="n"/>
      <c r="D76" s="299">
        <f>DD76</f>
        <v/>
      </c>
      <c r="E76" s="300" t="n"/>
      <c r="F76" s="301">
        <f>IF('Economic Assumptions'!$B10+'Project Assumptions'!$D$15+'Project Assumptions'!$D$16-1='Detailed Cashflows'!F$5,-'Economic Assumptions'!$I10,0)</f>
        <v/>
      </c>
      <c r="G76" s="301">
        <f>IF('Economic Assumptions'!$B10+'Project Assumptions'!$D$15+'Project Assumptions'!$D$16-1='Detailed Cashflows'!G$5,-'Economic Assumptions'!$I10,0)</f>
        <v/>
      </c>
      <c r="H76" s="301">
        <f>IF('Economic Assumptions'!$B10+'Project Assumptions'!$D$15+'Project Assumptions'!$D$16-1='Detailed Cashflows'!H$5,-'Economic Assumptions'!$I10,0)</f>
        <v/>
      </c>
      <c r="I76" s="301">
        <f>IF('Economic Assumptions'!$B10+'Project Assumptions'!$D$15+'Project Assumptions'!$D$16-1='Detailed Cashflows'!I$5,-'Economic Assumptions'!$I10,0)</f>
        <v/>
      </c>
      <c r="J76" s="301">
        <f>IF('Economic Assumptions'!$B10+'Project Assumptions'!$D$15+'Project Assumptions'!$D$16-1='Detailed Cashflows'!J$5,-'Economic Assumptions'!$I10,0)</f>
        <v/>
      </c>
      <c r="K76" s="301">
        <f>IF('Economic Assumptions'!$B10+'Project Assumptions'!$D$15+'Project Assumptions'!$D$16-1='Detailed Cashflows'!K$5,-'Economic Assumptions'!$I10,0)</f>
        <v/>
      </c>
      <c r="L76" s="301">
        <f>IF('Economic Assumptions'!$B10+'Project Assumptions'!$D$15+'Project Assumptions'!$D$16-1='Detailed Cashflows'!L$5,-'Economic Assumptions'!$I10,0)</f>
        <v/>
      </c>
      <c r="M76" s="301">
        <f>IF('Economic Assumptions'!$B10+'Project Assumptions'!$D$15+'Project Assumptions'!$D$16-1='Detailed Cashflows'!M$5,-'Economic Assumptions'!$I10,0)</f>
        <v/>
      </c>
      <c r="N76" s="301">
        <f>IF('Economic Assumptions'!$B10+'Project Assumptions'!$D$15+'Project Assumptions'!$D$16-1='Detailed Cashflows'!N$5,-'Economic Assumptions'!$I10,0)</f>
        <v/>
      </c>
      <c r="O76" s="301">
        <f>IF('Economic Assumptions'!$B10+'Project Assumptions'!$D$15+'Project Assumptions'!$D$16-1='Detailed Cashflows'!O$5,-'Economic Assumptions'!$I10,0)</f>
        <v/>
      </c>
      <c r="P76" s="301">
        <f>IF('Economic Assumptions'!$B10+'Project Assumptions'!$D$15+'Project Assumptions'!$D$16-1='Detailed Cashflows'!P$5,-'Economic Assumptions'!$I10,0)</f>
        <v/>
      </c>
      <c r="Q76" s="301">
        <f>IF('Economic Assumptions'!$B10+'Project Assumptions'!$D$15+'Project Assumptions'!$D$16-1='Detailed Cashflows'!Q$5,-'Economic Assumptions'!$I10,0)</f>
        <v/>
      </c>
      <c r="R76" s="301">
        <f>IF('Economic Assumptions'!$B10+'Project Assumptions'!$D$15+'Project Assumptions'!$D$16-1='Detailed Cashflows'!R$5,-'Economic Assumptions'!$I10,0)</f>
        <v/>
      </c>
      <c r="S76" s="301">
        <f>IF('Economic Assumptions'!$B10+'Project Assumptions'!$D$15+'Project Assumptions'!$D$16-1='Detailed Cashflows'!S$5,-'Economic Assumptions'!$I10,0)</f>
        <v/>
      </c>
      <c r="T76" s="301">
        <f>IF('Economic Assumptions'!$B10+'Project Assumptions'!$D$15+'Project Assumptions'!$D$16-1='Detailed Cashflows'!T$5,-'Economic Assumptions'!$I10,0)</f>
        <v/>
      </c>
      <c r="U76" s="301">
        <f>IF('Economic Assumptions'!$B10+'Project Assumptions'!$D$15+'Project Assumptions'!$D$16-1='Detailed Cashflows'!U$5,-'Economic Assumptions'!$I10,0)</f>
        <v/>
      </c>
      <c r="V76" s="301">
        <f>IF('Economic Assumptions'!$B10+'Project Assumptions'!$D$15+'Project Assumptions'!$D$16-1='Detailed Cashflows'!V$5,-'Economic Assumptions'!$I10,0)</f>
        <v/>
      </c>
      <c r="W76" s="301">
        <f>IF('Economic Assumptions'!$B10+'Project Assumptions'!$D$15+'Project Assumptions'!$D$16-1='Detailed Cashflows'!W$5,-'Economic Assumptions'!$I10,0)</f>
        <v/>
      </c>
      <c r="X76" s="301">
        <f>IF('Economic Assumptions'!$B10+'Project Assumptions'!$D$15+'Project Assumptions'!$D$16-1='Detailed Cashflows'!X$5,-'Economic Assumptions'!$I10,0)</f>
        <v/>
      </c>
      <c r="Y76" s="301">
        <f>IF('Economic Assumptions'!$B10+'Project Assumptions'!$D$15+'Project Assumptions'!$D$16-1='Detailed Cashflows'!Y$5,-'Economic Assumptions'!$I10,0)</f>
        <v/>
      </c>
      <c r="Z76" s="301">
        <f>IF('Economic Assumptions'!$B10+'Project Assumptions'!$D$15+'Project Assumptions'!$D$16-1='Detailed Cashflows'!Z$5,-'Economic Assumptions'!$I10,0)</f>
        <v/>
      </c>
      <c r="AA76" s="301">
        <f>IF('Economic Assumptions'!$B10+'Project Assumptions'!$D$15+'Project Assumptions'!$D$16-1='Detailed Cashflows'!AA$5,-'Economic Assumptions'!$I10,0)</f>
        <v/>
      </c>
      <c r="AB76" s="301">
        <f>IF('Economic Assumptions'!$B10+'Project Assumptions'!$D$15+'Project Assumptions'!$D$16-1='Detailed Cashflows'!AB$5,-'Economic Assumptions'!$I10,0)</f>
        <v/>
      </c>
      <c r="AC76" s="301">
        <f>IF('Economic Assumptions'!$B10+'Project Assumptions'!$D$15+'Project Assumptions'!$D$16-1='Detailed Cashflows'!AC$5,-'Economic Assumptions'!$I10,0)</f>
        <v/>
      </c>
      <c r="AD76" s="301">
        <f>IF('Economic Assumptions'!$B10+'Project Assumptions'!$D$15+'Project Assumptions'!$D$16-1='Detailed Cashflows'!AD$5,-'Economic Assumptions'!$I10,0)</f>
        <v/>
      </c>
      <c r="AE76" s="301">
        <f>IF('Economic Assumptions'!$B10+'Project Assumptions'!$D$15+'Project Assumptions'!$D$16-1='Detailed Cashflows'!AE$5,-'Economic Assumptions'!$I10,0)</f>
        <v/>
      </c>
      <c r="AF76" s="301">
        <f>IF('Economic Assumptions'!$B10+'Project Assumptions'!$D$15+'Project Assumptions'!$D$16-1='Detailed Cashflows'!AF$5,-'Economic Assumptions'!$I10,0)</f>
        <v/>
      </c>
      <c r="AG76" s="301">
        <f>IF('Economic Assumptions'!$B10+'Project Assumptions'!$D$15+'Project Assumptions'!$D$16-1='Detailed Cashflows'!AG$5,-'Economic Assumptions'!$I10,0)</f>
        <v/>
      </c>
      <c r="AH76" s="301">
        <f>IF('Economic Assumptions'!$B10+'Project Assumptions'!$D$15+'Project Assumptions'!$D$16-1='Detailed Cashflows'!AH$5,-'Economic Assumptions'!$I10,0)</f>
        <v/>
      </c>
      <c r="AI76" s="301">
        <f>IF('Economic Assumptions'!$B10+'Project Assumptions'!$D$15+'Project Assumptions'!$D$16-1='Detailed Cashflows'!AI$5,-'Economic Assumptions'!$I10,0)</f>
        <v/>
      </c>
      <c r="AJ76" s="301">
        <f>IF('Economic Assumptions'!$B10+'Project Assumptions'!$D$15+'Project Assumptions'!$D$16-1='Detailed Cashflows'!AJ$5,-'Economic Assumptions'!$I10,0)</f>
        <v/>
      </c>
      <c r="AK76" s="301">
        <f>IF('Economic Assumptions'!$B10+'Project Assumptions'!$D$15+'Project Assumptions'!$D$16-1='Detailed Cashflows'!AK$5,-'Economic Assumptions'!$I10,0)</f>
        <v/>
      </c>
      <c r="AL76" s="301">
        <f>IF('Economic Assumptions'!$B10+'Project Assumptions'!$D$15+'Project Assumptions'!$D$16-1='Detailed Cashflows'!AL$5,-'Economic Assumptions'!$I10,0)</f>
        <v/>
      </c>
      <c r="AM76" s="301">
        <f>IF('Economic Assumptions'!$B10+'Project Assumptions'!$D$15+'Project Assumptions'!$D$16-1='Detailed Cashflows'!AM$5,-'Economic Assumptions'!$I10,0)</f>
        <v/>
      </c>
      <c r="AN76" s="301">
        <f>IF('Economic Assumptions'!$B10+'Project Assumptions'!$D$15+'Project Assumptions'!$D$16-1='Detailed Cashflows'!AN$5,-'Economic Assumptions'!$I10,0)</f>
        <v/>
      </c>
      <c r="AO76" s="301">
        <f>IF('Economic Assumptions'!$B10+'Project Assumptions'!$D$15+'Project Assumptions'!$D$16-1='Detailed Cashflows'!AO$5,-'Economic Assumptions'!$I10,0)</f>
        <v/>
      </c>
      <c r="AP76" s="301">
        <f>IF('Economic Assumptions'!$B10+'Project Assumptions'!$D$15+'Project Assumptions'!$D$16-1='Detailed Cashflows'!AP$5,-'Economic Assumptions'!$I10,0)</f>
        <v/>
      </c>
      <c r="AQ76" s="301">
        <f>IF('Economic Assumptions'!$B10+'Project Assumptions'!$D$15+'Project Assumptions'!$D$16-1='Detailed Cashflows'!AQ$5,-'Economic Assumptions'!$I10,0)</f>
        <v/>
      </c>
      <c r="AR76" s="301">
        <f>IF('Economic Assumptions'!$B10+'Project Assumptions'!$D$15+'Project Assumptions'!$D$16-1='Detailed Cashflows'!AR$5,-'Economic Assumptions'!$I10,0)</f>
        <v/>
      </c>
      <c r="AS76" s="301">
        <f>IF('Economic Assumptions'!$B10+'Project Assumptions'!$D$15+'Project Assumptions'!$D$16-1='Detailed Cashflows'!AS$5,-'Economic Assumptions'!$I10,0)</f>
        <v/>
      </c>
      <c r="AT76" s="301">
        <f>IF('Economic Assumptions'!$B10+'Project Assumptions'!$D$15+'Project Assumptions'!$D$16-1='Detailed Cashflows'!AT$5,-'Economic Assumptions'!$I10,0)</f>
        <v/>
      </c>
      <c r="AU76" s="301">
        <f>IF('Economic Assumptions'!$B10+'Project Assumptions'!$D$15+'Project Assumptions'!$D$16-1='Detailed Cashflows'!AU$5,-'Economic Assumptions'!$I10,0)</f>
        <v/>
      </c>
      <c r="AV76" s="301">
        <f>IF('Economic Assumptions'!$B10+'Project Assumptions'!$D$15+'Project Assumptions'!$D$16-1='Detailed Cashflows'!AV$5,-'Economic Assumptions'!$I10,0)</f>
        <v/>
      </c>
      <c r="AW76" s="301">
        <f>IF('Economic Assumptions'!$B10+'Project Assumptions'!$D$15+'Project Assumptions'!$D$16-1='Detailed Cashflows'!AW$5,-'Economic Assumptions'!$I10,0)</f>
        <v/>
      </c>
      <c r="AX76" s="301">
        <f>IF('Economic Assumptions'!$B10+'Project Assumptions'!$D$15+'Project Assumptions'!$D$16-1='Detailed Cashflows'!AX$5,-'Economic Assumptions'!$I10,0)</f>
        <v/>
      </c>
      <c r="AY76" s="301">
        <f>IF('Economic Assumptions'!$B10+'Project Assumptions'!$D$15+'Project Assumptions'!$D$16-1='Detailed Cashflows'!AY$5,-'Economic Assumptions'!$I10,0)</f>
        <v/>
      </c>
      <c r="AZ76" s="301">
        <f>IF('Economic Assumptions'!$B10+'Project Assumptions'!$D$15+'Project Assumptions'!$D$16-1='Detailed Cashflows'!AZ$5,-'Economic Assumptions'!$I10,0)</f>
        <v/>
      </c>
      <c r="BA76" s="301">
        <f>IF('Economic Assumptions'!$B10+'Project Assumptions'!$D$15+'Project Assumptions'!$D$16-1='Detailed Cashflows'!BA$5,-'Economic Assumptions'!$I10,0)</f>
        <v/>
      </c>
      <c r="BB76" s="301">
        <f>IF('Economic Assumptions'!$B10+'Project Assumptions'!$D$15+'Project Assumptions'!$D$16-1='Detailed Cashflows'!BB$5,-'Economic Assumptions'!$I10,0)</f>
        <v/>
      </c>
      <c r="BC76" s="301">
        <f>IF('Economic Assumptions'!$B10+'Project Assumptions'!$D$15+'Project Assumptions'!$D$16-1='Detailed Cashflows'!BC$5,-'Economic Assumptions'!$I10,0)</f>
        <v/>
      </c>
      <c r="BD76" s="301">
        <f>IF('Economic Assumptions'!$B10+'Project Assumptions'!$D$15+'Project Assumptions'!$D$16-1='Detailed Cashflows'!BD$5,-'Economic Assumptions'!$I10,0)</f>
        <v/>
      </c>
      <c r="BE76" s="301">
        <f>IF('Economic Assumptions'!$B10+'Project Assumptions'!$D$15+'Project Assumptions'!$D$16-1='Detailed Cashflows'!BE$5,-'Economic Assumptions'!$I10,0)</f>
        <v/>
      </c>
      <c r="BF76" s="301">
        <f>IF('Economic Assumptions'!$B10+'Project Assumptions'!$D$15+'Project Assumptions'!$D$16-1='Detailed Cashflows'!BF$5,-'Economic Assumptions'!$I10,0)</f>
        <v/>
      </c>
      <c r="BG76" s="301">
        <f>IF('Economic Assumptions'!$B10+'Project Assumptions'!$D$15+'Project Assumptions'!$D$16-1='Detailed Cashflows'!BG$5,-'Economic Assumptions'!$I10,0)</f>
        <v/>
      </c>
      <c r="BH76" s="301">
        <f>IF('Economic Assumptions'!$B10+'Project Assumptions'!$D$15+'Project Assumptions'!$D$16-1='Detailed Cashflows'!BH$5,-'Economic Assumptions'!$I10,0)</f>
        <v/>
      </c>
      <c r="BI76" s="301">
        <f>IF('Economic Assumptions'!$B10+'Project Assumptions'!$D$15+'Project Assumptions'!$D$16-1='Detailed Cashflows'!BI$5,-'Economic Assumptions'!$I10,0)</f>
        <v/>
      </c>
      <c r="BJ76" s="301">
        <f>IF('Economic Assumptions'!$B10+'Project Assumptions'!$D$15+'Project Assumptions'!$D$16-1='Detailed Cashflows'!BJ$5,-'Economic Assumptions'!$I10,0)</f>
        <v/>
      </c>
      <c r="BK76" s="301">
        <f>IF('Economic Assumptions'!$B10+'Project Assumptions'!$D$15+'Project Assumptions'!$D$16-1='Detailed Cashflows'!BK$5,-'Economic Assumptions'!$I10,0)</f>
        <v/>
      </c>
      <c r="BL76" s="301">
        <f>IF('Economic Assumptions'!$B10+'Project Assumptions'!$D$15+'Project Assumptions'!$D$16-1='Detailed Cashflows'!BL$5,-'Economic Assumptions'!$I10,0)</f>
        <v/>
      </c>
      <c r="BM76" s="301">
        <f>IF('Economic Assumptions'!$B10+'Project Assumptions'!$D$15+'Project Assumptions'!$D$16-1='Detailed Cashflows'!BM$5,-'Economic Assumptions'!$I10,0)</f>
        <v/>
      </c>
      <c r="BN76" s="301">
        <f>IF('Economic Assumptions'!$B10+'Project Assumptions'!$D$15+'Project Assumptions'!$D$16-1='Detailed Cashflows'!BN$5,-'Economic Assumptions'!$I10,0)</f>
        <v/>
      </c>
      <c r="BO76" s="301">
        <f>IF('Economic Assumptions'!$B10+'Project Assumptions'!$D$15+'Project Assumptions'!$D$16-1='Detailed Cashflows'!BO$5,-'Economic Assumptions'!$I10,0)</f>
        <v/>
      </c>
      <c r="BP76" s="301">
        <f>IF('Economic Assumptions'!$B10+'Project Assumptions'!$D$15+'Project Assumptions'!$D$16-1='Detailed Cashflows'!BP$5,-'Economic Assumptions'!$I10,0)</f>
        <v/>
      </c>
      <c r="BQ76" s="301">
        <f>IF('Economic Assumptions'!$B10+'Project Assumptions'!$D$15+'Project Assumptions'!$D$16-1='Detailed Cashflows'!BQ$5,-'Economic Assumptions'!$I10,0)</f>
        <v/>
      </c>
      <c r="BR76" s="301">
        <f>IF('Economic Assumptions'!$B10+'Project Assumptions'!$D$15+'Project Assumptions'!$D$16-1='Detailed Cashflows'!BR$5,-'Economic Assumptions'!$I10,0)</f>
        <v/>
      </c>
      <c r="BS76" s="301">
        <f>IF('Economic Assumptions'!$B10+'Project Assumptions'!$D$15+'Project Assumptions'!$D$16-1='Detailed Cashflows'!BS$5,-'Economic Assumptions'!$I10,0)</f>
        <v/>
      </c>
      <c r="BT76" s="301">
        <f>IF('Economic Assumptions'!$B10+'Project Assumptions'!$D$15+'Project Assumptions'!$D$16-1='Detailed Cashflows'!BT$5,-'Economic Assumptions'!$I10,0)</f>
        <v/>
      </c>
      <c r="BU76" s="301">
        <f>IF('Economic Assumptions'!$B10+'Project Assumptions'!$D$15+'Project Assumptions'!$D$16-1='Detailed Cashflows'!BU$5,-'Economic Assumptions'!$I10,0)</f>
        <v/>
      </c>
      <c r="BV76" s="301">
        <f>IF('Economic Assumptions'!$B10+'Project Assumptions'!$D$15+'Project Assumptions'!$D$16-1='Detailed Cashflows'!BV$5,-'Economic Assumptions'!$I10,0)</f>
        <v/>
      </c>
      <c r="BW76" s="301">
        <f>IF('Economic Assumptions'!$B10+'Project Assumptions'!$D$15+'Project Assumptions'!$D$16-1='Detailed Cashflows'!BW$5,-'Economic Assumptions'!$I10,0)</f>
        <v/>
      </c>
      <c r="BX76" s="301">
        <f>IF('Economic Assumptions'!$B10+'Project Assumptions'!$D$15+'Project Assumptions'!$D$16-1='Detailed Cashflows'!BX$5,-'Economic Assumptions'!$I10,0)</f>
        <v/>
      </c>
      <c r="BY76" s="301">
        <f>IF('Economic Assumptions'!$B10+'Project Assumptions'!$D$15+'Project Assumptions'!$D$16-1='Detailed Cashflows'!BY$5,-'Economic Assumptions'!$I10,0)</f>
        <v/>
      </c>
      <c r="BZ76" s="301">
        <f>IF('Economic Assumptions'!$B10+'Project Assumptions'!$D$15+'Project Assumptions'!$D$16-1='Detailed Cashflows'!BZ$5,-'Economic Assumptions'!$I10,0)</f>
        <v/>
      </c>
      <c r="CA76" s="301">
        <f>IF('Economic Assumptions'!$B10+'Project Assumptions'!$D$15+'Project Assumptions'!$D$16-1='Detailed Cashflows'!CA$5,-'Economic Assumptions'!$I10,0)</f>
        <v/>
      </c>
      <c r="CB76" s="301">
        <f>IF('Economic Assumptions'!$B10+'Project Assumptions'!$D$15+'Project Assumptions'!$D$16-1='Detailed Cashflows'!CB$5,-'Economic Assumptions'!$I10,0)</f>
        <v/>
      </c>
      <c r="CC76" s="301">
        <f>IF('Economic Assumptions'!$B10+'Project Assumptions'!$D$15+'Project Assumptions'!$D$16-1='Detailed Cashflows'!CC$5,-'Economic Assumptions'!$I10,0)</f>
        <v/>
      </c>
      <c r="CD76" s="301">
        <f>IF('Economic Assumptions'!$B10+'Project Assumptions'!$D$15+'Project Assumptions'!$D$16-1='Detailed Cashflows'!CD$5,-'Economic Assumptions'!$I10,0)</f>
        <v/>
      </c>
      <c r="CE76" s="301">
        <f>IF('Economic Assumptions'!$B10+'Project Assumptions'!$D$15+'Project Assumptions'!$D$16-1='Detailed Cashflows'!CE$5,-'Economic Assumptions'!$I10,0)</f>
        <v/>
      </c>
      <c r="CF76" s="301">
        <f>IF('Economic Assumptions'!$B10+'Project Assumptions'!$D$15+'Project Assumptions'!$D$16-1='Detailed Cashflows'!CF$5,-'Economic Assumptions'!$I10,0)</f>
        <v/>
      </c>
      <c r="CG76" s="301">
        <f>IF('Economic Assumptions'!$B10+'Project Assumptions'!$D$15+'Project Assumptions'!$D$16-1='Detailed Cashflows'!CG$5,-'Economic Assumptions'!$I10,0)</f>
        <v/>
      </c>
      <c r="CH76" s="301">
        <f>IF('Economic Assumptions'!$B10+'Project Assumptions'!$D$15+'Project Assumptions'!$D$16-1='Detailed Cashflows'!CH$5,-'Economic Assumptions'!$I10,0)</f>
        <v/>
      </c>
      <c r="CI76" s="301">
        <f>IF('Economic Assumptions'!$B10+'Project Assumptions'!$D$15+'Project Assumptions'!$D$16-1='Detailed Cashflows'!CI$5,-'Economic Assumptions'!$I10,0)</f>
        <v/>
      </c>
      <c r="CJ76" s="301">
        <f>IF('Economic Assumptions'!$B10+'Project Assumptions'!$D$15+'Project Assumptions'!$D$16-1='Detailed Cashflows'!CJ$5,-'Economic Assumptions'!$I10,0)</f>
        <v/>
      </c>
      <c r="CK76" s="301">
        <f>IF('Economic Assumptions'!$B10+'Project Assumptions'!$D$15+'Project Assumptions'!$D$16-1='Detailed Cashflows'!CK$5,-'Economic Assumptions'!$I10,0)</f>
        <v/>
      </c>
      <c r="CL76" s="301">
        <f>IF('Economic Assumptions'!$B10+'Project Assumptions'!$D$15+'Project Assumptions'!$D$16-1='Detailed Cashflows'!CL$5,-'Economic Assumptions'!$I10,0)</f>
        <v/>
      </c>
      <c r="CM76" s="301">
        <f>IF('Economic Assumptions'!$B10+'Project Assumptions'!$D$15+'Project Assumptions'!$D$16-1='Detailed Cashflows'!CM$5,-'Economic Assumptions'!$I10,0)</f>
        <v/>
      </c>
      <c r="CN76" s="301">
        <f>IF('Economic Assumptions'!$B10+'Project Assumptions'!$D$15+'Project Assumptions'!$D$16-1='Detailed Cashflows'!CN$5,-'Economic Assumptions'!$I10,0)</f>
        <v/>
      </c>
      <c r="CO76" s="301">
        <f>IF('Economic Assumptions'!$B10+'Project Assumptions'!$D$15+'Project Assumptions'!$D$16-1='Detailed Cashflows'!CO$5,-'Economic Assumptions'!$I10,0)</f>
        <v/>
      </c>
      <c r="CP76" s="301">
        <f>IF('Economic Assumptions'!$B10+'Project Assumptions'!$D$15+'Project Assumptions'!$D$16-1='Detailed Cashflows'!CP$5,-'Economic Assumptions'!$I10,0)</f>
        <v/>
      </c>
      <c r="CQ76" s="301">
        <f>IF('Economic Assumptions'!$B10+'Project Assumptions'!$D$15+'Project Assumptions'!$D$16-1='Detailed Cashflows'!CQ$5,-'Economic Assumptions'!$I10,0)</f>
        <v/>
      </c>
      <c r="CR76" s="301">
        <f>IF('Economic Assumptions'!$B10+'Project Assumptions'!$D$15+'Project Assumptions'!$D$16-1='Detailed Cashflows'!CR$5,-'Economic Assumptions'!$I10,0)</f>
        <v/>
      </c>
      <c r="CS76" s="301">
        <f>IF('Economic Assumptions'!$B10+'Project Assumptions'!$D$15+'Project Assumptions'!$D$16-1='Detailed Cashflows'!CS$5,-'Economic Assumptions'!$I10,0)</f>
        <v/>
      </c>
      <c r="CT76" s="301">
        <f>IF('Economic Assumptions'!$B10+'Project Assumptions'!$D$15+'Project Assumptions'!$D$16-1='Detailed Cashflows'!CT$5,-'Economic Assumptions'!$I10,0)</f>
        <v/>
      </c>
      <c r="CU76" s="301">
        <f>IF('Economic Assumptions'!$B10+'Project Assumptions'!$D$15+'Project Assumptions'!$D$16-1='Detailed Cashflows'!CU$5,-'Economic Assumptions'!$I10,0)</f>
        <v/>
      </c>
      <c r="CV76" s="301">
        <f>IF('Economic Assumptions'!$B10+'Project Assumptions'!$D$15+'Project Assumptions'!$D$16-1='Detailed Cashflows'!CV$5,-'Economic Assumptions'!$I10,0)</f>
        <v/>
      </c>
      <c r="CW76" s="301">
        <f>IF('Economic Assumptions'!$B10+'Project Assumptions'!$D$15+'Project Assumptions'!$D$16-1='Detailed Cashflows'!CW$5,-'Economic Assumptions'!$I10,0)</f>
        <v/>
      </c>
      <c r="CX76" s="301">
        <f>IF('Economic Assumptions'!$B10+'Project Assumptions'!$D$15+'Project Assumptions'!$D$16-1='Detailed Cashflows'!CX$5,-'Economic Assumptions'!$I10,0)</f>
        <v/>
      </c>
      <c r="CY76" s="301">
        <f>IF('Economic Assumptions'!$B10+'Project Assumptions'!$D$15+'Project Assumptions'!$D$16-1='Detailed Cashflows'!CY$5,-'Economic Assumptions'!$I10,0)</f>
        <v/>
      </c>
      <c r="CZ76" s="301">
        <f>IF('Economic Assumptions'!$B10+'Project Assumptions'!$D$15+'Project Assumptions'!$D$16-1='Detailed Cashflows'!CZ$5,-'Economic Assumptions'!$I10,0)</f>
        <v/>
      </c>
      <c r="DA76" s="301">
        <f>IF('Economic Assumptions'!$B10+'Project Assumptions'!$D$15+'Project Assumptions'!$D$16-1='Detailed Cashflows'!DA$5,-'Economic Assumptions'!$I10,0)</f>
        <v/>
      </c>
      <c r="DB76" s="301">
        <f>IF('Economic Assumptions'!$B10+'Project Assumptions'!$D$15+'Project Assumptions'!$D$16-1='Detailed Cashflows'!DB$5,-'Economic Assumptions'!$I10,0)</f>
        <v/>
      </c>
      <c r="DC76" s="301" t="n"/>
      <c r="DD76" s="299">
        <f>SUM(F76:DB76)</f>
        <v/>
      </c>
    </row>
    <row r="77" hidden="1" outlineLevel="1">
      <c r="A77" s="1000" t="n"/>
      <c r="B77" s="640">
        <f>'Economic Assumptions'!$A$11</f>
        <v/>
      </c>
      <c r="C77" s="294" t="n"/>
      <c r="D77" s="299">
        <f>DD77</f>
        <v/>
      </c>
      <c r="E77" s="300" t="n"/>
      <c r="F77" s="301">
        <f>IF('Economic Assumptions'!$B11+'Project Assumptions'!$D$15+'Project Assumptions'!$D$16-1='Detailed Cashflows'!F$5,-'Economic Assumptions'!$I11,0)</f>
        <v/>
      </c>
      <c r="G77" s="301">
        <f>IF('Economic Assumptions'!$B11+'Project Assumptions'!$D$15+'Project Assumptions'!$D$16-1='Detailed Cashflows'!G$5,-'Economic Assumptions'!$I11,0)</f>
        <v/>
      </c>
      <c r="H77" s="301">
        <f>IF('Economic Assumptions'!$B11+'Project Assumptions'!$D$15+'Project Assumptions'!$D$16-1='Detailed Cashflows'!H$5,-'Economic Assumptions'!$I11,0)</f>
        <v/>
      </c>
      <c r="I77" s="301">
        <f>IF('Economic Assumptions'!$B11+'Project Assumptions'!$D$15+'Project Assumptions'!$D$16-1='Detailed Cashflows'!I$5,-'Economic Assumptions'!$I11,0)</f>
        <v/>
      </c>
      <c r="J77" s="301">
        <f>IF('Economic Assumptions'!$B11+'Project Assumptions'!$D$15+'Project Assumptions'!$D$16-1='Detailed Cashflows'!J$5,-'Economic Assumptions'!$I11,0)</f>
        <v/>
      </c>
      <c r="K77" s="301">
        <f>IF('Economic Assumptions'!$B11+'Project Assumptions'!$D$15+'Project Assumptions'!$D$16-1='Detailed Cashflows'!K$5,-'Economic Assumptions'!$I11,0)</f>
        <v/>
      </c>
      <c r="L77" s="301">
        <f>IF('Economic Assumptions'!$B11+'Project Assumptions'!$D$15+'Project Assumptions'!$D$16-1='Detailed Cashflows'!L$5,-'Economic Assumptions'!$I11,0)</f>
        <v/>
      </c>
      <c r="M77" s="301">
        <f>IF('Economic Assumptions'!$B11+'Project Assumptions'!$D$15+'Project Assumptions'!$D$16-1='Detailed Cashflows'!M$5,-'Economic Assumptions'!$I11,0)</f>
        <v/>
      </c>
      <c r="N77" s="301">
        <f>IF('Economic Assumptions'!$B11+'Project Assumptions'!$D$15+'Project Assumptions'!$D$16-1='Detailed Cashflows'!N$5,-'Economic Assumptions'!$I11,0)</f>
        <v/>
      </c>
      <c r="O77" s="301">
        <f>IF('Economic Assumptions'!$B11+'Project Assumptions'!$D$15+'Project Assumptions'!$D$16-1='Detailed Cashflows'!O$5,-'Economic Assumptions'!$I11,0)</f>
        <v/>
      </c>
      <c r="P77" s="301">
        <f>IF('Economic Assumptions'!$B11+'Project Assumptions'!$D$15+'Project Assumptions'!$D$16-1='Detailed Cashflows'!P$5,-'Economic Assumptions'!$I11,0)</f>
        <v/>
      </c>
      <c r="Q77" s="301">
        <f>IF('Economic Assumptions'!$B11+'Project Assumptions'!$D$15+'Project Assumptions'!$D$16-1='Detailed Cashflows'!Q$5,-'Economic Assumptions'!$I11,0)</f>
        <v/>
      </c>
      <c r="R77" s="301">
        <f>IF('Economic Assumptions'!$B11+'Project Assumptions'!$D$15+'Project Assumptions'!$D$16-1='Detailed Cashflows'!R$5,-'Economic Assumptions'!$I11,0)</f>
        <v/>
      </c>
      <c r="S77" s="301">
        <f>IF('Economic Assumptions'!$B11+'Project Assumptions'!$D$15+'Project Assumptions'!$D$16-1='Detailed Cashflows'!S$5,-'Economic Assumptions'!$I11,0)</f>
        <v/>
      </c>
      <c r="T77" s="301">
        <f>IF('Economic Assumptions'!$B11+'Project Assumptions'!$D$15+'Project Assumptions'!$D$16-1='Detailed Cashflows'!T$5,-'Economic Assumptions'!$I11,0)</f>
        <v/>
      </c>
      <c r="U77" s="301">
        <f>IF('Economic Assumptions'!$B11+'Project Assumptions'!$D$15+'Project Assumptions'!$D$16-1='Detailed Cashflows'!U$5,-'Economic Assumptions'!$I11,0)</f>
        <v/>
      </c>
      <c r="V77" s="301">
        <f>IF('Economic Assumptions'!$B11+'Project Assumptions'!$D$15+'Project Assumptions'!$D$16-1='Detailed Cashflows'!V$5,-'Economic Assumptions'!$I11,0)</f>
        <v/>
      </c>
      <c r="W77" s="301">
        <f>IF('Economic Assumptions'!$B11+'Project Assumptions'!$D$15+'Project Assumptions'!$D$16-1='Detailed Cashflows'!W$5,-'Economic Assumptions'!$I11,0)</f>
        <v/>
      </c>
      <c r="X77" s="301">
        <f>IF('Economic Assumptions'!$B11+'Project Assumptions'!$D$15+'Project Assumptions'!$D$16-1='Detailed Cashflows'!X$5,-'Economic Assumptions'!$I11,0)</f>
        <v/>
      </c>
      <c r="Y77" s="301">
        <f>IF('Economic Assumptions'!$B11+'Project Assumptions'!$D$15+'Project Assumptions'!$D$16-1='Detailed Cashflows'!Y$5,-'Economic Assumptions'!$I11,0)</f>
        <v/>
      </c>
      <c r="Z77" s="301">
        <f>IF('Economic Assumptions'!$B11+'Project Assumptions'!$D$15+'Project Assumptions'!$D$16-1='Detailed Cashflows'!Z$5,-'Economic Assumptions'!$I11,0)</f>
        <v/>
      </c>
      <c r="AA77" s="301">
        <f>IF('Economic Assumptions'!$B11+'Project Assumptions'!$D$15+'Project Assumptions'!$D$16-1='Detailed Cashflows'!AA$5,-'Economic Assumptions'!$I11,0)</f>
        <v/>
      </c>
      <c r="AB77" s="301">
        <f>IF('Economic Assumptions'!$B11+'Project Assumptions'!$D$15+'Project Assumptions'!$D$16-1='Detailed Cashflows'!AB$5,-'Economic Assumptions'!$I11,0)</f>
        <v/>
      </c>
      <c r="AC77" s="301">
        <f>IF('Economic Assumptions'!$B11+'Project Assumptions'!$D$15+'Project Assumptions'!$D$16-1='Detailed Cashflows'!AC$5,-'Economic Assumptions'!$I11,0)</f>
        <v/>
      </c>
      <c r="AD77" s="301">
        <f>IF('Economic Assumptions'!$B11+'Project Assumptions'!$D$15+'Project Assumptions'!$D$16-1='Detailed Cashflows'!AD$5,-'Economic Assumptions'!$I11,0)</f>
        <v/>
      </c>
      <c r="AE77" s="301">
        <f>IF('Economic Assumptions'!$B11+'Project Assumptions'!$D$15+'Project Assumptions'!$D$16-1='Detailed Cashflows'!AE$5,-'Economic Assumptions'!$I11,0)</f>
        <v/>
      </c>
      <c r="AF77" s="301">
        <f>IF('Economic Assumptions'!$B11+'Project Assumptions'!$D$15+'Project Assumptions'!$D$16-1='Detailed Cashflows'!AF$5,-'Economic Assumptions'!$I11,0)</f>
        <v/>
      </c>
      <c r="AG77" s="301">
        <f>IF('Economic Assumptions'!$B11+'Project Assumptions'!$D$15+'Project Assumptions'!$D$16-1='Detailed Cashflows'!AG$5,-'Economic Assumptions'!$I11,0)</f>
        <v/>
      </c>
      <c r="AH77" s="301">
        <f>IF('Economic Assumptions'!$B11+'Project Assumptions'!$D$15+'Project Assumptions'!$D$16-1='Detailed Cashflows'!AH$5,-'Economic Assumptions'!$I11,0)</f>
        <v/>
      </c>
      <c r="AI77" s="301">
        <f>IF('Economic Assumptions'!$B11+'Project Assumptions'!$D$15+'Project Assumptions'!$D$16-1='Detailed Cashflows'!AI$5,-'Economic Assumptions'!$I11,0)</f>
        <v/>
      </c>
      <c r="AJ77" s="301">
        <f>IF('Economic Assumptions'!$B11+'Project Assumptions'!$D$15+'Project Assumptions'!$D$16-1='Detailed Cashflows'!AJ$5,-'Economic Assumptions'!$I11,0)</f>
        <v/>
      </c>
      <c r="AK77" s="301">
        <f>IF('Economic Assumptions'!$B11+'Project Assumptions'!$D$15+'Project Assumptions'!$D$16-1='Detailed Cashflows'!AK$5,-'Economic Assumptions'!$I11,0)</f>
        <v/>
      </c>
      <c r="AL77" s="301">
        <f>IF('Economic Assumptions'!$B11+'Project Assumptions'!$D$15+'Project Assumptions'!$D$16-1='Detailed Cashflows'!AL$5,-'Economic Assumptions'!$I11,0)</f>
        <v/>
      </c>
      <c r="AM77" s="301">
        <f>IF('Economic Assumptions'!$B11+'Project Assumptions'!$D$15+'Project Assumptions'!$D$16-1='Detailed Cashflows'!AM$5,-'Economic Assumptions'!$I11,0)</f>
        <v/>
      </c>
      <c r="AN77" s="301">
        <f>IF('Economic Assumptions'!$B11+'Project Assumptions'!$D$15+'Project Assumptions'!$D$16-1='Detailed Cashflows'!AN$5,-'Economic Assumptions'!$I11,0)</f>
        <v/>
      </c>
      <c r="AO77" s="301">
        <f>IF('Economic Assumptions'!$B11+'Project Assumptions'!$D$15+'Project Assumptions'!$D$16-1='Detailed Cashflows'!AO$5,-'Economic Assumptions'!$I11,0)</f>
        <v/>
      </c>
      <c r="AP77" s="301">
        <f>IF('Economic Assumptions'!$B11+'Project Assumptions'!$D$15+'Project Assumptions'!$D$16-1='Detailed Cashflows'!AP$5,-'Economic Assumptions'!$I11,0)</f>
        <v/>
      </c>
      <c r="AQ77" s="301">
        <f>IF('Economic Assumptions'!$B11+'Project Assumptions'!$D$15+'Project Assumptions'!$D$16-1='Detailed Cashflows'!AQ$5,-'Economic Assumptions'!$I11,0)</f>
        <v/>
      </c>
      <c r="AR77" s="301">
        <f>IF('Economic Assumptions'!$B11+'Project Assumptions'!$D$15+'Project Assumptions'!$D$16-1='Detailed Cashflows'!AR$5,-'Economic Assumptions'!$I11,0)</f>
        <v/>
      </c>
      <c r="AS77" s="301">
        <f>IF('Economic Assumptions'!$B11+'Project Assumptions'!$D$15+'Project Assumptions'!$D$16-1='Detailed Cashflows'!AS$5,-'Economic Assumptions'!$I11,0)</f>
        <v/>
      </c>
      <c r="AT77" s="301">
        <f>IF('Economic Assumptions'!$B11+'Project Assumptions'!$D$15+'Project Assumptions'!$D$16-1='Detailed Cashflows'!AT$5,-'Economic Assumptions'!$I11,0)</f>
        <v/>
      </c>
      <c r="AU77" s="301">
        <f>IF('Economic Assumptions'!$B11+'Project Assumptions'!$D$15+'Project Assumptions'!$D$16-1='Detailed Cashflows'!AU$5,-'Economic Assumptions'!$I11,0)</f>
        <v/>
      </c>
      <c r="AV77" s="301">
        <f>IF('Economic Assumptions'!$B11+'Project Assumptions'!$D$15+'Project Assumptions'!$D$16-1='Detailed Cashflows'!AV$5,-'Economic Assumptions'!$I11,0)</f>
        <v/>
      </c>
      <c r="AW77" s="301">
        <f>IF('Economic Assumptions'!$B11+'Project Assumptions'!$D$15+'Project Assumptions'!$D$16-1='Detailed Cashflows'!AW$5,-'Economic Assumptions'!$I11,0)</f>
        <v/>
      </c>
      <c r="AX77" s="301">
        <f>IF('Economic Assumptions'!$B11+'Project Assumptions'!$D$15+'Project Assumptions'!$D$16-1='Detailed Cashflows'!AX$5,-'Economic Assumptions'!$I11,0)</f>
        <v/>
      </c>
      <c r="AY77" s="301">
        <f>IF('Economic Assumptions'!$B11+'Project Assumptions'!$D$15+'Project Assumptions'!$D$16-1='Detailed Cashflows'!AY$5,-'Economic Assumptions'!$I11,0)</f>
        <v/>
      </c>
      <c r="AZ77" s="301">
        <f>IF('Economic Assumptions'!$B11+'Project Assumptions'!$D$15+'Project Assumptions'!$D$16-1='Detailed Cashflows'!AZ$5,-'Economic Assumptions'!$I11,0)</f>
        <v/>
      </c>
      <c r="BA77" s="301">
        <f>IF('Economic Assumptions'!$B11+'Project Assumptions'!$D$15+'Project Assumptions'!$D$16-1='Detailed Cashflows'!BA$5,-'Economic Assumptions'!$I11,0)</f>
        <v/>
      </c>
      <c r="BB77" s="301">
        <f>IF('Economic Assumptions'!$B11+'Project Assumptions'!$D$15+'Project Assumptions'!$D$16-1='Detailed Cashflows'!BB$5,-'Economic Assumptions'!$I11,0)</f>
        <v/>
      </c>
      <c r="BC77" s="301">
        <f>IF('Economic Assumptions'!$B11+'Project Assumptions'!$D$15+'Project Assumptions'!$D$16-1='Detailed Cashflows'!BC$5,-'Economic Assumptions'!$I11,0)</f>
        <v/>
      </c>
      <c r="BD77" s="301">
        <f>IF('Economic Assumptions'!$B11+'Project Assumptions'!$D$15+'Project Assumptions'!$D$16-1='Detailed Cashflows'!BD$5,-'Economic Assumptions'!$I11,0)</f>
        <v/>
      </c>
      <c r="BE77" s="301">
        <f>IF('Economic Assumptions'!$B11+'Project Assumptions'!$D$15+'Project Assumptions'!$D$16-1='Detailed Cashflows'!BE$5,-'Economic Assumptions'!$I11,0)</f>
        <v/>
      </c>
      <c r="BF77" s="301">
        <f>IF('Economic Assumptions'!$B11+'Project Assumptions'!$D$15+'Project Assumptions'!$D$16-1='Detailed Cashflows'!BF$5,-'Economic Assumptions'!$I11,0)</f>
        <v/>
      </c>
      <c r="BG77" s="301">
        <f>IF('Economic Assumptions'!$B11+'Project Assumptions'!$D$15+'Project Assumptions'!$D$16-1='Detailed Cashflows'!BG$5,-'Economic Assumptions'!$I11,0)</f>
        <v/>
      </c>
      <c r="BH77" s="301">
        <f>IF('Economic Assumptions'!$B11+'Project Assumptions'!$D$15+'Project Assumptions'!$D$16-1='Detailed Cashflows'!BH$5,-'Economic Assumptions'!$I11,0)</f>
        <v/>
      </c>
      <c r="BI77" s="301">
        <f>IF('Economic Assumptions'!$B11+'Project Assumptions'!$D$15+'Project Assumptions'!$D$16-1='Detailed Cashflows'!BI$5,-'Economic Assumptions'!$I11,0)</f>
        <v/>
      </c>
      <c r="BJ77" s="301">
        <f>IF('Economic Assumptions'!$B11+'Project Assumptions'!$D$15+'Project Assumptions'!$D$16-1='Detailed Cashflows'!BJ$5,-'Economic Assumptions'!$I11,0)</f>
        <v/>
      </c>
      <c r="BK77" s="301">
        <f>IF('Economic Assumptions'!$B11+'Project Assumptions'!$D$15+'Project Assumptions'!$D$16-1='Detailed Cashflows'!BK$5,-'Economic Assumptions'!$I11,0)</f>
        <v/>
      </c>
      <c r="BL77" s="301">
        <f>IF('Economic Assumptions'!$B11+'Project Assumptions'!$D$15+'Project Assumptions'!$D$16-1='Detailed Cashflows'!BL$5,-'Economic Assumptions'!$I11,0)</f>
        <v/>
      </c>
      <c r="BM77" s="301">
        <f>IF('Economic Assumptions'!$B11+'Project Assumptions'!$D$15+'Project Assumptions'!$D$16-1='Detailed Cashflows'!BM$5,-'Economic Assumptions'!$I11,0)</f>
        <v/>
      </c>
      <c r="BN77" s="301">
        <f>IF('Economic Assumptions'!$B11+'Project Assumptions'!$D$15+'Project Assumptions'!$D$16-1='Detailed Cashflows'!BN$5,-'Economic Assumptions'!$I11,0)</f>
        <v/>
      </c>
      <c r="BO77" s="301">
        <f>IF('Economic Assumptions'!$B11+'Project Assumptions'!$D$15+'Project Assumptions'!$D$16-1='Detailed Cashflows'!BO$5,-'Economic Assumptions'!$I11,0)</f>
        <v/>
      </c>
      <c r="BP77" s="301">
        <f>IF('Economic Assumptions'!$B11+'Project Assumptions'!$D$15+'Project Assumptions'!$D$16-1='Detailed Cashflows'!BP$5,-'Economic Assumptions'!$I11,0)</f>
        <v/>
      </c>
      <c r="BQ77" s="301">
        <f>IF('Economic Assumptions'!$B11+'Project Assumptions'!$D$15+'Project Assumptions'!$D$16-1='Detailed Cashflows'!BQ$5,-'Economic Assumptions'!$I11,0)</f>
        <v/>
      </c>
      <c r="BR77" s="301">
        <f>IF('Economic Assumptions'!$B11+'Project Assumptions'!$D$15+'Project Assumptions'!$D$16-1='Detailed Cashflows'!BR$5,-'Economic Assumptions'!$I11,0)</f>
        <v/>
      </c>
      <c r="BS77" s="301">
        <f>IF('Economic Assumptions'!$B11+'Project Assumptions'!$D$15+'Project Assumptions'!$D$16-1='Detailed Cashflows'!BS$5,-'Economic Assumptions'!$I11,0)</f>
        <v/>
      </c>
      <c r="BT77" s="301">
        <f>IF('Economic Assumptions'!$B11+'Project Assumptions'!$D$15+'Project Assumptions'!$D$16-1='Detailed Cashflows'!BT$5,-'Economic Assumptions'!$I11,0)</f>
        <v/>
      </c>
      <c r="BU77" s="301">
        <f>IF('Economic Assumptions'!$B11+'Project Assumptions'!$D$15+'Project Assumptions'!$D$16-1='Detailed Cashflows'!BU$5,-'Economic Assumptions'!$I11,0)</f>
        <v/>
      </c>
      <c r="BV77" s="301">
        <f>IF('Economic Assumptions'!$B11+'Project Assumptions'!$D$15+'Project Assumptions'!$D$16-1='Detailed Cashflows'!BV$5,-'Economic Assumptions'!$I11,0)</f>
        <v/>
      </c>
      <c r="BW77" s="301">
        <f>IF('Economic Assumptions'!$B11+'Project Assumptions'!$D$15+'Project Assumptions'!$D$16-1='Detailed Cashflows'!BW$5,-'Economic Assumptions'!$I11,0)</f>
        <v/>
      </c>
      <c r="BX77" s="301">
        <f>IF('Economic Assumptions'!$B11+'Project Assumptions'!$D$15+'Project Assumptions'!$D$16-1='Detailed Cashflows'!BX$5,-'Economic Assumptions'!$I11,0)</f>
        <v/>
      </c>
      <c r="BY77" s="301">
        <f>IF('Economic Assumptions'!$B11+'Project Assumptions'!$D$15+'Project Assumptions'!$D$16-1='Detailed Cashflows'!BY$5,-'Economic Assumptions'!$I11,0)</f>
        <v/>
      </c>
      <c r="BZ77" s="301">
        <f>IF('Economic Assumptions'!$B11+'Project Assumptions'!$D$15+'Project Assumptions'!$D$16-1='Detailed Cashflows'!BZ$5,-'Economic Assumptions'!$I11,0)</f>
        <v/>
      </c>
      <c r="CA77" s="301">
        <f>IF('Economic Assumptions'!$B11+'Project Assumptions'!$D$15+'Project Assumptions'!$D$16-1='Detailed Cashflows'!CA$5,-'Economic Assumptions'!$I11,0)</f>
        <v/>
      </c>
      <c r="CB77" s="301">
        <f>IF('Economic Assumptions'!$B11+'Project Assumptions'!$D$15+'Project Assumptions'!$D$16-1='Detailed Cashflows'!CB$5,-'Economic Assumptions'!$I11,0)</f>
        <v/>
      </c>
      <c r="CC77" s="301">
        <f>IF('Economic Assumptions'!$B11+'Project Assumptions'!$D$15+'Project Assumptions'!$D$16-1='Detailed Cashflows'!CC$5,-'Economic Assumptions'!$I11,0)</f>
        <v/>
      </c>
      <c r="CD77" s="301">
        <f>IF('Economic Assumptions'!$B11+'Project Assumptions'!$D$15+'Project Assumptions'!$D$16-1='Detailed Cashflows'!CD$5,-'Economic Assumptions'!$I11,0)</f>
        <v/>
      </c>
      <c r="CE77" s="301">
        <f>IF('Economic Assumptions'!$B11+'Project Assumptions'!$D$15+'Project Assumptions'!$D$16-1='Detailed Cashflows'!CE$5,-'Economic Assumptions'!$I11,0)</f>
        <v/>
      </c>
      <c r="CF77" s="301">
        <f>IF('Economic Assumptions'!$B11+'Project Assumptions'!$D$15+'Project Assumptions'!$D$16-1='Detailed Cashflows'!CF$5,-'Economic Assumptions'!$I11,0)</f>
        <v/>
      </c>
      <c r="CG77" s="301">
        <f>IF('Economic Assumptions'!$B11+'Project Assumptions'!$D$15+'Project Assumptions'!$D$16-1='Detailed Cashflows'!CG$5,-'Economic Assumptions'!$I11,0)</f>
        <v/>
      </c>
      <c r="CH77" s="301">
        <f>IF('Economic Assumptions'!$B11+'Project Assumptions'!$D$15+'Project Assumptions'!$D$16-1='Detailed Cashflows'!CH$5,-'Economic Assumptions'!$I11,0)</f>
        <v/>
      </c>
      <c r="CI77" s="301">
        <f>IF('Economic Assumptions'!$B11+'Project Assumptions'!$D$15+'Project Assumptions'!$D$16-1='Detailed Cashflows'!CI$5,-'Economic Assumptions'!$I11,0)</f>
        <v/>
      </c>
      <c r="CJ77" s="301">
        <f>IF('Economic Assumptions'!$B11+'Project Assumptions'!$D$15+'Project Assumptions'!$D$16-1='Detailed Cashflows'!CJ$5,-'Economic Assumptions'!$I11,0)</f>
        <v/>
      </c>
      <c r="CK77" s="301">
        <f>IF('Economic Assumptions'!$B11+'Project Assumptions'!$D$15+'Project Assumptions'!$D$16-1='Detailed Cashflows'!CK$5,-'Economic Assumptions'!$I11,0)</f>
        <v/>
      </c>
      <c r="CL77" s="301">
        <f>IF('Economic Assumptions'!$B11+'Project Assumptions'!$D$15+'Project Assumptions'!$D$16-1='Detailed Cashflows'!CL$5,-'Economic Assumptions'!$I11,0)</f>
        <v/>
      </c>
      <c r="CM77" s="301">
        <f>IF('Economic Assumptions'!$B11+'Project Assumptions'!$D$15+'Project Assumptions'!$D$16-1='Detailed Cashflows'!CM$5,-'Economic Assumptions'!$I11,0)</f>
        <v/>
      </c>
      <c r="CN77" s="301">
        <f>IF('Economic Assumptions'!$B11+'Project Assumptions'!$D$15+'Project Assumptions'!$D$16-1='Detailed Cashflows'!CN$5,-'Economic Assumptions'!$I11,0)</f>
        <v/>
      </c>
      <c r="CO77" s="301">
        <f>IF('Economic Assumptions'!$B11+'Project Assumptions'!$D$15+'Project Assumptions'!$D$16-1='Detailed Cashflows'!CO$5,-'Economic Assumptions'!$I11,0)</f>
        <v/>
      </c>
      <c r="CP77" s="301">
        <f>IF('Economic Assumptions'!$B11+'Project Assumptions'!$D$15+'Project Assumptions'!$D$16-1='Detailed Cashflows'!CP$5,-'Economic Assumptions'!$I11,0)</f>
        <v/>
      </c>
      <c r="CQ77" s="301">
        <f>IF('Economic Assumptions'!$B11+'Project Assumptions'!$D$15+'Project Assumptions'!$D$16-1='Detailed Cashflows'!CQ$5,-'Economic Assumptions'!$I11,0)</f>
        <v/>
      </c>
      <c r="CR77" s="301">
        <f>IF('Economic Assumptions'!$B11+'Project Assumptions'!$D$15+'Project Assumptions'!$D$16-1='Detailed Cashflows'!CR$5,-'Economic Assumptions'!$I11,0)</f>
        <v/>
      </c>
      <c r="CS77" s="301">
        <f>IF('Economic Assumptions'!$B11+'Project Assumptions'!$D$15+'Project Assumptions'!$D$16-1='Detailed Cashflows'!CS$5,-'Economic Assumptions'!$I11,0)</f>
        <v/>
      </c>
      <c r="CT77" s="301">
        <f>IF('Economic Assumptions'!$B11+'Project Assumptions'!$D$15+'Project Assumptions'!$D$16-1='Detailed Cashflows'!CT$5,-'Economic Assumptions'!$I11,0)</f>
        <v/>
      </c>
      <c r="CU77" s="301">
        <f>IF('Economic Assumptions'!$B11+'Project Assumptions'!$D$15+'Project Assumptions'!$D$16-1='Detailed Cashflows'!CU$5,-'Economic Assumptions'!$I11,0)</f>
        <v/>
      </c>
      <c r="CV77" s="301">
        <f>IF('Economic Assumptions'!$B11+'Project Assumptions'!$D$15+'Project Assumptions'!$D$16-1='Detailed Cashflows'!CV$5,-'Economic Assumptions'!$I11,0)</f>
        <v/>
      </c>
      <c r="CW77" s="301">
        <f>IF('Economic Assumptions'!$B11+'Project Assumptions'!$D$15+'Project Assumptions'!$D$16-1='Detailed Cashflows'!CW$5,-'Economic Assumptions'!$I11,0)</f>
        <v/>
      </c>
      <c r="CX77" s="301">
        <f>IF('Economic Assumptions'!$B11+'Project Assumptions'!$D$15+'Project Assumptions'!$D$16-1='Detailed Cashflows'!CX$5,-'Economic Assumptions'!$I11,0)</f>
        <v/>
      </c>
      <c r="CY77" s="301">
        <f>IF('Economic Assumptions'!$B11+'Project Assumptions'!$D$15+'Project Assumptions'!$D$16-1='Detailed Cashflows'!CY$5,-'Economic Assumptions'!$I11,0)</f>
        <v/>
      </c>
      <c r="CZ77" s="301">
        <f>IF('Economic Assumptions'!$B11+'Project Assumptions'!$D$15+'Project Assumptions'!$D$16-1='Detailed Cashflows'!CZ$5,-'Economic Assumptions'!$I11,0)</f>
        <v/>
      </c>
      <c r="DA77" s="301">
        <f>IF('Economic Assumptions'!$B11+'Project Assumptions'!$D$15+'Project Assumptions'!$D$16-1='Detailed Cashflows'!DA$5,-'Economic Assumptions'!$I11,0)</f>
        <v/>
      </c>
      <c r="DB77" s="301">
        <f>IF('Economic Assumptions'!$B11+'Project Assumptions'!$D$15+'Project Assumptions'!$D$16-1='Detailed Cashflows'!DB$5,-'Economic Assumptions'!$I11,0)</f>
        <v/>
      </c>
      <c r="DC77" s="301" t="n"/>
      <c r="DD77" s="299">
        <f>SUM(F77:DB77)</f>
        <v/>
      </c>
    </row>
    <row r="78" hidden="1" outlineLevel="1">
      <c r="A78" s="1000" t="n"/>
      <c r="B78" s="640">
        <f>'Economic Assumptions'!$A$12</f>
        <v/>
      </c>
      <c r="C78" s="294" t="n"/>
      <c r="D78" s="299">
        <f>DD78</f>
        <v/>
      </c>
      <c r="E78" s="300" t="n"/>
      <c r="F78" s="301">
        <f>IF('Economic Assumptions'!$B12+'Project Assumptions'!$D$15+'Project Assumptions'!$D$16-1='Detailed Cashflows'!F$5,-'Economic Assumptions'!$I12,0)</f>
        <v/>
      </c>
      <c r="G78" s="301">
        <f>IF('Economic Assumptions'!$B12+'Project Assumptions'!$D$15+'Project Assumptions'!$D$16-1='Detailed Cashflows'!G$5,-'Economic Assumptions'!$I12,0)</f>
        <v/>
      </c>
      <c r="H78" s="301">
        <f>IF('Economic Assumptions'!$B12+'Project Assumptions'!$D$15+'Project Assumptions'!$D$16-1='Detailed Cashflows'!H$5,-'Economic Assumptions'!$I12,0)</f>
        <v/>
      </c>
      <c r="I78" s="301">
        <f>IF('Economic Assumptions'!$B12+'Project Assumptions'!$D$15+'Project Assumptions'!$D$16-1='Detailed Cashflows'!I$5,-'Economic Assumptions'!$I12,0)</f>
        <v/>
      </c>
      <c r="J78" s="301">
        <f>IF('Economic Assumptions'!$B12+'Project Assumptions'!$D$15+'Project Assumptions'!$D$16-1='Detailed Cashflows'!J$5,-'Economic Assumptions'!$I12,0)</f>
        <v/>
      </c>
      <c r="K78" s="301">
        <f>IF('Economic Assumptions'!$B12+'Project Assumptions'!$D$15+'Project Assumptions'!$D$16-1='Detailed Cashflows'!K$5,-'Economic Assumptions'!$I12,0)</f>
        <v/>
      </c>
      <c r="L78" s="301">
        <f>IF('Economic Assumptions'!$B12+'Project Assumptions'!$D$15+'Project Assumptions'!$D$16-1='Detailed Cashflows'!L$5,-'Economic Assumptions'!$I12,0)</f>
        <v/>
      </c>
      <c r="M78" s="301">
        <f>IF('Economic Assumptions'!$B12+'Project Assumptions'!$D$15+'Project Assumptions'!$D$16-1='Detailed Cashflows'!M$5,-'Economic Assumptions'!$I12,0)</f>
        <v/>
      </c>
      <c r="N78" s="301">
        <f>IF('Economic Assumptions'!$B12+'Project Assumptions'!$D$15+'Project Assumptions'!$D$16-1='Detailed Cashflows'!N$5,-'Economic Assumptions'!$I12,0)</f>
        <v/>
      </c>
      <c r="O78" s="301">
        <f>IF('Economic Assumptions'!$B12+'Project Assumptions'!$D$15+'Project Assumptions'!$D$16-1='Detailed Cashflows'!O$5,-'Economic Assumptions'!$I12,0)</f>
        <v/>
      </c>
      <c r="P78" s="301">
        <f>IF('Economic Assumptions'!$B12+'Project Assumptions'!$D$15+'Project Assumptions'!$D$16-1='Detailed Cashflows'!P$5,-'Economic Assumptions'!$I12,0)</f>
        <v/>
      </c>
      <c r="Q78" s="301">
        <f>IF('Economic Assumptions'!$B12+'Project Assumptions'!$D$15+'Project Assumptions'!$D$16-1='Detailed Cashflows'!Q$5,-'Economic Assumptions'!$I12,0)</f>
        <v/>
      </c>
      <c r="R78" s="301">
        <f>IF('Economic Assumptions'!$B12+'Project Assumptions'!$D$15+'Project Assumptions'!$D$16-1='Detailed Cashflows'!R$5,-'Economic Assumptions'!$I12,0)</f>
        <v/>
      </c>
      <c r="S78" s="301">
        <f>IF('Economic Assumptions'!$B12+'Project Assumptions'!$D$15+'Project Assumptions'!$D$16-1='Detailed Cashflows'!S$5,-'Economic Assumptions'!$I12,0)</f>
        <v/>
      </c>
      <c r="T78" s="301">
        <f>IF('Economic Assumptions'!$B12+'Project Assumptions'!$D$15+'Project Assumptions'!$D$16-1='Detailed Cashflows'!T$5,-'Economic Assumptions'!$I12,0)</f>
        <v/>
      </c>
      <c r="U78" s="301">
        <f>IF('Economic Assumptions'!$B12+'Project Assumptions'!$D$15+'Project Assumptions'!$D$16-1='Detailed Cashflows'!U$5,-'Economic Assumptions'!$I12,0)</f>
        <v/>
      </c>
      <c r="V78" s="301">
        <f>IF('Economic Assumptions'!$B12+'Project Assumptions'!$D$15+'Project Assumptions'!$D$16-1='Detailed Cashflows'!V$5,-'Economic Assumptions'!$I12,0)</f>
        <v/>
      </c>
      <c r="W78" s="301">
        <f>IF('Economic Assumptions'!$B12+'Project Assumptions'!$D$15+'Project Assumptions'!$D$16-1='Detailed Cashflows'!W$5,-'Economic Assumptions'!$I12,0)</f>
        <v/>
      </c>
      <c r="X78" s="301">
        <f>IF('Economic Assumptions'!$B12+'Project Assumptions'!$D$15+'Project Assumptions'!$D$16-1='Detailed Cashflows'!X$5,-'Economic Assumptions'!$I12,0)</f>
        <v/>
      </c>
      <c r="Y78" s="301">
        <f>IF('Economic Assumptions'!$B12+'Project Assumptions'!$D$15+'Project Assumptions'!$D$16-1='Detailed Cashflows'!Y$5,-'Economic Assumptions'!$I12,0)</f>
        <v/>
      </c>
      <c r="Z78" s="301">
        <f>IF('Economic Assumptions'!$B12+'Project Assumptions'!$D$15+'Project Assumptions'!$D$16-1='Detailed Cashflows'!Z$5,-'Economic Assumptions'!$I12,0)</f>
        <v/>
      </c>
      <c r="AA78" s="301">
        <f>IF('Economic Assumptions'!$B12+'Project Assumptions'!$D$15+'Project Assumptions'!$D$16-1='Detailed Cashflows'!AA$5,-'Economic Assumptions'!$I12,0)</f>
        <v/>
      </c>
      <c r="AB78" s="301">
        <f>IF('Economic Assumptions'!$B12+'Project Assumptions'!$D$15+'Project Assumptions'!$D$16-1='Detailed Cashflows'!AB$5,-'Economic Assumptions'!$I12,0)</f>
        <v/>
      </c>
      <c r="AC78" s="301">
        <f>IF('Economic Assumptions'!$B12+'Project Assumptions'!$D$15+'Project Assumptions'!$D$16-1='Detailed Cashflows'!AC$5,-'Economic Assumptions'!$I12,0)</f>
        <v/>
      </c>
      <c r="AD78" s="301">
        <f>IF('Economic Assumptions'!$B12+'Project Assumptions'!$D$15+'Project Assumptions'!$D$16-1='Detailed Cashflows'!AD$5,-'Economic Assumptions'!$I12,0)</f>
        <v/>
      </c>
      <c r="AE78" s="301">
        <f>IF('Economic Assumptions'!$B12+'Project Assumptions'!$D$15+'Project Assumptions'!$D$16-1='Detailed Cashflows'!AE$5,-'Economic Assumptions'!$I12,0)</f>
        <v/>
      </c>
      <c r="AF78" s="301">
        <f>IF('Economic Assumptions'!$B12+'Project Assumptions'!$D$15+'Project Assumptions'!$D$16-1='Detailed Cashflows'!AF$5,-'Economic Assumptions'!$I12,0)</f>
        <v/>
      </c>
      <c r="AG78" s="301">
        <f>IF('Economic Assumptions'!$B12+'Project Assumptions'!$D$15+'Project Assumptions'!$D$16-1='Detailed Cashflows'!AG$5,-'Economic Assumptions'!$I12,0)</f>
        <v/>
      </c>
      <c r="AH78" s="301">
        <f>IF('Economic Assumptions'!$B12+'Project Assumptions'!$D$15+'Project Assumptions'!$D$16-1='Detailed Cashflows'!AH$5,-'Economic Assumptions'!$I12,0)</f>
        <v/>
      </c>
      <c r="AI78" s="301">
        <f>IF('Economic Assumptions'!$B12+'Project Assumptions'!$D$15+'Project Assumptions'!$D$16-1='Detailed Cashflows'!AI$5,-'Economic Assumptions'!$I12,0)</f>
        <v/>
      </c>
      <c r="AJ78" s="301">
        <f>IF('Economic Assumptions'!$B12+'Project Assumptions'!$D$15+'Project Assumptions'!$D$16-1='Detailed Cashflows'!AJ$5,-'Economic Assumptions'!$I12,0)</f>
        <v/>
      </c>
      <c r="AK78" s="301">
        <f>IF('Economic Assumptions'!$B12+'Project Assumptions'!$D$15+'Project Assumptions'!$D$16-1='Detailed Cashflows'!AK$5,-'Economic Assumptions'!$I12,0)</f>
        <v/>
      </c>
      <c r="AL78" s="301">
        <f>IF('Economic Assumptions'!$B12+'Project Assumptions'!$D$15+'Project Assumptions'!$D$16-1='Detailed Cashflows'!AL$5,-'Economic Assumptions'!$I12,0)</f>
        <v/>
      </c>
      <c r="AM78" s="301">
        <f>IF('Economic Assumptions'!$B12+'Project Assumptions'!$D$15+'Project Assumptions'!$D$16-1='Detailed Cashflows'!AM$5,-'Economic Assumptions'!$I12,0)</f>
        <v/>
      </c>
      <c r="AN78" s="301">
        <f>IF('Economic Assumptions'!$B12+'Project Assumptions'!$D$15+'Project Assumptions'!$D$16-1='Detailed Cashflows'!AN$5,-'Economic Assumptions'!$I12,0)</f>
        <v/>
      </c>
      <c r="AO78" s="301">
        <f>IF('Economic Assumptions'!$B12+'Project Assumptions'!$D$15+'Project Assumptions'!$D$16-1='Detailed Cashflows'!AO$5,-'Economic Assumptions'!$I12,0)</f>
        <v/>
      </c>
      <c r="AP78" s="301">
        <f>IF('Economic Assumptions'!$B12+'Project Assumptions'!$D$15+'Project Assumptions'!$D$16-1='Detailed Cashflows'!AP$5,-'Economic Assumptions'!$I12,0)</f>
        <v/>
      </c>
      <c r="AQ78" s="301">
        <f>IF('Economic Assumptions'!$B12+'Project Assumptions'!$D$15+'Project Assumptions'!$D$16-1='Detailed Cashflows'!AQ$5,-'Economic Assumptions'!$I12,0)</f>
        <v/>
      </c>
      <c r="AR78" s="301">
        <f>IF('Economic Assumptions'!$B12+'Project Assumptions'!$D$15+'Project Assumptions'!$D$16-1='Detailed Cashflows'!AR$5,-'Economic Assumptions'!$I12,0)</f>
        <v/>
      </c>
      <c r="AS78" s="301">
        <f>IF('Economic Assumptions'!$B12+'Project Assumptions'!$D$15+'Project Assumptions'!$D$16-1='Detailed Cashflows'!AS$5,-'Economic Assumptions'!$I12,0)</f>
        <v/>
      </c>
      <c r="AT78" s="301">
        <f>IF('Economic Assumptions'!$B12+'Project Assumptions'!$D$15+'Project Assumptions'!$D$16-1='Detailed Cashflows'!AT$5,-'Economic Assumptions'!$I12,0)</f>
        <v/>
      </c>
      <c r="AU78" s="301">
        <f>IF('Economic Assumptions'!$B12+'Project Assumptions'!$D$15+'Project Assumptions'!$D$16-1='Detailed Cashflows'!AU$5,-'Economic Assumptions'!$I12,0)</f>
        <v/>
      </c>
      <c r="AV78" s="301">
        <f>IF('Economic Assumptions'!$B12+'Project Assumptions'!$D$15+'Project Assumptions'!$D$16-1='Detailed Cashflows'!AV$5,-'Economic Assumptions'!$I12,0)</f>
        <v/>
      </c>
      <c r="AW78" s="301">
        <f>IF('Economic Assumptions'!$B12+'Project Assumptions'!$D$15+'Project Assumptions'!$D$16-1='Detailed Cashflows'!AW$5,-'Economic Assumptions'!$I12,0)</f>
        <v/>
      </c>
      <c r="AX78" s="301">
        <f>IF('Economic Assumptions'!$B12+'Project Assumptions'!$D$15+'Project Assumptions'!$D$16-1='Detailed Cashflows'!AX$5,-'Economic Assumptions'!$I12,0)</f>
        <v/>
      </c>
      <c r="AY78" s="301">
        <f>IF('Economic Assumptions'!$B12+'Project Assumptions'!$D$15+'Project Assumptions'!$D$16-1='Detailed Cashflows'!AY$5,-'Economic Assumptions'!$I12,0)</f>
        <v/>
      </c>
      <c r="AZ78" s="301">
        <f>IF('Economic Assumptions'!$B12+'Project Assumptions'!$D$15+'Project Assumptions'!$D$16-1='Detailed Cashflows'!AZ$5,-'Economic Assumptions'!$I12,0)</f>
        <v/>
      </c>
      <c r="BA78" s="301">
        <f>IF('Economic Assumptions'!$B12+'Project Assumptions'!$D$15+'Project Assumptions'!$D$16-1='Detailed Cashflows'!BA$5,-'Economic Assumptions'!$I12,0)</f>
        <v/>
      </c>
      <c r="BB78" s="301">
        <f>IF('Economic Assumptions'!$B12+'Project Assumptions'!$D$15+'Project Assumptions'!$D$16-1='Detailed Cashflows'!BB$5,-'Economic Assumptions'!$I12,0)</f>
        <v/>
      </c>
      <c r="BC78" s="301">
        <f>IF('Economic Assumptions'!$B12+'Project Assumptions'!$D$15+'Project Assumptions'!$D$16-1='Detailed Cashflows'!BC$5,-'Economic Assumptions'!$I12,0)</f>
        <v/>
      </c>
      <c r="BD78" s="301">
        <f>IF('Economic Assumptions'!$B12+'Project Assumptions'!$D$15+'Project Assumptions'!$D$16-1='Detailed Cashflows'!BD$5,-'Economic Assumptions'!$I12,0)</f>
        <v/>
      </c>
      <c r="BE78" s="301">
        <f>IF('Economic Assumptions'!$B12+'Project Assumptions'!$D$15+'Project Assumptions'!$D$16-1='Detailed Cashflows'!BE$5,-'Economic Assumptions'!$I12,0)</f>
        <v/>
      </c>
      <c r="BF78" s="301">
        <f>IF('Economic Assumptions'!$B12+'Project Assumptions'!$D$15+'Project Assumptions'!$D$16-1='Detailed Cashflows'!BF$5,-'Economic Assumptions'!$I12,0)</f>
        <v/>
      </c>
      <c r="BG78" s="301">
        <f>IF('Economic Assumptions'!$B12+'Project Assumptions'!$D$15+'Project Assumptions'!$D$16-1='Detailed Cashflows'!BG$5,-'Economic Assumptions'!$I12,0)</f>
        <v/>
      </c>
      <c r="BH78" s="301">
        <f>IF('Economic Assumptions'!$B12+'Project Assumptions'!$D$15+'Project Assumptions'!$D$16-1='Detailed Cashflows'!BH$5,-'Economic Assumptions'!$I12,0)</f>
        <v/>
      </c>
      <c r="BI78" s="301">
        <f>IF('Economic Assumptions'!$B12+'Project Assumptions'!$D$15+'Project Assumptions'!$D$16-1='Detailed Cashflows'!BI$5,-'Economic Assumptions'!$I12,0)</f>
        <v/>
      </c>
      <c r="BJ78" s="301">
        <f>IF('Economic Assumptions'!$B12+'Project Assumptions'!$D$15+'Project Assumptions'!$D$16-1='Detailed Cashflows'!BJ$5,-'Economic Assumptions'!$I12,0)</f>
        <v/>
      </c>
      <c r="BK78" s="301">
        <f>IF('Economic Assumptions'!$B12+'Project Assumptions'!$D$15+'Project Assumptions'!$D$16-1='Detailed Cashflows'!BK$5,-'Economic Assumptions'!$I12,0)</f>
        <v/>
      </c>
      <c r="BL78" s="301">
        <f>IF('Economic Assumptions'!$B12+'Project Assumptions'!$D$15+'Project Assumptions'!$D$16-1='Detailed Cashflows'!BL$5,-'Economic Assumptions'!$I12,0)</f>
        <v/>
      </c>
      <c r="BM78" s="301">
        <f>IF('Economic Assumptions'!$B12+'Project Assumptions'!$D$15+'Project Assumptions'!$D$16-1='Detailed Cashflows'!BM$5,-'Economic Assumptions'!$I12,0)</f>
        <v/>
      </c>
      <c r="BN78" s="301">
        <f>IF('Economic Assumptions'!$B12+'Project Assumptions'!$D$15+'Project Assumptions'!$D$16-1='Detailed Cashflows'!BN$5,-'Economic Assumptions'!$I12,0)</f>
        <v/>
      </c>
      <c r="BO78" s="301">
        <f>IF('Economic Assumptions'!$B12+'Project Assumptions'!$D$15+'Project Assumptions'!$D$16-1='Detailed Cashflows'!BO$5,-'Economic Assumptions'!$I12,0)</f>
        <v/>
      </c>
      <c r="BP78" s="301">
        <f>IF('Economic Assumptions'!$B12+'Project Assumptions'!$D$15+'Project Assumptions'!$D$16-1='Detailed Cashflows'!BP$5,-'Economic Assumptions'!$I12,0)</f>
        <v/>
      </c>
      <c r="BQ78" s="301">
        <f>IF('Economic Assumptions'!$B12+'Project Assumptions'!$D$15+'Project Assumptions'!$D$16-1='Detailed Cashflows'!BQ$5,-'Economic Assumptions'!$I12,0)</f>
        <v/>
      </c>
      <c r="BR78" s="301">
        <f>IF('Economic Assumptions'!$B12+'Project Assumptions'!$D$15+'Project Assumptions'!$D$16-1='Detailed Cashflows'!BR$5,-'Economic Assumptions'!$I12,0)</f>
        <v/>
      </c>
      <c r="BS78" s="301">
        <f>IF('Economic Assumptions'!$B12+'Project Assumptions'!$D$15+'Project Assumptions'!$D$16-1='Detailed Cashflows'!BS$5,-'Economic Assumptions'!$I12,0)</f>
        <v/>
      </c>
      <c r="BT78" s="301">
        <f>IF('Economic Assumptions'!$B12+'Project Assumptions'!$D$15+'Project Assumptions'!$D$16-1='Detailed Cashflows'!BT$5,-'Economic Assumptions'!$I12,0)</f>
        <v/>
      </c>
      <c r="BU78" s="301">
        <f>IF('Economic Assumptions'!$B12+'Project Assumptions'!$D$15+'Project Assumptions'!$D$16-1='Detailed Cashflows'!BU$5,-'Economic Assumptions'!$I12,0)</f>
        <v/>
      </c>
      <c r="BV78" s="301">
        <f>IF('Economic Assumptions'!$B12+'Project Assumptions'!$D$15+'Project Assumptions'!$D$16-1='Detailed Cashflows'!BV$5,-'Economic Assumptions'!$I12,0)</f>
        <v/>
      </c>
      <c r="BW78" s="301">
        <f>IF('Economic Assumptions'!$B12+'Project Assumptions'!$D$15+'Project Assumptions'!$D$16-1='Detailed Cashflows'!BW$5,-'Economic Assumptions'!$I12,0)</f>
        <v/>
      </c>
      <c r="BX78" s="301">
        <f>IF('Economic Assumptions'!$B12+'Project Assumptions'!$D$15+'Project Assumptions'!$D$16-1='Detailed Cashflows'!BX$5,-'Economic Assumptions'!$I12,0)</f>
        <v/>
      </c>
      <c r="BY78" s="301">
        <f>IF('Economic Assumptions'!$B12+'Project Assumptions'!$D$15+'Project Assumptions'!$D$16-1='Detailed Cashflows'!BY$5,-'Economic Assumptions'!$I12,0)</f>
        <v/>
      </c>
      <c r="BZ78" s="301">
        <f>IF('Economic Assumptions'!$B12+'Project Assumptions'!$D$15+'Project Assumptions'!$D$16-1='Detailed Cashflows'!BZ$5,-'Economic Assumptions'!$I12,0)</f>
        <v/>
      </c>
      <c r="CA78" s="301">
        <f>IF('Economic Assumptions'!$B12+'Project Assumptions'!$D$15+'Project Assumptions'!$D$16-1='Detailed Cashflows'!CA$5,-'Economic Assumptions'!$I12,0)</f>
        <v/>
      </c>
      <c r="CB78" s="301">
        <f>IF('Economic Assumptions'!$B12+'Project Assumptions'!$D$15+'Project Assumptions'!$D$16-1='Detailed Cashflows'!CB$5,-'Economic Assumptions'!$I12,0)</f>
        <v/>
      </c>
      <c r="CC78" s="301">
        <f>IF('Economic Assumptions'!$B12+'Project Assumptions'!$D$15+'Project Assumptions'!$D$16-1='Detailed Cashflows'!CC$5,-'Economic Assumptions'!$I12,0)</f>
        <v/>
      </c>
      <c r="CD78" s="301">
        <f>IF('Economic Assumptions'!$B12+'Project Assumptions'!$D$15+'Project Assumptions'!$D$16-1='Detailed Cashflows'!CD$5,-'Economic Assumptions'!$I12,0)</f>
        <v/>
      </c>
      <c r="CE78" s="301">
        <f>IF('Economic Assumptions'!$B12+'Project Assumptions'!$D$15+'Project Assumptions'!$D$16-1='Detailed Cashflows'!CE$5,-'Economic Assumptions'!$I12,0)</f>
        <v/>
      </c>
      <c r="CF78" s="301">
        <f>IF('Economic Assumptions'!$B12+'Project Assumptions'!$D$15+'Project Assumptions'!$D$16-1='Detailed Cashflows'!CF$5,-'Economic Assumptions'!$I12,0)</f>
        <v/>
      </c>
      <c r="CG78" s="301">
        <f>IF('Economic Assumptions'!$B12+'Project Assumptions'!$D$15+'Project Assumptions'!$D$16-1='Detailed Cashflows'!CG$5,-'Economic Assumptions'!$I12,0)</f>
        <v/>
      </c>
      <c r="CH78" s="301">
        <f>IF('Economic Assumptions'!$B12+'Project Assumptions'!$D$15+'Project Assumptions'!$D$16-1='Detailed Cashflows'!CH$5,-'Economic Assumptions'!$I12,0)</f>
        <v/>
      </c>
      <c r="CI78" s="301">
        <f>IF('Economic Assumptions'!$B12+'Project Assumptions'!$D$15+'Project Assumptions'!$D$16-1='Detailed Cashflows'!CI$5,-'Economic Assumptions'!$I12,0)</f>
        <v/>
      </c>
      <c r="CJ78" s="301">
        <f>IF('Economic Assumptions'!$B12+'Project Assumptions'!$D$15+'Project Assumptions'!$D$16-1='Detailed Cashflows'!CJ$5,-'Economic Assumptions'!$I12,0)</f>
        <v/>
      </c>
      <c r="CK78" s="301">
        <f>IF('Economic Assumptions'!$B12+'Project Assumptions'!$D$15+'Project Assumptions'!$D$16-1='Detailed Cashflows'!CK$5,-'Economic Assumptions'!$I12,0)</f>
        <v/>
      </c>
      <c r="CL78" s="301">
        <f>IF('Economic Assumptions'!$B12+'Project Assumptions'!$D$15+'Project Assumptions'!$D$16-1='Detailed Cashflows'!CL$5,-'Economic Assumptions'!$I12,0)</f>
        <v/>
      </c>
      <c r="CM78" s="301">
        <f>IF('Economic Assumptions'!$B12+'Project Assumptions'!$D$15+'Project Assumptions'!$D$16-1='Detailed Cashflows'!CM$5,-'Economic Assumptions'!$I12,0)</f>
        <v/>
      </c>
      <c r="CN78" s="301">
        <f>IF('Economic Assumptions'!$B12+'Project Assumptions'!$D$15+'Project Assumptions'!$D$16-1='Detailed Cashflows'!CN$5,-'Economic Assumptions'!$I12,0)</f>
        <v/>
      </c>
      <c r="CO78" s="301">
        <f>IF('Economic Assumptions'!$B12+'Project Assumptions'!$D$15+'Project Assumptions'!$D$16-1='Detailed Cashflows'!CO$5,-'Economic Assumptions'!$I12,0)</f>
        <v/>
      </c>
      <c r="CP78" s="301">
        <f>IF('Economic Assumptions'!$B12+'Project Assumptions'!$D$15+'Project Assumptions'!$D$16-1='Detailed Cashflows'!CP$5,-'Economic Assumptions'!$I12,0)</f>
        <v/>
      </c>
      <c r="CQ78" s="301">
        <f>IF('Economic Assumptions'!$B12+'Project Assumptions'!$D$15+'Project Assumptions'!$D$16-1='Detailed Cashflows'!CQ$5,-'Economic Assumptions'!$I12,0)</f>
        <v/>
      </c>
      <c r="CR78" s="301">
        <f>IF('Economic Assumptions'!$B12+'Project Assumptions'!$D$15+'Project Assumptions'!$D$16-1='Detailed Cashflows'!CR$5,-'Economic Assumptions'!$I12,0)</f>
        <v/>
      </c>
      <c r="CS78" s="301">
        <f>IF('Economic Assumptions'!$B12+'Project Assumptions'!$D$15+'Project Assumptions'!$D$16-1='Detailed Cashflows'!CS$5,-'Economic Assumptions'!$I12,0)</f>
        <v/>
      </c>
      <c r="CT78" s="301">
        <f>IF('Economic Assumptions'!$B12+'Project Assumptions'!$D$15+'Project Assumptions'!$D$16-1='Detailed Cashflows'!CT$5,-'Economic Assumptions'!$I12,0)</f>
        <v/>
      </c>
      <c r="CU78" s="301">
        <f>IF('Economic Assumptions'!$B12+'Project Assumptions'!$D$15+'Project Assumptions'!$D$16-1='Detailed Cashflows'!CU$5,-'Economic Assumptions'!$I12,0)</f>
        <v/>
      </c>
      <c r="CV78" s="301">
        <f>IF('Economic Assumptions'!$B12+'Project Assumptions'!$D$15+'Project Assumptions'!$D$16-1='Detailed Cashflows'!CV$5,-'Economic Assumptions'!$I12,0)</f>
        <v/>
      </c>
      <c r="CW78" s="301">
        <f>IF('Economic Assumptions'!$B12+'Project Assumptions'!$D$15+'Project Assumptions'!$D$16-1='Detailed Cashflows'!CW$5,-'Economic Assumptions'!$I12,0)</f>
        <v/>
      </c>
      <c r="CX78" s="301">
        <f>IF('Economic Assumptions'!$B12+'Project Assumptions'!$D$15+'Project Assumptions'!$D$16-1='Detailed Cashflows'!CX$5,-'Economic Assumptions'!$I12,0)</f>
        <v/>
      </c>
      <c r="CY78" s="301">
        <f>IF('Economic Assumptions'!$B12+'Project Assumptions'!$D$15+'Project Assumptions'!$D$16-1='Detailed Cashflows'!CY$5,-'Economic Assumptions'!$I12,0)</f>
        <v/>
      </c>
      <c r="CZ78" s="301">
        <f>IF('Economic Assumptions'!$B12+'Project Assumptions'!$D$15+'Project Assumptions'!$D$16-1='Detailed Cashflows'!CZ$5,-'Economic Assumptions'!$I12,0)</f>
        <v/>
      </c>
      <c r="DA78" s="301">
        <f>IF('Economic Assumptions'!$B12+'Project Assumptions'!$D$15+'Project Assumptions'!$D$16-1='Detailed Cashflows'!DA$5,-'Economic Assumptions'!$I12,0)</f>
        <v/>
      </c>
      <c r="DB78" s="301">
        <f>IF('Economic Assumptions'!$B12+'Project Assumptions'!$D$15+'Project Assumptions'!$D$16-1='Detailed Cashflows'!DB$5,-'Economic Assumptions'!$I12,0)</f>
        <v/>
      </c>
      <c r="DC78" s="301" t="n"/>
      <c r="DD78" s="299">
        <f>SUM(F78:DB78)</f>
        <v/>
      </c>
    </row>
    <row r="79" hidden="1" outlineLevel="1">
      <c r="A79" s="1000" t="n"/>
      <c r="B79" s="640">
        <f>'Economic Assumptions'!$A$13</f>
        <v/>
      </c>
      <c r="C79" s="294" t="n"/>
      <c r="D79" s="299">
        <f>DD79</f>
        <v/>
      </c>
      <c r="E79" s="300" t="n"/>
      <c r="F79" s="301">
        <f>IF('Economic Assumptions'!$B13+'Project Assumptions'!$D$15+'Project Assumptions'!$D$16-1='Detailed Cashflows'!F$5,-'Economic Assumptions'!$I13,0)</f>
        <v/>
      </c>
      <c r="G79" s="301">
        <f>IF('Economic Assumptions'!$B13+'Project Assumptions'!$D$15+'Project Assumptions'!$D$16-1='Detailed Cashflows'!G$5,-'Economic Assumptions'!$I13,0)</f>
        <v/>
      </c>
      <c r="H79" s="301">
        <f>IF('Economic Assumptions'!$B13+'Project Assumptions'!$D$15+'Project Assumptions'!$D$16-1='Detailed Cashflows'!H$5,-'Economic Assumptions'!$I13,0)</f>
        <v/>
      </c>
      <c r="I79" s="301">
        <f>IF('Economic Assumptions'!$B13+'Project Assumptions'!$D$15+'Project Assumptions'!$D$16-1='Detailed Cashflows'!I$5,-'Economic Assumptions'!$I13,0)</f>
        <v/>
      </c>
      <c r="J79" s="301">
        <f>IF('Economic Assumptions'!$B13+'Project Assumptions'!$D$15+'Project Assumptions'!$D$16-1='Detailed Cashflows'!J$5,-'Economic Assumptions'!$I13,0)</f>
        <v/>
      </c>
      <c r="K79" s="301">
        <f>IF('Economic Assumptions'!$B13+'Project Assumptions'!$D$15+'Project Assumptions'!$D$16-1='Detailed Cashflows'!K$5,-'Economic Assumptions'!$I13,0)</f>
        <v/>
      </c>
      <c r="L79" s="301">
        <f>IF('Economic Assumptions'!$B13+'Project Assumptions'!$D$15+'Project Assumptions'!$D$16-1='Detailed Cashflows'!L$5,-'Economic Assumptions'!$I13,0)</f>
        <v/>
      </c>
      <c r="M79" s="301">
        <f>IF('Economic Assumptions'!$B13+'Project Assumptions'!$D$15+'Project Assumptions'!$D$16-1='Detailed Cashflows'!M$5,-'Economic Assumptions'!$I13,0)</f>
        <v/>
      </c>
      <c r="N79" s="301">
        <f>IF('Economic Assumptions'!$B13+'Project Assumptions'!$D$15+'Project Assumptions'!$D$16-1='Detailed Cashflows'!N$5,-'Economic Assumptions'!$I13,0)</f>
        <v/>
      </c>
      <c r="O79" s="301">
        <f>IF('Economic Assumptions'!$B13+'Project Assumptions'!$D$15+'Project Assumptions'!$D$16-1='Detailed Cashflows'!O$5,-'Economic Assumptions'!$I13,0)</f>
        <v/>
      </c>
      <c r="P79" s="301">
        <f>IF('Economic Assumptions'!$B13+'Project Assumptions'!$D$15+'Project Assumptions'!$D$16-1='Detailed Cashflows'!P$5,-'Economic Assumptions'!$I13,0)</f>
        <v/>
      </c>
      <c r="Q79" s="301">
        <f>IF('Economic Assumptions'!$B13+'Project Assumptions'!$D$15+'Project Assumptions'!$D$16-1='Detailed Cashflows'!Q$5,-'Economic Assumptions'!$I13,0)</f>
        <v/>
      </c>
      <c r="R79" s="301">
        <f>IF('Economic Assumptions'!$B13+'Project Assumptions'!$D$15+'Project Assumptions'!$D$16-1='Detailed Cashflows'!R$5,-'Economic Assumptions'!$I13,0)</f>
        <v/>
      </c>
      <c r="S79" s="301">
        <f>IF('Economic Assumptions'!$B13+'Project Assumptions'!$D$15+'Project Assumptions'!$D$16-1='Detailed Cashflows'!S$5,-'Economic Assumptions'!$I13,0)</f>
        <v/>
      </c>
      <c r="T79" s="301">
        <f>IF('Economic Assumptions'!$B13+'Project Assumptions'!$D$15+'Project Assumptions'!$D$16-1='Detailed Cashflows'!T$5,-'Economic Assumptions'!$I13,0)</f>
        <v/>
      </c>
      <c r="U79" s="301">
        <f>IF('Economic Assumptions'!$B13+'Project Assumptions'!$D$15+'Project Assumptions'!$D$16-1='Detailed Cashflows'!U$5,-'Economic Assumptions'!$I13,0)</f>
        <v/>
      </c>
      <c r="V79" s="301">
        <f>IF('Economic Assumptions'!$B13+'Project Assumptions'!$D$15+'Project Assumptions'!$D$16-1='Detailed Cashflows'!V$5,-'Economic Assumptions'!$I13,0)</f>
        <v/>
      </c>
      <c r="W79" s="301">
        <f>IF('Economic Assumptions'!$B13+'Project Assumptions'!$D$15+'Project Assumptions'!$D$16-1='Detailed Cashflows'!W$5,-'Economic Assumptions'!$I13,0)</f>
        <v/>
      </c>
      <c r="X79" s="301">
        <f>IF('Economic Assumptions'!$B13+'Project Assumptions'!$D$15+'Project Assumptions'!$D$16-1='Detailed Cashflows'!X$5,-'Economic Assumptions'!$I13,0)</f>
        <v/>
      </c>
      <c r="Y79" s="301">
        <f>IF('Economic Assumptions'!$B13+'Project Assumptions'!$D$15+'Project Assumptions'!$D$16-1='Detailed Cashflows'!Y$5,-'Economic Assumptions'!$I13,0)</f>
        <v/>
      </c>
      <c r="Z79" s="301">
        <f>IF('Economic Assumptions'!$B13+'Project Assumptions'!$D$15+'Project Assumptions'!$D$16-1='Detailed Cashflows'!Z$5,-'Economic Assumptions'!$I13,0)</f>
        <v/>
      </c>
      <c r="AA79" s="301">
        <f>IF('Economic Assumptions'!$B13+'Project Assumptions'!$D$15+'Project Assumptions'!$D$16-1='Detailed Cashflows'!AA$5,-'Economic Assumptions'!$I13,0)</f>
        <v/>
      </c>
      <c r="AB79" s="301">
        <f>IF('Economic Assumptions'!$B13+'Project Assumptions'!$D$15+'Project Assumptions'!$D$16-1='Detailed Cashflows'!AB$5,-'Economic Assumptions'!$I13,0)</f>
        <v/>
      </c>
      <c r="AC79" s="301">
        <f>IF('Economic Assumptions'!$B13+'Project Assumptions'!$D$15+'Project Assumptions'!$D$16-1='Detailed Cashflows'!AC$5,-'Economic Assumptions'!$I13,0)</f>
        <v/>
      </c>
      <c r="AD79" s="301">
        <f>IF('Economic Assumptions'!$B13+'Project Assumptions'!$D$15+'Project Assumptions'!$D$16-1='Detailed Cashflows'!AD$5,-'Economic Assumptions'!$I13,0)</f>
        <v/>
      </c>
      <c r="AE79" s="301">
        <f>IF('Economic Assumptions'!$B13+'Project Assumptions'!$D$15+'Project Assumptions'!$D$16-1='Detailed Cashflows'!AE$5,-'Economic Assumptions'!$I13,0)</f>
        <v/>
      </c>
      <c r="AF79" s="301">
        <f>IF('Economic Assumptions'!$B13+'Project Assumptions'!$D$15+'Project Assumptions'!$D$16-1='Detailed Cashflows'!AF$5,-'Economic Assumptions'!$I13,0)</f>
        <v/>
      </c>
      <c r="AG79" s="301">
        <f>IF('Economic Assumptions'!$B13+'Project Assumptions'!$D$15+'Project Assumptions'!$D$16-1='Detailed Cashflows'!AG$5,-'Economic Assumptions'!$I13,0)</f>
        <v/>
      </c>
      <c r="AH79" s="301">
        <f>IF('Economic Assumptions'!$B13+'Project Assumptions'!$D$15+'Project Assumptions'!$D$16-1='Detailed Cashflows'!AH$5,-'Economic Assumptions'!$I13,0)</f>
        <v/>
      </c>
      <c r="AI79" s="301">
        <f>IF('Economic Assumptions'!$B13+'Project Assumptions'!$D$15+'Project Assumptions'!$D$16-1='Detailed Cashflows'!AI$5,-'Economic Assumptions'!$I13,0)</f>
        <v/>
      </c>
      <c r="AJ79" s="301">
        <f>IF('Economic Assumptions'!$B13+'Project Assumptions'!$D$15+'Project Assumptions'!$D$16-1='Detailed Cashflows'!AJ$5,-'Economic Assumptions'!$I13,0)</f>
        <v/>
      </c>
      <c r="AK79" s="301">
        <f>IF('Economic Assumptions'!$B13+'Project Assumptions'!$D$15+'Project Assumptions'!$D$16-1='Detailed Cashflows'!AK$5,-'Economic Assumptions'!$I13,0)</f>
        <v/>
      </c>
      <c r="AL79" s="301">
        <f>IF('Economic Assumptions'!$B13+'Project Assumptions'!$D$15+'Project Assumptions'!$D$16-1='Detailed Cashflows'!AL$5,-'Economic Assumptions'!$I13,0)</f>
        <v/>
      </c>
      <c r="AM79" s="301">
        <f>IF('Economic Assumptions'!$B13+'Project Assumptions'!$D$15+'Project Assumptions'!$D$16-1='Detailed Cashflows'!AM$5,-'Economic Assumptions'!$I13,0)</f>
        <v/>
      </c>
      <c r="AN79" s="301">
        <f>IF('Economic Assumptions'!$B13+'Project Assumptions'!$D$15+'Project Assumptions'!$D$16-1='Detailed Cashflows'!AN$5,-'Economic Assumptions'!$I13,0)</f>
        <v/>
      </c>
      <c r="AO79" s="301">
        <f>IF('Economic Assumptions'!$B13+'Project Assumptions'!$D$15+'Project Assumptions'!$D$16-1='Detailed Cashflows'!AO$5,-'Economic Assumptions'!$I13,0)</f>
        <v/>
      </c>
      <c r="AP79" s="301">
        <f>IF('Economic Assumptions'!$B13+'Project Assumptions'!$D$15+'Project Assumptions'!$D$16-1='Detailed Cashflows'!AP$5,-'Economic Assumptions'!$I13,0)</f>
        <v/>
      </c>
      <c r="AQ79" s="301">
        <f>IF('Economic Assumptions'!$B13+'Project Assumptions'!$D$15+'Project Assumptions'!$D$16-1='Detailed Cashflows'!AQ$5,-'Economic Assumptions'!$I13,0)</f>
        <v/>
      </c>
      <c r="AR79" s="301">
        <f>IF('Economic Assumptions'!$B13+'Project Assumptions'!$D$15+'Project Assumptions'!$D$16-1='Detailed Cashflows'!AR$5,-'Economic Assumptions'!$I13,0)</f>
        <v/>
      </c>
      <c r="AS79" s="301">
        <f>IF('Economic Assumptions'!$B13+'Project Assumptions'!$D$15+'Project Assumptions'!$D$16-1='Detailed Cashflows'!AS$5,-'Economic Assumptions'!$I13,0)</f>
        <v/>
      </c>
      <c r="AT79" s="301">
        <f>IF('Economic Assumptions'!$B13+'Project Assumptions'!$D$15+'Project Assumptions'!$D$16-1='Detailed Cashflows'!AT$5,-'Economic Assumptions'!$I13,0)</f>
        <v/>
      </c>
      <c r="AU79" s="301">
        <f>IF('Economic Assumptions'!$B13+'Project Assumptions'!$D$15+'Project Assumptions'!$D$16-1='Detailed Cashflows'!AU$5,-'Economic Assumptions'!$I13,0)</f>
        <v/>
      </c>
      <c r="AV79" s="301">
        <f>IF('Economic Assumptions'!$B13+'Project Assumptions'!$D$15+'Project Assumptions'!$D$16-1='Detailed Cashflows'!AV$5,-'Economic Assumptions'!$I13,0)</f>
        <v/>
      </c>
      <c r="AW79" s="301">
        <f>IF('Economic Assumptions'!$B13+'Project Assumptions'!$D$15+'Project Assumptions'!$D$16-1='Detailed Cashflows'!AW$5,-'Economic Assumptions'!$I13,0)</f>
        <v/>
      </c>
      <c r="AX79" s="301">
        <f>IF('Economic Assumptions'!$B13+'Project Assumptions'!$D$15+'Project Assumptions'!$D$16-1='Detailed Cashflows'!AX$5,-'Economic Assumptions'!$I13,0)</f>
        <v/>
      </c>
      <c r="AY79" s="301">
        <f>IF('Economic Assumptions'!$B13+'Project Assumptions'!$D$15+'Project Assumptions'!$D$16-1='Detailed Cashflows'!AY$5,-'Economic Assumptions'!$I13,0)</f>
        <v/>
      </c>
      <c r="AZ79" s="301">
        <f>IF('Economic Assumptions'!$B13+'Project Assumptions'!$D$15+'Project Assumptions'!$D$16-1='Detailed Cashflows'!AZ$5,-'Economic Assumptions'!$I13,0)</f>
        <v/>
      </c>
      <c r="BA79" s="301">
        <f>IF('Economic Assumptions'!$B13+'Project Assumptions'!$D$15+'Project Assumptions'!$D$16-1='Detailed Cashflows'!BA$5,-'Economic Assumptions'!$I13,0)</f>
        <v/>
      </c>
      <c r="BB79" s="301">
        <f>IF('Economic Assumptions'!$B13+'Project Assumptions'!$D$15+'Project Assumptions'!$D$16-1='Detailed Cashflows'!BB$5,-'Economic Assumptions'!$I13,0)</f>
        <v/>
      </c>
      <c r="BC79" s="301">
        <f>IF('Economic Assumptions'!$B13+'Project Assumptions'!$D$15+'Project Assumptions'!$D$16-1='Detailed Cashflows'!BC$5,-'Economic Assumptions'!$I13,0)</f>
        <v/>
      </c>
      <c r="BD79" s="301">
        <f>IF('Economic Assumptions'!$B13+'Project Assumptions'!$D$15+'Project Assumptions'!$D$16-1='Detailed Cashflows'!BD$5,-'Economic Assumptions'!$I13,0)</f>
        <v/>
      </c>
      <c r="BE79" s="301">
        <f>IF('Economic Assumptions'!$B13+'Project Assumptions'!$D$15+'Project Assumptions'!$D$16-1='Detailed Cashflows'!BE$5,-'Economic Assumptions'!$I13,0)</f>
        <v/>
      </c>
      <c r="BF79" s="301">
        <f>IF('Economic Assumptions'!$B13+'Project Assumptions'!$D$15+'Project Assumptions'!$D$16-1='Detailed Cashflows'!BF$5,-'Economic Assumptions'!$I13,0)</f>
        <v/>
      </c>
      <c r="BG79" s="301">
        <f>IF('Economic Assumptions'!$B13+'Project Assumptions'!$D$15+'Project Assumptions'!$D$16-1='Detailed Cashflows'!BG$5,-'Economic Assumptions'!$I13,0)</f>
        <v/>
      </c>
      <c r="BH79" s="301">
        <f>IF('Economic Assumptions'!$B13+'Project Assumptions'!$D$15+'Project Assumptions'!$D$16-1='Detailed Cashflows'!BH$5,-'Economic Assumptions'!$I13,0)</f>
        <v/>
      </c>
      <c r="BI79" s="301">
        <f>IF('Economic Assumptions'!$B13+'Project Assumptions'!$D$15+'Project Assumptions'!$D$16-1='Detailed Cashflows'!BI$5,-'Economic Assumptions'!$I13,0)</f>
        <v/>
      </c>
      <c r="BJ79" s="301">
        <f>IF('Economic Assumptions'!$B13+'Project Assumptions'!$D$15+'Project Assumptions'!$D$16-1='Detailed Cashflows'!BJ$5,-'Economic Assumptions'!$I13,0)</f>
        <v/>
      </c>
      <c r="BK79" s="301">
        <f>IF('Economic Assumptions'!$B13+'Project Assumptions'!$D$15+'Project Assumptions'!$D$16-1='Detailed Cashflows'!BK$5,-'Economic Assumptions'!$I13,0)</f>
        <v/>
      </c>
      <c r="BL79" s="301">
        <f>IF('Economic Assumptions'!$B13+'Project Assumptions'!$D$15+'Project Assumptions'!$D$16-1='Detailed Cashflows'!BL$5,-'Economic Assumptions'!$I13,0)</f>
        <v/>
      </c>
      <c r="BM79" s="301">
        <f>IF('Economic Assumptions'!$B13+'Project Assumptions'!$D$15+'Project Assumptions'!$D$16-1='Detailed Cashflows'!BM$5,-'Economic Assumptions'!$I13,0)</f>
        <v/>
      </c>
      <c r="BN79" s="301">
        <f>IF('Economic Assumptions'!$B13+'Project Assumptions'!$D$15+'Project Assumptions'!$D$16-1='Detailed Cashflows'!BN$5,-'Economic Assumptions'!$I13,0)</f>
        <v/>
      </c>
      <c r="BO79" s="301">
        <f>IF('Economic Assumptions'!$B13+'Project Assumptions'!$D$15+'Project Assumptions'!$D$16-1='Detailed Cashflows'!BO$5,-'Economic Assumptions'!$I13,0)</f>
        <v/>
      </c>
      <c r="BP79" s="301">
        <f>IF('Economic Assumptions'!$B13+'Project Assumptions'!$D$15+'Project Assumptions'!$D$16-1='Detailed Cashflows'!BP$5,-'Economic Assumptions'!$I13,0)</f>
        <v/>
      </c>
      <c r="BQ79" s="301">
        <f>IF('Economic Assumptions'!$B13+'Project Assumptions'!$D$15+'Project Assumptions'!$D$16-1='Detailed Cashflows'!BQ$5,-'Economic Assumptions'!$I13,0)</f>
        <v/>
      </c>
      <c r="BR79" s="301">
        <f>IF('Economic Assumptions'!$B13+'Project Assumptions'!$D$15+'Project Assumptions'!$D$16-1='Detailed Cashflows'!BR$5,-'Economic Assumptions'!$I13,0)</f>
        <v/>
      </c>
      <c r="BS79" s="301">
        <f>IF('Economic Assumptions'!$B13+'Project Assumptions'!$D$15+'Project Assumptions'!$D$16-1='Detailed Cashflows'!BS$5,-'Economic Assumptions'!$I13,0)</f>
        <v/>
      </c>
      <c r="BT79" s="301">
        <f>IF('Economic Assumptions'!$B13+'Project Assumptions'!$D$15+'Project Assumptions'!$D$16-1='Detailed Cashflows'!BT$5,-'Economic Assumptions'!$I13,0)</f>
        <v/>
      </c>
      <c r="BU79" s="301">
        <f>IF('Economic Assumptions'!$B13+'Project Assumptions'!$D$15+'Project Assumptions'!$D$16-1='Detailed Cashflows'!BU$5,-'Economic Assumptions'!$I13,0)</f>
        <v/>
      </c>
      <c r="BV79" s="301">
        <f>IF('Economic Assumptions'!$B13+'Project Assumptions'!$D$15+'Project Assumptions'!$D$16-1='Detailed Cashflows'!BV$5,-'Economic Assumptions'!$I13,0)</f>
        <v/>
      </c>
      <c r="BW79" s="301">
        <f>IF('Economic Assumptions'!$B13+'Project Assumptions'!$D$15+'Project Assumptions'!$D$16-1='Detailed Cashflows'!BW$5,-'Economic Assumptions'!$I13,0)</f>
        <v/>
      </c>
      <c r="BX79" s="301">
        <f>IF('Economic Assumptions'!$B13+'Project Assumptions'!$D$15+'Project Assumptions'!$D$16-1='Detailed Cashflows'!BX$5,-'Economic Assumptions'!$I13,0)</f>
        <v/>
      </c>
      <c r="BY79" s="301">
        <f>IF('Economic Assumptions'!$B13+'Project Assumptions'!$D$15+'Project Assumptions'!$D$16-1='Detailed Cashflows'!BY$5,-'Economic Assumptions'!$I13,0)</f>
        <v/>
      </c>
      <c r="BZ79" s="301">
        <f>IF('Economic Assumptions'!$B13+'Project Assumptions'!$D$15+'Project Assumptions'!$D$16-1='Detailed Cashflows'!BZ$5,-'Economic Assumptions'!$I13,0)</f>
        <v/>
      </c>
      <c r="CA79" s="301">
        <f>IF('Economic Assumptions'!$B13+'Project Assumptions'!$D$15+'Project Assumptions'!$D$16-1='Detailed Cashflows'!CA$5,-'Economic Assumptions'!$I13,0)</f>
        <v/>
      </c>
      <c r="CB79" s="301">
        <f>IF('Economic Assumptions'!$B13+'Project Assumptions'!$D$15+'Project Assumptions'!$D$16-1='Detailed Cashflows'!CB$5,-'Economic Assumptions'!$I13,0)</f>
        <v/>
      </c>
      <c r="CC79" s="301">
        <f>IF('Economic Assumptions'!$B13+'Project Assumptions'!$D$15+'Project Assumptions'!$D$16-1='Detailed Cashflows'!CC$5,-'Economic Assumptions'!$I13,0)</f>
        <v/>
      </c>
      <c r="CD79" s="301">
        <f>IF('Economic Assumptions'!$B13+'Project Assumptions'!$D$15+'Project Assumptions'!$D$16-1='Detailed Cashflows'!CD$5,-'Economic Assumptions'!$I13,0)</f>
        <v/>
      </c>
      <c r="CE79" s="301">
        <f>IF('Economic Assumptions'!$B13+'Project Assumptions'!$D$15+'Project Assumptions'!$D$16-1='Detailed Cashflows'!CE$5,-'Economic Assumptions'!$I13,0)</f>
        <v/>
      </c>
      <c r="CF79" s="301">
        <f>IF('Economic Assumptions'!$B13+'Project Assumptions'!$D$15+'Project Assumptions'!$D$16-1='Detailed Cashflows'!CF$5,-'Economic Assumptions'!$I13,0)</f>
        <v/>
      </c>
      <c r="CG79" s="301">
        <f>IF('Economic Assumptions'!$B13+'Project Assumptions'!$D$15+'Project Assumptions'!$D$16-1='Detailed Cashflows'!CG$5,-'Economic Assumptions'!$I13,0)</f>
        <v/>
      </c>
      <c r="CH79" s="301">
        <f>IF('Economic Assumptions'!$B13+'Project Assumptions'!$D$15+'Project Assumptions'!$D$16-1='Detailed Cashflows'!CH$5,-'Economic Assumptions'!$I13,0)</f>
        <v/>
      </c>
      <c r="CI79" s="301">
        <f>IF('Economic Assumptions'!$B13+'Project Assumptions'!$D$15+'Project Assumptions'!$D$16-1='Detailed Cashflows'!CI$5,-'Economic Assumptions'!$I13,0)</f>
        <v/>
      </c>
      <c r="CJ79" s="301">
        <f>IF('Economic Assumptions'!$B13+'Project Assumptions'!$D$15+'Project Assumptions'!$D$16-1='Detailed Cashflows'!CJ$5,-'Economic Assumptions'!$I13,0)</f>
        <v/>
      </c>
      <c r="CK79" s="301">
        <f>IF('Economic Assumptions'!$B13+'Project Assumptions'!$D$15+'Project Assumptions'!$D$16-1='Detailed Cashflows'!CK$5,-'Economic Assumptions'!$I13,0)</f>
        <v/>
      </c>
      <c r="CL79" s="301">
        <f>IF('Economic Assumptions'!$B13+'Project Assumptions'!$D$15+'Project Assumptions'!$D$16-1='Detailed Cashflows'!CL$5,-'Economic Assumptions'!$I13,0)</f>
        <v/>
      </c>
      <c r="CM79" s="301">
        <f>IF('Economic Assumptions'!$B13+'Project Assumptions'!$D$15+'Project Assumptions'!$D$16-1='Detailed Cashflows'!CM$5,-'Economic Assumptions'!$I13,0)</f>
        <v/>
      </c>
      <c r="CN79" s="301">
        <f>IF('Economic Assumptions'!$B13+'Project Assumptions'!$D$15+'Project Assumptions'!$D$16-1='Detailed Cashflows'!CN$5,-'Economic Assumptions'!$I13,0)</f>
        <v/>
      </c>
      <c r="CO79" s="301">
        <f>IF('Economic Assumptions'!$B13+'Project Assumptions'!$D$15+'Project Assumptions'!$D$16-1='Detailed Cashflows'!CO$5,-'Economic Assumptions'!$I13,0)</f>
        <v/>
      </c>
      <c r="CP79" s="301">
        <f>IF('Economic Assumptions'!$B13+'Project Assumptions'!$D$15+'Project Assumptions'!$D$16-1='Detailed Cashflows'!CP$5,-'Economic Assumptions'!$I13,0)</f>
        <v/>
      </c>
      <c r="CQ79" s="301">
        <f>IF('Economic Assumptions'!$B13+'Project Assumptions'!$D$15+'Project Assumptions'!$D$16-1='Detailed Cashflows'!CQ$5,-'Economic Assumptions'!$I13,0)</f>
        <v/>
      </c>
      <c r="CR79" s="301">
        <f>IF('Economic Assumptions'!$B13+'Project Assumptions'!$D$15+'Project Assumptions'!$D$16-1='Detailed Cashflows'!CR$5,-'Economic Assumptions'!$I13,0)</f>
        <v/>
      </c>
      <c r="CS79" s="301">
        <f>IF('Economic Assumptions'!$B13+'Project Assumptions'!$D$15+'Project Assumptions'!$D$16-1='Detailed Cashflows'!CS$5,-'Economic Assumptions'!$I13,0)</f>
        <v/>
      </c>
      <c r="CT79" s="301">
        <f>IF('Economic Assumptions'!$B13+'Project Assumptions'!$D$15+'Project Assumptions'!$D$16-1='Detailed Cashflows'!CT$5,-'Economic Assumptions'!$I13,0)</f>
        <v/>
      </c>
      <c r="CU79" s="301">
        <f>IF('Economic Assumptions'!$B13+'Project Assumptions'!$D$15+'Project Assumptions'!$D$16-1='Detailed Cashflows'!CU$5,-'Economic Assumptions'!$I13,0)</f>
        <v/>
      </c>
      <c r="CV79" s="301">
        <f>IF('Economic Assumptions'!$B13+'Project Assumptions'!$D$15+'Project Assumptions'!$D$16-1='Detailed Cashflows'!CV$5,-'Economic Assumptions'!$I13,0)</f>
        <v/>
      </c>
      <c r="CW79" s="301">
        <f>IF('Economic Assumptions'!$B13+'Project Assumptions'!$D$15+'Project Assumptions'!$D$16-1='Detailed Cashflows'!CW$5,-'Economic Assumptions'!$I13,0)</f>
        <v/>
      </c>
      <c r="CX79" s="301">
        <f>IF('Economic Assumptions'!$B13+'Project Assumptions'!$D$15+'Project Assumptions'!$D$16-1='Detailed Cashflows'!CX$5,-'Economic Assumptions'!$I13,0)</f>
        <v/>
      </c>
      <c r="CY79" s="301">
        <f>IF('Economic Assumptions'!$B13+'Project Assumptions'!$D$15+'Project Assumptions'!$D$16-1='Detailed Cashflows'!CY$5,-'Economic Assumptions'!$I13,0)</f>
        <v/>
      </c>
      <c r="CZ79" s="301">
        <f>IF('Economic Assumptions'!$B13+'Project Assumptions'!$D$15+'Project Assumptions'!$D$16-1='Detailed Cashflows'!CZ$5,-'Economic Assumptions'!$I13,0)</f>
        <v/>
      </c>
      <c r="DA79" s="301">
        <f>IF('Economic Assumptions'!$B13+'Project Assumptions'!$D$15+'Project Assumptions'!$D$16-1='Detailed Cashflows'!DA$5,-'Economic Assumptions'!$I13,0)</f>
        <v/>
      </c>
      <c r="DB79" s="301">
        <f>IF('Economic Assumptions'!$B13+'Project Assumptions'!$D$15+'Project Assumptions'!$D$16-1='Detailed Cashflows'!DB$5,-'Economic Assumptions'!$I13,0)</f>
        <v/>
      </c>
      <c r="DC79" s="301" t="n"/>
      <c r="DD79" s="299">
        <f>SUM(F79:DB79)</f>
        <v/>
      </c>
    </row>
    <row r="80" hidden="1" outlineLevel="1">
      <c r="A80" s="1000" t="n"/>
      <c r="B80" s="640">
        <f>'Economic Assumptions'!$A$14</f>
        <v/>
      </c>
      <c r="C80" s="294" t="n"/>
      <c r="D80" s="299">
        <f>DD80</f>
        <v/>
      </c>
      <c r="E80" s="300" t="n"/>
      <c r="F80" s="301">
        <f>IF('Economic Assumptions'!$B14+'Project Assumptions'!$D$15+'Project Assumptions'!$D$16-1='Detailed Cashflows'!F$5,-'Economic Assumptions'!$I14,0)</f>
        <v/>
      </c>
      <c r="G80" s="301">
        <f>IF('Economic Assumptions'!$B14+'Project Assumptions'!$D$15+'Project Assumptions'!$D$16-1='Detailed Cashflows'!G$5,-'Economic Assumptions'!$I14,0)</f>
        <v/>
      </c>
      <c r="H80" s="301">
        <f>IF('Economic Assumptions'!$B14+'Project Assumptions'!$D$15+'Project Assumptions'!$D$16-1='Detailed Cashflows'!H$5,-'Economic Assumptions'!$I14,0)</f>
        <v/>
      </c>
      <c r="I80" s="301">
        <f>IF('Economic Assumptions'!$B14+'Project Assumptions'!$D$15+'Project Assumptions'!$D$16-1='Detailed Cashflows'!I$5,-'Economic Assumptions'!$I14,0)</f>
        <v/>
      </c>
      <c r="J80" s="301">
        <f>IF('Economic Assumptions'!$B14+'Project Assumptions'!$D$15+'Project Assumptions'!$D$16-1='Detailed Cashflows'!J$5,-'Economic Assumptions'!$I14,0)</f>
        <v/>
      </c>
      <c r="K80" s="301">
        <f>IF('Economic Assumptions'!$B14+'Project Assumptions'!$D$15+'Project Assumptions'!$D$16-1='Detailed Cashflows'!K$5,-'Economic Assumptions'!$I14,0)</f>
        <v/>
      </c>
      <c r="L80" s="301">
        <f>IF('Economic Assumptions'!$B14+'Project Assumptions'!$D$15+'Project Assumptions'!$D$16-1='Detailed Cashflows'!L$5,-'Economic Assumptions'!$I14,0)</f>
        <v/>
      </c>
      <c r="M80" s="301">
        <f>IF('Economic Assumptions'!$B14+'Project Assumptions'!$D$15+'Project Assumptions'!$D$16-1='Detailed Cashflows'!M$5,-'Economic Assumptions'!$I14,0)</f>
        <v/>
      </c>
      <c r="N80" s="301">
        <f>IF('Economic Assumptions'!$B14+'Project Assumptions'!$D$15+'Project Assumptions'!$D$16-1='Detailed Cashflows'!N$5,-'Economic Assumptions'!$I14,0)</f>
        <v/>
      </c>
      <c r="O80" s="301">
        <f>IF('Economic Assumptions'!$B14+'Project Assumptions'!$D$15+'Project Assumptions'!$D$16-1='Detailed Cashflows'!O$5,-'Economic Assumptions'!$I14,0)</f>
        <v/>
      </c>
      <c r="P80" s="301">
        <f>IF('Economic Assumptions'!$B14+'Project Assumptions'!$D$15+'Project Assumptions'!$D$16-1='Detailed Cashflows'!P$5,-'Economic Assumptions'!$I14,0)</f>
        <v/>
      </c>
      <c r="Q80" s="301">
        <f>IF('Economic Assumptions'!$B14+'Project Assumptions'!$D$15+'Project Assumptions'!$D$16-1='Detailed Cashflows'!Q$5,-'Economic Assumptions'!$I14,0)</f>
        <v/>
      </c>
      <c r="R80" s="301">
        <f>IF('Economic Assumptions'!$B14+'Project Assumptions'!$D$15+'Project Assumptions'!$D$16-1='Detailed Cashflows'!R$5,-'Economic Assumptions'!$I14,0)</f>
        <v/>
      </c>
      <c r="S80" s="301">
        <f>IF('Economic Assumptions'!$B14+'Project Assumptions'!$D$15+'Project Assumptions'!$D$16-1='Detailed Cashflows'!S$5,-'Economic Assumptions'!$I14,0)</f>
        <v/>
      </c>
      <c r="T80" s="301">
        <f>IF('Economic Assumptions'!$B14+'Project Assumptions'!$D$15+'Project Assumptions'!$D$16-1='Detailed Cashflows'!T$5,-'Economic Assumptions'!$I14,0)</f>
        <v/>
      </c>
      <c r="U80" s="301">
        <f>IF('Economic Assumptions'!$B14+'Project Assumptions'!$D$15+'Project Assumptions'!$D$16-1='Detailed Cashflows'!U$5,-'Economic Assumptions'!$I14,0)</f>
        <v/>
      </c>
      <c r="V80" s="301">
        <f>IF('Economic Assumptions'!$B14+'Project Assumptions'!$D$15+'Project Assumptions'!$D$16-1='Detailed Cashflows'!V$5,-'Economic Assumptions'!$I14,0)</f>
        <v/>
      </c>
      <c r="W80" s="301">
        <f>IF('Economic Assumptions'!$B14+'Project Assumptions'!$D$15+'Project Assumptions'!$D$16-1='Detailed Cashflows'!W$5,-'Economic Assumptions'!$I14,0)</f>
        <v/>
      </c>
      <c r="X80" s="301">
        <f>IF('Economic Assumptions'!$B14+'Project Assumptions'!$D$15+'Project Assumptions'!$D$16-1='Detailed Cashflows'!X$5,-'Economic Assumptions'!$I14,0)</f>
        <v/>
      </c>
      <c r="Y80" s="301">
        <f>IF('Economic Assumptions'!$B14+'Project Assumptions'!$D$15+'Project Assumptions'!$D$16-1='Detailed Cashflows'!Y$5,-'Economic Assumptions'!$I14,0)</f>
        <v/>
      </c>
      <c r="Z80" s="301">
        <f>IF('Economic Assumptions'!$B14+'Project Assumptions'!$D$15+'Project Assumptions'!$D$16-1='Detailed Cashflows'!Z$5,-'Economic Assumptions'!$I14,0)</f>
        <v/>
      </c>
      <c r="AA80" s="301">
        <f>IF('Economic Assumptions'!$B14+'Project Assumptions'!$D$15+'Project Assumptions'!$D$16-1='Detailed Cashflows'!AA$5,-'Economic Assumptions'!$I14,0)</f>
        <v/>
      </c>
      <c r="AB80" s="301">
        <f>IF('Economic Assumptions'!$B14+'Project Assumptions'!$D$15+'Project Assumptions'!$D$16-1='Detailed Cashflows'!AB$5,-'Economic Assumptions'!$I14,0)</f>
        <v/>
      </c>
      <c r="AC80" s="301">
        <f>IF('Economic Assumptions'!$B14+'Project Assumptions'!$D$15+'Project Assumptions'!$D$16-1='Detailed Cashflows'!AC$5,-'Economic Assumptions'!$I14,0)</f>
        <v/>
      </c>
      <c r="AD80" s="301">
        <f>IF('Economic Assumptions'!$B14+'Project Assumptions'!$D$15+'Project Assumptions'!$D$16-1='Detailed Cashflows'!AD$5,-'Economic Assumptions'!$I14,0)</f>
        <v/>
      </c>
      <c r="AE80" s="301">
        <f>IF('Economic Assumptions'!$B14+'Project Assumptions'!$D$15+'Project Assumptions'!$D$16-1='Detailed Cashflows'!AE$5,-'Economic Assumptions'!$I14,0)</f>
        <v/>
      </c>
      <c r="AF80" s="301">
        <f>IF('Economic Assumptions'!$B14+'Project Assumptions'!$D$15+'Project Assumptions'!$D$16-1='Detailed Cashflows'!AF$5,-'Economic Assumptions'!$I14,0)</f>
        <v/>
      </c>
      <c r="AG80" s="301">
        <f>IF('Economic Assumptions'!$B14+'Project Assumptions'!$D$15+'Project Assumptions'!$D$16-1='Detailed Cashflows'!AG$5,-'Economic Assumptions'!$I14,0)</f>
        <v/>
      </c>
      <c r="AH80" s="301">
        <f>IF('Economic Assumptions'!$B14+'Project Assumptions'!$D$15+'Project Assumptions'!$D$16-1='Detailed Cashflows'!AH$5,-'Economic Assumptions'!$I14,0)</f>
        <v/>
      </c>
      <c r="AI80" s="301">
        <f>IF('Economic Assumptions'!$B14+'Project Assumptions'!$D$15+'Project Assumptions'!$D$16-1='Detailed Cashflows'!AI$5,-'Economic Assumptions'!$I14,0)</f>
        <v/>
      </c>
      <c r="AJ80" s="301">
        <f>IF('Economic Assumptions'!$B14+'Project Assumptions'!$D$15+'Project Assumptions'!$D$16-1='Detailed Cashflows'!AJ$5,-'Economic Assumptions'!$I14,0)</f>
        <v/>
      </c>
      <c r="AK80" s="301">
        <f>IF('Economic Assumptions'!$B14+'Project Assumptions'!$D$15+'Project Assumptions'!$D$16-1='Detailed Cashflows'!AK$5,-'Economic Assumptions'!$I14,0)</f>
        <v/>
      </c>
      <c r="AL80" s="301">
        <f>IF('Economic Assumptions'!$B14+'Project Assumptions'!$D$15+'Project Assumptions'!$D$16-1='Detailed Cashflows'!AL$5,-'Economic Assumptions'!$I14,0)</f>
        <v/>
      </c>
      <c r="AM80" s="301">
        <f>IF('Economic Assumptions'!$B14+'Project Assumptions'!$D$15+'Project Assumptions'!$D$16-1='Detailed Cashflows'!AM$5,-'Economic Assumptions'!$I14,0)</f>
        <v/>
      </c>
      <c r="AN80" s="301">
        <f>IF('Economic Assumptions'!$B14+'Project Assumptions'!$D$15+'Project Assumptions'!$D$16-1='Detailed Cashflows'!AN$5,-'Economic Assumptions'!$I14,0)</f>
        <v/>
      </c>
      <c r="AO80" s="301">
        <f>IF('Economic Assumptions'!$B14+'Project Assumptions'!$D$15+'Project Assumptions'!$D$16-1='Detailed Cashflows'!AO$5,-'Economic Assumptions'!$I14,0)</f>
        <v/>
      </c>
      <c r="AP80" s="301">
        <f>IF('Economic Assumptions'!$B14+'Project Assumptions'!$D$15+'Project Assumptions'!$D$16-1='Detailed Cashflows'!AP$5,-'Economic Assumptions'!$I14,0)</f>
        <v/>
      </c>
      <c r="AQ80" s="301">
        <f>IF('Economic Assumptions'!$B14+'Project Assumptions'!$D$15+'Project Assumptions'!$D$16-1='Detailed Cashflows'!AQ$5,-'Economic Assumptions'!$I14,0)</f>
        <v/>
      </c>
      <c r="AR80" s="301">
        <f>IF('Economic Assumptions'!$B14+'Project Assumptions'!$D$15+'Project Assumptions'!$D$16-1='Detailed Cashflows'!AR$5,-'Economic Assumptions'!$I14,0)</f>
        <v/>
      </c>
      <c r="AS80" s="301">
        <f>IF('Economic Assumptions'!$B14+'Project Assumptions'!$D$15+'Project Assumptions'!$D$16-1='Detailed Cashflows'!AS$5,-'Economic Assumptions'!$I14,0)</f>
        <v/>
      </c>
      <c r="AT80" s="301">
        <f>IF('Economic Assumptions'!$B14+'Project Assumptions'!$D$15+'Project Assumptions'!$D$16-1='Detailed Cashflows'!AT$5,-'Economic Assumptions'!$I14,0)</f>
        <v/>
      </c>
      <c r="AU80" s="301">
        <f>IF('Economic Assumptions'!$B14+'Project Assumptions'!$D$15+'Project Assumptions'!$D$16-1='Detailed Cashflows'!AU$5,-'Economic Assumptions'!$I14,0)</f>
        <v/>
      </c>
      <c r="AV80" s="301">
        <f>IF('Economic Assumptions'!$B14+'Project Assumptions'!$D$15+'Project Assumptions'!$D$16-1='Detailed Cashflows'!AV$5,-'Economic Assumptions'!$I14,0)</f>
        <v/>
      </c>
      <c r="AW80" s="301">
        <f>IF('Economic Assumptions'!$B14+'Project Assumptions'!$D$15+'Project Assumptions'!$D$16-1='Detailed Cashflows'!AW$5,-'Economic Assumptions'!$I14,0)</f>
        <v/>
      </c>
      <c r="AX80" s="301">
        <f>IF('Economic Assumptions'!$B14+'Project Assumptions'!$D$15+'Project Assumptions'!$D$16-1='Detailed Cashflows'!AX$5,-'Economic Assumptions'!$I14,0)</f>
        <v/>
      </c>
      <c r="AY80" s="301">
        <f>IF('Economic Assumptions'!$B14+'Project Assumptions'!$D$15+'Project Assumptions'!$D$16-1='Detailed Cashflows'!AY$5,-'Economic Assumptions'!$I14,0)</f>
        <v/>
      </c>
      <c r="AZ80" s="301">
        <f>IF('Economic Assumptions'!$B14+'Project Assumptions'!$D$15+'Project Assumptions'!$D$16-1='Detailed Cashflows'!AZ$5,-'Economic Assumptions'!$I14,0)</f>
        <v/>
      </c>
      <c r="BA80" s="301">
        <f>IF('Economic Assumptions'!$B14+'Project Assumptions'!$D$15+'Project Assumptions'!$D$16-1='Detailed Cashflows'!BA$5,-'Economic Assumptions'!$I14,0)</f>
        <v/>
      </c>
      <c r="BB80" s="301">
        <f>IF('Economic Assumptions'!$B14+'Project Assumptions'!$D$15+'Project Assumptions'!$D$16-1='Detailed Cashflows'!BB$5,-'Economic Assumptions'!$I14,0)</f>
        <v/>
      </c>
      <c r="BC80" s="301">
        <f>IF('Economic Assumptions'!$B14+'Project Assumptions'!$D$15+'Project Assumptions'!$D$16-1='Detailed Cashflows'!BC$5,-'Economic Assumptions'!$I14,0)</f>
        <v/>
      </c>
      <c r="BD80" s="301">
        <f>IF('Economic Assumptions'!$B14+'Project Assumptions'!$D$15+'Project Assumptions'!$D$16-1='Detailed Cashflows'!BD$5,-'Economic Assumptions'!$I14,0)</f>
        <v/>
      </c>
      <c r="BE80" s="301">
        <f>IF('Economic Assumptions'!$B14+'Project Assumptions'!$D$15+'Project Assumptions'!$D$16-1='Detailed Cashflows'!BE$5,-'Economic Assumptions'!$I14,0)</f>
        <v/>
      </c>
      <c r="BF80" s="301">
        <f>IF('Economic Assumptions'!$B14+'Project Assumptions'!$D$15+'Project Assumptions'!$D$16-1='Detailed Cashflows'!BF$5,-'Economic Assumptions'!$I14,0)</f>
        <v/>
      </c>
      <c r="BG80" s="301">
        <f>IF('Economic Assumptions'!$B14+'Project Assumptions'!$D$15+'Project Assumptions'!$D$16-1='Detailed Cashflows'!BG$5,-'Economic Assumptions'!$I14,0)</f>
        <v/>
      </c>
      <c r="BH80" s="301">
        <f>IF('Economic Assumptions'!$B14+'Project Assumptions'!$D$15+'Project Assumptions'!$D$16-1='Detailed Cashflows'!BH$5,-'Economic Assumptions'!$I14,0)</f>
        <v/>
      </c>
      <c r="BI80" s="301">
        <f>IF('Economic Assumptions'!$B14+'Project Assumptions'!$D$15+'Project Assumptions'!$D$16-1='Detailed Cashflows'!BI$5,-'Economic Assumptions'!$I14,0)</f>
        <v/>
      </c>
      <c r="BJ80" s="301">
        <f>IF('Economic Assumptions'!$B14+'Project Assumptions'!$D$15+'Project Assumptions'!$D$16-1='Detailed Cashflows'!BJ$5,-'Economic Assumptions'!$I14,0)</f>
        <v/>
      </c>
      <c r="BK80" s="301">
        <f>IF('Economic Assumptions'!$B14+'Project Assumptions'!$D$15+'Project Assumptions'!$D$16-1='Detailed Cashflows'!BK$5,-'Economic Assumptions'!$I14,0)</f>
        <v/>
      </c>
      <c r="BL80" s="301">
        <f>IF('Economic Assumptions'!$B14+'Project Assumptions'!$D$15+'Project Assumptions'!$D$16-1='Detailed Cashflows'!BL$5,-'Economic Assumptions'!$I14,0)</f>
        <v/>
      </c>
      <c r="BM80" s="301">
        <f>IF('Economic Assumptions'!$B14+'Project Assumptions'!$D$15+'Project Assumptions'!$D$16-1='Detailed Cashflows'!BM$5,-'Economic Assumptions'!$I14,0)</f>
        <v/>
      </c>
      <c r="BN80" s="301">
        <f>IF('Economic Assumptions'!$B14+'Project Assumptions'!$D$15+'Project Assumptions'!$D$16-1='Detailed Cashflows'!BN$5,-'Economic Assumptions'!$I14,0)</f>
        <v/>
      </c>
      <c r="BO80" s="301">
        <f>IF('Economic Assumptions'!$B14+'Project Assumptions'!$D$15+'Project Assumptions'!$D$16-1='Detailed Cashflows'!BO$5,-'Economic Assumptions'!$I14,0)</f>
        <v/>
      </c>
      <c r="BP80" s="301">
        <f>IF('Economic Assumptions'!$B14+'Project Assumptions'!$D$15+'Project Assumptions'!$D$16-1='Detailed Cashflows'!BP$5,-'Economic Assumptions'!$I14,0)</f>
        <v/>
      </c>
      <c r="BQ80" s="301">
        <f>IF('Economic Assumptions'!$B14+'Project Assumptions'!$D$15+'Project Assumptions'!$D$16-1='Detailed Cashflows'!BQ$5,-'Economic Assumptions'!$I14,0)</f>
        <v/>
      </c>
      <c r="BR80" s="301">
        <f>IF('Economic Assumptions'!$B14+'Project Assumptions'!$D$15+'Project Assumptions'!$D$16-1='Detailed Cashflows'!BR$5,-'Economic Assumptions'!$I14,0)</f>
        <v/>
      </c>
      <c r="BS80" s="301">
        <f>IF('Economic Assumptions'!$B14+'Project Assumptions'!$D$15+'Project Assumptions'!$D$16-1='Detailed Cashflows'!BS$5,-'Economic Assumptions'!$I14,0)</f>
        <v/>
      </c>
      <c r="BT80" s="301">
        <f>IF('Economic Assumptions'!$B14+'Project Assumptions'!$D$15+'Project Assumptions'!$D$16-1='Detailed Cashflows'!BT$5,-'Economic Assumptions'!$I14,0)</f>
        <v/>
      </c>
      <c r="BU80" s="301">
        <f>IF('Economic Assumptions'!$B14+'Project Assumptions'!$D$15+'Project Assumptions'!$D$16-1='Detailed Cashflows'!BU$5,-'Economic Assumptions'!$I14,0)</f>
        <v/>
      </c>
      <c r="BV80" s="301">
        <f>IF('Economic Assumptions'!$B14+'Project Assumptions'!$D$15+'Project Assumptions'!$D$16-1='Detailed Cashflows'!BV$5,-'Economic Assumptions'!$I14,0)</f>
        <v/>
      </c>
      <c r="BW80" s="301">
        <f>IF('Economic Assumptions'!$B14+'Project Assumptions'!$D$15+'Project Assumptions'!$D$16-1='Detailed Cashflows'!BW$5,-'Economic Assumptions'!$I14,0)</f>
        <v/>
      </c>
      <c r="BX80" s="301">
        <f>IF('Economic Assumptions'!$B14+'Project Assumptions'!$D$15+'Project Assumptions'!$D$16-1='Detailed Cashflows'!BX$5,-'Economic Assumptions'!$I14,0)</f>
        <v/>
      </c>
      <c r="BY80" s="301">
        <f>IF('Economic Assumptions'!$B14+'Project Assumptions'!$D$15+'Project Assumptions'!$D$16-1='Detailed Cashflows'!BY$5,-'Economic Assumptions'!$I14,0)</f>
        <v/>
      </c>
      <c r="BZ80" s="301">
        <f>IF('Economic Assumptions'!$B14+'Project Assumptions'!$D$15+'Project Assumptions'!$D$16-1='Detailed Cashflows'!BZ$5,-'Economic Assumptions'!$I14,0)</f>
        <v/>
      </c>
      <c r="CA80" s="301">
        <f>IF('Economic Assumptions'!$B14+'Project Assumptions'!$D$15+'Project Assumptions'!$D$16-1='Detailed Cashflows'!CA$5,-'Economic Assumptions'!$I14,0)</f>
        <v/>
      </c>
      <c r="CB80" s="301">
        <f>IF('Economic Assumptions'!$B14+'Project Assumptions'!$D$15+'Project Assumptions'!$D$16-1='Detailed Cashflows'!CB$5,-'Economic Assumptions'!$I14,0)</f>
        <v/>
      </c>
      <c r="CC80" s="301">
        <f>IF('Economic Assumptions'!$B14+'Project Assumptions'!$D$15+'Project Assumptions'!$D$16-1='Detailed Cashflows'!CC$5,-'Economic Assumptions'!$I14,0)</f>
        <v/>
      </c>
      <c r="CD80" s="301">
        <f>IF('Economic Assumptions'!$B14+'Project Assumptions'!$D$15+'Project Assumptions'!$D$16-1='Detailed Cashflows'!CD$5,-'Economic Assumptions'!$I14,0)</f>
        <v/>
      </c>
      <c r="CE80" s="301">
        <f>IF('Economic Assumptions'!$B14+'Project Assumptions'!$D$15+'Project Assumptions'!$D$16-1='Detailed Cashflows'!CE$5,-'Economic Assumptions'!$I14,0)</f>
        <v/>
      </c>
      <c r="CF80" s="301">
        <f>IF('Economic Assumptions'!$B14+'Project Assumptions'!$D$15+'Project Assumptions'!$D$16-1='Detailed Cashflows'!CF$5,-'Economic Assumptions'!$I14,0)</f>
        <v/>
      </c>
      <c r="CG80" s="301">
        <f>IF('Economic Assumptions'!$B14+'Project Assumptions'!$D$15+'Project Assumptions'!$D$16-1='Detailed Cashflows'!CG$5,-'Economic Assumptions'!$I14,0)</f>
        <v/>
      </c>
      <c r="CH80" s="301">
        <f>IF('Economic Assumptions'!$B14+'Project Assumptions'!$D$15+'Project Assumptions'!$D$16-1='Detailed Cashflows'!CH$5,-'Economic Assumptions'!$I14,0)</f>
        <v/>
      </c>
      <c r="CI80" s="301">
        <f>IF('Economic Assumptions'!$B14+'Project Assumptions'!$D$15+'Project Assumptions'!$D$16-1='Detailed Cashflows'!CI$5,-'Economic Assumptions'!$I14,0)</f>
        <v/>
      </c>
      <c r="CJ80" s="301">
        <f>IF('Economic Assumptions'!$B14+'Project Assumptions'!$D$15+'Project Assumptions'!$D$16-1='Detailed Cashflows'!CJ$5,-'Economic Assumptions'!$I14,0)</f>
        <v/>
      </c>
      <c r="CK80" s="301">
        <f>IF('Economic Assumptions'!$B14+'Project Assumptions'!$D$15+'Project Assumptions'!$D$16-1='Detailed Cashflows'!CK$5,-'Economic Assumptions'!$I14,0)</f>
        <v/>
      </c>
      <c r="CL80" s="301">
        <f>IF('Economic Assumptions'!$B14+'Project Assumptions'!$D$15+'Project Assumptions'!$D$16-1='Detailed Cashflows'!CL$5,-'Economic Assumptions'!$I14,0)</f>
        <v/>
      </c>
      <c r="CM80" s="301">
        <f>IF('Economic Assumptions'!$B14+'Project Assumptions'!$D$15+'Project Assumptions'!$D$16-1='Detailed Cashflows'!CM$5,-'Economic Assumptions'!$I14,0)</f>
        <v/>
      </c>
      <c r="CN80" s="301">
        <f>IF('Economic Assumptions'!$B14+'Project Assumptions'!$D$15+'Project Assumptions'!$D$16-1='Detailed Cashflows'!CN$5,-'Economic Assumptions'!$I14,0)</f>
        <v/>
      </c>
      <c r="CO80" s="301">
        <f>IF('Economic Assumptions'!$B14+'Project Assumptions'!$D$15+'Project Assumptions'!$D$16-1='Detailed Cashflows'!CO$5,-'Economic Assumptions'!$I14,0)</f>
        <v/>
      </c>
      <c r="CP80" s="301">
        <f>IF('Economic Assumptions'!$B14+'Project Assumptions'!$D$15+'Project Assumptions'!$D$16-1='Detailed Cashflows'!CP$5,-'Economic Assumptions'!$I14,0)</f>
        <v/>
      </c>
      <c r="CQ80" s="301">
        <f>IF('Economic Assumptions'!$B14+'Project Assumptions'!$D$15+'Project Assumptions'!$D$16-1='Detailed Cashflows'!CQ$5,-'Economic Assumptions'!$I14,0)</f>
        <v/>
      </c>
      <c r="CR80" s="301">
        <f>IF('Economic Assumptions'!$B14+'Project Assumptions'!$D$15+'Project Assumptions'!$D$16-1='Detailed Cashflows'!CR$5,-'Economic Assumptions'!$I14,0)</f>
        <v/>
      </c>
      <c r="CS80" s="301">
        <f>IF('Economic Assumptions'!$B14+'Project Assumptions'!$D$15+'Project Assumptions'!$D$16-1='Detailed Cashflows'!CS$5,-'Economic Assumptions'!$I14,0)</f>
        <v/>
      </c>
      <c r="CT80" s="301">
        <f>IF('Economic Assumptions'!$B14+'Project Assumptions'!$D$15+'Project Assumptions'!$D$16-1='Detailed Cashflows'!CT$5,-'Economic Assumptions'!$I14,0)</f>
        <v/>
      </c>
      <c r="CU80" s="301">
        <f>IF('Economic Assumptions'!$B14+'Project Assumptions'!$D$15+'Project Assumptions'!$D$16-1='Detailed Cashflows'!CU$5,-'Economic Assumptions'!$I14,0)</f>
        <v/>
      </c>
      <c r="CV80" s="301">
        <f>IF('Economic Assumptions'!$B14+'Project Assumptions'!$D$15+'Project Assumptions'!$D$16-1='Detailed Cashflows'!CV$5,-'Economic Assumptions'!$I14,0)</f>
        <v/>
      </c>
      <c r="CW80" s="301">
        <f>IF('Economic Assumptions'!$B14+'Project Assumptions'!$D$15+'Project Assumptions'!$D$16-1='Detailed Cashflows'!CW$5,-'Economic Assumptions'!$I14,0)</f>
        <v/>
      </c>
      <c r="CX80" s="301">
        <f>IF('Economic Assumptions'!$B14+'Project Assumptions'!$D$15+'Project Assumptions'!$D$16-1='Detailed Cashflows'!CX$5,-'Economic Assumptions'!$I14,0)</f>
        <v/>
      </c>
      <c r="CY80" s="301">
        <f>IF('Economic Assumptions'!$B14+'Project Assumptions'!$D$15+'Project Assumptions'!$D$16-1='Detailed Cashflows'!CY$5,-'Economic Assumptions'!$I14,0)</f>
        <v/>
      </c>
      <c r="CZ80" s="301">
        <f>IF('Economic Assumptions'!$B14+'Project Assumptions'!$D$15+'Project Assumptions'!$D$16-1='Detailed Cashflows'!CZ$5,-'Economic Assumptions'!$I14,0)</f>
        <v/>
      </c>
      <c r="DA80" s="301">
        <f>IF('Economic Assumptions'!$B14+'Project Assumptions'!$D$15+'Project Assumptions'!$D$16-1='Detailed Cashflows'!DA$5,-'Economic Assumptions'!$I14,0)</f>
        <v/>
      </c>
      <c r="DB80" s="301">
        <f>IF('Economic Assumptions'!$B14+'Project Assumptions'!$D$15+'Project Assumptions'!$D$16-1='Detailed Cashflows'!DB$5,-'Economic Assumptions'!$I14,0)</f>
        <v/>
      </c>
      <c r="DC80" s="301" t="n"/>
      <c r="DD80" s="299">
        <f>SUM(F80:DB80)</f>
        <v/>
      </c>
    </row>
    <row r="81" hidden="1" outlineLevel="1">
      <c r="A81" s="1000" t="n"/>
      <c r="B81" s="640">
        <f>'Economic Assumptions'!$A$15</f>
        <v/>
      </c>
      <c r="C81" s="294" t="n"/>
      <c r="D81" s="299">
        <f>DD81</f>
        <v/>
      </c>
      <c r="E81" s="300" t="n"/>
      <c r="F81" s="301">
        <f>IF('Economic Assumptions'!$B15+'Project Assumptions'!$D$15+'Project Assumptions'!$D$16-1='Detailed Cashflows'!F$5,-'Economic Assumptions'!$I15,0)</f>
        <v/>
      </c>
      <c r="G81" s="301">
        <f>IF('Economic Assumptions'!$B15+'Project Assumptions'!$D$15+'Project Assumptions'!$D$16-1='Detailed Cashflows'!G$5,-'Economic Assumptions'!$I15,0)</f>
        <v/>
      </c>
      <c r="H81" s="301">
        <f>IF('Economic Assumptions'!$B15+'Project Assumptions'!$D$15+'Project Assumptions'!$D$16-1='Detailed Cashflows'!H$5,-'Economic Assumptions'!$I15,0)</f>
        <v/>
      </c>
      <c r="I81" s="301">
        <f>IF('Economic Assumptions'!$B15+'Project Assumptions'!$D$15+'Project Assumptions'!$D$16-1='Detailed Cashflows'!I$5,-'Economic Assumptions'!$I15,0)</f>
        <v/>
      </c>
      <c r="J81" s="301">
        <f>IF('Economic Assumptions'!$B15+'Project Assumptions'!$D$15+'Project Assumptions'!$D$16-1='Detailed Cashflows'!J$5,-'Economic Assumptions'!$I15,0)</f>
        <v/>
      </c>
      <c r="K81" s="301">
        <f>IF('Economic Assumptions'!$B15+'Project Assumptions'!$D$15+'Project Assumptions'!$D$16-1='Detailed Cashflows'!K$5,-'Economic Assumptions'!$I15,0)</f>
        <v/>
      </c>
      <c r="L81" s="301">
        <f>IF('Economic Assumptions'!$B15+'Project Assumptions'!$D$15+'Project Assumptions'!$D$16-1='Detailed Cashflows'!L$5,-'Economic Assumptions'!$I15,0)</f>
        <v/>
      </c>
      <c r="M81" s="301">
        <f>IF('Economic Assumptions'!$B15+'Project Assumptions'!$D$15+'Project Assumptions'!$D$16-1='Detailed Cashflows'!M$5,-'Economic Assumptions'!$I15,0)</f>
        <v/>
      </c>
      <c r="N81" s="301">
        <f>IF('Economic Assumptions'!$B15+'Project Assumptions'!$D$15+'Project Assumptions'!$D$16-1='Detailed Cashflows'!N$5,-'Economic Assumptions'!$I15,0)</f>
        <v/>
      </c>
      <c r="O81" s="301">
        <f>IF('Economic Assumptions'!$B15+'Project Assumptions'!$D$15+'Project Assumptions'!$D$16-1='Detailed Cashflows'!O$5,-'Economic Assumptions'!$I15,0)</f>
        <v/>
      </c>
      <c r="P81" s="301">
        <f>IF('Economic Assumptions'!$B15+'Project Assumptions'!$D$15+'Project Assumptions'!$D$16-1='Detailed Cashflows'!P$5,-'Economic Assumptions'!$I15,0)</f>
        <v/>
      </c>
      <c r="Q81" s="301">
        <f>IF('Economic Assumptions'!$B15+'Project Assumptions'!$D$15+'Project Assumptions'!$D$16-1='Detailed Cashflows'!Q$5,-'Economic Assumptions'!$I15,0)</f>
        <v/>
      </c>
      <c r="R81" s="301">
        <f>IF('Economic Assumptions'!$B15+'Project Assumptions'!$D$15+'Project Assumptions'!$D$16-1='Detailed Cashflows'!R$5,-'Economic Assumptions'!$I15,0)</f>
        <v/>
      </c>
      <c r="S81" s="301">
        <f>IF('Economic Assumptions'!$B15+'Project Assumptions'!$D$15+'Project Assumptions'!$D$16-1='Detailed Cashflows'!S$5,-'Economic Assumptions'!$I15,0)</f>
        <v/>
      </c>
      <c r="T81" s="301">
        <f>IF('Economic Assumptions'!$B15+'Project Assumptions'!$D$15+'Project Assumptions'!$D$16-1='Detailed Cashflows'!T$5,-'Economic Assumptions'!$I15,0)</f>
        <v/>
      </c>
      <c r="U81" s="301">
        <f>IF('Economic Assumptions'!$B15+'Project Assumptions'!$D$15+'Project Assumptions'!$D$16-1='Detailed Cashflows'!U$5,-'Economic Assumptions'!$I15,0)</f>
        <v/>
      </c>
      <c r="V81" s="301">
        <f>IF('Economic Assumptions'!$B15+'Project Assumptions'!$D$15+'Project Assumptions'!$D$16-1='Detailed Cashflows'!V$5,-'Economic Assumptions'!$I15,0)</f>
        <v/>
      </c>
      <c r="W81" s="301">
        <f>IF('Economic Assumptions'!$B15+'Project Assumptions'!$D$15+'Project Assumptions'!$D$16-1='Detailed Cashflows'!W$5,-'Economic Assumptions'!$I15,0)</f>
        <v/>
      </c>
      <c r="X81" s="301">
        <f>IF('Economic Assumptions'!$B15+'Project Assumptions'!$D$15+'Project Assumptions'!$D$16-1='Detailed Cashflows'!X$5,-'Economic Assumptions'!$I15,0)</f>
        <v/>
      </c>
      <c r="Y81" s="301">
        <f>IF('Economic Assumptions'!$B15+'Project Assumptions'!$D$15+'Project Assumptions'!$D$16-1='Detailed Cashflows'!Y$5,-'Economic Assumptions'!$I15,0)</f>
        <v/>
      </c>
      <c r="Z81" s="301">
        <f>IF('Economic Assumptions'!$B15+'Project Assumptions'!$D$15+'Project Assumptions'!$D$16-1='Detailed Cashflows'!Z$5,-'Economic Assumptions'!$I15,0)</f>
        <v/>
      </c>
      <c r="AA81" s="301">
        <f>IF('Economic Assumptions'!$B15+'Project Assumptions'!$D$15+'Project Assumptions'!$D$16-1='Detailed Cashflows'!AA$5,-'Economic Assumptions'!$I15,0)</f>
        <v/>
      </c>
      <c r="AB81" s="301">
        <f>IF('Economic Assumptions'!$B15+'Project Assumptions'!$D$15+'Project Assumptions'!$D$16-1='Detailed Cashflows'!AB$5,-'Economic Assumptions'!$I15,0)</f>
        <v/>
      </c>
      <c r="AC81" s="301">
        <f>IF('Economic Assumptions'!$B15+'Project Assumptions'!$D$15+'Project Assumptions'!$D$16-1='Detailed Cashflows'!AC$5,-'Economic Assumptions'!$I15,0)</f>
        <v/>
      </c>
      <c r="AD81" s="301">
        <f>IF('Economic Assumptions'!$B15+'Project Assumptions'!$D$15+'Project Assumptions'!$D$16-1='Detailed Cashflows'!AD$5,-'Economic Assumptions'!$I15,0)</f>
        <v/>
      </c>
      <c r="AE81" s="301">
        <f>IF('Economic Assumptions'!$B15+'Project Assumptions'!$D$15+'Project Assumptions'!$D$16-1='Detailed Cashflows'!AE$5,-'Economic Assumptions'!$I15,0)</f>
        <v/>
      </c>
      <c r="AF81" s="301">
        <f>IF('Economic Assumptions'!$B15+'Project Assumptions'!$D$15+'Project Assumptions'!$D$16-1='Detailed Cashflows'!AF$5,-'Economic Assumptions'!$I15,0)</f>
        <v/>
      </c>
      <c r="AG81" s="301">
        <f>IF('Economic Assumptions'!$B15+'Project Assumptions'!$D$15+'Project Assumptions'!$D$16-1='Detailed Cashflows'!AG$5,-'Economic Assumptions'!$I15,0)</f>
        <v/>
      </c>
      <c r="AH81" s="301">
        <f>IF('Economic Assumptions'!$B15+'Project Assumptions'!$D$15+'Project Assumptions'!$D$16-1='Detailed Cashflows'!AH$5,-'Economic Assumptions'!$I15,0)</f>
        <v/>
      </c>
      <c r="AI81" s="301">
        <f>IF('Economic Assumptions'!$B15+'Project Assumptions'!$D$15+'Project Assumptions'!$D$16-1='Detailed Cashflows'!AI$5,-'Economic Assumptions'!$I15,0)</f>
        <v/>
      </c>
      <c r="AJ81" s="301">
        <f>IF('Economic Assumptions'!$B15+'Project Assumptions'!$D$15+'Project Assumptions'!$D$16-1='Detailed Cashflows'!AJ$5,-'Economic Assumptions'!$I15,0)</f>
        <v/>
      </c>
      <c r="AK81" s="301">
        <f>IF('Economic Assumptions'!$B15+'Project Assumptions'!$D$15+'Project Assumptions'!$D$16-1='Detailed Cashflows'!AK$5,-'Economic Assumptions'!$I15,0)</f>
        <v/>
      </c>
      <c r="AL81" s="301">
        <f>IF('Economic Assumptions'!$B15+'Project Assumptions'!$D$15+'Project Assumptions'!$D$16-1='Detailed Cashflows'!AL$5,-'Economic Assumptions'!$I15,0)</f>
        <v/>
      </c>
      <c r="AM81" s="301">
        <f>IF('Economic Assumptions'!$B15+'Project Assumptions'!$D$15+'Project Assumptions'!$D$16-1='Detailed Cashflows'!AM$5,-'Economic Assumptions'!$I15,0)</f>
        <v/>
      </c>
      <c r="AN81" s="301">
        <f>IF('Economic Assumptions'!$B15+'Project Assumptions'!$D$15+'Project Assumptions'!$D$16-1='Detailed Cashflows'!AN$5,-'Economic Assumptions'!$I15,0)</f>
        <v/>
      </c>
      <c r="AO81" s="301">
        <f>IF('Economic Assumptions'!$B15+'Project Assumptions'!$D$15+'Project Assumptions'!$D$16-1='Detailed Cashflows'!AO$5,-'Economic Assumptions'!$I15,0)</f>
        <v/>
      </c>
      <c r="AP81" s="301">
        <f>IF('Economic Assumptions'!$B15+'Project Assumptions'!$D$15+'Project Assumptions'!$D$16-1='Detailed Cashflows'!AP$5,-'Economic Assumptions'!$I15,0)</f>
        <v/>
      </c>
      <c r="AQ81" s="301">
        <f>IF('Economic Assumptions'!$B15+'Project Assumptions'!$D$15+'Project Assumptions'!$D$16-1='Detailed Cashflows'!AQ$5,-'Economic Assumptions'!$I15,0)</f>
        <v/>
      </c>
      <c r="AR81" s="301">
        <f>IF('Economic Assumptions'!$B15+'Project Assumptions'!$D$15+'Project Assumptions'!$D$16-1='Detailed Cashflows'!AR$5,-'Economic Assumptions'!$I15,0)</f>
        <v/>
      </c>
      <c r="AS81" s="301">
        <f>IF('Economic Assumptions'!$B15+'Project Assumptions'!$D$15+'Project Assumptions'!$D$16-1='Detailed Cashflows'!AS$5,-'Economic Assumptions'!$I15,0)</f>
        <v/>
      </c>
      <c r="AT81" s="301">
        <f>IF('Economic Assumptions'!$B15+'Project Assumptions'!$D$15+'Project Assumptions'!$D$16-1='Detailed Cashflows'!AT$5,-'Economic Assumptions'!$I15,0)</f>
        <v/>
      </c>
      <c r="AU81" s="301">
        <f>IF('Economic Assumptions'!$B15+'Project Assumptions'!$D$15+'Project Assumptions'!$D$16-1='Detailed Cashflows'!AU$5,-'Economic Assumptions'!$I15,0)</f>
        <v/>
      </c>
      <c r="AV81" s="301">
        <f>IF('Economic Assumptions'!$B15+'Project Assumptions'!$D$15+'Project Assumptions'!$D$16-1='Detailed Cashflows'!AV$5,-'Economic Assumptions'!$I15,0)</f>
        <v/>
      </c>
      <c r="AW81" s="301">
        <f>IF('Economic Assumptions'!$B15+'Project Assumptions'!$D$15+'Project Assumptions'!$D$16-1='Detailed Cashflows'!AW$5,-'Economic Assumptions'!$I15,0)</f>
        <v/>
      </c>
      <c r="AX81" s="301">
        <f>IF('Economic Assumptions'!$B15+'Project Assumptions'!$D$15+'Project Assumptions'!$D$16-1='Detailed Cashflows'!AX$5,-'Economic Assumptions'!$I15,0)</f>
        <v/>
      </c>
      <c r="AY81" s="301">
        <f>IF('Economic Assumptions'!$B15+'Project Assumptions'!$D$15+'Project Assumptions'!$D$16-1='Detailed Cashflows'!AY$5,-'Economic Assumptions'!$I15,0)</f>
        <v/>
      </c>
      <c r="AZ81" s="301">
        <f>IF('Economic Assumptions'!$B15+'Project Assumptions'!$D$15+'Project Assumptions'!$D$16-1='Detailed Cashflows'!AZ$5,-'Economic Assumptions'!$I15,0)</f>
        <v/>
      </c>
      <c r="BA81" s="301">
        <f>IF('Economic Assumptions'!$B15+'Project Assumptions'!$D$15+'Project Assumptions'!$D$16-1='Detailed Cashflows'!BA$5,-'Economic Assumptions'!$I15,0)</f>
        <v/>
      </c>
      <c r="BB81" s="301">
        <f>IF('Economic Assumptions'!$B15+'Project Assumptions'!$D$15+'Project Assumptions'!$D$16-1='Detailed Cashflows'!BB$5,-'Economic Assumptions'!$I15,0)</f>
        <v/>
      </c>
      <c r="BC81" s="301">
        <f>IF('Economic Assumptions'!$B15+'Project Assumptions'!$D$15+'Project Assumptions'!$D$16-1='Detailed Cashflows'!BC$5,-'Economic Assumptions'!$I15,0)</f>
        <v/>
      </c>
      <c r="BD81" s="301">
        <f>IF('Economic Assumptions'!$B15+'Project Assumptions'!$D$15+'Project Assumptions'!$D$16-1='Detailed Cashflows'!BD$5,-'Economic Assumptions'!$I15,0)</f>
        <v/>
      </c>
      <c r="BE81" s="301">
        <f>IF('Economic Assumptions'!$B15+'Project Assumptions'!$D$15+'Project Assumptions'!$D$16-1='Detailed Cashflows'!BE$5,-'Economic Assumptions'!$I15,0)</f>
        <v/>
      </c>
      <c r="BF81" s="301">
        <f>IF('Economic Assumptions'!$B15+'Project Assumptions'!$D$15+'Project Assumptions'!$D$16-1='Detailed Cashflows'!BF$5,-'Economic Assumptions'!$I15,0)</f>
        <v/>
      </c>
      <c r="BG81" s="301">
        <f>IF('Economic Assumptions'!$B15+'Project Assumptions'!$D$15+'Project Assumptions'!$D$16-1='Detailed Cashflows'!BG$5,-'Economic Assumptions'!$I15,0)</f>
        <v/>
      </c>
      <c r="BH81" s="301">
        <f>IF('Economic Assumptions'!$B15+'Project Assumptions'!$D$15+'Project Assumptions'!$D$16-1='Detailed Cashflows'!BH$5,-'Economic Assumptions'!$I15,0)</f>
        <v/>
      </c>
      <c r="BI81" s="301">
        <f>IF('Economic Assumptions'!$B15+'Project Assumptions'!$D$15+'Project Assumptions'!$D$16-1='Detailed Cashflows'!BI$5,-'Economic Assumptions'!$I15,0)</f>
        <v/>
      </c>
      <c r="BJ81" s="301">
        <f>IF('Economic Assumptions'!$B15+'Project Assumptions'!$D$15+'Project Assumptions'!$D$16-1='Detailed Cashflows'!BJ$5,-'Economic Assumptions'!$I15,0)</f>
        <v/>
      </c>
      <c r="BK81" s="301">
        <f>IF('Economic Assumptions'!$B15+'Project Assumptions'!$D$15+'Project Assumptions'!$D$16-1='Detailed Cashflows'!BK$5,-'Economic Assumptions'!$I15,0)</f>
        <v/>
      </c>
      <c r="BL81" s="301">
        <f>IF('Economic Assumptions'!$B15+'Project Assumptions'!$D$15+'Project Assumptions'!$D$16-1='Detailed Cashflows'!BL$5,-'Economic Assumptions'!$I15,0)</f>
        <v/>
      </c>
      <c r="BM81" s="301">
        <f>IF('Economic Assumptions'!$B15+'Project Assumptions'!$D$15+'Project Assumptions'!$D$16-1='Detailed Cashflows'!BM$5,-'Economic Assumptions'!$I15,0)</f>
        <v/>
      </c>
      <c r="BN81" s="301">
        <f>IF('Economic Assumptions'!$B15+'Project Assumptions'!$D$15+'Project Assumptions'!$D$16-1='Detailed Cashflows'!BN$5,-'Economic Assumptions'!$I15,0)</f>
        <v/>
      </c>
      <c r="BO81" s="301">
        <f>IF('Economic Assumptions'!$B15+'Project Assumptions'!$D$15+'Project Assumptions'!$D$16-1='Detailed Cashflows'!BO$5,-'Economic Assumptions'!$I15,0)</f>
        <v/>
      </c>
      <c r="BP81" s="301">
        <f>IF('Economic Assumptions'!$B15+'Project Assumptions'!$D$15+'Project Assumptions'!$D$16-1='Detailed Cashflows'!BP$5,-'Economic Assumptions'!$I15,0)</f>
        <v/>
      </c>
      <c r="BQ81" s="301">
        <f>IF('Economic Assumptions'!$B15+'Project Assumptions'!$D$15+'Project Assumptions'!$D$16-1='Detailed Cashflows'!BQ$5,-'Economic Assumptions'!$I15,0)</f>
        <v/>
      </c>
      <c r="BR81" s="301">
        <f>IF('Economic Assumptions'!$B15+'Project Assumptions'!$D$15+'Project Assumptions'!$D$16-1='Detailed Cashflows'!BR$5,-'Economic Assumptions'!$I15,0)</f>
        <v/>
      </c>
      <c r="BS81" s="301">
        <f>IF('Economic Assumptions'!$B15+'Project Assumptions'!$D$15+'Project Assumptions'!$D$16-1='Detailed Cashflows'!BS$5,-'Economic Assumptions'!$I15,0)</f>
        <v/>
      </c>
      <c r="BT81" s="301">
        <f>IF('Economic Assumptions'!$B15+'Project Assumptions'!$D$15+'Project Assumptions'!$D$16-1='Detailed Cashflows'!BT$5,-'Economic Assumptions'!$I15,0)</f>
        <v/>
      </c>
      <c r="BU81" s="301">
        <f>IF('Economic Assumptions'!$B15+'Project Assumptions'!$D$15+'Project Assumptions'!$D$16-1='Detailed Cashflows'!BU$5,-'Economic Assumptions'!$I15,0)</f>
        <v/>
      </c>
      <c r="BV81" s="301">
        <f>IF('Economic Assumptions'!$B15+'Project Assumptions'!$D$15+'Project Assumptions'!$D$16-1='Detailed Cashflows'!BV$5,-'Economic Assumptions'!$I15,0)</f>
        <v/>
      </c>
      <c r="BW81" s="301">
        <f>IF('Economic Assumptions'!$B15+'Project Assumptions'!$D$15+'Project Assumptions'!$D$16-1='Detailed Cashflows'!BW$5,-'Economic Assumptions'!$I15,0)</f>
        <v/>
      </c>
      <c r="BX81" s="301">
        <f>IF('Economic Assumptions'!$B15+'Project Assumptions'!$D$15+'Project Assumptions'!$D$16-1='Detailed Cashflows'!BX$5,-'Economic Assumptions'!$I15,0)</f>
        <v/>
      </c>
      <c r="BY81" s="301">
        <f>IF('Economic Assumptions'!$B15+'Project Assumptions'!$D$15+'Project Assumptions'!$D$16-1='Detailed Cashflows'!BY$5,-'Economic Assumptions'!$I15,0)</f>
        <v/>
      </c>
      <c r="BZ81" s="301">
        <f>IF('Economic Assumptions'!$B15+'Project Assumptions'!$D$15+'Project Assumptions'!$D$16-1='Detailed Cashflows'!BZ$5,-'Economic Assumptions'!$I15,0)</f>
        <v/>
      </c>
      <c r="CA81" s="301">
        <f>IF('Economic Assumptions'!$B15+'Project Assumptions'!$D$15+'Project Assumptions'!$D$16-1='Detailed Cashflows'!CA$5,-'Economic Assumptions'!$I15,0)</f>
        <v/>
      </c>
      <c r="CB81" s="301">
        <f>IF('Economic Assumptions'!$B15+'Project Assumptions'!$D$15+'Project Assumptions'!$D$16-1='Detailed Cashflows'!CB$5,-'Economic Assumptions'!$I15,0)</f>
        <v/>
      </c>
      <c r="CC81" s="301">
        <f>IF('Economic Assumptions'!$B15+'Project Assumptions'!$D$15+'Project Assumptions'!$D$16-1='Detailed Cashflows'!CC$5,-'Economic Assumptions'!$I15,0)</f>
        <v/>
      </c>
      <c r="CD81" s="301">
        <f>IF('Economic Assumptions'!$B15+'Project Assumptions'!$D$15+'Project Assumptions'!$D$16-1='Detailed Cashflows'!CD$5,-'Economic Assumptions'!$I15,0)</f>
        <v/>
      </c>
      <c r="CE81" s="301">
        <f>IF('Economic Assumptions'!$B15+'Project Assumptions'!$D$15+'Project Assumptions'!$D$16-1='Detailed Cashflows'!CE$5,-'Economic Assumptions'!$I15,0)</f>
        <v/>
      </c>
      <c r="CF81" s="301">
        <f>IF('Economic Assumptions'!$B15+'Project Assumptions'!$D$15+'Project Assumptions'!$D$16-1='Detailed Cashflows'!CF$5,-'Economic Assumptions'!$I15,0)</f>
        <v/>
      </c>
      <c r="CG81" s="301">
        <f>IF('Economic Assumptions'!$B15+'Project Assumptions'!$D$15+'Project Assumptions'!$D$16-1='Detailed Cashflows'!CG$5,-'Economic Assumptions'!$I15,0)</f>
        <v/>
      </c>
      <c r="CH81" s="301">
        <f>IF('Economic Assumptions'!$B15+'Project Assumptions'!$D$15+'Project Assumptions'!$D$16-1='Detailed Cashflows'!CH$5,-'Economic Assumptions'!$I15,0)</f>
        <v/>
      </c>
      <c r="CI81" s="301">
        <f>IF('Economic Assumptions'!$B15+'Project Assumptions'!$D$15+'Project Assumptions'!$D$16-1='Detailed Cashflows'!CI$5,-'Economic Assumptions'!$I15,0)</f>
        <v/>
      </c>
      <c r="CJ81" s="301">
        <f>IF('Economic Assumptions'!$B15+'Project Assumptions'!$D$15+'Project Assumptions'!$D$16-1='Detailed Cashflows'!CJ$5,-'Economic Assumptions'!$I15,0)</f>
        <v/>
      </c>
      <c r="CK81" s="301">
        <f>IF('Economic Assumptions'!$B15+'Project Assumptions'!$D$15+'Project Assumptions'!$D$16-1='Detailed Cashflows'!CK$5,-'Economic Assumptions'!$I15,0)</f>
        <v/>
      </c>
      <c r="CL81" s="301">
        <f>IF('Economic Assumptions'!$B15+'Project Assumptions'!$D$15+'Project Assumptions'!$D$16-1='Detailed Cashflows'!CL$5,-'Economic Assumptions'!$I15,0)</f>
        <v/>
      </c>
      <c r="CM81" s="301">
        <f>IF('Economic Assumptions'!$B15+'Project Assumptions'!$D$15+'Project Assumptions'!$D$16-1='Detailed Cashflows'!CM$5,-'Economic Assumptions'!$I15,0)</f>
        <v/>
      </c>
      <c r="CN81" s="301">
        <f>IF('Economic Assumptions'!$B15+'Project Assumptions'!$D$15+'Project Assumptions'!$D$16-1='Detailed Cashflows'!CN$5,-'Economic Assumptions'!$I15,0)</f>
        <v/>
      </c>
      <c r="CO81" s="301">
        <f>IF('Economic Assumptions'!$B15+'Project Assumptions'!$D$15+'Project Assumptions'!$D$16-1='Detailed Cashflows'!CO$5,-'Economic Assumptions'!$I15,0)</f>
        <v/>
      </c>
      <c r="CP81" s="301">
        <f>IF('Economic Assumptions'!$B15+'Project Assumptions'!$D$15+'Project Assumptions'!$D$16-1='Detailed Cashflows'!CP$5,-'Economic Assumptions'!$I15,0)</f>
        <v/>
      </c>
      <c r="CQ81" s="301">
        <f>IF('Economic Assumptions'!$B15+'Project Assumptions'!$D$15+'Project Assumptions'!$D$16-1='Detailed Cashflows'!CQ$5,-'Economic Assumptions'!$I15,0)</f>
        <v/>
      </c>
      <c r="CR81" s="301">
        <f>IF('Economic Assumptions'!$B15+'Project Assumptions'!$D$15+'Project Assumptions'!$D$16-1='Detailed Cashflows'!CR$5,-'Economic Assumptions'!$I15,0)</f>
        <v/>
      </c>
      <c r="CS81" s="301">
        <f>IF('Economic Assumptions'!$B15+'Project Assumptions'!$D$15+'Project Assumptions'!$D$16-1='Detailed Cashflows'!CS$5,-'Economic Assumptions'!$I15,0)</f>
        <v/>
      </c>
      <c r="CT81" s="301">
        <f>IF('Economic Assumptions'!$B15+'Project Assumptions'!$D$15+'Project Assumptions'!$D$16-1='Detailed Cashflows'!CT$5,-'Economic Assumptions'!$I15,0)</f>
        <v/>
      </c>
      <c r="CU81" s="301">
        <f>IF('Economic Assumptions'!$B15+'Project Assumptions'!$D$15+'Project Assumptions'!$D$16-1='Detailed Cashflows'!CU$5,-'Economic Assumptions'!$I15,0)</f>
        <v/>
      </c>
      <c r="CV81" s="301">
        <f>IF('Economic Assumptions'!$B15+'Project Assumptions'!$D$15+'Project Assumptions'!$D$16-1='Detailed Cashflows'!CV$5,-'Economic Assumptions'!$I15,0)</f>
        <v/>
      </c>
      <c r="CW81" s="301">
        <f>IF('Economic Assumptions'!$B15+'Project Assumptions'!$D$15+'Project Assumptions'!$D$16-1='Detailed Cashflows'!CW$5,-'Economic Assumptions'!$I15,0)</f>
        <v/>
      </c>
      <c r="CX81" s="301">
        <f>IF('Economic Assumptions'!$B15+'Project Assumptions'!$D$15+'Project Assumptions'!$D$16-1='Detailed Cashflows'!CX$5,-'Economic Assumptions'!$I15,0)</f>
        <v/>
      </c>
      <c r="CY81" s="301">
        <f>IF('Economic Assumptions'!$B15+'Project Assumptions'!$D$15+'Project Assumptions'!$D$16-1='Detailed Cashflows'!CY$5,-'Economic Assumptions'!$I15,0)</f>
        <v/>
      </c>
      <c r="CZ81" s="301">
        <f>IF('Economic Assumptions'!$B15+'Project Assumptions'!$D$15+'Project Assumptions'!$D$16-1='Detailed Cashflows'!CZ$5,-'Economic Assumptions'!$I15,0)</f>
        <v/>
      </c>
      <c r="DA81" s="301">
        <f>IF('Economic Assumptions'!$B15+'Project Assumptions'!$D$15+'Project Assumptions'!$D$16-1='Detailed Cashflows'!DA$5,-'Economic Assumptions'!$I15,0)</f>
        <v/>
      </c>
      <c r="DB81" s="301">
        <f>IF('Economic Assumptions'!$B15+'Project Assumptions'!$D$15+'Project Assumptions'!$D$16-1='Detailed Cashflows'!DB$5,-'Economic Assumptions'!$I15,0)</f>
        <v/>
      </c>
      <c r="DC81" s="301" t="n"/>
      <c r="DD81" s="299">
        <f>SUM(F81:DB81)</f>
        <v/>
      </c>
    </row>
    <row r="82" hidden="1" outlineLevel="1">
      <c r="A82" s="1000" t="n"/>
      <c r="B82" s="640">
        <f>'Economic Assumptions'!$A$16</f>
        <v/>
      </c>
      <c r="C82" s="294" t="n"/>
      <c r="D82" s="299">
        <f>DD82</f>
        <v/>
      </c>
      <c r="E82" s="300" t="n"/>
      <c r="F82" s="301">
        <f>IF('Economic Assumptions'!$B16+'Project Assumptions'!$D$15+'Project Assumptions'!$D$16-1='Detailed Cashflows'!F$5,-'Economic Assumptions'!$I16,0)</f>
        <v/>
      </c>
      <c r="G82" s="301">
        <f>IF('Economic Assumptions'!$B16+'Project Assumptions'!$D$15+'Project Assumptions'!$D$16-1='Detailed Cashflows'!G$5,-'Economic Assumptions'!$I16,0)</f>
        <v/>
      </c>
      <c r="H82" s="301">
        <f>IF('Economic Assumptions'!$B16+'Project Assumptions'!$D$15+'Project Assumptions'!$D$16-1='Detailed Cashflows'!H$5,-'Economic Assumptions'!$I16,0)</f>
        <v/>
      </c>
      <c r="I82" s="301">
        <f>IF('Economic Assumptions'!$B16+'Project Assumptions'!$D$15+'Project Assumptions'!$D$16-1='Detailed Cashflows'!I$5,-'Economic Assumptions'!$I16,0)</f>
        <v/>
      </c>
      <c r="J82" s="301">
        <f>IF('Economic Assumptions'!$B16+'Project Assumptions'!$D$15+'Project Assumptions'!$D$16-1='Detailed Cashflows'!J$5,-'Economic Assumptions'!$I16,0)</f>
        <v/>
      </c>
      <c r="K82" s="301">
        <f>IF('Economic Assumptions'!$B16+'Project Assumptions'!$D$15+'Project Assumptions'!$D$16-1='Detailed Cashflows'!K$5,-'Economic Assumptions'!$I16,0)</f>
        <v/>
      </c>
      <c r="L82" s="301">
        <f>IF('Economic Assumptions'!$B16+'Project Assumptions'!$D$15+'Project Assumptions'!$D$16-1='Detailed Cashflows'!L$5,-'Economic Assumptions'!$I16,0)</f>
        <v/>
      </c>
      <c r="M82" s="301">
        <f>IF('Economic Assumptions'!$B16+'Project Assumptions'!$D$15+'Project Assumptions'!$D$16-1='Detailed Cashflows'!M$5,-'Economic Assumptions'!$I16,0)</f>
        <v/>
      </c>
      <c r="N82" s="301">
        <f>IF('Economic Assumptions'!$B16+'Project Assumptions'!$D$15+'Project Assumptions'!$D$16-1='Detailed Cashflows'!N$5,-'Economic Assumptions'!$I16,0)</f>
        <v/>
      </c>
      <c r="O82" s="301">
        <f>IF('Economic Assumptions'!$B16+'Project Assumptions'!$D$15+'Project Assumptions'!$D$16-1='Detailed Cashflows'!O$5,-'Economic Assumptions'!$I16,0)</f>
        <v/>
      </c>
      <c r="P82" s="301">
        <f>IF('Economic Assumptions'!$B16+'Project Assumptions'!$D$15+'Project Assumptions'!$D$16-1='Detailed Cashflows'!P$5,-'Economic Assumptions'!$I16,0)</f>
        <v/>
      </c>
      <c r="Q82" s="301">
        <f>IF('Economic Assumptions'!$B16+'Project Assumptions'!$D$15+'Project Assumptions'!$D$16-1='Detailed Cashflows'!Q$5,-'Economic Assumptions'!$I16,0)</f>
        <v/>
      </c>
      <c r="R82" s="301">
        <f>IF('Economic Assumptions'!$B16+'Project Assumptions'!$D$15+'Project Assumptions'!$D$16-1='Detailed Cashflows'!R$5,-'Economic Assumptions'!$I16,0)</f>
        <v/>
      </c>
      <c r="S82" s="301">
        <f>IF('Economic Assumptions'!$B16+'Project Assumptions'!$D$15+'Project Assumptions'!$D$16-1='Detailed Cashflows'!S$5,-'Economic Assumptions'!$I16,0)</f>
        <v/>
      </c>
      <c r="T82" s="301">
        <f>IF('Economic Assumptions'!$B16+'Project Assumptions'!$D$15+'Project Assumptions'!$D$16-1='Detailed Cashflows'!T$5,-'Economic Assumptions'!$I16,0)</f>
        <v/>
      </c>
      <c r="U82" s="301">
        <f>IF('Economic Assumptions'!$B16+'Project Assumptions'!$D$15+'Project Assumptions'!$D$16-1='Detailed Cashflows'!U$5,-'Economic Assumptions'!$I16,0)</f>
        <v/>
      </c>
      <c r="V82" s="301">
        <f>IF('Economic Assumptions'!$B16+'Project Assumptions'!$D$15+'Project Assumptions'!$D$16-1='Detailed Cashflows'!V$5,-'Economic Assumptions'!$I16,0)</f>
        <v/>
      </c>
      <c r="W82" s="301">
        <f>IF('Economic Assumptions'!$B16+'Project Assumptions'!$D$15+'Project Assumptions'!$D$16-1='Detailed Cashflows'!W$5,-'Economic Assumptions'!$I16,0)</f>
        <v/>
      </c>
      <c r="X82" s="301">
        <f>IF('Economic Assumptions'!$B16+'Project Assumptions'!$D$15+'Project Assumptions'!$D$16-1='Detailed Cashflows'!X$5,-'Economic Assumptions'!$I16,0)</f>
        <v/>
      </c>
      <c r="Y82" s="301">
        <f>IF('Economic Assumptions'!$B16+'Project Assumptions'!$D$15+'Project Assumptions'!$D$16-1='Detailed Cashflows'!Y$5,-'Economic Assumptions'!$I16,0)</f>
        <v/>
      </c>
      <c r="Z82" s="301">
        <f>IF('Economic Assumptions'!$B16+'Project Assumptions'!$D$15+'Project Assumptions'!$D$16-1='Detailed Cashflows'!Z$5,-'Economic Assumptions'!$I16,0)</f>
        <v/>
      </c>
      <c r="AA82" s="301">
        <f>IF('Economic Assumptions'!$B16+'Project Assumptions'!$D$15+'Project Assumptions'!$D$16-1='Detailed Cashflows'!AA$5,-'Economic Assumptions'!$I16,0)</f>
        <v/>
      </c>
      <c r="AB82" s="301">
        <f>IF('Economic Assumptions'!$B16+'Project Assumptions'!$D$15+'Project Assumptions'!$D$16-1='Detailed Cashflows'!AB$5,-'Economic Assumptions'!$I16,0)</f>
        <v/>
      </c>
      <c r="AC82" s="301">
        <f>IF('Economic Assumptions'!$B16+'Project Assumptions'!$D$15+'Project Assumptions'!$D$16-1='Detailed Cashflows'!AC$5,-'Economic Assumptions'!$I16,0)</f>
        <v/>
      </c>
      <c r="AD82" s="301">
        <f>IF('Economic Assumptions'!$B16+'Project Assumptions'!$D$15+'Project Assumptions'!$D$16-1='Detailed Cashflows'!AD$5,-'Economic Assumptions'!$I16,0)</f>
        <v/>
      </c>
      <c r="AE82" s="301">
        <f>IF('Economic Assumptions'!$B16+'Project Assumptions'!$D$15+'Project Assumptions'!$D$16-1='Detailed Cashflows'!AE$5,-'Economic Assumptions'!$I16,0)</f>
        <v/>
      </c>
      <c r="AF82" s="301">
        <f>IF('Economic Assumptions'!$B16+'Project Assumptions'!$D$15+'Project Assumptions'!$D$16-1='Detailed Cashflows'!AF$5,-'Economic Assumptions'!$I16,0)</f>
        <v/>
      </c>
      <c r="AG82" s="301">
        <f>IF('Economic Assumptions'!$B16+'Project Assumptions'!$D$15+'Project Assumptions'!$D$16-1='Detailed Cashflows'!AG$5,-'Economic Assumptions'!$I16,0)</f>
        <v/>
      </c>
      <c r="AH82" s="301">
        <f>IF('Economic Assumptions'!$B16+'Project Assumptions'!$D$15+'Project Assumptions'!$D$16-1='Detailed Cashflows'!AH$5,-'Economic Assumptions'!$I16,0)</f>
        <v/>
      </c>
      <c r="AI82" s="301">
        <f>IF('Economic Assumptions'!$B16+'Project Assumptions'!$D$15+'Project Assumptions'!$D$16-1='Detailed Cashflows'!AI$5,-'Economic Assumptions'!$I16,0)</f>
        <v/>
      </c>
      <c r="AJ82" s="301">
        <f>IF('Economic Assumptions'!$B16+'Project Assumptions'!$D$15+'Project Assumptions'!$D$16-1='Detailed Cashflows'!AJ$5,-'Economic Assumptions'!$I16,0)</f>
        <v/>
      </c>
      <c r="AK82" s="301">
        <f>IF('Economic Assumptions'!$B16+'Project Assumptions'!$D$15+'Project Assumptions'!$D$16-1='Detailed Cashflows'!AK$5,-'Economic Assumptions'!$I16,0)</f>
        <v/>
      </c>
      <c r="AL82" s="301">
        <f>IF('Economic Assumptions'!$B16+'Project Assumptions'!$D$15+'Project Assumptions'!$D$16-1='Detailed Cashflows'!AL$5,-'Economic Assumptions'!$I16,0)</f>
        <v/>
      </c>
      <c r="AM82" s="301">
        <f>IF('Economic Assumptions'!$B16+'Project Assumptions'!$D$15+'Project Assumptions'!$D$16-1='Detailed Cashflows'!AM$5,-'Economic Assumptions'!$I16,0)</f>
        <v/>
      </c>
      <c r="AN82" s="301">
        <f>IF('Economic Assumptions'!$B16+'Project Assumptions'!$D$15+'Project Assumptions'!$D$16-1='Detailed Cashflows'!AN$5,-'Economic Assumptions'!$I16,0)</f>
        <v/>
      </c>
      <c r="AO82" s="301">
        <f>IF('Economic Assumptions'!$B16+'Project Assumptions'!$D$15+'Project Assumptions'!$D$16-1='Detailed Cashflows'!AO$5,-'Economic Assumptions'!$I16,0)</f>
        <v/>
      </c>
      <c r="AP82" s="301">
        <f>IF('Economic Assumptions'!$B16+'Project Assumptions'!$D$15+'Project Assumptions'!$D$16-1='Detailed Cashflows'!AP$5,-'Economic Assumptions'!$I16,0)</f>
        <v/>
      </c>
      <c r="AQ82" s="301">
        <f>IF('Economic Assumptions'!$B16+'Project Assumptions'!$D$15+'Project Assumptions'!$D$16-1='Detailed Cashflows'!AQ$5,-'Economic Assumptions'!$I16,0)</f>
        <v/>
      </c>
      <c r="AR82" s="301">
        <f>IF('Economic Assumptions'!$B16+'Project Assumptions'!$D$15+'Project Assumptions'!$D$16-1='Detailed Cashflows'!AR$5,-'Economic Assumptions'!$I16,0)</f>
        <v/>
      </c>
      <c r="AS82" s="301">
        <f>IF('Economic Assumptions'!$B16+'Project Assumptions'!$D$15+'Project Assumptions'!$D$16-1='Detailed Cashflows'!AS$5,-'Economic Assumptions'!$I16,0)</f>
        <v/>
      </c>
      <c r="AT82" s="301">
        <f>IF('Economic Assumptions'!$B16+'Project Assumptions'!$D$15+'Project Assumptions'!$D$16-1='Detailed Cashflows'!AT$5,-'Economic Assumptions'!$I16,0)</f>
        <v/>
      </c>
      <c r="AU82" s="301">
        <f>IF('Economic Assumptions'!$B16+'Project Assumptions'!$D$15+'Project Assumptions'!$D$16-1='Detailed Cashflows'!AU$5,-'Economic Assumptions'!$I16,0)</f>
        <v/>
      </c>
      <c r="AV82" s="301">
        <f>IF('Economic Assumptions'!$B16+'Project Assumptions'!$D$15+'Project Assumptions'!$D$16-1='Detailed Cashflows'!AV$5,-'Economic Assumptions'!$I16,0)</f>
        <v/>
      </c>
      <c r="AW82" s="301">
        <f>IF('Economic Assumptions'!$B16+'Project Assumptions'!$D$15+'Project Assumptions'!$D$16-1='Detailed Cashflows'!AW$5,-'Economic Assumptions'!$I16,0)</f>
        <v/>
      </c>
      <c r="AX82" s="301">
        <f>IF('Economic Assumptions'!$B16+'Project Assumptions'!$D$15+'Project Assumptions'!$D$16-1='Detailed Cashflows'!AX$5,-'Economic Assumptions'!$I16,0)</f>
        <v/>
      </c>
      <c r="AY82" s="301">
        <f>IF('Economic Assumptions'!$B16+'Project Assumptions'!$D$15+'Project Assumptions'!$D$16-1='Detailed Cashflows'!AY$5,-'Economic Assumptions'!$I16,0)</f>
        <v/>
      </c>
      <c r="AZ82" s="301">
        <f>IF('Economic Assumptions'!$B16+'Project Assumptions'!$D$15+'Project Assumptions'!$D$16-1='Detailed Cashflows'!AZ$5,-'Economic Assumptions'!$I16,0)</f>
        <v/>
      </c>
      <c r="BA82" s="301">
        <f>IF('Economic Assumptions'!$B16+'Project Assumptions'!$D$15+'Project Assumptions'!$D$16-1='Detailed Cashflows'!BA$5,-'Economic Assumptions'!$I16,0)</f>
        <v/>
      </c>
      <c r="BB82" s="301">
        <f>IF('Economic Assumptions'!$B16+'Project Assumptions'!$D$15+'Project Assumptions'!$D$16-1='Detailed Cashflows'!BB$5,-'Economic Assumptions'!$I16,0)</f>
        <v/>
      </c>
      <c r="BC82" s="301">
        <f>IF('Economic Assumptions'!$B16+'Project Assumptions'!$D$15+'Project Assumptions'!$D$16-1='Detailed Cashflows'!BC$5,-'Economic Assumptions'!$I16,0)</f>
        <v/>
      </c>
      <c r="BD82" s="301">
        <f>IF('Economic Assumptions'!$B16+'Project Assumptions'!$D$15+'Project Assumptions'!$D$16-1='Detailed Cashflows'!BD$5,-'Economic Assumptions'!$I16,0)</f>
        <v/>
      </c>
      <c r="BE82" s="301">
        <f>IF('Economic Assumptions'!$B16+'Project Assumptions'!$D$15+'Project Assumptions'!$D$16-1='Detailed Cashflows'!BE$5,-'Economic Assumptions'!$I16,0)</f>
        <v/>
      </c>
      <c r="BF82" s="301">
        <f>IF('Economic Assumptions'!$B16+'Project Assumptions'!$D$15+'Project Assumptions'!$D$16-1='Detailed Cashflows'!BF$5,-'Economic Assumptions'!$I16,0)</f>
        <v/>
      </c>
      <c r="BG82" s="301">
        <f>IF('Economic Assumptions'!$B16+'Project Assumptions'!$D$15+'Project Assumptions'!$D$16-1='Detailed Cashflows'!BG$5,-'Economic Assumptions'!$I16,0)</f>
        <v/>
      </c>
      <c r="BH82" s="301">
        <f>IF('Economic Assumptions'!$B16+'Project Assumptions'!$D$15+'Project Assumptions'!$D$16-1='Detailed Cashflows'!BH$5,-'Economic Assumptions'!$I16,0)</f>
        <v/>
      </c>
      <c r="BI82" s="301">
        <f>IF('Economic Assumptions'!$B16+'Project Assumptions'!$D$15+'Project Assumptions'!$D$16-1='Detailed Cashflows'!BI$5,-'Economic Assumptions'!$I16,0)</f>
        <v/>
      </c>
      <c r="BJ82" s="301">
        <f>IF('Economic Assumptions'!$B16+'Project Assumptions'!$D$15+'Project Assumptions'!$D$16-1='Detailed Cashflows'!BJ$5,-'Economic Assumptions'!$I16,0)</f>
        <v/>
      </c>
      <c r="BK82" s="301">
        <f>IF('Economic Assumptions'!$B16+'Project Assumptions'!$D$15+'Project Assumptions'!$D$16-1='Detailed Cashflows'!BK$5,-'Economic Assumptions'!$I16,0)</f>
        <v/>
      </c>
      <c r="BL82" s="301">
        <f>IF('Economic Assumptions'!$B16+'Project Assumptions'!$D$15+'Project Assumptions'!$D$16-1='Detailed Cashflows'!BL$5,-'Economic Assumptions'!$I16,0)</f>
        <v/>
      </c>
      <c r="BM82" s="301">
        <f>IF('Economic Assumptions'!$B16+'Project Assumptions'!$D$15+'Project Assumptions'!$D$16-1='Detailed Cashflows'!BM$5,-'Economic Assumptions'!$I16,0)</f>
        <v/>
      </c>
      <c r="BN82" s="301">
        <f>IF('Economic Assumptions'!$B16+'Project Assumptions'!$D$15+'Project Assumptions'!$D$16-1='Detailed Cashflows'!BN$5,-'Economic Assumptions'!$I16,0)</f>
        <v/>
      </c>
      <c r="BO82" s="301">
        <f>IF('Economic Assumptions'!$B16+'Project Assumptions'!$D$15+'Project Assumptions'!$D$16-1='Detailed Cashflows'!BO$5,-'Economic Assumptions'!$I16,0)</f>
        <v/>
      </c>
      <c r="BP82" s="301">
        <f>IF('Economic Assumptions'!$B16+'Project Assumptions'!$D$15+'Project Assumptions'!$D$16-1='Detailed Cashflows'!BP$5,-'Economic Assumptions'!$I16,0)</f>
        <v/>
      </c>
      <c r="BQ82" s="301">
        <f>IF('Economic Assumptions'!$B16+'Project Assumptions'!$D$15+'Project Assumptions'!$D$16-1='Detailed Cashflows'!BQ$5,-'Economic Assumptions'!$I16,0)</f>
        <v/>
      </c>
      <c r="BR82" s="301">
        <f>IF('Economic Assumptions'!$B16+'Project Assumptions'!$D$15+'Project Assumptions'!$D$16-1='Detailed Cashflows'!BR$5,-'Economic Assumptions'!$I16,0)</f>
        <v/>
      </c>
      <c r="BS82" s="301">
        <f>IF('Economic Assumptions'!$B16+'Project Assumptions'!$D$15+'Project Assumptions'!$D$16-1='Detailed Cashflows'!BS$5,-'Economic Assumptions'!$I16,0)</f>
        <v/>
      </c>
      <c r="BT82" s="301">
        <f>IF('Economic Assumptions'!$B16+'Project Assumptions'!$D$15+'Project Assumptions'!$D$16-1='Detailed Cashflows'!BT$5,-'Economic Assumptions'!$I16,0)</f>
        <v/>
      </c>
      <c r="BU82" s="301">
        <f>IF('Economic Assumptions'!$B16+'Project Assumptions'!$D$15+'Project Assumptions'!$D$16-1='Detailed Cashflows'!BU$5,-'Economic Assumptions'!$I16,0)</f>
        <v/>
      </c>
      <c r="BV82" s="301">
        <f>IF('Economic Assumptions'!$B16+'Project Assumptions'!$D$15+'Project Assumptions'!$D$16-1='Detailed Cashflows'!BV$5,-'Economic Assumptions'!$I16,0)</f>
        <v/>
      </c>
      <c r="BW82" s="301">
        <f>IF('Economic Assumptions'!$B16+'Project Assumptions'!$D$15+'Project Assumptions'!$D$16-1='Detailed Cashflows'!BW$5,-'Economic Assumptions'!$I16,0)</f>
        <v/>
      </c>
      <c r="BX82" s="301">
        <f>IF('Economic Assumptions'!$B16+'Project Assumptions'!$D$15+'Project Assumptions'!$D$16-1='Detailed Cashflows'!BX$5,-'Economic Assumptions'!$I16,0)</f>
        <v/>
      </c>
      <c r="BY82" s="301">
        <f>IF('Economic Assumptions'!$B16+'Project Assumptions'!$D$15+'Project Assumptions'!$D$16-1='Detailed Cashflows'!BY$5,-'Economic Assumptions'!$I16,0)</f>
        <v/>
      </c>
      <c r="BZ82" s="301">
        <f>IF('Economic Assumptions'!$B16+'Project Assumptions'!$D$15+'Project Assumptions'!$D$16-1='Detailed Cashflows'!BZ$5,-'Economic Assumptions'!$I16,0)</f>
        <v/>
      </c>
      <c r="CA82" s="301">
        <f>IF('Economic Assumptions'!$B16+'Project Assumptions'!$D$15+'Project Assumptions'!$D$16-1='Detailed Cashflows'!CA$5,-'Economic Assumptions'!$I16,0)</f>
        <v/>
      </c>
      <c r="CB82" s="301">
        <f>IF('Economic Assumptions'!$B16+'Project Assumptions'!$D$15+'Project Assumptions'!$D$16-1='Detailed Cashflows'!CB$5,-'Economic Assumptions'!$I16,0)</f>
        <v/>
      </c>
      <c r="CC82" s="301">
        <f>IF('Economic Assumptions'!$B16+'Project Assumptions'!$D$15+'Project Assumptions'!$D$16-1='Detailed Cashflows'!CC$5,-'Economic Assumptions'!$I16,0)</f>
        <v/>
      </c>
      <c r="CD82" s="301">
        <f>IF('Economic Assumptions'!$B16+'Project Assumptions'!$D$15+'Project Assumptions'!$D$16-1='Detailed Cashflows'!CD$5,-'Economic Assumptions'!$I16,0)</f>
        <v/>
      </c>
      <c r="CE82" s="301">
        <f>IF('Economic Assumptions'!$B16+'Project Assumptions'!$D$15+'Project Assumptions'!$D$16-1='Detailed Cashflows'!CE$5,-'Economic Assumptions'!$I16,0)</f>
        <v/>
      </c>
      <c r="CF82" s="301">
        <f>IF('Economic Assumptions'!$B16+'Project Assumptions'!$D$15+'Project Assumptions'!$D$16-1='Detailed Cashflows'!CF$5,-'Economic Assumptions'!$I16,0)</f>
        <v/>
      </c>
      <c r="CG82" s="301">
        <f>IF('Economic Assumptions'!$B16+'Project Assumptions'!$D$15+'Project Assumptions'!$D$16-1='Detailed Cashflows'!CG$5,-'Economic Assumptions'!$I16,0)</f>
        <v/>
      </c>
      <c r="CH82" s="301">
        <f>IF('Economic Assumptions'!$B16+'Project Assumptions'!$D$15+'Project Assumptions'!$D$16-1='Detailed Cashflows'!CH$5,-'Economic Assumptions'!$I16,0)</f>
        <v/>
      </c>
      <c r="CI82" s="301">
        <f>IF('Economic Assumptions'!$B16+'Project Assumptions'!$D$15+'Project Assumptions'!$D$16-1='Detailed Cashflows'!CI$5,-'Economic Assumptions'!$I16,0)</f>
        <v/>
      </c>
      <c r="CJ82" s="301">
        <f>IF('Economic Assumptions'!$B16+'Project Assumptions'!$D$15+'Project Assumptions'!$D$16-1='Detailed Cashflows'!CJ$5,-'Economic Assumptions'!$I16,0)</f>
        <v/>
      </c>
      <c r="CK82" s="301">
        <f>IF('Economic Assumptions'!$B16+'Project Assumptions'!$D$15+'Project Assumptions'!$D$16-1='Detailed Cashflows'!CK$5,-'Economic Assumptions'!$I16,0)</f>
        <v/>
      </c>
      <c r="CL82" s="301">
        <f>IF('Economic Assumptions'!$B16+'Project Assumptions'!$D$15+'Project Assumptions'!$D$16-1='Detailed Cashflows'!CL$5,-'Economic Assumptions'!$I16,0)</f>
        <v/>
      </c>
      <c r="CM82" s="301">
        <f>IF('Economic Assumptions'!$B16+'Project Assumptions'!$D$15+'Project Assumptions'!$D$16-1='Detailed Cashflows'!CM$5,-'Economic Assumptions'!$I16,0)</f>
        <v/>
      </c>
      <c r="CN82" s="301">
        <f>IF('Economic Assumptions'!$B16+'Project Assumptions'!$D$15+'Project Assumptions'!$D$16-1='Detailed Cashflows'!CN$5,-'Economic Assumptions'!$I16,0)</f>
        <v/>
      </c>
      <c r="CO82" s="301">
        <f>IF('Economic Assumptions'!$B16+'Project Assumptions'!$D$15+'Project Assumptions'!$D$16-1='Detailed Cashflows'!CO$5,-'Economic Assumptions'!$I16,0)</f>
        <v/>
      </c>
      <c r="CP82" s="301">
        <f>IF('Economic Assumptions'!$B16+'Project Assumptions'!$D$15+'Project Assumptions'!$D$16-1='Detailed Cashflows'!CP$5,-'Economic Assumptions'!$I16,0)</f>
        <v/>
      </c>
      <c r="CQ82" s="301">
        <f>IF('Economic Assumptions'!$B16+'Project Assumptions'!$D$15+'Project Assumptions'!$D$16-1='Detailed Cashflows'!CQ$5,-'Economic Assumptions'!$I16,0)</f>
        <v/>
      </c>
      <c r="CR82" s="301">
        <f>IF('Economic Assumptions'!$B16+'Project Assumptions'!$D$15+'Project Assumptions'!$D$16-1='Detailed Cashflows'!CR$5,-'Economic Assumptions'!$I16,0)</f>
        <v/>
      </c>
      <c r="CS82" s="301">
        <f>IF('Economic Assumptions'!$B16+'Project Assumptions'!$D$15+'Project Assumptions'!$D$16-1='Detailed Cashflows'!CS$5,-'Economic Assumptions'!$I16,0)</f>
        <v/>
      </c>
      <c r="CT82" s="301">
        <f>IF('Economic Assumptions'!$B16+'Project Assumptions'!$D$15+'Project Assumptions'!$D$16-1='Detailed Cashflows'!CT$5,-'Economic Assumptions'!$I16,0)</f>
        <v/>
      </c>
      <c r="CU82" s="301">
        <f>IF('Economic Assumptions'!$B16+'Project Assumptions'!$D$15+'Project Assumptions'!$D$16-1='Detailed Cashflows'!CU$5,-'Economic Assumptions'!$I16,0)</f>
        <v/>
      </c>
      <c r="CV82" s="301">
        <f>IF('Economic Assumptions'!$B16+'Project Assumptions'!$D$15+'Project Assumptions'!$D$16-1='Detailed Cashflows'!CV$5,-'Economic Assumptions'!$I16,0)</f>
        <v/>
      </c>
      <c r="CW82" s="301">
        <f>IF('Economic Assumptions'!$B16+'Project Assumptions'!$D$15+'Project Assumptions'!$D$16-1='Detailed Cashflows'!CW$5,-'Economic Assumptions'!$I16,0)</f>
        <v/>
      </c>
      <c r="CX82" s="301">
        <f>IF('Economic Assumptions'!$B16+'Project Assumptions'!$D$15+'Project Assumptions'!$D$16-1='Detailed Cashflows'!CX$5,-'Economic Assumptions'!$I16,0)</f>
        <v/>
      </c>
      <c r="CY82" s="301">
        <f>IF('Economic Assumptions'!$B16+'Project Assumptions'!$D$15+'Project Assumptions'!$D$16-1='Detailed Cashflows'!CY$5,-'Economic Assumptions'!$I16,0)</f>
        <v/>
      </c>
      <c r="CZ82" s="301">
        <f>IF('Economic Assumptions'!$B16+'Project Assumptions'!$D$15+'Project Assumptions'!$D$16-1='Detailed Cashflows'!CZ$5,-'Economic Assumptions'!$I16,0)</f>
        <v/>
      </c>
      <c r="DA82" s="301">
        <f>IF('Economic Assumptions'!$B16+'Project Assumptions'!$D$15+'Project Assumptions'!$D$16-1='Detailed Cashflows'!DA$5,-'Economic Assumptions'!$I16,0)</f>
        <v/>
      </c>
      <c r="DB82" s="301">
        <f>IF('Economic Assumptions'!$B16+'Project Assumptions'!$D$15+'Project Assumptions'!$D$16-1='Detailed Cashflows'!DB$5,-'Economic Assumptions'!$I16,0)</f>
        <v/>
      </c>
      <c r="DC82" s="301" t="n"/>
      <c r="DD82" s="299">
        <f>SUM(F82:DB82)</f>
        <v/>
      </c>
    </row>
    <row r="83" hidden="1" outlineLevel="1">
      <c r="A83" s="1000" t="n"/>
      <c r="B83" s="640">
        <f>'Economic Assumptions'!$A$17</f>
        <v/>
      </c>
      <c r="C83" s="294" t="n"/>
      <c r="D83" s="299">
        <f>DD83</f>
        <v/>
      </c>
      <c r="E83" s="300" t="n"/>
      <c r="F83" s="301">
        <f>IF('Economic Assumptions'!$B17+'Project Assumptions'!$D$15+'Project Assumptions'!$D$16-1='Detailed Cashflows'!F$5,-'Economic Assumptions'!$I17,0)</f>
        <v/>
      </c>
      <c r="G83" s="301">
        <f>IF('Economic Assumptions'!$B17+'Project Assumptions'!$D$15+'Project Assumptions'!$D$16-1='Detailed Cashflows'!G$5,-'Economic Assumptions'!$I17,0)</f>
        <v/>
      </c>
      <c r="H83" s="301">
        <f>IF('Economic Assumptions'!$B17+'Project Assumptions'!$D$15+'Project Assumptions'!$D$16-1='Detailed Cashflows'!H$5,-'Economic Assumptions'!$I17,0)</f>
        <v/>
      </c>
      <c r="I83" s="301">
        <f>IF('Economic Assumptions'!$B17+'Project Assumptions'!$D$15+'Project Assumptions'!$D$16-1='Detailed Cashflows'!I$5,-'Economic Assumptions'!$I17,0)</f>
        <v/>
      </c>
      <c r="J83" s="301">
        <f>IF('Economic Assumptions'!$B17+'Project Assumptions'!$D$15+'Project Assumptions'!$D$16-1='Detailed Cashflows'!J$5,-'Economic Assumptions'!$I17,0)</f>
        <v/>
      </c>
      <c r="K83" s="301">
        <f>IF('Economic Assumptions'!$B17+'Project Assumptions'!$D$15+'Project Assumptions'!$D$16-1='Detailed Cashflows'!K$5,-'Economic Assumptions'!$I17,0)</f>
        <v/>
      </c>
      <c r="L83" s="301">
        <f>IF('Economic Assumptions'!$B17+'Project Assumptions'!$D$15+'Project Assumptions'!$D$16-1='Detailed Cashflows'!L$5,-'Economic Assumptions'!$I17,0)</f>
        <v/>
      </c>
      <c r="M83" s="301">
        <f>IF('Economic Assumptions'!$B17+'Project Assumptions'!$D$15+'Project Assumptions'!$D$16-1='Detailed Cashflows'!M$5,-'Economic Assumptions'!$I17,0)</f>
        <v/>
      </c>
      <c r="N83" s="301">
        <f>IF('Economic Assumptions'!$B17+'Project Assumptions'!$D$15+'Project Assumptions'!$D$16-1='Detailed Cashflows'!N$5,-'Economic Assumptions'!$I17,0)</f>
        <v/>
      </c>
      <c r="O83" s="301">
        <f>IF('Economic Assumptions'!$B17+'Project Assumptions'!$D$15+'Project Assumptions'!$D$16-1='Detailed Cashflows'!O$5,-'Economic Assumptions'!$I17,0)</f>
        <v/>
      </c>
      <c r="P83" s="301">
        <f>IF('Economic Assumptions'!$B17+'Project Assumptions'!$D$15+'Project Assumptions'!$D$16-1='Detailed Cashflows'!P$5,-'Economic Assumptions'!$I17,0)</f>
        <v/>
      </c>
      <c r="Q83" s="301">
        <f>IF('Economic Assumptions'!$B17+'Project Assumptions'!$D$15+'Project Assumptions'!$D$16-1='Detailed Cashflows'!Q$5,-'Economic Assumptions'!$I17,0)</f>
        <v/>
      </c>
      <c r="R83" s="301">
        <f>IF('Economic Assumptions'!$B17+'Project Assumptions'!$D$15+'Project Assumptions'!$D$16-1='Detailed Cashflows'!R$5,-'Economic Assumptions'!$I17,0)</f>
        <v/>
      </c>
      <c r="S83" s="301">
        <f>IF('Economic Assumptions'!$B17+'Project Assumptions'!$D$15+'Project Assumptions'!$D$16-1='Detailed Cashflows'!S$5,-'Economic Assumptions'!$I17,0)</f>
        <v/>
      </c>
      <c r="T83" s="301">
        <f>IF('Economic Assumptions'!$B17+'Project Assumptions'!$D$15+'Project Assumptions'!$D$16-1='Detailed Cashflows'!T$5,-'Economic Assumptions'!$I17,0)</f>
        <v/>
      </c>
      <c r="U83" s="301">
        <f>IF('Economic Assumptions'!$B17+'Project Assumptions'!$D$15+'Project Assumptions'!$D$16-1='Detailed Cashflows'!U$5,-'Economic Assumptions'!$I17,0)</f>
        <v/>
      </c>
      <c r="V83" s="301">
        <f>IF('Economic Assumptions'!$B17+'Project Assumptions'!$D$15+'Project Assumptions'!$D$16-1='Detailed Cashflows'!V$5,-'Economic Assumptions'!$I17,0)</f>
        <v/>
      </c>
      <c r="W83" s="301">
        <f>IF('Economic Assumptions'!$B17+'Project Assumptions'!$D$15+'Project Assumptions'!$D$16-1='Detailed Cashflows'!W$5,-'Economic Assumptions'!$I17,0)</f>
        <v/>
      </c>
      <c r="X83" s="301">
        <f>IF('Economic Assumptions'!$B17+'Project Assumptions'!$D$15+'Project Assumptions'!$D$16-1='Detailed Cashflows'!X$5,-'Economic Assumptions'!$I17,0)</f>
        <v/>
      </c>
      <c r="Y83" s="301">
        <f>IF('Economic Assumptions'!$B17+'Project Assumptions'!$D$15+'Project Assumptions'!$D$16-1='Detailed Cashflows'!Y$5,-'Economic Assumptions'!$I17,0)</f>
        <v/>
      </c>
      <c r="Z83" s="301">
        <f>IF('Economic Assumptions'!$B17+'Project Assumptions'!$D$15+'Project Assumptions'!$D$16-1='Detailed Cashflows'!Z$5,-'Economic Assumptions'!$I17,0)</f>
        <v/>
      </c>
      <c r="AA83" s="301">
        <f>IF('Economic Assumptions'!$B17+'Project Assumptions'!$D$15+'Project Assumptions'!$D$16-1='Detailed Cashflows'!AA$5,-'Economic Assumptions'!$I17,0)</f>
        <v/>
      </c>
      <c r="AB83" s="301">
        <f>IF('Economic Assumptions'!$B17+'Project Assumptions'!$D$15+'Project Assumptions'!$D$16-1='Detailed Cashflows'!AB$5,-'Economic Assumptions'!$I17,0)</f>
        <v/>
      </c>
      <c r="AC83" s="301">
        <f>IF('Economic Assumptions'!$B17+'Project Assumptions'!$D$15+'Project Assumptions'!$D$16-1='Detailed Cashflows'!AC$5,-'Economic Assumptions'!$I17,0)</f>
        <v/>
      </c>
      <c r="AD83" s="301">
        <f>IF('Economic Assumptions'!$B17+'Project Assumptions'!$D$15+'Project Assumptions'!$D$16-1='Detailed Cashflows'!AD$5,-'Economic Assumptions'!$I17,0)</f>
        <v/>
      </c>
      <c r="AE83" s="301">
        <f>IF('Economic Assumptions'!$B17+'Project Assumptions'!$D$15+'Project Assumptions'!$D$16-1='Detailed Cashflows'!AE$5,-'Economic Assumptions'!$I17,0)</f>
        <v/>
      </c>
      <c r="AF83" s="301">
        <f>IF('Economic Assumptions'!$B17+'Project Assumptions'!$D$15+'Project Assumptions'!$D$16-1='Detailed Cashflows'!AF$5,-'Economic Assumptions'!$I17,0)</f>
        <v/>
      </c>
      <c r="AG83" s="301">
        <f>IF('Economic Assumptions'!$B17+'Project Assumptions'!$D$15+'Project Assumptions'!$D$16-1='Detailed Cashflows'!AG$5,-'Economic Assumptions'!$I17,0)</f>
        <v/>
      </c>
      <c r="AH83" s="301">
        <f>IF('Economic Assumptions'!$B17+'Project Assumptions'!$D$15+'Project Assumptions'!$D$16-1='Detailed Cashflows'!AH$5,-'Economic Assumptions'!$I17,0)</f>
        <v/>
      </c>
      <c r="AI83" s="301">
        <f>IF('Economic Assumptions'!$B17+'Project Assumptions'!$D$15+'Project Assumptions'!$D$16-1='Detailed Cashflows'!AI$5,-'Economic Assumptions'!$I17,0)</f>
        <v/>
      </c>
      <c r="AJ83" s="301">
        <f>IF('Economic Assumptions'!$B17+'Project Assumptions'!$D$15+'Project Assumptions'!$D$16-1='Detailed Cashflows'!AJ$5,-'Economic Assumptions'!$I17,0)</f>
        <v/>
      </c>
      <c r="AK83" s="301">
        <f>IF('Economic Assumptions'!$B17+'Project Assumptions'!$D$15+'Project Assumptions'!$D$16-1='Detailed Cashflows'!AK$5,-'Economic Assumptions'!$I17,0)</f>
        <v/>
      </c>
      <c r="AL83" s="301">
        <f>IF('Economic Assumptions'!$B17+'Project Assumptions'!$D$15+'Project Assumptions'!$D$16-1='Detailed Cashflows'!AL$5,-'Economic Assumptions'!$I17,0)</f>
        <v/>
      </c>
      <c r="AM83" s="301">
        <f>IF('Economic Assumptions'!$B17+'Project Assumptions'!$D$15+'Project Assumptions'!$D$16-1='Detailed Cashflows'!AM$5,-'Economic Assumptions'!$I17,0)</f>
        <v/>
      </c>
      <c r="AN83" s="301">
        <f>IF('Economic Assumptions'!$B17+'Project Assumptions'!$D$15+'Project Assumptions'!$D$16-1='Detailed Cashflows'!AN$5,-'Economic Assumptions'!$I17,0)</f>
        <v/>
      </c>
      <c r="AO83" s="301">
        <f>IF('Economic Assumptions'!$B17+'Project Assumptions'!$D$15+'Project Assumptions'!$D$16-1='Detailed Cashflows'!AO$5,-'Economic Assumptions'!$I17,0)</f>
        <v/>
      </c>
      <c r="AP83" s="301">
        <f>IF('Economic Assumptions'!$B17+'Project Assumptions'!$D$15+'Project Assumptions'!$D$16-1='Detailed Cashflows'!AP$5,-'Economic Assumptions'!$I17,0)</f>
        <v/>
      </c>
      <c r="AQ83" s="301">
        <f>IF('Economic Assumptions'!$B17+'Project Assumptions'!$D$15+'Project Assumptions'!$D$16-1='Detailed Cashflows'!AQ$5,-'Economic Assumptions'!$I17,0)</f>
        <v/>
      </c>
      <c r="AR83" s="301">
        <f>IF('Economic Assumptions'!$B17+'Project Assumptions'!$D$15+'Project Assumptions'!$D$16-1='Detailed Cashflows'!AR$5,-'Economic Assumptions'!$I17,0)</f>
        <v/>
      </c>
      <c r="AS83" s="301">
        <f>IF('Economic Assumptions'!$B17+'Project Assumptions'!$D$15+'Project Assumptions'!$D$16-1='Detailed Cashflows'!AS$5,-'Economic Assumptions'!$I17,0)</f>
        <v/>
      </c>
      <c r="AT83" s="301">
        <f>IF('Economic Assumptions'!$B17+'Project Assumptions'!$D$15+'Project Assumptions'!$D$16-1='Detailed Cashflows'!AT$5,-'Economic Assumptions'!$I17,0)</f>
        <v/>
      </c>
      <c r="AU83" s="301">
        <f>IF('Economic Assumptions'!$B17+'Project Assumptions'!$D$15+'Project Assumptions'!$D$16-1='Detailed Cashflows'!AU$5,-'Economic Assumptions'!$I17,0)</f>
        <v/>
      </c>
      <c r="AV83" s="301">
        <f>IF('Economic Assumptions'!$B17+'Project Assumptions'!$D$15+'Project Assumptions'!$D$16-1='Detailed Cashflows'!AV$5,-'Economic Assumptions'!$I17,0)</f>
        <v/>
      </c>
      <c r="AW83" s="301">
        <f>IF('Economic Assumptions'!$B17+'Project Assumptions'!$D$15+'Project Assumptions'!$D$16-1='Detailed Cashflows'!AW$5,-'Economic Assumptions'!$I17,0)</f>
        <v/>
      </c>
      <c r="AX83" s="301">
        <f>IF('Economic Assumptions'!$B17+'Project Assumptions'!$D$15+'Project Assumptions'!$D$16-1='Detailed Cashflows'!AX$5,-'Economic Assumptions'!$I17,0)</f>
        <v/>
      </c>
      <c r="AY83" s="301">
        <f>IF('Economic Assumptions'!$B17+'Project Assumptions'!$D$15+'Project Assumptions'!$D$16-1='Detailed Cashflows'!AY$5,-'Economic Assumptions'!$I17,0)</f>
        <v/>
      </c>
      <c r="AZ83" s="301">
        <f>IF('Economic Assumptions'!$B17+'Project Assumptions'!$D$15+'Project Assumptions'!$D$16-1='Detailed Cashflows'!AZ$5,-'Economic Assumptions'!$I17,0)</f>
        <v/>
      </c>
      <c r="BA83" s="301">
        <f>IF('Economic Assumptions'!$B17+'Project Assumptions'!$D$15+'Project Assumptions'!$D$16-1='Detailed Cashflows'!BA$5,-'Economic Assumptions'!$I17,0)</f>
        <v/>
      </c>
      <c r="BB83" s="301">
        <f>IF('Economic Assumptions'!$B17+'Project Assumptions'!$D$15+'Project Assumptions'!$D$16-1='Detailed Cashflows'!BB$5,-'Economic Assumptions'!$I17,0)</f>
        <v/>
      </c>
      <c r="BC83" s="301">
        <f>IF('Economic Assumptions'!$B17+'Project Assumptions'!$D$15+'Project Assumptions'!$D$16-1='Detailed Cashflows'!BC$5,-'Economic Assumptions'!$I17,0)</f>
        <v/>
      </c>
      <c r="BD83" s="301">
        <f>IF('Economic Assumptions'!$B17+'Project Assumptions'!$D$15+'Project Assumptions'!$D$16-1='Detailed Cashflows'!BD$5,-'Economic Assumptions'!$I17,0)</f>
        <v/>
      </c>
      <c r="BE83" s="301">
        <f>IF('Economic Assumptions'!$B17+'Project Assumptions'!$D$15+'Project Assumptions'!$D$16-1='Detailed Cashflows'!BE$5,-'Economic Assumptions'!$I17,0)</f>
        <v/>
      </c>
      <c r="BF83" s="301">
        <f>IF('Economic Assumptions'!$B17+'Project Assumptions'!$D$15+'Project Assumptions'!$D$16-1='Detailed Cashflows'!BF$5,-'Economic Assumptions'!$I17,0)</f>
        <v/>
      </c>
      <c r="BG83" s="301">
        <f>IF('Economic Assumptions'!$B17+'Project Assumptions'!$D$15+'Project Assumptions'!$D$16-1='Detailed Cashflows'!BG$5,-'Economic Assumptions'!$I17,0)</f>
        <v/>
      </c>
      <c r="BH83" s="301">
        <f>IF('Economic Assumptions'!$B17+'Project Assumptions'!$D$15+'Project Assumptions'!$D$16-1='Detailed Cashflows'!BH$5,-'Economic Assumptions'!$I17,0)</f>
        <v/>
      </c>
      <c r="BI83" s="301">
        <f>IF('Economic Assumptions'!$B17+'Project Assumptions'!$D$15+'Project Assumptions'!$D$16-1='Detailed Cashflows'!BI$5,-'Economic Assumptions'!$I17,0)</f>
        <v/>
      </c>
      <c r="BJ83" s="301">
        <f>IF('Economic Assumptions'!$B17+'Project Assumptions'!$D$15+'Project Assumptions'!$D$16-1='Detailed Cashflows'!BJ$5,-'Economic Assumptions'!$I17,0)</f>
        <v/>
      </c>
      <c r="BK83" s="301">
        <f>IF('Economic Assumptions'!$B17+'Project Assumptions'!$D$15+'Project Assumptions'!$D$16-1='Detailed Cashflows'!BK$5,-'Economic Assumptions'!$I17,0)</f>
        <v/>
      </c>
      <c r="BL83" s="301">
        <f>IF('Economic Assumptions'!$B17+'Project Assumptions'!$D$15+'Project Assumptions'!$D$16-1='Detailed Cashflows'!BL$5,-'Economic Assumptions'!$I17,0)</f>
        <v/>
      </c>
      <c r="BM83" s="301">
        <f>IF('Economic Assumptions'!$B17+'Project Assumptions'!$D$15+'Project Assumptions'!$D$16-1='Detailed Cashflows'!BM$5,-'Economic Assumptions'!$I17,0)</f>
        <v/>
      </c>
      <c r="BN83" s="301">
        <f>IF('Economic Assumptions'!$B17+'Project Assumptions'!$D$15+'Project Assumptions'!$D$16-1='Detailed Cashflows'!BN$5,-'Economic Assumptions'!$I17,0)</f>
        <v/>
      </c>
      <c r="BO83" s="301">
        <f>IF('Economic Assumptions'!$B17+'Project Assumptions'!$D$15+'Project Assumptions'!$D$16-1='Detailed Cashflows'!BO$5,-'Economic Assumptions'!$I17,0)</f>
        <v/>
      </c>
      <c r="BP83" s="301">
        <f>IF('Economic Assumptions'!$B17+'Project Assumptions'!$D$15+'Project Assumptions'!$D$16-1='Detailed Cashflows'!BP$5,-'Economic Assumptions'!$I17,0)</f>
        <v/>
      </c>
      <c r="BQ83" s="301">
        <f>IF('Economic Assumptions'!$B17+'Project Assumptions'!$D$15+'Project Assumptions'!$D$16-1='Detailed Cashflows'!BQ$5,-'Economic Assumptions'!$I17,0)</f>
        <v/>
      </c>
      <c r="BR83" s="301">
        <f>IF('Economic Assumptions'!$B17+'Project Assumptions'!$D$15+'Project Assumptions'!$D$16-1='Detailed Cashflows'!BR$5,-'Economic Assumptions'!$I17,0)</f>
        <v/>
      </c>
      <c r="BS83" s="301">
        <f>IF('Economic Assumptions'!$B17+'Project Assumptions'!$D$15+'Project Assumptions'!$D$16-1='Detailed Cashflows'!BS$5,-'Economic Assumptions'!$I17,0)</f>
        <v/>
      </c>
      <c r="BT83" s="301">
        <f>IF('Economic Assumptions'!$B17+'Project Assumptions'!$D$15+'Project Assumptions'!$D$16-1='Detailed Cashflows'!BT$5,-'Economic Assumptions'!$I17,0)</f>
        <v/>
      </c>
      <c r="BU83" s="301">
        <f>IF('Economic Assumptions'!$B17+'Project Assumptions'!$D$15+'Project Assumptions'!$D$16-1='Detailed Cashflows'!BU$5,-'Economic Assumptions'!$I17,0)</f>
        <v/>
      </c>
      <c r="BV83" s="301">
        <f>IF('Economic Assumptions'!$B17+'Project Assumptions'!$D$15+'Project Assumptions'!$D$16-1='Detailed Cashflows'!BV$5,-'Economic Assumptions'!$I17,0)</f>
        <v/>
      </c>
      <c r="BW83" s="301">
        <f>IF('Economic Assumptions'!$B17+'Project Assumptions'!$D$15+'Project Assumptions'!$D$16-1='Detailed Cashflows'!BW$5,-'Economic Assumptions'!$I17,0)</f>
        <v/>
      </c>
      <c r="BX83" s="301">
        <f>IF('Economic Assumptions'!$B17+'Project Assumptions'!$D$15+'Project Assumptions'!$D$16-1='Detailed Cashflows'!BX$5,-'Economic Assumptions'!$I17,0)</f>
        <v/>
      </c>
      <c r="BY83" s="301">
        <f>IF('Economic Assumptions'!$B17+'Project Assumptions'!$D$15+'Project Assumptions'!$D$16-1='Detailed Cashflows'!BY$5,-'Economic Assumptions'!$I17,0)</f>
        <v/>
      </c>
      <c r="BZ83" s="301">
        <f>IF('Economic Assumptions'!$B17+'Project Assumptions'!$D$15+'Project Assumptions'!$D$16-1='Detailed Cashflows'!BZ$5,-'Economic Assumptions'!$I17,0)</f>
        <v/>
      </c>
      <c r="CA83" s="301">
        <f>IF('Economic Assumptions'!$B17+'Project Assumptions'!$D$15+'Project Assumptions'!$D$16-1='Detailed Cashflows'!CA$5,-'Economic Assumptions'!$I17,0)</f>
        <v/>
      </c>
      <c r="CB83" s="301">
        <f>IF('Economic Assumptions'!$B17+'Project Assumptions'!$D$15+'Project Assumptions'!$D$16-1='Detailed Cashflows'!CB$5,-'Economic Assumptions'!$I17,0)</f>
        <v/>
      </c>
      <c r="CC83" s="301">
        <f>IF('Economic Assumptions'!$B17+'Project Assumptions'!$D$15+'Project Assumptions'!$D$16-1='Detailed Cashflows'!CC$5,-'Economic Assumptions'!$I17,0)</f>
        <v/>
      </c>
      <c r="CD83" s="301">
        <f>IF('Economic Assumptions'!$B17+'Project Assumptions'!$D$15+'Project Assumptions'!$D$16-1='Detailed Cashflows'!CD$5,-'Economic Assumptions'!$I17,0)</f>
        <v/>
      </c>
      <c r="CE83" s="301">
        <f>IF('Economic Assumptions'!$B17+'Project Assumptions'!$D$15+'Project Assumptions'!$D$16-1='Detailed Cashflows'!CE$5,-'Economic Assumptions'!$I17,0)</f>
        <v/>
      </c>
      <c r="CF83" s="301">
        <f>IF('Economic Assumptions'!$B17+'Project Assumptions'!$D$15+'Project Assumptions'!$D$16-1='Detailed Cashflows'!CF$5,-'Economic Assumptions'!$I17,0)</f>
        <v/>
      </c>
      <c r="CG83" s="301">
        <f>IF('Economic Assumptions'!$B17+'Project Assumptions'!$D$15+'Project Assumptions'!$D$16-1='Detailed Cashflows'!CG$5,-'Economic Assumptions'!$I17,0)</f>
        <v/>
      </c>
      <c r="CH83" s="301">
        <f>IF('Economic Assumptions'!$B17+'Project Assumptions'!$D$15+'Project Assumptions'!$D$16-1='Detailed Cashflows'!CH$5,-'Economic Assumptions'!$I17,0)</f>
        <v/>
      </c>
      <c r="CI83" s="301">
        <f>IF('Economic Assumptions'!$B17+'Project Assumptions'!$D$15+'Project Assumptions'!$D$16-1='Detailed Cashflows'!CI$5,-'Economic Assumptions'!$I17,0)</f>
        <v/>
      </c>
      <c r="CJ83" s="301">
        <f>IF('Economic Assumptions'!$B17+'Project Assumptions'!$D$15+'Project Assumptions'!$D$16-1='Detailed Cashflows'!CJ$5,-'Economic Assumptions'!$I17,0)</f>
        <v/>
      </c>
      <c r="CK83" s="301">
        <f>IF('Economic Assumptions'!$B17+'Project Assumptions'!$D$15+'Project Assumptions'!$D$16-1='Detailed Cashflows'!CK$5,-'Economic Assumptions'!$I17,0)</f>
        <v/>
      </c>
      <c r="CL83" s="301">
        <f>IF('Economic Assumptions'!$B17+'Project Assumptions'!$D$15+'Project Assumptions'!$D$16-1='Detailed Cashflows'!CL$5,-'Economic Assumptions'!$I17,0)</f>
        <v/>
      </c>
      <c r="CM83" s="301">
        <f>IF('Economic Assumptions'!$B17+'Project Assumptions'!$D$15+'Project Assumptions'!$D$16-1='Detailed Cashflows'!CM$5,-'Economic Assumptions'!$I17,0)</f>
        <v/>
      </c>
      <c r="CN83" s="301">
        <f>IF('Economic Assumptions'!$B17+'Project Assumptions'!$D$15+'Project Assumptions'!$D$16-1='Detailed Cashflows'!CN$5,-'Economic Assumptions'!$I17,0)</f>
        <v/>
      </c>
      <c r="CO83" s="301">
        <f>IF('Economic Assumptions'!$B17+'Project Assumptions'!$D$15+'Project Assumptions'!$D$16-1='Detailed Cashflows'!CO$5,-'Economic Assumptions'!$I17,0)</f>
        <v/>
      </c>
      <c r="CP83" s="301">
        <f>IF('Economic Assumptions'!$B17+'Project Assumptions'!$D$15+'Project Assumptions'!$D$16-1='Detailed Cashflows'!CP$5,-'Economic Assumptions'!$I17,0)</f>
        <v/>
      </c>
      <c r="CQ83" s="301">
        <f>IF('Economic Assumptions'!$B17+'Project Assumptions'!$D$15+'Project Assumptions'!$D$16-1='Detailed Cashflows'!CQ$5,-'Economic Assumptions'!$I17,0)</f>
        <v/>
      </c>
      <c r="CR83" s="301">
        <f>IF('Economic Assumptions'!$B17+'Project Assumptions'!$D$15+'Project Assumptions'!$D$16-1='Detailed Cashflows'!CR$5,-'Economic Assumptions'!$I17,0)</f>
        <v/>
      </c>
      <c r="CS83" s="301">
        <f>IF('Economic Assumptions'!$B17+'Project Assumptions'!$D$15+'Project Assumptions'!$D$16-1='Detailed Cashflows'!CS$5,-'Economic Assumptions'!$I17,0)</f>
        <v/>
      </c>
      <c r="CT83" s="301">
        <f>IF('Economic Assumptions'!$B17+'Project Assumptions'!$D$15+'Project Assumptions'!$D$16-1='Detailed Cashflows'!CT$5,-'Economic Assumptions'!$I17,0)</f>
        <v/>
      </c>
      <c r="CU83" s="301">
        <f>IF('Economic Assumptions'!$B17+'Project Assumptions'!$D$15+'Project Assumptions'!$D$16-1='Detailed Cashflows'!CU$5,-'Economic Assumptions'!$I17,0)</f>
        <v/>
      </c>
      <c r="CV83" s="301">
        <f>IF('Economic Assumptions'!$B17+'Project Assumptions'!$D$15+'Project Assumptions'!$D$16-1='Detailed Cashflows'!CV$5,-'Economic Assumptions'!$I17,0)</f>
        <v/>
      </c>
      <c r="CW83" s="301">
        <f>IF('Economic Assumptions'!$B17+'Project Assumptions'!$D$15+'Project Assumptions'!$D$16-1='Detailed Cashflows'!CW$5,-'Economic Assumptions'!$I17,0)</f>
        <v/>
      </c>
      <c r="CX83" s="301">
        <f>IF('Economic Assumptions'!$B17+'Project Assumptions'!$D$15+'Project Assumptions'!$D$16-1='Detailed Cashflows'!CX$5,-'Economic Assumptions'!$I17,0)</f>
        <v/>
      </c>
      <c r="CY83" s="301">
        <f>IF('Economic Assumptions'!$B17+'Project Assumptions'!$D$15+'Project Assumptions'!$D$16-1='Detailed Cashflows'!CY$5,-'Economic Assumptions'!$I17,0)</f>
        <v/>
      </c>
      <c r="CZ83" s="301">
        <f>IF('Economic Assumptions'!$B17+'Project Assumptions'!$D$15+'Project Assumptions'!$D$16-1='Detailed Cashflows'!CZ$5,-'Economic Assumptions'!$I17,0)</f>
        <v/>
      </c>
      <c r="DA83" s="301">
        <f>IF('Economic Assumptions'!$B17+'Project Assumptions'!$D$15+'Project Assumptions'!$D$16-1='Detailed Cashflows'!DA$5,-'Economic Assumptions'!$I17,0)</f>
        <v/>
      </c>
      <c r="DB83" s="301">
        <f>IF('Economic Assumptions'!$B17+'Project Assumptions'!$D$15+'Project Assumptions'!$D$16-1='Detailed Cashflows'!DB$5,-'Economic Assumptions'!$I17,0)</f>
        <v/>
      </c>
      <c r="DC83" s="301" t="n"/>
      <c r="DD83" s="299">
        <f>SUM(F83:DB83)</f>
        <v/>
      </c>
    </row>
    <row r="84" hidden="1" outlineLevel="1">
      <c r="A84" s="1000" t="n"/>
      <c r="B84" s="640">
        <f>'Economic Assumptions'!$A$18</f>
        <v/>
      </c>
      <c r="C84" s="294" t="n"/>
      <c r="D84" s="299">
        <f>DD84</f>
        <v/>
      </c>
      <c r="E84" s="300" t="n"/>
      <c r="F84" s="301">
        <f>IF('Economic Assumptions'!$B18+'Project Assumptions'!$D$15+'Project Assumptions'!$D$16-1='Detailed Cashflows'!F$5,-'Economic Assumptions'!$I18,0)</f>
        <v/>
      </c>
      <c r="G84" s="301">
        <f>IF('Economic Assumptions'!$B18+'Project Assumptions'!$D$15+'Project Assumptions'!$D$16-1='Detailed Cashflows'!G$5,-'Economic Assumptions'!$I18,0)</f>
        <v/>
      </c>
      <c r="H84" s="301">
        <f>IF('Economic Assumptions'!$B18+'Project Assumptions'!$D$15+'Project Assumptions'!$D$16-1='Detailed Cashflows'!H$5,-'Economic Assumptions'!$I18,0)</f>
        <v/>
      </c>
      <c r="I84" s="301">
        <f>IF('Economic Assumptions'!$B18+'Project Assumptions'!$D$15+'Project Assumptions'!$D$16-1='Detailed Cashflows'!I$5,-'Economic Assumptions'!$I18,0)</f>
        <v/>
      </c>
      <c r="J84" s="301">
        <f>IF('Economic Assumptions'!$B18+'Project Assumptions'!$D$15+'Project Assumptions'!$D$16-1='Detailed Cashflows'!J$5,-'Economic Assumptions'!$I18,0)</f>
        <v/>
      </c>
      <c r="K84" s="301">
        <f>IF('Economic Assumptions'!$B18+'Project Assumptions'!$D$15+'Project Assumptions'!$D$16-1='Detailed Cashflows'!K$5,-'Economic Assumptions'!$I18,0)</f>
        <v/>
      </c>
      <c r="L84" s="301">
        <f>IF('Economic Assumptions'!$B18+'Project Assumptions'!$D$15+'Project Assumptions'!$D$16-1='Detailed Cashflows'!L$5,-'Economic Assumptions'!$I18,0)</f>
        <v/>
      </c>
      <c r="M84" s="301">
        <f>IF('Economic Assumptions'!$B18+'Project Assumptions'!$D$15+'Project Assumptions'!$D$16-1='Detailed Cashflows'!M$5,-'Economic Assumptions'!$I18,0)</f>
        <v/>
      </c>
      <c r="N84" s="301">
        <f>IF('Economic Assumptions'!$B18+'Project Assumptions'!$D$15+'Project Assumptions'!$D$16-1='Detailed Cashflows'!N$5,-'Economic Assumptions'!$I18,0)</f>
        <v/>
      </c>
      <c r="O84" s="301">
        <f>IF('Economic Assumptions'!$B18+'Project Assumptions'!$D$15+'Project Assumptions'!$D$16-1='Detailed Cashflows'!O$5,-'Economic Assumptions'!$I18,0)</f>
        <v/>
      </c>
      <c r="P84" s="301">
        <f>IF('Economic Assumptions'!$B18+'Project Assumptions'!$D$15+'Project Assumptions'!$D$16-1='Detailed Cashflows'!P$5,-'Economic Assumptions'!$I18,0)</f>
        <v/>
      </c>
      <c r="Q84" s="301">
        <f>IF('Economic Assumptions'!$B18+'Project Assumptions'!$D$15+'Project Assumptions'!$D$16-1='Detailed Cashflows'!Q$5,-'Economic Assumptions'!$I18,0)</f>
        <v/>
      </c>
      <c r="R84" s="301">
        <f>IF('Economic Assumptions'!$B18+'Project Assumptions'!$D$15+'Project Assumptions'!$D$16-1='Detailed Cashflows'!R$5,-'Economic Assumptions'!$I18,0)</f>
        <v/>
      </c>
      <c r="S84" s="301">
        <f>IF('Economic Assumptions'!$B18+'Project Assumptions'!$D$15+'Project Assumptions'!$D$16-1='Detailed Cashflows'!S$5,-'Economic Assumptions'!$I18,0)</f>
        <v/>
      </c>
      <c r="T84" s="301">
        <f>IF('Economic Assumptions'!$B18+'Project Assumptions'!$D$15+'Project Assumptions'!$D$16-1='Detailed Cashflows'!T$5,-'Economic Assumptions'!$I18,0)</f>
        <v/>
      </c>
      <c r="U84" s="301">
        <f>IF('Economic Assumptions'!$B18+'Project Assumptions'!$D$15+'Project Assumptions'!$D$16-1='Detailed Cashflows'!U$5,-'Economic Assumptions'!$I18,0)</f>
        <v/>
      </c>
      <c r="V84" s="301">
        <f>IF('Economic Assumptions'!$B18+'Project Assumptions'!$D$15+'Project Assumptions'!$D$16-1='Detailed Cashflows'!V$5,-'Economic Assumptions'!$I18,0)</f>
        <v/>
      </c>
      <c r="W84" s="301">
        <f>IF('Economic Assumptions'!$B18+'Project Assumptions'!$D$15+'Project Assumptions'!$D$16-1='Detailed Cashflows'!W$5,-'Economic Assumptions'!$I18,0)</f>
        <v/>
      </c>
      <c r="X84" s="301">
        <f>IF('Economic Assumptions'!$B18+'Project Assumptions'!$D$15+'Project Assumptions'!$D$16-1='Detailed Cashflows'!X$5,-'Economic Assumptions'!$I18,0)</f>
        <v/>
      </c>
      <c r="Y84" s="301">
        <f>IF('Economic Assumptions'!$B18+'Project Assumptions'!$D$15+'Project Assumptions'!$D$16-1='Detailed Cashflows'!Y$5,-'Economic Assumptions'!$I18,0)</f>
        <v/>
      </c>
      <c r="Z84" s="301">
        <f>IF('Economic Assumptions'!$B18+'Project Assumptions'!$D$15+'Project Assumptions'!$D$16-1='Detailed Cashflows'!Z$5,-'Economic Assumptions'!$I18,0)</f>
        <v/>
      </c>
      <c r="AA84" s="301">
        <f>IF('Economic Assumptions'!$B18+'Project Assumptions'!$D$15+'Project Assumptions'!$D$16-1='Detailed Cashflows'!AA$5,-'Economic Assumptions'!$I18,0)</f>
        <v/>
      </c>
      <c r="AB84" s="301">
        <f>IF('Economic Assumptions'!$B18+'Project Assumptions'!$D$15+'Project Assumptions'!$D$16-1='Detailed Cashflows'!AB$5,-'Economic Assumptions'!$I18,0)</f>
        <v/>
      </c>
      <c r="AC84" s="301">
        <f>IF('Economic Assumptions'!$B18+'Project Assumptions'!$D$15+'Project Assumptions'!$D$16-1='Detailed Cashflows'!AC$5,-'Economic Assumptions'!$I18,0)</f>
        <v/>
      </c>
      <c r="AD84" s="301">
        <f>IF('Economic Assumptions'!$B18+'Project Assumptions'!$D$15+'Project Assumptions'!$D$16-1='Detailed Cashflows'!AD$5,-'Economic Assumptions'!$I18,0)</f>
        <v/>
      </c>
      <c r="AE84" s="301">
        <f>IF('Economic Assumptions'!$B18+'Project Assumptions'!$D$15+'Project Assumptions'!$D$16-1='Detailed Cashflows'!AE$5,-'Economic Assumptions'!$I18,0)</f>
        <v/>
      </c>
      <c r="AF84" s="301">
        <f>IF('Economic Assumptions'!$B18+'Project Assumptions'!$D$15+'Project Assumptions'!$D$16-1='Detailed Cashflows'!AF$5,-'Economic Assumptions'!$I18,0)</f>
        <v/>
      </c>
      <c r="AG84" s="301">
        <f>IF('Economic Assumptions'!$B18+'Project Assumptions'!$D$15+'Project Assumptions'!$D$16-1='Detailed Cashflows'!AG$5,-'Economic Assumptions'!$I18,0)</f>
        <v/>
      </c>
      <c r="AH84" s="301">
        <f>IF('Economic Assumptions'!$B18+'Project Assumptions'!$D$15+'Project Assumptions'!$D$16-1='Detailed Cashflows'!AH$5,-'Economic Assumptions'!$I18,0)</f>
        <v/>
      </c>
      <c r="AI84" s="301">
        <f>IF('Economic Assumptions'!$B18+'Project Assumptions'!$D$15+'Project Assumptions'!$D$16-1='Detailed Cashflows'!AI$5,-'Economic Assumptions'!$I18,0)</f>
        <v/>
      </c>
      <c r="AJ84" s="301">
        <f>IF('Economic Assumptions'!$B18+'Project Assumptions'!$D$15+'Project Assumptions'!$D$16-1='Detailed Cashflows'!AJ$5,-'Economic Assumptions'!$I18,0)</f>
        <v/>
      </c>
      <c r="AK84" s="301">
        <f>IF('Economic Assumptions'!$B18+'Project Assumptions'!$D$15+'Project Assumptions'!$D$16-1='Detailed Cashflows'!AK$5,-'Economic Assumptions'!$I18,0)</f>
        <v/>
      </c>
      <c r="AL84" s="301">
        <f>IF('Economic Assumptions'!$B18+'Project Assumptions'!$D$15+'Project Assumptions'!$D$16-1='Detailed Cashflows'!AL$5,-'Economic Assumptions'!$I18,0)</f>
        <v/>
      </c>
      <c r="AM84" s="301">
        <f>IF('Economic Assumptions'!$B18+'Project Assumptions'!$D$15+'Project Assumptions'!$D$16-1='Detailed Cashflows'!AM$5,-'Economic Assumptions'!$I18,0)</f>
        <v/>
      </c>
      <c r="AN84" s="301">
        <f>IF('Economic Assumptions'!$B18+'Project Assumptions'!$D$15+'Project Assumptions'!$D$16-1='Detailed Cashflows'!AN$5,-'Economic Assumptions'!$I18,0)</f>
        <v/>
      </c>
      <c r="AO84" s="301">
        <f>IF('Economic Assumptions'!$B18+'Project Assumptions'!$D$15+'Project Assumptions'!$D$16-1='Detailed Cashflows'!AO$5,-'Economic Assumptions'!$I18,0)</f>
        <v/>
      </c>
      <c r="AP84" s="301">
        <f>IF('Economic Assumptions'!$B18+'Project Assumptions'!$D$15+'Project Assumptions'!$D$16-1='Detailed Cashflows'!AP$5,-'Economic Assumptions'!$I18,0)</f>
        <v/>
      </c>
      <c r="AQ84" s="301">
        <f>IF('Economic Assumptions'!$B18+'Project Assumptions'!$D$15+'Project Assumptions'!$D$16-1='Detailed Cashflows'!AQ$5,-'Economic Assumptions'!$I18,0)</f>
        <v/>
      </c>
      <c r="AR84" s="301">
        <f>IF('Economic Assumptions'!$B18+'Project Assumptions'!$D$15+'Project Assumptions'!$D$16-1='Detailed Cashflows'!AR$5,-'Economic Assumptions'!$I18,0)</f>
        <v/>
      </c>
      <c r="AS84" s="301">
        <f>IF('Economic Assumptions'!$B18+'Project Assumptions'!$D$15+'Project Assumptions'!$D$16-1='Detailed Cashflows'!AS$5,-'Economic Assumptions'!$I18,0)</f>
        <v/>
      </c>
      <c r="AT84" s="301">
        <f>IF('Economic Assumptions'!$B18+'Project Assumptions'!$D$15+'Project Assumptions'!$D$16-1='Detailed Cashflows'!AT$5,-'Economic Assumptions'!$I18,0)</f>
        <v/>
      </c>
      <c r="AU84" s="301">
        <f>IF('Economic Assumptions'!$B18+'Project Assumptions'!$D$15+'Project Assumptions'!$D$16-1='Detailed Cashflows'!AU$5,-'Economic Assumptions'!$I18,0)</f>
        <v/>
      </c>
      <c r="AV84" s="301">
        <f>IF('Economic Assumptions'!$B18+'Project Assumptions'!$D$15+'Project Assumptions'!$D$16-1='Detailed Cashflows'!AV$5,-'Economic Assumptions'!$I18,0)</f>
        <v/>
      </c>
      <c r="AW84" s="301">
        <f>IF('Economic Assumptions'!$B18+'Project Assumptions'!$D$15+'Project Assumptions'!$D$16-1='Detailed Cashflows'!AW$5,-'Economic Assumptions'!$I18,0)</f>
        <v/>
      </c>
      <c r="AX84" s="301">
        <f>IF('Economic Assumptions'!$B18+'Project Assumptions'!$D$15+'Project Assumptions'!$D$16-1='Detailed Cashflows'!AX$5,-'Economic Assumptions'!$I18,0)</f>
        <v/>
      </c>
      <c r="AY84" s="301">
        <f>IF('Economic Assumptions'!$B18+'Project Assumptions'!$D$15+'Project Assumptions'!$D$16-1='Detailed Cashflows'!AY$5,-'Economic Assumptions'!$I18,0)</f>
        <v/>
      </c>
      <c r="AZ84" s="301">
        <f>IF('Economic Assumptions'!$B18+'Project Assumptions'!$D$15+'Project Assumptions'!$D$16-1='Detailed Cashflows'!AZ$5,-'Economic Assumptions'!$I18,0)</f>
        <v/>
      </c>
      <c r="BA84" s="301">
        <f>IF('Economic Assumptions'!$B18+'Project Assumptions'!$D$15+'Project Assumptions'!$D$16-1='Detailed Cashflows'!BA$5,-'Economic Assumptions'!$I18,0)</f>
        <v/>
      </c>
      <c r="BB84" s="301">
        <f>IF('Economic Assumptions'!$B18+'Project Assumptions'!$D$15+'Project Assumptions'!$D$16-1='Detailed Cashflows'!BB$5,-'Economic Assumptions'!$I18,0)</f>
        <v/>
      </c>
      <c r="BC84" s="301">
        <f>IF('Economic Assumptions'!$B18+'Project Assumptions'!$D$15+'Project Assumptions'!$D$16-1='Detailed Cashflows'!BC$5,-'Economic Assumptions'!$I18,0)</f>
        <v/>
      </c>
      <c r="BD84" s="301">
        <f>IF('Economic Assumptions'!$B18+'Project Assumptions'!$D$15+'Project Assumptions'!$D$16-1='Detailed Cashflows'!BD$5,-'Economic Assumptions'!$I18,0)</f>
        <v/>
      </c>
      <c r="BE84" s="301">
        <f>IF('Economic Assumptions'!$B18+'Project Assumptions'!$D$15+'Project Assumptions'!$D$16-1='Detailed Cashflows'!BE$5,-'Economic Assumptions'!$I18,0)</f>
        <v/>
      </c>
      <c r="BF84" s="301">
        <f>IF('Economic Assumptions'!$B18+'Project Assumptions'!$D$15+'Project Assumptions'!$D$16-1='Detailed Cashflows'!BF$5,-'Economic Assumptions'!$I18,0)</f>
        <v/>
      </c>
      <c r="BG84" s="301">
        <f>IF('Economic Assumptions'!$B18+'Project Assumptions'!$D$15+'Project Assumptions'!$D$16-1='Detailed Cashflows'!BG$5,-'Economic Assumptions'!$I18,0)</f>
        <v/>
      </c>
      <c r="BH84" s="301">
        <f>IF('Economic Assumptions'!$B18+'Project Assumptions'!$D$15+'Project Assumptions'!$D$16-1='Detailed Cashflows'!BH$5,-'Economic Assumptions'!$I18,0)</f>
        <v/>
      </c>
      <c r="BI84" s="301">
        <f>IF('Economic Assumptions'!$B18+'Project Assumptions'!$D$15+'Project Assumptions'!$D$16-1='Detailed Cashflows'!BI$5,-'Economic Assumptions'!$I18,0)</f>
        <v/>
      </c>
      <c r="BJ84" s="301">
        <f>IF('Economic Assumptions'!$B18+'Project Assumptions'!$D$15+'Project Assumptions'!$D$16-1='Detailed Cashflows'!BJ$5,-'Economic Assumptions'!$I18,0)</f>
        <v/>
      </c>
      <c r="BK84" s="301">
        <f>IF('Economic Assumptions'!$B18+'Project Assumptions'!$D$15+'Project Assumptions'!$D$16-1='Detailed Cashflows'!BK$5,-'Economic Assumptions'!$I18,0)</f>
        <v/>
      </c>
      <c r="BL84" s="301">
        <f>IF('Economic Assumptions'!$B18+'Project Assumptions'!$D$15+'Project Assumptions'!$D$16-1='Detailed Cashflows'!BL$5,-'Economic Assumptions'!$I18,0)</f>
        <v/>
      </c>
      <c r="BM84" s="301">
        <f>IF('Economic Assumptions'!$B18+'Project Assumptions'!$D$15+'Project Assumptions'!$D$16-1='Detailed Cashflows'!BM$5,-'Economic Assumptions'!$I18,0)</f>
        <v/>
      </c>
      <c r="BN84" s="301">
        <f>IF('Economic Assumptions'!$B18+'Project Assumptions'!$D$15+'Project Assumptions'!$D$16-1='Detailed Cashflows'!BN$5,-'Economic Assumptions'!$I18,0)</f>
        <v/>
      </c>
      <c r="BO84" s="301">
        <f>IF('Economic Assumptions'!$B18+'Project Assumptions'!$D$15+'Project Assumptions'!$D$16-1='Detailed Cashflows'!BO$5,-'Economic Assumptions'!$I18,0)</f>
        <v/>
      </c>
      <c r="BP84" s="301">
        <f>IF('Economic Assumptions'!$B18+'Project Assumptions'!$D$15+'Project Assumptions'!$D$16-1='Detailed Cashflows'!BP$5,-'Economic Assumptions'!$I18,0)</f>
        <v/>
      </c>
      <c r="BQ84" s="301">
        <f>IF('Economic Assumptions'!$B18+'Project Assumptions'!$D$15+'Project Assumptions'!$D$16-1='Detailed Cashflows'!BQ$5,-'Economic Assumptions'!$I18,0)</f>
        <v/>
      </c>
      <c r="BR84" s="301">
        <f>IF('Economic Assumptions'!$B18+'Project Assumptions'!$D$15+'Project Assumptions'!$D$16-1='Detailed Cashflows'!BR$5,-'Economic Assumptions'!$I18,0)</f>
        <v/>
      </c>
      <c r="BS84" s="301">
        <f>IF('Economic Assumptions'!$B18+'Project Assumptions'!$D$15+'Project Assumptions'!$D$16-1='Detailed Cashflows'!BS$5,-'Economic Assumptions'!$I18,0)</f>
        <v/>
      </c>
      <c r="BT84" s="301">
        <f>IF('Economic Assumptions'!$B18+'Project Assumptions'!$D$15+'Project Assumptions'!$D$16-1='Detailed Cashflows'!BT$5,-'Economic Assumptions'!$I18,0)</f>
        <v/>
      </c>
      <c r="BU84" s="301">
        <f>IF('Economic Assumptions'!$B18+'Project Assumptions'!$D$15+'Project Assumptions'!$D$16-1='Detailed Cashflows'!BU$5,-'Economic Assumptions'!$I18,0)</f>
        <v/>
      </c>
      <c r="BV84" s="301">
        <f>IF('Economic Assumptions'!$B18+'Project Assumptions'!$D$15+'Project Assumptions'!$D$16-1='Detailed Cashflows'!BV$5,-'Economic Assumptions'!$I18,0)</f>
        <v/>
      </c>
      <c r="BW84" s="301">
        <f>IF('Economic Assumptions'!$B18+'Project Assumptions'!$D$15+'Project Assumptions'!$D$16-1='Detailed Cashflows'!BW$5,-'Economic Assumptions'!$I18,0)</f>
        <v/>
      </c>
      <c r="BX84" s="301">
        <f>IF('Economic Assumptions'!$B18+'Project Assumptions'!$D$15+'Project Assumptions'!$D$16-1='Detailed Cashflows'!BX$5,-'Economic Assumptions'!$I18,0)</f>
        <v/>
      </c>
      <c r="BY84" s="301">
        <f>IF('Economic Assumptions'!$B18+'Project Assumptions'!$D$15+'Project Assumptions'!$D$16-1='Detailed Cashflows'!BY$5,-'Economic Assumptions'!$I18,0)</f>
        <v/>
      </c>
      <c r="BZ84" s="301">
        <f>IF('Economic Assumptions'!$B18+'Project Assumptions'!$D$15+'Project Assumptions'!$D$16-1='Detailed Cashflows'!BZ$5,-'Economic Assumptions'!$I18,0)</f>
        <v/>
      </c>
      <c r="CA84" s="301">
        <f>IF('Economic Assumptions'!$B18+'Project Assumptions'!$D$15+'Project Assumptions'!$D$16-1='Detailed Cashflows'!CA$5,-'Economic Assumptions'!$I18,0)</f>
        <v/>
      </c>
      <c r="CB84" s="301">
        <f>IF('Economic Assumptions'!$B18+'Project Assumptions'!$D$15+'Project Assumptions'!$D$16-1='Detailed Cashflows'!CB$5,-'Economic Assumptions'!$I18,0)</f>
        <v/>
      </c>
      <c r="CC84" s="301">
        <f>IF('Economic Assumptions'!$B18+'Project Assumptions'!$D$15+'Project Assumptions'!$D$16-1='Detailed Cashflows'!CC$5,-'Economic Assumptions'!$I18,0)</f>
        <v/>
      </c>
      <c r="CD84" s="301">
        <f>IF('Economic Assumptions'!$B18+'Project Assumptions'!$D$15+'Project Assumptions'!$D$16-1='Detailed Cashflows'!CD$5,-'Economic Assumptions'!$I18,0)</f>
        <v/>
      </c>
      <c r="CE84" s="301">
        <f>IF('Economic Assumptions'!$B18+'Project Assumptions'!$D$15+'Project Assumptions'!$D$16-1='Detailed Cashflows'!CE$5,-'Economic Assumptions'!$I18,0)</f>
        <v/>
      </c>
      <c r="CF84" s="301">
        <f>IF('Economic Assumptions'!$B18+'Project Assumptions'!$D$15+'Project Assumptions'!$D$16-1='Detailed Cashflows'!CF$5,-'Economic Assumptions'!$I18,0)</f>
        <v/>
      </c>
      <c r="CG84" s="301">
        <f>IF('Economic Assumptions'!$B18+'Project Assumptions'!$D$15+'Project Assumptions'!$D$16-1='Detailed Cashflows'!CG$5,-'Economic Assumptions'!$I18,0)</f>
        <v/>
      </c>
      <c r="CH84" s="301">
        <f>IF('Economic Assumptions'!$B18+'Project Assumptions'!$D$15+'Project Assumptions'!$D$16-1='Detailed Cashflows'!CH$5,-'Economic Assumptions'!$I18,0)</f>
        <v/>
      </c>
      <c r="CI84" s="301">
        <f>IF('Economic Assumptions'!$B18+'Project Assumptions'!$D$15+'Project Assumptions'!$D$16-1='Detailed Cashflows'!CI$5,-'Economic Assumptions'!$I18,0)</f>
        <v/>
      </c>
      <c r="CJ84" s="301">
        <f>IF('Economic Assumptions'!$B18+'Project Assumptions'!$D$15+'Project Assumptions'!$D$16-1='Detailed Cashflows'!CJ$5,-'Economic Assumptions'!$I18,0)</f>
        <v/>
      </c>
      <c r="CK84" s="301">
        <f>IF('Economic Assumptions'!$B18+'Project Assumptions'!$D$15+'Project Assumptions'!$D$16-1='Detailed Cashflows'!CK$5,-'Economic Assumptions'!$I18,0)</f>
        <v/>
      </c>
      <c r="CL84" s="301">
        <f>IF('Economic Assumptions'!$B18+'Project Assumptions'!$D$15+'Project Assumptions'!$D$16-1='Detailed Cashflows'!CL$5,-'Economic Assumptions'!$I18,0)</f>
        <v/>
      </c>
      <c r="CM84" s="301">
        <f>IF('Economic Assumptions'!$B18+'Project Assumptions'!$D$15+'Project Assumptions'!$D$16-1='Detailed Cashflows'!CM$5,-'Economic Assumptions'!$I18,0)</f>
        <v/>
      </c>
      <c r="CN84" s="301">
        <f>IF('Economic Assumptions'!$B18+'Project Assumptions'!$D$15+'Project Assumptions'!$D$16-1='Detailed Cashflows'!CN$5,-'Economic Assumptions'!$I18,0)</f>
        <v/>
      </c>
      <c r="CO84" s="301">
        <f>IF('Economic Assumptions'!$B18+'Project Assumptions'!$D$15+'Project Assumptions'!$D$16-1='Detailed Cashflows'!CO$5,-'Economic Assumptions'!$I18,0)</f>
        <v/>
      </c>
      <c r="CP84" s="301">
        <f>IF('Economic Assumptions'!$B18+'Project Assumptions'!$D$15+'Project Assumptions'!$D$16-1='Detailed Cashflows'!CP$5,-'Economic Assumptions'!$I18,0)</f>
        <v/>
      </c>
      <c r="CQ84" s="301">
        <f>IF('Economic Assumptions'!$B18+'Project Assumptions'!$D$15+'Project Assumptions'!$D$16-1='Detailed Cashflows'!CQ$5,-'Economic Assumptions'!$I18,0)</f>
        <v/>
      </c>
      <c r="CR84" s="301">
        <f>IF('Economic Assumptions'!$B18+'Project Assumptions'!$D$15+'Project Assumptions'!$D$16-1='Detailed Cashflows'!CR$5,-'Economic Assumptions'!$I18,0)</f>
        <v/>
      </c>
      <c r="CS84" s="301">
        <f>IF('Economic Assumptions'!$B18+'Project Assumptions'!$D$15+'Project Assumptions'!$D$16-1='Detailed Cashflows'!CS$5,-'Economic Assumptions'!$I18,0)</f>
        <v/>
      </c>
      <c r="CT84" s="301">
        <f>IF('Economic Assumptions'!$B18+'Project Assumptions'!$D$15+'Project Assumptions'!$D$16-1='Detailed Cashflows'!CT$5,-'Economic Assumptions'!$I18,0)</f>
        <v/>
      </c>
      <c r="CU84" s="301">
        <f>IF('Economic Assumptions'!$B18+'Project Assumptions'!$D$15+'Project Assumptions'!$D$16-1='Detailed Cashflows'!CU$5,-'Economic Assumptions'!$I18,0)</f>
        <v/>
      </c>
      <c r="CV84" s="301">
        <f>IF('Economic Assumptions'!$B18+'Project Assumptions'!$D$15+'Project Assumptions'!$D$16-1='Detailed Cashflows'!CV$5,-'Economic Assumptions'!$I18,0)</f>
        <v/>
      </c>
      <c r="CW84" s="301">
        <f>IF('Economic Assumptions'!$B18+'Project Assumptions'!$D$15+'Project Assumptions'!$D$16-1='Detailed Cashflows'!CW$5,-'Economic Assumptions'!$I18,0)</f>
        <v/>
      </c>
      <c r="CX84" s="301">
        <f>IF('Economic Assumptions'!$B18+'Project Assumptions'!$D$15+'Project Assumptions'!$D$16-1='Detailed Cashflows'!CX$5,-'Economic Assumptions'!$I18,0)</f>
        <v/>
      </c>
      <c r="CY84" s="301">
        <f>IF('Economic Assumptions'!$B18+'Project Assumptions'!$D$15+'Project Assumptions'!$D$16-1='Detailed Cashflows'!CY$5,-'Economic Assumptions'!$I18,0)</f>
        <v/>
      </c>
      <c r="CZ84" s="301">
        <f>IF('Economic Assumptions'!$B18+'Project Assumptions'!$D$15+'Project Assumptions'!$D$16-1='Detailed Cashflows'!CZ$5,-'Economic Assumptions'!$I18,0)</f>
        <v/>
      </c>
      <c r="DA84" s="301">
        <f>IF('Economic Assumptions'!$B18+'Project Assumptions'!$D$15+'Project Assumptions'!$D$16-1='Detailed Cashflows'!DA$5,-'Economic Assumptions'!$I18,0)</f>
        <v/>
      </c>
      <c r="DB84" s="301">
        <f>IF('Economic Assumptions'!$B18+'Project Assumptions'!$D$15+'Project Assumptions'!$D$16-1='Detailed Cashflows'!DB$5,-'Economic Assumptions'!$I18,0)</f>
        <v/>
      </c>
      <c r="DC84" s="301" t="n"/>
      <c r="DD84" s="299">
        <f>SUM(F84:DB84)</f>
        <v/>
      </c>
    </row>
    <row r="85" hidden="1" outlineLevel="1">
      <c r="A85" s="1000" t="n"/>
      <c r="B85" s="640">
        <f>'Economic Assumptions'!$A$19</f>
        <v/>
      </c>
      <c r="C85" s="294" t="n"/>
      <c r="D85" s="299">
        <f>DD85</f>
        <v/>
      </c>
      <c r="E85" s="300" t="n"/>
      <c r="F85" s="301">
        <f>IF('Economic Assumptions'!$B19+'Project Assumptions'!$D$15+'Project Assumptions'!$D$16-1='Detailed Cashflows'!F$5,-'Economic Assumptions'!$I19,0)</f>
        <v/>
      </c>
      <c r="G85" s="301">
        <f>IF('Economic Assumptions'!$B19+'Project Assumptions'!$D$15+'Project Assumptions'!$D$16-1='Detailed Cashflows'!G$5,-'Economic Assumptions'!$I19,0)</f>
        <v/>
      </c>
      <c r="H85" s="301">
        <f>IF('Economic Assumptions'!$B19+'Project Assumptions'!$D$15+'Project Assumptions'!$D$16-1='Detailed Cashflows'!H$5,-'Economic Assumptions'!$I19,0)</f>
        <v/>
      </c>
      <c r="I85" s="301">
        <f>IF('Economic Assumptions'!$B19+'Project Assumptions'!$D$15+'Project Assumptions'!$D$16-1='Detailed Cashflows'!I$5,-'Economic Assumptions'!$I19,0)</f>
        <v/>
      </c>
      <c r="J85" s="301">
        <f>IF('Economic Assumptions'!$B19+'Project Assumptions'!$D$15+'Project Assumptions'!$D$16-1='Detailed Cashflows'!J$5,-'Economic Assumptions'!$I19,0)</f>
        <v/>
      </c>
      <c r="K85" s="301">
        <f>IF('Economic Assumptions'!$B19+'Project Assumptions'!$D$15+'Project Assumptions'!$D$16-1='Detailed Cashflows'!K$5,-'Economic Assumptions'!$I19,0)</f>
        <v/>
      </c>
      <c r="L85" s="301">
        <f>IF('Economic Assumptions'!$B19+'Project Assumptions'!$D$15+'Project Assumptions'!$D$16-1='Detailed Cashflows'!L$5,-'Economic Assumptions'!$I19,0)</f>
        <v/>
      </c>
      <c r="M85" s="301">
        <f>IF('Economic Assumptions'!$B19+'Project Assumptions'!$D$15+'Project Assumptions'!$D$16-1='Detailed Cashflows'!M$5,-'Economic Assumptions'!$I19,0)</f>
        <v/>
      </c>
      <c r="N85" s="301">
        <f>IF('Economic Assumptions'!$B19+'Project Assumptions'!$D$15+'Project Assumptions'!$D$16-1='Detailed Cashflows'!N$5,-'Economic Assumptions'!$I19,0)</f>
        <v/>
      </c>
      <c r="O85" s="301">
        <f>IF('Economic Assumptions'!$B19+'Project Assumptions'!$D$15+'Project Assumptions'!$D$16-1='Detailed Cashflows'!O$5,-'Economic Assumptions'!$I19,0)</f>
        <v/>
      </c>
      <c r="P85" s="301">
        <f>IF('Economic Assumptions'!$B19+'Project Assumptions'!$D$15+'Project Assumptions'!$D$16-1='Detailed Cashflows'!P$5,-'Economic Assumptions'!$I19,0)</f>
        <v/>
      </c>
      <c r="Q85" s="301">
        <f>IF('Economic Assumptions'!$B19+'Project Assumptions'!$D$15+'Project Assumptions'!$D$16-1='Detailed Cashflows'!Q$5,-'Economic Assumptions'!$I19,0)</f>
        <v/>
      </c>
      <c r="R85" s="301">
        <f>IF('Economic Assumptions'!$B19+'Project Assumptions'!$D$15+'Project Assumptions'!$D$16-1='Detailed Cashflows'!R$5,-'Economic Assumptions'!$I19,0)</f>
        <v/>
      </c>
      <c r="S85" s="301">
        <f>IF('Economic Assumptions'!$B19+'Project Assumptions'!$D$15+'Project Assumptions'!$D$16-1='Detailed Cashflows'!S$5,-'Economic Assumptions'!$I19,0)</f>
        <v/>
      </c>
      <c r="T85" s="301">
        <f>IF('Economic Assumptions'!$B19+'Project Assumptions'!$D$15+'Project Assumptions'!$D$16-1='Detailed Cashflows'!T$5,-'Economic Assumptions'!$I19,0)</f>
        <v/>
      </c>
      <c r="U85" s="301">
        <f>IF('Economic Assumptions'!$B19+'Project Assumptions'!$D$15+'Project Assumptions'!$D$16-1='Detailed Cashflows'!U$5,-'Economic Assumptions'!$I19,0)</f>
        <v/>
      </c>
      <c r="V85" s="301">
        <f>IF('Economic Assumptions'!$B19+'Project Assumptions'!$D$15+'Project Assumptions'!$D$16-1='Detailed Cashflows'!V$5,-'Economic Assumptions'!$I19,0)</f>
        <v/>
      </c>
      <c r="W85" s="301">
        <f>IF('Economic Assumptions'!$B19+'Project Assumptions'!$D$15+'Project Assumptions'!$D$16-1='Detailed Cashflows'!W$5,-'Economic Assumptions'!$I19,0)</f>
        <v/>
      </c>
      <c r="X85" s="301">
        <f>IF('Economic Assumptions'!$B19+'Project Assumptions'!$D$15+'Project Assumptions'!$D$16-1='Detailed Cashflows'!X$5,-'Economic Assumptions'!$I19,0)</f>
        <v/>
      </c>
      <c r="Y85" s="301">
        <f>IF('Economic Assumptions'!$B19+'Project Assumptions'!$D$15+'Project Assumptions'!$D$16-1='Detailed Cashflows'!Y$5,-'Economic Assumptions'!$I19,0)</f>
        <v/>
      </c>
      <c r="Z85" s="301">
        <f>IF('Economic Assumptions'!$B19+'Project Assumptions'!$D$15+'Project Assumptions'!$D$16-1='Detailed Cashflows'!Z$5,-'Economic Assumptions'!$I19,0)</f>
        <v/>
      </c>
      <c r="AA85" s="301">
        <f>IF('Economic Assumptions'!$B19+'Project Assumptions'!$D$15+'Project Assumptions'!$D$16-1='Detailed Cashflows'!AA$5,-'Economic Assumptions'!$I19,0)</f>
        <v/>
      </c>
      <c r="AB85" s="301">
        <f>IF('Economic Assumptions'!$B19+'Project Assumptions'!$D$15+'Project Assumptions'!$D$16-1='Detailed Cashflows'!AB$5,-'Economic Assumptions'!$I19,0)</f>
        <v/>
      </c>
      <c r="AC85" s="301">
        <f>IF('Economic Assumptions'!$B19+'Project Assumptions'!$D$15+'Project Assumptions'!$D$16-1='Detailed Cashflows'!AC$5,-'Economic Assumptions'!$I19,0)</f>
        <v/>
      </c>
      <c r="AD85" s="301">
        <f>IF('Economic Assumptions'!$B19+'Project Assumptions'!$D$15+'Project Assumptions'!$D$16-1='Detailed Cashflows'!AD$5,-'Economic Assumptions'!$I19,0)</f>
        <v/>
      </c>
      <c r="AE85" s="301">
        <f>IF('Economic Assumptions'!$B19+'Project Assumptions'!$D$15+'Project Assumptions'!$D$16-1='Detailed Cashflows'!AE$5,-'Economic Assumptions'!$I19,0)</f>
        <v/>
      </c>
      <c r="AF85" s="301">
        <f>IF('Economic Assumptions'!$B19+'Project Assumptions'!$D$15+'Project Assumptions'!$D$16-1='Detailed Cashflows'!AF$5,-'Economic Assumptions'!$I19,0)</f>
        <v/>
      </c>
      <c r="AG85" s="301">
        <f>IF('Economic Assumptions'!$B19+'Project Assumptions'!$D$15+'Project Assumptions'!$D$16-1='Detailed Cashflows'!AG$5,-'Economic Assumptions'!$I19,0)</f>
        <v/>
      </c>
      <c r="AH85" s="301">
        <f>IF('Economic Assumptions'!$B19+'Project Assumptions'!$D$15+'Project Assumptions'!$D$16-1='Detailed Cashflows'!AH$5,-'Economic Assumptions'!$I19,0)</f>
        <v/>
      </c>
      <c r="AI85" s="301">
        <f>IF('Economic Assumptions'!$B19+'Project Assumptions'!$D$15+'Project Assumptions'!$D$16-1='Detailed Cashflows'!AI$5,-'Economic Assumptions'!$I19,0)</f>
        <v/>
      </c>
      <c r="AJ85" s="301">
        <f>IF('Economic Assumptions'!$B19+'Project Assumptions'!$D$15+'Project Assumptions'!$D$16-1='Detailed Cashflows'!AJ$5,-'Economic Assumptions'!$I19,0)</f>
        <v/>
      </c>
      <c r="AK85" s="301">
        <f>IF('Economic Assumptions'!$B19+'Project Assumptions'!$D$15+'Project Assumptions'!$D$16-1='Detailed Cashflows'!AK$5,-'Economic Assumptions'!$I19,0)</f>
        <v/>
      </c>
      <c r="AL85" s="301">
        <f>IF('Economic Assumptions'!$B19+'Project Assumptions'!$D$15+'Project Assumptions'!$D$16-1='Detailed Cashflows'!AL$5,-'Economic Assumptions'!$I19,0)</f>
        <v/>
      </c>
      <c r="AM85" s="301">
        <f>IF('Economic Assumptions'!$B19+'Project Assumptions'!$D$15+'Project Assumptions'!$D$16-1='Detailed Cashflows'!AM$5,-'Economic Assumptions'!$I19,0)</f>
        <v/>
      </c>
      <c r="AN85" s="301">
        <f>IF('Economic Assumptions'!$B19+'Project Assumptions'!$D$15+'Project Assumptions'!$D$16-1='Detailed Cashflows'!AN$5,-'Economic Assumptions'!$I19,0)</f>
        <v/>
      </c>
      <c r="AO85" s="301">
        <f>IF('Economic Assumptions'!$B19+'Project Assumptions'!$D$15+'Project Assumptions'!$D$16-1='Detailed Cashflows'!AO$5,-'Economic Assumptions'!$I19,0)</f>
        <v/>
      </c>
      <c r="AP85" s="301">
        <f>IF('Economic Assumptions'!$B19+'Project Assumptions'!$D$15+'Project Assumptions'!$D$16-1='Detailed Cashflows'!AP$5,-'Economic Assumptions'!$I19,0)</f>
        <v/>
      </c>
      <c r="AQ85" s="301">
        <f>IF('Economic Assumptions'!$B19+'Project Assumptions'!$D$15+'Project Assumptions'!$D$16-1='Detailed Cashflows'!AQ$5,-'Economic Assumptions'!$I19,0)</f>
        <v/>
      </c>
      <c r="AR85" s="301">
        <f>IF('Economic Assumptions'!$B19+'Project Assumptions'!$D$15+'Project Assumptions'!$D$16-1='Detailed Cashflows'!AR$5,-'Economic Assumptions'!$I19,0)</f>
        <v/>
      </c>
      <c r="AS85" s="301">
        <f>IF('Economic Assumptions'!$B19+'Project Assumptions'!$D$15+'Project Assumptions'!$D$16-1='Detailed Cashflows'!AS$5,-'Economic Assumptions'!$I19,0)</f>
        <v/>
      </c>
      <c r="AT85" s="301">
        <f>IF('Economic Assumptions'!$B19+'Project Assumptions'!$D$15+'Project Assumptions'!$D$16-1='Detailed Cashflows'!AT$5,-'Economic Assumptions'!$I19,0)</f>
        <v/>
      </c>
      <c r="AU85" s="301">
        <f>IF('Economic Assumptions'!$B19+'Project Assumptions'!$D$15+'Project Assumptions'!$D$16-1='Detailed Cashflows'!AU$5,-'Economic Assumptions'!$I19,0)</f>
        <v/>
      </c>
      <c r="AV85" s="301">
        <f>IF('Economic Assumptions'!$B19+'Project Assumptions'!$D$15+'Project Assumptions'!$D$16-1='Detailed Cashflows'!AV$5,-'Economic Assumptions'!$I19,0)</f>
        <v/>
      </c>
      <c r="AW85" s="301">
        <f>IF('Economic Assumptions'!$B19+'Project Assumptions'!$D$15+'Project Assumptions'!$D$16-1='Detailed Cashflows'!AW$5,-'Economic Assumptions'!$I19,0)</f>
        <v/>
      </c>
      <c r="AX85" s="301">
        <f>IF('Economic Assumptions'!$B19+'Project Assumptions'!$D$15+'Project Assumptions'!$D$16-1='Detailed Cashflows'!AX$5,-'Economic Assumptions'!$I19,0)</f>
        <v/>
      </c>
      <c r="AY85" s="301">
        <f>IF('Economic Assumptions'!$B19+'Project Assumptions'!$D$15+'Project Assumptions'!$D$16-1='Detailed Cashflows'!AY$5,-'Economic Assumptions'!$I19,0)</f>
        <v/>
      </c>
      <c r="AZ85" s="301">
        <f>IF('Economic Assumptions'!$B19+'Project Assumptions'!$D$15+'Project Assumptions'!$D$16-1='Detailed Cashflows'!AZ$5,-'Economic Assumptions'!$I19,0)</f>
        <v/>
      </c>
      <c r="BA85" s="301">
        <f>IF('Economic Assumptions'!$B19+'Project Assumptions'!$D$15+'Project Assumptions'!$D$16-1='Detailed Cashflows'!BA$5,-'Economic Assumptions'!$I19,0)</f>
        <v/>
      </c>
      <c r="BB85" s="301">
        <f>IF('Economic Assumptions'!$B19+'Project Assumptions'!$D$15+'Project Assumptions'!$D$16-1='Detailed Cashflows'!BB$5,-'Economic Assumptions'!$I19,0)</f>
        <v/>
      </c>
      <c r="BC85" s="301">
        <f>IF('Economic Assumptions'!$B19+'Project Assumptions'!$D$15+'Project Assumptions'!$D$16-1='Detailed Cashflows'!BC$5,-'Economic Assumptions'!$I19,0)</f>
        <v/>
      </c>
      <c r="BD85" s="301">
        <f>IF('Economic Assumptions'!$B19+'Project Assumptions'!$D$15+'Project Assumptions'!$D$16-1='Detailed Cashflows'!BD$5,-'Economic Assumptions'!$I19,0)</f>
        <v/>
      </c>
      <c r="BE85" s="301">
        <f>IF('Economic Assumptions'!$B19+'Project Assumptions'!$D$15+'Project Assumptions'!$D$16-1='Detailed Cashflows'!BE$5,-'Economic Assumptions'!$I19,0)</f>
        <v/>
      </c>
      <c r="BF85" s="301">
        <f>IF('Economic Assumptions'!$B19+'Project Assumptions'!$D$15+'Project Assumptions'!$D$16-1='Detailed Cashflows'!BF$5,-'Economic Assumptions'!$I19,0)</f>
        <v/>
      </c>
      <c r="BG85" s="301">
        <f>IF('Economic Assumptions'!$B19+'Project Assumptions'!$D$15+'Project Assumptions'!$D$16-1='Detailed Cashflows'!BG$5,-'Economic Assumptions'!$I19,0)</f>
        <v/>
      </c>
      <c r="BH85" s="301">
        <f>IF('Economic Assumptions'!$B19+'Project Assumptions'!$D$15+'Project Assumptions'!$D$16-1='Detailed Cashflows'!BH$5,-'Economic Assumptions'!$I19,0)</f>
        <v/>
      </c>
      <c r="BI85" s="301">
        <f>IF('Economic Assumptions'!$B19+'Project Assumptions'!$D$15+'Project Assumptions'!$D$16-1='Detailed Cashflows'!BI$5,-'Economic Assumptions'!$I19,0)</f>
        <v/>
      </c>
      <c r="BJ85" s="301">
        <f>IF('Economic Assumptions'!$B19+'Project Assumptions'!$D$15+'Project Assumptions'!$D$16-1='Detailed Cashflows'!BJ$5,-'Economic Assumptions'!$I19,0)</f>
        <v/>
      </c>
      <c r="BK85" s="301">
        <f>IF('Economic Assumptions'!$B19+'Project Assumptions'!$D$15+'Project Assumptions'!$D$16-1='Detailed Cashflows'!BK$5,-'Economic Assumptions'!$I19,0)</f>
        <v/>
      </c>
      <c r="BL85" s="301">
        <f>IF('Economic Assumptions'!$B19+'Project Assumptions'!$D$15+'Project Assumptions'!$D$16-1='Detailed Cashflows'!BL$5,-'Economic Assumptions'!$I19,0)</f>
        <v/>
      </c>
      <c r="BM85" s="301">
        <f>IF('Economic Assumptions'!$B19+'Project Assumptions'!$D$15+'Project Assumptions'!$D$16-1='Detailed Cashflows'!BM$5,-'Economic Assumptions'!$I19,0)</f>
        <v/>
      </c>
      <c r="BN85" s="301">
        <f>IF('Economic Assumptions'!$B19+'Project Assumptions'!$D$15+'Project Assumptions'!$D$16-1='Detailed Cashflows'!BN$5,-'Economic Assumptions'!$I19,0)</f>
        <v/>
      </c>
      <c r="BO85" s="301">
        <f>IF('Economic Assumptions'!$B19+'Project Assumptions'!$D$15+'Project Assumptions'!$D$16-1='Detailed Cashflows'!BO$5,-'Economic Assumptions'!$I19,0)</f>
        <v/>
      </c>
      <c r="BP85" s="301">
        <f>IF('Economic Assumptions'!$B19+'Project Assumptions'!$D$15+'Project Assumptions'!$D$16-1='Detailed Cashflows'!BP$5,-'Economic Assumptions'!$I19,0)</f>
        <v/>
      </c>
      <c r="BQ85" s="301">
        <f>IF('Economic Assumptions'!$B19+'Project Assumptions'!$D$15+'Project Assumptions'!$D$16-1='Detailed Cashflows'!BQ$5,-'Economic Assumptions'!$I19,0)</f>
        <v/>
      </c>
      <c r="BR85" s="301">
        <f>IF('Economic Assumptions'!$B19+'Project Assumptions'!$D$15+'Project Assumptions'!$D$16-1='Detailed Cashflows'!BR$5,-'Economic Assumptions'!$I19,0)</f>
        <v/>
      </c>
      <c r="BS85" s="301">
        <f>IF('Economic Assumptions'!$B19+'Project Assumptions'!$D$15+'Project Assumptions'!$D$16-1='Detailed Cashflows'!BS$5,-'Economic Assumptions'!$I19,0)</f>
        <v/>
      </c>
      <c r="BT85" s="301">
        <f>IF('Economic Assumptions'!$B19+'Project Assumptions'!$D$15+'Project Assumptions'!$D$16-1='Detailed Cashflows'!BT$5,-'Economic Assumptions'!$I19,0)</f>
        <v/>
      </c>
      <c r="BU85" s="301">
        <f>IF('Economic Assumptions'!$B19+'Project Assumptions'!$D$15+'Project Assumptions'!$D$16-1='Detailed Cashflows'!BU$5,-'Economic Assumptions'!$I19,0)</f>
        <v/>
      </c>
      <c r="BV85" s="301">
        <f>IF('Economic Assumptions'!$B19+'Project Assumptions'!$D$15+'Project Assumptions'!$D$16-1='Detailed Cashflows'!BV$5,-'Economic Assumptions'!$I19,0)</f>
        <v/>
      </c>
      <c r="BW85" s="301">
        <f>IF('Economic Assumptions'!$B19+'Project Assumptions'!$D$15+'Project Assumptions'!$D$16-1='Detailed Cashflows'!BW$5,-'Economic Assumptions'!$I19,0)</f>
        <v/>
      </c>
      <c r="BX85" s="301">
        <f>IF('Economic Assumptions'!$B19+'Project Assumptions'!$D$15+'Project Assumptions'!$D$16-1='Detailed Cashflows'!BX$5,-'Economic Assumptions'!$I19,0)</f>
        <v/>
      </c>
      <c r="BY85" s="301">
        <f>IF('Economic Assumptions'!$B19+'Project Assumptions'!$D$15+'Project Assumptions'!$D$16-1='Detailed Cashflows'!BY$5,-'Economic Assumptions'!$I19,0)</f>
        <v/>
      </c>
      <c r="BZ85" s="301">
        <f>IF('Economic Assumptions'!$B19+'Project Assumptions'!$D$15+'Project Assumptions'!$D$16-1='Detailed Cashflows'!BZ$5,-'Economic Assumptions'!$I19,0)</f>
        <v/>
      </c>
      <c r="CA85" s="301">
        <f>IF('Economic Assumptions'!$B19+'Project Assumptions'!$D$15+'Project Assumptions'!$D$16-1='Detailed Cashflows'!CA$5,-'Economic Assumptions'!$I19,0)</f>
        <v/>
      </c>
      <c r="CB85" s="301">
        <f>IF('Economic Assumptions'!$B19+'Project Assumptions'!$D$15+'Project Assumptions'!$D$16-1='Detailed Cashflows'!CB$5,-'Economic Assumptions'!$I19,0)</f>
        <v/>
      </c>
      <c r="CC85" s="301">
        <f>IF('Economic Assumptions'!$B19+'Project Assumptions'!$D$15+'Project Assumptions'!$D$16-1='Detailed Cashflows'!CC$5,-'Economic Assumptions'!$I19,0)</f>
        <v/>
      </c>
      <c r="CD85" s="301">
        <f>IF('Economic Assumptions'!$B19+'Project Assumptions'!$D$15+'Project Assumptions'!$D$16-1='Detailed Cashflows'!CD$5,-'Economic Assumptions'!$I19,0)</f>
        <v/>
      </c>
      <c r="CE85" s="301">
        <f>IF('Economic Assumptions'!$B19+'Project Assumptions'!$D$15+'Project Assumptions'!$D$16-1='Detailed Cashflows'!CE$5,-'Economic Assumptions'!$I19,0)</f>
        <v/>
      </c>
      <c r="CF85" s="301">
        <f>IF('Economic Assumptions'!$B19+'Project Assumptions'!$D$15+'Project Assumptions'!$D$16-1='Detailed Cashflows'!CF$5,-'Economic Assumptions'!$I19,0)</f>
        <v/>
      </c>
      <c r="CG85" s="301">
        <f>IF('Economic Assumptions'!$B19+'Project Assumptions'!$D$15+'Project Assumptions'!$D$16-1='Detailed Cashflows'!CG$5,-'Economic Assumptions'!$I19,0)</f>
        <v/>
      </c>
      <c r="CH85" s="301">
        <f>IF('Economic Assumptions'!$B19+'Project Assumptions'!$D$15+'Project Assumptions'!$D$16-1='Detailed Cashflows'!CH$5,-'Economic Assumptions'!$I19,0)</f>
        <v/>
      </c>
      <c r="CI85" s="301">
        <f>IF('Economic Assumptions'!$B19+'Project Assumptions'!$D$15+'Project Assumptions'!$D$16-1='Detailed Cashflows'!CI$5,-'Economic Assumptions'!$I19,0)</f>
        <v/>
      </c>
      <c r="CJ85" s="301">
        <f>IF('Economic Assumptions'!$B19+'Project Assumptions'!$D$15+'Project Assumptions'!$D$16-1='Detailed Cashflows'!CJ$5,-'Economic Assumptions'!$I19,0)</f>
        <v/>
      </c>
      <c r="CK85" s="301">
        <f>IF('Economic Assumptions'!$B19+'Project Assumptions'!$D$15+'Project Assumptions'!$D$16-1='Detailed Cashflows'!CK$5,-'Economic Assumptions'!$I19,0)</f>
        <v/>
      </c>
      <c r="CL85" s="301">
        <f>IF('Economic Assumptions'!$B19+'Project Assumptions'!$D$15+'Project Assumptions'!$D$16-1='Detailed Cashflows'!CL$5,-'Economic Assumptions'!$I19,0)</f>
        <v/>
      </c>
      <c r="CM85" s="301">
        <f>IF('Economic Assumptions'!$B19+'Project Assumptions'!$D$15+'Project Assumptions'!$D$16-1='Detailed Cashflows'!CM$5,-'Economic Assumptions'!$I19,0)</f>
        <v/>
      </c>
      <c r="CN85" s="301">
        <f>IF('Economic Assumptions'!$B19+'Project Assumptions'!$D$15+'Project Assumptions'!$D$16-1='Detailed Cashflows'!CN$5,-'Economic Assumptions'!$I19,0)</f>
        <v/>
      </c>
      <c r="CO85" s="301">
        <f>IF('Economic Assumptions'!$B19+'Project Assumptions'!$D$15+'Project Assumptions'!$D$16-1='Detailed Cashflows'!CO$5,-'Economic Assumptions'!$I19,0)</f>
        <v/>
      </c>
      <c r="CP85" s="301">
        <f>IF('Economic Assumptions'!$B19+'Project Assumptions'!$D$15+'Project Assumptions'!$D$16-1='Detailed Cashflows'!CP$5,-'Economic Assumptions'!$I19,0)</f>
        <v/>
      </c>
      <c r="CQ85" s="301">
        <f>IF('Economic Assumptions'!$B19+'Project Assumptions'!$D$15+'Project Assumptions'!$D$16-1='Detailed Cashflows'!CQ$5,-'Economic Assumptions'!$I19,0)</f>
        <v/>
      </c>
      <c r="CR85" s="301">
        <f>IF('Economic Assumptions'!$B19+'Project Assumptions'!$D$15+'Project Assumptions'!$D$16-1='Detailed Cashflows'!CR$5,-'Economic Assumptions'!$I19,0)</f>
        <v/>
      </c>
      <c r="CS85" s="301">
        <f>IF('Economic Assumptions'!$B19+'Project Assumptions'!$D$15+'Project Assumptions'!$D$16-1='Detailed Cashflows'!CS$5,-'Economic Assumptions'!$I19,0)</f>
        <v/>
      </c>
      <c r="CT85" s="301">
        <f>IF('Economic Assumptions'!$B19+'Project Assumptions'!$D$15+'Project Assumptions'!$D$16-1='Detailed Cashflows'!CT$5,-'Economic Assumptions'!$I19,0)</f>
        <v/>
      </c>
      <c r="CU85" s="301">
        <f>IF('Economic Assumptions'!$B19+'Project Assumptions'!$D$15+'Project Assumptions'!$D$16-1='Detailed Cashflows'!CU$5,-'Economic Assumptions'!$I19,0)</f>
        <v/>
      </c>
      <c r="CV85" s="301">
        <f>IF('Economic Assumptions'!$B19+'Project Assumptions'!$D$15+'Project Assumptions'!$D$16-1='Detailed Cashflows'!CV$5,-'Economic Assumptions'!$I19,0)</f>
        <v/>
      </c>
      <c r="CW85" s="301">
        <f>IF('Economic Assumptions'!$B19+'Project Assumptions'!$D$15+'Project Assumptions'!$D$16-1='Detailed Cashflows'!CW$5,-'Economic Assumptions'!$I19,0)</f>
        <v/>
      </c>
      <c r="CX85" s="301">
        <f>IF('Economic Assumptions'!$B19+'Project Assumptions'!$D$15+'Project Assumptions'!$D$16-1='Detailed Cashflows'!CX$5,-'Economic Assumptions'!$I19,0)</f>
        <v/>
      </c>
      <c r="CY85" s="301">
        <f>IF('Economic Assumptions'!$B19+'Project Assumptions'!$D$15+'Project Assumptions'!$D$16-1='Detailed Cashflows'!CY$5,-'Economic Assumptions'!$I19,0)</f>
        <v/>
      </c>
      <c r="CZ85" s="301">
        <f>IF('Economic Assumptions'!$B19+'Project Assumptions'!$D$15+'Project Assumptions'!$D$16-1='Detailed Cashflows'!CZ$5,-'Economic Assumptions'!$I19,0)</f>
        <v/>
      </c>
      <c r="DA85" s="301">
        <f>IF('Economic Assumptions'!$B19+'Project Assumptions'!$D$15+'Project Assumptions'!$D$16-1='Detailed Cashflows'!DA$5,-'Economic Assumptions'!$I19,0)</f>
        <v/>
      </c>
      <c r="DB85" s="301">
        <f>IF('Economic Assumptions'!$B19+'Project Assumptions'!$D$15+'Project Assumptions'!$D$16-1='Detailed Cashflows'!DB$5,-'Economic Assumptions'!$I19,0)</f>
        <v/>
      </c>
      <c r="DC85" s="301" t="n"/>
      <c r="DD85" s="299">
        <f>SUM(F85:DB85)</f>
        <v/>
      </c>
    </row>
    <row r="86" hidden="1" outlineLevel="1">
      <c r="A86" s="1000" t="n"/>
      <c r="B86" s="640">
        <f>'Economic Assumptions'!$A$20</f>
        <v/>
      </c>
      <c r="C86" s="294" t="n"/>
      <c r="D86" s="299">
        <f>DD86</f>
        <v/>
      </c>
      <c r="E86" s="300" t="n"/>
      <c r="F86" s="301">
        <f>IF('Economic Assumptions'!$B20+'Project Assumptions'!$D$15+'Project Assumptions'!$D$16-1='Detailed Cashflows'!F$5,-'Economic Assumptions'!$I20,0)</f>
        <v/>
      </c>
      <c r="G86" s="301">
        <f>IF('Economic Assumptions'!$B20+'Project Assumptions'!$D$15+'Project Assumptions'!$D$16-1='Detailed Cashflows'!G$5,-'Economic Assumptions'!$I20,0)</f>
        <v/>
      </c>
      <c r="H86" s="301">
        <f>IF('Economic Assumptions'!$B20+'Project Assumptions'!$D$15+'Project Assumptions'!$D$16-1='Detailed Cashflows'!H$5,-'Economic Assumptions'!$I20,0)</f>
        <v/>
      </c>
      <c r="I86" s="301">
        <f>IF('Economic Assumptions'!$B20+'Project Assumptions'!$D$15+'Project Assumptions'!$D$16-1='Detailed Cashflows'!I$5,-'Economic Assumptions'!$I20,0)</f>
        <v/>
      </c>
      <c r="J86" s="301">
        <f>IF('Economic Assumptions'!$B20+'Project Assumptions'!$D$15+'Project Assumptions'!$D$16-1='Detailed Cashflows'!J$5,-'Economic Assumptions'!$I20,0)</f>
        <v/>
      </c>
      <c r="K86" s="301">
        <f>IF('Economic Assumptions'!$B20+'Project Assumptions'!$D$15+'Project Assumptions'!$D$16-1='Detailed Cashflows'!K$5,-'Economic Assumptions'!$I20,0)</f>
        <v/>
      </c>
      <c r="L86" s="301">
        <f>IF('Economic Assumptions'!$B20+'Project Assumptions'!$D$15+'Project Assumptions'!$D$16-1='Detailed Cashflows'!L$5,-'Economic Assumptions'!$I20,0)</f>
        <v/>
      </c>
      <c r="M86" s="301">
        <f>IF('Economic Assumptions'!$B20+'Project Assumptions'!$D$15+'Project Assumptions'!$D$16-1='Detailed Cashflows'!M$5,-'Economic Assumptions'!$I20,0)</f>
        <v/>
      </c>
      <c r="N86" s="301">
        <f>IF('Economic Assumptions'!$B20+'Project Assumptions'!$D$15+'Project Assumptions'!$D$16-1='Detailed Cashflows'!N$5,-'Economic Assumptions'!$I20,0)</f>
        <v/>
      </c>
      <c r="O86" s="301">
        <f>IF('Economic Assumptions'!$B20+'Project Assumptions'!$D$15+'Project Assumptions'!$D$16-1='Detailed Cashflows'!O$5,-'Economic Assumptions'!$I20,0)</f>
        <v/>
      </c>
      <c r="P86" s="301">
        <f>IF('Economic Assumptions'!$B20+'Project Assumptions'!$D$15+'Project Assumptions'!$D$16-1='Detailed Cashflows'!P$5,-'Economic Assumptions'!$I20,0)</f>
        <v/>
      </c>
      <c r="Q86" s="301">
        <f>IF('Economic Assumptions'!$B20+'Project Assumptions'!$D$15+'Project Assumptions'!$D$16-1='Detailed Cashflows'!Q$5,-'Economic Assumptions'!$I20,0)</f>
        <v/>
      </c>
      <c r="R86" s="301">
        <f>IF('Economic Assumptions'!$B20+'Project Assumptions'!$D$15+'Project Assumptions'!$D$16-1='Detailed Cashflows'!R$5,-'Economic Assumptions'!$I20,0)</f>
        <v/>
      </c>
      <c r="S86" s="301">
        <f>IF('Economic Assumptions'!$B20+'Project Assumptions'!$D$15+'Project Assumptions'!$D$16-1='Detailed Cashflows'!S$5,-'Economic Assumptions'!$I20,0)</f>
        <v/>
      </c>
      <c r="T86" s="301">
        <f>IF('Economic Assumptions'!$B20+'Project Assumptions'!$D$15+'Project Assumptions'!$D$16-1='Detailed Cashflows'!T$5,-'Economic Assumptions'!$I20,0)</f>
        <v/>
      </c>
      <c r="U86" s="301">
        <f>IF('Economic Assumptions'!$B20+'Project Assumptions'!$D$15+'Project Assumptions'!$D$16-1='Detailed Cashflows'!U$5,-'Economic Assumptions'!$I20,0)</f>
        <v/>
      </c>
      <c r="V86" s="301">
        <f>IF('Economic Assumptions'!$B20+'Project Assumptions'!$D$15+'Project Assumptions'!$D$16-1='Detailed Cashflows'!V$5,-'Economic Assumptions'!$I20,0)</f>
        <v/>
      </c>
      <c r="W86" s="301">
        <f>IF('Economic Assumptions'!$B20+'Project Assumptions'!$D$15+'Project Assumptions'!$D$16-1='Detailed Cashflows'!W$5,-'Economic Assumptions'!$I20,0)</f>
        <v/>
      </c>
      <c r="X86" s="301">
        <f>IF('Economic Assumptions'!$B20+'Project Assumptions'!$D$15+'Project Assumptions'!$D$16-1='Detailed Cashflows'!X$5,-'Economic Assumptions'!$I20,0)</f>
        <v/>
      </c>
      <c r="Y86" s="301">
        <f>IF('Economic Assumptions'!$B20+'Project Assumptions'!$D$15+'Project Assumptions'!$D$16-1='Detailed Cashflows'!Y$5,-'Economic Assumptions'!$I20,0)</f>
        <v/>
      </c>
      <c r="Z86" s="301">
        <f>IF('Economic Assumptions'!$B20+'Project Assumptions'!$D$15+'Project Assumptions'!$D$16-1='Detailed Cashflows'!Z$5,-'Economic Assumptions'!$I20,0)</f>
        <v/>
      </c>
      <c r="AA86" s="301">
        <f>IF('Economic Assumptions'!$B20+'Project Assumptions'!$D$15+'Project Assumptions'!$D$16-1='Detailed Cashflows'!AA$5,-'Economic Assumptions'!$I20,0)</f>
        <v/>
      </c>
      <c r="AB86" s="301">
        <f>IF('Economic Assumptions'!$B20+'Project Assumptions'!$D$15+'Project Assumptions'!$D$16-1='Detailed Cashflows'!AB$5,-'Economic Assumptions'!$I20,0)</f>
        <v/>
      </c>
      <c r="AC86" s="301">
        <f>IF('Economic Assumptions'!$B20+'Project Assumptions'!$D$15+'Project Assumptions'!$D$16-1='Detailed Cashflows'!AC$5,-'Economic Assumptions'!$I20,0)</f>
        <v/>
      </c>
      <c r="AD86" s="301">
        <f>IF('Economic Assumptions'!$B20+'Project Assumptions'!$D$15+'Project Assumptions'!$D$16-1='Detailed Cashflows'!AD$5,-'Economic Assumptions'!$I20,0)</f>
        <v/>
      </c>
      <c r="AE86" s="301">
        <f>IF('Economic Assumptions'!$B20+'Project Assumptions'!$D$15+'Project Assumptions'!$D$16-1='Detailed Cashflows'!AE$5,-'Economic Assumptions'!$I20,0)</f>
        <v/>
      </c>
      <c r="AF86" s="301">
        <f>IF('Economic Assumptions'!$B20+'Project Assumptions'!$D$15+'Project Assumptions'!$D$16-1='Detailed Cashflows'!AF$5,-'Economic Assumptions'!$I20,0)</f>
        <v/>
      </c>
      <c r="AG86" s="301">
        <f>IF('Economic Assumptions'!$B20+'Project Assumptions'!$D$15+'Project Assumptions'!$D$16-1='Detailed Cashflows'!AG$5,-'Economic Assumptions'!$I20,0)</f>
        <v/>
      </c>
      <c r="AH86" s="301">
        <f>IF('Economic Assumptions'!$B20+'Project Assumptions'!$D$15+'Project Assumptions'!$D$16-1='Detailed Cashflows'!AH$5,-'Economic Assumptions'!$I20,0)</f>
        <v/>
      </c>
      <c r="AI86" s="301">
        <f>IF('Economic Assumptions'!$B20+'Project Assumptions'!$D$15+'Project Assumptions'!$D$16-1='Detailed Cashflows'!AI$5,-'Economic Assumptions'!$I20,0)</f>
        <v/>
      </c>
      <c r="AJ86" s="301">
        <f>IF('Economic Assumptions'!$B20+'Project Assumptions'!$D$15+'Project Assumptions'!$D$16-1='Detailed Cashflows'!AJ$5,-'Economic Assumptions'!$I20,0)</f>
        <v/>
      </c>
      <c r="AK86" s="301">
        <f>IF('Economic Assumptions'!$B20+'Project Assumptions'!$D$15+'Project Assumptions'!$D$16-1='Detailed Cashflows'!AK$5,-'Economic Assumptions'!$I20,0)</f>
        <v/>
      </c>
      <c r="AL86" s="301">
        <f>IF('Economic Assumptions'!$B20+'Project Assumptions'!$D$15+'Project Assumptions'!$D$16-1='Detailed Cashflows'!AL$5,-'Economic Assumptions'!$I20,0)</f>
        <v/>
      </c>
      <c r="AM86" s="301">
        <f>IF('Economic Assumptions'!$B20+'Project Assumptions'!$D$15+'Project Assumptions'!$D$16-1='Detailed Cashflows'!AM$5,-'Economic Assumptions'!$I20,0)</f>
        <v/>
      </c>
      <c r="AN86" s="301">
        <f>IF('Economic Assumptions'!$B20+'Project Assumptions'!$D$15+'Project Assumptions'!$D$16-1='Detailed Cashflows'!AN$5,-'Economic Assumptions'!$I20,0)</f>
        <v/>
      </c>
      <c r="AO86" s="301">
        <f>IF('Economic Assumptions'!$B20+'Project Assumptions'!$D$15+'Project Assumptions'!$D$16-1='Detailed Cashflows'!AO$5,-'Economic Assumptions'!$I20,0)</f>
        <v/>
      </c>
      <c r="AP86" s="301">
        <f>IF('Economic Assumptions'!$B20+'Project Assumptions'!$D$15+'Project Assumptions'!$D$16-1='Detailed Cashflows'!AP$5,-'Economic Assumptions'!$I20,0)</f>
        <v/>
      </c>
      <c r="AQ86" s="301">
        <f>IF('Economic Assumptions'!$B20+'Project Assumptions'!$D$15+'Project Assumptions'!$D$16-1='Detailed Cashflows'!AQ$5,-'Economic Assumptions'!$I20,0)</f>
        <v/>
      </c>
      <c r="AR86" s="301">
        <f>IF('Economic Assumptions'!$B20+'Project Assumptions'!$D$15+'Project Assumptions'!$D$16-1='Detailed Cashflows'!AR$5,-'Economic Assumptions'!$I20,0)</f>
        <v/>
      </c>
      <c r="AS86" s="301">
        <f>IF('Economic Assumptions'!$B20+'Project Assumptions'!$D$15+'Project Assumptions'!$D$16-1='Detailed Cashflows'!AS$5,-'Economic Assumptions'!$I20,0)</f>
        <v/>
      </c>
      <c r="AT86" s="301">
        <f>IF('Economic Assumptions'!$B20+'Project Assumptions'!$D$15+'Project Assumptions'!$D$16-1='Detailed Cashflows'!AT$5,-'Economic Assumptions'!$I20,0)</f>
        <v/>
      </c>
      <c r="AU86" s="301">
        <f>IF('Economic Assumptions'!$B20+'Project Assumptions'!$D$15+'Project Assumptions'!$D$16-1='Detailed Cashflows'!AU$5,-'Economic Assumptions'!$I20,0)</f>
        <v/>
      </c>
      <c r="AV86" s="301">
        <f>IF('Economic Assumptions'!$B20+'Project Assumptions'!$D$15+'Project Assumptions'!$D$16-1='Detailed Cashflows'!AV$5,-'Economic Assumptions'!$I20,0)</f>
        <v/>
      </c>
      <c r="AW86" s="301">
        <f>IF('Economic Assumptions'!$B20+'Project Assumptions'!$D$15+'Project Assumptions'!$D$16-1='Detailed Cashflows'!AW$5,-'Economic Assumptions'!$I20,0)</f>
        <v/>
      </c>
      <c r="AX86" s="301">
        <f>IF('Economic Assumptions'!$B20+'Project Assumptions'!$D$15+'Project Assumptions'!$D$16-1='Detailed Cashflows'!AX$5,-'Economic Assumptions'!$I20,0)</f>
        <v/>
      </c>
      <c r="AY86" s="301">
        <f>IF('Economic Assumptions'!$B20+'Project Assumptions'!$D$15+'Project Assumptions'!$D$16-1='Detailed Cashflows'!AY$5,-'Economic Assumptions'!$I20,0)</f>
        <v/>
      </c>
      <c r="AZ86" s="301">
        <f>IF('Economic Assumptions'!$B20+'Project Assumptions'!$D$15+'Project Assumptions'!$D$16-1='Detailed Cashflows'!AZ$5,-'Economic Assumptions'!$I20,0)</f>
        <v/>
      </c>
      <c r="BA86" s="301">
        <f>IF('Economic Assumptions'!$B20+'Project Assumptions'!$D$15+'Project Assumptions'!$D$16-1='Detailed Cashflows'!BA$5,-'Economic Assumptions'!$I20,0)</f>
        <v/>
      </c>
      <c r="BB86" s="301">
        <f>IF('Economic Assumptions'!$B20+'Project Assumptions'!$D$15+'Project Assumptions'!$D$16-1='Detailed Cashflows'!BB$5,-'Economic Assumptions'!$I20,0)</f>
        <v/>
      </c>
      <c r="BC86" s="301">
        <f>IF('Economic Assumptions'!$B20+'Project Assumptions'!$D$15+'Project Assumptions'!$D$16-1='Detailed Cashflows'!BC$5,-'Economic Assumptions'!$I20,0)</f>
        <v/>
      </c>
      <c r="BD86" s="301">
        <f>IF('Economic Assumptions'!$B20+'Project Assumptions'!$D$15+'Project Assumptions'!$D$16-1='Detailed Cashflows'!BD$5,-'Economic Assumptions'!$I20,0)</f>
        <v/>
      </c>
      <c r="BE86" s="301">
        <f>IF('Economic Assumptions'!$B20+'Project Assumptions'!$D$15+'Project Assumptions'!$D$16-1='Detailed Cashflows'!BE$5,-'Economic Assumptions'!$I20,0)</f>
        <v/>
      </c>
      <c r="BF86" s="301">
        <f>IF('Economic Assumptions'!$B20+'Project Assumptions'!$D$15+'Project Assumptions'!$D$16-1='Detailed Cashflows'!BF$5,-'Economic Assumptions'!$I20,0)</f>
        <v/>
      </c>
      <c r="BG86" s="301">
        <f>IF('Economic Assumptions'!$B20+'Project Assumptions'!$D$15+'Project Assumptions'!$D$16-1='Detailed Cashflows'!BG$5,-'Economic Assumptions'!$I20,0)</f>
        <v/>
      </c>
      <c r="BH86" s="301">
        <f>IF('Economic Assumptions'!$B20+'Project Assumptions'!$D$15+'Project Assumptions'!$D$16-1='Detailed Cashflows'!BH$5,-'Economic Assumptions'!$I20,0)</f>
        <v/>
      </c>
      <c r="BI86" s="301">
        <f>IF('Economic Assumptions'!$B20+'Project Assumptions'!$D$15+'Project Assumptions'!$D$16-1='Detailed Cashflows'!BI$5,-'Economic Assumptions'!$I20,0)</f>
        <v/>
      </c>
      <c r="BJ86" s="301">
        <f>IF('Economic Assumptions'!$B20+'Project Assumptions'!$D$15+'Project Assumptions'!$D$16-1='Detailed Cashflows'!BJ$5,-'Economic Assumptions'!$I20,0)</f>
        <v/>
      </c>
      <c r="BK86" s="301">
        <f>IF('Economic Assumptions'!$B20+'Project Assumptions'!$D$15+'Project Assumptions'!$D$16-1='Detailed Cashflows'!BK$5,-'Economic Assumptions'!$I20,0)</f>
        <v/>
      </c>
      <c r="BL86" s="301">
        <f>IF('Economic Assumptions'!$B20+'Project Assumptions'!$D$15+'Project Assumptions'!$D$16-1='Detailed Cashflows'!BL$5,-'Economic Assumptions'!$I20,0)</f>
        <v/>
      </c>
      <c r="BM86" s="301">
        <f>IF('Economic Assumptions'!$B20+'Project Assumptions'!$D$15+'Project Assumptions'!$D$16-1='Detailed Cashflows'!BM$5,-'Economic Assumptions'!$I20,0)</f>
        <v/>
      </c>
      <c r="BN86" s="301">
        <f>IF('Economic Assumptions'!$B20+'Project Assumptions'!$D$15+'Project Assumptions'!$D$16-1='Detailed Cashflows'!BN$5,-'Economic Assumptions'!$I20,0)</f>
        <v/>
      </c>
      <c r="BO86" s="301">
        <f>IF('Economic Assumptions'!$B20+'Project Assumptions'!$D$15+'Project Assumptions'!$D$16-1='Detailed Cashflows'!BO$5,-'Economic Assumptions'!$I20,0)</f>
        <v/>
      </c>
      <c r="BP86" s="301">
        <f>IF('Economic Assumptions'!$B20+'Project Assumptions'!$D$15+'Project Assumptions'!$D$16-1='Detailed Cashflows'!BP$5,-'Economic Assumptions'!$I20,0)</f>
        <v/>
      </c>
      <c r="BQ86" s="301">
        <f>IF('Economic Assumptions'!$B20+'Project Assumptions'!$D$15+'Project Assumptions'!$D$16-1='Detailed Cashflows'!BQ$5,-'Economic Assumptions'!$I20,0)</f>
        <v/>
      </c>
      <c r="BR86" s="301">
        <f>IF('Economic Assumptions'!$B20+'Project Assumptions'!$D$15+'Project Assumptions'!$D$16-1='Detailed Cashflows'!BR$5,-'Economic Assumptions'!$I20,0)</f>
        <v/>
      </c>
      <c r="BS86" s="301">
        <f>IF('Economic Assumptions'!$B20+'Project Assumptions'!$D$15+'Project Assumptions'!$D$16-1='Detailed Cashflows'!BS$5,-'Economic Assumptions'!$I20,0)</f>
        <v/>
      </c>
      <c r="BT86" s="301">
        <f>IF('Economic Assumptions'!$B20+'Project Assumptions'!$D$15+'Project Assumptions'!$D$16-1='Detailed Cashflows'!BT$5,-'Economic Assumptions'!$I20,0)</f>
        <v/>
      </c>
      <c r="BU86" s="301">
        <f>IF('Economic Assumptions'!$B20+'Project Assumptions'!$D$15+'Project Assumptions'!$D$16-1='Detailed Cashflows'!BU$5,-'Economic Assumptions'!$I20,0)</f>
        <v/>
      </c>
      <c r="BV86" s="301">
        <f>IF('Economic Assumptions'!$B20+'Project Assumptions'!$D$15+'Project Assumptions'!$D$16-1='Detailed Cashflows'!BV$5,-'Economic Assumptions'!$I20,0)</f>
        <v/>
      </c>
      <c r="BW86" s="301">
        <f>IF('Economic Assumptions'!$B20+'Project Assumptions'!$D$15+'Project Assumptions'!$D$16-1='Detailed Cashflows'!BW$5,-'Economic Assumptions'!$I20,0)</f>
        <v/>
      </c>
      <c r="BX86" s="301">
        <f>IF('Economic Assumptions'!$B20+'Project Assumptions'!$D$15+'Project Assumptions'!$D$16-1='Detailed Cashflows'!BX$5,-'Economic Assumptions'!$I20,0)</f>
        <v/>
      </c>
      <c r="BY86" s="301">
        <f>IF('Economic Assumptions'!$B20+'Project Assumptions'!$D$15+'Project Assumptions'!$D$16-1='Detailed Cashflows'!BY$5,-'Economic Assumptions'!$I20,0)</f>
        <v/>
      </c>
      <c r="BZ86" s="301">
        <f>IF('Economic Assumptions'!$B20+'Project Assumptions'!$D$15+'Project Assumptions'!$D$16-1='Detailed Cashflows'!BZ$5,-'Economic Assumptions'!$I20,0)</f>
        <v/>
      </c>
      <c r="CA86" s="301">
        <f>IF('Economic Assumptions'!$B20+'Project Assumptions'!$D$15+'Project Assumptions'!$D$16-1='Detailed Cashflows'!CA$5,-'Economic Assumptions'!$I20,0)</f>
        <v/>
      </c>
      <c r="CB86" s="301">
        <f>IF('Economic Assumptions'!$B20+'Project Assumptions'!$D$15+'Project Assumptions'!$D$16-1='Detailed Cashflows'!CB$5,-'Economic Assumptions'!$I20,0)</f>
        <v/>
      </c>
      <c r="CC86" s="301">
        <f>IF('Economic Assumptions'!$B20+'Project Assumptions'!$D$15+'Project Assumptions'!$D$16-1='Detailed Cashflows'!CC$5,-'Economic Assumptions'!$I20,0)</f>
        <v/>
      </c>
      <c r="CD86" s="301">
        <f>IF('Economic Assumptions'!$B20+'Project Assumptions'!$D$15+'Project Assumptions'!$D$16-1='Detailed Cashflows'!CD$5,-'Economic Assumptions'!$I20,0)</f>
        <v/>
      </c>
      <c r="CE86" s="301">
        <f>IF('Economic Assumptions'!$B20+'Project Assumptions'!$D$15+'Project Assumptions'!$D$16-1='Detailed Cashflows'!CE$5,-'Economic Assumptions'!$I20,0)</f>
        <v/>
      </c>
      <c r="CF86" s="301">
        <f>IF('Economic Assumptions'!$B20+'Project Assumptions'!$D$15+'Project Assumptions'!$D$16-1='Detailed Cashflows'!CF$5,-'Economic Assumptions'!$I20,0)</f>
        <v/>
      </c>
      <c r="CG86" s="301">
        <f>IF('Economic Assumptions'!$B20+'Project Assumptions'!$D$15+'Project Assumptions'!$D$16-1='Detailed Cashflows'!CG$5,-'Economic Assumptions'!$I20,0)</f>
        <v/>
      </c>
      <c r="CH86" s="301">
        <f>IF('Economic Assumptions'!$B20+'Project Assumptions'!$D$15+'Project Assumptions'!$D$16-1='Detailed Cashflows'!CH$5,-'Economic Assumptions'!$I20,0)</f>
        <v/>
      </c>
      <c r="CI86" s="301">
        <f>IF('Economic Assumptions'!$B20+'Project Assumptions'!$D$15+'Project Assumptions'!$D$16-1='Detailed Cashflows'!CI$5,-'Economic Assumptions'!$I20,0)</f>
        <v/>
      </c>
      <c r="CJ86" s="301">
        <f>IF('Economic Assumptions'!$B20+'Project Assumptions'!$D$15+'Project Assumptions'!$D$16-1='Detailed Cashflows'!CJ$5,-'Economic Assumptions'!$I20,0)</f>
        <v/>
      </c>
      <c r="CK86" s="301">
        <f>IF('Economic Assumptions'!$B20+'Project Assumptions'!$D$15+'Project Assumptions'!$D$16-1='Detailed Cashflows'!CK$5,-'Economic Assumptions'!$I20,0)</f>
        <v/>
      </c>
      <c r="CL86" s="301">
        <f>IF('Economic Assumptions'!$B20+'Project Assumptions'!$D$15+'Project Assumptions'!$D$16-1='Detailed Cashflows'!CL$5,-'Economic Assumptions'!$I20,0)</f>
        <v/>
      </c>
      <c r="CM86" s="301">
        <f>IF('Economic Assumptions'!$B20+'Project Assumptions'!$D$15+'Project Assumptions'!$D$16-1='Detailed Cashflows'!CM$5,-'Economic Assumptions'!$I20,0)</f>
        <v/>
      </c>
      <c r="CN86" s="301">
        <f>IF('Economic Assumptions'!$B20+'Project Assumptions'!$D$15+'Project Assumptions'!$D$16-1='Detailed Cashflows'!CN$5,-'Economic Assumptions'!$I20,0)</f>
        <v/>
      </c>
      <c r="CO86" s="301">
        <f>IF('Economic Assumptions'!$B20+'Project Assumptions'!$D$15+'Project Assumptions'!$D$16-1='Detailed Cashflows'!CO$5,-'Economic Assumptions'!$I20,0)</f>
        <v/>
      </c>
      <c r="CP86" s="301">
        <f>IF('Economic Assumptions'!$B20+'Project Assumptions'!$D$15+'Project Assumptions'!$D$16-1='Detailed Cashflows'!CP$5,-'Economic Assumptions'!$I20,0)</f>
        <v/>
      </c>
      <c r="CQ86" s="301">
        <f>IF('Economic Assumptions'!$B20+'Project Assumptions'!$D$15+'Project Assumptions'!$D$16-1='Detailed Cashflows'!CQ$5,-'Economic Assumptions'!$I20,0)</f>
        <v/>
      </c>
      <c r="CR86" s="301">
        <f>IF('Economic Assumptions'!$B20+'Project Assumptions'!$D$15+'Project Assumptions'!$D$16-1='Detailed Cashflows'!CR$5,-'Economic Assumptions'!$I20,0)</f>
        <v/>
      </c>
      <c r="CS86" s="301">
        <f>IF('Economic Assumptions'!$B20+'Project Assumptions'!$D$15+'Project Assumptions'!$D$16-1='Detailed Cashflows'!CS$5,-'Economic Assumptions'!$I20,0)</f>
        <v/>
      </c>
      <c r="CT86" s="301">
        <f>IF('Economic Assumptions'!$B20+'Project Assumptions'!$D$15+'Project Assumptions'!$D$16-1='Detailed Cashflows'!CT$5,-'Economic Assumptions'!$I20,0)</f>
        <v/>
      </c>
      <c r="CU86" s="301">
        <f>IF('Economic Assumptions'!$B20+'Project Assumptions'!$D$15+'Project Assumptions'!$D$16-1='Detailed Cashflows'!CU$5,-'Economic Assumptions'!$I20,0)</f>
        <v/>
      </c>
      <c r="CV86" s="301">
        <f>IF('Economic Assumptions'!$B20+'Project Assumptions'!$D$15+'Project Assumptions'!$D$16-1='Detailed Cashflows'!CV$5,-'Economic Assumptions'!$I20,0)</f>
        <v/>
      </c>
      <c r="CW86" s="301">
        <f>IF('Economic Assumptions'!$B20+'Project Assumptions'!$D$15+'Project Assumptions'!$D$16-1='Detailed Cashflows'!CW$5,-'Economic Assumptions'!$I20,0)</f>
        <v/>
      </c>
      <c r="CX86" s="301">
        <f>IF('Economic Assumptions'!$B20+'Project Assumptions'!$D$15+'Project Assumptions'!$D$16-1='Detailed Cashflows'!CX$5,-'Economic Assumptions'!$I20,0)</f>
        <v/>
      </c>
      <c r="CY86" s="301">
        <f>IF('Economic Assumptions'!$B20+'Project Assumptions'!$D$15+'Project Assumptions'!$D$16-1='Detailed Cashflows'!CY$5,-'Economic Assumptions'!$I20,0)</f>
        <v/>
      </c>
      <c r="CZ86" s="301">
        <f>IF('Economic Assumptions'!$B20+'Project Assumptions'!$D$15+'Project Assumptions'!$D$16-1='Detailed Cashflows'!CZ$5,-'Economic Assumptions'!$I20,0)</f>
        <v/>
      </c>
      <c r="DA86" s="301">
        <f>IF('Economic Assumptions'!$B20+'Project Assumptions'!$D$15+'Project Assumptions'!$D$16-1='Detailed Cashflows'!DA$5,-'Economic Assumptions'!$I20,0)</f>
        <v/>
      </c>
      <c r="DB86" s="301">
        <f>IF('Economic Assumptions'!$B20+'Project Assumptions'!$D$15+'Project Assumptions'!$D$16-1='Detailed Cashflows'!DB$5,-'Economic Assumptions'!$I20,0)</f>
        <v/>
      </c>
      <c r="DC86" s="301" t="n"/>
      <c r="DD86" s="299">
        <f>SUM(F86:DB86)</f>
        <v/>
      </c>
    </row>
    <row r="87" collapsed="1">
      <c r="A87" s="1000" t="n"/>
      <c r="B87" s="702" t="inlineStr">
        <is>
          <t xml:space="preserve">   In-House Commissions</t>
        </is>
      </c>
      <c r="C87" s="700" t="n"/>
      <c r="D87" s="292">
        <f>DD87</f>
        <v/>
      </c>
      <c r="E87" s="641" t="n"/>
      <c r="F87" s="293">
        <f>SUM(F88:F98)</f>
        <v/>
      </c>
      <c r="G87" s="293">
        <f>SUM(G88:G98)</f>
        <v/>
      </c>
      <c r="H87" s="293">
        <f>SUM(H88:H98)</f>
        <v/>
      </c>
      <c r="I87" s="293">
        <f>SUM(I88:I98)</f>
        <v/>
      </c>
      <c r="J87" s="293">
        <f>SUM(J88:J98)</f>
        <v/>
      </c>
      <c r="K87" s="293">
        <f>SUM(K88:K98)</f>
        <v/>
      </c>
      <c r="L87" s="293">
        <f>SUM(L88:L98)</f>
        <v/>
      </c>
      <c r="M87" s="293">
        <f>SUM(M88:M98)</f>
        <v/>
      </c>
      <c r="N87" s="293">
        <f>SUM(N88:N98)</f>
        <v/>
      </c>
      <c r="O87" s="293">
        <f>SUM(O88:O98)</f>
        <v/>
      </c>
      <c r="P87" s="293">
        <f>SUM(P88:P98)</f>
        <v/>
      </c>
      <c r="Q87" s="293">
        <f>SUM(Q88:Q98)</f>
        <v/>
      </c>
      <c r="R87" s="293">
        <f>SUM(R88:R98)</f>
        <v/>
      </c>
      <c r="S87" s="293">
        <f>SUM(S88:S98)</f>
        <v/>
      </c>
      <c r="T87" s="293">
        <f>SUM(T88:T98)</f>
        <v/>
      </c>
      <c r="U87" s="293">
        <f>SUM(U88:U98)</f>
        <v/>
      </c>
      <c r="V87" s="293">
        <f>SUM(V88:V98)</f>
        <v/>
      </c>
      <c r="W87" s="293">
        <f>SUM(W88:W98)</f>
        <v/>
      </c>
      <c r="X87" s="293">
        <f>SUM(X88:X98)</f>
        <v/>
      </c>
      <c r="Y87" s="293">
        <f>SUM(Y88:Y98)</f>
        <v/>
      </c>
      <c r="Z87" s="293">
        <f>SUM(Z88:Z98)</f>
        <v/>
      </c>
      <c r="AA87" s="293">
        <f>SUM(AA88:AA98)</f>
        <v/>
      </c>
      <c r="AB87" s="293">
        <f>SUM(AB88:AB98)</f>
        <v/>
      </c>
      <c r="AC87" s="293">
        <f>SUM(AC88:AC98)</f>
        <v/>
      </c>
      <c r="AD87" s="293">
        <f>SUM(AD88:AD98)</f>
        <v/>
      </c>
      <c r="AE87" s="293">
        <f>SUM(AE88:AE98)</f>
        <v/>
      </c>
      <c r="AF87" s="293">
        <f>SUM(AF88:AF98)</f>
        <v/>
      </c>
      <c r="AG87" s="293">
        <f>SUM(AG88:AG98)</f>
        <v/>
      </c>
      <c r="AH87" s="293">
        <f>SUM(AH88:AH98)</f>
        <v/>
      </c>
      <c r="AI87" s="293">
        <f>SUM(AI88:AI98)</f>
        <v/>
      </c>
      <c r="AJ87" s="293">
        <f>SUM(AJ88:AJ98)</f>
        <v/>
      </c>
      <c r="AK87" s="293">
        <f>SUM(AK88:AK98)</f>
        <v/>
      </c>
      <c r="AL87" s="293">
        <f>SUM(AL88:AL98)</f>
        <v/>
      </c>
      <c r="AM87" s="293">
        <f>SUM(AM88:AM98)</f>
        <v/>
      </c>
      <c r="AN87" s="293">
        <f>SUM(AN88:AN98)</f>
        <v/>
      </c>
      <c r="AO87" s="293">
        <f>SUM(AO88:AO98)</f>
        <v/>
      </c>
      <c r="AP87" s="293">
        <f>SUM(AP88:AP98)</f>
        <v/>
      </c>
      <c r="AQ87" s="293">
        <f>SUM(AQ88:AQ98)</f>
        <v/>
      </c>
      <c r="AR87" s="293">
        <f>SUM(AR88:AR98)</f>
        <v/>
      </c>
      <c r="AS87" s="293">
        <f>SUM(AS88:AS98)</f>
        <v/>
      </c>
      <c r="AT87" s="293">
        <f>SUM(AT88:AT98)</f>
        <v/>
      </c>
      <c r="AU87" s="293">
        <f>SUM(AU88:AU98)</f>
        <v/>
      </c>
      <c r="AV87" s="293">
        <f>SUM(AV88:AV98)</f>
        <v/>
      </c>
      <c r="AW87" s="293">
        <f>SUM(AW88:AW98)</f>
        <v/>
      </c>
      <c r="AX87" s="293">
        <f>SUM(AX88:AX98)</f>
        <v/>
      </c>
      <c r="AY87" s="293">
        <f>SUM(AY88:AY98)</f>
        <v/>
      </c>
      <c r="AZ87" s="293">
        <f>SUM(AZ88:AZ98)</f>
        <v/>
      </c>
      <c r="BA87" s="293">
        <f>SUM(BA88:BA98)</f>
        <v/>
      </c>
      <c r="BB87" s="293">
        <f>SUM(BB88:BB98)</f>
        <v/>
      </c>
      <c r="BC87" s="293">
        <f>SUM(BC88:BC98)</f>
        <v/>
      </c>
      <c r="BD87" s="293">
        <f>SUM(BD88:BD98)</f>
        <v/>
      </c>
      <c r="BE87" s="293">
        <f>SUM(BE88:BE98)</f>
        <v/>
      </c>
      <c r="BF87" s="293">
        <f>SUM(BF88:BF98)</f>
        <v/>
      </c>
      <c r="BG87" s="293">
        <f>SUM(BG88:BG98)</f>
        <v/>
      </c>
      <c r="BH87" s="293">
        <f>SUM(BH88:BH98)</f>
        <v/>
      </c>
      <c r="BI87" s="293">
        <f>SUM(BI88:BI98)</f>
        <v/>
      </c>
      <c r="BJ87" s="293">
        <f>SUM(BJ88:BJ98)</f>
        <v/>
      </c>
      <c r="BK87" s="293">
        <f>SUM(BK88:BK98)</f>
        <v/>
      </c>
      <c r="BL87" s="293">
        <f>SUM(BL88:BL98)</f>
        <v/>
      </c>
      <c r="BM87" s="293">
        <f>SUM(BM88:BM98)</f>
        <v/>
      </c>
      <c r="BN87" s="293">
        <f>SUM(BN88:BN98)</f>
        <v/>
      </c>
      <c r="BO87" s="293">
        <f>SUM(BO88:BO98)</f>
        <v/>
      </c>
      <c r="BP87" s="293">
        <f>SUM(BP88:BP98)</f>
        <v/>
      </c>
      <c r="BQ87" s="293">
        <f>SUM(BQ88:BQ98)</f>
        <v/>
      </c>
      <c r="BR87" s="293">
        <f>SUM(BR88:BR98)</f>
        <v/>
      </c>
      <c r="BS87" s="293">
        <f>SUM(BS88:BS98)</f>
        <v/>
      </c>
      <c r="BT87" s="293">
        <f>SUM(BT88:BT98)</f>
        <v/>
      </c>
      <c r="BU87" s="293">
        <f>SUM(BU88:BU98)</f>
        <v/>
      </c>
      <c r="BV87" s="293">
        <f>SUM(BV88:BV98)</f>
        <v/>
      </c>
      <c r="BW87" s="293">
        <f>SUM(BW88:BW98)</f>
        <v/>
      </c>
      <c r="BX87" s="293">
        <f>SUM(BX88:BX98)</f>
        <v/>
      </c>
      <c r="BY87" s="293">
        <f>SUM(BY88:BY98)</f>
        <v/>
      </c>
      <c r="BZ87" s="293">
        <f>SUM(BZ88:BZ98)</f>
        <v/>
      </c>
      <c r="CA87" s="293">
        <f>SUM(CA88:CA98)</f>
        <v/>
      </c>
      <c r="CB87" s="293">
        <f>SUM(CB88:CB98)</f>
        <v/>
      </c>
      <c r="CC87" s="293">
        <f>SUM(CC88:CC98)</f>
        <v/>
      </c>
      <c r="CD87" s="293">
        <f>SUM(CD88:CD98)</f>
        <v/>
      </c>
      <c r="CE87" s="293">
        <f>SUM(CE88:CE98)</f>
        <v/>
      </c>
      <c r="CF87" s="293">
        <f>SUM(CF88:CF98)</f>
        <v/>
      </c>
      <c r="CG87" s="293">
        <f>SUM(CG88:CG98)</f>
        <v/>
      </c>
      <c r="CH87" s="293">
        <f>SUM(CH88:CH98)</f>
        <v/>
      </c>
      <c r="CI87" s="293">
        <f>SUM(CI88:CI98)</f>
        <v/>
      </c>
      <c r="CJ87" s="293">
        <f>SUM(CJ88:CJ98)</f>
        <v/>
      </c>
      <c r="CK87" s="293">
        <f>SUM(CK88:CK98)</f>
        <v/>
      </c>
      <c r="CL87" s="293">
        <f>SUM(CL88:CL98)</f>
        <v/>
      </c>
      <c r="CM87" s="293">
        <f>SUM(CM88:CM98)</f>
        <v/>
      </c>
      <c r="CN87" s="293">
        <f>SUM(CN88:CN98)</f>
        <v/>
      </c>
      <c r="CO87" s="293">
        <f>SUM(CO88:CO98)</f>
        <v/>
      </c>
      <c r="CP87" s="293">
        <f>SUM(CP88:CP98)</f>
        <v/>
      </c>
      <c r="CQ87" s="293">
        <f>SUM(CQ88:CQ98)</f>
        <v/>
      </c>
      <c r="CR87" s="293">
        <f>SUM(CR88:CR98)</f>
        <v/>
      </c>
      <c r="CS87" s="293">
        <f>SUM(CS88:CS98)</f>
        <v/>
      </c>
      <c r="CT87" s="293">
        <f>SUM(CT88:CT98)</f>
        <v/>
      </c>
      <c r="CU87" s="293">
        <f>SUM(CU88:CU98)</f>
        <v/>
      </c>
      <c r="CV87" s="293">
        <f>SUM(CV88:CV98)</f>
        <v/>
      </c>
      <c r="CW87" s="293">
        <f>SUM(CW88:CW98)</f>
        <v/>
      </c>
      <c r="CX87" s="293">
        <f>SUM(CX88:CX98)</f>
        <v/>
      </c>
      <c r="CY87" s="293">
        <f>SUM(CY88:CY98)</f>
        <v/>
      </c>
      <c r="CZ87" s="293">
        <f>SUM(CZ88:CZ98)</f>
        <v/>
      </c>
      <c r="DA87" s="293">
        <f>SUM(DA88:DA98)</f>
        <v/>
      </c>
      <c r="DB87" s="293">
        <f>SUM(DB88:DB98)</f>
        <v/>
      </c>
      <c r="DC87" s="293" t="n"/>
      <c r="DD87" s="292">
        <f>SUM(F87:DB87)</f>
        <v/>
      </c>
    </row>
    <row r="88" hidden="1" outlineLevel="1">
      <c r="A88" s="1000" t="n"/>
      <c r="B88" s="303">
        <f>'Economic Assumptions'!$A$10</f>
        <v/>
      </c>
      <c r="C88" s="294" t="n"/>
      <c r="D88" s="299">
        <f>DD88</f>
        <v/>
      </c>
      <c r="E88" s="300" t="n"/>
      <c r="F88" s="301">
        <f>IF('Economic Assumptions'!$B10+'Project Assumptions'!$D$15+'Project Assumptions'!$D$16-1='Detailed Cashflows'!F$5,-'Economic Assumptions'!$J10,0)</f>
        <v/>
      </c>
      <c r="G88" s="301">
        <f>IF('Economic Assumptions'!$B10+'Project Assumptions'!$D$15+'Project Assumptions'!$D$16-1='Detailed Cashflows'!G$5,-'Economic Assumptions'!$J10,0)</f>
        <v/>
      </c>
      <c r="H88" s="301">
        <f>IF('Economic Assumptions'!$B10+'Project Assumptions'!$D$15+'Project Assumptions'!$D$16-1='Detailed Cashflows'!H$5,-'Economic Assumptions'!$J10,0)</f>
        <v/>
      </c>
      <c r="I88" s="301">
        <f>IF('Economic Assumptions'!$B10+'Project Assumptions'!$D$15+'Project Assumptions'!$D$16-1='Detailed Cashflows'!I$5,-'Economic Assumptions'!$J10,0)</f>
        <v/>
      </c>
      <c r="J88" s="301">
        <f>IF('Economic Assumptions'!$B10+'Project Assumptions'!$D$15+'Project Assumptions'!$D$16-1='Detailed Cashflows'!J$5,-'Economic Assumptions'!$J10,0)</f>
        <v/>
      </c>
      <c r="K88" s="301">
        <f>IF('Economic Assumptions'!$B10+'Project Assumptions'!$D$15+'Project Assumptions'!$D$16-1='Detailed Cashflows'!K$5,-'Economic Assumptions'!$J10,0)</f>
        <v/>
      </c>
      <c r="L88" s="301">
        <f>IF('Economic Assumptions'!$B10+'Project Assumptions'!$D$15+'Project Assumptions'!$D$16-1='Detailed Cashflows'!L$5,-'Economic Assumptions'!$J10,0)</f>
        <v/>
      </c>
      <c r="M88" s="301">
        <f>IF('Economic Assumptions'!$B10+'Project Assumptions'!$D$15+'Project Assumptions'!$D$16-1='Detailed Cashflows'!M$5,-'Economic Assumptions'!$J10,0)</f>
        <v/>
      </c>
      <c r="N88" s="301">
        <f>IF('Economic Assumptions'!$B10+'Project Assumptions'!$D$15+'Project Assumptions'!$D$16-1='Detailed Cashflows'!N$5,-'Economic Assumptions'!$J10,0)</f>
        <v/>
      </c>
      <c r="O88" s="301">
        <f>IF('Economic Assumptions'!$B10+'Project Assumptions'!$D$15+'Project Assumptions'!$D$16-1='Detailed Cashflows'!O$5,-'Economic Assumptions'!$J10,0)</f>
        <v/>
      </c>
      <c r="P88" s="301">
        <f>IF('Economic Assumptions'!$B10+'Project Assumptions'!$D$15+'Project Assumptions'!$D$16-1='Detailed Cashflows'!P$5,-'Economic Assumptions'!$J10,0)</f>
        <v/>
      </c>
      <c r="Q88" s="301">
        <f>IF('Economic Assumptions'!$B10+'Project Assumptions'!$D$15+'Project Assumptions'!$D$16-1='Detailed Cashflows'!Q$5,-'Economic Assumptions'!$J10,0)</f>
        <v/>
      </c>
      <c r="R88" s="301">
        <f>IF('Economic Assumptions'!$B10+'Project Assumptions'!$D$15+'Project Assumptions'!$D$16-1='Detailed Cashflows'!R$5,-'Economic Assumptions'!$J10,0)</f>
        <v/>
      </c>
      <c r="S88" s="301">
        <f>IF('Economic Assumptions'!$B10+'Project Assumptions'!$D$15+'Project Assumptions'!$D$16-1='Detailed Cashflows'!S$5,-'Economic Assumptions'!$J10,0)</f>
        <v/>
      </c>
      <c r="T88" s="301">
        <f>IF('Economic Assumptions'!$B10+'Project Assumptions'!$D$15+'Project Assumptions'!$D$16-1='Detailed Cashflows'!T$5,-'Economic Assumptions'!$J10,0)</f>
        <v/>
      </c>
      <c r="U88" s="301">
        <f>IF('Economic Assumptions'!$B10+'Project Assumptions'!$D$15+'Project Assumptions'!$D$16-1='Detailed Cashflows'!U$5,-'Economic Assumptions'!$J10,0)</f>
        <v/>
      </c>
      <c r="V88" s="301">
        <f>IF('Economic Assumptions'!$B10+'Project Assumptions'!$D$15+'Project Assumptions'!$D$16-1='Detailed Cashflows'!V$5,-'Economic Assumptions'!$J10,0)</f>
        <v/>
      </c>
      <c r="W88" s="301">
        <f>IF('Economic Assumptions'!$B10+'Project Assumptions'!$D$15+'Project Assumptions'!$D$16-1='Detailed Cashflows'!W$5,-'Economic Assumptions'!$J10,0)</f>
        <v/>
      </c>
      <c r="X88" s="301">
        <f>IF('Economic Assumptions'!$B10+'Project Assumptions'!$D$15+'Project Assumptions'!$D$16-1='Detailed Cashflows'!X$5,-'Economic Assumptions'!$J10,0)</f>
        <v/>
      </c>
      <c r="Y88" s="301">
        <f>IF('Economic Assumptions'!$B10+'Project Assumptions'!$D$15+'Project Assumptions'!$D$16-1='Detailed Cashflows'!Y$5,-'Economic Assumptions'!$J10,0)</f>
        <v/>
      </c>
      <c r="Z88" s="301">
        <f>IF('Economic Assumptions'!$B10+'Project Assumptions'!$D$15+'Project Assumptions'!$D$16-1='Detailed Cashflows'!Z$5,-'Economic Assumptions'!$J10,0)</f>
        <v/>
      </c>
      <c r="AA88" s="301">
        <f>IF('Economic Assumptions'!$B10+'Project Assumptions'!$D$15+'Project Assumptions'!$D$16-1='Detailed Cashflows'!AA$5,-'Economic Assumptions'!$J10,0)</f>
        <v/>
      </c>
      <c r="AB88" s="301">
        <f>IF('Economic Assumptions'!$B10+'Project Assumptions'!$D$15+'Project Assumptions'!$D$16-1='Detailed Cashflows'!AB$5,-'Economic Assumptions'!$J10,0)</f>
        <v/>
      </c>
      <c r="AC88" s="301">
        <f>IF('Economic Assumptions'!$B10+'Project Assumptions'!$D$15+'Project Assumptions'!$D$16-1='Detailed Cashflows'!AC$5,-'Economic Assumptions'!$J10,0)</f>
        <v/>
      </c>
      <c r="AD88" s="301">
        <f>IF('Economic Assumptions'!$B10+'Project Assumptions'!$D$15+'Project Assumptions'!$D$16-1='Detailed Cashflows'!AD$5,-'Economic Assumptions'!$J10,0)</f>
        <v/>
      </c>
      <c r="AE88" s="301">
        <f>IF('Economic Assumptions'!$B10+'Project Assumptions'!$D$15+'Project Assumptions'!$D$16-1='Detailed Cashflows'!AE$5,-'Economic Assumptions'!$J10,0)</f>
        <v/>
      </c>
      <c r="AF88" s="301">
        <f>IF('Economic Assumptions'!$B10+'Project Assumptions'!$D$15+'Project Assumptions'!$D$16-1='Detailed Cashflows'!AF$5,-'Economic Assumptions'!$J10,0)</f>
        <v/>
      </c>
      <c r="AG88" s="301">
        <f>IF('Economic Assumptions'!$B10+'Project Assumptions'!$D$15+'Project Assumptions'!$D$16-1='Detailed Cashflows'!AG$5,-'Economic Assumptions'!$J10,0)</f>
        <v/>
      </c>
      <c r="AH88" s="301">
        <f>IF('Economic Assumptions'!$B10+'Project Assumptions'!$D$15+'Project Assumptions'!$D$16-1='Detailed Cashflows'!AH$5,-'Economic Assumptions'!$J10,0)</f>
        <v/>
      </c>
      <c r="AI88" s="301">
        <f>IF('Economic Assumptions'!$B10+'Project Assumptions'!$D$15+'Project Assumptions'!$D$16-1='Detailed Cashflows'!AI$5,-'Economic Assumptions'!$J10,0)</f>
        <v/>
      </c>
      <c r="AJ88" s="301">
        <f>IF('Economic Assumptions'!$B10+'Project Assumptions'!$D$15+'Project Assumptions'!$D$16-1='Detailed Cashflows'!AJ$5,-'Economic Assumptions'!$J10,0)</f>
        <v/>
      </c>
      <c r="AK88" s="301">
        <f>IF('Economic Assumptions'!$B10+'Project Assumptions'!$D$15+'Project Assumptions'!$D$16-1='Detailed Cashflows'!AK$5,-'Economic Assumptions'!$J10,0)</f>
        <v/>
      </c>
      <c r="AL88" s="301">
        <f>IF('Economic Assumptions'!$B10+'Project Assumptions'!$D$15+'Project Assumptions'!$D$16-1='Detailed Cashflows'!AL$5,-'Economic Assumptions'!$J10,0)</f>
        <v/>
      </c>
      <c r="AM88" s="301">
        <f>IF('Economic Assumptions'!$B10+'Project Assumptions'!$D$15+'Project Assumptions'!$D$16-1='Detailed Cashflows'!AM$5,-'Economic Assumptions'!$J10,0)</f>
        <v/>
      </c>
      <c r="AN88" s="301">
        <f>IF('Economic Assumptions'!$B10+'Project Assumptions'!$D$15+'Project Assumptions'!$D$16-1='Detailed Cashflows'!AN$5,-'Economic Assumptions'!$J10,0)</f>
        <v/>
      </c>
      <c r="AO88" s="301">
        <f>IF('Economic Assumptions'!$B10+'Project Assumptions'!$D$15+'Project Assumptions'!$D$16-1='Detailed Cashflows'!AO$5,-'Economic Assumptions'!$J10,0)</f>
        <v/>
      </c>
      <c r="AP88" s="301">
        <f>IF('Economic Assumptions'!$B10+'Project Assumptions'!$D$15+'Project Assumptions'!$D$16-1='Detailed Cashflows'!AP$5,-'Economic Assumptions'!$J10,0)</f>
        <v/>
      </c>
      <c r="AQ88" s="301">
        <f>IF('Economic Assumptions'!$B10+'Project Assumptions'!$D$15+'Project Assumptions'!$D$16-1='Detailed Cashflows'!AQ$5,-'Economic Assumptions'!$J10,0)</f>
        <v/>
      </c>
      <c r="AR88" s="301">
        <f>IF('Economic Assumptions'!$B10+'Project Assumptions'!$D$15+'Project Assumptions'!$D$16-1='Detailed Cashflows'!AR$5,-'Economic Assumptions'!$J10,0)</f>
        <v/>
      </c>
      <c r="AS88" s="301">
        <f>IF('Economic Assumptions'!$B10+'Project Assumptions'!$D$15+'Project Assumptions'!$D$16-1='Detailed Cashflows'!AS$5,-'Economic Assumptions'!$J10,0)</f>
        <v/>
      </c>
      <c r="AT88" s="301">
        <f>IF('Economic Assumptions'!$B10+'Project Assumptions'!$D$15+'Project Assumptions'!$D$16-1='Detailed Cashflows'!AT$5,-'Economic Assumptions'!$J10,0)</f>
        <v/>
      </c>
      <c r="AU88" s="301">
        <f>IF('Economic Assumptions'!$B10+'Project Assumptions'!$D$15+'Project Assumptions'!$D$16-1='Detailed Cashflows'!AU$5,-'Economic Assumptions'!$J10,0)</f>
        <v/>
      </c>
      <c r="AV88" s="301">
        <f>IF('Economic Assumptions'!$B10+'Project Assumptions'!$D$15+'Project Assumptions'!$D$16-1='Detailed Cashflows'!AV$5,-'Economic Assumptions'!$J10,0)</f>
        <v/>
      </c>
      <c r="AW88" s="301">
        <f>IF('Economic Assumptions'!$B10+'Project Assumptions'!$D$15+'Project Assumptions'!$D$16-1='Detailed Cashflows'!AW$5,-'Economic Assumptions'!$J10,0)</f>
        <v/>
      </c>
      <c r="AX88" s="301">
        <f>IF('Economic Assumptions'!$B10+'Project Assumptions'!$D$15+'Project Assumptions'!$D$16-1='Detailed Cashflows'!AX$5,-'Economic Assumptions'!$J10,0)</f>
        <v/>
      </c>
      <c r="AY88" s="301">
        <f>IF('Economic Assumptions'!$B10+'Project Assumptions'!$D$15+'Project Assumptions'!$D$16-1='Detailed Cashflows'!AY$5,-'Economic Assumptions'!$J10,0)</f>
        <v/>
      </c>
      <c r="AZ88" s="301">
        <f>IF('Economic Assumptions'!$B10+'Project Assumptions'!$D$15+'Project Assumptions'!$D$16-1='Detailed Cashflows'!AZ$5,-'Economic Assumptions'!$J10,0)</f>
        <v/>
      </c>
      <c r="BA88" s="301">
        <f>IF('Economic Assumptions'!$B10+'Project Assumptions'!$D$15+'Project Assumptions'!$D$16-1='Detailed Cashflows'!BA$5,-'Economic Assumptions'!$J10,0)</f>
        <v/>
      </c>
      <c r="BB88" s="301">
        <f>IF('Economic Assumptions'!$B10+'Project Assumptions'!$D$15+'Project Assumptions'!$D$16-1='Detailed Cashflows'!BB$5,-'Economic Assumptions'!$J10,0)</f>
        <v/>
      </c>
      <c r="BC88" s="301">
        <f>IF('Economic Assumptions'!$B10+'Project Assumptions'!$D$15+'Project Assumptions'!$D$16-1='Detailed Cashflows'!BC$5,-'Economic Assumptions'!$J10,0)</f>
        <v/>
      </c>
      <c r="BD88" s="301">
        <f>IF('Economic Assumptions'!$B10+'Project Assumptions'!$D$15+'Project Assumptions'!$D$16-1='Detailed Cashflows'!BD$5,-'Economic Assumptions'!$J10,0)</f>
        <v/>
      </c>
      <c r="BE88" s="301">
        <f>IF('Economic Assumptions'!$B10+'Project Assumptions'!$D$15+'Project Assumptions'!$D$16-1='Detailed Cashflows'!BE$5,-'Economic Assumptions'!$J10,0)</f>
        <v/>
      </c>
      <c r="BF88" s="301">
        <f>IF('Economic Assumptions'!$B10+'Project Assumptions'!$D$15+'Project Assumptions'!$D$16-1='Detailed Cashflows'!BF$5,-'Economic Assumptions'!$J10,0)</f>
        <v/>
      </c>
      <c r="BG88" s="301">
        <f>IF('Economic Assumptions'!$B10+'Project Assumptions'!$D$15+'Project Assumptions'!$D$16-1='Detailed Cashflows'!BG$5,-'Economic Assumptions'!$J10,0)</f>
        <v/>
      </c>
      <c r="BH88" s="301">
        <f>IF('Economic Assumptions'!$B10+'Project Assumptions'!$D$15+'Project Assumptions'!$D$16-1='Detailed Cashflows'!BH$5,-'Economic Assumptions'!$J10,0)</f>
        <v/>
      </c>
      <c r="BI88" s="301">
        <f>IF('Economic Assumptions'!$B10+'Project Assumptions'!$D$15+'Project Assumptions'!$D$16-1='Detailed Cashflows'!BI$5,-'Economic Assumptions'!$J10,0)</f>
        <v/>
      </c>
      <c r="BJ88" s="301">
        <f>IF('Economic Assumptions'!$B10+'Project Assumptions'!$D$15+'Project Assumptions'!$D$16-1='Detailed Cashflows'!BJ$5,-'Economic Assumptions'!$J10,0)</f>
        <v/>
      </c>
      <c r="BK88" s="301">
        <f>IF('Economic Assumptions'!$B10+'Project Assumptions'!$D$15+'Project Assumptions'!$D$16-1='Detailed Cashflows'!BK$5,-'Economic Assumptions'!$J10,0)</f>
        <v/>
      </c>
      <c r="BL88" s="301">
        <f>IF('Economic Assumptions'!$B10+'Project Assumptions'!$D$15+'Project Assumptions'!$D$16-1='Detailed Cashflows'!BL$5,-'Economic Assumptions'!$J10,0)</f>
        <v/>
      </c>
      <c r="BM88" s="301">
        <f>IF('Economic Assumptions'!$B10+'Project Assumptions'!$D$15+'Project Assumptions'!$D$16-1='Detailed Cashflows'!BM$5,-'Economic Assumptions'!$J10,0)</f>
        <v/>
      </c>
      <c r="BN88" s="301">
        <f>IF('Economic Assumptions'!$B10+'Project Assumptions'!$D$15+'Project Assumptions'!$D$16-1='Detailed Cashflows'!BN$5,-'Economic Assumptions'!$J10,0)</f>
        <v/>
      </c>
      <c r="BO88" s="301">
        <f>IF('Economic Assumptions'!$B10+'Project Assumptions'!$D$15+'Project Assumptions'!$D$16-1='Detailed Cashflows'!BO$5,-'Economic Assumptions'!$J10,0)</f>
        <v/>
      </c>
      <c r="BP88" s="301">
        <f>IF('Economic Assumptions'!$B10+'Project Assumptions'!$D$15+'Project Assumptions'!$D$16-1='Detailed Cashflows'!BP$5,-'Economic Assumptions'!$J10,0)</f>
        <v/>
      </c>
      <c r="BQ88" s="301">
        <f>IF('Economic Assumptions'!$B10+'Project Assumptions'!$D$15+'Project Assumptions'!$D$16-1='Detailed Cashflows'!BQ$5,-'Economic Assumptions'!$J10,0)</f>
        <v/>
      </c>
      <c r="BR88" s="301">
        <f>IF('Economic Assumptions'!$B10+'Project Assumptions'!$D$15+'Project Assumptions'!$D$16-1='Detailed Cashflows'!BR$5,-'Economic Assumptions'!$J10,0)</f>
        <v/>
      </c>
      <c r="BS88" s="301">
        <f>IF('Economic Assumptions'!$B10+'Project Assumptions'!$D$15+'Project Assumptions'!$D$16-1='Detailed Cashflows'!BS$5,-'Economic Assumptions'!$J10,0)</f>
        <v/>
      </c>
      <c r="BT88" s="301">
        <f>IF('Economic Assumptions'!$B10+'Project Assumptions'!$D$15+'Project Assumptions'!$D$16-1='Detailed Cashflows'!BT$5,-'Economic Assumptions'!$J10,0)</f>
        <v/>
      </c>
      <c r="BU88" s="301">
        <f>IF('Economic Assumptions'!$B10+'Project Assumptions'!$D$15+'Project Assumptions'!$D$16-1='Detailed Cashflows'!BU$5,-'Economic Assumptions'!$J10,0)</f>
        <v/>
      </c>
      <c r="BV88" s="301">
        <f>IF('Economic Assumptions'!$B10+'Project Assumptions'!$D$15+'Project Assumptions'!$D$16-1='Detailed Cashflows'!BV$5,-'Economic Assumptions'!$J10,0)</f>
        <v/>
      </c>
      <c r="BW88" s="301">
        <f>IF('Economic Assumptions'!$B10+'Project Assumptions'!$D$15+'Project Assumptions'!$D$16-1='Detailed Cashflows'!BW$5,-'Economic Assumptions'!$J10,0)</f>
        <v/>
      </c>
      <c r="BX88" s="301">
        <f>IF('Economic Assumptions'!$B10+'Project Assumptions'!$D$15+'Project Assumptions'!$D$16-1='Detailed Cashflows'!BX$5,-'Economic Assumptions'!$J10,0)</f>
        <v/>
      </c>
      <c r="BY88" s="301">
        <f>IF('Economic Assumptions'!$B10+'Project Assumptions'!$D$15+'Project Assumptions'!$D$16-1='Detailed Cashflows'!BY$5,-'Economic Assumptions'!$J10,0)</f>
        <v/>
      </c>
      <c r="BZ88" s="301">
        <f>IF('Economic Assumptions'!$B10+'Project Assumptions'!$D$15+'Project Assumptions'!$D$16-1='Detailed Cashflows'!BZ$5,-'Economic Assumptions'!$J10,0)</f>
        <v/>
      </c>
      <c r="CA88" s="301">
        <f>IF('Economic Assumptions'!$B10+'Project Assumptions'!$D$15+'Project Assumptions'!$D$16-1='Detailed Cashflows'!CA$5,-'Economic Assumptions'!$J10,0)</f>
        <v/>
      </c>
      <c r="CB88" s="301">
        <f>IF('Economic Assumptions'!$B10+'Project Assumptions'!$D$15+'Project Assumptions'!$D$16-1='Detailed Cashflows'!CB$5,-'Economic Assumptions'!$J10,0)</f>
        <v/>
      </c>
      <c r="CC88" s="301">
        <f>IF('Economic Assumptions'!$B10+'Project Assumptions'!$D$15+'Project Assumptions'!$D$16-1='Detailed Cashflows'!CC$5,-'Economic Assumptions'!$J10,0)</f>
        <v/>
      </c>
      <c r="CD88" s="301">
        <f>IF('Economic Assumptions'!$B10+'Project Assumptions'!$D$15+'Project Assumptions'!$D$16-1='Detailed Cashflows'!CD$5,-'Economic Assumptions'!$J10,0)</f>
        <v/>
      </c>
      <c r="CE88" s="301">
        <f>IF('Economic Assumptions'!$B10+'Project Assumptions'!$D$15+'Project Assumptions'!$D$16-1='Detailed Cashflows'!CE$5,-'Economic Assumptions'!$J10,0)</f>
        <v/>
      </c>
      <c r="CF88" s="301">
        <f>IF('Economic Assumptions'!$B10+'Project Assumptions'!$D$15+'Project Assumptions'!$D$16-1='Detailed Cashflows'!CF$5,-'Economic Assumptions'!$J10,0)</f>
        <v/>
      </c>
      <c r="CG88" s="301">
        <f>IF('Economic Assumptions'!$B10+'Project Assumptions'!$D$15+'Project Assumptions'!$D$16-1='Detailed Cashflows'!CG$5,-'Economic Assumptions'!$J10,0)</f>
        <v/>
      </c>
      <c r="CH88" s="301">
        <f>IF('Economic Assumptions'!$B10+'Project Assumptions'!$D$15+'Project Assumptions'!$D$16-1='Detailed Cashflows'!CH$5,-'Economic Assumptions'!$J10,0)</f>
        <v/>
      </c>
      <c r="CI88" s="301">
        <f>IF('Economic Assumptions'!$B10+'Project Assumptions'!$D$15+'Project Assumptions'!$D$16-1='Detailed Cashflows'!CI$5,-'Economic Assumptions'!$J10,0)</f>
        <v/>
      </c>
      <c r="CJ88" s="301">
        <f>IF('Economic Assumptions'!$B10+'Project Assumptions'!$D$15+'Project Assumptions'!$D$16-1='Detailed Cashflows'!CJ$5,-'Economic Assumptions'!$J10,0)</f>
        <v/>
      </c>
      <c r="CK88" s="301">
        <f>IF('Economic Assumptions'!$B10+'Project Assumptions'!$D$15+'Project Assumptions'!$D$16-1='Detailed Cashflows'!CK$5,-'Economic Assumptions'!$J10,0)</f>
        <v/>
      </c>
      <c r="CL88" s="301">
        <f>IF('Economic Assumptions'!$B10+'Project Assumptions'!$D$15+'Project Assumptions'!$D$16-1='Detailed Cashflows'!CL$5,-'Economic Assumptions'!$J10,0)</f>
        <v/>
      </c>
      <c r="CM88" s="301">
        <f>IF('Economic Assumptions'!$B10+'Project Assumptions'!$D$15+'Project Assumptions'!$D$16-1='Detailed Cashflows'!CM$5,-'Economic Assumptions'!$J10,0)</f>
        <v/>
      </c>
      <c r="CN88" s="301">
        <f>IF('Economic Assumptions'!$B10+'Project Assumptions'!$D$15+'Project Assumptions'!$D$16-1='Detailed Cashflows'!CN$5,-'Economic Assumptions'!$J10,0)</f>
        <v/>
      </c>
      <c r="CO88" s="301">
        <f>IF('Economic Assumptions'!$B10+'Project Assumptions'!$D$15+'Project Assumptions'!$D$16-1='Detailed Cashflows'!CO$5,-'Economic Assumptions'!$J10,0)</f>
        <v/>
      </c>
      <c r="CP88" s="301">
        <f>IF('Economic Assumptions'!$B10+'Project Assumptions'!$D$15+'Project Assumptions'!$D$16-1='Detailed Cashflows'!CP$5,-'Economic Assumptions'!$J10,0)</f>
        <v/>
      </c>
      <c r="CQ88" s="301">
        <f>IF('Economic Assumptions'!$B10+'Project Assumptions'!$D$15+'Project Assumptions'!$D$16-1='Detailed Cashflows'!CQ$5,-'Economic Assumptions'!$J10,0)</f>
        <v/>
      </c>
      <c r="CR88" s="301">
        <f>IF('Economic Assumptions'!$B10+'Project Assumptions'!$D$15+'Project Assumptions'!$D$16-1='Detailed Cashflows'!CR$5,-'Economic Assumptions'!$J10,0)</f>
        <v/>
      </c>
      <c r="CS88" s="301">
        <f>IF('Economic Assumptions'!$B10+'Project Assumptions'!$D$15+'Project Assumptions'!$D$16-1='Detailed Cashflows'!CS$5,-'Economic Assumptions'!$J10,0)</f>
        <v/>
      </c>
      <c r="CT88" s="301">
        <f>IF('Economic Assumptions'!$B10+'Project Assumptions'!$D$15+'Project Assumptions'!$D$16-1='Detailed Cashflows'!CT$5,-'Economic Assumptions'!$J10,0)</f>
        <v/>
      </c>
      <c r="CU88" s="301">
        <f>IF('Economic Assumptions'!$B10+'Project Assumptions'!$D$15+'Project Assumptions'!$D$16-1='Detailed Cashflows'!CU$5,-'Economic Assumptions'!$J10,0)</f>
        <v/>
      </c>
      <c r="CV88" s="301">
        <f>IF('Economic Assumptions'!$B10+'Project Assumptions'!$D$15+'Project Assumptions'!$D$16-1='Detailed Cashflows'!CV$5,-'Economic Assumptions'!$J10,0)</f>
        <v/>
      </c>
      <c r="CW88" s="301">
        <f>IF('Economic Assumptions'!$B10+'Project Assumptions'!$D$15+'Project Assumptions'!$D$16-1='Detailed Cashflows'!CW$5,-'Economic Assumptions'!$J10,0)</f>
        <v/>
      </c>
      <c r="CX88" s="301">
        <f>IF('Economic Assumptions'!$B10+'Project Assumptions'!$D$15+'Project Assumptions'!$D$16-1='Detailed Cashflows'!CX$5,-'Economic Assumptions'!$J10,0)</f>
        <v/>
      </c>
      <c r="CY88" s="301">
        <f>IF('Economic Assumptions'!$B10+'Project Assumptions'!$D$15+'Project Assumptions'!$D$16-1='Detailed Cashflows'!CY$5,-'Economic Assumptions'!$J10,0)</f>
        <v/>
      </c>
      <c r="CZ88" s="301">
        <f>IF('Economic Assumptions'!$B10+'Project Assumptions'!$D$15+'Project Assumptions'!$D$16-1='Detailed Cashflows'!CZ$5,-'Economic Assumptions'!$J10,0)</f>
        <v/>
      </c>
      <c r="DA88" s="301">
        <f>IF('Economic Assumptions'!$B10+'Project Assumptions'!$D$15+'Project Assumptions'!$D$16-1='Detailed Cashflows'!DA$5,-'Economic Assumptions'!$J10,0)</f>
        <v/>
      </c>
      <c r="DB88" s="301">
        <f>IF('Economic Assumptions'!$B10+'Project Assumptions'!$D$15+'Project Assumptions'!$D$16-1='Detailed Cashflows'!DB$5,-'Economic Assumptions'!$J10,0)</f>
        <v/>
      </c>
      <c r="DC88" s="301" t="n"/>
      <c r="DD88" s="299">
        <f>SUM(F88:DB88)</f>
        <v/>
      </c>
    </row>
    <row r="89" hidden="1" outlineLevel="1">
      <c r="A89" s="1000" t="n"/>
      <c r="B89" s="303">
        <f>'Economic Assumptions'!$A$11</f>
        <v/>
      </c>
      <c r="C89" s="294" t="n"/>
      <c r="D89" s="299">
        <f>DD89</f>
        <v/>
      </c>
      <c r="E89" s="300" t="n"/>
      <c r="F89" s="301">
        <f>IF('Economic Assumptions'!$B11+'Project Assumptions'!$D$15+'Project Assumptions'!$D$16-1='Detailed Cashflows'!F$5,-'Economic Assumptions'!$J11,0)</f>
        <v/>
      </c>
      <c r="G89" s="301">
        <f>IF('Economic Assumptions'!$B11+'Project Assumptions'!$D$15+'Project Assumptions'!$D$16-1='Detailed Cashflows'!G$5,-'Economic Assumptions'!$J11,0)</f>
        <v/>
      </c>
      <c r="H89" s="301">
        <f>IF('Economic Assumptions'!$B11+'Project Assumptions'!$D$15+'Project Assumptions'!$D$16-1='Detailed Cashflows'!H$5,-'Economic Assumptions'!$J11,0)</f>
        <v/>
      </c>
      <c r="I89" s="301">
        <f>IF('Economic Assumptions'!$B11+'Project Assumptions'!$D$15+'Project Assumptions'!$D$16-1='Detailed Cashflows'!I$5,-'Economic Assumptions'!$J11,0)</f>
        <v/>
      </c>
      <c r="J89" s="301">
        <f>IF('Economic Assumptions'!$B11+'Project Assumptions'!$D$15+'Project Assumptions'!$D$16-1='Detailed Cashflows'!J$5,-'Economic Assumptions'!$J11,0)</f>
        <v/>
      </c>
      <c r="K89" s="301">
        <f>IF('Economic Assumptions'!$B11+'Project Assumptions'!$D$15+'Project Assumptions'!$D$16-1='Detailed Cashflows'!K$5,-'Economic Assumptions'!$J11,0)</f>
        <v/>
      </c>
      <c r="L89" s="301">
        <f>IF('Economic Assumptions'!$B11+'Project Assumptions'!$D$15+'Project Assumptions'!$D$16-1='Detailed Cashflows'!L$5,-'Economic Assumptions'!$J11,0)</f>
        <v/>
      </c>
      <c r="M89" s="301">
        <f>IF('Economic Assumptions'!$B11+'Project Assumptions'!$D$15+'Project Assumptions'!$D$16-1='Detailed Cashflows'!M$5,-'Economic Assumptions'!$J11,0)</f>
        <v/>
      </c>
      <c r="N89" s="301">
        <f>IF('Economic Assumptions'!$B11+'Project Assumptions'!$D$15+'Project Assumptions'!$D$16-1='Detailed Cashflows'!N$5,-'Economic Assumptions'!$J11,0)</f>
        <v/>
      </c>
      <c r="O89" s="301">
        <f>IF('Economic Assumptions'!$B11+'Project Assumptions'!$D$15+'Project Assumptions'!$D$16-1='Detailed Cashflows'!O$5,-'Economic Assumptions'!$J11,0)</f>
        <v/>
      </c>
      <c r="P89" s="301">
        <f>IF('Economic Assumptions'!$B11+'Project Assumptions'!$D$15+'Project Assumptions'!$D$16-1='Detailed Cashflows'!P$5,-'Economic Assumptions'!$J11,0)</f>
        <v/>
      </c>
      <c r="Q89" s="301">
        <f>IF('Economic Assumptions'!$B11+'Project Assumptions'!$D$15+'Project Assumptions'!$D$16-1='Detailed Cashflows'!Q$5,-'Economic Assumptions'!$J11,0)</f>
        <v/>
      </c>
      <c r="R89" s="301">
        <f>IF('Economic Assumptions'!$B11+'Project Assumptions'!$D$15+'Project Assumptions'!$D$16-1='Detailed Cashflows'!R$5,-'Economic Assumptions'!$J11,0)</f>
        <v/>
      </c>
      <c r="S89" s="301">
        <f>IF('Economic Assumptions'!$B11+'Project Assumptions'!$D$15+'Project Assumptions'!$D$16-1='Detailed Cashflows'!S$5,-'Economic Assumptions'!$J11,0)</f>
        <v/>
      </c>
      <c r="T89" s="301">
        <f>IF('Economic Assumptions'!$B11+'Project Assumptions'!$D$15+'Project Assumptions'!$D$16-1='Detailed Cashflows'!T$5,-'Economic Assumptions'!$J11,0)</f>
        <v/>
      </c>
      <c r="U89" s="301">
        <f>IF('Economic Assumptions'!$B11+'Project Assumptions'!$D$15+'Project Assumptions'!$D$16-1='Detailed Cashflows'!U$5,-'Economic Assumptions'!$J11,0)</f>
        <v/>
      </c>
      <c r="V89" s="301">
        <f>IF('Economic Assumptions'!$B11+'Project Assumptions'!$D$15+'Project Assumptions'!$D$16-1='Detailed Cashflows'!V$5,-'Economic Assumptions'!$J11,0)</f>
        <v/>
      </c>
      <c r="W89" s="301">
        <f>IF('Economic Assumptions'!$B11+'Project Assumptions'!$D$15+'Project Assumptions'!$D$16-1='Detailed Cashflows'!W$5,-'Economic Assumptions'!$J11,0)</f>
        <v/>
      </c>
      <c r="X89" s="301">
        <f>IF('Economic Assumptions'!$B11+'Project Assumptions'!$D$15+'Project Assumptions'!$D$16-1='Detailed Cashflows'!X$5,-'Economic Assumptions'!$J11,0)</f>
        <v/>
      </c>
      <c r="Y89" s="301">
        <f>IF('Economic Assumptions'!$B11+'Project Assumptions'!$D$15+'Project Assumptions'!$D$16-1='Detailed Cashflows'!Y$5,-'Economic Assumptions'!$J11,0)</f>
        <v/>
      </c>
      <c r="Z89" s="301">
        <f>IF('Economic Assumptions'!$B11+'Project Assumptions'!$D$15+'Project Assumptions'!$D$16-1='Detailed Cashflows'!Z$5,-'Economic Assumptions'!$J11,0)</f>
        <v/>
      </c>
      <c r="AA89" s="301">
        <f>IF('Economic Assumptions'!$B11+'Project Assumptions'!$D$15+'Project Assumptions'!$D$16-1='Detailed Cashflows'!AA$5,-'Economic Assumptions'!$J11,0)</f>
        <v/>
      </c>
      <c r="AB89" s="301">
        <f>IF('Economic Assumptions'!$B11+'Project Assumptions'!$D$15+'Project Assumptions'!$D$16-1='Detailed Cashflows'!AB$5,-'Economic Assumptions'!$J11,0)</f>
        <v/>
      </c>
      <c r="AC89" s="301">
        <f>IF('Economic Assumptions'!$B11+'Project Assumptions'!$D$15+'Project Assumptions'!$D$16-1='Detailed Cashflows'!AC$5,-'Economic Assumptions'!$J11,0)</f>
        <v/>
      </c>
      <c r="AD89" s="301">
        <f>IF('Economic Assumptions'!$B11+'Project Assumptions'!$D$15+'Project Assumptions'!$D$16-1='Detailed Cashflows'!AD$5,-'Economic Assumptions'!$J11,0)</f>
        <v/>
      </c>
      <c r="AE89" s="301">
        <f>IF('Economic Assumptions'!$B11+'Project Assumptions'!$D$15+'Project Assumptions'!$D$16-1='Detailed Cashflows'!AE$5,-'Economic Assumptions'!$J11,0)</f>
        <v/>
      </c>
      <c r="AF89" s="301">
        <f>IF('Economic Assumptions'!$B11+'Project Assumptions'!$D$15+'Project Assumptions'!$D$16-1='Detailed Cashflows'!AF$5,-'Economic Assumptions'!$J11,0)</f>
        <v/>
      </c>
      <c r="AG89" s="301">
        <f>IF('Economic Assumptions'!$B11+'Project Assumptions'!$D$15+'Project Assumptions'!$D$16-1='Detailed Cashflows'!AG$5,-'Economic Assumptions'!$J11,0)</f>
        <v/>
      </c>
      <c r="AH89" s="301">
        <f>IF('Economic Assumptions'!$B11+'Project Assumptions'!$D$15+'Project Assumptions'!$D$16-1='Detailed Cashflows'!AH$5,-'Economic Assumptions'!$J11,0)</f>
        <v/>
      </c>
      <c r="AI89" s="301">
        <f>IF('Economic Assumptions'!$B11+'Project Assumptions'!$D$15+'Project Assumptions'!$D$16-1='Detailed Cashflows'!AI$5,-'Economic Assumptions'!$J11,0)</f>
        <v/>
      </c>
      <c r="AJ89" s="301">
        <f>IF('Economic Assumptions'!$B11+'Project Assumptions'!$D$15+'Project Assumptions'!$D$16-1='Detailed Cashflows'!AJ$5,-'Economic Assumptions'!$J11,0)</f>
        <v/>
      </c>
      <c r="AK89" s="301">
        <f>IF('Economic Assumptions'!$B11+'Project Assumptions'!$D$15+'Project Assumptions'!$D$16-1='Detailed Cashflows'!AK$5,-'Economic Assumptions'!$J11,0)</f>
        <v/>
      </c>
      <c r="AL89" s="301">
        <f>IF('Economic Assumptions'!$B11+'Project Assumptions'!$D$15+'Project Assumptions'!$D$16-1='Detailed Cashflows'!AL$5,-'Economic Assumptions'!$J11,0)</f>
        <v/>
      </c>
      <c r="AM89" s="301">
        <f>IF('Economic Assumptions'!$B11+'Project Assumptions'!$D$15+'Project Assumptions'!$D$16-1='Detailed Cashflows'!AM$5,-'Economic Assumptions'!$J11,0)</f>
        <v/>
      </c>
      <c r="AN89" s="301">
        <f>IF('Economic Assumptions'!$B11+'Project Assumptions'!$D$15+'Project Assumptions'!$D$16-1='Detailed Cashflows'!AN$5,-'Economic Assumptions'!$J11,0)</f>
        <v/>
      </c>
      <c r="AO89" s="301">
        <f>IF('Economic Assumptions'!$B11+'Project Assumptions'!$D$15+'Project Assumptions'!$D$16-1='Detailed Cashflows'!AO$5,-'Economic Assumptions'!$J11,0)</f>
        <v/>
      </c>
      <c r="AP89" s="301">
        <f>IF('Economic Assumptions'!$B11+'Project Assumptions'!$D$15+'Project Assumptions'!$D$16-1='Detailed Cashflows'!AP$5,-'Economic Assumptions'!$J11,0)</f>
        <v/>
      </c>
      <c r="AQ89" s="301">
        <f>IF('Economic Assumptions'!$B11+'Project Assumptions'!$D$15+'Project Assumptions'!$D$16-1='Detailed Cashflows'!AQ$5,-'Economic Assumptions'!$J11,0)</f>
        <v/>
      </c>
      <c r="AR89" s="301">
        <f>IF('Economic Assumptions'!$B11+'Project Assumptions'!$D$15+'Project Assumptions'!$D$16-1='Detailed Cashflows'!AR$5,-'Economic Assumptions'!$J11,0)</f>
        <v/>
      </c>
      <c r="AS89" s="301">
        <f>IF('Economic Assumptions'!$B11+'Project Assumptions'!$D$15+'Project Assumptions'!$D$16-1='Detailed Cashflows'!AS$5,-'Economic Assumptions'!$J11,0)</f>
        <v/>
      </c>
      <c r="AT89" s="301">
        <f>IF('Economic Assumptions'!$B11+'Project Assumptions'!$D$15+'Project Assumptions'!$D$16-1='Detailed Cashflows'!AT$5,-'Economic Assumptions'!$J11,0)</f>
        <v/>
      </c>
      <c r="AU89" s="301">
        <f>IF('Economic Assumptions'!$B11+'Project Assumptions'!$D$15+'Project Assumptions'!$D$16-1='Detailed Cashflows'!AU$5,-'Economic Assumptions'!$J11,0)</f>
        <v/>
      </c>
      <c r="AV89" s="301">
        <f>IF('Economic Assumptions'!$B11+'Project Assumptions'!$D$15+'Project Assumptions'!$D$16-1='Detailed Cashflows'!AV$5,-'Economic Assumptions'!$J11,0)</f>
        <v/>
      </c>
      <c r="AW89" s="301">
        <f>IF('Economic Assumptions'!$B11+'Project Assumptions'!$D$15+'Project Assumptions'!$D$16-1='Detailed Cashflows'!AW$5,-'Economic Assumptions'!$J11,0)</f>
        <v/>
      </c>
      <c r="AX89" s="301">
        <f>IF('Economic Assumptions'!$B11+'Project Assumptions'!$D$15+'Project Assumptions'!$D$16-1='Detailed Cashflows'!AX$5,-'Economic Assumptions'!$J11,0)</f>
        <v/>
      </c>
      <c r="AY89" s="301">
        <f>IF('Economic Assumptions'!$B11+'Project Assumptions'!$D$15+'Project Assumptions'!$D$16-1='Detailed Cashflows'!AY$5,-'Economic Assumptions'!$J11,0)</f>
        <v/>
      </c>
      <c r="AZ89" s="301">
        <f>IF('Economic Assumptions'!$B11+'Project Assumptions'!$D$15+'Project Assumptions'!$D$16-1='Detailed Cashflows'!AZ$5,-'Economic Assumptions'!$J11,0)</f>
        <v/>
      </c>
      <c r="BA89" s="301">
        <f>IF('Economic Assumptions'!$B11+'Project Assumptions'!$D$15+'Project Assumptions'!$D$16-1='Detailed Cashflows'!BA$5,-'Economic Assumptions'!$J11,0)</f>
        <v/>
      </c>
      <c r="BB89" s="301">
        <f>IF('Economic Assumptions'!$B11+'Project Assumptions'!$D$15+'Project Assumptions'!$D$16-1='Detailed Cashflows'!BB$5,-'Economic Assumptions'!$J11,0)</f>
        <v/>
      </c>
      <c r="BC89" s="301">
        <f>IF('Economic Assumptions'!$B11+'Project Assumptions'!$D$15+'Project Assumptions'!$D$16-1='Detailed Cashflows'!BC$5,-'Economic Assumptions'!$J11,0)</f>
        <v/>
      </c>
      <c r="BD89" s="301">
        <f>IF('Economic Assumptions'!$B11+'Project Assumptions'!$D$15+'Project Assumptions'!$D$16-1='Detailed Cashflows'!BD$5,-'Economic Assumptions'!$J11,0)</f>
        <v/>
      </c>
      <c r="BE89" s="301">
        <f>IF('Economic Assumptions'!$B11+'Project Assumptions'!$D$15+'Project Assumptions'!$D$16-1='Detailed Cashflows'!BE$5,-'Economic Assumptions'!$J11,0)</f>
        <v/>
      </c>
      <c r="BF89" s="301">
        <f>IF('Economic Assumptions'!$B11+'Project Assumptions'!$D$15+'Project Assumptions'!$D$16-1='Detailed Cashflows'!BF$5,-'Economic Assumptions'!$J11,0)</f>
        <v/>
      </c>
      <c r="BG89" s="301">
        <f>IF('Economic Assumptions'!$B11+'Project Assumptions'!$D$15+'Project Assumptions'!$D$16-1='Detailed Cashflows'!BG$5,-'Economic Assumptions'!$J11,0)</f>
        <v/>
      </c>
      <c r="BH89" s="301">
        <f>IF('Economic Assumptions'!$B11+'Project Assumptions'!$D$15+'Project Assumptions'!$D$16-1='Detailed Cashflows'!BH$5,-'Economic Assumptions'!$J11,0)</f>
        <v/>
      </c>
      <c r="BI89" s="301">
        <f>IF('Economic Assumptions'!$B11+'Project Assumptions'!$D$15+'Project Assumptions'!$D$16-1='Detailed Cashflows'!BI$5,-'Economic Assumptions'!$J11,0)</f>
        <v/>
      </c>
      <c r="BJ89" s="301">
        <f>IF('Economic Assumptions'!$B11+'Project Assumptions'!$D$15+'Project Assumptions'!$D$16-1='Detailed Cashflows'!BJ$5,-'Economic Assumptions'!$J11,0)</f>
        <v/>
      </c>
      <c r="BK89" s="301">
        <f>IF('Economic Assumptions'!$B11+'Project Assumptions'!$D$15+'Project Assumptions'!$D$16-1='Detailed Cashflows'!BK$5,-'Economic Assumptions'!$J11,0)</f>
        <v/>
      </c>
      <c r="BL89" s="301">
        <f>IF('Economic Assumptions'!$B11+'Project Assumptions'!$D$15+'Project Assumptions'!$D$16-1='Detailed Cashflows'!BL$5,-'Economic Assumptions'!$J11,0)</f>
        <v/>
      </c>
      <c r="BM89" s="301">
        <f>IF('Economic Assumptions'!$B11+'Project Assumptions'!$D$15+'Project Assumptions'!$D$16-1='Detailed Cashflows'!BM$5,-'Economic Assumptions'!$J11,0)</f>
        <v/>
      </c>
      <c r="BN89" s="301">
        <f>IF('Economic Assumptions'!$B11+'Project Assumptions'!$D$15+'Project Assumptions'!$D$16-1='Detailed Cashflows'!BN$5,-'Economic Assumptions'!$J11,0)</f>
        <v/>
      </c>
      <c r="BO89" s="301">
        <f>IF('Economic Assumptions'!$B11+'Project Assumptions'!$D$15+'Project Assumptions'!$D$16-1='Detailed Cashflows'!BO$5,-'Economic Assumptions'!$J11,0)</f>
        <v/>
      </c>
      <c r="BP89" s="301">
        <f>IF('Economic Assumptions'!$B11+'Project Assumptions'!$D$15+'Project Assumptions'!$D$16-1='Detailed Cashflows'!BP$5,-'Economic Assumptions'!$J11,0)</f>
        <v/>
      </c>
      <c r="BQ89" s="301">
        <f>IF('Economic Assumptions'!$B11+'Project Assumptions'!$D$15+'Project Assumptions'!$D$16-1='Detailed Cashflows'!BQ$5,-'Economic Assumptions'!$J11,0)</f>
        <v/>
      </c>
      <c r="BR89" s="301">
        <f>IF('Economic Assumptions'!$B11+'Project Assumptions'!$D$15+'Project Assumptions'!$D$16-1='Detailed Cashflows'!BR$5,-'Economic Assumptions'!$J11,0)</f>
        <v/>
      </c>
      <c r="BS89" s="301">
        <f>IF('Economic Assumptions'!$B11+'Project Assumptions'!$D$15+'Project Assumptions'!$D$16-1='Detailed Cashflows'!BS$5,-'Economic Assumptions'!$J11,0)</f>
        <v/>
      </c>
      <c r="BT89" s="301">
        <f>IF('Economic Assumptions'!$B11+'Project Assumptions'!$D$15+'Project Assumptions'!$D$16-1='Detailed Cashflows'!BT$5,-'Economic Assumptions'!$J11,0)</f>
        <v/>
      </c>
      <c r="BU89" s="301">
        <f>IF('Economic Assumptions'!$B11+'Project Assumptions'!$D$15+'Project Assumptions'!$D$16-1='Detailed Cashflows'!BU$5,-'Economic Assumptions'!$J11,0)</f>
        <v/>
      </c>
      <c r="BV89" s="301">
        <f>IF('Economic Assumptions'!$B11+'Project Assumptions'!$D$15+'Project Assumptions'!$D$16-1='Detailed Cashflows'!BV$5,-'Economic Assumptions'!$J11,0)</f>
        <v/>
      </c>
      <c r="BW89" s="301">
        <f>IF('Economic Assumptions'!$B11+'Project Assumptions'!$D$15+'Project Assumptions'!$D$16-1='Detailed Cashflows'!BW$5,-'Economic Assumptions'!$J11,0)</f>
        <v/>
      </c>
      <c r="BX89" s="301">
        <f>IF('Economic Assumptions'!$B11+'Project Assumptions'!$D$15+'Project Assumptions'!$D$16-1='Detailed Cashflows'!BX$5,-'Economic Assumptions'!$J11,0)</f>
        <v/>
      </c>
      <c r="BY89" s="301">
        <f>IF('Economic Assumptions'!$B11+'Project Assumptions'!$D$15+'Project Assumptions'!$D$16-1='Detailed Cashflows'!BY$5,-'Economic Assumptions'!$J11,0)</f>
        <v/>
      </c>
      <c r="BZ89" s="301">
        <f>IF('Economic Assumptions'!$B11+'Project Assumptions'!$D$15+'Project Assumptions'!$D$16-1='Detailed Cashflows'!BZ$5,-'Economic Assumptions'!$J11,0)</f>
        <v/>
      </c>
      <c r="CA89" s="301">
        <f>IF('Economic Assumptions'!$B11+'Project Assumptions'!$D$15+'Project Assumptions'!$D$16-1='Detailed Cashflows'!CA$5,-'Economic Assumptions'!$J11,0)</f>
        <v/>
      </c>
      <c r="CB89" s="301">
        <f>IF('Economic Assumptions'!$B11+'Project Assumptions'!$D$15+'Project Assumptions'!$D$16-1='Detailed Cashflows'!CB$5,-'Economic Assumptions'!$J11,0)</f>
        <v/>
      </c>
      <c r="CC89" s="301">
        <f>IF('Economic Assumptions'!$B11+'Project Assumptions'!$D$15+'Project Assumptions'!$D$16-1='Detailed Cashflows'!CC$5,-'Economic Assumptions'!$J11,0)</f>
        <v/>
      </c>
      <c r="CD89" s="301">
        <f>IF('Economic Assumptions'!$B11+'Project Assumptions'!$D$15+'Project Assumptions'!$D$16-1='Detailed Cashflows'!CD$5,-'Economic Assumptions'!$J11,0)</f>
        <v/>
      </c>
      <c r="CE89" s="301">
        <f>IF('Economic Assumptions'!$B11+'Project Assumptions'!$D$15+'Project Assumptions'!$D$16-1='Detailed Cashflows'!CE$5,-'Economic Assumptions'!$J11,0)</f>
        <v/>
      </c>
      <c r="CF89" s="301">
        <f>IF('Economic Assumptions'!$B11+'Project Assumptions'!$D$15+'Project Assumptions'!$D$16-1='Detailed Cashflows'!CF$5,-'Economic Assumptions'!$J11,0)</f>
        <v/>
      </c>
      <c r="CG89" s="301">
        <f>IF('Economic Assumptions'!$B11+'Project Assumptions'!$D$15+'Project Assumptions'!$D$16-1='Detailed Cashflows'!CG$5,-'Economic Assumptions'!$J11,0)</f>
        <v/>
      </c>
      <c r="CH89" s="301">
        <f>IF('Economic Assumptions'!$B11+'Project Assumptions'!$D$15+'Project Assumptions'!$D$16-1='Detailed Cashflows'!CH$5,-'Economic Assumptions'!$J11,0)</f>
        <v/>
      </c>
      <c r="CI89" s="301">
        <f>IF('Economic Assumptions'!$B11+'Project Assumptions'!$D$15+'Project Assumptions'!$D$16-1='Detailed Cashflows'!CI$5,-'Economic Assumptions'!$J11,0)</f>
        <v/>
      </c>
      <c r="CJ89" s="301">
        <f>IF('Economic Assumptions'!$B11+'Project Assumptions'!$D$15+'Project Assumptions'!$D$16-1='Detailed Cashflows'!CJ$5,-'Economic Assumptions'!$J11,0)</f>
        <v/>
      </c>
      <c r="CK89" s="301">
        <f>IF('Economic Assumptions'!$B11+'Project Assumptions'!$D$15+'Project Assumptions'!$D$16-1='Detailed Cashflows'!CK$5,-'Economic Assumptions'!$J11,0)</f>
        <v/>
      </c>
      <c r="CL89" s="301">
        <f>IF('Economic Assumptions'!$B11+'Project Assumptions'!$D$15+'Project Assumptions'!$D$16-1='Detailed Cashflows'!CL$5,-'Economic Assumptions'!$J11,0)</f>
        <v/>
      </c>
      <c r="CM89" s="301">
        <f>IF('Economic Assumptions'!$B11+'Project Assumptions'!$D$15+'Project Assumptions'!$D$16-1='Detailed Cashflows'!CM$5,-'Economic Assumptions'!$J11,0)</f>
        <v/>
      </c>
      <c r="CN89" s="301">
        <f>IF('Economic Assumptions'!$B11+'Project Assumptions'!$D$15+'Project Assumptions'!$D$16-1='Detailed Cashflows'!CN$5,-'Economic Assumptions'!$J11,0)</f>
        <v/>
      </c>
      <c r="CO89" s="301">
        <f>IF('Economic Assumptions'!$B11+'Project Assumptions'!$D$15+'Project Assumptions'!$D$16-1='Detailed Cashflows'!CO$5,-'Economic Assumptions'!$J11,0)</f>
        <v/>
      </c>
      <c r="CP89" s="301">
        <f>IF('Economic Assumptions'!$B11+'Project Assumptions'!$D$15+'Project Assumptions'!$D$16-1='Detailed Cashflows'!CP$5,-'Economic Assumptions'!$J11,0)</f>
        <v/>
      </c>
      <c r="CQ89" s="301">
        <f>IF('Economic Assumptions'!$B11+'Project Assumptions'!$D$15+'Project Assumptions'!$D$16-1='Detailed Cashflows'!CQ$5,-'Economic Assumptions'!$J11,0)</f>
        <v/>
      </c>
      <c r="CR89" s="301">
        <f>IF('Economic Assumptions'!$B11+'Project Assumptions'!$D$15+'Project Assumptions'!$D$16-1='Detailed Cashflows'!CR$5,-'Economic Assumptions'!$J11,0)</f>
        <v/>
      </c>
      <c r="CS89" s="301">
        <f>IF('Economic Assumptions'!$B11+'Project Assumptions'!$D$15+'Project Assumptions'!$D$16-1='Detailed Cashflows'!CS$5,-'Economic Assumptions'!$J11,0)</f>
        <v/>
      </c>
      <c r="CT89" s="301">
        <f>IF('Economic Assumptions'!$B11+'Project Assumptions'!$D$15+'Project Assumptions'!$D$16-1='Detailed Cashflows'!CT$5,-'Economic Assumptions'!$J11,0)</f>
        <v/>
      </c>
      <c r="CU89" s="301">
        <f>IF('Economic Assumptions'!$B11+'Project Assumptions'!$D$15+'Project Assumptions'!$D$16-1='Detailed Cashflows'!CU$5,-'Economic Assumptions'!$J11,0)</f>
        <v/>
      </c>
      <c r="CV89" s="301">
        <f>IF('Economic Assumptions'!$B11+'Project Assumptions'!$D$15+'Project Assumptions'!$D$16-1='Detailed Cashflows'!CV$5,-'Economic Assumptions'!$J11,0)</f>
        <v/>
      </c>
      <c r="CW89" s="301">
        <f>IF('Economic Assumptions'!$B11+'Project Assumptions'!$D$15+'Project Assumptions'!$D$16-1='Detailed Cashflows'!CW$5,-'Economic Assumptions'!$J11,0)</f>
        <v/>
      </c>
      <c r="CX89" s="301">
        <f>IF('Economic Assumptions'!$B11+'Project Assumptions'!$D$15+'Project Assumptions'!$D$16-1='Detailed Cashflows'!CX$5,-'Economic Assumptions'!$J11,0)</f>
        <v/>
      </c>
      <c r="CY89" s="301">
        <f>IF('Economic Assumptions'!$B11+'Project Assumptions'!$D$15+'Project Assumptions'!$D$16-1='Detailed Cashflows'!CY$5,-'Economic Assumptions'!$J11,0)</f>
        <v/>
      </c>
      <c r="CZ89" s="301">
        <f>IF('Economic Assumptions'!$B11+'Project Assumptions'!$D$15+'Project Assumptions'!$D$16-1='Detailed Cashflows'!CZ$5,-'Economic Assumptions'!$J11,0)</f>
        <v/>
      </c>
      <c r="DA89" s="301">
        <f>IF('Economic Assumptions'!$B11+'Project Assumptions'!$D$15+'Project Assumptions'!$D$16-1='Detailed Cashflows'!DA$5,-'Economic Assumptions'!$J11,0)</f>
        <v/>
      </c>
      <c r="DB89" s="301">
        <f>IF('Economic Assumptions'!$B11+'Project Assumptions'!$D$15+'Project Assumptions'!$D$16-1='Detailed Cashflows'!DB$5,-'Economic Assumptions'!$J11,0)</f>
        <v/>
      </c>
      <c r="DC89" s="301" t="n"/>
      <c r="DD89" s="299">
        <f>SUM(F89:DB89)</f>
        <v/>
      </c>
    </row>
    <row r="90" hidden="1" outlineLevel="1">
      <c r="A90" s="1000" t="n"/>
      <c r="B90" s="303">
        <f>'Economic Assumptions'!$A$12</f>
        <v/>
      </c>
      <c r="C90" s="294" t="n"/>
      <c r="D90" s="299">
        <f>DD90</f>
        <v/>
      </c>
      <c r="E90" s="300" t="n"/>
      <c r="F90" s="301">
        <f>IF('Economic Assumptions'!$B12+'Project Assumptions'!$D$15+'Project Assumptions'!$D$16-1='Detailed Cashflows'!F$5,-'Economic Assumptions'!$J12,0)</f>
        <v/>
      </c>
      <c r="G90" s="301">
        <f>IF('Economic Assumptions'!$B12+'Project Assumptions'!$D$15+'Project Assumptions'!$D$16-1='Detailed Cashflows'!G$5,-'Economic Assumptions'!$J12,0)</f>
        <v/>
      </c>
      <c r="H90" s="301">
        <f>IF('Economic Assumptions'!$B12+'Project Assumptions'!$D$15+'Project Assumptions'!$D$16-1='Detailed Cashflows'!H$5,-'Economic Assumptions'!$J12,0)</f>
        <v/>
      </c>
      <c r="I90" s="301">
        <f>IF('Economic Assumptions'!$B12+'Project Assumptions'!$D$15+'Project Assumptions'!$D$16-1='Detailed Cashflows'!I$5,-'Economic Assumptions'!$J12,0)</f>
        <v/>
      </c>
      <c r="J90" s="301">
        <f>IF('Economic Assumptions'!$B12+'Project Assumptions'!$D$15+'Project Assumptions'!$D$16-1='Detailed Cashflows'!J$5,-'Economic Assumptions'!$J12,0)</f>
        <v/>
      </c>
      <c r="K90" s="301">
        <f>IF('Economic Assumptions'!$B12+'Project Assumptions'!$D$15+'Project Assumptions'!$D$16-1='Detailed Cashflows'!K$5,-'Economic Assumptions'!$J12,0)</f>
        <v/>
      </c>
      <c r="L90" s="301">
        <f>IF('Economic Assumptions'!$B12+'Project Assumptions'!$D$15+'Project Assumptions'!$D$16-1='Detailed Cashflows'!L$5,-'Economic Assumptions'!$J12,0)</f>
        <v/>
      </c>
      <c r="M90" s="301">
        <f>IF('Economic Assumptions'!$B12+'Project Assumptions'!$D$15+'Project Assumptions'!$D$16-1='Detailed Cashflows'!M$5,-'Economic Assumptions'!$J12,0)</f>
        <v/>
      </c>
      <c r="N90" s="301">
        <f>IF('Economic Assumptions'!$B12+'Project Assumptions'!$D$15+'Project Assumptions'!$D$16-1='Detailed Cashflows'!N$5,-'Economic Assumptions'!$J12,0)</f>
        <v/>
      </c>
      <c r="O90" s="301">
        <f>IF('Economic Assumptions'!$B12+'Project Assumptions'!$D$15+'Project Assumptions'!$D$16-1='Detailed Cashflows'!O$5,-'Economic Assumptions'!$J12,0)</f>
        <v/>
      </c>
      <c r="P90" s="301">
        <f>IF('Economic Assumptions'!$B12+'Project Assumptions'!$D$15+'Project Assumptions'!$D$16-1='Detailed Cashflows'!P$5,-'Economic Assumptions'!$J12,0)</f>
        <v/>
      </c>
      <c r="Q90" s="301">
        <f>IF('Economic Assumptions'!$B12+'Project Assumptions'!$D$15+'Project Assumptions'!$D$16-1='Detailed Cashflows'!Q$5,-'Economic Assumptions'!$J12,0)</f>
        <v/>
      </c>
      <c r="R90" s="301">
        <f>IF('Economic Assumptions'!$B12+'Project Assumptions'!$D$15+'Project Assumptions'!$D$16-1='Detailed Cashflows'!R$5,-'Economic Assumptions'!$J12,0)</f>
        <v/>
      </c>
      <c r="S90" s="301">
        <f>IF('Economic Assumptions'!$B12+'Project Assumptions'!$D$15+'Project Assumptions'!$D$16-1='Detailed Cashflows'!S$5,-'Economic Assumptions'!$J12,0)</f>
        <v/>
      </c>
      <c r="T90" s="301">
        <f>IF('Economic Assumptions'!$B12+'Project Assumptions'!$D$15+'Project Assumptions'!$D$16-1='Detailed Cashflows'!T$5,-'Economic Assumptions'!$J12,0)</f>
        <v/>
      </c>
      <c r="U90" s="301">
        <f>IF('Economic Assumptions'!$B12+'Project Assumptions'!$D$15+'Project Assumptions'!$D$16-1='Detailed Cashflows'!U$5,-'Economic Assumptions'!$J12,0)</f>
        <v/>
      </c>
      <c r="V90" s="301">
        <f>IF('Economic Assumptions'!$B12+'Project Assumptions'!$D$15+'Project Assumptions'!$D$16-1='Detailed Cashflows'!V$5,-'Economic Assumptions'!$J12,0)</f>
        <v/>
      </c>
      <c r="W90" s="301">
        <f>IF('Economic Assumptions'!$B12+'Project Assumptions'!$D$15+'Project Assumptions'!$D$16-1='Detailed Cashflows'!W$5,-'Economic Assumptions'!$J12,0)</f>
        <v/>
      </c>
      <c r="X90" s="301">
        <f>IF('Economic Assumptions'!$B12+'Project Assumptions'!$D$15+'Project Assumptions'!$D$16-1='Detailed Cashflows'!X$5,-'Economic Assumptions'!$J12,0)</f>
        <v/>
      </c>
      <c r="Y90" s="301">
        <f>IF('Economic Assumptions'!$B12+'Project Assumptions'!$D$15+'Project Assumptions'!$D$16-1='Detailed Cashflows'!Y$5,-'Economic Assumptions'!$J12,0)</f>
        <v/>
      </c>
      <c r="Z90" s="301">
        <f>IF('Economic Assumptions'!$B12+'Project Assumptions'!$D$15+'Project Assumptions'!$D$16-1='Detailed Cashflows'!Z$5,-'Economic Assumptions'!$J12,0)</f>
        <v/>
      </c>
      <c r="AA90" s="301">
        <f>IF('Economic Assumptions'!$B12+'Project Assumptions'!$D$15+'Project Assumptions'!$D$16-1='Detailed Cashflows'!AA$5,-'Economic Assumptions'!$J12,0)</f>
        <v/>
      </c>
      <c r="AB90" s="301">
        <f>IF('Economic Assumptions'!$B12+'Project Assumptions'!$D$15+'Project Assumptions'!$D$16-1='Detailed Cashflows'!AB$5,-'Economic Assumptions'!$J12,0)</f>
        <v/>
      </c>
      <c r="AC90" s="301">
        <f>IF('Economic Assumptions'!$B12+'Project Assumptions'!$D$15+'Project Assumptions'!$D$16-1='Detailed Cashflows'!AC$5,-'Economic Assumptions'!$J12,0)</f>
        <v/>
      </c>
      <c r="AD90" s="301">
        <f>IF('Economic Assumptions'!$B12+'Project Assumptions'!$D$15+'Project Assumptions'!$D$16-1='Detailed Cashflows'!AD$5,-'Economic Assumptions'!$J12,0)</f>
        <v/>
      </c>
      <c r="AE90" s="301">
        <f>IF('Economic Assumptions'!$B12+'Project Assumptions'!$D$15+'Project Assumptions'!$D$16-1='Detailed Cashflows'!AE$5,-'Economic Assumptions'!$J12,0)</f>
        <v/>
      </c>
      <c r="AF90" s="301">
        <f>IF('Economic Assumptions'!$B12+'Project Assumptions'!$D$15+'Project Assumptions'!$D$16-1='Detailed Cashflows'!AF$5,-'Economic Assumptions'!$J12,0)</f>
        <v/>
      </c>
      <c r="AG90" s="301">
        <f>IF('Economic Assumptions'!$B12+'Project Assumptions'!$D$15+'Project Assumptions'!$D$16-1='Detailed Cashflows'!AG$5,-'Economic Assumptions'!$J12,0)</f>
        <v/>
      </c>
      <c r="AH90" s="301">
        <f>IF('Economic Assumptions'!$B12+'Project Assumptions'!$D$15+'Project Assumptions'!$D$16-1='Detailed Cashflows'!AH$5,-'Economic Assumptions'!$J12,0)</f>
        <v/>
      </c>
      <c r="AI90" s="301">
        <f>IF('Economic Assumptions'!$B12+'Project Assumptions'!$D$15+'Project Assumptions'!$D$16-1='Detailed Cashflows'!AI$5,-'Economic Assumptions'!$J12,0)</f>
        <v/>
      </c>
      <c r="AJ90" s="301">
        <f>IF('Economic Assumptions'!$B12+'Project Assumptions'!$D$15+'Project Assumptions'!$D$16-1='Detailed Cashflows'!AJ$5,-'Economic Assumptions'!$J12,0)</f>
        <v/>
      </c>
      <c r="AK90" s="301">
        <f>IF('Economic Assumptions'!$B12+'Project Assumptions'!$D$15+'Project Assumptions'!$D$16-1='Detailed Cashflows'!AK$5,-'Economic Assumptions'!$J12,0)</f>
        <v/>
      </c>
      <c r="AL90" s="301">
        <f>IF('Economic Assumptions'!$B12+'Project Assumptions'!$D$15+'Project Assumptions'!$D$16-1='Detailed Cashflows'!AL$5,-'Economic Assumptions'!$J12,0)</f>
        <v/>
      </c>
      <c r="AM90" s="301">
        <f>IF('Economic Assumptions'!$B12+'Project Assumptions'!$D$15+'Project Assumptions'!$D$16-1='Detailed Cashflows'!AM$5,-'Economic Assumptions'!$J12,0)</f>
        <v/>
      </c>
      <c r="AN90" s="301">
        <f>IF('Economic Assumptions'!$B12+'Project Assumptions'!$D$15+'Project Assumptions'!$D$16-1='Detailed Cashflows'!AN$5,-'Economic Assumptions'!$J12,0)</f>
        <v/>
      </c>
      <c r="AO90" s="301">
        <f>IF('Economic Assumptions'!$B12+'Project Assumptions'!$D$15+'Project Assumptions'!$D$16-1='Detailed Cashflows'!AO$5,-'Economic Assumptions'!$J12,0)</f>
        <v/>
      </c>
      <c r="AP90" s="301">
        <f>IF('Economic Assumptions'!$B12+'Project Assumptions'!$D$15+'Project Assumptions'!$D$16-1='Detailed Cashflows'!AP$5,-'Economic Assumptions'!$J12,0)</f>
        <v/>
      </c>
      <c r="AQ90" s="301">
        <f>IF('Economic Assumptions'!$B12+'Project Assumptions'!$D$15+'Project Assumptions'!$D$16-1='Detailed Cashflows'!AQ$5,-'Economic Assumptions'!$J12,0)</f>
        <v/>
      </c>
      <c r="AR90" s="301">
        <f>IF('Economic Assumptions'!$B12+'Project Assumptions'!$D$15+'Project Assumptions'!$D$16-1='Detailed Cashflows'!AR$5,-'Economic Assumptions'!$J12,0)</f>
        <v/>
      </c>
      <c r="AS90" s="301">
        <f>IF('Economic Assumptions'!$B12+'Project Assumptions'!$D$15+'Project Assumptions'!$D$16-1='Detailed Cashflows'!AS$5,-'Economic Assumptions'!$J12,0)</f>
        <v/>
      </c>
      <c r="AT90" s="301">
        <f>IF('Economic Assumptions'!$B12+'Project Assumptions'!$D$15+'Project Assumptions'!$D$16-1='Detailed Cashflows'!AT$5,-'Economic Assumptions'!$J12,0)</f>
        <v/>
      </c>
      <c r="AU90" s="301">
        <f>IF('Economic Assumptions'!$B12+'Project Assumptions'!$D$15+'Project Assumptions'!$D$16-1='Detailed Cashflows'!AU$5,-'Economic Assumptions'!$J12,0)</f>
        <v/>
      </c>
      <c r="AV90" s="301">
        <f>IF('Economic Assumptions'!$B12+'Project Assumptions'!$D$15+'Project Assumptions'!$D$16-1='Detailed Cashflows'!AV$5,-'Economic Assumptions'!$J12,0)</f>
        <v/>
      </c>
      <c r="AW90" s="301">
        <f>IF('Economic Assumptions'!$B12+'Project Assumptions'!$D$15+'Project Assumptions'!$D$16-1='Detailed Cashflows'!AW$5,-'Economic Assumptions'!$J12,0)</f>
        <v/>
      </c>
      <c r="AX90" s="301">
        <f>IF('Economic Assumptions'!$B12+'Project Assumptions'!$D$15+'Project Assumptions'!$D$16-1='Detailed Cashflows'!AX$5,-'Economic Assumptions'!$J12,0)</f>
        <v/>
      </c>
      <c r="AY90" s="301">
        <f>IF('Economic Assumptions'!$B12+'Project Assumptions'!$D$15+'Project Assumptions'!$D$16-1='Detailed Cashflows'!AY$5,-'Economic Assumptions'!$J12,0)</f>
        <v/>
      </c>
      <c r="AZ90" s="301">
        <f>IF('Economic Assumptions'!$B12+'Project Assumptions'!$D$15+'Project Assumptions'!$D$16-1='Detailed Cashflows'!AZ$5,-'Economic Assumptions'!$J12,0)</f>
        <v/>
      </c>
      <c r="BA90" s="301">
        <f>IF('Economic Assumptions'!$B12+'Project Assumptions'!$D$15+'Project Assumptions'!$D$16-1='Detailed Cashflows'!BA$5,-'Economic Assumptions'!$J12,0)</f>
        <v/>
      </c>
      <c r="BB90" s="301">
        <f>IF('Economic Assumptions'!$B12+'Project Assumptions'!$D$15+'Project Assumptions'!$D$16-1='Detailed Cashflows'!BB$5,-'Economic Assumptions'!$J12,0)</f>
        <v/>
      </c>
      <c r="BC90" s="301">
        <f>IF('Economic Assumptions'!$B12+'Project Assumptions'!$D$15+'Project Assumptions'!$D$16-1='Detailed Cashflows'!BC$5,-'Economic Assumptions'!$J12,0)</f>
        <v/>
      </c>
      <c r="BD90" s="301">
        <f>IF('Economic Assumptions'!$B12+'Project Assumptions'!$D$15+'Project Assumptions'!$D$16-1='Detailed Cashflows'!BD$5,-'Economic Assumptions'!$J12,0)</f>
        <v/>
      </c>
      <c r="BE90" s="301">
        <f>IF('Economic Assumptions'!$B12+'Project Assumptions'!$D$15+'Project Assumptions'!$D$16-1='Detailed Cashflows'!BE$5,-'Economic Assumptions'!$J12,0)</f>
        <v/>
      </c>
      <c r="BF90" s="301">
        <f>IF('Economic Assumptions'!$B12+'Project Assumptions'!$D$15+'Project Assumptions'!$D$16-1='Detailed Cashflows'!BF$5,-'Economic Assumptions'!$J12,0)</f>
        <v/>
      </c>
      <c r="BG90" s="301">
        <f>IF('Economic Assumptions'!$B12+'Project Assumptions'!$D$15+'Project Assumptions'!$D$16-1='Detailed Cashflows'!BG$5,-'Economic Assumptions'!$J12,0)</f>
        <v/>
      </c>
      <c r="BH90" s="301">
        <f>IF('Economic Assumptions'!$B12+'Project Assumptions'!$D$15+'Project Assumptions'!$D$16-1='Detailed Cashflows'!BH$5,-'Economic Assumptions'!$J12,0)</f>
        <v/>
      </c>
      <c r="BI90" s="301">
        <f>IF('Economic Assumptions'!$B12+'Project Assumptions'!$D$15+'Project Assumptions'!$D$16-1='Detailed Cashflows'!BI$5,-'Economic Assumptions'!$J12,0)</f>
        <v/>
      </c>
      <c r="BJ90" s="301">
        <f>IF('Economic Assumptions'!$B12+'Project Assumptions'!$D$15+'Project Assumptions'!$D$16-1='Detailed Cashflows'!BJ$5,-'Economic Assumptions'!$J12,0)</f>
        <v/>
      </c>
      <c r="BK90" s="301">
        <f>IF('Economic Assumptions'!$B12+'Project Assumptions'!$D$15+'Project Assumptions'!$D$16-1='Detailed Cashflows'!BK$5,-'Economic Assumptions'!$J12,0)</f>
        <v/>
      </c>
      <c r="BL90" s="301">
        <f>IF('Economic Assumptions'!$B12+'Project Assumptions'!$D$15+'Project Assumptions'!$D$16-1='Detailed Cashflows'!BL$5,-'Economic Assumptions'!$J12,0)</f>
        <v/>
      </c>
      <c r="BM90" s="301">
        <f>IF('Economic Assumptions'!$B12+'Project Assumptions'!$D$15+'Project Assumptions'!$D$16-1='Detailed Cashflows'!BM$5,-'Economic Assumptions'!$J12,0)</f>
        <v/>
      </c>
      <c r="BN90" s="301">
        <f>IF('Economic Assumptions'!$B12+'Project Assumptions'!$D$15+'Project Assumptions'!$D$16-1='Detailed Cashflows'!BN$5,-'Economic Assumptions'!$J12,0)</f>
        <v/>
      </c>
      <c r="BO90" s="301">
        <f>IF('Economic Assumptions'!$B12+'Project Assumptions'!$D$15+'Project Assumptions'!$D$16-1='Detailed Cashflows'!BO$5,-'Economic Assumptions'!$J12,0)</f>
        <v/>
      </c>
      <c r="BP90" s="301">
        <f>IF('Economic Assumptions'!$B12+'Project Assumptions'!$D$15+'Project Assumptions'!$D$16-1='Detailed Cashflows'!BP$5,-'Economic Assumptions'!$J12,0)</f>
        <v/>
      </c>
      <c r="BQ90" s="301">
        <f>IF('Economic Assumptions'!$B12+'Project Assumptions'!$D$15+'Project Assumptions'!$D$16-1='Detailed Cashflows'!BQ$5,-'Economic Assumptions'!$J12,0)</f>
        <v/>
      </c>
      <c r="BR90" s="301">
        <f>IF('Economic Assumptions'!$B12+'Project Assumptions'!$D$15+'Project Assumptions'!$D$16-1='Detailed Cashflows'!BR$5,-'Economic Assumptions'!$J12,0)</f>
        <v/>
      </c>
      <c r="BS90" s="301">
        <f>IF('Economic Assumptions'!$B12+'Project Assumptions'!$D$15+'Project Assumptions'!$D$16-1='Detailed Cashflows'!BS$5,-'Economic Assumptions'!$J12,0)</f>
        <v/>
      </c>
      <c r="BT90" s="301">
        <f>IF('Economic Assumptions'!$B12+'Project Assumptions'!$D$15+'Project Assumptions'!$D$16-1='Detailed Cashflows'!BT$5,-'Economic Assumptions'!$J12,0)</f>
        <v/>
      </c>
      <c r="BU90" s="301">
        <f>IF('Economic Assumptions'!$B12+'Project Assumptions'!$D$15+'Project Assumptions'!$D$16-1='Detailed Cashflows'!BU$5,-'Economic Assumptions'!$J12,0)</f>
        <v/>
      </c>
      <c r="BV90" s="301">
        <f>IF('Economic Assumptions'!$B12+'Project Assumptions'!$D$15+'Project Assumptions'!$D$16-1='Detailed Cashflows'!BV$5,-'Economic Assumptions'!$J12,0)</f>
        <v/>
      </c>
      <c r="BW90" s="301">
        <f>IF('Economic Assumptions'!$B12+'Project Assumptions'!$D$15+'Project Assumptions'!$D$16-1='Detailed Cashflows'!BW$5,-'Economic Assumptions'!$J12,0)</f>
        <v/>
      </c>
      <c r="BX90" s="301">
        <f>IF('Economic Assumptions'!$B12+'Project Assumptions'!$D$15+'Project Assumptions'!$D$16-1='Detailed Cashflows'!BX$5,-'Economic Assumptions'!$J12,0)</f>
        <v/>
      </c>
      <c r="BY90" s="301">
        <f>IF('Economic Assumptions'!$B12+'Project Assumptions'!$D$15+'Project Assumptions'!$D$16-1='Detailed Cashflows'!BY$5,-'Economic Assumptions'!$J12,0)</f>
        <v/>
      </c>
      <c r="BZ90" s="301">
        <f>IF('Economic Assumptions'!$B12+'Project Assumptions'!$D$15+'Project Assumptions'!$D$16-1='Detailed Cashflows'!BZ$5,-'Economic Assumptions'!$J12,0)</f>
        <v/>
      </c>
      <c r="CA90" s="301">
        <f>IF('Economic Assumptions'!$B12+'Project Assumptions'!$D$15+'Project Assumptions'!$D$16-1='Detailed Cashflows'!CA$5,-'Economic Assumptions'!$J12,0)</f>
        <v/>
      </c>
      <c r="CB90" s="301">
        <f>IF('Economic Assumptions'!$B12+'Project Assumptions'!$D$15+'Project Assumptions'!$D$16-1='Detailed Cashflows'!CB$5,-'Economic Assumptions'!$J12,0)</f>
        <v/>
      </c>
      <c r="CC90" s="301">
        <f>IF('Economic Assumptions'!$B12+'Project Assumptions'!$D$15+'Project Assumptions'!$D$16-1='Detailed Cashflows'!CC$5,-'Economic Assumptions'!$J12,0)</f>
        <v/>
      </c>
      <c r="CD90" s="301">
        <f>IF('Economic Assumptions'!$B12+'Project Assumptions'!$D$15+'Project Assumptions'!$D$16-1='Detailed Cashflows'!CD$5,-'Economic Assumptions'!$J12,0)</f>
        <v/>
      </c>
      <c r="CE90" s="301">
        <f>IF('Economic Assumptions'!$B12+'Project Assumptions'!$D$15+'Project Assumptions'!$D$16-1='Detailed Cashflows'!CE$5,-'Economic Assumptions'!$J12,0)</f>
        <v/>
      </c>
      <c r="CF90" s="301">
        <f>IF('Economic Assumptions'!$B12+'Project Assumptions'!$D$15+'Project Assumptions'!$D$16-1='Detailed Cashflows'!CF$5,-'Economic Assumptions'!$J12,0)</f>
        <v/>
      </c>
      <c r="CG90" s="301">
        <f>IF('Economic Assumptions'!$B12+'Project Assumptions'!$D$15+'Project Assumptions'!$D$16-1='Detailed Cashflows'!CG$5,-'Economic Assumptions'!$J12,0)</f>
        <v/>
      </c>
      <c r="CH90" s="301">
        <f>IF('Economic Assumptions'!$B12+'Project Assumptions'!$D$15+'Project Assumptions'!$D$16-1='Detailed Cashflows'!CH$5,-'Economic Assumptions'!$J12,0)</f>
        <v/>
      </c>
      <c r="CI90" s="301">
        <f>IF('Economic Assumptions'!$B12+'Project Assumptions'!$D$15+'Project Assumptions'!$D$16-1='Detailed Cashflows'!CI$5,-'Economic Assumptions'!$J12,0)</f>
        <v/>
      </c>
      <c r="CJ90" s="301">
        <f>IF('Economic Assumptions'!$B12+'Project Assumptions'!$D$15+'Project Assumptions'!$D$16-1='Detailed Cashflows'!CJ$5,-'Economic Assumptions'!$J12,0)</f>
        <v/>
      </c>
      <c r="CK90" s="301">
        <f>IF('Economic Assumptions'!$B12+'Project Assumptions'!$D$15+'Project Assumptions'!$D$16-1='Detailed Cashflows'!CK$5,-'Economic Assumptions'!$J12,0)</f>
        <v/>
      </c>
      <c r="CL90" s="301">
        <f>IF('Economic Assumptions'!$B12+'Project Assumptions'!$D$15+'Project Assumptions'!$D$16-1='Detailed Cashflows'!CL$5,-'Economic Assumptions'!$J12,0)</f>
        <v/>
      </c>
      <c r="CM90" s="301">
        <f>IF('Economic Assumptions'!$B12+'Project Assumptions'!$D$15+'Project Assumptions'!$D$16-1='Detailed Cashflows'!CM$5,-'Economic Assumptions'!$J12,0)</f>
        <v/>
      </c>
      <c r="CN90" s="301">
        <f>IF('Economic Assumptions'!$B12+'Project Assumptions'!$D$15+'Project Assumptions'!$D$16-1='Detailed Cashflows'!CN$5,-'Economic Assumptions'!$J12,0)</f>
        <v/>
      </c>
      <c r="CO90" s="301">
        <f>IF('Economic Assumptions'!$B12+'Project Assumptions'!$D$15+'Project Assumptions'!$D$16-1='Detailed Cashflows'!CO$5,-'Economic Assumptions'!$J12,0)</f>
        <v/>
      </c>
      <c r="CP90" s="301">
        <f>IF('Economic Assumptions'!$B12+'Project Assumptions'!$D$15+'Project Assumptions'!$D$16-1='Detailed Cashflows'!CP$5,-'Economic Assumptions'!$J12,0)</f>
        <v/>
      </c>
      <c r="CQ90" s="301">
        <f>IF('Economic Assumptions'!$B12+'Project Assumptions'!$D$15+'Project Assumptions'!$D$16-1='Detailed Cashflows'!CQ$5,-'Economic Assumptions'!$J12,0)</f>
        <v/>
      </c>
      <c r="CR90" s="301">
        <f>IF('Economic Assumptions'!$B12+'Project Assumptions'!$D$15+'Project Assumptions'!$D$16-1='Detailed Cashflows'!CR$5,-'Economic Assumptions'!$J12,0)</f>
        <v/>
      </c>
      <c r="CS90" s="301">
        <f>IF('Economic Assumptions'!$B12+'Project Assumptions'!$D$15+'Project Assumptions'!$D$16-1='Detailed Cashflows'!CS$5,-'Economic Assumptions'!$J12,0)</f>
        <v/>
      </c>
      <c r="CT90" s="301">
        <f>IF('Economic Assumptions'!$B12+'Project Assumptions'!$D$15+'Project Assumptions'!$D$16-1='Detailed Cashflows'!CT$5,-'Economic Assumptions'!$J12,0)</f>
        <v/>
      </c>
      <c r="CU90" s="301">
        <f>IF('Economic Assumptions'!$B12+'Project Assumptions'!$D$15+'Project Assumptions'!$D$16-1='Detailed Cashflows'!CU$5,-'Economic Assumptions'!$J12,0)</f>
        <v/>
      </c>
      <c r="CV90" s="301">
        <f>IF('Economic Assumptions'!$B12+'Project Assumptions'!$D$15+'Project Assumptions'!$D$16-1='Detailed Cashflows'!CV$5,-'Economic Assumptions'!$J12,0)</f>
        <v/>
      </c>
      <c r="CW90" s="301">
        <f>IF('Economic Assumptions'!$B12+'Project Assumptions'!$D$15+'Project Assumptions'!$D$16-1='Detailed Cashflows'!CW$5,-'Economic Assumptions'!$J12,0)</f>
        <v/>
      </c>
      <c r="CX90" s="301">
        <f>IF('Economic Assumptions'!$B12+'Project Assumptions'!$D$15+'Project Assumptions'!$D$16-1='Detailed Cashflows'!CX$5,-'Economic Assumptions'!$J12,0)</f>
        <v/>
      </c>
      <c r="CY90" s="301">
        <f>IF('Economic Assumptions'!$B12+'Project Assumptions'!$D$15+'Project Assumptions'!$D$16-1='Detailed Cashflows'!CY$5,-'Economic Assumptions'!$J12,0)</f>
        <v/>
      </c>
      <c r="CZ90" s="301">
        <f>IF('Economic Assumptions'!$B12+'Project Assumptions'!$D$15+'Project Assumptions'!$D$16-1='Detailed Cashflows'!CZ$5,-'Economic Assumptions'!$J12,0)</f>
        <v/>
      </c>
      <c r="DA90" s="301">
        <f>IF('Economic Assumptions'!$B12+'Project Assumptions'!$D$15+'Project Assumptions'!$D$16-1='Detailed Cashflows'!DA$5,-'Economic Assumptions'!$J12,0)</f>
        <v/>
      </c>
      <c r="DB90" s="301">
        <f>IF('Economic Assumptions'!$B12+'Project Assumptions'!$D$15+'Project Assumptions'!$D$16-1='Detailed Cashflows'!DB$5,-'Economic Assumptions'!$J12,0)</f>
        <v/>
      </c>
      <c r="DC90" s="301" t="n"/>
      <c r="DD90" s="299">
        <f>SUM(F90:DB90)</f>
        <v/>
      </c>
    </row>
    <row r="91" hidden="1" outlineLevel="1">
      <c r="A91" s="1000" t="n"/>
      <c r="B91" s="303">
        <f>'Economic Assumptions'!$A$13</f>
        <v/>
      </c>
      <c r="C91" s="294" t="n"/>
      <c r="D91" s="299">
        <f>DD91</f>
        <v/>
      </c>
      <c r="E91" s="300" t="n"/>
      <c r="F91" s="301">
        <f>IF('Economic Assumptions'!$B13+'Project Assumptions'!$D$15+'Project Assumptions'!$D$16-1='Detailed Cashflows'!F$5,-'Economic Assumptions'!$J13,0)</f>
        <v/>
      </c>
      <c r="G91" s="301">
        <f>IF('Economic Assumptions'!$B13+'Project Assumptions'!$D$15+'Project Assumptions'!$D$16-1='Detailed Cashflows'!G$5,-'Economic Assumptions'!$J13,0)</f>
        <v/>
      </c>
      <c r="H91" s="301">
        <f>IF('Economic Assumptions'!$B13+'Project Assumptions'!$D$15+'Project Assumptions'!$D$16-1='Detailed Cashflows'!H$5,-'Economic Assumptions'!$J13,0)</f>
        <v/>
      </c>
      <c r="I91" s="301">
        <f>IF('Economic Assumptions'!$B13+'Project Assumptions'!$D$15+'Project Assumptions'!$D$16-1='Detailed Cashflows'!I$5,-'Economic Assumptions'!$J13,0)</f>
        <v/>
      </c>
      <c r="J91" s="301">
        <f>IF('Economic Assumptions'!$B13+'Project Assumptions'!$D$15+'Project Assumptions'!$D$16-1='Detailed Cashflows'!J$5,-'Economic Assumptions'!$J13,0)</f>
        <v/>
      </c>
      <c r="K91" s="301">
        <f>IF('Economic Assumptions'!$B13+'Project Assumptions'!$D$15+'Project Assumptions'!$D$16-1='Detailed Cashflows'!K$5,-'Economic Assumptions'!$J13,0)</f>
        <v/>
      </c>
      <c r="L91" s="301">
        <f>IF('Economic Assumptions'!$B13+'Project Assumptions'!$D$15+'Project Assumptions'!$D$16-1='Detailed Cashflows'!L$5,-'Economic Assumptions'!$J13,0)</f>
        <v/>
      </c>
      <c r="M91" s="301">
        <f>IF('Economic Assumptions'!$B13+'Project Assumptions'!$D$15+'Project Assumptions'!$D$16-1='Detailed Cashflows'!M$5,-'Economic Assumptions'!$J13,0)</f>
        <v/>
      </c>
      <c r="N91" s="301">
        <f>IF('Economic Assumptions'!$B13+'Project Assumptions'!$D$15+'Project Assumptions'!$D$16-1='Detailed Cashflows'!N$5,-'Economic Assumptions'!$J13,0)</f>
        <v/>
      </c>
      <c r="O91" s="301">
        <f>IF('Economic Assumptions'!$B13+'Project Assumptions'!$D$15+'Project Assumptions'!$D$16-1='Detailed Cashflows'!O$5,-'Economic Assumptions'!$J13,0)</f>
        <v/>
      </c>
      <c r="P91" s="301">
        <f>IF('Economic Assumptions'!$B13+'Project Assumptions'!$D$15+'Project Assumptions'!$D$16-1='Detailed Cashflows'!P$5,-'Economic Assumptions'!$J13,0)</f>
        <v/>
      </c>
      <c r="Q91" s="301">
        <f>IF('Economic Assumptions'!$B13+'Project Assumptions'!$D$15+'Project Assumptions'!$D$16-1='Detailed Cashflows'!Q$5,-'Economic Assumptions'!$J13,0)</f>
        <v/>
      </c>
      <c r="R91" s="301">
        <f>IF('Economic Assumptions'!$B13+'Project Assumptions'!$D$15+'Project Assumptions'!$D$16-1='Detailed Cashflows'!R$5,-'Economic Assumptions'!$J13,0)</f>
        <v/>
      </c>
      <c r="S91" s="301">
        <f>IF('Economic Assumptions'!$B13+'Project Assumptions'!$D$15+'Project Assumptions'!$D$16-1='Detailed Cashflows'!S$5,-'Economic Assumptions'!$J13,0)</f>
        <v/>
      </c>
      <c r="T91" s="301">
        <f>IF('Economic Assumptions'!$B13+'Project Assumptions'!$D$15+'Project Assumptions'!$D$16-1='Detailed Cashflows'!T$5,-'Economic Assumptions'!$J13,0)</f>
        <v/>
      </c>
      <c r="U91" s="301">
        <f>IF('Economic Assumptions'!$B13+'Project Assumptions'!$D$15+'Project Assumptions'!$D$16-1='Detailed Cashflows'!U$5,-'Economic Assumptions'!$J13,0)</f>
        <v/>
      </c>
      <c r="V91" s="301">
        <f>IF('Economic Assumptions'!$B13+'Project Assumptions'!$D$15+'Project Assumptions'!$D$16-1='Detailed Cashflows'!V$5,-'Economic Assumptions'!$J13,0)</f>
        <v/>
      </c>
      <c r="W91" s="301">
        <f>IF('Economic Assumptions'!$B13+'Project Assumptions'!$D$15+'Project Assumptions'!$D$16-1='Detailed Cashflows'!W$5,-'Economic Assumptions'!$J13,0)</f>
        <v/>
      </c>
      <c r="X91" s="301">
        <f>IF('Economic Assumptions'!$B13+'Project Assumptions'!$D$15+'Project Assumptions'!$D$16-1='Detailed Cashflows'!X$5,-'Economic Assumptions'!$J13,0)</f>
        <v/>
      </c>
      <c r="Y91" s="301">
        <f>IF('Economic Assumptions'!$B13+'Project Assumptions'!$D$15+'Project Assumptions'!$D$16-1='Detailed Cashflows'!Y$5,-'Economic Assumptions'!$J13,0)</f>
        <v/>
      </c>
      <c r="Z91" s="301">
        <f>IF('Economic Assumptions'!$B13+'Project Assumptions'!$D$15+'Project Assumptions'!$D$16-1='Detailed Cashflows'!Z$5,-'Economic Assumptions'!$J13,0)</f>
        <v/>
      </c>
      <c r="AA91" s="301">
        <f>IF('Economic Assumptions'!$B13+'Project Assumptions'!$D$15+'Project Assumptions'!$D$16-1='Detailed Cashflows'!AA$5,-'Economic Assumptions'!$J13,0)</f>
        <v/>
      </c>
      <c r="AB91" s="301">
        <f>IF('Economic Assumptions'!$B13+'Project Assumptions'!$D$15+'Project Assumptions'!$D$16-1='Detailed Cashflows'!AB$5,-'Economic Assumptions'!$J13,0)</f>
        <v/>
      </c>
      <c r="AC91" s="301">
        <f>IF('Economic Assumptions'!$B13+'Project Assumptions'!$D$15+'Project Assumptions'!$D$16-1='Detailed Cashflows'!AC$5,-'Economic Assumptions'!$J13,0)</f>
        <v/>
      </c>
      <c r="AD91" s="301">
        <f>IF('Economic Assumptions'!$B13+'Project Assumptions'!$D$15+'Project Assumptions'!$D$16-1='Detailed Cashflows'!AD$5,-'Economic Assumptions'!$J13,0)</f>
        <v/>
      </c>
      <c r="AE91" s="301">
        <f>IF('Economic Assumptions'!$B13+'Project Assumptions'!$D$15+'Project Assumptions'!$D$16-1='Detailed Cashflows'!AE$5,-'Economic Assumptions'!$J13,0)</f>
        <v/>
      </c>
      <c r="AF91" s="301">
        <f>IF('Economic Assumptions'!$B13+'Project Assumptions'!$D$15+'Project Assumptions'!$D$16-1='Detailed Cashflows'!AF$5,-'Economic Assumptions'!$J13,0)</f>
        <v/>
      </c>
      <c r="AG91" s="301">
        <f>IF('Economic Assumptions'!$B13+'Project Assumptions'!$D$15+'Project Assumptions'!$D$16-1='Detailed Cashflows'!AG$5,-'Economic Assumptions'!$J13,0)</f>
        <v/>
      </c>
      <c r="AH91" s="301">
        <f>IF('Economic Assumptions'!$B13+'Project Assumptions'!$D$15+'Project Assumptions'!$D$16-1='Detailed Cashflows'!AH$5,-'Economic Assumptions'!$J13,0)</f>
        <v/>
      </c>
      <c r="AI91" s="301">
        <f>IF('Economic Assumptions'!$B13+'Project Assumptions'!$D$15+'Project Assumptions'!$D$16-1='Detailed Cashflows'!AI$5,-'Economic Assumptions'!$J13,0)</f>
        <v/>
      </c>
      <c r="AJ91" s="301">
        <f>IF('Economic Assumptions'!$B13+'Project Assumptions'!$D$15+'Project Assumptions'!$D$16-1='Detailed Cashflows'!AJ$5,-'Economic Assumptions'!$J13,0)</f>
        <v/>
      </c>
      <c r="AK91" s="301">
        <f>IF('Economic Assumptions'!$B13+'Project Assumptions'!$D$15+'Project Assumptions'!$D$16-1='Detailed Cashflows'!AK$5,-'Economic Assumptions'!$J13,0)</f>
        <v/>
      </c>
      <c r="AL91" s="301">
        <f>IF('Economic Assumptions'!$B13+'Project Assumptions'!$D$15+'Project Assumptions'!$D$16-1='Detailed Cashflows'!AL$5,-'Economic Assumptions'!$J13,0)</f>
        <v/>
      </c>
      <c r="AM91" s="301">
        <f>IF('Economic Assumptions'!$B13+'Project Assumptions'!$D$15+'Project Assumptions'!$D$16-1='Detailed Cashflows'!AM$5,-'Economic Assumptions'!$J13,0)</f>
        <v/>
      </c>
      <c r="AN91" s="301">
        <f>IF('Economic Assumptions'!$B13+'Project Assumptions'!$D$15+'Project Assumptions'!$D$16-1='Detailed Cashflows'!AN$5,-'Economic Assumptions'!$J13,0)</f>
        <v/>
      </c>
      <c r="AO91" s="301">
        <f>IF('Economic Assumptions'!$B13+'Project Assumptions'!$D$15+'Project Assumptions'!$D$16-1='Detailed Cashflows'!AO$5,-'Economic Assumptions'!$J13,0)</f>
        <v/>
      </c>
      <c r="AP91" s="301">
        <f>IF('Economic Assumptions'!$B13+'Project Assumptions'!$D$15+'Project Assumptions'!$D$16-1='Detailed Cashflows'!AP$5,-'Economic Assumptions'!$J13,0)</f>
        <v/>
      </c>
      <c r="AQ91" s="301">
        <f>IF('Economic Assumptions'!$B13+'Project Assumptions'!$D$15+'Project Assumptions'!$D$16-1='Detailed Cashflows'!AQ$5,-'Economic Assumptions'!$J13,0)</f>
        <v/>
      </c>
      <c r="AR91" s="301">
        <f>IF('Economic Assumptions'!$B13+'Project Assumptions'!$D$15+'Project Assumptions'!$D$16-1='Detailed Cashflows'!AR$5,-'Economic Assumptions'!$J13,0)</f>
        <v/>
      </c>
      <c r="AS91" s="301">
        <f>IF('Economic Assumptions'!$B13+'Project Assumptions'!$D$15+'Project Assumptions'!$D$16-1='Detailed Cashflows'!AS$5,-'Economic Assumptions'!$J13,0)</f>
        <v/>
      </c>
      <c r="AT91" s="301">
        <f>IF('Economic Assumptions'!$B13+'Project Assumptions'!$D$15+'Project Assumptions'!$D$16-1='Detailed Cashflows'!AT$5,-'Economic Assumptions'!$J13,0)</f>
        <v/>
      </c>
      <c r="AU91" s="301">
        <f>IF('Economic Assumptions'!$B13+'Project Assumptions'!$D$15+'Project Assumptions'!$D$16-1='Detailed Cashflows'!AU$5,-'Economic Assumptions'!$J13,0)</f>
        <v/>
      </c>
      <c r="AV91" s="301">
        <f>IF('Economic Assumptions'!$B13+'Project Assumptions'!$D$15+'Project Assumptions'!$D$16-1='Detailed Cashflows'!AV$5,-'Economic Assumptions'!$J13,0)</f>
        <v/>
      </c>
      <c r="AW91" s="301">
        <f>IF('Economic Assumptions'!$B13+'Project Assumptions'!$D$15+'Project Assumptions'!$D$16-1='Detailed Cashflows'!AW$5,-'Economic Assumptions'!$J13,0)</f>
        <v/>
      </c>
      <c r="AX91" s="301">
        <f>IF('Economic Assumptions'!$B13+'Project Assumptions'!$D$15+'Project Assumptions'!$D$16-1='Detailed Cashflows'!AX$5,-'Economic Assumptions'!$J13,0)</f>
        <v/>
      </c>
      <c r="AY91" s="301">
        <f>IF('Economic Assumptions'!$B13+'Project Assumptions'!$D$15+'Project Assumptions'!$D$16-1='Detailed Cashflows'!AY$5,-'Economic Assumptions'!$J13,0)</f>
        <v/>
      </c>
      <c r="AZ91" s="301">
        <f>IF('Economic Assumptions'!$B13+'Project Assumptions'!$D$15+'Project Assumptions'!$D$16-1='Detailed Cashflows'!AZ$5,-'Economic Assumptions'!$J13,0)</f>
        <v/>
      </c>
      <c r="BA91" s="301">
        <f>IF('Economic Assumptions'!$B13+'Project Assumptions'!$D$15+'Project Assumptions'!$D$16-1='Detailed Cashflows'!BA$5,-'Economic Assumptions'!$J13,0)</f>
        <v/>
      </c>
      <c r="BB91" s="301">
        <f>IF('Economic Assumptions'!$B13+'Project Assumptions'!$D$15+'Project Assumptions'!$D$16-1='Detailed Cashflows'!BB$5,-'Economic Assumptions'!$J13,0)</f>
        <v/>
      </c>
      <c r="BC91" s="301">
        <f>IF('Economic Assumptions'!$B13+'Project Assumptions'!$D$15+'Project Assumptions'!$D$16-1='Detailed Cashflows'!BC$5,-'Economic Assumptions'!$J13,0)</f>
        <v/>
      </c>
      <c r="BD91" s="301">
        <f>IF('Economic Assumptions'!$B13+'Project Assumptions'!$D$15+'Project Assumptions'!$D$16-1='Detailed Cashflows'!BD$5,-'Economic Assumptions'!$J13,0)</f>
        <v/>
      </c>
      <c r="BE91" s="301">
        <f>IF('Economic Assumptions'!$B13+'Project Assumptions'!$D$15+'Project Assumptions'!$D$16-1='Detailed Cashflows'!BE$5,-'Economic Assumptions'!$J13,0)</f>
        <v/>
      </c>
      <c r="BF91" s="301">
        <f>IF('Economic Assumptions'!$B13+'Project Assumptions'!$D$15+'Project Assumptions'!$D$16-1='Detailed Cashflows'!BF$5,-'Economic Assumptions'!$J13,0)</f>
        <v/>
      </c>
      <c r="BG91" s="301">
        <f>IF('Economic Assumptions'!$B13+'Project Assumptions'!$D$15+'Project Assumptions'!$D$16-1='Detailed Cashflows'!BG$5,-'Economic Assumptions'!$J13,0)</f>
        <v/>
      </c>
      <c r="BH91" s="301">
        <f>IF('Economic Assumptions'!$B13+'Project Assumptions'!$D$15+'Project Assumptions'!$D$16-1='Detailed Cashflows'!BH$5,-'Economic Assumptions'!$J13,0)</f>
        <v/>
      </c>
      <c r="BI91" s="301">
        <f>IF('Economic Assumptions'!$B13+'Project Assumptions'!$D$15+'Project Assumptions'!$D$16-1='Detailed Cashflows'!BI$5,-'Economic Assumptions'!$J13,0)</f>
        <v/>
      </c>
      <c r="BJ91" s="301">
        <f>IF('Economic Assumptions'!$B13+'Project Assumptions'!$D$15+'Project Assumptions'!$D$16-1='Detailed Cashflows'!BJ$5,-'Economic Assumptions'!$J13,0)</f>
        <v/>
      </c>
      <c r="BK91" s="301">
        <f>IF('Economic Assumptions'!$B13+'Project Assumptions'!$D$15+'Project Assumptions'!$D$16-1='Detailed Cashflows'!BK$5,-'Economic Assumptions'!$J13,0)</f>
        <v/>
      </c>
      <c r="BL91" s="301">
        <f>IF('Economic Assumptions'!$B13+'Project Assumptions'!$D$15+'Project Assumptions'!$D$16-1='Detailed Cashflows'!BL$5,-'Economic Assumptions'!$J13,0)</f>
        <v/>
      </c>
      <c r="BM91" s="301">
        <f>IF('Economic Assumptions'!$B13+'Project Assumptions'!$D$15+'Project Assumptions'!$D$16-1='Detailed Cashflows'!BM$5,-'Economic Assumptions'!$J13,0)</f>
        <v/>
      </c>
      <c r="BN91" s="301">
        <f>IF('Economic Assumptions'!$B13+'Project Assumptions'!$D$15+'Project Assumptions'!$D$16-1='Detailed Cashflows'!BN$5,-'Economic Assumptions'!$J13,0)</f>
        <v/>
      </c>
      <c r="BO91" s="301">
        <f>IF('Economic Assumptions'!$B13+'Project Assumptions'!$D$15+'Project Assumptions'!$D$16-1='Detailed Cashflows'!BO$5,-'Economic Assumptions'!$J13,0)</f>
        <v/>
      </c>
      <c r="BP91" s="301">
        <f>IF('Economic Assumptions'!$B13+'Project Assumptions'!$D$15+'Project Assumptions'!$D$16-1='Detailed Cashflows'!BP$5,-'Economic Assumptions'!$J13,0)</f>
        <v/>
      </c>
      <c r="BQ91" s="301">
        <f>IF('Economic Assumptions'!$B13+'Project Assumptions'!$D$15+'Project Assumptions'!$D$16-1='Detailed Cashflows'!BQ$5,-'Economic Assumptions'!$J13,0)</f>
        <v/>
      </c>
      <c r="BR91" s="301">
        <f>IF('Economic Assumptions'!$B13+'Project Assumptions'!$D$15+'Project Assumptions'!$D$16-1='Detailed Cashflows'!BR$5,-'Economic Assumptions'!$J13,0)</f>
        <v/>
      </c>
      <c r="BS91" s="301">
        <f>IF('Economic Assumptions'!$B13+'Project Assumptions'!$D$15+'Project Assumptions'!$D$16-1='Detailed Cashflows'!BS$5,-'Economic Assumptions'!$J13,0)</f>
        <v/>
      </c>
      <c r="BT91" s="301">
        <f>IF('Economic Assumptions'!$B13+'Project Assumptions'!$D$15+'Project Assumptions'!$D$16-1='Detailed Cashflows'!BT$5,-'Economic Assumptions'!$J13,0)</f>
        <v/>
      </c>
      <c r="BU91" s="301">
        <f>IF('Economic Assumptions'!$B13+'Project Assumptions'!$D$15+'Project Assumptions'!$D$16-1='Detailed Cashflows'!BU$5,-'Economic Assumptions'!$J13,0)</f>
        <v/>
      </c>
      <c r="BV91" s="301">
        <f>IF('Economic Assumptions'!$B13+'Project Assumptions'!$D$15+'Project Assumptions'!$D$16-1='Detailed Cashflows'!BV$5,-'Economic Assumptions'!$J13,0)</f>
        <v/>
      </c>
      <c r="BW91" s="301">
        <f>IF('Economic Assumptions'!$B13+'Project Assumptions'!$D$15+'Project Assumptions'!$D$16-1='Detailed Cashflows'!BW$5,-'Economic Assumptions'!$J13,0)</f>
        <v/>
      </c>
      <c r="BX91" s="301">
        <f>IF('Economic Assumptions'!$B13+'Project Assumptions'!$D$15+'Project Assumptions'!$D$16-1='Detailed Cashflows'!BX$5,-'Economic Assumptions'!$J13,0)</f>
        <v/>
      </c>
      <c r="BY91" s="301">
        <f>IF('Economic Assumptions'!$B13+'Project Assumptions'!$D$15+'Project Assumptions'!$D$16-1='Detailed Cashflows'!BY$5,-'Economic Assumptions'!$J13,0)</f>
        <v/>
      </c>
      <c r="BZ91" s="301">
        <f>IF('Economic Assumptions'!$B13+'Project Assumptions'!$D$15+'Project Assumptions'!$D$16-1='Detailed Cashflows'!BZ$5,-'Economic Assumptions'!$J13,0)</f>
        <v/>
      </c>
      <c r="CA91" s="301">
        <f>IF('Economic Assumptions'!$B13+'Project Assumptions'!$D$15+'Project Assumptions'!$D$16-1='Detailed Cashflows'!CA$5,-'Economic Assumptions'!$J13,0)</f>
        <v/>
      </c>
      <c r="CB91" s="301">
        <f>IF('Economic Assumptions'!$B13+'Project Assumptions'!$D$15+'Project Assumptions'!$D$16-1='Detailed Cashflows'!CB$5,-'Economic Assumptions'!$J13,0)</f>
        <v/>
      </c>
      <c r="CC91" s="301">
        <f>IF('Economic Assumptions'!$B13+'Project Assumptions'!$D$15+'Project Assumptions'!$D$16-1='Detailed Cashflows'!CC$5,-'Economic Assumptions'!$J13,0)</f>
        <v/>
      </c>
      <c r="CD91" s="301">
        <f>IF('Economic Assumptions'!$B13+'Project Assumptions'!$D$15+'Project Assumptions'!$D$16-1='Detailed Cashflows'!CD$5,-'Economic Assumptions'!$J13,0)</f>
        <v/>
      </c>
      <c r="CE91" s="301">
        <f>IF('Economic Assumptions'!$B13+'Project Assumptions'!$D$15+'Project Assumptions'!$D$16-1='Detailed Cashflows'!CE$5,-'Economic Assumptions'!$J13,0)</f>
        <v/>
      </c>
      <c r="CF91" s="301">
        <f>IF('Economic Assumptions'!$B13+'Project Assumptions'!$D$15+'Project Assumptions'!$D$16-1='Detailed Cashflows'!CF$5,-'Economic Assumptions'!$J13,0)</f>
        <v/>
      </c>
      <c r="CG91" s="301">
        <f>IF('Economic Assumptions'!$B13+'Project Assumptions'!$D$15+'Project Assumptions'!$D$16-1='Detailed Cashflows'!CG$5,-'Economic Assumptions'!$J13,0)</f>
        <v/>
      </c>
      <c r="CH91" s="301">
        <f>IF('Economic Assumptions'!$B13+'Project Assumptions'!$D$15+'Project Assumptions'!$D$16-1='Detailed Cashflows'!CH$5,-'Economic Assumptions'!$J13,0)</f>
        <v/>
      </c>
      <c r="CI91" s="301">
        <f>IF('Economic Assumptions'!$B13+'Project Assumptions'!$D$15+'Project Assumptions'!$D$16-1='Detailed Cashflows'!CI$5,-'Economic Assumptions'!$J13,0)</f>
        <v/>
      </c>
      <c r="CJ91" s="301">
        <f>IF('Economic Assumptions'!$B13+'Project Assumptions'!$D$15+'Project Assumptions'!$D$16-1='Detailed Cashflows'!CJ$5,-'Economic Assumptions'!$J13,0)</f>
        <v/>
      </c>
      <c r="CK91" s="301">
        <f>IF('Economic Assumptions'!$B13+'Project Assumptions'!$D$15+'Project Assumptions'!$D$16-1='Detailed Cashflows'!CK$5,-'Economic Assumptions'!$J13,0)</f>
        <v/>
      </c>
      <c r="CL91" s="301">
        <f>IF('Economic Assumptions'!$B13+'Project Assumptions'!$D$15+'Project Assumptions'!$D$16-1='Detailed Cashflows'!CL$5,-'Economic Assumptions'!$J13,0)</f>
        <v/>
      </c>
      <c r="CM91" s="301">
        <f>IF('Economic Assumptions'!$B13+'Project Assumptions'!$D$15+'Project Assumptions'!$D$16-1='Detailed Cashflows'!CM$5,-'Economic Assumptions'!$J13,0)</f>
        <v/>
      </c>
      <c r="CN91" s="301">
        <f>IF('Economic Assumptions'!$B13+'Project Assumptions'!$D$15+'Project Assumptions'!$D$16-1='Detailed Cashflows'!CN$5,-'Economic Assumptions'!$J13,0)</f>
        <v/>
      </c>
      <c r="CO91" s="301">
        <f>IF('Economic Assumptions'!$B13+'Project Assumptions'!$D$15+'Project Assumptions'!$D$16-1='Detailed Cashflows'!CO$5,-'Economic Assumptions'!$J13,0)</f>
        <v/>
      </c>
      <c r="CP91" s="301">
        <f>IF('Economic Assumptions'!$B13+'Project Assumptions'!$D$15+'Project Assumptions'!$D$16-1='Detailed Cashflows'!CP$5,-'Economic Assumptions'!$J13,0)</f>
        <v/>
      </c>
      <c r="CQ91" s="301">
        <f>IF('Economic Assumptions'!$B13+'Project Assumptions'!$D$15+'Project Assumptions'!$D$16-1='Detailed Cashflows'!CQ$5,-'Economic Assumptions'!$J13,0)</f>
        <v/>
      </c>
      <c r="CR91" s="301">
        <f>IF('Economic Assumptions'!$B13+'Project Assumptions'!$D$15+'Project Assumptions'!$D$16-1='Detailed Cashflows'!CR$5,-'Economic Assumptions'!$J13,0)</f>
        <v/>
      </c>
      <c r="CS91" s="301">
        <f>IF('Economic Assumptions'!$B13+'Project Assumptions'!$D$15+'Project Assumptions'!$D$16-1='Detailed Cashflows'!CS$5,-'Economic Assumptions'!$J13,0)</f>
        <v/>
      </c>
      <c r="CT91" s="301">
        <f>IF('Economic Assumptions'!$B13+'Project Assumptions'!$D$15+'Project Assumptions'!$D$16-1='Detailed Cashflows'!CT$5,-'Economic Assumptions'!$J13,0)</f>
        <v/>
      </c>
      <c r="CU91" s="301">
        <f>IF('Economic Assumptions'!$B13+'Project Assumptions'!$D$15+'Project Assumptions'!$D$16-1='Detailed Cashflows'!CU$5,-'Economic Assumptions'!$J13,0)</f>
        <v/>
      </c>
      <c r="CV91" s="301">
        <f>IF('Economic Assumptions'!$B13+'Project Assumptions'!$D$15+'Project Assumptions'!$D$16-1='Detailed Cashflows'!CV$5,-'Economic Assumptions'!$J13,0)</f>
        <v/>
      </c>
      <c r="CW91" s="301">
        <f>IF('Economic Assumptions'!$B13+'Project Assumptions'!$D$15+'Project Assumptions'!$D$16-1='Detailed Cashflows'!CW$5,-'Economic Assumptions'!$J13,0)</f>
        <v/>
      </c>
      <c r="CX91" s="301">
        <f>IF('Economic Assumptions'!$B13+'Project Assumptions'!$D$15+'Project Assumptions'!$D$16-1='Detailed Cashflows'!CX$5,-'Economic Assumptions'!$J13,0)</f>
        <v/>
      </c>
      <c r="CY91" s="301">
        <f>IF('Economic Assumptions'!$B13+'Project Assumptions'!$D$15+'Project Assumptions'!$D$16-1='Detailed Cashflows'!CY$5,-'Economic Assumptions'!$J13,0)</f>
        <v/>
      </c>
      <c r="CZ91" s="301">
        <f>IF('Economic Assumptions'!$B13+'Project Assumptions'!$D$15+'Project Assumptions'!$D$16-1='Detailed Cashflows'!CZ$5,-'Economic Assumptions'!$J13,0)</f>
        <v/>
      </c>
      <c r="DA91" s="301">
        <f>IF('Economic Assumptions'!$B13+'Project Assumptions'!$D$15+'Project Assumptions'!$D$16-1='Detailed Cashflows'!DA$5,-'Economic Assumptions'!$J13,0)</f>
        <v/>
      </c>
      <c r="DB91" s="301">
        <f>IF('Economic Assumptions'!$B13+'Project Assumptions'!$D$15+'Project Assumptions'!$D$16-1='Detailed Cashflows'!DB$5,-'Economic Assumptions'!$J13,0)</f>
        <v/>
      </c>
      <c r="DC91" s="301" t="n"/>
      <c r="DD91" s="299">
        <f>SUM(F91:DB91)</f>
        <v/>
      </c>
    </row>
    <row r="92" hidden="1" outlineLevel="1">
      <c r="A92" s="1000" t="n"/>
      <c r="B92" s="303">
        <f>'Economic Assumptions'!$A$14</f>
        <v/>
      </c>
      <c r="C92" s="294" t="n"/>
      <c r="D92" s="299">
        <f>DD92</f>
        <v/>
      </c>
      <c r="E92" s="300" t="n"/>
      <c r="F92" s="301">
        <f>IF('Economic Assumptions'!$B14+'Project Assumptions'!$D$15+'Project Assumptions'!$D$16-1='Detailed Cashflows'!F$5,-'Economic Assumptions'!$J14,0)</f>
        <v/>
      </c>
      <c r="G92" s="301">
        <f>IF('Economic Assumptions'!$B14+'Project Assumptions'!$D$15+'Project Assumptions'!$D$16-1='Detailed Cashflows'!G$5,-'Economic Assumptions'!$J14,0)</f>
        <v/>
      </c>
      <c r="H92" s="301">
        <f>IF('Economic Assumptions'!$B14+'Project Assumptions'!$D$15+'Project Assumptions'!$D$16-1='Detailed Cashflows'!H$5,-'Economic Assumptions'!$J14,0)</f>
        <v/>
      </c>
      <c r="I92" s="301">
        <f>IF('Economic Assumptions'!$B14+'Project Assumptions'!$D$15+'Project Assumptions'!$D$16-1='Detailed Cashflows'!I$5,-'Economic Assumptions'!$J14,0)</f>
        <v/>
      </c>
      <c r="J92" s="301">
        <f>IF('Economic Assumptions'!$B14+'Project Assumptions'!$D$15+'Project Assumptions'!$D$16-1='Detailed Cashflows'!J$5,-'Economic Assumptions'!$J14,0)</f>
        <v/>
      </c>
      <c r="K92" s="301">
        <f>IF('Economic Assumptions'!$B14+'Project Assumptions'!$D$15+'Project Assumptions'!$D$16-1='Detailed Cashflows'!K$5,-'Economic Assumptions'!$J14,0)</f>
        <v/>
      </c>
      <c r="L92" s="301">
        <f>IF('Economic Assumptions'!$B14+'Project Assumptions'!$D$15+'Project Assumptions'!$D$16-1='Detailed Cashflows'!L$5,-'Economic Assumptions'!$J14,0)</f>
        <v/>
      </c>
      <c r="M92" s="301">
        <f>IF('Economic Assumptions'!$B14+'Project Assumptions'!$D$15+'Project Assumptions'!$D$16-1='Detailed Cashflows'!M$5,-'Economic Assumptions'!$J14,0)</f>
        <v/>
      </c>
      <c r="N92" s="301">
        <f>IF('Economic Assumptions'!$B14+'Project Assumptions'!$D$15+'Project Assumptions'!$D$16-1='Detailed Cashflows'!N$5,-'Economic Assumptions'!$J14,0)</f>
        <v/>
      </c>
      <c r="O92" s="301">
        <f>IF('Economic Assumptions'!$B14+'Project Assumptions'!$D$15+'Project Assumptions'!$D$16-1='Detailed Cashflows'!O$5,-'Economic Assumptions'!$J14,0)</f>
        <v/>
      </c>
      <c r="P92" s="301">
        <f>IF('Economic Assumptions'!$B14+'Project Assumptions'!$D$15+'Project Assumptions'!$D$16-1='Detailed Cashflows'!P$5,-'Economic Assumptions'!$J14,0)</f>
        <v/>
      </c>
      <c r="Q92" s="301">
        <f>IF('Economic Assumptions'!$B14+'Project Assumptions'!$D$15+'Project Assumptions'!$D$16-1='Detailed Cashflows'!Q$5,-'Economic Assumptions'!$J14,0)</f>
        <v/>
      </c>
      <c r="R92" s="301">
        <f>IF('Economic Assumptions'!$B14+'Project Assumptions'!$D$15+'Project Assumptions'!$D$16-1='Detailed Cashflows'!R$5,-'Economic Assumptions'!$J14,0)</f>
        <v/>
      </c>
      <c r="S92" s="301">
        <f>IF('Economic Assumptions'!$B14+'Project Assumptions'!$D$15+'Project Assumptions'!$D$16-1='Detailed Cashflows'!S$5,-'Economic Assumptions'!$J14,0)</f>
        <v/>
      </c>
      <c r="T92" s="301">
        <f>IF('Economic Assumptions'!$B14+'Project Assumptions'!$D$15+'Project Assumptions'!$D$16-1='Detailed Cashflows'!T$5,-'Economic Assumptions'!$J14,0)</f>
        <v/>
      </c>
      <c r="U92" s="301">
        <f>IF('Economic Assumptions'!$B14+'Project Assumptions'!$D$15+'Project Assumptions'!$D$16-1='Detailed Cashflows'!U$5,-'Economic Assumptions'!$J14,0)</f>
        <v/>
      </c>
      <c r="V92" s="301">
        <f>IF('Economic Assumptions'!$B14+'Project Assumptions'!$D$15+'Project Assumptions'!$D$16-1='Detailed Cashflows'!V$5,-'Economic Assumptions'!$J14,0)</f>
        <v/>
      </c>
      <c r="W92" s="301">
        <f>IF('Economic Assumptions'!$B14+'Project Assumptions'!$D$15+'Project Assumptions'!$D$16-1='Detailed Cashflows'!W$5,-'Economic Assumptions'!$J14,0)</f>
        <v/>
      </c>
      <c r="X92" s="301">
        <f>IF('Economic Assumptions'!$B14+'Project Assumptions'!$D$15+'Project Assumptions'!$D$16-1='Detailed Cashflows'!X$5,-'Economic Assumptions'!$J14,0)</f>
        <v/>
      </c>
      <c r="Y92" s="301">
        <f>IF('Economic Assumptions'!$B14+'Project Assumptions'!$D$15+'Project Assumptions'!$D$16-1='Detailed Cashflows'!Y$5,-'Economic Assumptions'!$J14,0)</f>
        <v/>
      </c>
      <c r="Z92" s="301">
        <f>IF('Economic Assumptions'!$B14+'Project Assumptions'!$D$15+'Project Assumptions'!$D$16-1='Detailed Cashflows'!Z$5,-'Economic Assumptions'!$J14,0)</f>
        <v/>
      </c>
      <c r="AA92" s="301">
        <f>IF('Economic Assumptions'!$B14+'Project Assumptions'!$D$15+'Project Assumptions'!$D$16-1='Detailed Cashflows'!AA$5,-'Economic Assumptions'!$J14,0)</f>
        <v/>
      </c>
      <c r="AB92" s="301">
        <f>IF('Economic Assumptions'!$B14+'Project Assumptions'!$D$15+'Project Assumptions'!$D$16-1='Detailed Cashflows'!AB$5,-'Economic Assumptions'!$J14,0)</f>
        <v/>
      </c>
      <c r="AC92" s="301">
        <f>IF('Economic Assumptions'!$B14+'Project Assumptions'!$D$15+'Project Assumptions'!$D$16-1='Detailed Cashflows'!AC$5,-'Economic Assumptions'!$J14,0)</f>
        <v/>
      </c>
      <c r="AD92" s="301">
        <f>IF('Economic Assumptions'!$B14+'Project Assumptions'!$D$15+'Project Assumptions'!$D$16-1='Detailed Cashflows'!AD$5,-'Economic Assumptions'!$J14,0)</f>
        <v/>
      </c>
      <c r="AE92" s="301">
        <f>IF('Economic Assumptions'!$B14+'Project Assumptions'!$D$15+'Project Assumptions'!$D$16-1='Detailed Cashflows'!AE$5,-'Economic Assumptions'!$J14,0)</f>
        <v/>
      </c>
      <c r="AF92" s="301">
        <f>IF('Economic Assumptions'!$B14+'Project Assumptions'!$D$15+'Project Assumptions'!$D$16-1='Detailed Cashflows'!AF$5,-'Economic Assumptions'!$J14,0)</f>
        <v/>
      </c>
      <c r="AG92" s="301">
        <f>IF('Economic Assumptions'!$B14+'Project Assumptions'!$D$15+'Project Assumptions'!$D$16-1='Detailed Cashflows'!AG$5,-'Economic Assumptions'!$J14,0)</f>
        <v/>
      </c>
      <c r="AH92" s="301">
        <f>IF('Economic Assumptions'!$B14+'Project Assumptions'!$D$15+'Project Assumptions'!$D$16-1='Detailed Cashflows'!AH$5,-'Economic Assumptions'!$J14,0)</f>
        <v/>
      </c>
      <c r="AI92" s="301">
        <f>IF('Economic Assumptions'!$B14+'Project Assumptions'!$D$15+'Project Assumptions'!$D$16-1='Detailed Cashflows'!AI$5,-'Economic Assumptions'!$J14,0)</f>
        <v/>
      </c>
      <c r="AJ92" s="301">
        <f>IF('Economic Assumptions'!$B14+'Project Assumptions'!$D$15+'Project Assumptions'!$D$16-1='Detailed Cashflows'!AJ$5,-'Economic Assumptions'!$J14,0)</f>
        <v/>
      </c>
      <c r="AK92" s="301">
        <f>IF('Economic Assumptions'!$B14+'Project Assumptions'!$D$15+'Project Assumptions'!$D$16-1='Detailed Cashflows'!AK$5,-'Economic Assumptions'!$J14,0)</f>
        <v/>
      </c>
      <c r="AL92" s="301">
        <f>IF('Economic Assumptions'!$B14+'Project Assumptions'!$D$15+'Project Assumptions'!$D$16-1='Detailed Cashflows'!AL$5,-'Economic Assumptions'!$J14,0)</f>
        <v/>
      </c>
      <c r="AM92" s="301">
        <f>IF('Economic Assumptions'!$B14+'Project Assumptions'!$D$15+'Project Assumptions'!$D$16-1='Detailed Cashflows'!AM$5,-'Economic Assumptions'!$J14,0)</f>
        <v/>
      </c>
      <c r="AN92" s="301">
        <f>IF('Economic Assumptions'!$B14+'Project Assumptions'!$D$15+'Project Assumptions'!$D$16-1='Detailed Cashflows'!AN$5,-'Economic Assumptions'!$J14,0)</f>
        <v/>
      </c>
      <c r="AO92" s="301">
        <f>IF('Economic Assumptions'!$B14+'Project Assumptions'!$D$15+'Project Assumptions'!$D$16-1='Detailed Cashflows'!AO$5,-'Economic Assumptions'!$J14,0)</f>
        <v/>
      </c>
      <c r="AP92" s="301">
        <f>IF('Economic Assumptions'!$B14+'Project Assumptions'!$D$15+'Project Assumptions'!$D$16-1='Detailed Cashflows'!AP$5,-'Economic Assumptions'!$J14,0)</f>
        <v/>
      </c>
      <c r="AQ92" s="301">
        <f>IF('Economic Assumptions'!$B14+'Project Assumptions'!$D$15+'Project Assumptions'!$D$16-1='Detailed Cashflows'!AQ$5,-'Economic Assumptions'!$J14,0)</f>
        <v/>
      </c>
      <c r="AR92" s="301">
        <f>IF('Economic Assumptions'!$B14+'Project Assumptions'!$D$15+'Project Assumptions'!$D$16-1='Detailed Cashflows'!AR$5,-'Economic Assumptions'!$J14,0)</f>
        <v/>
      </c>
      <c r="AS92" s="301">
        <f>IF('Economic Assumptions'!$B14+'Project Assumptions'!$D$15+'Project Assumptions'!$D$16-1='Detailed Cashflows'!AS$5,-'Economic Assumptions'!$J14,0)</f>
        <v/>
      </c>
      <c r="AT92" s="301">
        <f>IF('Economic Assumptions'!$B14+'Project Assumptions'!$D$15+'Project Assumptions'!$D$16-1='Detailed Cashflows'!AT$5,-'Economic Assumptions'!$J14,0)</f>
        <v/>
      </c>
      <c r="AU92" s="301">
        <f>IF('Economic Assumptions'!$B14+'Project Assumptions'!$D$15+'Project Assumptions'!$D$16-1='Detailed Cashflows'!AU$5,-'Economic Assumptions'!$J14,0)</f>
        <v/>
      </c>
      <c r="AV92" s="301">
        <f>IF('Economic Assumptions'!$B14+'Project Assumptions'!$D$15+'Project Assumptions'!$D$16-1='Detailed Cashflows'!AV$5,-'Economic Assumptions'!$J14,0)</f>
        <v/>
      </c>
      <c r="AW92" s="301">
        <f>IF('Economic Assumptions'!$B14+'Project Assumptions'!$D$15+'Project Assumptions'!$D$16-1='Detailed Cashflows'!AW$5,-'Economic Assumptions'!$J14,0)</f>
        <v/>
      </c>
      <c r="AX92" s="301">
        <f>IF('Economic Assumptions'!$B14+'Project Assumptions'!$D$15+'Project Assumptions'!$D$16-1='Detailed Cashflows'!AX$5,-'Economic Assumptions'!$J14,0)</f>
        <v/>
      </c>
      <c r="AY92" s="301">
        <f>IF('Economic Assumptions'!$B14+'Project Assumptions'!$D$15+'Project Assumptions'!$D$16-1='Detailed Cashflows'!AY$5,-'Economic Assumptions'!$J14,0)</f>
        <v/>
      </c>
      <c r="AZ92" s="301">
        <f>IF('Economic Assumptions'!$B14+'Project Assumptions'!$D$15+'Project Assumptions'!$D$16-1='Detailed Cashflows'!AZ$5,-'Economic Assumptions'!$J14,0)</f>
        <v/>
      </c>
      <c r="BA92" s="301">
        <f>IF('Economic Assumptions'!$B14+'Project Assumptions'!$D$15+'Project Assumptions'!$D$16-1='Detailed Cashflows'!BA$5,-'Economic Assumptions'!$J14,0)</f>
        <v/>
      </c>
      <c r="BB92" s="301">
        <f>IF('Economic Assumptions'!$B14+'Project Assumptions'!$D$15+'Project Assumptions'!$D$16-1='Detailed Cashflows'!BB$5,-'Economic Assumptions'!$J14,0)</f>
        <v/>
      </c>
      <c r="BC92" s="301">
        <f>IF('Economic Assumptions'!$B14+'Project Assumptions'!$D$15+'Project Assumptions'!$D$16-1='Detailed Cashflows'!BC$5,-'Economic Assumptions'!$J14,0)</f>
        <v/>
      </c>
      <c r="BD92" s="301">
        <f>IF('Economic Assumptions'!$B14+'Project Assumptions'!$D$15+'Project Assumptions'!$D$16-1='Detailed Cashflows'!BD$5,-'Economic Assumptions'!$J14,0)</f>
        <v/>
      </c>
      <c r="BE92" s="301">
        <f>IF('Economic Assumptions'!$B14+'Project Assumptions'!$D$15+'Project Assumptions'!$D$16-1='Detailed Cashflows'!BE$5,-'Economic Assumptions'!$J14,0)</f>
        <v/>
      </c>
      <c r="BF92" s="301">
        <f>IF('Economic Assumptions'!$B14+'Project Assumptions'!$D$15+'Project Assumptions'!$D$16-1='Detailed Cashflows'!BF$5,-'Economic Assumptions'!$J14,0)</f>
        <v/>
      </c>
      <c r="BG92" s="301">
        <f>IF('Economic Assumptions'!$B14+'Project Assumptions'!$D$15+'Project Assumptions'!$D$16-1='Detailed Cashflows'!BG$5,-'Economic Assumptions'!$J14,0)</f>
        <v/>
      </c>
      <c r="BH92" s="301">
        <f>IF('Economic Assumptions'!$B14+'Project Assumptions'!$D$15+'Project Assumptions'!$D$16-1='Detailed Cashflows'!BH$5,-'Economic Assumptions'!$J14,0)</f>
        <v/>
      </c>
      <c r="BI92" s="301">
        <f>IF('Economic Assumptions'!$B14+'Project Assumptions'!$D$15+'Project Assumptions'!$D$16-1='Detailed Cashflows'!BI$5,-'Economic Assumptions'!$J14,0)</f>
        <v/>
      </c>
      <c r="BJ92" s="301">
        <f>IF('Economic Assumptions'!$B14+'Project Assumptions'!$D$15+'Project Assumptions'!$D$16-1='Detailed Cashflows'!BJ$5,-'Economic Assumptions'!$J14,0)</f>
        <v/>
      </c>
      <c r="BK92" s="301">
        <f>IF('Economic Assumptions'!$B14+'Project Assumptions'!$D$15+'Project Assumptions'!$D$16-1='Detailed Cashflows'!BK$5,-'Economic Assumptions'!$J14,0)</f>
        <v/>
      </c>
      <c r="BL92" s="301">
        <f>IF('Economic Assumptions'!$B14+'Project Assumptions'!$D$15+'Project Assumptions'!$D$16-1='Detailed Cashflows'!BL$5,-'Economic Assumptions'!$J14,0)</f>
        <v/>
      </c>
      <c r="BM92" s="301">
        <f>IF('Economic Assumptions'!$B14+'Project Assumptions'!$D$15+'Project Assumptions'!$D$16-1='Detailed Cashflows'!BM$5,-'Economic Assumptions'!$J14,0)</f>
        <v/>
      </c>
      <c r="BN92" s="301">
        <f>IF('Economic Assumptions'!$B14+'Project Assumptions'!$D$15+'Project Assumptions'!$D$16-1='Detailed Cashflows'!BN$5,-'Economic Assumptions'!$J14,0)</f>
        <v/>
      </c>
      <c r="BO92" s="301">
        <f>IF('Economic Assumptions'!$B14+'Project Assumptions'!$D$15+'Project Assumptions'!$D$16-1='Detailed Cashflows'!BO$5,-'Economic Assumptions'!$J14,0)</f>
        <v/>
      </c>
      <c r="BP92" s="301">
        <f>IF('Economic Assumptions'!$B14+'Project Assumptions'!$D$15+'Project Assumptions'!$D$16-1='Detailed Cashflows'!BP$5,-'Economic Assumptions'!$J14,0)</f>
        <v/>
      </c>
      <c r="BQ92" s="301">
        <f>IF('Economic Assumptions'!$B14+'Project Assumptions'!$D$15+'Project Assumptions'!$D$16-1='Detailed Cashflows'!BQ$5,-'Economic Assumptions'!$J14,0)</f>
        <v/>
      </c>
      <c r="BR92" s="301">
        <f>IF('Economic Assumptions'!$B14+'Project Assumptions'!$D$15+'Project Assumptions'!$D$16-1='Detailed Cashflows'!BR$5,-'Economic Assumptions'!$J14,0)</f>
        <v/>
      </c>
      <c r="BS92" s="301">
        <f>IF('Economic Assumptions'!$B14+'Project Assumptions'!$D$15+'Project Assumptions'!$D$16-1='Detailed Cashflows'!BS$5,-'Economic Assumptions'!$J14,0)</f>
        <v/>
      </c>
      <c r="BT92" s="301">
        <f>IF('Economic Assumptions'!$B14+'Project Assumptions'!$D$15+'Project Assumptions'!$D$16-1='Detailed Cashflows'!BT$5,-'Economic Assumptions'!$J14,0)</f>
        <v/>
      </c>
      <c r="BU92" s="301">
        <f>IF('Economic Assumptions'!$B14+'Project Assumptions'!$D$15+'Project Assumptions'!$D$16-1='Detailed Cashflows'!BU$5,-'Economic Assumptions'!$J14,0)</f>
        <v/>
      </c>
      <c r="BV92" s="301">
        <f>IF('Economic Assumptions'!$B14+'Project Assumptions'!$D$15+'Project Assumptions'!$D$16-1='Detailed Cashflows'!BV$5,-'Economic Assumptions'!$J14,0)</f>
        <v/>
      </c>
      <c r="BW92" s="301">
        <f>IF('Economic Assumptions'!$B14+'Project Assumptions'!$D$15+'Project Assumptions'!$D$16-1='Detailed Cashflows'!BW$5,-'Economic Assumptions'!$J14,0)</f>
        <v/>
      </c>
      <c r="BX92" s="301">
        <f>IF('Economic Assumptions'!$B14+'Project Assumptions'!$D$15+'Project Assumptions'!$D$16-1='Detailed Cashflows'!BX$5,-'Economic Assumptions'!$J14,0)</f>
        <v/>
      </c>
      <c r="BY92" s="301">
        <f>IF('Economic Assumptions'!$B14+'Project Assumptions'!$D$15+'Project Assumptions'!$D$16-1='Detailed Cashflows'!BY$5,-'Economic Assumptions'!$J14,0)</f>
        <v/>
      </c>
      <c r="BZ92" s="301">
        <f>IF('Economic Assumptions'!$B14+'Project Assumptions'!$D$15+'Project Assumptions'!$D$16-1='Detailed Cashflows'!BZ$5,-'Economic Assumptions'!$J14,0)</f>
        <v/>
      </c>
      <c r="CA92" s="301">
        <f>IF('Economic Assumptions'!$B14+'Project Assumptions'!$D$15+'Project Assumptions'!$D$16-1='Detailed Cashflows'!CA$5,-'Economic Assumptions'!$J14,0)</f>
        <v/>
      </c>
      <c r="CB92" s="301">
        <f>IF('Economic Assumptions'!$B14+'Project Assumptions'!$D$15+'Project Assumptions'!$D$16-1='Detailed Cashflows'!CB$5,-'Economic Assumptions'!$J14,0)</f>
        <v/>
      </c>
      <c r="CC92" s="301">
        <f>IF('Economic Assumptions'!$B14+'Project Assumptions'!$D$15+'Project Assumptions'!$D$16-1='Detailed Cashflows'!CC$5,-'Economic Assumptions'!$J14,0)</f>
        <v/>
      </c>
      <c r="CD92" s="301">
        <f>IF('Economic Assumptions'!$B14+'Project Assumptions'!$D$15+'Project Assumptions'!$D$16-1='Detailed Cashflows'!CD$5,-'Economic Assumptions'!$J14,0)</f>
        <v/>
      </c>
      <c r="CE92" s="301">
        <f>IF('Economic Assumptions'!$B14+'Project Assumptions'!$D$15+'Project Assumptions'!$D$16-1='Detailed Cashflows'!CE$5,-'Economic Assumptions'!$J14,0)</f>
        <v/>
      </c>
      <c r="CF92" s="301">
        <f>IF('Economic Assumptions'!$B14+'Project Assumptions'!$D$15+'Project Assumptions'!$D$16-1='Detailed Cashflows'!CF$5,-'Economic Assumptions'!$J14,0)</f>
        <v/>
      </c>
      <c r="CG92" s="301">
        <f>IF('Economic Assumptions'!$B14+'Project Assumptions'!$D$15+'Project Assumptions'!$D$16-1='Detailed Cashflows'!CG$5,-'Economic Assumptions'!$J14,0)</f>
        <v/>
      </c>
      <c r="CH92" s="301">
        <f>IF('Economic Assumptions'!$B14+'Project Assumptions'!$D$15+'Project Assumptions'!$D$16-1='Detailed Cashflows'!CH$5,-'Economic Assumptions'!$J14,0)</f>
        <v/>
      </c>
      <c r="CI92" s="301">
        <f>IF('Economic Assumptions'!$B14+'Project Assumptions'!$D$15+'Project Assumptions'!$D$16-1='Detailed Cashflows'!CI$5,-'Economic Assumptions'!$J14,0)</f>
        <v/>
      </c>
      <c r="CJ92" s="301">
        <f>IF('Economic Assumptions'!$B14+'Project Assumptions'!$D$15+'Project Assumptions'!$D$16-1='Detailed Cashflows'!CJ$5,-'Economic Assumptions'!$J14,0)</f>
        <v/>
      </c>
      <c r="CK92" s="301">
        <f>IF('Economic Assumptions'!$B14+'Project Assumptions'!$D$15+'Project Assumptions'!$D$16-1='Detailed Cashflows'!CK$5,-'Economic Assumptions'!$J14,0)</f>
        <v/>
      </c>
      <c r="CL92" s="301">
        <f>IF('Economic Assumptions'!$B14+'Project Assumptions'!$D$15+'Project Assumptions'!$D$16-1='Detailed Cashflows'!CL$5,-'Economic Assumptions'!$J14,0)</f>
        <v/>
      </c>
      <c r="CM92" s="301">
        <f>IF('Economic Assumptions'!$B14+'Project Assumptions'!$D$15+'Project Assumptions'!$D$16-1='Detailed Cashflows'!CM$5,-'Economic Assumptions'!$J14,0)</f>
        <v/>
      </c>
      <c r="CN92" s="301">
        <f>IF('Economic Assumptions'!$B14+'Project Assumptions'!$D$15+'Project Assumptions'!$D$16-1='Detailed Cashflows'!CN$5,-'Economic Assumptions'!$J14,0)</f>
        <v/>
      </c>
      <c r="CO92" s="301">
        <f>IF('Economic Assumptions'!$B14+'Project Assumptions'!$D$15+'Project Assumptions'!$D$16-1='Detailed Cashflows'!CO$5,-'Economic Assumptions'!$J14,0)</f>
        <v/>
      </c>
      <c r="CP92" s="301">
        <f>IF('Economic Assumptions'!$B14+'Project Assumptions'!$D$15+'Project Assumptions'!$D$16-1='Detailed Cashflows'!CP$5,-'Economic Assumptions'!$J14,0)</f>
        <v/>
      </c>
      <c r="CQ92" s="301">
        <f>IF('Economic Assumptions'!$B14+'Project Assumptions'!$D$15+'Project Assumptions'!$D$16-1='Detailed Cashflows'!CQ$5,-'Economic Assumptions'!$J14,0)</f>
        <v/>
      </c>
      <c r="CR92" s="301">
        <f>IF('Economic Assumptions'!$B14+'Project Assumptions'!$D$15+'Project Assumptions'!$D$16-1='Detailed Cashflows'!CR$5,-'Economic Assumptions'!$J14,0)</f>
        <v/>
      </c>
      <c r="CS92" s="301">
        <f>IF('Economic Assumptions'!$B14+'Project Assumptions'!$D$15+'Project Assumptions'!$D$16-1='Detailed Cashflows'!CS$5,-'Economic Assumptions'!$J14,0)</f>
        <v/>
      </c>
      <c r="CT92" s="301">
        <f>IF('Economic Assumptions'!$B14+'Project Assumptions'!$D$15+'Project Assumptions'!$D$16-1='Detailed Cashflows'!CT$5,-'Economic Assumptions'!$J14,0)</f>
        <v/>
      </c>
      <c r="CU92" s="301">
        <f>IF('Economic Assumptions'!$B14+'Project Assumptions'!$D$15+'Project Assumptions'!$D$16-1='Detailed Cashflows'!CU$5,-'Economic Assumptions'!$J14,0)</f>
        <v/>
      </c>
      <c r="CV92" s="301">
        <f>IF('Economic Assumptions'!$B14+'Project Assumptions'!$D$15+'Project Assumptions'!$D$16-1='Detailed Cashflows'!CV$5,-'Economic Assumptions'!$J14,0)</f>
        <v/>
      </c>
      <c r="CW92" s="301">
        <f>IF('Economic Assumptions'!$B14+'Project Assumptions'!$D$15+'Project Assumptions'!$D$16-1='Detailed Cashflows'!CW$5,-'Economic Assumptions'!$J14,0)</f>
        <v/>
      </c>
      <c r="CX92" s="301">
        <f>IF('Economic Assumptions'!$B14+'Project Assumptions'!$D$15+'Project Assumptions'!$D$16-1='Detailed Cashflows'!CX$5,-'Economic Assumptions'!$J14,0)</f>
        <v/>
      </c>
      <c r="CY92" s="301">
        <f>IF('Economic Assumptions'!$B14+'Project Assumptions'!$D$15+'Project Assumptions'!$D$16-1='Detailed Cashflows'!CY$5,-'Economic Assumptions'!$J14,0)</f>
        <v/>
      </c>
      <c r="CZ92" s="301">
        <f>IF('Economic Assumptions'!$B14+'Project Assumptions'!$D$15+'Project Assumptions'!$D$16-1='Detailed Cashflows'!CZ$5,-'Economic Assumptions'!$J14,0)</f>
        <v/>
      </c>
      <c r="DA92" s="301">
        <f>IF('Economic Assumptions'!$B14+'Project Assumptions'!$D$15+'Project Assumptions'!$D$16-1='Detailed Cashflows'!DA$5,-'Economic Assumptions'!$J14,0)</f>
        <v/>
      </c>
      <c r="DB92" s="301">
        <f>IF('Economic Assumptions'!$B14+'Project Assumptions'!$D$15+'Project Assumptions'!$D$16-1='Detailed Cashflows'!DB$5,-'Economic Assumptions'!$J14,0)</f>
        <v/>
      </c>
      <c r="DC92" s="301" t="n"/>
      <c r="DD92" s="299">
        <f>SUM(F92:DB92)</f>
        <v/>
      </c>
    </row>
    <row r="93" hidden="1" outlineLevel="1">
      <c r="A93" s="1000" t="n"/>
      <c r="B93" s="303">
        <f>'Economic Assumptions'!$A$15</f>
        <v/>
      </c>
      <c r="C93" s="294" t="n"/>
      <c r="D93" s="299">
        <f>DD93</f>
        <v/>
      </c>
      <c r="E93" s="300" t="n"/>
      <c r="F93" s="301">
        <f>IF('Economic Assumptions'!$B15+'Project Assumptions'!$D$15+'Project Assumptions'!$D$16-1='Detailed Cashflows'!F$5,-'Economic Assumptions'!$J15,0)</f>
        <v/>
      </c>
      <c r="G93" s="301">
        <f>IF('Economic Assumptions'!$B15+'Project Assumptions'!$D$15+'Project Assumptions'!$D$16-1='Detailed Cashflows'!G$5,-'Economic Assumptions'!$J15,0)</f>
        <v/>
      </c>
      <c r="H93" s="301">
        <f>IF('Economic Assumptions'!$B15+'Project Assumptions'!$D$15+'Project Assumptions'!$D$16-1='Detailed Cashflows'!H$5,-'Economic Assumptions'!$J15,0)</f>
        <v/>
      </c>
      <c r="I93" s="301">
        <f>IF('Economic Assumptions'!$B15+'Project Assumptions'!$D$15+'Project Assumptions'!$D$16-1='Detailed Cashflows'!I$5,-'Economic Assumptions'!$J15,0)</f>
        <v/>
      </c>
      <c r="J93" s="301">
        <f>IF('Economic Assumptions'!$B15+'Project Assumptions'!$D$15+'Project Assumptions'!$D$16-1='Detailed Cashflows'!J$5,-'Economic Assumptions'!$J15,0)</f>
        <v/>
      </c>
      <c r="K93" s="301">
        <f>IF('Economic Assumptions'!$B15+'Project Assumptions'!$D$15+'Project Assumptions'!$D$16-1='Detailed Cashflows'!K$5,-'Economic Assumptions'!$J15,0)</f>
        <v/>
      </c>
      <c r="L93" s="301">
        <f>IF('Economic Assumptions'!$B15+'Project Assumptions'!$D$15+'Project Assumptions'!$D$16-1='Detailed Cashflows'!L$5,-'Economic Assumptions'!$J15,0)</f>
        <v/>
      </c>
      <c r="M93" s="301">
        <f>IF('Economic Assumptions'!$B15+'Project Assumptions'!$D$15+'Project Assumptions'!$D$16-1='Detailed Cashflows'!M$5,-'Economic Assumptions'!$J15,0)</f>
        <v/>
      </c>
      <c r="N93" s="301">
        <f>IF('Economic Assumptions'!$B15+'Project Assumptions'!$D$15+'Project Assumptions'!$D$16-1='Detailed Cashflows'!N$5,-'Economic Assumptions'!$J15,0)</f>
        <v/>
      </c>
      <c r="O93" s="301">
        <f>IF('Economic Assumptions'!$B15+'Project Assumptions'!$D$15+'Project Assumptions'!$D$16-1='Detailed Cashflows'!O$5,-'Economic Assumptions'!$J15,0)</f>
        <v/>
      </c>
      <c r="P93" s="301">
        <f>IF('Economic Assumptions'!$B15+'Project Assumptions'!$D$15+'Project Assumptions'!$D$16-1='Detailed Cashflows'!P$5,-'Economic Assumptions'!$J15,0)</f>
        <v/>
      </c>
      <c r="Q93" s="301">
        <f>IF('Economic Assumptions'!$B15+'Project Assumptions'!$D$15+'Project Assumptions'!$D$16-1='Detailed Cashflows'!Q$5,-'Economic Assumptions'!$J15,0)</f>
        <v/>
      </c>
      <c r="R93" s="301">
        <f>IF('Economic Assumptions'!$B15+'Project Assumptions'!$D$15+'Project Assumptions'!$D$16-1='Detailed Cashflows'!R$5,-'Economic Assumptions'!$J15,0)</f>
        <v/>
      </c>
      <c r="S93" s="301">
        <f>IF('Economic Assumptions'!$B15+'Project Assumptions'!$D$15+'Project Assumptions'!$D$16-1='Detailed Cashflows'!S$5,-'Economic Assumptions'!$J15,0)</f>
        <v/>
      </c>
      <c r="T93" s="301">
        <f>IF('Economic Assumptions'!$B15+'Project Assumptions'!$D$15+'Project Assumptions'!$D$16-1='Detailed Cashflows'!T$5,-'Economic Assumptions'!$J15,0)</f>
        <v/>
      </c>
      <c r="U93" s="301">
        <f>IF('Economic Assumptions'!$B15+'Project Assumptions'!$D$15+'Project Assumptions'!$D$16-1='Detailed Cashflows'!U$5,-'Economic Assumptions'!$J15,0)</f>
        <v/>
      </c>
      <c r="V93" s="301">
        <f>IF('Economic Assumptions'!$B15+'Project Assumptions'!$D$15+'Project Assumptions'!$D$16-1='Detailed Cashflows'!V$5,-'Economic Assumptions'!$J15,0)</f>
        <v/>
      </c>
      <c r="W93" s="301">
        <f>IF('Economic Assumptions'!$B15+'Project Assumptions'!$D$15+'Project Assumptions'!$D$16-1='Detailed Cashflows'!W$5,-'Economic Assumptions'!$J15,0)</f>
        <v/>
      </c>
      <c r="X93" s="301">
        <f>IF('Economic Assumptions'!$B15+'Project Assumptions'!$D$15+'Project Assumptions'!$D$16-1='Detailed Cashflows'!X$5,-'Economic Assumptions'!$J15,0)</f>
        <v/>
      </c>
      <c r="Y93" s="301">
        <f>IF('Economic Assumptions'!$B15+'Project Assumptions'!$D$15+'Project Assumptions'!$D$16-1='Detailed Cashflows'!Y$5,-'Economic Assumptions'!$J15,0)</f>
        <v/>
      </c>
      <c r="Z93" s="301">
        <f>IF('Economic Assumptions'!$B15+'Project Assumptions'!$D$15+'Project Assumptions'!$D$16-1='Detailed Cashflows'!Z$5,-'Economic Assumptions'!$J15,0)</f>
        <v/>
      </c>
      <c r="AA93" s="301">
        <f>IF('Economic Assumptions'!$B15+'Project Assumptions'!$D$15+'Project Assumptions'!$D$16-1='Detailed Cashflows'!AA$5,-'Economic Assumptions'!$J15,0)</f>
        <v/>
      </c>
      <c r="AB93" s="301">
        <f>IF('Economic Assumptions'!$B15+'Project Assumptions'!$D$15+'Project Assumptions'!$D$16-1='Detailed Cashflows'!AB$5,-'Economic Assumptions'!$J15,0)</f>
        <v/>
      </c>
      <c r="AC93" s="301">
        <f>IF('Economic Assumptions'!$B15+'Project Assumptions'!$D$15+'Project Assumptions'!$D$16-1='Detailed Cashflows'!AC$5,-'Economic Assumptions'!$J15,0)</f>
        <v/>
      </c>
      <c r="AD93" s="301">
        <f>IF('Economic Assumptions'!$B15+'Project Assumptions'!$D$15+'Project Assumptions'!$D$16-1='Detailed Cashflows'!AD$5,-'Economic Assumptions'!$J15,0)</f>
        <v/>
      </c>
      <c r="AE93" s="301">
        <f>IF('Economic Assumptions'!$B15+'Project Assumptions'!$D$15+'Project Assumptions'!$D$16-1='Detailed Cashflows'!AE$5,-'Economic Assumptions'!$J15,0)</f>
        <v/>
      </c>
      <c r="AF93" s="301">
        <f>IF('Economic Assumptions'!$B15+'Project Assumptions'!$D$15+'Project Assumptions'!$D$16-1='Detailed Cashflows'!AF$5,-'Economic Assumptions'!$J15,0)</f>
        <v/>
      </c>
      <c r="AG93" s="301">
        <f>IF('Economic Assumptions'!$B15+'Project Assumptions'!$D$15+'Project Assumptions'!$D$16-1='Detailed Cashflows'!AG$5,-'Economic Assumptions'!$J15,0)</f>
        <v/>
      </c>
      <c r="AH93" s="301">
        <f>IF('Economic Assumptions'!$B15+'Project Assumptions'!$D$15+'Project Assumptions'!$D$16-1='Detailed Cashflows'!AH$5,-'Economic Assumptions'!$J15,0)</f>
        <v/>
      </c>
      <c r="AI93" s="301">
        <f>IF('Economic Assumptions'!$B15+'Project Assumptions'!$D$15+'Project Assumptions'!$D$16-1='Detailed Cashflows'!AI$5,-'Economic Assumptions'!$J15,0)</f>
        <v/>
      </c>
      <c r="AJ93" s="301">
        <f>IF('Economic Assumptions'!$B15+'Project Assumptions'!$D$15+'Project Assumptions'!$D$16-1='Detailed Cashflows'!AJ$5,-'Economic Assumptions'!$J15,0)</f>
        <v/>
      </c>
      <c r="AK93" s="301">
        <f>IF('Economic Assumptions'!$B15+'Project Assumptions'!$D$15+'Project Assumptions'!$D$16-1='Detailed Cashflows'!AK$5,-'Economic Assumptions'!$J15,0)</f>
        <v/>
      </c>
      <c r="AL93" s="301">
        <f>IF('Economic Assumptions'!$B15+'Project Assumptions'!$D$15+'Project Assumptions'!$D$16-1='Detailed Cashflows'!AL$5,-'Economic Assumptions'!$J15,0)</f>
        <v/>
      </c>
      <c r="AM93" s="301">
        <f>IF('Economic Assumptions'!$B15+'Project Assumptions'!$D$15+'Project Assumptions'!$D$16-1='Detailed Cashflows'!AM$5,-'Economic Assumptions'!$J15,0)</f>
        <v/>
      </c>
      <c r="AN93" s="301">
        <f>IF('Economic Assumptions'!$B15+'Project Assumptions'!$D$15+'Project Assumptions'!$D$16-1='Detailed Cashflows'!AN$5,-'Economic Assumptions'!$J15,0)</f>
        <v/>
      </c>
      <c r="AO93" s="301">
        <f>IF('Economic Assumptions'!$B15+'Project Assumptions'!$D$15+'Project Assumptions'!$D$16-1='Detailed Cashflows'!AO$5,-'Economic Assumptions'!$J15,0)</f>
        <v/>
      </c>
      <c r="AP93" s="301">
        <f>IF('Economic Assumptions'!$B15+'Project Assumptions'!$D$15+'Project Assumptions'!$D$16-1='Detailed Cashflows'!AP$5,-'Economic Assumptions'!$J15,0)</f>
        <v/>
      </c>
      <c r="AQ93" s="301">
        <f>IF('Economic Assumptions'!$B15+'Project Assumptions'!$D$15+'Project Assumptions'!$D$16-1='Detailed Cashflows'!AQ$5,-'Economic Assumptions'!$J15,0)</f>
        <v/>
      </c>
      <c r="AR93" s="301">
        <f>IF('Economic Assumptions'!$B15+'Project Assumptions'!$D$15+'Project Assumptions'!$D$16-1='Detailed Cashflows'!AR$5,-'Economic Assumptions'!$J15,0)</f>
        <v/>
      </c>
      <c r="AS93" s="301">
        <f>IF('Economic Assumptions'!$B15+'Project Assumptions'!$D$15+'Project Assumptions'!$D$16-1='Detailed Cashflows'!AS$5,-'Economic Assumptions'!$J15,0)</f>
        <v/>
      </c>
      <c r="AT93" s="301">
        <f>IF('Economic Assumptions'!$B15+'Project Assumptions'!$D$15+'Project Assumptions'!$D$16-1='Detailed Cashflows'!AT$5,-'Economic Assumptions'!$J15,0)</f>
        <v/>
      </c>
      <c r="AU93" s="301">
        <f>IF('Economic Assumptions'!$B15+'Project Assumptions'!$D$15+'Project Assumptions'!$D$16-1='Detailed Cashflows'!AU$5,-'Economic Assumptions'!$J15,0)</f>
        <v/>
      </c>
      <c r="AV93" s="301">
        <f>IF('Economic Assumptions'!$B15+'Project Assumptions'!$D$15+'Project Assumptions'!$D$16-1='Detailed Cashflows'!AV$5,-'Economic Assumptions'!$J15,0)</f>
        <v/>
      </c>
      <c r="AW93" s="301">
        <f>IF('Economic Assumptions'!$B15+'Project Assumptions'!$D$15+'Project Assumptions'!$D$16-1='Detailed Cashflows'!AW$5,-'Economic Assumptions'!$J15,0)</f>
        <v/>
      </c>
      <c r="AX93" s="301">
        <f>IF('Economic Assumptions'!$B15+'Project Assumptions'!$D$15+'Project Assumptions'!$D$16-1='Detailed Cashflows'!AX$5,-'Economic Assumptions'!$J15,0)</f>
        <v/>
      </c>
      <c r="AY93" s="301">
        <f>IF('Economic Assumptions'!$B15+'Project Assumptions'!$D$15+'Project Assumptions'!$D$16-1='Detailed Cashflows'!AY$5,-'Economic Assumptions'!$J15,0)</f>
        <v/>
      </c>
      <c r="AZ93" s="301">
        <f>IF('Economic Assumptions'!$B15+'Project Assumptions'!$D$15+'Project Assumptions'!$D$16-1='Detailed Cashflows'!AZ$5,-'Economic Assumptions'!$J15,0)</f>
        <v/>
      </c>
      <c r="BA93" s="301">
        <f>IF('Economic Assumptions'!$B15+'Project Assumptions'!$D$15+'Project Assumptions'!$D$16-1='Detailed Cashflows'!BA$5,-'Economic Assumptions'!$J15,0)</f>
        <v/>
      </c>
      <c r="BB93" s="301">
        <f>IF('Economic Assumptions'!$B15+'Project Assumptions'!$D$15+'Project Assumptions'!$D$16-1='Detailed Cashflows'!BB$5,-'Economic Assumptions'!$J15,0)</f>
        <v/>
      </c>
      <c r="BC93" s="301">
        <f>IF('Economic Assumptions'!$B15+'Project Assumptions'!$D$15+'Project Assumptions'!$D$16-1='Detailed Cashflows'!BC$5,-'Economic Assumptions'!$J15,0)</f>
        <v/>
      </c>
      <c r="BD93" s="301">
        <f>IF('Economic Assumptions'!$B15+'Project Assumptions'!$D$15+'Project Assumptions'!$D$16-1='Detailed Cashflows'!BD$5,-'Economic Assumptions'!$J15,0)</f>
        <v/>
      </c>
      <c r="BE93" s="301">
        <f>IF('Economic Assumptions'!$B15+'Project Assumptions'!$D$15+'Project Assumptions'!$D$16-1='Detailed Cashflows'!BE$5,-'Economic Assumptions'!$J15,0)</f>
        <v/>
      </c>
      <c r="BF93" s="301">
        <f>IF('Economic Assumptions'!$B15+'Project Assumptions'!$D$15+'Project Assumptions'!$D$16-1='Detailed Cashflows'!BF$5,-'Economic Assumptions'!$J15,0)</f>
        <v/>
      </c>
      <c r="BG93" s="301">
        <f>IF('Economic Assumptions'!$B15+'Project Assumptions'!$D$15+'Project Assumptions'!$D$16-1='Detailed Cashflows'!BG$5,-'Economic Assumptions'!$J15,0)</f>
        <v/>
      </c>
      <c r="BH93" s="301">
        <f>IF('Economic Assumptions'!$B15+'Project Assumptions'!$D$15+'Project Assumptions'!$D$16-1='Detailed Cashflows'!BH$5,-'Economic Assumptions'!$J15,0)</f>
        <v/>
      </c>
      <c r="BI93" s="301">
        <f>IF('Economic Assumptions'!$B15+'Project Assumptions'!$D$15+'Project Assumptions'!$D$16-1='Detailed Cashflows'!BI$5,-'Economic Assumptions'!$J15,0)</f>
        <v/>
      </c>
      <c r="BJ93" s="301">
        <f>IF('Economic Assumptions'!$B15+'Project Assumptions'!$D$15+'Project Assumptions'!$D$16-1='Detailed Cashflows'!BJ$5,-'Economic Assumptions'!$J15,0)</f>
        <v/>
      </c>
      <c r="BK93" s="301">
        <f>IF('Economic Assumptions'!$B15+'Project Assumptions'!$D$15+'Project Assumptions'!$D$16-1='Detailed Cashflows'!BK$5,-'Economic Assumptions'!$J15,0)</f>
        <v/>
      </c>
      <c r="BL93" s="301">
        <f>IF('Economic Assumptions'!$B15+'Project Assumptions'!$D$15+'Project Assumptions'!$D$16-1='Detailed Cashflows'!BL$5,-'Economic Assumptions'!$J15,0)</f>
        <v/>
      </c>
      <c r="BM93" s="301">
        <f>IF('Economic Assumptions'!$B15+'Project Assumptions'!$D$15+'Project Assumptions'!$D$16-1='Detailed Cashflows'!BM$5,-'Economic Assumptions'!$J15,0)</f>
        <v/>
      </c>
      <c r="BN93" s="301">
        <f>IF('Economic Assumptions'!$B15+'Project Assumptions'!$D$15+'Project Assumptions'!$D$16-1='Detailed Cashflows'!BN$5,-'Economic Assumptions'!$J15,0)</f>
        <v/>
      </c>
      <c r="BO93" s="301">
        <f>IF('Economic Assumptions'!$B15+'Project Assumptions'!$D$15+'Project Assumptions'!$D$16-1='Detailed Cashflows'!BO$5,-'Economic Assumptions'!$J15,0)</f>
        <v/>
      </c>
      <c r="BP93" s="301">
        <f>IF('Economic Assumptions'!$B15+'Project Assumptions'!$D$15+'Project Assumptions'!$D$16-1='Detailed Cashflows'!BP$5,-'Economic Assumptions'!$J15,0)</f>
        <v/>
      </c>
      <c r="BQ93" s="301">
        <f>IF('Economic Assumptions'!$B15+'Project Assumptions'!$D$15+'Project Assumptions'!$D$16-1='Detailed Cashflows'!BQ$5,-'Economic Assumptions'!$J15,0)</f>
        <v/>
      </c>
      <c r="BR93" s="301">
        <f>IF('Economic Assumptions'!$B15+'Project Assumptions'!$D$15+'Project Assumptions'!$D$16-1='Detailed Cashflows'!BR$5,-'Economic Assumptions'!$J15,0)</f>
        <v/>
      </c>
      <c r="BS93" s="301">
        <f>IF('Economic Assumptions'!$B15+'Project Assumptions'!$D$15+'Project Assumptions'!$D$16-1='Detailed Cashflows'!BS$5,-'Economic Assumptions'!$J15,0)</f>
        <v/>
      </c>
      <c r="BT93" s="301">
        <f>IF('Economic Assumptions'!$B15+'Project Assumptions'!$D$15+'Project Assumptions'!$D$16-1='Detailed Cashflows'!BT$5,-'Economic Assumptions'!$J15,0)</f>
        <v/>
      </c>
      <c r="BU93" s="301">
        <f>IF('Economic Assumptions'!$B15+'Project Assumptions'!$D$15+'Project Assumptions'!$D$16-1='Detailed Cashflows'!BU$5,-'Economic Assumptions'!$J15,0)</f>
        <v/>
      </c>
      <c r="BV93" s="301">
        <f>IF('Economic Assumptions'!$B15+'Project Assumptions'!$D$15+'Project Assumptions'!$D$16-1='Detailed Cashflows'!BV$5,-'Economic Assumptions'!$J15,0)</f>
        <v/>
      </c>
      <c r="BW93" s="301">
        <f>IF('Economic Assumptions'!$B15+'Project Assumptions'!$D$15+'Project Assumptions'!$D$16-1='Detailed Cashflows'!BW$5,-'Economic Assumptions'!$J15,0)</f>
        <v/>
      </c>
      <c r="BX93" s="301">
        <f>IF('Economic Assumptions'!$B15+'Project Assumptions'!$D$15+'Project Assumptions'!$D$16-1='Detailed Cashflows'!BX$5,-'Economic Assumptions'!$J15,0)</f>
        <v/>
      </c>
      <c r="BY93" s="301">
        <f>IF('Economic Assumptions'!$B15+'Project Assumptions'!$D$15+'Project Assumptions'!$D$16-1='Detailed Cashflows'!BY$5,-'Economic Assumptions'!$J15,0)</f>
        <v/>
      </c>
      <c r="BZ93" s="301">
        <f>IF('Economic Assumptions'!$B15+'Project Assumptions'!$D$15+'Project Assumptions'!$D$16-1='Detailed Cashflows'!BZ$5,-'Economic Assumptions'!$J15,0)</f>
        <v/>
      </c>
      <c r="CA93" s="301">
        <f>IF('Economic Assumptions'!$B15+'Project Assumptions'!$D$15+'Project Assumptions'!$D$16-1='Detailed Cashflows'!CA$5,-'Economic Assumptions'!$J15,0)</f>
        <v/>
      </c>
      <c r="CB93" s="301">
        <f>IF('Economic Assumptions'!$B15+'Project Assumptions'!$D$15+'Project Assumptions'!$D$16-1='Detailed Cashflows'!CB$5,-'Economic Assumptions'!$J15,0)</f>
        <v/>
      </c>
      <c r="CC93" s="301">
        <f>IF('Economic Assumptions'!$B15+'Project Assumptions'!$D$15+'Project Assumptions'!$D$16-1='Detailed Cashflows'!CC$5,-'Economic Assumptions'!$J15,0)</f>
        <v/>
      </c>
      <c r="CD93" s="301">
        <f>IF('Economic Assumptions'!$B15+'Project Assumptions'!$D$15+'Project Assumptions'!$D$16-1='Detailed Cashflows'!CD$5,-'Economic Assumptions'!$J15,0)</f>
        <v/>
      </c>
      <c r="CE93" s="301">
        <f>IF('Economic Assumptions'!$B15+'Project Assumptions'!$D$15+'Project Assumptions'!$D$16-1='Detailed Cashflows'!CE$5,-'Economic Assumptions'!$J15,0)</f>
        <v/>
      </c>
      <c r="CF93" s="301">
        <f>IF('Economic Assumptions'!$B15+'Project Assumptions'!$D$15+'Project Assumptions'!$D$16-1='Detailed Cashflows'!CF$5,-'Economic Assumptions'!$J15,0)</f>
        <v/>
      </c>
      <c r="CG93" s="301">
        <f>IF('Economic Assumptions'!$B15+'Project Assumptions'!$D$15+'Project Assumptions'!$D$16-1='Detailed Cashflows'!CG$5,-'Economic Assumptions'!$J15,0)</f>
        <v/>
      </c>
      <c r="CH93" s="301">
        <f>IF('Economic Assumptions'!$B15+'Project Assumptions'!$D$15+'Project Assumptions'!$D$16-1='Detailed Cashflows'!CH$5,-'Economic Assumptions'!$J15,0)</f>
        <v/>
      </c>
      <c r="CI93" s="301">
        <f>IF('Economic Assumptions'!$B15+'Project Assumptions'!$D$15+'Project Assumptions'!$D$16-1='Detailed Cashflows'!CI$5,-'Economic Assumptions'!$J15,0)</f>
        <v/>
      </c>
      <c r="CJ93" s="301">
        <f>IF('Economic Assumptions'!$B15+'Project Assumptions'!$D$15+'Project Assumptions'!$D$16-1='Detailed Cashflows'!CJ$5,-'Economic Assumptions'!$J15,0)</f>
        <v/>
      </c>
      <c r="CK93" s="301">
        <f>IF('Economic Assumptions'!$B15+'Project Assumptions'!$D$15+'Project Assumptions'!$D$16-1='Detailed Cashflows'!CK$5,-'Economic Assumptions'!$J15,0)</f>
        <v/>
      </c>
      <c r="CL93" s="301">
        <f>IF('Economic Assumptions'!$B15+'Project Assumptions'!$D$15+'Project Assumptions'!$D$16-1='Detailed Cashflows'!CL$5,-'Economic Assumptions'!$J15,0)</f>
        <v/>
      </c>
      <c r="CM93" s="301">
        <f>IF('Economic Assumptions'!$B15+'Project Assumptions'!$D$15+'Project Assumptions'!$D$16-1='Detailed Cashflows'!CM$5,-'Economic Assumptions'!$J15,0)</f>
        <v/>
      </c>
      <c r="CN93" s="301">
        <f>IF('Economic Assumptions'!$B15+'Project Assumptions'!$D$15+'Project Assumptions'!$D$16-1='Detailed Cashflows'!CN$5,-'Economic Assumptions'!$J15,0)</f>
        <v/>
      </c>
      <c r="CO93" s="301">
        <f>IF('Economic Assumptions'!$B15+'Project Assumptions'!$D$15+'Project Assumptions'!$D$16-1='Detailed Cashflows'!CO$5,-'Economic Assumptions'!$J15,0)</f>
        <v/>
      </c>
      <c r="CP93" s="301">
        <f>IF('Economic Assumptions'!$B15+'Project Assumptions'!$D$15+'Project Assumptions'!$D$16-1='Detailed Cashflows'!CP$5,-'Economic Assumptions'!$J15,0)</f>
        <v/>
      </c>
      <c r="CQ93" s="301">
        <f>IF('Economic Assumptions'!$B15+'Project Assumptions'!$D$15+'Project Assumptions'!$D$16-1='Detailed Cashflows'!CQ$5,-'Economic Assumptions'!$J15,0)</f>
        <v/>
      </c>
      <c r="CR93" s="301">
        <f>IF('Economic Assumptions'!$B15+'Project Assumptions'!$D$15+'Project Assumptions'!$D$16-1='Detailed Cashflows'!CR$5,-'Economic Assumptions'!$J15,0)</f>
        <v/>
      </c>
      <c r="CS93" s="301">
        <f>IF('Economic Assumptions'!$B15+'Project Assumptions'!$D$15+'Project Assumptions'!$D$16-1='Detailed Cashflows'!CS$5,-'Economic Assumptions'!$J15,0)</f>
        <v/>
      </c>
      <c r="CT93" s="301">
        <f>IF('Economic Assumptions'!$B15+'Project Assumptions'!$D$15+'Project Assumptions'!$D$16-1='Detailed Cashflows'!CT$5,-'Economic Assumptions'!$J15,0)</f>
        <v/>
      </c>
      <c r="CU93" s="301">
        <f>IF('Economic Assumptions'!$B15+'Project Assumptions'!$D$15+'Project Assumptions'!$D$16-1='Detailed Cashflows'!CU$5,-'Economic Assumptions'!$J15,0)</f>
        <v/>
      </c>
      <c r="CV93" s="301">
        <f>IF('Economic Assumptions'!$B15+'Project Assumptions'!$D$15+'Project Assumptions'!$D$16-1='Detailed Cashflows'!CV$5,-'Economic Assumptions'!$J15,0)</f>
        <v/>
      </c>
      <c r="CW93" s="301">
        <f>IF('Economic Assumptions'!$B15+'Project Assumptions'!$D$15+'Project Assumptions'!$D$16-1='Detailed Cashflows'!CW$5,-'Economic Assumptions'!$J15,0)</f>
        <v/>
      </c>
      <c r="CX93" s="301">
        <f>IF('Economic Assumptions'!$B15+'Project Assumptions'!$D$15+'Project Assumptions'!$D$16-1='Detailed Cashflows'!CX$5,-'Economic Assumptions'!$J15,0)</f>
        <v/>
      </c>
      <c r="CY93" s="301">
        <f>IF('Economic Assumptions'!$B15+'Project Assumptions'!$D$15+'Project Assumptions'!$D$16-1='Detailed Cashflows'!CY$5,-'Economic Assumptions'!$J15,0)</f>
        <v/>
      </c>
      <c r="CZ93" s="301">
        <f>IF('Economic Assumptions'!$B15+'Project Assumptions'!$D$15+'Project Assumptions'!$D$16-1='Detailed Cashflows'!CZ$5,-'Economic Assumptions'!$J15,0)</f>
        <v/>
      </c>
      <c r="DA93" s="301">
        <f>IF('Economic Assumptions'!$B15+'Project Assumptions'!$D$15+'Project Assumptions'!$D$16-1='Detailed Cashflows'!DA$5,-'Economic Assumptions'!$J15,0)</f>
        <v/>
      </c>
      <c r="DB93" s="301">
        <f>IF('Economic Assumptions'!$B15+'Project Assumptions'!$D$15+'Project Assumptions'!$D$16-1='Detailed Cashflows'!DB$5,-'Economic Assumptions'!$J15,0)</f>
        <v/>
      </c>
      <c r="DC93" s="301" t="n"/>
      <c r="DD93" s="299">
        <f>SUM(F93:DB93)</f>
        <v/>
      </c>
    </row>
    <row r="94" hidden="1" outlineLevel="1">
      <c r="A94" s="1000" t="n"/>
      <c r="B94" s="303">
        <f>'Economic Assumptions'!$A$16</f>
        <v/>
      </c>
      <c r="C94" s="294" t="n"/>
      <c r="D94" s="299">
        <f>DD94</f>
        <v/>
      </c>
      <c r="E94" s="300" t="n"/>
      <c r="F94" s="301">
        <f>IF('Economic Assumptions'!$B16+'Project Assumptions'!$D$15+'Project Assumptions'!$D$16-1='Detailed Cashflows'!F$5,-'Economic Assumptions'!$J16,0)</f>
        <v/>
      </c>
      <c r="G94" s="301">
        <f>IF('Economic Assumptions'!$B16+'Project Assumptions'!$D$15+'Project Assumptions'!$D$16-1='Detailed Cashflows'!G$5,-'Economic Assumptions'!$J16,0)</f>
        <v/>
      </c>
      <c r="H94" s="301">
        <f>IF('Economic Assumptions'!$B16+'Project Assumptions'!$D$15+'Project Assumptions'!$D$16-1='Detailed Cashflows'!H$5,-'Economic Assumptions'!$J16,0)</f>
        <v/>
      </c>
      <c r="I94" s="301">
        <f>IF('Economic Assumptions'!$B16+'Project Assumptions'!$D$15+'Project Assumptions'!$D$16-1='Detailed Cashflows'!I$5,-'Economic Assumptions'!$J16,0)</f>
        <v/>
      </c>
      <c r="J94" s="301">
        <f>IF('Economic Assumptions'!$B16+'Project Assumptions'!$D$15+'Project Assumptions'!$D$16-1='Detailed Cashflows'!J$5,-'Economic Assumptions'!$J16,0)</f>
        <v/>
      </c>
      <c r="K94" s="301">
        <f>IF('Economic Assumptions'!$B16+'Project Assumptions'!$D$15+'Project Assumptions'!$D$16-1='Detailed Cashflows'!K$5,-'Economic Assumptions'!$J16,0)</f>
        <v/>
      </c>
      <c r="L94" s="301">
        <f>IF('Economic Assumptions'!$B16+'Project Assumptions'!$D$15+'Project Assumptions'!$D$16-1='Detailed Cashflows'!L$5,-'Economic Assumptions'!$J16,0)</f>
        <v/>
      </c>
      <c r="M94" s="301">
        <f>IF('Economic Assumptions'!$B16+'Project Assumptions'!$D$15+'Project Assumptions'!$D$16-1='Detailed Cashflows'!M$5,-'Economic Assumptions'!$J16,0)</f>
        <v/>
      </c>
      <c r="N94" s="301">
        <f>IF('Economic Assumptions'!$B16+'Project Assumptions'!$D$15+'Project Assumptions'!$D$16-1='Detailed Cashflows'!N$5,-'Economic Assumptions'!$J16,0)</f>
        <v/>
      </c>
      <c r="O94" s="301">
        <f>IF('Economic Assumptions'!$B16+'Project Assumptions'!$D$15+'Project Assumptions'!$D$16-1='Detailed Cashflows'!O$5,-'Economic Assumptions'!$J16,0)</f>
        <v/>
      </c>
      <c r="P94" s="301">
        <f>IF('Economic Assumptions'!$B16+'Project Assumptions'!$D$15+'Project Assumptions'!$D$16-1='Detailed Cashflows'!P$5,-'Economic Assumptions'!$J16,0)</f>
        <v/>
      </c>
      <c r="Q94" s="301">
        <f>IF('Economic Assumptions'!$B16+'Project Assumptions'!$D$15+'Project Assumptions'!$D$16-1='Detailed Cashflows'!Q$5,-'Economic Assumptions'!$J16,0)</f>
        <v/>
      </c>
      <c r="R94" s="301">
        <f>IF('Economic Assumptions'!$B16+'Project Assumptions'!$D$15+'Project Assumptions'!$D$16-1='Detailed Cashflows'!R$5,-'Economic Assumptions'!$J16,0)</f>
        <v/>
      </c>
      <c r="S94" s="301">
        <f>IF('Economic Assumptions'!$B16+'Project Assumptions'!$D$15+'Project Assumptions'!$D$16-1='Detailed Cashflows'!S$5,-'Economic Assumptions'!$J16,0)</f>
        <v/>
      </c>
      <c r="T94" s="301">
        <f>IF('Economic Assumptions'!$B16+'Project Assumptions'!$D$15+'Project Assumptions'!$D$16-1='Detailed Cashflows'!T$5,-'Economic Assumptions'!$J16,0)</f>
        <v/>
      </c>
      <c r="U94" s="301">
        <f>IF('Economic Assumptions'!$B16+'Project Assumptions'!$D$15+'Project Assumptions'!$D$16-1='Detailed Cashflows'!U$5,-'Economic Assumptions'!$J16,0)</f>
        <v/>
      </c>
      <c r="V94" s="301">
        <f>IF('Economic Assumptions'!$B16+'Project Assumptions'!$D$15+'Project Assumptions'!$D$16-1='Detailed Cashflows'!V$5,-'Economic Assumptions'!$J16,0)</f>
        <v/>
      </c>
      <c r="W94" s="301">
        <f>IF('Economic Assumptions'!$B16+'Project Assumptions'!$D$15+'Project Assumptions'!$D$16-1='Detailed Cashflows'!W$5,-'Economic Assumptions'!$J16,0)</f>
        <v/>
      </c>
      <c r="X94" s="301">
        <f>IF('Economic Assumptions'!$B16+'Project Assumptions'!$D$15+'Project Assumptions'!$D$16-1='Detailed Cashflows'!X$5,-'Economic Assumptions'!$J16,0)</f>
        <v/>
      </c>
      <c r="Y94" s="301">
        <f>IF('Economic Assumptions'!$B16+'Project Assumptions'!$D$15+'Project Assumptions'!$D$16-1='Detailed Cashflows'!Y$5,-'Economic Assumptions'!$J16,0)</f>
        <v/>
      </c>
      <c r="Z94" s="301">
        <f>IF('Economic Assumptions'!$B16+'Project Assumptions'!$D$15+'Project Assumptions'!$D$16-1='Detailed Cashflows'!Z$5,-'Economic Assumptions'!$J16,0)</f>
        <v/>
      </c>
      <c r="AA94" s="301">
        <f>IF('Economic Assumptions'!$B16+'Project Assumptions'!$D$15+'Project Assumptions'!$D$16-1='Detailed Cashflows'!AA$5,-'Economic Assumptions'!$J16,0)</f>
        <v/>
      </c>
      <c r="AB94" s="301">
        <f>IF('Economic Assumptions'!$B16+'Project Assumptions'!$D$15+'Project Assumptions'!$D$16-1='Detailed Cashflows'!AB$5,-'Economic Assumptions'!$J16,0)</f>
        <v/>
      </c>
      <c r="AC94" s="301">
        <f>IF('Economic Assumptions'!$B16+'Project Assumptions'!$D$15+'Project Assumptions'!$D$16-1='Detailed Cashflows'!AC$5,-'Economic Assumptions'!$J16,0)</f>
        <v/>
      </c>
      <c r="AD94" s="301">
        <f>IF('Economic Assumptions'!$B16+'Project Assumptions'!$D$15+'Project Assumptions'!$D$16-1='Detailed Cashflows'!AD$5,-'Economic Assumptions'!$J16,0)</f>
        <v/>
      </c>
      <c r="AE94" s="301">
        <f>IF('Economic Assumptions'!$B16+'Project Assumptions'!$D$15+'Project Assumptions'!$D$16-1='Detailed Cashflows'!AE$5,-'Economic Assumptions'!$J16,0)</f>
        <v/>
      </c>
      <c r="AF94" s="301">
        <f>IF('Economic Assumptions'!$B16+'Project Assumptions'!$D$15+'Project Assumptions'!$D$16-1='Detailed Cashflows'!AF$5,-'Economic Assumptions'!$J16,0)</f>
        <v/>
      </c>
      <c r="AG94" s="301">
        <f>IF('Economic Assumptions'!$B16+'Project Assumptions'!$D$15+'Project Assumptions'!$D$16-1='Detailed Cashflows'!AG$5,-'Economic Assumptions'!$J16,0)</f>
        <v/>
      </c>
      <c r="AH94" s="301">
        <f>IF('Economic Assumptions'!$B16+'Project Assumptions'!$D$15+'Project Assumptions'!$D$16-1='Detailed Cashflows'!AH$5,-'Economic Assumptions'!$J16,0)</f>
        <v/>
      </c>
      <c r="AI94" s="301">
        <f>IF('Economic Assumptions'!$B16+'Project Assumptions'!$D$15+'Project Assumptions'!$D$16-1='Detailed Cashflows'!AI$5,-'Economic Assumptions'!$J16,0)</f>
        <v/>
      </c>
      <c r="AJ94" s="301">
        <f>IF('Economic Assumptions'!$B16+'Project Assumptions'!$D$15+'Project Assumptions'!$D$16-1='Detailed Cashflows'!AJ$5,-'Economic Assumptions'!$J16,0)</f>
        <v/>
      </c>
      <c r="AK94" s="301">
        <f>IF('Economic Assumptions'!$B16+'Project Assumptions'!$D$15+'Project Assumptions'!$D$16-1='Detailed Cashflows'!AK$5,-'Economic Assumptions'!$J16,0)</f>
        <v/>
      </c>
      <c r="AL94" s="301">
        <f>IF('Economic Assumptions'!$B16+'Project Assumptions'!$D$15+'Project Assumptions'!$D$16-1='Detailed Cashflows'!AL$5,-'Economic Assumptions'!$J16,0)</f>
        <v/>
      </c>
      <c r="AM94" s="301">
        <f>IF('Economic Assumptions'!$B16+'Project Assumptions'!$D$15+'Project Assumptions'!$D$16-1='Detailed Cashflows'!AM$5,-'Economic Assumptions'!$J16,0)</f>
        <v/>
      </c>
      <c r="AN94" s="301">
        <f>IF('Economic Assumptions'!$B16+'Project Assumptions'!$D$15+'Project Assumptions'!$D$16-1='Detailed Cashflows'!AN$5,-'Economic Assumptions'!$J16,0)</f>
        <v/>
      </c>
      <c r="AO94" s="301">
        <f>IF('Economic Assumptions'!$B16+'Project Assumptions'!$D$15+'Project Assumptions'!$D$16-1='Detailed Cashflows'!AO$5,-'Economic Assumptions'!$J16,0)</f>
        <v/>
      </c>
      <c r="AP94" s="301">
        <f>IF('Economic Assumptions'!$B16+'Project Assumptions'!$D$15+'Project Assumptions'!$D$16-1='Detailed Cashflows'!AP$5,-'Economic Assumptions'!$J16,0)</f>
        <v/>
      </c>
      <c r="AQ94" s="301">
        <f>IF('Economic Assumptions'!$B16+'Project Assumptions'!$D$15+'Project Assumptions'!$D$16-1='Detailed Cashflows'!AQ$5,-'Economic Assumptions'!$J16,0)</f>
        <v/>
      </c>
      <c r="AR94" s="301">
        <f>IF('Economic Assumptions'!$B16+'Project Assumptions'!$D$15+'Project Assumptions'!$D$16-1='Detailed Cashflows'!AR$5,-'Economic Assumptions'!$J16,0)</f>
        <v/>
      </c>
      <c r="AS94" s="301">
        <f>IF('Economic Assumptions'!$B16+'Project Assumptions'!$D$15+'Project Assumptions'!$D$16-1='Detailed Cashflows'!AS$5,-'Economic Assumptions'!$J16,0)</f>
        <v/>
      </c>
      <c r="AT94" s="301">
        <f>IF('Economic Assumptions'!$B16+'Project Assumptions'!$D$15+'Project Assumptions'!$D$16-1='Detailed Cashflows'!AT$5,-'Economic Assumptions'!$J16,0)</f>
        <v/>
      </c>
      <c r="AU94" s="301">
        <f>IF('Economic Assumptions'!$B16+'Project Assumptions'!$D$15+'Project Assumptions'!$D$16-1='Detailed Cashflows'!AU$5,-'Economic Assumptions'!$J16,0)</f>
        <v/>
      </c>
      <c r="AV94" s="301">
        <f>IF('Economic Assumptions'!$B16+'Project Assumptions'!$D$15+'Project Assumptions'!$D$16-1='Detailed Cashflows'!AV$5,-'Economic Assumptions'!$J16,0)</f>
        <v/>
      </c>
      <c r="AW94" s="301">
        <f>IF('Economic Assumptions'!$B16+'Project Assumptions'!$D$15+'Project Assumptions'!$D$16-1='Detailed Cashflows'!AW$5,-'Economic Assumptions'!$J16,0)</f>
        <v/>
      </c>
      <c r="AX94" s="301">
        <f>IF('Economic Assumptions'!$B16+'Project Assumptions'!$D$15+'Project Assumptions'!$D$16-1='Detailed Cashflows'!AX$5,-'Economic Assumptions'!$J16,0)</f>
        <v/>
      </c>
      <c r="AY94" s="301">
        <f>IF('Economic Assumptions'!$B16+'Project Assumptions'!$D$15+'Project Assumptions'!$D$16-1='Detailed Cashflows'!AY$5,-'Economic Assumptions'!$J16,0)</f>
        <v/>
      </c>
      <c r="AZ94" s="301">
        <f>IF('Economic Assumptions'!$B16+'Project Assumptions'!$D$15+'Project Assumptions'!$D$16-1='Detailed Cashflows'!AZ$5,-'Economic Assumptions'!$J16,0)</f>
        <v/>
      </c>
      <c r="BA94" s="301">
        <f>IF('Economic Assumptions'!$B16+'Project Assumptions'!$D$15+'Project Assumptions'!$D$16-1='Detailed Cashflows'!BA$5,-'Economic Assumptions'!$J16,0)</f>
        <v/>
      </c>
      <c r="BB94" s="301">
        <f>IF('Economic Assumptions'!$B16+'Project Assumptions'!$D$15+'Project Assumptions'!$D$16-1='Detailed Cashflows'!BB$5,-'Economic Assumptions'!$J16,0)</f>
        <v/>
      </c>
      <c r="BC94" s="301">
        <f>IF('Economic Assumptions'!$B16+'Project Assumptions'!$D$15+'Project Assumptions'!$D$16-1='Detailed Cashflows'!BC$5,-'Economic Assumptions'!$J16,0)</f>
        <v/>
      </c>
      <c r="BD94" s="301">
        <f>IF('Economic Assumptions'!$B16+'Project Assumptions'!$D$15+'Project Assumptions'!$D$16-1='Detailed Cashflows'!BD$5,-'Economic Assumptions'!$J16,0)</f>
        <v/>
      </c>
      <c r="BE94" s="301">
        <f>IF('Economic Assumptions'!$B16+'Project Assumptions'!$D$15+'Project Assumptions'!$D$16-1='Detailed Cashflows'!BE$5,-'Economic Assumptions'!$J16,0)</f>
        <v/>
      </c>
      <c r="BF94" s="301">
        <f>IF('Economic Assumptions'!$B16+'Project Assumptions'!$D$15+'Project Assumptions'!$D$16-1='Detailed Cashflows'!BF$5,-'Economic Assumptions'!$J16,0)</f>
        <v/>
      </c>
      <c r="BG94" s="301">
        <f>IF('Economic Assumptions'!$B16+'Project Assumptions'!$D$15+'Project Assumptions'!$D$16-1='Detailed Cashflows'!BG$5,-'Economic Assumptions'!$J16,0)</f>
        <v/>
      </c>
      <c r="BH94" s="301">
        <f>IF('Economic Assumptions'!$B16+'Project Assumptions'!$D$15+'Project Assumptions'!$D$16-1='Detailed Cashflows'!BH$5,-'Economic Assumptions'!$J16,0)</f>
        <v/>
      </c>
      <c r="BI94" s="301">
        <f>IF('Economic Assumptions'!$B16+'Project Assumptions'!$D$15+'Project Assumptions'!$D$16-1='Detailed Cashflows'!BI$5,-'Economic Assumptions'!$J16,0)</f>
        <v/>
      </c>
      <c r="BJ94" s="301">
        <f>IF('Economic Assumptions'!$B16+'Project Assumptions'!$D$15+'Project Assumptions'!$D$16-1='Detailed Cashflows'!BJ$5,-'Economic Assumptions'!$J16,0)</f>
        <v/>
      </c>
      <c r="BK94" s="301">
        <f>IF('Economic Assumptions'!$B16+'Project Assumptions'!$D$15+'Project Assumptions'!$D$16-1='Detailed Cashflows'!BK$5,-'Economic Assumptions'!$J16,0)</f>
        <v/>
      </c>
      <c r="BL94" s="301">
        <f>IF('Economic Assumptions'!$B16+'Project Assumptions'!$D$15+'Project Assumptions'!$D$16-1='Detailed Cashflows'!BL$5,-'Economic Assumptions'!$J16,0)</f>
        <v/>
      </c>
      <c r="BM94" s="301">
        <f>IF('Economic Assumptions'!$B16+'Project Assumptions'!$D$15+'Project Assumptions'!$D$16-1='Detailed Cashflows'!BM$5,-'Economic Assumptions'!$J16,0)</f>
        <v/>
      </c>
      <c r="BN94" s="301">
        <f>IF('Economic Assumptions'!$B16+'Project Assumptions'!$D$15+'Project Assumptions'!$D$16-1='Detailed Cashflows'!BN$5,-'Economic Assumptions'!$J16,0)</f>
        <v/>
      </c>
      <c r="BO94" s="301">
        <f>IF('Economic Assumptions'!$B16+'Project Assumptions'!$D$15+'Project Assumptions'!$D$16-1='Detailed Cashflows'!BO$5,-'Economic Assumptions'!$J16,0)</f>
        <v/>
      </c>
      <c r="BP94" s="301">
        <f>IF('Economic Assumptions'!$B16+'Project Assumptions'!$D$15+'Project Assumptions'!$D$16-1='Detailed Cashflows'!BP$5,-'Economic Assumptions'!$J16,0)</f>
        <v/>
      </c>
      <c r="BQ94" s="301">
        <f>IF('Economic Assumptions'!$B16+'Project Assumptions'!$D$15+'Project Assumptions'!$D$16-1='Detailed Cashflows'!BQ$5,-'Economic Assumptions'!$J16,0)</f>
        <v/>
      </c>
      <c r="BR94" s="301">
        <f>IF('Economic Assumptions'!$B16+'Project Assumptions'!$D$15+'Project Assumptions'!$D$16-1='Detailed Cashflows'!BR$5,-'Economic Assumptions'!$J16,0)</f>
        <v/>
      </c>
      <c r="BS94" s="301">
        <f>IF('Economic Assumptions'!$B16+'Project Assumptions'!$D$15+'Project Assumptions'!$D$16-1='Detailed Cashflows'!BS$5,-'Economic Assumptions'!$J16,0)</f>
        <v/>
      </c>
      <c r="BT94" s="301">
        <f>IF('Economic Assumptions'!$B16+'Project Assumptions'!$D$15+'Project Assumptions'!$D$16-1='Detailed Cashflows'!BT$5,-'Economic Assumptions'!$J16,0)</f>
        <v/>
      </c>
      <c r="BU94" s="301">
        <f>IF('Economic Assumptions'!$B16+'Project Assumptions'!$D$15+'Project Assumptions'!$D$16-1='Detailed Cashflows'!BU$5,-'Economic Assumptions'!$J16,0)</f>
        <v/>
      </c>
      <c r="BV94" s="301">
        <f>IF('Economic Assumptions'!$B16+'Project Assumptions'!$D$15+'Project Assumptions'!$D$16-1='Detailed Cashflows'!BV$5,-'Economic Assumptions'!$J16,0)</f>
        <v/>
      </c>
      <c r="BW94" s="301">
        <f>IF('Economic Assumptions'!$B16+'Project Assumptions'!$D$15+'Project Assumptions'!$D$16-1='Detailed Cashflows'!BW$5,-'Economic Assumptions'!$J16,0)</f>
        <v/>
      </c>
      <c r="BX94" s="301">
        <f>IF('Economic Assumptions'!$B16+'Project Assumptions'!$D$15+'Project Assumptions'!$D$16-1='Detailed Cashflows'!BX$5,-'Economic Assumptions'!$J16,0)</f>
        <v/>
      </c>
      <c r="BY94" s="301">
        <f>IF('Economic Assumptions'!$B16+'Project Assumptions'!$D$15+'Project Assumptions'!$D$16-1='Detailed Cashflows'!BY$5,-'Economic Assumptions'!$J16,0)</f>
        <v/>
      </c>
      <c r="BZ94" s="301">
        <f>IF('Economic Assumptions'!$B16+'Project Assumptions'!$D$15+'Project Assumptions'!$D$16-1='Detailed Cashflows'!BZ$5,-'Economic Assumptions'!$J16,0)</f>
        <v/>
      </c>
      <c r="CA94" s="301">
        <f>IF('Economic Assumptions'!$B16+'Project Assumptions'!$D$15+'Project Assumptions'!$D$16-1='Detailed Cashflows'!CA$5,-'Economic Assumptions'!$J16,0)</f>
        <v/>
      </c>
      <c r="CB94" s="301">
        <f>IF('Economic Assumptions'!$B16+'Project Assumptions'!$D$15+'Project Assumptions'!$D$16-1='Detailed Cashflows'!CB$5,-'Economic Assumptions'!$J16,0)</f>
        <v/>
      </c>
      <c r="CC94" s="301">
        <f>IF('Economic Assumptions'!$B16+'Project Assumptions'!$D$15+'Project Assumptions'!$D$16-1='Detailed Cashflows'!CC$5,-'Economic Assumptions'!$J16,0)</f>
        <v/>
      </c>
      <c r="CD94" s="301">
        <f>IF('Economic Assumptions'!$B16+'Project Assumptions'!$D$15+'Project Assumptions'!$D$16-1='Detailed Cashflows'!CD$5,-'Economic Assumptions'!$J16,0)</f>
        <v/>
      </c>
      <c r="CE94" s="301">
        <f>IF('Economic Assumptions'!$B16+'Project Assumptions'!$D$15+'Project Assumptions'!$D$16-1='Detailed Cashflows'!CE$5,-'Economic Assumptions'!$J16,0)</f>
        <v/>
      </c>
      <c r="CF94" s="301">
        <f>IF('Economic Assumptions'!$B16+'Project Assumptions'!$D$15+'Project Assumptions'!$D$16-1='Detailed Cashflows'!CF$5,-'Economic Assumptions'!$J16,0)</f>
        <v/>
      </c>
      <c r="CG94" s="301">
        <f>IF('Economic Assumptions'!$B16+'Project Assumptions'!$D$15+'Project Assumptions'!$D$16-1='Detailed Cashflows'!CG$5,-'Economic Assumptions'!$J16,0)</f>
        <v/>
      </c>
      <c r="CH94" s="301">
        <f>IF('Economic Assumptions'!$B16+'Project Assumptions'!$D$15+'Project Assumptions'!$D$16-1='Detailed Cashflows'!CH$5,-'Economic Assumptions'!$J16,0)</f>
        <v/>
      </c>
      <c r="CI94" s="301">
        <f>IF('Economic Assumptions'!$B16+'Project Assumptions'!$D$15+'Project Assumptions'!$D$16-1='Detailed Cashflows'!CI$5,-'Economic Assumptions'!$J16,0)</f>
        <v/>
      </c>
      <c r="CJ94" s="301">
        <f>IF('Economic Assumptions'!$B16+'Project Assumptions'!$D$15+'Project Assumptions'!$D$16-1='Detailed Cashflows'!CJ$5,-'Economic Assumptions'!$J16,0)</f>
        <v/>
      </c>
      <c r="CK94" s="301">
        <f>IF('Economic Assumptions'!$B16+'Project Assumptions'!$D$15+'Project Assumptions'!$D$16-1='Detailed Cashflows'!CK$5,-'Economic Assumptions'!$J16,0)</f>
        <v/>
      </c>
      <c r="CL94" s="301">
        <f>IF('Economic Assumptions'!$B16+'Project Assumptions'!$D$15+'Project Assumptions'!$D$16-1='Detailed Cashflows'!CL$5,-'Economic Assumptions'!$J16,0)</f>
        <v/>
      </c>
      <c r="CM94" s="301">
        <f>IF('Economic Assumptions'!$B16+'Project Assumptions'!$D$15+'Project Assumptions'!$D$16-1='Detailed Cashflows'!CM$5,-'Economic Assumptions'!$J16,0)</f>
        <v/>
      </c>
      <c r="CN94" s="301">
        <f>IF('Economic Assumptions'!$B16+'Project Assumptions'!$D$15+'Project Assumptions'!$D$16-1='Detailed Cashflows'!CN$5,-'Economic Assumptions'!$J16,0)</f>
        <v/>
      </c>
      <c r="CO94" s="301">
        <f>IF('Economic Assumptions'!$B16+'Project Assumptions'!$D$15+'Project Assumptions'!$D$16-1='Detailed Cashflows'!CO$5,-'Economic Assumptions'!$J16,0)</f>
        <v/>
      </c>
      <c r="CP94" s="301">
        <f>IF('Economic Assumptions'!$B16+'Project Assumptions'!$D$15+'Project Assumptions'!$D$16-1='Detailed Cashflows'!CP$5,-'Economic Assumptions'!$J16,0)</f>
        <v/>
      </c>
      <c r="CQ94" s="301">
        <f>IF('Economic Assumptions'!$B16+'Project Assumptions'!$D$15+'Project Assumptions'!$D$16-1='Detailed Cashflows'!CQ$5,-'Economic Assumptions'!$J16,0)</f>
        <v/>
      </c>
      <c r="CR94" s="301">
        <f>IF('Economic Assumptions'!$B16+'Project Assumptions'!$D$15+'Project Assumptions'!$D$16-1='Detailed Cashflows'!CR$5,-'Economic Assumptions'!$J16,0)</f>
        <v/>
      </c>
      <c r="CS94" s="301">
        <f>IF('Economic Assumptions'!$B16+'Project Assumptions'!$D$15+'Project Assumptions'!$D$16-1='Detailed Cashflows'!CS$5,-'Economic Assumptions'!$J16,0)</f>
        <v/>
      </c>
      <c r="CT94" s="301">
        <f>IF('Economic Assumptions'!$B16+'Project Assumptions'!$D$15+'Project Assumptions'!$D$16-1='Detailed Cashflows'!CT$5,-'Economic Assumptions'!$J16,0)</f>
        <v/>
      </c>
      <c r="CU94" s="301">
        <f>IF('Economic Assumptions'!$B16+'Project Assumptions'!$D$15+'Project Assumptions'!$D$16-1='Detailed Cashflows'!CU$5,-'Economic Assumptions'!$J16,0)</f>
        <v/>
      </c>
      <c r="CV94" s="301">
        <f>IF('Economic Assumptions'!$B16+'Project Assumptions'!$D$15+'Project Assumptions'!$D$16-1='Detailed Cashflows'!CV$5,-'Economic Assumptions'!$J16,0)</f>
        <v/>
      </c>
      <c r="CW94" s="301">
        <f>IF('Economic Assumptions'!$B16+'Project Assumptions'!$D$15+'Project Assumptions'!$D$16-1='Detailed Cashflows'!CW$5,-'Economic Assumptions'!$J16,0)</f>
        <v/>
      </c>
      <c r="CX94" s="301">
        <f>IF('Economic Assumptions'!$B16+'Project Assumptions'!$D$15+'Project Assumptions'!$D$16-1='Detailed Cashflows'!CX$5,-'Economic Assumptions'!$J16,0)</f>
        <v/>
      </c>
      <c r="CY94" s="301">
        <f>IF('Economic Assumptions'!$B16+'Project Assumptions'!$D$15+'Project Assumptions'!$D$16-1='Detailed Cashflows'!CY$5,-'Economic Assumptions'!$J16,0)</f>
        <v/>
      </c>
      <c r="CZ94" s="301">
        <f>IF('Economic Assumptions'!$B16+'Project Assumptions'!$D$15+'Project Assumptions'!$D$16-1='Detailed Cashflows'!CZ$5,-'Economic Assumptions'!$J16,0)</f>
        <v/>
      </c>
      <c r="DA94" s="301">
        <f>IF('Economic Assumptions'!$B16+'Project Assumptions'!$D$15+'Project Assumptions'!$D$16-1='Detailed Cashflows'!DA$5,-'Economic Assumptions'!$J16,0)</f>
        <v/>
      </c>
      <c r="DB94" s="301">
        <f>IF('Economic Assumptions'!$B16+'Project Assumptions'!$D$15+'Project Assumptions'!$D$16-1='Detailed Cashflows'!DB$5,-'Economic Assumptions'!$J16,0)</f>
        <v/>
      </c>
      <c r="DC94" s="301" t="n"/>
      <c r="DD94" s="299">
        <f>SUM(F94:DB94)</f>
        <v/>
      </c>
    </row>
    <row r="95" hidden="1" outlineLevel="1">
      <c r="A95" s="1000" t="n"/>
      <c r="B95" s="303">
        <f>'Economic Assumptions'!$A$17</f>
        <v/>
      </c>
      <c r="C95" s="294" t="n"/>
      <c r="D95" s="299">
        <f>DD95</f>
        <v/>
      </c>
      <c r="E95" s="300" t="n"/>
      <c r="F95" s="301">
        <f>IF('Economic Assumptions'!$B17+'Project Assumptions'!$D$15+'Project Assumptions'!$D$16-1='Detailed Cashflows'!F$5,-'Economic Assumptions'!$J17,0)</f>
        <v/>
      </c>
      <c r="G95" s="301">
        <f>IF('Economic Assumptions'!$B17+'Project Assumptions'!$D$15+'Project Assumptions'!$D$16-1='Detailed Cashflows'!G$5,-'Economic Assumptions'!$J17,0)</f>
        <v/>
      </c>
      <c r="H95" s="301">
        <f>IF('Economic Assumptions'!$B17+'Project Assumptions'!$D$15+'Project Assumptions'!$D$16-1='Detailed Cashflows'!H$5,-'Economic Assumptions'!$J17,0)</f>
        <v/>
      </c>
      <c r="I95" s="301">
        <f>IF('Economic Assumptions'!$B17+'Project Assumptions'!$D$15+'Project Assumptions'!$D$16-1='Detailed Cashflows'!I$5,-'Economic Assumptions'!$J17,0)</f>
        <v/>
      </c>
      <c r="J95" s="301">
        <f>IF('Economic Assumptions'!$B17+'Project Assumptions'!$D$15+'Project Assumptions'!$D$16-1='Detailed Cashflows'!J$5,-'Economic Assumptions'!$J17,0)</f>
        <v/>
      </c>
      <c r="K95" s="301">
        <f>IF('Economic Assumptions'!$B17+'Project Assumptions'!$D$15+'Project Assumptions'!$D$16-1='Detailed Cashflows'!K$5,-'Economic Assumptions'!$J17,0)</f>
        <v/>
      </c>
      <c r="L95" s="301">
        <f>IF('Economic Assumptions'!$B17+'Project Assumptions'!$D$15+'Project Assumptions'!$D$16-1='Detailed Cashflows'!L$5,-'Economic Assumptions'!$J17,0)</f>
        <v/>
      </c>
      <c r="M95" s="301">
        <f>IF('Economic Assumptions'!$B17+'Project Assumptions'!$D$15+'Project Assumptions'!$D$16-1='Detailed Cashflows'!M$5,-'Economic Assumptions'!$J17,0)</f>
        <v/>
      </c>
      <c r="N95" s="301">
        <f>IF('Economic Assumptions'!$B17+'Project Assumptions'!$D$15+'Project Assumptions'!$D$16-1='Detailed Cashflows'!N$5,-'Economic Assumptions'!$J17,0)</f>
        <v/>
      </c>
      <c r="O95" s="301">
        <f>IF('Economic Assumptions'!$B17+'Project Assumptions'!$D$15+'Project Assumptions'!$D$16-1='Detailed Cashflows'!O$5,-'Economic Assumptions'!$J17,0)</f>
        <v/>
      </c>
      <c r="P95" s="301">
        <f>IF('Economic Assumptions'!$B17+'Project Assumptions'!$D$15+'Project Assumptions'!$D$16-1='Detailed Cashflows'!P$5,-'Economic Assumptions'!$J17,0)</f>
        <v/>
      </c>
      <c r="Q95" s="301">
        <f>IF('Economic Assumptions'!$B17+'Project Assumptions'!$D$15+'Project Assumptions'!$D$16-1='Detailed Cashflows'!Q$5,-'Economic Assumptions'!$J17,0)</f>
        <v/>
      </c>
      <c r="R95" s="301">
        <f>IF('Economic Assumptions'!$B17+'Project Assumptions'!$D$15+'Project Assumptions'!$D$16-1='Detailed Cashflows'!R$5,-'Economic Assumptions'!$J17,0)</f>
        <v/>
      </c>
      <c r="S95" s="301">
        <f>IF('Economic Assumptions'!$B17+'Project Assumptions'!$D$15+'Project Assumptions'!$D$16-1='Detailed Cashflows'!S$5,-'Economic Assumptions'!$J17,0)</f>
        <v/>
      </c>
      <c r="T95" s="301">
        <f>IF('Economic Assumptions'!$B17+'Project Assumptions'!$D$15+'Project Assumptions'!$D$16-1='Detailed Cashflows'!T$5,-'Economic Assumptions'!$J17,0)</f>
        <v/>
      </c>
      <c r="U95" s="301">
        <f>IF('Economic Assumptions'!$B17+'Project Assumptions'!$D$15+'Project Assumptions'!$D$16-1='Detailed Cashflows'!U$5,-'Economic Assumptions'!$J17,0)</f>
        <v/>
      </c>
      <c r="V95" s="301">
        <f>IF('Economic Assumptions'!$B17+'Project Assumptions'!$D$15+'Project Assumptions'!$D$16-1='Detailed Cashflows'!V$5,-'Economic Assumptions'!$J17,0)</f>
        <v/>
      </c>
      <c r="W95" s="301">
        <f>IF('Economic Assumptions'!$B17+'Project Assumptions'!$D$15+'Project Assumptions'!$D$16-1='Detailed Cashflows'!W$5,-'Economic Assumptions'!$J17,0)</f>
        <v/>
      </c>
      <c r="X95" s="301">
        <f>IF('Economic Assumptions'!$B17+'Project Assumptions'!$D$15+'Project Assumptions'!$D$16-1='Detailed Cashflows'!X$5,-'Economic Assumptions'!$J17,0)</f>
        <v/>
      </c>
      <c r="Y95" s="301">
        <f>IF('Economic Assumptions'!$B17+'Project Assumptions'!$D$15+'Project Assumptions'!$D$16-1='Detailed Cashflows'!Y$5,-'Economic Assumptions'!$J17,0)</f>
        <v/>
      </c>
      <c r="Z95" s="301">
        <f>IF('Economic Assumptions'!$B17+'Project Assumptions'!$D$15+'Project Assumptions'!$D$16-1='Detailed Cashflows'!Z$5,-'Economic Assumptions'!$J17,0)</f>
        <v/>
      </c>
      <c r="AA95" s="301">
        <f>IF('Economic Assumptions'!$B17+'Project Assumptions'!$D$15+'Project Assumptions'!$D$16-1='Detailed Cashflows'!AA$5,-'Economic Assumptions'!$J17,0)</f>
        <v/>
      </c>
      <c r="AB95" s="301">
        <f>IF('Economic Assumptions'!$B17+'Project Assumptions'!$D$15+'Project Assumptions'!$D$16-1='Detailed Cashflows'!AB$5,-'Economic Assumptions'!$J17,0)</f>
        <v/>
      </c>
      <c r="AC95" s="301">
        <f>IF('Economic Assumptions'!$B17+'Project Assumptions'!$D$15+'Project Assumptions'!$D$16-1='Detailed Cashflows'!AC$5,-'Economic Assumptions'!$J17,0)</f>
        <v/>
      </c>
      <c r="AD95" s="301">
        <f>IF('Economic Assumptions'!$B17+'Project Assumptions'!$D$15+'Project Assumptions'!$D$16-1='Detailed Cashflows'!AD$5,-'Economic Assumptions'!$J17,0)</f>
        <v/>
      </c>
      <c r="AE95" s="301">
        <f>IF('Economic Assumptions'!$B17+'Project Assumptions'!$D$15+'Project Assumptions'!$D$16-1='Detailed Cashflows'!AE$5,-'Economic Assumptions'!$J17,0)</f>
        <v/>
      </c>
      <c r="AF95" s="301">
        <f>IF('Economic Assumptions'!$B17+'Project Assumptions'!$D$15+'Project Assumptions'!$D$16-1='Detailed Cashflows'!AF$5,-'Economic Assumptions'!$J17,0)</f>
        <v/>
      </c>
      <c r="AG95" s="301">
        <f>IF('Economic Assumptions'!$B17+'Project Assumptions'!$D$15+'Project Assumptions'!$D$16-1='Detailed Cashflows'!AG$5,-'Economic Assumptions'!$J17,0)</f>
        <v/>
      </c>
      <c r="AH95" s="301">
        <f>IF('Economic Assumptions'!$B17+'Project Assumptions'!$D$15+'Project Assumptions'!$D$16-1='Detailed Cashflows'!AH$5,-'Economic Assumptions'!$J17,0)</f>
        <v/>
      </c>
      <c r="AI95" s="301">
        <f>IF('Economic Assumptions'!$B17+'Project Assumptions'!$D$15+'Project Assumptions'!$D$16-1='Detailed Cashflows'!AI$5,-'Economic Assumptions'!$J17,0)</f>
        <v/>
      </c>
      <c r="AJ95" s="301">
        <f>IF('Economic Assumptions'!$B17+'Project Assumptions'!$D$15+'Project Assumptions'!$D$16-1='Detailed Cashflows'!AJ$5,-'Economic Assumptions'!$J17,0)</f>
        <v/>
      </c>
      <c r="AK95" s="301">
        <f>IF('Economic Assumptions'!$B17+'Project Assumptions'!$D$15+'Project Assumptions'!$D$16-1='Detailed Cashflows'!AK$5,-'Economic Assumptions'!$J17,0)</f>
        <v/>
      </c>
      <c r="AL95" s="301">
        <f>IF('Economic Assumptions'!$B17+'Project Assumptions'!$D$15+'Project Assumptions'!$D$16-1='Detailed Cashflows'!AL$5,-'Economic Assumptions'!$J17,0)</f>
        <v/>
      </c>
      <c r="AM95" s="301">
        <f>IF('Economic Assumptions'!$B17+'Project Assumptions'!$D$15+'Project Assumptions'!$D$16-1='Detailed Cashflows'!AM$5,-'Economic Assumptions'!$J17,0)</f>
        <v/>
      </c>
      <c r="AN95" s="301">
        <f>IF('Economic Assumptions'!$B17+'Project Assumptions'!$D$15+'Project Assumptions'!$D$16-1='Detailed Cashflows'!AN$5,-'Economic Assumptions'!$J17,0)</f>
        <v/>
      </c>
      <c r="AO95" s="301">
        <f>IF('Economic Assumptions'!$B17+'Project Assumptions'!$D$15+'Project Assumptions'!$D$16-1='Detailed Cashflows'!AO$5,-'Economic Assumptions'!$J17,0)</f>
        <v/>
      </c>
      <c r="AP95" s="301">
        <f>IF('Economic Assumptions'!$B17+'Project Assumptions'!$D$15+'Project Assumptions'!$D$16-1='Detailed Cashflows'!AP$5,-'Economic Assumptions'!$J17,0)</f>
        <v/>
      </c>
      <c r="AQ95" s="301">
        <f>IF('Economic Assumptions'!$B17+'Project Assumptions'!$D$15+'Project Assumptions'!$D$16-1='Detailed Cashflows'!AQ$5,-'Economic Assumptions'!$J17,0)</f>
        <v/>
      </c>
      <c r="AR95" s="301">
        <f>IF('Economic Assumptions'!$B17+'Project Assumptions'!$D$15+'Project Assumptions'!$D$16-1='Detailed Cashflows'!AR$5,-'Economic Assumptions'!$J17,0)</f>
        <v/>
      </c>
      <c r="AS95" s="301">
        <f>IF('Economic Assumptions'!$B17+'Project Assumptions'!$D$15+'Project Assumptions'!$D$16-1='Detailed Cashflows'!AS$5,-'Economic Assumptions'!$J17,0)</f>
        <v/>
      </c>
      <c r="AT95" s="301">
        <f>IF('Economic Assumptions'!$B17+'Project Assumptions'!$D$15+'Project Assumptions'!$D$16-1='Detailed Cashflows'!AT$5,-'Economic Assumptions'!$J17,0)</f>
        <v/>
      </c>
      <c r="AU95" s="301">
        <f>IF('Economic Assumptions'!$B17+'Project Assumptions'!$D$15+'Project Assumptions'!$D$16-1='Detailed Cashflows'!AU$5,-'Economic Assumptions'!$J17,0)</f>
        <v/>
      </c>
      <c r="AV95" s="301">
        <f>IF('Economic Assumptions'!$B17+'Project Assumptions'!$D$15+'Project Assumptions'!$D$16-1='Detailed Cashflows'!AV$5,-'Economic Assumptions'!$J17,0)</f>
        <v/>
      </c>
      <c r="AW95" s="301">
        <f>IF('Economic Assumptions'!$B17+'Project Assumptions'!$D$15+'Project Assumptions'!$D$16-1='Detailed Cashflows'!AW$5,-'Economic Assumptions'!$J17,0)</f>
        <v/>
      </c>
      <c r="AX95" s="301">
        <f>IF('Economic Assumptions'!$B17+'Project Assumptions'!$D$15+'Project Assumptions'!$D$16-1='Detailed Cashflows'!AX$5,-'Economic Assumptions'!$J17,0)</f>
        <v/>
      </c>
      <c r="AY95" s="301">
        <f>IF('Economic Assumptions'!$B17+'Project Assumptions'!$D$15+'Project Assumptions'!$D$16-1='Detailed Cashflows'!AY$5,-'Economic Assumptions'!$J17,0)</f>
        <v/>
      </c>
      <c r="AZ95" s="301">
        <f>IF('Economic Assumptions'!$B17+'Project Assumptions'!$D$15+'Project Assumptions'!$D$16-1='Detailed Cashflows'!AZ$5,-'Economic Assumptions'!$J17,0)</f>
        <v/>
      </c>
      <c r="BA95" s="301">
        <f>IF('Economic Assumptions'!$B17+'Project Assumptions'!$D$15+'Project Assumptions'!$D$16-1='Detailed Cashflows'!BA$5,-'Economic Assumptions'!$J17,0)</f>
        <v/>
      </c>
      <c r="BB95" s="301">
        <f>IF('Economic Assumptions'!$B17+'Project Assumptions'!$D$15+'Project Assumptions'!$D$16-1='Detailed Cashflows'!BB$5,-'Economic Assumptions'!$J17,0)</f>
        <v/>
      </c>
      <c r="BC95" s="301">
        <f>IF('Economic Assumptions'!$B17+'Project Assumptions'!$D$15+'Project Assumptions'!$D$16-1='Detailed Cashflows'!BC$5,-'Economic Assumptions'!$J17,0)</f>
        <v/>
      </c>
      <c r="BD95" s="301">
        <f>IF('Economic Assumptions'!$B17+'Project Assumptions'!$D$15+'Project Assumptions'!$D$16-1='Detailed Cashflows'!BD$5,-'Economic Assumptions'!$J17,0)</f>
        <v/>
      </c>
      <c r="BE95" s="301">
        <f>IF('Economic Assumptions'!$B17+'Project Assumptions'!$D$15+'Project Assumptions'!$D$16-1='Detailed Cashflows'!BE$5,-'Economic Assumptions'!$J17,0)</f>
        <v/>
      </c>
      <c r="BF95" s="301">
        <f>IF('Economic Assumptions'!$B17+'Project Assumptions'!$D$15+'Project Assumptions'!$D$16-1='Detailed Cashflows'!BF$5,-'Economic Assumptions'!$J17,0)</f>
        <v/>
      </c>
      <c r="BG95" s="301">
        <f>IF('Economic Assumptions'!$B17+'Project Assumptions'!$D$15+'Project Assumptions'!$D$16-1='Detailed Cashflows'!BG$5,-'Economic Assumptions'!$J17,0)</f>
        <v/>
      </c>
      <c r="BH95" s="301">
        <f>IF('Economic Assumptions'!$B17+'Project Assumptions'!$D$15+'Project Assumptions'!$D$16-1='Detailed Cashflows'!BH$5,-'Economic Assumptions'!$J17,0)</f>
        <v/>
      </c>
      <c r="BI95" s="301">
        <f>IF('Economic Assumptions'!$B17+'Project Assumptions'!$D$15+'Project Assumptions'!$D$16-1='Detailed Cashflows'!BI$5,-'Economic Assumptions'!$J17,0)</f>
        <v/>
      </c>
      <c r="BJ95" s="301">
        <f>IF('Economic Assumptions'!$B17+'Project Assumptions'!$D$15+'Project Assumptions'!$D$16-1='Detailed Cashflows'!BJ$5,-'Economic Assumptions'!$J17,0)</f>
        <v/>
      </c>
      <c r="BK95" s="301">
        <f>IF('Economic Assumptions'!$B17+'Project Assumptions'!$D$15+'Project Assumptions'!$D$16-1='Detailed Cashflows'!BK$5,-'Economic Assumptions'!$J17,0)</f>
        <v/>
      </c>
      <c r="BL95" s="301">
        <f>IF('Economic Assumptions'!$B17+'Project Assumptions'!$D$15+'Project Assumptions'!$D$16-1='Detailed Cashflows'!BL$5,-'Economic Assumptions'!$J17,0)</f>
        <v/>
      </c>
      <c r="BM95" s="301">
        <f>IF('Economic Assumptions'!$B17+'Project Assumptions'!$D$15+'Project Assumptions'!$D$16-1='Detailed Cashflows'!BM$5,-'Economic Assumptions'!$J17,0)</f>
        <v/>
      </c>
      <c r="BN95" s="301">
        <f>IF('Economic Assumptions'!$B17+'Project Assumptions'!$D$15+'Project Assumptions'!$D$16-1='Detailed Cashflows'!BN$5,-'Economic Assumptions'!$J17,0)</f>
        <v/>
      </c>
      <c r="BO95" s="301">
        <f>IF('Economic Assumptions'!$B17+'Project Assumptions'!$D$15+'Project Assumptions'!$D$16-1='Detailed Cashflows'!BO$5,-'Economic Assumptions'!$J17,0)</f>
        <v/>
      </c>
      <c r="BP95" s="301">
        <f>IF('Economic Assumptions'!$B17+'Project Assumptions'!$D$15+'Project Assumptions'!$D$16-1='Detailed Cashflows'!BP$5,-'Economic Assumptions'!$J17,0)</f>
        <v/>
      </c>
      <c r="BQ95" s="301">
        <f>IF('Economic Assumptions'!$B17+'Project Assumptions'!$D$15+'Project Assumptions'!$D$16-1='Detailed Cashflows'!BQ$5,-'Economic Assumptions'!$J17,0)</f>
        <v/>
      </c>
      <c r="BR95" s="301">
        <f>IF('Economic Assumptions'!$B17+'Project Assumptions'!$D$15+'Project Assumptions'!$D$16-1='Detailed Cashflows'!BR$5,-'Economic Assumptions'!$J17,0)</f>
        <v/>
      </c>
      <c r="BS95" s="301">
        <f>IF('Economic Assumptions'!$B17+'Project Assumptions'!$D$15+'Project Assumptions'!$D$16-1='Detailed Cashflows'!BS$5,-'Economic Assumptions'!$J17,0)</f>
        <v/>
      </c>
      <c r="BT95" s="301">
        <f>IF('Economic Assumptions'!$B17+'Project Assumptions'!$D$15+'Project Assumptions'!$D$16-1='Detailed Cashflows'!BT$5,-'Economic Assumptions'!$J17,0)</f>
        <v/>
      </c>
      <c r="BU95" s="301">
        <f>IF('Economic Assumptions'!$B17+'Project Assumptions'!$D$15+'Project Assumptions'!$D$16-1='Detailed Cashflows'!BU$5,-'Economic Assumptions'!$J17,0)</f>
        <v/>
      </c>
      <c r="BV95" s="301">
        <f>IF('Economic Assumptions'!$B17+'Project Assumptions'!$D$15+'Project Assumptions'!$D$16-1='Detailed Cashflows'!BV$5,-'Economic Assumptions'!$J17,0)</f>
        <v/>
      </c>
      <c r="BW95" s="301">
        <f>IF('Economic Assumptions'!$B17+'Project Assumptions'!$D$15+'Project Assumptions'!$D$16-1='Detailed Cashflows'!BW$5,-'Economic Assumptions'!$J17,0)</f>
        <v/>
      </c>
      <c r="BX95" s="301">
        <f>IF('Economic Assumptions'!$B17+'Project Assumptions'!$D$15+'Project Assumptions'!$D$16-1='Detailed Cashflows'!BX$5,-'Economic Assumptions'!$J17,0)</f>
        <v/>
      </c>
      <c r="BY95" s="301">
        <f>IF('Economic Assumptions'!$B17+'Project Assumptions'!$D$15+'Project Assumptions'!$D$16-1='Detailed Cashflows'!BY$5,-'Economic Assumptions'!$J17,0)</f>
        <v/>
      </c>
      <c r="BZ95" s="301">
        <f>IF('Economic Assumptions'!$B17+'Project Assumptions'!$D$15+'Project Assumptions'!$D$16-1='Detailed Cashflows'!BZ$5,-'Economic Assumptions'!$J17,0)</f>
        <v/>
      </c>
      <c r="CA95" s="301">
        <f>IF('Economic Assumptions'!$B17+'Project Assumptions'!$D$15+'Project Assumptions'!$D$16-1='Detailed Cashflows'!CA$5,-'Economic Assumptions'!$J17,0)</f>
        <v/>
      </c>
      <c r="CB95" s="301">
        <f>IF('Economic Assumptions'!$B17+'Project Assumptions'!$D$15+'Project Assumptions'!$D$16-1='Detailed Cashflows'!CB$5,-'Economic Assumptions'!$J17,0)</f>
        <v/>
      </c>
      <c r="CC95" s="301">
        <f>IF('Economic Assumptions'!$B17+'Project Assumptions'!$D$15+'Project Assumptions'!$D$16-1='Detailed Cashflows'!CC$5,-'Economic Assumptions'!$J17,0)</f>
        <v/>
      </c>
      <c r="CD95" s="301">
        <f>IF('Economic Assumptions'!$B17+'Project Assumptions'!$D$15+'Project Assumptions'!$D$16-1='Detailed Cashflows'!CD$5,-'Economic Assumptions'!$J17,0)</f>
        <v/>
      </c>
      <c r="CE95" s="301">
        <f>IF('Economic Assumptions'!$B17+'Project Assumptions'!$D$15+'Project Assumptions'!$D$16-1='Detailed Cashflows'!CE$5,-'Economic Assumptions'!$J17,0)</f>
        <v/>
      </c>
      <c r="CF95" s="301">
        <f>IF('Economic Assumptions'!$B17+'Project Assumptions'!$D$15+'Project Assumptions'!$D$16-1='Detailed Cashflows'!CF$5,-'Economic Assumptions'!$J17,0)</f>
        <v/>
      </c>
      <c r="CG95" s="301">
        <f>IF('Economic Assumptions'!$B17+'Project Assumptions'!$D$15+'Project Assumptions'!$D$16-1='Detailed Cashflows'!CG$5,-'Economic Assumptions'!$J17,0)</f>
        <v/>
      </c>
      <c r="CH95" s="301">
        <f>IF('Economic Assumptions'!$B17+'Project Assumptions'!$D$15+'Project Assumptions'!$D$16-1='Detailed Cashflows'!CH$5,-'Economic Assumptions'!$J17,0)</f>
        <v/>
      </c>
      <c r="CI95" s="301">
        <f>IF('Economic Assumptions'!$B17+'Project Assumptions'!$D$15+'Project Assumptions'!$D$16-1='Detailed Cashflows'!CI$5,-'Economic Assumptions'!$J17,0)</f>
        <v/>
      </c>
      <c r="CJ95" s="301">
        <f>IF('Economic Assumptions'!$B17+'Project Assumptions'!$D$15+'Project Assumptions'!$D$16-1='Detailed Cashflows'!CJ$5,-'Economic Assumptions'!$J17,0)</f>
        <v/>
      </c>
      <c r="CK95" s="301">
        <f>IF('Economic Assumptions'!$B17+'Project Assumptions'!$D$15+'Project Assumptions'!$D$16-1='Detailed Cashflows'!CK$5,-'Economic Assumptions'!$J17,0)</f>
        <v/>
      </c>
      <c r="CL95" s="301">
        <f>IF('Economic Assumptions'!$B17+'Project Assumptions'!$D$15+'Project Assumptions'!$D$16-1='Detailed Cashflows'!CL$5,-'Economic Assumptions'!$J17,0)</f>
        <v/>
      </c>
      <c r="CM95" s="301">
        <f>IF('Economic Assumptions'!$B17+'Project Assumptions'!$D$15+'Project Assumptions'!$D$16-1='Detailed Cashflows'!CM$5,-'Economic Assumptions'!$J17,0)</f>
        <v/>
      </c>
      <c r="CN95" s="301">
        <f>IF('Economic Assumptions'!$B17+'Project Assumptions'!$D$15+'Project Assumptions'!$D$16-1='Detailed Cashflows'!CN$5,-'Economic Assumptions'!$J17,0)</f>
        <v/>
      </c>
      <c r="CO95" s="301">
        <f>IF('Economic Assumptions'!$B17+'Project Assumptions'!$D$15+'Project Assumptions'!$D$16-1='Detailed Cashflows'!CO$5,-'Economic Assumptions'!$J17,0)</f>
        <v/>
      </c>
      <c r="CP95" s="301">
        <f>IF('Economic Assumptions'!$B17+'Project Assumptions'!$D$15+'Project Assumptions'!$D$16-1='Detailed Cashflows'!CP$5,-'Economic Assumptions'!$J17,0)</f>
        <v/>
      </c>
      <c r="CQ95" s="301">
        <f>IF('Economic Assumptions'!$B17+'Project Assumptions'!$D$15+'Project Assumptions'!$D$16-1='Detailed Cashflows'!CQ$5,-'Economic Assumptions'!$J17,0)</f>
        <v/>
      </c>
      <c r="CR95" s="301">
        <f>IF('Economic Assumptions'!$B17+'Project Assumptions'!$D$15+'Project Assumptions'!$D$16-1='Detailed Cashflows'!CR$5,-'Economic Assumptions'!$J17,0)</f>
        <v/>
      </c>
      <c r="CS95" s="301">
        <f>IF('Economic Assumptions'!$B17+'Project Assumptions'!$D$15+'Project Assumptions'!$D$16-1='Detailed Cashflows'!CS$5,-'Economic Assumptions'!$J17,0)</f>
        <v/>
      </c>
      <c r="CT95" s="301">
        <f>IF('Economic Assumptions'!$B17+'Project Assumptions'!$D$15+'Project Assumptions'!$D$16-1='Detailed Cashflows'!CT$5,-'Economic Assumptions'!$J17,0)</f>
        <v/>
      </c>
      <c r="CU95" s="301">
        <f>IF('Economic Assumptions'!$B17+'Project Assumptions'!$D$15+'Project Assumptions'!$D$16-1='Detailed Cashflows'!CU$5,-'Economic Assumptions'!$J17,0)</f>
        <v/>
      </c>
      <c r="CV95" s="301">
        <f>IF('Economic Assumptions'!$B17+'Project Assumptions'!$D$15+'Project Assumptions'!$D$16-1='Detailed Cashflows'!CV$5,-'Economic Assumptions'!$J17,0)</f>
        <v/>
      </c>
      <c r="CW95" s="301">
        <f>IF('Economic Assumptions'!$B17+'Project Assumptions'!$D$15+'Project Assumptions'!$D$16-1='Detailed Cashflows'!CW$5,-'Economic Assumptions'!$J17,0)</f>
        <v/>
      </c>
      <c r="CX95" s="301">
        <f>IF('Economic Assumptions'!$B17+'Project Assumptions'!$D$15+'Project Assumptions'!$D$16-1='Detailed Cashflows'!CX$5,-'Economic Assumptions'!$J17,0)</f>
        <v/>
      </c>
      <c r="CY95" s="301">
        <f>IF('Economic Assumptions'!$B17+'Project Assumptions'!$D$15+'Project Assumptions'!$D$16-1='Detailed Cashflows'!CY$5,-'Economic Assumptions'!$J17,0)</f>
        <v/>
      </c>
      <c r="CZ95" s="301">
        <f>IF('Economic Assumptions'!$B17+'Project Assumptions'!$D$15+'Project Assumptions'!$D$16-1='Detailed Cashflows'!CZ$5,-'Economic Assumptions'!$J17,0)</f>
        <v/>
      </c>
      <c r="DA95" s="301">
        <f>IF('Economic Assumptions'!$B17+'Project Assumptions'!$D$15+'Project Assumptions'!$D$16-1='Detailed Cashflows'!DA$5,-'Economic Assumptions'!$J17,0)</f>
        <v/>
      </c>
      <c r="DB95" s="301">
        <f>IF('Economic Assumptions'!$B17+'Project Assumptions'!$D$15+'Project Assumptions'!$D$16-1='Detailed Cashflows'!DB$5,-'Economic Assumptions'!$J17,0)</f>
        <v/>
      </c>
      <c r="DC95" s="301" t="n"/>
      <c r="DD95" s="299">
        <f>SUM(F95:DB95)</f>
        <v/>
      </c>
    </row>
    <row r="96" hidden="1" outlineLevel="1">
      <c r="A96" s="1000" t="n"/>
      <c r="B96" s="303">
        <f>'Economic Assumptions'!$A$18</f>
        <v/>
      </c>
      <c r="C96" s="294" t="n"/>
      <c r="D96" s="299">
        <f>DD96</f>
        <v/>
      </c>
      <c r="E96" s="300" t="n"/>
      <c r="F96" s="301">
        <f>IF('Economic Assumptions'!$B18+'Project Assumptions'!$D$15+'Project Assumptions'!$D$16-1='Detailed Cashflows'!F$5,-'Economic Assumptions'!$J18,0)</f>
        <v/>
      </c>
      <c r="G96" s="301">
        <f>IF('Economic Assumptions'!$B18+'Project Assumptions'!$D$15+'Project Assumptions'!$D$16-1='Detailed Cashflows'!G$5,-'Economic Assumptions'!$J18,0)</f>
        <v/>
      </c>
      <c r="H96" s="301">
        <f>IF('Economic Assumptions'!$B18+'Project Assumptions'!$D$15+'Project Assumptions'!$D$16-1='Detailed Cashflows'!H$5,-'Economic Assumptions'!$J18,0)</f>
        <v/>
      </c>
      <c r="I96" s="301">
        <f>IF('Economic Assumptions'!$B18+'Project Assumptions'!$D$15+'Project Assumptions'!$D$16-1='Detailed Cashflows'!I$5,-'Economic Assumptions'!$J18,0)</f>
        <v/>
      </c>
      <c r="J96" s="301">
        <f>IF('Economic Assumptions'!$B18+'Project Assumptions'!$D$15+'Project Assumptions'!$D$16-1='Detailed Cashflows'!J$5,-'Economic Assumptions'!$J18,0)</f>
        <v/>
      </c>
      <c r="K96" s="301">
        <f>IF('Economic Assumptions'!$B18+'Project Assumptions'!$D$15+'Project Assumptions'!$D$16-1='Detailed Cashflows'!K$5,-'Economic Assumptions'!$J18,0)</f>
        <v/>
      </c>
      <c r="L96" s="301">
        <f>IF('Economic Assumptions'!$B18+'Project Assumptions'!$D$15+'Project Assumptions'!$D$16-1='Detailed Cashflows'!L$5,-'Economic Assumptions'!$J18,0)</f>
        <v/>
      </c>
      <c r="M96" s="301">
        <f>IF('Economic Assumptions'!$B18+'Project Assumptions'!$D$15+'Project Assumptions'!$D$16-1='Detailed Cashflows'!M$5,-'Economic Assumptions'!$J18,0)</f>
        <v/>
      </c>
      <c r="N96" s="301">
        <f>IF('Economic Assumptions'!$B18+'Project Assumptions'!$D$15+'Project Assumptions'!$D$16-1='Detailed Cashflows'!N$5,-'Economic Assumptions'!$J18,0)</f>
        <v/>
      </c>
      <c r="O96" s="301">
        <f>IF('Economic Assumptions'!$B18+'Project Assumptions'!$D$15+'Project Assumptions'!$D$16-1='Detailed Cashflows'!O$5,-'Economic Assumptions'!$J18,0)</f>
        <v/>
      </c>
      <c r="P96" s="301">
        <f>IF('Economic Assumptions'!$B18+'Project Assumptions'!$D$15+'Project Assumptions'!$D$16-1='Detailed Cashflows'!P$5,-'Economic Assumptions'!$J18,0)</f>
        <v/>
      </c>
      <c r="Q96" s="301">
        <f>IF('Economic Assumptions'!$B18+'Project Assumptions'!$D$15+'Project Assumptions'!$D$16-1='Detailed Cashflows'!Q$5,-'Economic Assumptions'!$J18,0)</f>
        <v/>
      </c>
      <c r="R96" s="301">
        <f>IF('Economic Assumptions'!$B18+'Project Assumptions'!$D$15+'Project Assumptions'!$D$16-1='Detailed Cashflows'!R$5,-'Economic Assumptions'!$J18,0)</f>
        <v/>
      </c>
      <c r="S96" s="301">
        <f>IF('Economic Assumptions'!$B18+'Project Assumptions'!$D$15+'Project Assumptions'!$D$16-1='Detailed Cashflows'!S$5,-'Economic Assumptions'!$J18,0)</f>
        <v/>
      </c>
      <c r="T96" s="301">
        <f>IF('Economic Assumptions'!$B18+'Project Assumptions'!$D$15+'Project Assumptions'!$D$16-1='Detailed Cashflows'!T$5,-'Economic Assumptions'!$J18,0)</f>
        <v/>
      </c>
      <c r="U96" s="301">
        <f>IF('Economic Assumptions'!$B18+'Project Assumptions'!$D$15+'Project Assumptions'!$D$16-1='Detailed Cashflows'!U$5,-'Economic Assumptions'!$J18,0)</f>
        <v/>
      </c>
      <c r="V96" s="301">
        <f>IF('Economic Assumptions'!$B18+'Project Assumptions'!$D$15+'Project Assumptions'!$D$16-1='Detailed Cashflows'!V$5,-'Economic Assumptions'!$J18,0)</f>
        <v/>
      </c>
      <c r="W96" s="301">
        <f>IF('Economic Assumptions'!$B18+'Project Assumptions'!$D$15+'Project Assumptions'!$D$16-1='Detailed Cashflows'!W$5,-'Economic Assumptions'!$J18,0)</f>
        <v/>
      </c>
      <c r="X96" s="301">
        <f>IF('Economic Assumptions'!$B18+'Project Assumptions'!$D$15+'Project Assumptions'!$D$16-1='Detailed Cashflows'!X$5,-'Economic Assumptions'!$J18,0)</f>
        <v/>
      </c>
      <c r="Y96" s="301">
        <f>IF('Economic Assumptions'!$B18+'Project Assumptions'!$D$15+'Project Assumptions'!$D$16-1='Detailed Cashflows'!Y$5,-'Economic Assumptions'!$J18,0)</f>
        <v/>
      </c>
      <c r="Z96" s="301">
        <f>IF('Economic Assumptions'!$B18+'Project Assumptions'!$D$15+'Project Assumptions'!$D$16-1='Detailed Cashflows'!Z$5,-'Economic Assumptions'!$J18,0)</f>
        <v/>
      </c>
      <c r="AA96" s="301">
        <f>IF('Economic Assumptions'!$B18+'Project Assumptions'!$D$15+'Project Assumptions'!$D$16-1='Detailed Cashflows'!AA$5,-'Economic Assumptions'!$J18,0)</f>
        <v/>
      </c>
      <c r="AB96" s="301">
        <f>IF('Economic Assumptions'!$B18+'Project Assumptions'!$D$15+'Project Assumptions'!$D$16-1='Detailed Cashflows'!AB$5,-'Economic Assumptions'!$J18,0)</f>
        <v/>
      </c>
      <c r="AC96" s="301">
        <f>IF('Economic Assumptions'!$B18+'Project Assumptions'!$D$15+'Project Assumptions'!$D$16-1='Detailed Cashflows'!AC$5,-'Economic Assumptions'!$J18,0)</f>
        <v/>
      </c>
      <c r="AD96" s="301">
        <f>IF('Economic Assumptions'!$B18+'Project Assumptions'!$D$15+'Project Assumptions'!$D$16-1='Detailed Cashflows'!AD$5,-'Economic Assumptions'!$J18,0)</f>
        <v/>
      </c>
      <c r="AE96" s="301">
        <f>IF('Economic Assumptions'!$B18+'Project Assumptions'!$D$15+'Project Assumptions'!$D$16-1='Detailed Cashflows'!AE$5,-'Economic Assumptions'!$J18,0)</f>
        <v/>
      </c>
      <c r="AF96" s="301">
        <f>IF('Economic Assumptions'!$B18+'Project Assumptions'!$D$15+'Project Assumptions'!$D$16-1='Detailed Cashflows'!AF$5,-'Economic Assumptions'!$J18,0)</f>
        <v/>
      </c>
      <c r="AG96" s="301">
        <f>IF('Economic Assumptions'!$B18+'Project Assumptions'!$D$15+'Project Assumptions'!$D$16-1='Detailed Cashflows'!AG$5,-'Economic Assumptions'!$J18,0)</f>
        <v/>
      </c>
      <c r="AH96" s="301">
        <f>IF('Economic Assumptions'!$B18+'Project Assumptions'!$D$15+'Project Assumptions'!$D$16-1='Detailed Cashflows'!AH$5,-'Economic Assumptions'!$J18,0)</f>
        <v/>
      </c>
      <c r="AI96" s="301">
        <f>IF('Economic Assumptions'!$B18+'Project Assumptions'!$D$15+'Project Assumptions'!$D$16-1='Detailed Cashflows'!AI$5,-'Economic Assumptions'!$J18,0)</f>
        <v/>
      </c>
      <c r="AJ96" s="301">
        <f>IF('Economic Assumptions'!$B18+'Project Assumptions'!$D$15+'Project Assumptions'!$D$16-1='Detailed Cashflows'!AJ$5,-'Economic Assumptions'!$J18,0)</f>
        <v/>
      </c>
      <c r="AK96" s="301">
        <f>IF('Economic Assumptions'!$B18+'Project Assumptions'!$D$15+'Project Assumptions'!$D$16-1='Detailed Cashflows'!AK$5,-'Economic Assumptions'!$J18,0)</f>
        <v/>
      </c>
      <c r="AL96" s="301">
        <f>IF('Economic Assumptions'!$B18+'Project Assumptions'!$D$15+'Project Assumptions'!$D$16-1='Detailed Cashflows'!AL$5,-'Economic Assumptions'!$J18,0)</f>
        <v/>
      </c>
      <c r="AM96" s="301">
        <f>IF('Economic Assumptions'!$B18+'Project Assumptions'!$D$15+'Project Assumptions'!$D$16-1='Detailed Cashflows'!AM$5,-'Economic Assumptions'!$J18,0)</f>
        <v/>
      </c>
      <c r="AN96" s="301">
        <f>IF('Economic Assumptions'!$B18+'Project Assumptions'!$D$15+'Project Assumptions'!$D$16-1='Detailed Cashflows'!AN$5,-'Economic Assumptions'!$J18,0)</f>
        <v/>
      </c>
      <c r="AO96" s="301">
        <f>IF('Economic Assumptions'!$B18+'Project Assumptions'!$D$15+'Project Assumptions'!$D$16-1='Detailed Cashflows'!AO$5,-'Economic Assumptions'!$J18,0)</f>
        <v/>
      </c>
      <c r="AP96" s="301">
        <f>IF('Economic Assumptions'!$B18+'Project Assumptions'!$D$15+'Project Assumptions'!$D$16-1='Detailed Cashflows'!AP$5,-'Economic Assumptions'!$J18,0)</f>
        <v/>
      </c>
      <c r="AQ96" s="301">
        <f>IF('Economic Assumptions'!$B18+'Project Assumptions'!$D$15+'Project Assumptions'!$D$16-1='Detailed Cashflows'!AQ$5,-'Economic Assumptions'!$J18,0)</f>
        <v/>
      </c>
      <c r="AR96" s="301">
        <f>IF('Economic Assumptions'!$B18+'Project Assumptions'!$D$15+'Project Assumptions'!$D$16-1='Detailed Cashflows'!AR$5,-'Economic Assumptions'!$J18,0)</f>
        <v/>
      </c>
      <c r="AS96" s="301">
        <f>IF('Economic Assumptions'!$B18+'Project Assumptions'!$D$15+'Project Assumptions'!$D$16-1='Detailed Cashflows'!AS$5,-'Economic Assumptions'!$J18,0)</f>
        <v/>
      </c>
      <c r="AT96" s="301">
        <f>IF('Economic Assumptions'!$B18+'Project Assumptions'!$D$15+'Project Assumptions'!$D$16-1='Detailed Cashflows'!AT$5,-'Economic Assumptions'!$J18,0)</f>
        <v/>
      </c>
      <c r="AU96" s="301">
        <f>IF('Economic Assumptions'!$B18+'Project Assumptions'!$D$15+'Project Assumptions'!$D$16-1='Detailed Cashflows'!AU$5,-'Economic Assumptions'!$J18,0)</f>
        <v/>
      </c>
      <c r="AV96" s="301">
        <f>IF('Economic Assumptions'!$B18+'Project Assumptions'!$D$15+'Project Assumptions'!$D$16-1='Detailed Cashflows'!AV$5,-'Economic Assumptions'!$J18,0)</f>
        <v/>
      </c>
      <c r="AW96" s="301">
        <f>IF('Economic Assumptions'!$B18+'Project Assumptions'!$D$15+'Project Assumptions'!$D$16-1='Detailed Cashflows'!AW$5,-'Economic Assumptions'!$J18,0)</f>
        <v/>
      </c>
      <c r="AX96" s="301">
        <f>IF('Economic Assumptions'!$B18+'Project Assumptions'!$D$15+'Project Assumptions'!$D$16-1='Detailed Cashflows'!AX$5,-'Economic Assumptions'!$J18,0)</f>
        <v/>
      </c>
      <c r="AY96" s="301">
        <f>IF('Economic Assumptions'!$B18+'Project Assumptions'!$D$15+'Project Assumptions'!$D$16-1='Detailed Cashflows'!AY$5,-'Economic Assumptions'!$J18,0)</f>
        <v/>
      </c>
      <c r="AZ96" s="301">
        <f>IF('Economic Assumptions'!$B18+'Project Assumptions'!$D$15+'Project Assumptions'!$D$16-1='Detailed Cashflows'!AZ$5,-'Economic Assumptions'!$J18,0)</f>
        <v/>
      </c>
      <c r="BA96" s="301">
        <f>IF('Economic Assumptions'!$B18+'Project Assumptions'!$D$15+'Project Assumptions'!$D$16-1='Detailed Cashflows'!BA$5,-'Economic Assumptions'!$J18,0)</f>
        <v/>
      </c>
      <c r="BB96" s="301">
        <f>IF('Economic Assumptions'!$B18+'Project Assumptions'!$D$15+'Project Assumptions'!$D$16-1='Detailed Cashflows'!BB$5,-'Economic Assumptions'!$J18,0)</f>
        <v/>
      </c>
      <c r="BC96" s="301">
        <f>IF('Economic Assumptions'!$B18+'Project Assumptions'!$D$15+'Project Assumptions'!$D$16-1='Detailed Cashflows'!BC$5,-'Economic Assumptions'!$J18,0)</f>
        <v/>
      </c>
      <c r="BD96" s="301">
        <f>IF('Economic Assumptions'!$B18+'Project Assumptions'!$D$15+'Project Assumptions'!$D$16-1='Detailed Cashflows'!BD$5,-'Economic Assumptions'!$J18,0)</f>
        <v/>
      </c>
      <c r="BE96" s="301">
        <f>IF('Economic Assumptions'!$B18+'Project Assumptions'!$D$15+'Project Assumptions'!$D$16-1='Detailed Cashflows'!BE$5,-'Economic Assumptions'!$J18,0)</f>
        <v/>
      </c>
      <c r="BF96" s="301">
        <f>IF('Economic Assumptions'!$B18+'Project Assumptions'!$D$15+'Project Assumptions'!$D$16-1='Detailed Cashflows'!BF$5,-'Economic Assumptions'!$J18,0)</f>
        <v/>
      </c>
      <c r="BG96" s="301">
        <f>IF('Economic Assumptions'!$B18+'Project Assumptions'!$D$15+'Project Assumptions'!$D$16-1='Detailed Cashflows'!BG$5,-'Economic Assumptions'!$J18,0)</f>
        <v/>
      </c>
      <c r="BH96" s="301">
        <f>IF('Economic Assumptions'!$B18+'Project Assumptions'!$D$15+'Project Assumptions'!$D$16-1='Detailed Cashflows'!BH$5,-'Economic Assumptions'!$J18,0)</f>
        <v/>
      </c>
      <c r="BI96" s="301">
        <f>IF('Economic Assumptions'!$B18+'Project Assumptions'!$D$15+'Project Assumptions'!$D$16-1='Detailed Cashflows'!BI$5,-'Economic Assumptions'!$J18,0)</f>
        <v/>
      </c>
      <c r="BJ96" s="301">
        <f>IF('Economic Assumptions'!$B18+'Project Assumptions'!$D$15+'Project Assumptions'!$D$16-1='Detailed Cashflows'!BJ$5,-'Economic Assumptions'!$J18,0)</f>
        <v/>
      </c>
      <c r="BK96" s="301">
        <f>IF('Economic Assumptions'!$B18+'Project Assumptions'!$D$15+'Project Assumptions'!$D$16-1='Detailed Cashflows'!BK$5,-'Economic Assumptions'!$J18,0)</f>
        <v/>
      </c>
      <c r="BL96" s="301">
        <f>IF('Economic Assumptions'!$B18+'Project Assumptions'!$D$15+'Project Assumptions'!$D$16-1='Detailed Cashflows'!BL$5,-'Economic Assumptions'!$J18,0)</f>
        <v/>
      </c>
      <c r="BM96" s="301">
        <f>IF('Economic Assumptions'!$B18+'Project Assumptions'!$D$15+'Project Assumptions'!$D$16-1='Detailed Cashflows'!BM$5,-'Economic Assumptions'!$J18,0)</f>
        <v/>
      </c>
      <c r="BN96" s="301">
        <f>IF('Economic Assumptions'!$B18+'Project Assumptions'!$D$15+'Project Assumptions'!$D$16-1='Detailed Cashflows'!BN$5,-'Economic Assumptions'!$J18,0)</f>
        <v/>
      </c>
      <c r="BO96" s="301">
        <f>IF('Economic Assumptions'!$B18+'Project Assumptions'!$D$15+'Project Assumptions'!$D$16-1='Detailed Cashflows'!BO$5,-'Economic Assumptions'!$J18,0)</f>
        <v/>
      </c>
      <c r="BP96" s="301">
        <f>IF('Economic Assumptions'!$B18+'Project Assumptions'!$D$15+'Project Assumptions'!$D$16-1='Detailed Cashflows'!BP$5,-'Economic Assumptions'!$J18,0)</f>
        <v/>
      </c>
      <c r="BQ96" s="301">
        <f>IF('Economic Assumptions'!$B18+'Project Assumptions'!$D$15+'Project Assumptions'!$D$16-1='Detailed Cashflows'!BQ$5,-'Economic Assumptions'!$J18,0)</f>
        <v/>
      </c>
      <c r="BR96" s="301">
        <f>IF('Economic Assumptions'!$B18+'Project Assumptions'!$D$15+'Project Assumptions'!$D$16-1='Detailed Cashflows'!BR$5,-'Economic Assumptions'!$J18,0)</f>
        <v/>
      </c>
      <c r="BS96" s="301">
        <f>IF('Economic Assumptions'!$B18+'Project Assumptions'!$D$15+'Project Assumptions'!$D$16-1='Detailed Cashflows'!BS$5,-'Economic Assumptions'!$J18,0)</f>
        <v/>
      </c>
      <c r="BT96" s="301">
        <f>IF('Economic Assumptions'!$B18+'Project Assumptions'!$D$15+'Project Assumptions'!$D$16-1='Detailed Cashflows'!BT$5,-'Economic Assumptions'!$J18,0)</f>
        <v/>
      </c>
      <c r="BU96" s="301">
        <f>IF('Economic Assumptions'!$B18+'Project Assumptions'!$D$15+'Project Assumptions'!$D$16-1='Detailed Cashflows'!BU$5,-'Economic Assumptions'!$J18,0)</f>
        <v/>
      </c>
      <c r="BV96" s="301">
        <f>IF('Economic Assumptions'!$B18+'Project Assumptions'!$D$15+'Project Assumptions'!$D$16-1='Detailed Cashflows'!BV$5,-'Economic Assumptions'!$J18,0)</f>
        <v/>
      </c>
      <c r="BW96" s="301">
        <f>IF('Economic Assumptions'!$B18+'Project Assumptions'!$D$15+'Project Assumptions'!$D$16-1='Detailed Cashflows'!BW$5,-'Economic Assumptions'!$J18,0)</f>
        <v/>
      </c>
      <c r="BX96" s="301">
        <f>IF('Economic Assumptions'!$B18+'Project Assumptions'!$D$15+'Project Assumptions'!$D$16-1='Detailed Cashflows'!BX$5,-'Economic Assumptions'!$J18,0)</f>
        <v/>
      </c>
      <c r="BY96" s="301">
        <f>IF('Economic Assumptions'!$B18+'Project Assumptions'!$D$15+'Project Assumptions'!$D$16-1='Detailed Cashflows'!BY$5,-'Economic Assumptions'!$J18,0)</f>
        <v/>
      </c>
      <c r="BZ96" s="301">
        <f>IF('Economic Assumptions'!$B18+'Project Assumptions'!$D$15+'Project Assumptions'!$D$16-1='Detailed Cashflows'!BZ$5,-'Economic Assumptions'!$J18,0)</f>
        <v/>
      </c>
      <c r="CA96" s="301">
        <f>IF('Economic Assumptions'!$B18+'Project Assumptions'!$D$15+'Project Assumptions'!$D$16-1='Detailed Cashflows'!CA$5,-'Economic Assumptions'!$J18,0)</f>
        <v/>
      </c>
      <c r="CB96" s="301">
        <f>IF('Economic Assumptions'!$B18+'Project Assumptions'!$D$15+'Project Assumptions'!$D$16-1='Detailed Cashflows'!CB$5,-'Economic Assumptions'!$J18,0)</f>
        <v/>
      </c>
      <c r="CC96" s="301">
        <f>IF('Economic Assumptions'!$B18+'Project Assumptions'!$D$15+'Project Assumptions'!$D$16-1='Detailed Cashflows'!CC$5,-'Economic Assumptions'!$J18,0)</f>
        <v/>
      </c>
      <c r="CD96" s="301">
        <f>IF('Economic Assumptions'!$B18+'Project Assumptions'!$D$15+'Project Assumptions'!$D$16-1='Detailed Cashflows'!CD$5,-'Economic Assumptions'!$J18,0)</f>
        <v/>
      </c>
      <c r="CE96" s="301">
        <f>IF('Economic Assumptions'!$B18+'Project Assumptions'!$D$15+'Project Assumptions'!$D$16-1='Detailed Cashflows'!CE$5,-'Economic Assumptions'!$J18,0)</f>
        <v/>
      </c>
      <c r="CF96" s="301">
        <f>IF('Economic Assumptions'!$B18+'Project Assumptions'!$D$15+'Project Assumptions'!$D$16-1='Detailed Cashflows'!CF$5,-'Economic Assumptions'!$J18,0)</f>
        <v/>
      </c>
      <c r="CG96" s="301">
        <f>IF('Economic Assumptions'!$B18+'Project Assumptions'!$D$15+'Project Assumptions'!$D$16-1='Detailed Cashflows'!CG$5,-'Economic Assumptions'!$J18,0)</f>
        <v/>
      </c>
      <c r="CH96" s="301">
        <f>IF('Economic Assumptions'!$B18+'Project Assumptions'!$D$15+'Project Assumptions'!$D$16-1='Detailed Cashflows'!CH$5,-'Economic Assumptions'!$J18,0)</f>
        <v/>
      </c>
      <c r="CI96" s="301">
        <f>IF('Economic Assumptions'!$B18+'Project Assumptions'!$D$15+'Project Assumptions'!$D$16-1='Detailed Cashflows'!CI$5,-'Economic Assumptions'!$J18,0)</f>
        <v/>
      </c>
      <c r="CJ96" s="301">
        <f>IF('Economic Assumptions'!$B18+'Project Assumptions'!$D$15+'Project Assumptions'!$D$16-1='Detailed Cashflows'!CJ$5,-'Economic Assumptions'!$J18,0)</f>
        <v/>
      </c>
      <c r="CK96" s="301">
        <f>IF('Economic Assumptions'!$B18+'Project Assumptions'!$D$15+'Project Assumptions'!$D$16-1='Detailed Cashflows'!CK$5,-'Economic Assumptions'!$J18,0)</f>
        <v/>
      </c>
      <c r="CL96" s="301">
        <f>IF('Economic Assumptions'!$B18+'Project Assumptions'!$D$15+'Project Assumptions'!$D$16-1='Detailed Cashflows'!CL$5,-'Economic Assumptions'!$J18,0)</f>
        <v/>
      </c>
      <c r="CM96" s="301">
        <f>IF('Economic Assumptions'!$B18+'Project Assumptions'!$D$15+'Project Assumptions'!$D$16-1='Detailed Cashflows'!CM$5,-'Economic Assumptions'!$J18,0)</f>
        <v/>
      </c>
      <c r="CN96" s="301">
        <f>IF('Economic Assumptions'!$B18+'Project Assumptions'!$D$15+'Project Assumptions'!$D$16-1='Detailed Cashflows'!CN$5,-'Economic Assumptions'!$J18,0)</f>
        <v/>
      </c>
      <c r="CO96" s="301">
        <f>IF('Economic Assumptions'!$B18+'Project Assumptions'!$D$15+'Project Assumptions'!$D$16-1='Detailed Cashflows'!CO$5,-'Economic Assumptions'!$J18,0)</f>
        <v/>
      </c>
      <c r="CP96" s="301">
        <f>IF('Economic Assumptions'!$B18+'Project Assumptions'!$D$15+'Project Assumptions'!$D$16-1='Detailed Cashflows'!CP$5,-'Economic Assumptions'!$J18,0)</f>
        <v/>
      </c>
      <c r="CQ96" s="301">
        <f>IF('Economic Assumptions'!$B18+'Project Assumptions'!$D$15+'Project Assumptions'!$D$16-1='Detailed Cashflows'!CQ$5,-'Economic Assumptions'!$J18,0)</f>
        <v/>
      </c>
      <c r="CR96" s="301">
        <f>IF('Economic Assumptions'!$B18+'Project Assumptions'!$D$15+'Project Assumptions'!$D$16-1='Detailed Cashflows'!CR$5,-'Economic Assumptions'!$J18,0)</f>
        <v/>
      </c>
      <c r="CS96" s="301">
        <f>IF('Economic Assumptions'!$B18+'Project Assumptions'!$D$15+'Project Assumptions'!$D$16-1='Detailed Cashflows'!CS$5,-'Economic Assumptions'!$J18,0)</f>
        <v/>
      </c>
      <c r="CT96" s="301">
        <f>IF('Economic Assumptions'!$B18+'Project Assumptions'!$D$15+'Project Assumptions'!$D$16-1='Detailed Cashflows'!CT$5,-'Economic Assumptions'!$J18,0)</f>
        <v/>
      </c>
      <c r="CU96" s="301">
        <f>IF('Economic Assumptions'!$B18+'Project Assumptions'!$D$15+'Project Assumptions'!$D$16-1='Detailed Cashflows'!CU$5,-'Economic Assumptions'!$J18,0)</f>
        <v/>
      </c>
      <c r="CV96" s="301">
        <f>IF('Economic Assumptions'!$B18+'Project Assumptions'!$D$15+'Project Assumptions'!$D$16-1='Detailed Cashflows'!CV$5,-'Economic Assumptions'!$J18,0)</f>
        <v/>
      </c>
      <c r="CW96" s="301">
        <f>IF('Economic Assumptions'!$B18+'Project Assumptions'!$D$15+'Project Assumptions'!$D$16-1='Detailed Cashflows'!CW$5,-'Economic Assumptions'!$J18,0)</f>
        <v/>
      </c>
      <c r="CX96" s="301">
        <f>IF('Economic Assumptions'!$B18+'Project Assumptions'!$D$15+'Project Assumptions'!$D$16-1='Detailed Cashflows'!CX$5,-'Economic Assumptions'!$J18,0)</f>
        <v/>
      </c>
      <c r="CY96" s="301">
        <f>IF('Economic Assumptions'!$B18+'Project Assumptions'!$D$15+'Project Assumptions'!$D$16-1='Detailed Cashflows'!CY$5,-'Economic Assumptions'!$J18,0)</f>
        <v/>
      </c>
      <c r="CZ96" s="301">
        <f>IF('Economic Assumptions'!$B18+'Project Assumptions'!$D$15+'Project Assumptions'!$D$16-1='Detailed Cashflows'!CZ$5,-'Economic Assumptions'!$J18,0)</f>
        <v/>
      </c>
      <c r="DA96" s="301">
        <f>IF('Economic Assumptions'!$B18+'Project Assumptions'!$D$15+'Project Assumptions'!$D$16-1='Detailed Cashflows'!DA$5,-'Economic Assumptions'!$J18,0)</f>
        <v/>
      </c>
      <c r="DB96" s="301">
        <f>IF('Economic Assumptions'!$B18+'Project Assumptions'!$D$15+'Project Assumptions'!$D$16-1='Detailed Cashflows'!DB$5,-'Economic Assumptions'!$J18,0)</f>
        <v/>
      </c>
      <c r="DC96" s="301" t="n"/>
      <c r="DD96" s="299">
        <f>SUM(F96:DB96)</f>
        <v/>
      </c>
    </row>
    <row r="97" hidden="1" outlineLevel="1">
      <c r="A97" s="1000" t="n"/>
      <c r="B97" s="303">
        <f>'Economic Assumptions'!$A$19</f>
        <v/>
      </c>
      <c r="C97" s="294" t="n"/>
      <c r="D97" s="299">
        <f>DD97</f>
        <v/>
      </c>
      <c r="E97" s="300" t="n"/>
      <c r="F97" s="301">
        <f>IF('Economic Assumptions'!$B20+'Project Assumptions'!$D$15+'Project Assumptions'!$D$16-1='Detailed Cashflows'!F$5,-'Economic Assumptions'!$J20,0)</f>
        <v/>
      </c>
      <c r="G97" s="301">
        <f>IF('Economic Assumptions'!$B19+'Project Assumptions'!$D$15+'Project Assumptions'!$D$16-1='Detailed Cashflows'!G$5,-'Economic Assumptions'!$J19,0)</f>
        <v/>
      </c>
      <c r="H97" s="301">
        <f>IF('Economic Assumptions'!$B19+'Project Assumptions'!$D$15+'Project Assumptions'!$D$16-1='Detailed Cashflows'!H$5,-'Economic Assumptions'!$J19,0)</f>
        <v/>
      </c>
      <c r="I97" s="301">
        <f>IF('Economic Assumptions'!$B19+'Project Assumptions'!$D$15+'Project Assumptions'!$D$16-1='Detailed Cashflows'!I$5,-'Economic Assumptions'!$J19,0)</f>
        <v/>
      </c>
      <c r="J97" s="301">
        <f>IF('Economic Assumptions'!$B19+'Project Assumptions'!$D$15+'Project Assumptions'!$D$16-1='Detailed Cashflows'!J$5,-'Economic Assumptions'!$J19,0)</f>
        <v/>
      </c>
      <c r="K97" s="301">
        <f>IF('Economic Assumptions'!$B19+'Project Assumptions'!$D$15+'Project Assumptions'!$D$16-1='Detailed Cashflows'!K$5,-'Economic Assumptions'!$J19,0)</f>
        <v/>
      </c>
      <c r="L97" s="301">
        <f>IF('Economic Assumptions'!$B19+'Project Assumptions'!$D$15+'Project Assumptions'!$D$16-1='Detailed Cashflows'!L$5,-'Economic Assumptions'!$J19,0)</f>
        <v/>
      </c>
      <c r="M97" s="301">
        <f>IF('Economic Assumptions'!$B19+'Project Assumptions'!$D$15+'Project Assumptions'!$D$16-1='Detailed Cashflows'!M$5,-'Economic Assumptions'!$J19,0)</f>
        <v/>
      </c>
      <c r="N97" s="301">
        <f>IF('Economic Assumptions'!$B19+'Project Assumptions'!$D$15+'Project Assumptions'!$D$16-1='Detailed Cashflows'!N$5,-'Economic Assumptions'!$J19,0)</f>
        <v/>
      </c>
      <c r="O97" s="301">
        <f>IF('Economic Assumptions'!$B19+'Project Assumptions'!$D$15+'Project Assumptions'!$D$16-1='Detailed Cashflows'!O$5,-'Economic Assumptions'!$J19,0)</f>
        <v/>
      </c>
      <c r="P97" s="301">
        <f>IF('Economic Assumptions'!$B19+'Project Assumptions'!$D$15+'Project Assumptions'!$D$16-1='Detailed Cashflows'!P$5,-'Economic Assumptions'!$J19,0)</f>
        <v/>
      </c>
      <c r="Q97" s="301">
        <f>IF('Economic Assumptions'!$B19+'Project Assumptions'!$D$15+'Project Assumptions'!$D$16-1='Detailed Cashflows'!Q$5,-'Economic Assumptions'!$J19,0)</f>
        <v/>
      </c>
      <c r="R97" s="301">
        <f>IF('Economic Assumptions'!$B19+'Project Assumptions'!$D$15+'Project Assumptions'!$D$16-1='Detailed Cashflows'!R$5,-'Economic Assumptions'!$J19,0)</f>
        <v/>
      </c>
      <c r="S97" s="301">
        <f>IF('Economic Assumptions'!$B19+'Project Assumptions'!$D$15+'Project Assumptions'!$D$16-1='Detailed Cashflows'!S$5,-'Economic Assumptions'!$J19,0)</f>
        <v/>
      </c>
      <c r="T97" s="301">
        <f>IF('Economic Assumptions'!$B19+'Project Assumptions'!$D$15+'Project Assumptions'!$D$16-1='Detailed Cashflows'!T$5,-'Economic Assumptions'!$J19,0)</f>
        <v/>
      </c>
      <c r="U97" s="301">
        <f>IF('Economic Assumptions'!$B19+'Project Assumptions'!$D$15+'Project Assumptions'!$D$16-1='Detailed Cashflows'!U$5,-'Economic Assumptions'!$J19,0)</f>
        <v/>
      </c>
      <c r="V97" s="301">
        <f>IF('Economic Assumptions'!$B19+'Project Assumptions'!$D$15+'Project Assumptions'!$D$16-1='Detailed Cashflows'!V$5,-'Economic Assumptions'!$J19,0)</f>
        <v/>
      </c>
      <c r="W97" s="301">
        <f>IF('Economic Assumptions'!$B19+'Project Assumptions'!$D$15+'Project Assumptions'!$D$16-1='Detailed Cashflows'!W$5,-'Economic Assumptions'!$J19,0)</f>
        <v/>
      </c>
      <c r="X97" s="301">
        <f>IF('Economic Assumptions'!$B19+'Project Assumptions'!$D$15+'Project Assumptions'!$D$16-1='Detailed Cashflows'!X$5,-'Economic Assumptions'!$J19,0)</f>
        <v/>
      </c>
      <c r="Y97" s="301">
        <f>IF('Economic Assumptions'!$B19+'Project Assumptions'!$D$15+'Project Assumptions'!$D$16-1='Detailed Cashflows'!Y$5,-'Economic Assumptions'!$J19,0)</f>
        <v/>
      </c>
      <c r="Z97" s="301">
        <f>IF('Economic Assumptions'!$B19+'Project Assumptions'!$D$15+'Project Assumptions'!$D$16-1='Detailed Cashflows'!Z$5,-'Economic Assumptions'!$J19,0)</f>
        <v/>
      </c>
      <c r="AA97" s="301">
        <f>IF('Economic Assumptions'!$B19+'Project Assumptions'!$D$15+'Project Assumptions'!$D$16-1='Detailed Cashflows'!AA$5,-'Economic Assumptions'!$J19,0)</f>
        <v/>
      </c>
      <c r="AB97" s="301">
        <f>IF('Economic Assumptions'!$B19+'Project Assumptions'!$D$15+'Project Assumptions'!$D$16-1='Detailed Cashflows'!AB$5,-'Economic Assumptions'!$J19,0)</f>
        <v/>
      </c>
      <c r="AC97" s="301">
        <f>IF('Economic Assumptions'!$B19+'Project Assumptions'!$D$15+'Project Assumptions'!$D$16-1='Detailed Cashflows'!AC$5,-'Economic Assumptions'!$J19,0)</f>
        <v/>
      </c>
      <c r="AD97" s="301">
        <f>IF('Economic Assumptions'!$B19+'Project Assumptions'!$D$15+'Project Assumptions'!$D$16-1='Detailed Cashflows'!AD$5,-'Economic Assumptions'!$J19,0)</f>
        <v/>
      </c>
      <c r="AE97" s="301">
        <f>IF('Economic Assumptions'!$B19+'Project Assumptions'!$D$15+'Project Assumptions'!$D$16-1='Detailed Cashflows'!AE$5,-'Economic Assumptions'!$J19,0)</f>
        <v/>
      </c>
      <c r="AF97" s="301">
        <f>IF('Economic Assumptions'!$B19+'Project Assumptions'!$D$15+'Project Assumptions'!$D$16-1='Detailed Cashflows'!AF$5,-'Economic Assumptions'!$J19,0)</f>
        <v/>
      </c>
      <c r="AG97" s="301">
        <f>IF('Economic Assumptions'!$B19+'Project Assumptions'!$D$15+'Project Assumptions'!$D$16-1='Detailed Cashflows'!AG$5,-'Economic Assumptions'!$J19,0)</f>
        <v/>
      </c>
      <c r="AH97" s="301">
        <f>IF('Economic Assumptions'!$B19+'Project Assumptions'!$D$15+'Project Assumptions'!$D$16-1='Detailed Cashflows'!AH$5,-'Economic Assumptions'!$J19,0)</f>
        <v/>
      </c>
      <c r="AI97" s="301">
        <f>IF('Economic Assumptions'!$B19+'Project Assumptions'!$D$15+'Project Assumptions'!$D$16-1='Detailed Cashflows'!AI$5,-'Economic Assumptions'!$J19,0)</f>
        <v/>
      </c>
      <c r="AJ97" s="301">
        <f>IF('Economic Assumptions'!$B19+'Project Assumptions'!$D$15+'Project Assumptions'!$D$16-1='Detailed Cashflows'!AJ$5,-'Economic Assumptions'!$J19,0)</f>
        <v/>
      </c>
      <c r="AK97" s="301">
        <f>IF('Economic Assumptions'!$B19+'Project Assumptions'!$D$15+'Project Assumptions'!$D$16-1='Detailed Cashflows'!AK$5,-'Economic Assumptions'!$J19,0)</f>
        <v/>
      </c>
      <c r="AL97" s="301">
        <f>IF('Economic Assumptions'!$B19+'Project Assumptions'!$D$15+'Project Assumptions'!$D$16-1='Detailed Cashflows'!AL$5,-'Economic Assumptions'!$J19,0)</f>
        <v/>
      </c>
      <c r="AM97" s="301">
        <f>IF('Economic Assumptions'!$B19+'Project Assumptions'!$D$15+'Project Assumptions'!$D$16-1='Detailed Cashflows'!AM$5,-'Economic Assumptions'!$J19,0)</f>
        <v/>
      </c>
      <c r="AN97" s="301">
        <f>IF('Economic Assumptions'!$B19+'Project Assumptions'!$D$15+'Project Assumptions'!$D$16-1='Detailed Cashflows'!AN$5,-'Economic Assumptions'!$J19,0)</f>
        <v/>
      </c>
      <c r="AO97" s="301">
        <f>IF('Economic Assumptions'!$B19+'Project Assumptions'!$D$15+'Project Assumptions'!$D$16-1='Detailed Cashflows'!AO$5,-'Economic Assumptions'!$J19,0)</f>
        <v/>
      </c>
      <c r="AP97" s="301">
        <f>IF('Economic Assumptions'!$B19+'Project Assumptions'!$D$15+'Project Assumptions'!$D$16-1='Detailed Cashflows'!AP$5,-'Economic Assumptions'!$J19,0)</f>
        <v/>
      </c>
      <c r="AQ97" s="301">
        <f>IF('Economic Assumptions'!$B19+'Project Assumptions'!$D$15+'Project Assumptions'!$D$16-1='Detailed Cashflows'!AQ$5,-'Economic Assumptions'!$J19,0)</f>
        <v/>
      </c>
      <c r="AR97" s="301">
        <f>IF('Economic Assumptions'!$B19+'Project Assumptions'!$D$15+'Project Assumptions'!$D$16-1='Detailed Cashflows'!AR$5,-'Economic Assumptions'!$J19,0)</f>
        <v/>
      </c>
      <c r="AS97" s="301">
        <f>IF('Economic Assumptions'!$B19+'Project Assumptions'!$D$15+'Project Assumptions'!$D$16-1='Detailed Cashflows'!AS$5,-'Economic Assumptions'!$J19,0)</f>
        <v/>
      </c>
      <c r="AT97" s="301">
        <f>IF('Economic Assumptions'!$B19+'Project Assumptions'!$D$15+'Project Assumptions'!$D$16-1='Detailed Cashflows'!AT$5,-'Economic Assumptions'!$J19,0)</f>
        <v/>
      </c>
      <c r="AU97" s="301">
        <f>IF('Economic Assumptions'!$B19+'Project Assumptions'!$D$15+'Project Assumptions'!$D$16-1='Detailed Cashflows'!AU$5,-'Economic Assumptions'!$J19,0)</f>
        <v/>
      </c>
      <c r="AV97" s="301">
        <f>IF('Economic Assumptions'!$B19+'Project Assumptions'!$D$15+'Project Assumptions'!$D$16-1='Detailed Cashflows'!AV$5,-'Economic Assumptions'!$J19,0)</f>
        <v/>
      </c>
      <c r="AW97" s="301">
        <f>IF('Economic Assumptions'!$B19+'Project Assumptions'!$D$15+'Project Assumptions'!$D$16-1='Detailed Cashflows'!AW$5,-'Economic Assumptions'!$J19,0)</f>
        <v/>
      </c>
      <c r="AX97" s="301">
        <f>IF('Economic Assumptions'!$B19+'Project Assumptions'!$D$15+'Project Assumptions'!$D$16-1='Detailed Cashflows'!AX$5,-'Economic Assumptions'!$J19,0)</f>
        <v/>
      </c>
      <c r="AY97" s="301">
        <f>IF('Economic Assumptions'!$B19+'Project Assumptions'!$D$15+'Project Assumptions'!$D$16-1='Detailed Cashflows'!AY$5,-'Economic Assumptions'!$J19,0)</f>
        <v/>
      </c>
      <c r="AZ97" s="301">
        <f>IF('Economic Assumptions'!$B19+'Project Assumptions'!$D$15+'Project Assumptions'!$D$16-1='Detailed Cashflows'!AZ$5,-'Economic Assumptions'!$J19,0)</f>
        <v/>
      </c>
      <c r="BA97" s="301">
        <f>IF('Economic Assumptions'!$B19+'Project Assumptions'!$D$15+'Project Assumptions'!$D$16-1='Detailed Cashflows'!BA$5,-'Economic Assumptions'!$J19,0)</f>
        <v/>
      </c>
      <c r="BB97" s="301">
        <f>IF('Economic Assumptions'!$B19+'Project Assumptions'!$D$15+'Project Assumptions'!$D$16-1='Detailed Cashflows'!BB$5,-'Economic Assumptions'!$J19,0)</f>
        <v/>
      </c>
      <c r="BC97" s="301">
        <f>IF('Economic Assumptions'!$B19+'Project Assumptions'!$D$15+'Project Assumptions'!$D$16-1='Detailed Cashflows'!BC$5,-'Economic Assumptions'!$J19,0)</f>
        <v/>
      </c>
      <c r="BD97" s="301">
        <f>IF('Economic Assumptions'!$B19+'Project Assumptions'!$D$15+'Project Assumptions'!$D$16-1='Detailed Cashflows'!BD$5,-'Economic Assumptions'!$J19,0)</f>
        <v/>
      </c>
      <c r="BE97" s="301">
        <f>IF('Economic Assumptions'!$B19+'Project Assumptions'!$D$15+'Project Assumptions'!$D$16-1='Detailed Cashflows'!BE$5,-'Economic Assumptions'!$J19,0)</f>
        <v/>
      </c>
      <c r="BF97" s="301">
        <f>IF('Economic Assumptions'!$B19+'Project Assumptions'!$D$15+'Project Assumptions'!$D$16-1='Detailed Cashflows'!BF$5,-'Economic Assumptions'!$J19,0)</f>
        <v/>
      </c>
      <c r="BG97" s="301">
        <f>IF('Economic Assumptions'!$B19+'Project Assumptions'!$D$15+'Project Assumptions'!$D$16-1='Detailed Cashflows'!BG$5,-'Economic Assumptions'!$J19,0)</f>
        <v/>
      </c>
      <c r="BH97" s="301">
        <f>IF('Economic Assumptions'!$B19+'Project Assumptions'!$D$15+'Project Assumptions'!$D$16-1='Detailed Cashflows'!BH$5,-'Economic Assumptions'!$J19,0)</f>
        <v/>
      </c>
      <c r="BI97" s="301">
        <f>IF('Economic Assumptions'!$B19+'Project Assumptions'!$D$15+'Project Assumptions'!$D$16-1='Detailed Cashflows'!BI$5,-'Economic Assumptions'!$J19,0)</f>
        <v/>
      </c>
      <c r="BJ97" s="301">
        <f>IF('Economic Assumptions'!$B19+'Project Assumptions'!$D$15+'Project Assumptions'!$D$16-1='Detailed Cashflows'!BJ$5,-'Economic Assumptions'!$J19,0)</f>
        <v/>
      </c>
      <c r="BK97" s="301">
        <f>IF('Economic Assumptions'!$B19+'Project Assumptions'!$D$15+'Project Assumptions'!$D$16-1='Detailed Cashflows'!BK$5,-'Economic Assumptions'!$J19,0)</f>
        <v/>
      </c>
      <c r="BL97" s="301">
        <f>IF('Economic Assumptions'!$B19+'Project Assumptions'!$D$15+'Project Assumptions'!$D$16-1='Detailed Cashflows'!BL$5,-'Economic Assumptions'!$J19,0)</f>
        <v/>
      </c>
      <c r="BM97" s="301">
        <f>IF('Economic Assumptions'!$B19+'Project Assumptions'!$D$15+'Project Assumptions'!$D$16-1='Detailed Cashflows'!BM$5,-'Economic Assumptions'!$J19,0)</f>
        <v/>
      </c>
      <c r="BN97" s="301">
        <f>IF('Economic Assumptions'!$B19+'Project Assumptions'!$D$15+'Project Assumptions'!$D$16-1='Detailed Cashflows'!BN$5,-'Economic Assumptions'!$J19,0)</f>
        <v/>
      </c>
      <c r="BO97" s="301">
        <f>IF('Economic Assumptions'!$B19+'Project Assumptions'!$D$15+'Project Assumptions'!$D$16-1='Detailed Cashflows'!BO$5,-'Economic Assumptions'!$J19,0)</f>
        <v/>
      </c>
      <c r="BP97" s="301">
        <f>IF('Economic Assumptions'!$B19+'Project Assumptions'!$D$15+'Project Assumptions'!$D$16-1='Detailed Cashflows'!BP$5,-'Economic Assumptions'!$J19,0)</f>
        <v/>
      </c>
      <c r="BQ97" s="301">
        <f>IF('Economic Assumptions'!$B19+'Project Assumptions'!$D$15+'Project Assumptions'!$D$16-1='Detailed Cashflows'!BQ$5,-'Economic Assumptions'!$J19,0)</f>
        <v/>
      </c>
      <c r="BR97" s="301">
        <f>IF('Economic Assumptions'!$B19+'Project Assumptions'!$D$15+'Project Assumptions'!$D$16-1='Detailed Cashflows'!BR$5,-'Economic Assumptions'!$J19,0)</f>
        <v/>
      </c>
      <c r="BS97" s="301">
        <f>IF('Economic Assumptions'!$B19+'Project Assumptions'!$D$15+'Project Assumptions'!$D$16-1='Detailed Cashflows'!BS$5,-'Economic Assumptions'!$J19,0)</f>
        <v/>
      </c>
      <c r="BT97" s="301">
        <f>IF('Economic Assumptions'!$B19+'Project Assumptions'!$D$15+'Project Assumptions'!$D$16-1='Detailed Cashflows'!BT$5,-'Economic Assumptions'!$J19,0)</f>
        <v/>
      </c>
      <c r="BU97" s="301">
        <f>IF('Economic Assumptions'!$B19+'Project Assumptions'!$D$15+'Project Assumptions'!$D$16-1='Detailed Cashflows'!BU$5,-'Economic Assumptions'!$J19,0)</f>
        <v/>
      </c>
      <c r="BV97" s="301">
        <f>IF('Economic Assumptions'!$B19+'Project Assumptions'!$D$15+'Project Assumptions'!$D$16-1='Detailed Cashflows'!BV$5,-'Economic Assumptions'!$J19,0)</f>
        <v/>
      </c>
      <c r="BW97" s="301">
        <f>IF('Economic Assumptions'!$B19+'Project Assumptions'!$D$15+'Project Assumptions'!$D$16-1='Detailed Cashflows'!BW$5,-'Economic Assumptions'!$J19,0)</f>
        <v/>
      </c>
      <c r="BX97" s="301">
        <f>IF('Economic Assumptions'!$B19+'Project Assumptions'!$D$15+'Project Assumptions'!$D$16-1='Detailed Cashflows'!BX$5,-'Economic Assumptions'!$J19,0)</f>
        <v/>
      </c>
      <c r="BY97" s="301">
        <f>IF('Economic Assumptions'!$B19+'Project Assumptions'!$D$15+'Project Assumptions'!$D$16-1='Detailed Cashflows'!BY$5,-'Economic Assumptions'!$J19,0)</f>
        <v/>
      </c>
      <c r="BZ97" s="301">
        <f>IF('Economic Assumptions'!$B19+'Project Assumptions'!$D$15+'Project Assumptions'!$D$16-1='Detailed Cashflows'!BZ$5,-'Economic Assumptions'!$J19,0)</f>
        <v/>
      </c>
      <c r="CA97" s="301">
        <f>IF('Economic Assumptions'!$B19+'Project Assumptions'!$D$15+'Project Assumptions'!$D$16-1='Detailed Cashflows'!CA$5,-'Economic Assumptions'!$J19,0)</f>
        <v/>
      </c>
      <c r="CB97" s="301">
        <f>IF('Economic Assumptions'!$B19+'Project Assumptions'!$D$15+'Project Assumptions'!$D$16-1='Detailed Cashflows'!CB$5,-'Economic Assumptions'!$J19,0)</f>
        <v/>
      </c>
      <c r="CC97" s="301">
        <f>IF('Economic Assumptions'!$B19+'Project Assumptions'!$D$15+'Project Assumptions'!$D$16-1='Detailed Cashflows'!CC$5,-'Economic Assumptions'!$J19,0)</f>
        <v/>
      </c>
      <c r="CD97" s="301">
        <f>IF('Economic Assumptions'!$B19+'Project Assumptions'!$D$15+'Project Assumptions'!$D$16-1='Detailed Cashflows'!CD$5,-'Economic Assumptions'!$J19,0)</f>
        <v/>
      </c>
      <c r="CE97" s="301">
        <f>IF('Economic Assumptions'!$B19+'Project Assumptions'!$D$15+'Project Assumptions'!$D$16-1='Detailed Cashflows'!CE$5,-'Economic Assumptions'!$J19,0)</f>
        <v/>
      </c>
      <c r="CF97" s="301">
        <f>IF('Economic Assumptions'!$B19+'Project Assumptions'!$D$15+'Project Assumptions'!$D$16-1='Detailed Cashflows'!CF$5,-'Economic Assumptions'!$J19,0)</f>
        <v/>
      </c>
      <c r="CG97" s="301">
        <f>IF('Economic Assumptions'!$B19+'Project Assumptions'!$D$15+'Project Assumptions'!$D$16-1='Detailed Cashflows'!CG$5,-'Economic Assumptions'!$J19,0)</f>
        <v/>
      </c>
      <c r="CH97" s="301">
        <f>IF('Economic Assumptions'!$B19+'Project Assumptions'!$D$15+'Project Assumptions'!$D$16-1='Detailed Cashflows'!CH$5,-'Economic Assumptions'!$J19,0)</f>
        <v/>
      </c>
      <c r="CI97" s="301">
        <f>IF('Economic Assumptions'!$B19+'Project Assumptions'!$D$15+'Project Assumptions'!$D$16-1='Detailed Cashflows'!CI$5,-'Economic Assumptions'!$J19,0)</f>
        <v/>
      </c>
      <c r="CJ97" s="301">
        <f>IF('Economic Assumptions'!$B19+'Project Assumptions'!$D$15+'Project Assumptions'!$D$16-1='Detailed Cashflows'!CJ$5,-'Economic Assumptions'!$J19,0)</f>
        <v/>
      </c>
      <c r="CK97" s="301">
        <f>IF('Economic Assumptions'!$B19+'Project Assumptions'!$D$15+'Project Assumptions'!$D$16-1='Detailed Cashflows'!CK$5,-'Economic Assumptions'!$J19,0)</f>
        <v/>
      </c>
      <c r="CL97" s="301">
        <f>IF('Economic Assumptions'!$B19+'Project Assumptions'!$D$15+'Project Assumptions'!$D$16-1='Detailed Cashflows'!CL$5,-'Economic Assumptions'!$J19,0)</f>
        <v/>
      </c>
      <c r="CM97" s="301">
        <f>IF('Economic Assumptions'!$B19+'Project Assumptions'!$D$15+'Project Assumptions'!$D$16-1='Detailed Cashflows'!CM$5,-'Economic Assumptions'!$J19,0)</f>
        <v/>
      </c>
      <c r="CN97" s="301">
        <f>IF('Economic Assumptions'!$B19+'Project Assumptions'!$D$15+'Project Assumptions'!$D$16-1='Detailed Cashflows'!CN$5,-'Economic Assumptions'!$J19,0)</f>
        <v/>
      </c>
      <c r="CO97" s="301">
        <f>IF('Economic Assumptions'!$B19+'Project Assumptions'!$D$15+'Project Assumptions'!$D$16-1='Detailed Cashflows'!CO$5,-'Economic Assumptions'!$J19,0)</f>
        <v/>
      </c>
      <c r="CP97" s="301">
        <f>IF('Economic Assumptions'!$B19+'Project Assumptions'!$D$15+'Project Assumptions'!$D$16-1='Detailed Cashflows'!CP$5,-'Economic Assumptions'!$J19,0)</f>
        <v/>
      </c>
      <c r="CQ97" s="301">
        <f>IF('Economic Assumptions'!$B19+'Project Assumptions'!$D$15+'Project Assumptions'!$D$16-1='Detailed Cashflows'!CQ$5,-'Economic Assumptions'!$J19,0)</f>
        <v/>
      </c>
      <c r="CR97" s="301">
        <f>IF('Economic Assumptions'!$B19+'Project Assumptions'!$D$15+'Project Assumptions'!$D$16-1='Detailed Cashflows'!CR$5,-'Economic Assumptions'!$J19,0)</f>
        <v/>
      </c>
      <c r="CS97" s="301">
        <f>IF('Economic Assumptions'!$B19+'Project Assumptions'!$D$15+'Project Assumptions'!$D$16-1='Detailed Cashflows'!CS$5,-'Economic Assumptions'!$J19,0)</f>
        <v/>
      </c>
      <c r="CT97" s="301">
        <f>IF('Economic Assumptions'!$B19+'Project Assumptions'!$D$15+'Project Assumptions'!$D$16-1='Detailed Cashflows'!CT$5,-'Economic Assumptions'!$J19,0)</f>
        <v/>
      </c>
      <c r="CU97" s="301">
        <f>IF('Economic Assumptions'!$B19+'Project Assumptions'!$D$15+'Project Assumptions'!$D$16-1='Detailed Cashflows'!CU$5,-'Economic Assumptions'!$J19,0)</f>
        <v/>
      </c>
      <c r="CV97" s="301">
        <f>IF('Economic Assumptions'!$B19+'Project Assumptions'!$D$15+'Project Assumptions'!$D$16-1='Detailed Cashflows'!CV$5,-'Economic Assumptions'!$J19,0)</f>
        <v/>
      </c>
      <c r="CW97" s="301">
        <f>IF('Economic Assumptions'!$B19+'Project Assumptions'!$D$15+'Project Assumptions'!$D$16-1='Detailed Cashflows'!CW$5,-'Economic Assumptions'!$J19,0)</f>
        <v/>
      </c>
      <c r="CX97" s="301">
        <f>IF('Economic Assumptions'!$B19+'Project Assumptions'!$D$15+'Project Assumptions'!$D$16-1='Detailed Cashflows'!CX$5,-'Economic Assumptions'!$J19,0)</f>
        <v/>
      </c>
      <c r="CY97" s="301">
        <f>IF('Economic Assumptions'!$B19+'Project Assumptions'!$D$15+'Project Assumptions'!$D$16-1='Detailed Cashflows'!CY$5,-'Economic Assumptions'!$J19,0)</f>
        <v/>
      </c>
      <c r="CZ97" s="301">
        <f>IF('Economic Assumptions'!$B19+'Project Assumptions'!$D$15+'Project Assumptions'!$D$16-1='Detailed Cashflows'!CZ$5,-'Economic Assumptions'!$J19,0)</f>
        <v/>
      </c>
      <c r="DA97" s="301">
        <f>IF('Economic Assumptions'!$B19+'Project Assumptions'!$D$15+'Project Assumptions'!$D$16-1='Detailed Cashflows'!DA$5,-'Economic Assumptions'!$J19,0)</f>
        <v/>
      </c>
      <c r="DB97" s="301">
        <f>IF('Economic Assumptions'!$B19+'Project Assumptions'!$D$15+'Project Assumptions'!$D$16-1='Detailed Cashflows'!DB$5,-'Economic Assumptions'!$J19,0)</f>
        <v/>
      </c>
      <c r="DC97" s="301" t="n"/>
      <c r="DD97" s="299">
        <f>SUM(F97:DB97)</f>
        <v/>
      </c>
    </row>
    <row r="98" hidden="1" outlineLevel="1">
      <c r="A98" s="1005" t="n"/>
      <c r="B98" s="304">
        <f>'Economic Assumptions'!$A$20</f>
        <v/>
      </c>
      <c r="C98" s="337" t="n"/>
      <c r="D98" s="305">
        <f>DD98</f>
        <v/>
      </c>
      <c r="E98" s="306" t="n"/>
      <c r="F98" s="891">
        <f>IF('Economic Assumptions'!$B20+'Project Assumptions'!$D$15+'Project Assumptions'!$D$16-1='Detailed Cashflows'!F$5,-'Economic Assumptions'!$J20,0)</f>
        <v/>
      </c>
      <c r="G98" s="891">
        <f>IF('Economic Assumptions'!$B20+'Project Assumptions'!$D$15+'Project Assumptions'!$D$16-1='Detailed Cashflows'!G$5,-'Economic Assumptions'!$J20,0)</f>
        <v/>
      </c>
      <c r="H98" s="891">
        <f>IF('Economic Assumptions'!$B20+'Project Assumptions'!$D$15+'Project Assumptions'!$D$16-1='Detailed Cashflows'!H$5,-'Economic Assumptions'!$J20,0)</f>
        <v/>
      </c>
      <c r="I98" s="891">
        <f>IF('Economic Assumptions'!$B20+'Project Assumptions'!$D$15+'Project Assumptions'!$D$16-1='Detailed Cashflows'!I$5,-'Economic Assumptions'!$J20,0)</f>
        <v/>
      </c>
      <c r="J98" s="891">
        <f>IF('Economic Assumptions'!$B20+'Project Assumptions'!$D$15+'Project Assumptions'!$D$16-1='Detailed Cashflows'!J$5,-'Economic Assumptions'!$J20,0)</f>
        <v/>
      </c>
      <c r="K98" s="891">
        <f>IF('Economic Assumptions'!$B20+'Project Assumptions'!$D$15+'Project Assumptions'!$D$16-1='Detailed Cashflows'!K$5,-'Economic Assumptions'!$J20,0)</f>
        <v/>
      </c>
      <c r="L98" s="891">
        <f>IF('Economic Assumptions'!$B20+'Project Assumptions'!$D$15+'Project Assumptions'!$D$16-1='Detailed Cashflows'!L$5,-'Economic Assumptions'!$J20,0)</f>
        <v/>
      </c>
      <c r="M98" s="891">
        <f>IF('Economic Assumptions'!$B20+'Project Assumptions'!$D$15+'Project Assumptions'!$D$16-1='Detailed Cashflows'!M$5,-'Economic Assumptions'!$J20,0)</f>
        <v/>
      </c>
      <c r="N98" s="891">
        <f>IF('Economic Assumptions'!$B20+'Project Assumptions'!$D$15+'Project Assumptions'!$D$16-1='Detailed Cashflows'!N$5,-'Economic Assumptions'!$J20,0)</f>
        <v/>
      </c>
      <c r="O98" s="891">
        <f>IF('Economic Assumptions'!$B20+'Project Assumptions'!$D$15+'Project Assumptions'!$D$16-1='Detailed Cashflows'!O$5,-'Economic Assumptions'!$J20,0)</f>
        <v/>
      </c>
      <c r="P98" s="891">
        <f>IF('Economic Assumptions'!$B20+'Project Assumptions'!$D$15+'Project Assumptions'!$D$16-1='Detailed Cashflows'!P$5,-'Economic Assumptions'!$J20,0)</f>
        <v/>
      </c>
      <c r="Q98" s="891">
        <f>IF('Economic Assumptions'!$B20+'Project Assumptions'!$D$15+'Project Assumptions'!$D$16-1='Detailed Cashflows'!Q$5,-'Economic Assumptions'!$J20,0)</f>
        <v/>
      </c>
      <c r="R98" s="891">
        <f>IF('Economic Assumptions'!$B20+'Project Assumptions'!$D$15+'Project Assumptions'!$D$16-1='Detailed Cashflows'!R$5,-'Economic Assumptions'!$J20,0)</f>
        <v/>
      </c>
      <c r="S98" s="891">
        <f>IF('Economic Assumptions'!$B20+'Project Assumptions'!$D$15+'Project Assumptions'!$D$16-1='Detailed Cashflows'!S$5,-'Economic Assumptions'!$J20,0)</f>
        <v/>
      </c>
      <c r="T98" s="891">
        <f>IF('Economic Assumptions'!$B20+'Project Assumptions'!$D$15+'Project Assumptions'!$D$16-1='Detailed Cashflows'!T$5,-'Economic Assumptions'!$J20,0)</f>
        <v/>
      </c>
      <c r="U98" s="891">
        <f>IF('Economic Assumptions'!$B20+'Project Assumptions'!$D$15+'Project Assumptions'!$D$16-1='Detailed Cashflows'!U$5,-'Economic Assumptions'!$J20,0)</f>
        <v/>
      </c>
      <c r="V98" s="891">
        <f>IF('Economic Assumptions'!$B20+'Project Assumptions'!$D$15+'Project Assumptions'!$D$16-1='Detailed Cashflows'!V$5,-'Economic Assumptions'!$J20,0)</f>
        <v/>
      </c>
      <c r="W98" s="891">
        <f>IF('Economic Assumptions'!$B20+'Project Assumptions'!$D$15+'Project Assumptions'!$D$16-1='Detailed Cashflows'!W$5,-'Economic Assumptions'!$J20,0)</f>
        <v/>
      </c>
      <c r="X98" s="891">
        <f>IF('Economic Assumptions'!$B20+'Project Assumptions'!$D$15+'Project Assumptions'!$D$16-1='Detailed Cashflows'!X$5,-'Economic Assumptions'!$J20,0)</f>
        <v/>
      </c>
      <c r="Y98" s="891">
        <f>IF('Economic Assumptions'!$B20+'Project Assumptions'!$D$15+'Project Assumptions'!$D$16-1='Detailed Cashflows'!Y$5,-'Economic Assumptions'!$J20,0)</f>
        <v/>
      </c>
      <c r="Z98" s="891">
        <f>IF('Economic Assumptions'!$B20+'Project Assumptions'!$D$15+'Project Assumptions'!$D$16-1='Detailed Cashflows'!Z$5,-'Economic Assumptions'!$J20,0)</f>
        <v/>
      </c>
      <c r="AA98" s="891">
        <f>IF('Economic Assumptions'!$B20+'Project Assumptions'!$D$15+'Project Assumptions'!$D$16-1='Detailed Cashflows'!AA$5,-'Economic Assumptions'!$J20,0)</f>
        <v/>
      </c>
      <c r="AB98" s="891">
        <f>IF('Economic Assumptions'!$B20+'Project Assumptions'!$D$15+'Project Assumptions'!$D$16-1='Detailed Cashflows'!AB$5,-'Economic Assumptions'!$J20,0)</f>
        <v/>
      </c>
      <c r="AC98" s="891">
        <f>IF('Economic Assumptions'!$B20+'Project Assumptions'!$D$15+'Project Assumptions'!$D$16-1='Detailed Cashflows'!AC$5,-'Economic Assumptions'!$J20,0)</f>
        <v/>
      </c>
      <c r="AD98" s="891">
        <f>IF('Economic Assumptions'!$B20+'Project Assumptions'!$D$15+'Project Assumptions'!$D$16-1='Detailed Cashflows'!AD$5,-'Economic Assumptions'!$J20,0)</f>
        <v/>
      </c>
      <c r="AE98" s="891">
        <f>IF('Economic Assumptions'!$B20+'Project Assumptions'!$D$15+'Project Assumptions'!$D$16-1='Detailed Cashflows'!AE$5,-'Economic Assumptions'!$J20,0)</f>
        <v/>
      </c>
      <c r="AF98" s="891">
        <f>IF('Economic Assumptions'!$B20+'Project Assumptions'!$D$15+'Project Assumptions'!$D$16-1='Detailed Cashflows'!AF$5,-'Economic Assumptions'!$J20,0)</f>
        <v/>
      </c>
      <c r="AG98" s="891">
        <f>IF('Economic Assumptions'!$B20+'Project Assumptions'!$D$15+'Project Assumptions'!$D$16-1='Detailed Cashflows'!AG$5,-'Economic Assumptions'!$J20,0)</f>
        <v/>
      </c>
      <c r="AH98" s="891">
        <f>IF('Economic Assumptions'!$B20+'Project Assumptions'!$D$15+'Project Assumptions'!$D$16-1='Detailed Cashflows'!AH$5,-'Economic Assumptions'!$J20,0)</f>
        <v/>
      </c>
      <c r="AI98" s="891">
        <f>IF('Economic Assumptions'!$B20+'Project Assumptions'!$D$15+'Project Assumptions'!$D$16-1='Detailed Cashflows'!AI$5,-'Economic Assumptions'!$J20,0)</f>
        <v/>
      </c>
      <c r="AJ98" s="891">
        <f>IF('Economic Assumptions'!$B20+'Project Assumptions'!$D$15+'Project Assumptions'!$D$16-1='Detailed Cashflows'!AJ$5,-'Economic Assumptions'!$J20,0)</f>
        <v/>
      </c>
      <c r="AK98" s="891">
        <f>IF('Economic Assumptions'!$B20+'Project Assumptions'!$D$15+'Project Assumptions'!$D$16-1='Detailed Cashflows'!AK$5,-'Economic Assumptions'!$J20,0)</f>
        <v/>
      </c>
      <c r="AL98" s="891">
        <f>IF('Economic Assumptions'!$B20+'Project Assumptions'!$D$15+'Project Assumptions'!$D$16-1='Detailed Cashflows'!AL$5,-'Economic Assumptions'!$J20,0)</f>
        <v/>
      </c>
      <c r="AM98" s="891">
        <f>IF('Economic Assumptions'!$B20+'Project Assumptions'!$D$15+'Project Assumptions'!$D$16-1='Detailed Cashflows'!AM$5,-'Economic Assumptions'!$J20,0)</f>
        <v/>
      </c>
      <c r="AN98" s="891">
        <f>IF('Economic Assumptions'!$B20+'Project Assumptions'!$D$15+'Project Assumptions'!$D$16-1='Detailed Cashflows'!AN$5,-'Economic Assumptions'!$J20,0)</f>
        <v/>
      </c>
      <c r="AO98" s="891">
        <f>IF('Economic Assumptions'!$B20+'Project Assumptions'!$D$15+'Project Assumptions'!$D$16-1='Detailed Cashflows'!AO$5,-'Economic Assumptions'!$J20,0)</f>
        <v/>
      </c>
      <c r="AP98" s="891">
        <f>IF('Economic Assumptions'!$B20+'Project Assumptions'!$D$15+'Project Assumptions'!$D$16-1='Detailed Cashflows'!AP$5,-'Economic Assumptions'!$J20,0)</f>
        <v/>
      </c>
      <c r="AQ98" s="891">
        <f>IF('Economic Assumptions'!$B20+'Project Assumptions'!$D$15+'Project Assumptions'!$D$16-1='Detailed Cashflows'!AQ$5,-'Economic Assumptions'!$J20,0)</f>
        <v/>
      </c>
      <c r="AR98" s="891">
        <f>IF('Economic Assumptions'!$B20+'Project Assumptions'!$D$15+'Project Assumptions'!$D$16-1='Detailed Cashflows'!AR$5,-'Economic Assumptions'!$J20,0)</f>
        <v/>
      </c>
      <c r="AS98" s="891">
        <f>IF('Economic Assumptions'!$B20+'Project Assumptions'!$D$15+'Project Assumptions'!$D$16-1='Detailed Cashflows'!AS$5,-'Economic Assumptions'!$J20,0)</f>
        <v/>
      </c>
      <c r="AT98" s="891">
        <f>IF('Economic Assumptions'!$B20+'Project Assumptions'!$D$15+'Project Assumptions'!$D$16-1='Detailed Cashflows'!AT$5,-'Economic Assumptions'!$J20,0)</f>
        <v/>
      </c>
      <c r="AU98" s="891">
        <f>IF('Economic Assumptions'!$B20+'Project Assumptions'!$D$15+'Project Assumptions'!$D$16-1='Detailed Cashflows'!AU$5,-'Economic Assumptions'!$J20,0)</f>
        <v/>
      </c>
      <c r="AV98" s="891">
        <f>IF('Economic Assumptions'!$B20+'Project Assumptions'!$D$15+'Project Assumptions'!$D$16-1='Detailed Cashflows'!AV$5,-'Economic Assumptions'!$J20,0)</f>
        <v/>
      </c>
      <c r="AW98" s="891">
        <f>IF('Economic Assumptions'!$B20+'Project Assumptions'!$D$15+'Project Assumptions'!$D$16-1='Detailed Cashflows'!AW$5,-'Economic Assumptions'!$J20,0)</f>
        <v/>
      </c>
      <c r="AX98" s="891">
        <f>IF('Economic Assumptions'!$B20+'Project Assumptions'!$D$15+'Project Assumptions'!$D$16-1='Detailed Cashflows'!AX$5,-'Economic Assumptions'!$J20,0)</f>
        <v/>
      </c>
      <c r="AY98" s="891">
        <f>IF('Economic Assumptions'!$B20+'Project Assumptions'!$D$15+'Project Assumptions'!$D$16-1='Detailed Cashflows'!AY$5,-'Economic Assumptions'!$J20,0)</f>
        <v/>
      </c>
      <c r="AZ98" s="891">
        <f>IF('Economic Assumptions'!$B20+'Project Assumptions'!$D$15+'Project Assumptions'!$D$16-1='Detailed Cashflows'!AZ$5,-'Economic Assumptions'!$J20,0)</f>
        <v/>
      </c>
      <c r="BA98" s="891">
        <f>IF('Economic Assumptions'!$B20+'Project Assumptions'!$D$15+'Project Assumptions'!$D$16-1='Detailed Cashflows'!BA$5,-'Economic Assumptions'!$J20,0)</f>
        <v/>
      </c>
      <c r="BB98" s="891">
        <f>IF('Economic Assumptions'!$B20+'Project Assumptions'!$D$15+'Project Assumptions'!$D$16-1='Detailed Cashflows'!BB$5,-'Economic Assumptions'!$J20,0)</f>
        <v/>
      </c>
      <c r="BC98" s="891">
        <f>IF('Economic Assumptions'!$B20+'Project Assumptions'!$D$15+'Project Assumptions'!$D$16-1='Detailed Cashflows'!BC$5,-'Economic Assumptions'!$J20,0)</f>
        <v/>
      </c>
      <c r="BD98" s="891">
        <f>IF('Economic Assumptions'!$B20+'Project Assumptions'!$D$15+'Project Assumptions'!$D$16-1='Detailed Cashflows'!BD$5,-'Economic Assumptions'!$J20,0)</f>
        <v/>
      </c>
      <c r="BE98" s="891">
        <f>IF('Economic Assumptions'!$B20+'Project Assumptions'!$D$15+'Project Assumptions'!$D$16-1='Detailed Cashflows'!BE$5,-'Economic Assumptions'!$J20,0)</f>
        <v/>
      </c>
      <c r="BF98" s="891">
        <f>IF('Economic Assumptions'!$B20+'Project Assumptions'!$D$15+'Project Assumptions'!$D$16-1='Detailed Cashflows'!BF$5,-'Economic Assumptions'!$J20,0)</f>
        <v/>
      </c>
      <c r="BG98" s="891">
        <f>IF('Economic Assumptions'!$B20+'Project Assumptions'!$D$15+'Project Assumptions'!$D$16-1='Detailed Cashflows'!BG$5,-'Economic Assumptions'!$J20,0)</f>
        <v/>
      </c>
      <c r="BH98" s="891">
        <f>IF('Economic Assumptions'!$B20+'Project Assumptions'!$D$15+'Project Assumptions'!$D$16-1='Detailed Cashflows'!BH$5,-'Economic Assumptions'!$J20,0)</f>
        <v/>
      </c>
      <c r="BI98" s="891">
        <f>IF('Economic Assumptions'!$B20+'Project Assumptions'!$D$15+'Project Assumptions'!$D$16-1='Detailed Cashflows'!BI$5,-'Economic Assumptions'!$J20,0)</f>
        <v/>
      </c>
      <c r="BJ98" s="891">
        <f>IF('Economic Assumptions'!$B20+'Project Assumptions'!$D$15+'Project Assumptions'!$D$16-1='Detailed Cashflows'!BJ$5,-'Economic Assumptions'!$J20,0)</f>
        <v/>
      </c>
      <c r="BK98" s="891">
        <f>IF('Economic Assumptions'!$B20+'Project Assumptions'!$D$15+'Project Assumptions'!$D$16-1='Detailed Cashflows'!BK$5,-'Economic Assumptions'!$J20,0)</f>
        <v/>
      </c>
      <c r="BL98" s="891">
        <f>IF('Economic Assumptions'!$B20+'Project Assumptions'!$D$15+'Project Assumptions'!$D$16-1='Detailed Cashflows'!BL$5,-'Economic Assumptions'!$J20,0)</f>
        <v/>
      </c>
      <c r="BM98" s="891">
        <f>IF('Economic Assumptions'!$B20+'Project Assumptions'!$D$15+'Project Assumptions'!$D$16-1='Detailed Cashflows'!BM$5,-'Economic Assumptions'!$J20,0)</f>
        <v/>
      </c>
      <c r="BN98" s="891">
        <f>IF('Economic Assumptions'!$B20+'Project Assumptions'!$D$15+'Project Assumptions'!$D$16-1='Detailed Cashflows'!BN$5,-'Economic Assumptions'!$J20,0)</f>
        <v/>
      </c>
      <c r="BO98" s="891">
        <f>IF('Economic Assumptions'!$B20+'Project Assumptions'!$D$15+'Project Assumptions'!$D$16-1='Detailed Cashflows'!BO$5,-'Economic Assumptions'!$J20,0)</f>
        <v/>
      </c>
      <c r="BP98" s="891">
        <f>IF('Economic Assumptions'!$B20+'Project Assumptions'!$D$15+'Project Assumptions'!$D$16-1='Detailed Cashflows'!BP$5,-'Economic Assumptions'!$J20,0)</f>
        <v/>
      </c>
      <c r="BQ98" s="891">
        <f>IF('Economic Assumptions'!$B20+'Project Assumptions'!$D$15+'Project Assumptions'!$D$16-1='Detailed Cashflows'!BQ$5,-'Economic Assumptions'!$J20,0)</f>
        <v/>
      </c>
      <c r="BR98" s="891">
        <f>IF('Economic Assumptions'!$B20+'Project Assumptions'!$D$15+'Project Assumptions'!$D$16-1='Detailed Cashflows'!BR$5,-'Economic Assumptions'!$J20,0)</f>
        <v/>
      </c>
      <c r="BS98" s="891">
        <f>IF('Economic Assumptions'!$B20+'Project Assumptions'!$D$15+'Project Assumptions'!$D$16-1='Detailed Cashflows'!BS$5,-'Economic Assumptions'!$J20,0)</f>
        <v/>
      </c>
      <c r="BT98" s="891">
        <f>IF('Economic Assumptions'!$B20+'Project Assumptions'!$D$15+'Project Assumptions'!$D$16-1='Detailed Cashflows'!BT$5,-'Economic Assumptions'!$J20,0)</f>
        <v/>
      </c>
      <c r="BU98" s="891">
        <f>IF('Economic Assumptions'!$B20+'Project Assumptions'!$D$15+'Project Assumptions'!$D$16-1='Detailed Cashflows'!BU$5,-'Economic Assumptions'!$J20,0)</f>
        <v/>
      </c>
      <c r="BV98" s="891">
        <f>IF('Economic Assumptions'!$B20+'Project Assumptions'!$D$15+'Project Assumptions'!$D$16-1='Detailed Cashflows'!BV$5,-'Economic Assumptions'!$J20,0)</f>
        <v/>
      </c>
      <c r="BW98" s="891">
        <f>IF('Economic Assumptions'!$B20+'Project Assumptions'!$D$15+'Project Assumptions'!$D$16-1='Detailed Cashflows'!BW$5,-'Economic Assumptions'!$J20,0)</f>
        <v/>
      </c>
      <c r="BX98" s="891">
        <f>IF('Economic Assumptions'!$B20+'Project Assumptions'!$D$15+'Project Assumptions'!$D$16-1='Detailed Cashflows'!BX$5,-'Economic Assumptions'!$J20,0)</f>
        <v/>
      </c>
      <c r="BY98" s="891">
        <f>IF('Economic Assumptions'!$B20+'Project Assumptions'!$D$15+'Project Assumptions'!$D$16-1='Detailed Cashflows'!BY$5,-'Economic Assumptions'!$J20,0)</f>
        <v/>
      </c>
      <c r="BZ98" s="891">
        <f>IF('Economic Assumptions'!$B20+'Project Assumptions'!$D$15+'Project Assumptions'!$D$16-1='Detailed Cashflows'!BZ$5,-'Economic Assumptions'!$J20,0)</f>
        <v/>
      </c>
      <c r="CA98" s="891">
        <f>IF('Economic Assumptions'!$B20+'Project Assumptions'!$D$15+'Project Assumptions'!$D$16-1='Detailed Cashflows'!CA$5,-'Economic Assumptions'!$J20,0)</f>
        <v/>
      </c>
      <c r="CB98" s="891">
        <f>IF('Economic Assumptions'!$B20+'Project Assumptions'!$D$15+'Project Assumptions'!$D$16-1='Detailed Cashflows'!CB$5,-'Economic Assumptions'!$J20,0)</f>
        <v/>
      </c>
      <c r="CC98" s="891">
        <f>IF('Economic Assumptions'!$B20+'Project Assumptions'!$D$15+'Project Assumptions'!$D$16-1='Detailed Cashflows'!CC$5,-'Economic Assumptions'!$J20,0)</f>
        <v/>
      </c>
      <c r="CD98" s="891">
        <f>IF('Economic Assumptions'!$B20+'Project Assumptions'!$D$15+'Project Assumptions'!$D$16-1='Detailed Cashflows'!CD$5,-'Economic Assumptions'!$J20,0)</f>
        <v/>
      </c>
      <c r="CE98" s="891">
        <f>IF('Economic Assumptions'!$B20+'Project Assumptions'!$D$15+'Project Assumptions'!$D$16-1='Detailed Cashflows'!CE$5,-'Economic Assumptions'!$J20,0)</f>
        <v/>
      </c>
      <c r="CF98" s="891">
        <f>IF('Economic Assumptions'!$B20+'Project Assumptions'!$D$15+'Project Assumptions'!$D$16-1='Detailed Cashflows'!CF$5,-'Economic Assumptions'!$J20,0)</f>
        <v/>
      </c>
      <c r="CG98" s="891">
        <f>IF('Economic Assumptions'!$B20+'Project Assumptions'!$D$15+'Project Assumptions'!$D$16-1='Detailed Cashflows'!CG$5,-'Economic Assumptions'!$J20,0)</f>
        <v/>
      </c>
      <c r="CH98" s="891">
        <f>IF('Economic Assumptions'!$B20+'Project Assumptions'!$D$15+'Project Assumptions'!$D$16-1='Detailed Cashflows'!CH$5,-'Economic Assumptions'!$J20,0)</f>
        <v/>
      </c>
      <c r="CI98" s="891">
        <f>IF('Economic Assumptions'!$B20+'Project Assumptions'!$D$15+'Project Assumptions'!$D$16-1='Detailed Cashflows'!CI$5,-'Economic Assumptions'!$J20,0)</f>
        <v/>
      </c>
      <c r="CJ98" s="891">
        <f>IF('Economic Assumptions'!$B20+'Project Assumptions'!$D$15+'Project Assumptions'!$D$16-1='Detailed Cashflows'!CJ$5,-'Economic Assumptions'!$J20,0)</f>
        <v/>
      </c>
      <c r="CK98" s="891">
        <f>IF('Economic Assumptions'!$B20+'Project Assumptions'!$D$15+'Project Assumptions'!$D$16-1='Detailed Cashflows'!CK$5,-'Economic Assumptions'!$J20,0)</f>
        <v/>
      </c>
      <c r="CL98" s="891">
        <f>IF('Economic Assumptions'!$B20+'Project Assumptions'!$D$15+'Project Assumptions'!$D$16-1='Detailed Cashflows'!CL$5,-'Economic Assumptions'!$J20,0)</f>
        <v/>
      </c>
      <c r="CM98" s="891">
        <f>IF('Economic Assumptions'!$B20+'Project Assumptions'!$D$15+'Project Assumptions'!$D$16-1='Detailed Cashflows'!CM$5,-'Economic Assumptions'!$J20,0)</f>
        <v/>
      </c>
      <c r="CN98" s="891">
        <f>IF('Economic Assumptions'!$B20+'Project Assumptions'!$D$15+'Project Assumptions'!$D$16-1='Detailed Cashflows'!CN$5,-'Economic Assumptions'!$J20,0)</f>
        <v/>
      </c>
      <c r="CO98" s="891">
        <f>IF('Economic Assumptions'!$B20+'Project Assumptions'!$D$15+'Project Assumptions'!$D$16-1='Detailed Cashflows'!CO$5,-'Economic Assumptions'!$J20,0)</f>
        <v/>
      </c>
      <c r="CP98" s="891">
        <f>IF('Economic Assumptions'!$B20+'Project Assumptions'!$D$15+'Project Assumptions'!$D$16-1='Detailed Cashflows'!CP$5,-'Economic Assumptions'!$J20,0)</f>
        <v/>
      </c>
      <c r="CQ98" s="891">
        <f>IF('Economic Assumptions'!$B20+'Project Assumptions'!$D$15+'Project Assumptions'!$D$16-1='Detailed Cashflows'!CQ$5,-'Economic Assumptions'!$J20,0)</f>
        <v/>
      </c>
      <c r="CR98" s="891">
        <f>IF('Economic Assumptions'!$B20+'Project Assumptions'!$D$15+'Project Assumptions'!$D$16-1='Detailed Cashflows'!CR$5,-'Economic Assumptions'!$J20,0)</f>
        <v/>
      </c>
      <c r="CS98" s="891">
        <f>IF('Economic Assumptions'!$B20+'Project Assumptions'!$D$15+'Project Assumptions'!$D$16-1='Detailed Cashflows'!CS$5,-'Economic Assumptions'!$J20,0)</f>
        <v/>
      </c>
      <c r="CT98" s="891">
        <f>IF('Economic Assumptions'!$B20+'Project Assumptions'!$D$15+'Project Assumptions'!$D$16-1='Detailed Cashflows'!CT$5,-'Economic Assumptions'!$J20,0)</f>
        <v/>
      </c>
      <c r="CU98" s="891">
        <f>IF('Economic Assumptions'!$B20+'Project Assumptions'!$D$15+'Project Assumptions'!$D$16-1='Detailed Cashflows'!CU$5,-'Economic Assumptions'!$J20,0)</f>
        <v/>
      </c>
      <c r="CV98" s="891">
        <f>IF('Economic Assumptions'!$B20+'Project Assumptions'!$D$15+'Project Assumptions'!$D$16-1='Detailed Cashflows'!CV$5,-'Economic Assumptions'!$J20,0)</f>
        <v/>
      </c>
      <c r="CW98" s="891">
        <f>IF('Economic Assumptions'!$B20+'Project Assumptions'!$D$15+'Project Assumptions'!$D$16-1='Detailed Cashflows'!CW$5,-'Economic Assumptions'!$J20,0)</f>
        <v/>
      </c>
      <c r="CX98" s="891">
        <f>IF('Economic Assumptions'!$B20+'Project Assumptions'!$D$15+'Project Assumptions'!$D$16-1='Detailed Cashflows'!CX$5,-'Economic Assumptions'!$J20,0)</f>
        <v/>
      </c>
      <c r="CY98" s="891">
        <f>IF('Economic Assumptions'!$B20+'Project Assumptions'!$D$15+'Project Assumptions'!$D$16-1='Detailed Cashflows'!CY$5,-'Economic Assumptions'!$J20,0)</f>
        <v/>
      </c>
      <c r="CZ98" s="891">
        <f>IF('Economic Assumptions'!$B20+'Project Assumptions'!$D$15+'Project Assumptions'!$D$16-1='Detailed Cashflows'!CZ$5,-'Economic Assumptions'!$J20,0)</f>
        <v/>
      </c>
      <c r="DA98" s="891">
        <f>IF('Economic Assumptions'!$B20+'Project Assumptions'!$D$15+'Project Assumptions'!$D$16-1='Detailed Cashflows'!DA$5,-'Economic Assumptions'!$J20,0)</f>
        <v/>
      </c>
      <c r="DB98" s="891">
        <f>IF('Economic Assumptions'!$B20+'Project Assumptions'!$D$15+'Project Assumptions'!$D$16-1='Detailed Cashflows'!DB$5,-'Economic Assumptions'!$J20,0)</f>
        <v/>
      </c>
      <c r="DC98" s="891" t="n"/>
      <c r="DD98" s="305">
        <f>SUM(F98:DB98)</f>
        <v/>
      </c>
    </row>
    <row r="99" collapsed="1">
      <c r="A99" s="699" t="inlineStr">
        <is>
          <t>Development Fee</t>
        </is>
      </c>
      <c r="B99" s="309" t="inlineStr">
        <is>
          <t xml:space="preserve">   Base Fee (TCC)</t>
        </is>
      </c>
      <c r="C99" s="337" t="n"/>
      <c r="D99" s="297">
        <f>DD99</f>
        <v/>
      </c>
      <c r="E99" s="276" t="n"/>
      <c r="F99" s="890">
        <f>IF(F5&gt;'Project Assumptions'!$D$15,IF(F5&lt;='Project Assumptions'!$D$15+'Project Assumptions'!$D$16,-'Detailed Project Costs'!$F$57/'Project Assumptions'!$D$16,0),0)+IF('Project Assumptions'!$D$16=0,IF(F5='Project Assumptions'!$D$15,-'Detailed Project Costs'!$F$57,0),0)</f>
        <v/>
      </c>
      <c r="G99" s="890">
        <f>IF(G5&gt;'Project Assumptions'!$D$15,IF(G5&lt;='Project Assumptions'!$D$15+'Project Assumptions'!$D$16,-'Detailed Project Costs'!$F$57/'Project Assumptions'!$D$16,0),0)+IF('Project Assumptions'!$D$16=0,IF(G5='Project Assumptions'!$D$15,-'Detailed Project Costs'!$F$57,0),0)</f>
        <v/>
      </c>
      <c r="H99" s="890">
        <f>IF(H5&gt;'Project Assumptions'!$D$15,IF(H5&lt;='Project Assumptions'!$D$15+'Project Assumptions'!$D$16,-'Detailed Project Costs'!$F$57/'Project Assumptions'!$D$16,0),0)+IF('Project Assumptions'!$D$16=0,IF(H5='Project Assumptions'!$D$15,-'Detailed Project Costs'!$F$57,0),0)</f>
        <v/>
      </c>
      <c r="I99" s="890">
        <f>IF(I5&gt;'Project Assumptions'!$D$15,IF(I5&lt;='Project Assumptions'!$D$15+'Project Assumptions'!$D$16,-'Detailed Project Costs'!$F$57/'Project Assumptions'!$D$16,0),0)+IF('Project Assumptions'!$D$16=0,IF(I5='Project Assumptions'!$D$15,-'Detailed Project Costs'!$F$57,0),0)</f>
        <v/>
      </c>
      <c r="J99" s="890">
        <f>IF(J5&gt;'Project Assumptions'!$D$15,IF(J5&lt;='Project Assumptions'!$D$15+'Project Assumptions'!$D$16,-'Detailed Project Costs'!$F$57/'Project Assumptions'!$D$16,0),0)+IF('Project Assumptions'!$D$16=0,IF(J5='Project Assumptions'!$D$15,-'Detailed Project Costs'!$F$57,0),0)</f>
        <v/>
      </c>
      <c r="K99" s="890">
        <f>IF(K5&gt;'Project Assumptions'!$D$15,IF(K5&lt;='Project Assumptions'!$D$15+'Project Assumptions'!$D$16,-'Detailed Project Costs'!$F$57/'Project Assumptions'!$D$16,0),0)+IF('Project Assumptions'!$D$16=0,IF(K5='Project Assumptions'!$D$15,-'Detailed Project Costs'!$F$57,0),0)</f>
        <v/>
      </c>
      <c r="L99" s="890">
        <f>IF(L5&gt;'Project Assumptions'!$D$15,IF(L5&lt;='Project Assumptions'!$D$15+'Project Assumptions'!$D$16,-'Detailed Project Costs'!$F$57/'Project Assumptions'!$D$16,0),0)+IF('Project Assumptions'!$D$16=0,IF(L5='Project Assumptions'!$D$15,-'Detailed Project Costs'!$F$57,0),0)</f>
        <v/>
      </c>
      <c r="M99" s="890">
        <f>IF(M5&gt;'Project Assumptions'!$D$15,IF(M5&lt;='Project Assumptions'!$D$15+'Project Assumptions'!$D$16,-'Detailed Project Costs'!$F$57/'Project Assumptions'!$D$16,0),0)+IF('Project Assumptions'!$D$16=0,IF(M5='Project Assumptions'!$D$15,-'Detailed Project Costs'!$F$57,0),0)</f>
        <v/>
      </c>
      <c r="N99" s="890">
        <f>IF(N5&gt;'Project Assumptions'!$D$15,IF(N5&lt;='Project Assumptions'!$D$15+'Project Assumptions'!$D$16,-'Detailed Project Costs'!$F$57/'Project Assumptions'!$D$16,0),0)+IF('Project Assumptions'!$D$16=0,IF(N5='Project Assumptions'!$D$15,-'Detailed Project Costs'!$F$57,0),0)</f>
        <v/>
      </c>
      <c r="O99" s="890">
        <f>IF(O5&gt;'Project Assumptions'!$D$15,IF(O5&lt;='Project Assumptions'!$D$15+'Project Assumptions'!$D$16,-'Detailed Project Costs'!$F$57/'Project Assumptions'!$D$16,0),0)+IF('Project Assumptions'!$D$16=0,IF(O5='Project Assumptions'!$D$15,-'Detailed Project Costs'!$F$57,0),0)</f>
        <v/>
      </c>
      <c r="P99" s="890">
        <f>IF(P5&gt;'Project Assumptions'!$D$15,IF(P5&lt;='Project Assumptions'!$D$15+'Project Assumptions'!$D$16,-'Detailed Project Costs'!$F$57/'Project Assumptions'!$D$16,0),0)+IF('Project Assumptions'!$D$16=0,IF(P5='Project Assumptions'!$D$15,-'Detailed Project Costs'!$F$57,0),0)</f>
        <v/>
      </c>
      <c r="Q99" s="890">
        <f>IF(Q5&gt;'Project Assumptions'!$D$15,IF(Q5&lt;='Project Assumptions'!$D$15+'Project Assumptions'!$D$16,-'Detailed Project Costs'!$F$57/'Project Assumptions'!$D$16,0),0)+IF('Project Assumptions'!$D$16=0,IF(Q5='Project Assumptions'!$D$15,-'Detailed Project Costs'!$F$57,0),0)</f>
        <v/>
      </c>
      <c r="R99" s="890">
        <f>IF(R5&gt;'Project Assumptions'!$D$15,IF(R5&lt;='Project Assumptions'!$D$15+'Project Assumptions'!$D$16,-'Detailed Project Costs'!$F$57/'Project Assumptions'!$D$16,0),0)+IF('Project Assumptions'!$D$16=0,IF(R5='Project Assumptions'!$D$15,-'Detailed Project Costs'!$F$57,0),0)</f>
        <v/>
      </c>
      <c r="S99" s="890">
        <f>IF(S5&gt;'Project Assumptions'!$D$15,IF(S5&lt;='Project Assumptions'!$D$15+'Project Assumptions'!$D$16,-'Detailed Project Costs'!$F$57/'Project Assumptions'!$D$16,0),0)+IF('Project Assumptions'!$D$16=0,IF(S5='Project Assumptions'!$D$15,-'Detailed Project Costs'!$F$57,0),0)</f>
        <v/>
      </c>
      <c r="T99" s="890">
        <f>IF(T5&gt;'Project Assumptions'!$D$15,IF(T5&lt;='Project Assumptions'!$D$15+'Project Assumptions'!$D$16,-'Detailed Project Costs'!$F$57/'Project Assumptions'!$D$16,0),0)+IF('Project Assumptions'!$D$16=0,IF(T5='Project Assumptions'!$D$15,-'Detailed Project Costs'!$F$57,0),0)</f>
        <v/>
      </c>
      <c r="U99" s="890">
        <f>IF(U5&gt;'Project Assumptions'!$D$15,IF(U5&lt;='Project Assumptions'!$D$15+'Project Assumptions'!$D$16,-'Detailed Project Costs'!$F$57/'Project Assumptions'!$D$16,0),0)+IF('Project Assumptions'!$D$16=0,IF(U5='Project Assumptions'!$D$15,-'Detailed Project Costs'!$F$57,0),0)</f>
        <v/>
      </c>
      <c r="V99" s="890">
        <f>IF(V5&gt;'Project Assumptions'!$D$15,IF(V5&lt;='Project Assumptions'!$D$15+'Project Assumptions'!$D$16,-'Detailed Project Costs'!$F$57/'Project Assumptions'!$D$16,0),0)+IF('Project Assumptions'!$D$16=0,IF(V5='Project Assumptions'!$D$15,-'Detailed Project Costs'!$F$57,0),0)</f>
        <v/>
      </c>
      <c r="W99" s="890">
        <f>IF(W5&gt;'Project Assumptions'!$D$15,IF(W5&lt;='Project Assumptions'!$D$15+'Project Assumptions'!$D$16,-'Detailed Project Costs'!$F$57/'Project Assumptions'!$D$16,0),0)+IF('Project Assumptions'!$D$16=0,IF(W5='Project Assumptions'!$D$15,-'Detailed Project Costs'!$F$57,0),0)</f>
        <v/>
      </c>
      <c r="X99" s="890">
        <f>IF(X5&gt;'Project Assumptions'!$D$15,IF(X5&lt;='Project Assumptions'!$D$15+'Project Assumptions'!$D$16,-'Detailed Project Costs'!$F$57/'Project Assumptions'!$D$16,0),0)+IF('Project Assumptions'!$D$16=0,IF(X5='Project Assumptions'!$D$15,-'Detailed Project Costs'!$F$57,0),0)</f>
        <v/>
      </c>
      <c r="Y99" s="890">
        <f>IF(Y5&gt;'Project Assumptions'!$D$15,IF(Y5&lt;='Project Assumptions'!$D$15+'Project Assumptions'!$D$16,-'Detailed Project Costs'!$F$57/'Project Assumptions'!$D$16,0),0)+IF('Project Assumptions'!$D$16=0,IF(Y5='Project Assumptions'!$D$15,-'Detailed Project Costs'!$F$57,0),0)</f>
        <v/>
      </c>
      <c r="Z99" s="890">
        <f>IF(Z5&gt;'Project Assumptions'!$D$15,IF(Z5&lt;='Project Assumptions'!$D$15+'Project Assumptions'!$D$16,-'Detailed Project Costs'!$F$57/'Project Assumptions'!$D$16,0),0)+IF('Project Assumptions'!$D$16=0,IF(Z5='Project Assumptions'!$D$15,-'Detailed Project Costs'!$F$57,0),0)</f>
        <v/>
      </c>
      <c r="AA99" s="890">
        <f>IF(AA5&gt;'Project Assumptions'!$D$15,IF(AA5&lt;='Project Assumptions'!$D$15+'Project Assumptions'!$D$16,-'Detailed Project Costs'!$F$57/'Project Assumptions'!$D$16,0),0)+IF('Project Assumptions'!$D$16=0,IF(AA5='Project Assumptions'!$D$15,-'Detailed Project Costs'!$F$57,0),0)</f>
        <v/>
      </c>
      <c r="AB99" s="890">
        <f>IF(AB5&gt;'Project Assumptions'!$D$15,IF(AB5&lt;='Project Assumptions'!$D$15+'Project Assumptions'!$D$16,-'Detailed Project Costs'!$F$57/'Project Assumptions'!$D$16,0),0)+IF('Project Assumptions'!$D$16=0,IF(AB5='Project Assumptions'!$D$15,-'Detailed Project Costs'!$F$57,0),0)</f>
        <v/>
      </c>
      <c r="AC99" s="890">
        <f>IF(AC5&gt;'Project Assumptions'!$D$15,IF(AC5&lt;='Project Assumptions'!$D$15+'Project Assumptions'!$D$16,-'Detailed Project Costs'!$F$57/'Project Assumptions'!$D$16,0),0)+IF('Project Assumptions'!$D$16=0,IF(AC5='Project Assumptions'!$D$15,-'Detailed Project Costs'!$F$57,0),0)</f>
        <v/>
      </c>
      <c r="AD99" s="890">
        <f>IF(AD5&gt;'Project Assumptions'!$D$15,IF(AD5&lt;='Project Assumptions'!$D$15+'Project Assumptions'!$D$16,-'Detailed Project Costs'!$F$57/'Project Assumptions'!$D$16,0),0)+IF('Project Assumptions'!$D$16=0,IF(AD5='Project Assumptions'!$D$15,-'Detailed Project Costs'!$F$57,0),0)</f>
        <v/>
      </c>
      <c r="AE99" s="890">
        <f>IF(AE5&gt;'Project Assumptions'!$D$15,IF(AE5&lt;='Project Assumptions'!$D$15+'Project Assumptions'!$D$16,-'Detailed Project Costs'!$F$57/'Project Assumptions'!$D$16,0),0)+IF('Project Assumptions'!$D$16=0,IF(AE5='Project Assumptions'!$D$15,-'Detailed Project Costs'!$F$57,0),0)</f>
        <v/>
      </c>
      <c r="AF99" s="890">
        <f>IF(AF5&gt;'Project Assumptions'!$D$15,IF(AF5&lt;='Project Assumptions'!$D$15+'Project Assumptions'!$D$16,-'Detailed Project Costs'!$F$57/'Project Assumptions'!$D$16,0),0)+IF('Project Assumptions'!$D$16=0,IF(AF5='Project Assumptions'!$D$15,-'Detailed Project Costs'!$F$57,0),0)</f>
        <v/>
      </c>
      <c r="AG99" s="890">
        <f>IF(AG5&gt;'Project Assumptions'!$D$15,IF(AG5&lt;='Project Assumptions'!$D$15+'Project Assumptions'!$D$16,-'Detailed Project Costs'!$F$57/'Project Assumptions'!$D$16,0),0)+IF('Project Assumptions'!$D$16=0,IF(AG5='Project Assumptions'!$D$15,-'Detailed Project Costs'!$F$57,0),0)</f>
        <v/>
      </c>
      <c r="AH99" s="890">
        <f>IF(AH5&gt;'Project Assumptions'!$D$15,IF(AH5&lt;='Project Assumptions'!$D$15+'Project Assumptions'!$D$16,-'Detailed Project Costs'!$F$57/'Project Assumptions'!$D$16,0),0)+IF('Project Assumptions'!$D$16=0,IF(AH5='Project Assumptions'!$D$15,-'Detailed Project Costs'!$F$57,0),0)</f>
        <v/>
      </c>
      <c r="AI99" s="890">
        <f>IF(AI5&gt;'Project Assumptions'!$D$15,IF(AI5&lt;='Project Assumptions'!$D$15+'Project Assumptions'!$D$16,-'Detailed Project Costs'!$F$57/'Project Assumptions'!$D$16,0),0)+IF('Project Assumptions'!$D$16=0,IF(AI5='Project Assumptions'!$D$15,-'Detailed Project Costs'!$F$57,0),0)</f>
        <v/>
      </c>
      <c r="AJ99" s="890">
        <f>IF(AJ5&gt;'Project Assumptions'!$D$15,IF(AJ5&lt;='Project Assumptions'!$D$15+'Project Assumptions'!$D$16,-'Detailed Project Costs'!$F$57/'Project Assumptions'!$D$16,0),0)+IF('Project Assumptions'!$D$16=0,IF(AJ5='Project Assumptions'!$D$15,-'Detailed Project Costs'!$F$57,0),0)</f>
        <v/>
      </c>
      <c r="AK99" s="890">
        <f>IF(AK5&gt;'Project Assumptions'!$D$15,IF(AK5&lt;='Project Assumptions'!$D$15+'Project Assumptions'!$D$16,-'Detailed Project Costs'!$F$57/'Project Assumptions'!$D$16,0),0)+IF('Project Assumptions'!$D$16=0,IF(AK5='Project Assumptions'!$D$15,-'Detailed Project Costs'!$F$57,0),0)</f>
        <v/>
      </c>
      <c r="AL99" s="890">
        <f>IF(AL5&gt;'Project Assumptions'!$D$15,IF(AL5&lt;='Project Assumptions'!$D$15+'Project Assumptions'!$D$16,-'Detailed Project Costs'!$F$57/'Project Assumptions'!$D$16,0),0)+IF('Project Assumptions'!$D$16=0,IF(AL5='Project Assumptions'!$D$15,-'Detailed Project Costs'!$F$57,0),0)</f>
        <v/>
      </c>
      <c r="AM99" s="890">
        <f>IF(AM5&gt;'Project Assumptions'!$D$15,IF(AM5&lt;='Project Assumptions'!$D$15+'Project Assumptions'!$D$16,-'Detailed Project Costs'!$F$57/'Project Assumptions'!$D$16,0),0)+IF('Project Assumptions'!$D$16=0,IF(AM5='Project Assumptions'!$D$15,-'Detailed Project Costs'!$F$57,0),0)</f>
        <v/>
      </c>
      <c r="AN99" s="890">
        <f>IF(AN5&gt;'Project Assumptions'!$D$15,IF(AN5&lt;='Project Assumptions'!$D$15+'Project Assumptions'!$D$16,-'Detailed Project Costs'!$F$57/'Project Assumptions'!$D$16,0),0)+IF('Project Assumptions'!$D$16=0,IF(AN5='Project Assumptions'!$D$15,-'Detailed Project Costs'!$F$57,0),0)</f>
        <v/>
      </c>
      <c r="AO99" s="890">
        <f>IF(AO5&gt;'Project Assumptions'!$D$15,IF(AO5&lt;='Project Assumptions'!$D$15+'Project Assumptions'!$D$16,-'Detailed Project Costs'!$F$57/'Project Assumptions'!$D$16,0),0)+IF('Project Assumptions'!$D$16=0,IF(AO5='Project Assumptions'!$D$15,-'Detailed Project Costs'!$F$57,0),0)</f>
        <v/>
      </c>
      <c r="AP99" s="890">
        <f>IF(AP5&gt;'Project Assumptions'!$D$15,IF(AP5&lt;='Project Assumptions'!$D$15+'Project Assumptions'!$D$16,-'Detailed Project Costs'!$F$57/'Project Assumptions'!$D$16,0),0)+IF('Project Assumptions'!$D$16=0,IF(AP5='Project Assumptions'!$D$15,-'Detailed Project Costs'!$F$57,0),0)</f>
        <v/>
      </c>
      <c r="AQ99" s="890">
        <f>IF(AQ5&gt;'Project Assumptions'!$D$15,IF(AQ5&lt;='Project Assumptions'!$D$15+'Project Assumptions'!$D$16,-'Detailed Project Costs'!$F$57/'Project Assumptions'!$D$16,0),0)+IF('Project Assumptions'!$D$16=0,IF(AQ5='Project Assumptions'!$D$15,-'Detailed Project Costs'!$F$57,0),0)</f>
        <v/>
      </c>
      <c r="AR99" s="890">
        <f>IF(AR5&gt;'Project Assumptions'!$D$15,IF(AR5&lt;='Project Assumptions'!$D$15+'Project Assumptions'!$D$16,-'Detailed Project Costs'!$F$57/'Project Assumptions'!$D$16,0),0)+IF('Project Assumptions'!$D$16=0,IF(AR5='Project Assumptions'!$D$15,-'Detailed Project Costs'!$F$57,0),0)</f>
        <v/>
      </c>
      <c r="AS99" s="890">
        <f>IF(AS5&gt;'Project Assumptions'!$D$15,IF(AS5&lt;='Project Assumptions'!$D$15+'Project Assumptions'!$D$16,-'Detailed Project Costs'!$F$57/'Project Assumptions'!$D$16,0),0)+IF('Project Assumptions'!$D$16=0,IF(AS5='Project Assumptions'!$D$15,-'Detailed Project Costs'!$F$57,0),0)</f>
        <v/>
      </c>
      <c r="AT99" s="890">
        <f>IF(AT5&gt;'Project Assumptions'!$D$15,IF(AT5&lt;='Project Assumptions'!$D$15+'Project Assumptions'!$D$16,-'Detailed Project Costs'!$F$57/'Project Assumptions'!$D$16,0),0)+IF('Project Assumptions'!$D$16=0,IF(AT5='Project Assumptions'!$D$15,-'Detailed Project Costs'!$F$57,0),0)</f>
        <v/>
      </c>
      <c r="AU99" s="890">
        <f>IF(AU5&gt;'Project Assumptions'!$D$15,IF(AU5&lt;='Project Assumptions'!$D$15+'Project Assumptions'!$D$16,-'Detailed Project Costs'!$F$57/'Project Assumptions'!$D$16,0),0)+IF('Project Assumptions'!$D$16=0,IF(AU5='Project Assumptions'!$D$15,-'Detailed Project Costs'!$F$57,0),0)</f>
        <v/>
      </c>
      <c r="AV99" s="890">
        <f>IF(AV5&gt;'Project Assumptions'!$D$15,IF(AV5&lt;='Project Assumptions'!$D$15+'Project Assumptions'!$D$16,-'Detailed Project Costs'!$F$57/'Project Assumptions'!$D$16,0),0)+IF('Project Assumptions'!$D$16=0,IF(AV5='Project Assumptions'!$D$15,-'Detailed Project Costs'!$F$57,0),0)</f>
        <v/>
      </c>
      <c r="AW99" s="890">
        <f>IF(AW5&gt;'Project Assumptions'!$D$15,IF(AW5&lt;='Project Assumptions'!$D$15+'Project Assumptions'!$D$16,-'Detailed Project Costs'!$F$57/'Project Assumptions'!$D$16,0),0)+IF('Project Assumptions'!$D$16=0,IF(AW5='Project Assumptions'!$D$15,-'Detailed Project Costs'!$F$57,0),0)</f>
        <v/>
      </c>
      <c r="AX99" s="890">
        <f>IF(AX5&gt;'Project Assumptions'!$D$15,IF(AX5&lt;='Project Assumptions'!$D$15+'Project Assumptions'!$D$16,-'Detailed Project Costs'!$F$57/'Project Assumptions'!$D$16,0),0)+IF('Project Assumptions'!$D$16=0,IF(AX5='Project Assumptions'!$D$15,-'Detailed Project Costs'!$F$57,0),0)</f>
        <v/>
      </c>
      <c r="AY99" s="890">
        <f>IF(AY5&gt;'Project Assumptions'!$D$15,IF(AY5&lt;='Project Assumptions'!$D$15+'Project Assumptions'!$D$16,-'Detailed Project Costs'!$F$57/'Project Assumptions'!$D$16,0),0)+IF('Project Assumptions'!$D$16=0,IF(AY5='Project Assumptions'!$D$15,-'Detailed Project Costs'!$F$57,0),0)</f>
        <v/>
      </c>
      <c r="AZ99" s="890">
        <f>IF(AZ5&gt;'Project Assumptions'!$D$15,IF(AZ5&lt;='Project Assumptions'!$D$15+'Project Assumptions'!$D$16,-'Detailed Project Costs'!$F$57/'Project Assumptions'!$D$16,0),0)+IF('Project Assumptions'!$D$16=0,IF(AZ5='Project Assumptions'!$D$15,-'Detailed Project Costs'!$F$57,0),0)</f>
        <v/>
      </c>
      <c r="BA99" s="890">
        <f>IF(BA5&gt;'Project Assumptions'!$D$15,IF(BA5&lt;='Project Assumptions'!$D$15+'Project Assumptions'!$D$16,-'Detailed Project Costs'!$F$57/'Project Assumptions'!$D$16,0),0)+IF('Project Assumptions'!$D$16=0,IF(BA5='Project Assumptions'!$D$15,-'Detailed Project Costs'!$F$57,0),0)</f>
        <v/>
      </c>
      <c r="BB99" s="890">
        <f>IF(BB5&gt;'Project Assumptions'!$D$15,IF(BB5&lt;='Project Assumptions'!$D$15+'Project Assumptions'!$D$16,-'Detailed Project Costs'!$F$57/'Project Assumptions'!$D$16,0),0)+IF('Project Assumptions'!$D$16=0,IF(BB5='Project Assumptions'!$D$15,-'Detailed Project Costs'!$F$57,0),0)</f>
        <v/>
      </c>
      <c r="BC99" s="890">
        <f>IF(BC5&gt;'Project Assumptions'!$D$15,IF(BC5&lt;='Project Assumptions'!$D$15+'Project Assumptions'!$D$16,-'Detailed Project Costs'!$F$57/'Project Assumptions'!$D$16,0),0)+IF('Project Assumptions'!$D$16=0,IF(BC5='Project Assumptions'!$D$15,-'Detailed Project Costs'!$F$57,0),0)</f>
        <v/>
      </c>
      <c r="BD99" s="890">
        <f>IF(BD5&gt;'Project Assumptions'!$D$15,IF(BD5&lt;='Project Assumptions'!$D$15+'Project Assumptions'!$D$16,-'Detailed Project Costs'!$F$57/'Project Assumptions'!$D$16,0),0)+IF('Project Assumptions'!$D$16=0,IF(BD5='Project Assumptions'!$D$15,-'Detailed Project Costs'!$F$57,0),0)</f>
        <v/>
      </c>
      <c r="BE99" s="890">
        <f>IF(BE5&gt;'Project Assumptions'!$D$15,IF(BE5&lt;='Project Assumptions'!$D$15+'Project Assumptions'!$D$16,-'Detailed Project Costs'!$F$57/'Project Assumptions'!$D$16,0),0)+IF('Project Assumptions'!$D$16=0,IF(BE5='Project Assumptions'!$D$15,-'Detailed Project Costs'!$F$57,0),0)</f>
        <v/>
      </c>
      <c r="BF99" s="890">
        <f>IF(BF5&gt;'Project Assumptions'!$D$15,IF(BF5&lt;='Project Assumptions'!$D$15+'Project Assumptions'!$D$16,-'Detailed Project Costs'!$F$57/'Project Assumptions'!$D$16,0),0)+IF('Project Assumptions'!$D$16=0,IF(BF5='Project Assumptions'!$D$15,-'Detailed Project Costs'!$F$57,0),0)</f>
        <v/>
      </c>
      <c r="BG99" s="890">
        <f>IF(BG5&gt;'Project Assumptions'!$D$15,IF(BG5&lt;='Project Assumptions'!$D$15+'Project Assumptions'!$D$16,-'Detailed Project Costs'!$F$57/'Project Assumptions'!$D$16,0),0)+IF('Project Assumptions'!$D$16=0,IF(BG5='Project Assumptions'!$D$15,-'Detailed Project Costs'!$F$57,0),0)</f>
        <v/>
      </c>
      <c r="BH99" s="890">
        <f>IF(BH5&gt;'Project Assumptions'!$D$15,IF(BH5&lt;='Project Assumptions'!$D$15+'Project Assumptions'!$D$16,-'Detailed Project Costs'!$F$57/'Project Assumptions'!$D$16,0),0)+IF('Project Assumptions'!$D$16=0,IF(BH5='Project Assumptions'!$D$15,-'Detailed Project Costs'!$F$57,0),0)</f>
        <v/>
      </c>
      <c r="BI99" s="890">
        <f>IF(BI5&gt;'Project Assumptions'!$D$15,IF(BI5&lt;='Project Assumptions'!$D$15+'Project Assumptions'!$D$16,-'Detailed Project Costs'!$F$57/'Project Assumptions'!$D$16,0),0)+IF('Project Assumptions'!$D$16=0,IF(BI5='Project Assumptions'!$D$15,-'Detailed Project Costs'!$F$57,0),0)</f>
        <v/>
      </c>
      <c r="BJ99" s="890">
        <f>IF(BJ5&gt;'Project Assumptions'!$D$15,IF(BJ5&lt;='Project Assumptions'!$D$15+'Project Assumptions'!$D$16,-'Detailed Project Costs'!$F$57/'Project Assumptions'!$D$16,0),0)+IF('Project Assumptions'!$D$16=0,IF(BJ5='Project Assumptions'!$D$15,-'Detailed Project Costs'!$F$57,0),0)</f>
        <v/>
      </c>
      <c r="BK99" s="890">
        <f>IF(BK5&gt;'Project Assumptions'!$D$15,IF(BK5&lt;='Project Assumptions'!$D$15+'Project Assumptions'!$D$16,-'Detailed Project Costs'!$F$57/'Project Assumptions'!$D$16,0),0)+IF('Project Assumptions'!$D$16=0,IF(BK5='Project Assumptions'!$D$15,-'Detailed Project Costs'!$F$57,0),0)</f>
        <v/>
      </c>
      <c r="BL99" s="890">
        <f>IF(BL5&gt;'Project Assumptions'!$D$15,IF(BL5&lt;='Project Assumptions'!$D$15+'Project Assumptions'!$D$16,-'Detailed Project Costs'!$F$57/'Project Assumptions'!$D$16,0),0)+IF('Project Assumptions'!$D$16=0,IF(BL5='Project Assumptions'!$D$15,-'Detailed Project Costs'!$F$57,0),0)</f>
        <v/>
      </c>
      <c r="BM99" s="890">
        <f>IF(BM5&gt;'Project Assumptions'!$D$15,IF(BM5&lt;='Project Assumptions'!$D$15+'Project Assumptions'!$D$16,-'Detailed Project Costs'!$F$57/'Project Assumptions'!$D$16,0),0)+IF('Project Assumptions'!$D$16=0,IF(BM5='Project Assumptions'!$D$15,-'Detailed Project Costs'!$F$57,0),0)</f>
        <v/>
      </c>
      <c r="BN99" s="890">
        <f>IF(BN5&gt;'Project Assumptions'!$D$15,IF(BN5&lt;='Project Assumptions'!$D$15+'Project Assumptions'!$D$16,-'Detailed Project Costs'!$F$57/'Project Assumptions'!$D$16,0),0)+IF('Project Assumptions'!$D$16=0,IF(BN5='Project Assumptions'!$D$15,-'Detailed Project Costs'!$F$57,0),0)</f>
        <v/>
      </c>
      <c r="BO99" s="890">
        <f>IF(BO5&gt;'Project Assumptions'!$D$15,IF(BO5&lt;='Project Assumptions'!$D$15+'Project Assumptions'!$D$16,-'Detailed Project Costs'!$F$57/'Project Assumptions'!$D$16,0),0)+IF('Project Assumptions'!$D$16=0,IF(BO5='Project Assumptions'!$D$15,-'Detailed Project Costs'!$F$57,0),0)</f>
        <v/>
      </c>
      <c r="BP99" s="890">
        <f>IF(BP5&gt;'Project Assumptions'!$D$15,IF(BP5&lt;='Project Assumptions'!$D$15+'Project Assumptions'!$D$16,-'Detailed Project Costs'!$F$57/'Project Assumptions'!$D$16,0),0)+IF('Project Assumptions'!$D$16=0,IF(BP5='Project Assumptions'!$D$15,-'Detailed Project Costs'!$F$57,0),0)</f>
        <v/>
      </c>
      <c r="BQ99" s="890">
        <f>IF(BQ5&gt;'Project Assumptions'!$D$15,IF(BQ5&lt;='Project Assumptions'!$D$15+'Project Assumptions'!$D$16,-'Detailed Project Costs'!$F$57/'Project Assumptions'!$D$16,0),0)+IF('Project Assumptions'!$D$16=0,IF(BQ5='Project Assumptions'!$D$15,-'Detailed Project Costs'!$F$57,0),0)</f>
        <v/>
      </c>
      <c r="BR99" s="890">
        <f>IF(BR5&gt;'Project Assumptions'!$D$15,IF(BR5&lt;='Project Assumptions'!$D$15+'Project Assumptions'!$D$16,-'Detailed Project Costs'!$F$57/'Project Assumptions'!$D$16,0),0)+IF('Project Assumptions'!$D$16=0,IF(BR5='Project Assumptions'!$D$15,-'Detailed Project Costs'!$F$57,0),0)</f>
        <v/>
      </c>
      <c r="BS99" s="890">
        <f>IF(BS5&gt;'Project Assumptions'!$D$15,IF(BS5&lt;='Project Assumptions'!$D$15+'Project Assumptions'!$D$16,-'Detailed Project Costs'!$F$57/'Project Assumptions'!$D$16,0),0)+IF('Project Assumptions'!$D$16=0,IF(BS5='Project Assumptions'!$D$15,-'Detailed Project Costs'!$F$57,0),0)</f>
        <v/>
      </c>
      <c r="BT99" s="890">
        <f>IF(BT5&gt;'Project Assumptions'!$D$15,IF(BT5&lt;='Project Assumptions'!$D$15+'Project Assumptions'!$D$16,-'Detailed Project Costs'!$F$57/'Project Assumptions'!$D$16,0),0)+IF('Project Assumptions'!$D$16=0,IF(BT5='Project Assumptions'!$D$15,-'Detailed Project Costs'!$F$57,0),0)</f>
        <v/>
      </c>
      <c r="BU99" s="890">
        <f>IF(BU5&gt;'Project Assumptions'!$D$15,IF(BU5&lt;='Project Assumptions'!$D$15+'Project Assumptions'!$D$16,-'Detailed Project Costs'!$F$57/'Project Assumptions'!$D$16,0),0)+IF('Project Assumptions'!$D$16=0,IF(BU5='Project Assumptions'!$D$15,-'Detailed Project Costs'!$F$57,0),0)</f>
        <v/>
      </c>
      <c r="BV99" s="890">
        <f>IF(BV5&gt;'Project Assumptions'!$D$15,IF(BV5&lt;='Project Assumptions'!$D$15+'Project Assumptions'!$D$16,-'Detailed Project Costs'!$F$57/'Project Assumptions'!$D$16,0),0)+IF('Project Assumptions'!$D$16=0,IF(BV5='Project Assumptions'!$D$15,-'Detailed Project Costs'!$F$57,0),0)</f>
        <v/>
      </c>
      <c r="BW99" s="890">
        <f>IF(BW5&gt;'Project Assumptions'!$D$15,IF(BW5&lt;='Project Assumptions'!$D$15+'Project Assumptions'!$D$16,-'Detailed Project Costs'!$F$57/'Project Assumptions'!$D$16,0),0)+IF('Project Assumptions'!$D$16=0,IF(BW5='Project Assumptions'!$D$15,-'Detailed Project Costs'!$F$57,0),0)</f>
        <v/>
      </c>
      <c r="BX99" s="890">
        <f>IF(BX5&gt;'Project Assumptions'!$D$15,IF(BX5&lt;='Project Assumptions'!$D$15+'Project Assumptions'!$D$16,-'Detailed Project Costs'!$F$57/'Project Assumptions'!$D$16,0),0)+IF('Project Assumptions'!$D$16=0,IF(BX5='Project Assumptions'!$D$15,-'Detailed Project Costs'!$F$57,0),0)</f>
        <v/>
      </c>
      <c r="BY99" s="890">
        <f>IF(BY5&gt;'Project Assumptions'!$D$15,IF(BY5&lt;='Project Assumptions'!$D$15+'Project Assumptions'!$D$16,-'Detailed Project Costs'!$F$57/'Project Assumptions'!$D$16,0),0)+IF('Project Assumptions'!$D$16=0,IF(BY5='Project Assumptions'!$D$15,-'Detailed Project Costs'!$F$57,0),0)</f>
        <v/>
      </c>
      <c r="BZ99" s="890">
        <f>IF(BZ5&gt;'Project Assumptions'!$D$15,IF(BZ5&lt;='Project Assumptions'!$D$15+'Project Assumptions'!$D$16,-'Detailed Project Costs'!$F$57/'Project Assumptions'!$D$16,0),0)+IF('Project Assumptions'!$D$16=0,IF(BZ5='Project Assumptions'!$D$15,-'Detailed Project Costs'!$F$57,0),0)</f>
        <v/>
      </c>
      <c r="CA99" s="890">
        <f>IF(CA5&gt;'Project Assumptions'!$D$15,IF(CA5&lt;='Project Assumptions'!$D$15+'Project Assumptions'!$D$16,-'Detailed Project Costs'!$F$57/'Project Assumptions'!$D$16,0),0)+IF('Project Assumptions'!$D$16=0,IF(CA5='Project Assumptions'!$D$15,-'Detailed Project Costs'!$F$57,0),0)</f>
        <v/>
      </c>
      <c r="CB99" s="890">
        <f>IF(CB5&gt;'Project Assumptions'!$D$15,IF(CB5&lt;='Project Assumptions'!$D$15+'Project Assumptions'!$D$16,-'Detailed Project Costs'!$F$57/'Project Assumptions'!$D$16,0),0)+IF('Project Assumptions'!$D$16=0,IF(CB5='Project Assumptions'!$D$15,-'Detailed Project Costs'!$F$57,0),0)</f>
        <v/>
      </c>
      <c r="CC99" s="890">
        <f>IF(CC5&gt;'Project Assumptions'!$D$15,IF(CC5&lt;='Project Assumptions'!$D$15+'Project Assumptions'!$D$16,-'Detailed Project Costs'!$F$57/'Project Assumptions'!$D$16,0),0)+IF('Project Assumptions'!$D$16=0,IF(CC5='Project Assumptions'!$D$15,-'Detailed Project Costs'!$F$57,0),0)</f>
        <v/>
      </c>
      <c r="CD99" s="890">
        <f>IF(CD5&gt;'Project Assumptions'!$D$15,IF(CD5&lt;='Project Assumptions'!$D$15+'Project Assumptions'!$D$16,-'Detailed Project Costs'!$F$57/'Project Assumptions'!$D$16,0),0)+IF('Project Assumptions'!$D$16=0,IF(CD5='Project Assumptions'!$D$15,-'Detailed Project Costs'!$F$57,0),0)</f>
        <v/>
      </c>
      <c r="CE99" s="890">
        <f>IF(CE5&gt;'Project Assumptions'!$D$15,IF(CE5&lt;='Project Assumptions'!$D$15+'Project Assumptions'!$D$16,-'Detailed Project Costs'!$F$57/'Project Assumptions'!$D$16,0),0)+IF('Project Assumptions'!$D$16=0,IF(CE5='Project Assumptions'!$D$15,-'Detailed Project Costs'!$F$57,0),0)</f>
        <v/>
      </c>
      <c r="CF99" s="890">
        <f>IF(CF5&gt;'Project Assumptions'!$D$15,IF(CF5&lt;='Project Assumptions'!$D$15+'Project Assumptions'!$D$16,-'Detailed Project Costs'!$F$57/'Project Assumptions'!$D$16,0),0)+IF('Project Assumptions'!$D$16=0,IF(CF5='Project Assumptions'!$D$15,-'Detailed Project Costs'!$F$57,0),0)</f>
        <v/>
      </c>
      <c r="CG99" s="890">
        <f>IF(CG5&gt;'Project Assumptions'!$D$15,IF(CG5&lt;='Project Assumptions'!$D$15+'Project Assumptions'!$D$16,-'Detailed Project Costs'!$F$57/'Project Assumptions'!$D$16,0),0)+IF('Project Assumptions'!$D$16=0,IF(CG5='Project Assumptions'!$D$15,-'Detailed Project Costs'!$F$57,0),0)</f>
        <v/>
      </c>
      <c r="CH99" s="890">
        <f>IF(CH5&gt;'Project Assumptions'!$D$15,IF(CH5&lt;='Project Assumptions'!$D$15+'Project Assumptions'!$D$16,-'Detailed Project Costs'!$F$57/'Project Assumptions'!$D$16,0),0)+IF('Project Assumptions'!$D$16=0,IF(CH5='Project Assumptions'!$D$15,-'Detailed Project Costs'!$F$57,0),0)</f>
        <v/>
      </c>
      <c r="CI99" s="890">
        <f>IF(CI5&gt;'Project Assumptions'!$D$15,IF(CI5&lt;='Project Assumptions'!$D$15+'Project Assumptions'!$D$16,-'Detailed Project Costs'!$F$57/'Project Assumptions'!$D$16,0),0)+IF('Project Assumptions'!$D$16=0,IF(CI5='Project Assumptions'!$D$15,-'Detailed Project Costs'!$F$57,0),0)</f>
        <v/>
      </c>
      <c r="CJ99" s="890">
        <f>IF(CJ5&gt;'Project Assumptions'!$D$15,IF(CJ5&lt;='Project Assumptions'!$D$15+'Project Assumptions'!$D$16,-'Detailed Project Costs'!$F$57/'Project Assumptions'!$D$16,0),0)+IF('Project Assumptions'!$D$16=0,IF(CJ5='Project Assumptions'!$D$15,-'Detailed Project Costs'!$F$57,0),0)</f>
        <v/>
      </c>
      <c r="CK99" s="890">
        <f>IF(CK5&gt;'Project Assumptions'!$D$15,IF(CK5&lt;='Project Assumptions'!$D$15+'Project Assumptions'!$D$16,-'Detailed Project Costs'!$F$57/'Project Assumptions'!$D$16,0),0)+IF('Project Assumptions'!$D$16=0,IF(CK5='Project Assumptions'!$D$15,-'Detailed Project Costs'!$F$57,0),0)</f>
        <v/>
      </c>
      <c r="CL99" s="890">
        <f>IF(CL5&gt;'Project Assumptions'!$D$15,IF(CL5&lt;='Project Assumptions'!$D$15+'Project Assumptions'!$D$16,-'Detailed Project Costs'!$F$57/'Project Assumptions'!$D$16,0),0)+IF('Project Assumptions'!$D$16=0,IF(CL5='Project Assumptions'!$D$15,-'Detailed Project Costs'!$F$57,0),0)</f>
        <v/>
      </c>
      <c r="CM99" s="890">
        <f>IF(CM5&gt;'Project Assumptions'!$D$15,IF(CM5&lt;='Project Assumptions'!$D$15+'Project Assumptions'!$D$16,-'Detailed Project Costs'!$F$57/'Project Assumptions'!$D$16,0),0)+IF('Project Assumptions'!$D$16=0,IF(CM5='Project Assumptions'!$D$15,-'Detailed Project Costs'!$F$57,0),0)</f>
        <v/>
      </c>
      <c r="CN99" s="890">
        <f>IF(CN5&gt;'Project Assumptions'!$D$15,IF(CN5&lt;='Project Assumptions'!$D$15+'Project Assumptions'!$D$16,-'Detailed Project Costs'!$F$57/'Project Assumptions'!$D$16,0),0)+IF('Project Assumptions'!$D$16=0,IF(CN5='Project Assumptions'!$D$15,-'Detailed Project Costs'!$F$57,0),0)</f>
        <v/>
      </c>
      <c r="CO99" s="890">
        <f>IF(CO5&gt;'Project Assumptions'!$D$15,IF(CO5&lt;='Project Assumptions'!$D$15+'Project Assumptions'!$D$16,-'Detailed Project Costs'!$F$57/'Project Assumptions'!$D$16,0),0)+IF('Project Assumptions'!$D$16=0,IF(CO5='Project Assumptions'!$D$15,-'Detailed Project Costs'!$F$57,0),0)</f>
        <v/>
      </c>
      <c r="CP99" s="890">
        <f>IF(CP5&gt;'Project Assumptions'!$D$15,IF(CP5&lt;='Project Assumptions'!$D$15+'Project Assumptions'!$D$16,-'Detailed Project Costs'!$F$57/'Project Assumptions'!$D$16,0),0)+IF('Project Assumptions'!$D$16=0,IF(CP5='Project Assumptions'!$D$15,-'Detailed Project Costs'!$F$57,0),0)</f>
        <v/>
      </c>
      <c r="CQ99" s="890">
        <f>IF(CQ5&gt;'Project Assumptions'!$D$15,IF(CQ5&lt;='Project Assumptions'!$D$15+'Project Assumptions'!$D$16,-'Detailed Project Costs'!$F$57/'Project Assumptions'!$D$16,0),0)+IF('Project Assumptions'!$D$16=0,IF(CQ5='Project Assumptions'!$D$15,-'Detailed Project Costs'!$F$57,0),0)</f>
        <v/>
      </c>
      <c r="CR99" s="890">
        <f>IF(CR5&gt;'Project Assumptions'!$D$15,IF(CR5&lt;='Project Assumptions'!$D$15+'Project Assumptions'!$D$16,-'Detailed Project Costs'!$F$57/'Project Assumptions'!$D$16,0),0)+IF('Project Assumptions'!$D$16=0,IF(CR5='Project Assumptions'!$D$15,-'Detailed Project Costs'!$F$57,0),0)</f>
        <v/>
      </c>
      <c r="CS99" s="890">
        <f>IF(CS5&gt;'Project Assumptions'!$D$15,IF(CS5&lt;='Project Assumptions'!$D$15+'Project Assumptions'!$D$16,-'Detailed Project Costs'!$F$57/'Project Assumptions'!$D$16,0),0)+IF('Project Assumptions'!$D$16=0,IF(CS5='Project Assumptions'!$D$15,-'Detailed Project Costs'!$F$57,0),0)</f>
        <v/>
      </c>
      <c r="CT99" s="890">
        <f>IF(CT5&gt;'Project Assumptions'!$D$15,IF(CT5&lt;='Project Assumptions'!$D$15+'Project Assumptions'!$D$16,-'Detailed Project Costs'!$F$57/'Project Assumptions'!$D$16,0),0)+IF('Project Assumptions'!$D$16=0,IF(CT5='Project Assumptions'!$D$15,-'Detailed Project Costs'!$F$57,0),0)</f>
        <v/>
      </c>
      <c r="CU99" s="890">
        <f>IF(CU5&gt;'Project Assumptions'!$D$15,IF(CU5&lt;='Project Assumptions'!$D$15+'Project Assumptions'!$D$16,-'Detailed Project Costs'!$F$57/'Project Assumptions'!$D$16,0),0)+IF('Project Assumptions'!$D$16=0,IF(CU5='Project Assumptions'!$D$15,-'Detailed Project Costs'!$F$57,0),0)</f>
        <v/>
      </c>
      <c r="CV99" s="890">
        <f>IF(CV5&gt;'Project Assumptions'!$D$15,IF(CV5&lt;='Project Assumptions'!$D$15+'Project Assumptions'!$D$16,-'Detailed Project Costs'!$F$57/'Project Assumptions'!$D$16,0),0)+IF('Project Assumptions'!$D$16=0,IF(CV5='Project Assumptions'!$D$15,-'Detailed Project Costs'!$F$57,0),0)</f>
        <v/>
      </c>
      <c r="CW99" s="890">
        <f>IF(CW5&gt;'Project Assumptions'!$D$15,IF(CW5&lt;='Project Assumptions'!$D$15+'Project Assumptions'!$D$16,-'Detailed Project Costs'!$F$57/'Project Assumptions'!$D$16,0),0)+IF('Project Assumptions'!$D$16=0,IF(CW5='Project Assumptions'!$D$15,-'Detailed Project Costs'!$F$57,0),0)</f>
        <v/>
      </c>
      <c r="CX99" s="890">
        <f>IF(CX5&gt;'Project Assumptions'!$D$15,IF(CX5&lt;='Project Assumptions'!$D$15+'Project Assumptions'!$D$16,-'Detailed Project Costs'!$F$57/'Project Assumptions'!$D$16,0),0)+IF('Project Assumptions'!$D$16=0,IF(CX5='Project Assumptions'!$D$15,-'Detailed Project Costs'!$F$57,0),0)</f>
        <v/>
      </c>
      <c r="CY99" s="890">
        <f>IF(CY5&gt;'Project Assumptions'!$D$15,IF(CY5&lt;='Project Assumptions'!$D$15+'Project Assumptions'!$D$16,-'Detailed Project Costs'!$F$57/'Project Assumptions'!$D$16,0),0)+IF('Project Assumptions'!$D$16=0,IF(CY5='Project Assumptions'!$D$15,-'Detailed Project Costs'!$F$57,0),0)</f>
        <v/>
      </c>
      <c r="CZ99" s="890">
        <f>IF(CZ5&gt;'Project Assumptions'!$D$15,IF(CZ5&lt;='Project Assumptions'!$D$15+'Project Assumptions'!$D$16,-'Detailed Project Costs'!$F$57/'Project Assumptions'!$D$16,0),0)+IF('Project Assumptions'!$D$16=0,IF(CZ5='Project Assumptions'!$D$15,-'Detailed Project Costs'!$F$57,0),0)</f>
        <v/>
      </c>
      <c r="DA99" s="890">
        <f>IF(DA5&gt;'Project Assumptions'!$D$15,IF(DA5&lt;='Project Assumptions'!$D$15+'Project Assumptions'!$D$16,-'Detailed Project Costs'!$F$57/'Project Assumptions'!$D$16,0),0)+IF('Project Assumptions'!$D$16=0,IF(DA5='Project Assumptions'!$D$15,-'Detailed Project Costs'!$F$57,0),0)</f>
        <v/>
      </c>
      <c r="DB99" s="890">
        <f>IF(DB5&gt;'Project Assumptions'!$D$15,IF(DB5&lt;='Project Assumptions'!$D$15+'Project Assumptions'!$D$16,-'Detailed Project Costs'!$F$57/'Project Assumptions'!$D$16,0),0)+IF('Project Assumptions'!$D$16=0,IF(DB5='Project Assumptions'!$D$15,-'Detailed Project Costs'!$F$57,0),0)</f>
        <v/>
      </c>
      <c r="DC99" s="890" t="n"/>
      <c r="DD99" s="297">
        <f>SUM(F99:DB99)</f>
        <v/>
      </c>
    </row>
    <row r="100">
      <c r="A100" s="699" t="inlineStr">
        <is>
          <t>Finance Fees</t>
        </is>
      </c>
      <c r="B100" s="791" t="inlineStr">
        <is>
          <t xml:space="preserve">   Bank Appraisal</t>
        </is>
      </c>
      <c r="C100" s="700" t="n"/>
      <c r="D100" s="292">
        <f>DD100</f>
        <v/>
      </c>
      <c r="E100" s="641" t="n"/>
      <c r="F100" s="293">
        <f>IF(F$5&gt;'Project Assumptions'!$D$15,IF(F$5&lt;='Project Assumptions'!$D$15+'Project Assumptions'!$D$16,-'Detailed Project Costs'!$F$58/'Project Assumptions'!$D$16,0),0)+IF('Project Assumptions'!$D$16=0,IF(F$5='Project Assumptions'!$D$15,-'Detailed Project Costs'!$F$58,0),0)</f>
        <v/>
      </c>
      <c r="G100" s="293">
        <f>IF(G$5&gt;'Project Assumptions'!$D$15,IF(G$5&lt;='Project Assumptions'!$D$15+'Project Assumptions'!$D$16,-'Detailed Project Costs'!$F$58/'Project Assumptions'!$D$16,0),0)+IF('Project Assumptions'!$D$16=0,IF(G$5='Project Assumptions'!$D$15,-'Detailed Project Costs'!$F$58,0),0)</f>
        <v/>
      </c>
      <c r="H100" s="293">
        <f>IF(H$5&gt;'Project Assumptions'!$D$15,IF(H$5&lt;='Project Assumptions'!$D$15+'Project Assumptions'!$D$16,-'Detailed Project Costs'!$F$58/'Project Assumptions'!$D$16,0),0)+IF('Project Assumptions'!$D$16=0,IF(H$5='Project Assumptions'!$D$15,-'Detailed Project Costs'!$F$58,0),0)</f>
        <v/>
      </c>
      <c r="I100" s="293">
        <f>IF(I$5&gt;'Project Assumptions'!$D$15,IF(I$5&lt;='Project Assumptions'!$D$15+'Project Assumptions'!$D$16,-'Detailed Project Costs'!$F$58/'Project Assumptions'!$D$16,0),0)+IF('Project Assumptions'!$D$16=0,IF(I$5='Project Assumptions'!$D$15,-'Detailed Project Costs'!$F$58,0),0)</f>
        <v/>
      </c>
      <c r="J100" s="293">
        <f>IF(J$5&gt;'Project Assumptions'!$D$15,IF(J$5&lt;='Project Assumptions'!$D$15+'Project Assumptions'!$D$16,-'Detailed Project Costs'!$F$58/'Project Assumptions'!$D$16,0),0)+IF('Project Assumptions'!$D$16=0,IF(J$5='Project Assumptions'!$D$15,-'Detailed Project Costs'!$F$58,0),0)</f>
        <v/>
      </c>
      <c r="K100" s="293">
        <f>IF(K$5&gt;'Project Assumptions'!$D$15,IF(K$5&lt;='Project Assumptions'!$D$15+'Project Assumptions'!$D$16,-'Detailed Project Costs'!$F$58/'Project Assumptions'!$D$16,0),0)+IF('Project Assumptions'!$D$16=0,IF(K$5='Project Assumptions'!$D$15,-'Detailed Project Costs'!$F$58,0),0)</f>
        <v/>
      </c>
      <c r="L100" s="293">
        <f>IF(L$5&gt;'Project Assumptions'!$D$15,IF(L$5&lt;='Project Assumptions'!$D$15+'Project Assumptions'!$D$16,-'Detailed Project Costs'!$F$58/'Project Assumptions'!$D$16,0),0)+IF('Project Assumptions'!$D$16=0,IF(L$5='Project Assumptions'!$D$15,-'Detailed Project Costs'!$F$58,0),0)</f>
        <v/>
      </c>
      <c r="M100" s="293">
        <f>IF(M$5&gt;'Project Assumptions'!$D$15,IF(M$5&lt;='Project Assumptions'!$D$15+'Project Assumptions'!$D$16,-'Detailed Project Costs'!$F$58/'Project Assumptions'!$D$16,0),0)+IF('Project Assumptions'!$D$16=0,IF(M$5='Project Assumptions'!$D$15,-'Detailed Project Costs'!$F$58,0),0)</f>
        <v/>
      </c>
      <c r="N100" s="293">
        <f>IF(N$5&gt;'Project Assumptions'!$D$15,IF(N$5&lt;='Project Assumptions'!$D$15+'Project Assumptions'!$D$16,-'Detailed Project Costs'!$F$58/'Project Assumptions'!$D$16,0),0)+IF('Project Assumptions'!$D$16=0,IF(N$5='Project Assumptions'!$D$15,-'Detailed Project Costs'!$F$58,0),0)</f>
        <v/>
      </c>
      <c r="O100" s="293">
        <f>IF(O$5&gt;'Project Assumptions'!$D$15,IF(O$5&lt;='Project Assumptions'!$D$15+'Project Assumptions'!$D$16,-'Detailed Project Costs'!$F$58/'Project Assumptions'!$D$16,0),0)+IF('Project Assumptions'!$D$16=0,IF(O$5='Project Assumptions'!$D$15,-'Detailed Project Costs'!$F$58,0),0)</f>
        <v/>
      </c>
      <c r="P100" s="293">
        <f>IF(P$5&gt;'Project Assumptions'!$D$15,IF(P$5&lt;='Project Assumptions'!$D$15+'Project Assumptions'!$D$16,-'Detailed Project Costs'!$F$58/'Project Assumptions'!$D$16,0),0)+IF('Project Assumptions'!$D$16=0,IF(P$5='Project Assumptions'!$D$15,-'Detailed Project Costs'!$F$58,0),0)</f>
        <v/>
      </c>
      <c r="Q100" s="293">
        <f>IF(Q$5&gt;'Project Assumptions'!$D$15,IF(Q$5&lt;='Project Assumptions'!$D$15+'Project Assumptions'!$D$16,-'Detailed Project Costs'!$F$58/'Project Assumptions'!$D$16,0),0)+IF('Project Assumptions'!$D$16=0,IF(Q$5='Project Assumptions'!$D$15,-'Detailed Project Costs'!$F$58,0),0)</f>
        <v/>
      </c>
      <c r="R100" s="293">
        <f>IF(R$5&gt;'Project Assumptions'!$D$15,IF(R$5&lt;='Project Assumptions'!$D$15+'Project Assumptions'!$D$16,-'Detailed Project Costs'!$F$58/'Project Assumptions'!$D$16,0),0)+IF('Project Assumptions'!$D$16=0,IF(R$5='Project Assumptions'!$D$15,-'Detailed Project Costs'!$F$58,0),0)</f>
        <v/>
      </c>
      <c r="S100" s="293">
        <f>IF(S$5&gt;'Project Assumptions'!$D$15,IF(S$5&lt;='Project Assumptions'!$D$15+'Project Assumptions'!$D$16,-'Detailed Project Costs'!$F$58/'Project Assumptions'!$D$16,0),0)+IF('Project Assumptions'!$D$16=0,IF(S$5='Project Assumptions'!$D$15,-'Detailed Project Costs'!$F$58,0),0)</f>
        <v/>
      </c>
      <c r="T100" s="293">
        <f>IF(T$5&gt;'Project Assumptions'!$D$15,IF(T$5&lt;='Project Assumptions'!$D$15+'Project Assumptions'!$D$16,-'Detailed Project Costs'!$F$58/'Project Assumptions'!$D$16,0),0)+IF('Project Assumptions'!$D$16=0,IF(T$5='Project Assumptions'!$D$15,-'Detailed Project Costs'!$F$58,0),0)</f>
        <v/>
      </c>
      <c r="U100" s="293">
        <f>IF(U$5&gt;'Project Assumptions'!$D$15,IF(U$5&lt;='Project Assumptions'!$D$15+'Project Assumptions'!$D$16,-'Detailed Project Costs'!$F$58/'Project Assumptions'!$D$16,0),0)+IF('Project Assumptions'!$D$16=0,IF(U$5='Project Assumptions'!$D$15,-'Detailed Project Costs'!$F$58,0),0)</f>
        <v/>
      </c>
      <c r="V100" s="293">
        <f>IF(V$5&gt;'Project Assumptions'!$D$15,IF(V$5&lt;='Project Assumptions'!$D$15+'Project Assumptions'!$D$16,-'Detailed Project Costs'!$F$58/'Project Assumptions'!$D$16,0),0)+IF('Project Assumptions'!$D$16=0,IF(V$5='Project Assumptions'!$D$15,-'Detailed Project Costs'!$F$58,0),0)</f>
        <v/>
      </c>
      <c r="W100" s="293">
        <f>IF(W$5&gt;'Project Assumptions'!$D$15,IF(W$5&lt;='Project Assumptions'!$D$15+'Project Assumptions'!$D$16,-'Detailed Project Costs'!$F$58/'Project Assumptions'!$D$16,0),0)+IF('Project Assumptions'!$D$16=0,IF(W$5='Project Assumptions'!$D$15,-'Detailed Project Costs'!$F$58,0),0)</f>
        <v/>
      </c>
      <c r="X100" s="293">
        <f>IF(X$5&gt;'Project Assumptions'!$D$15,IF(X$5&lt;='Project Assumptions'!$D$15+'Project Assumptions'!$D$16,-'Detailed Project Costs'!$F$58/'Project Assumptions'!$D$16,0),0)+IF('Project Assumptions'!$D$16=0,IF(X$5='Project Assumptions'!$D$15,-'Detailed Project Costs'!$F$58,0),0)</f>
        <v/>
      </c>
      <c r="Y100" s="293">
        <f>IF(Y$5&gt;'Project Assumptions'!$D$15,IF(Y$5&lt;='Project Assumptions'!$D$15+'Project Assumptions'!$D$16,-'Detailed Project Costs'!$F$58/'Project Assumptions'!$D$16,0),0)+IF('Project Assumptions'!$D$16=0,IF(Y$5='Project Assumptions'!$D$15,-'Detailed Project Costs'!$F$58,0),0)</f>
        <v/>
      </c>
      <c r="Z100" s="293">
        <f>IF(Z$5&gt;'Project Assumptions'!$D$15,IF(Z$5&lt;='Project Assumptions'!$D$15+'Project Assumptions'!$D$16,-'Detailed Project Costs'!$F$58/'Project Assumptions'!$D$16,0),0)+IF('Project Assumptions'!$D$16=0,IF(Z$5='Project Assumptions'!$D$15,-'Detailed Project Costs'!$F$58,0),0)</f>
        <v/>
      </c>
      <c r="AA100" s="293">
        <f>IF(AA$5&gt;'Project Assumptions'!$D$15,IF(AA$5&lt;='Project Assumptions'!$D$15+'Project Assumptions'!$D$16,-'Detailed Project Costs'!$F$58/'Project Assumptions'!$D$16,0),0)+IF('Project Assumptions'!$D$16=0,IF(AA$5='Project Assumptions'!$D$15,-'Detailed Project Costs'!$F$58,0),0)</f>
        <v/>
      </c>
      <c r="AB100" s="293">
        <f>IF(AB$5&gt;'Project Assumptions'!$D$15,IF(AB$5&lt;='Project Assumptions'!$D$15+'Project Assumptions'!$D$16,-'Detailed Project Costs'!$F$58/'Project Assumptions'!$D$16,0),0)+IF('Project Assumptions'!$D$16=0,IF(AB$5='Project Assumptions'!$D$15,-'Detailed Project Costs'!$F$58,0),0)</f>
        <v/>
      </c>
      <c r="AC100" s="293">
        <f>IF(AC$5&gt;'Project Assumptions'!$D$15,IF(AC$5&lt;='Project Assumptions'!$D$15+'Project Assumptions'!$D$16,-'Detailed Project Costs'!$F$58/'Project Assumptions'!$D$16,0),0)+IF('Project Assumptions'!$D$16=0,IF(AC$5='Project Assumptions'!$D$15,-'Detailed Project Costs'!$F$58,0),0)</f>
        <v/>
      </c>
      <c r="AD100" s="293">
        <f>IF(AD$5&gt;'Project Assumptions'!$D$15,IF(AD$5&lt;='Project Assumptions'!$D$15+'Project Assumptions'!$D$16,-'Detailed Project Costs'!$F$58/'Project Assumptions'!$D$16,0),0)+IF('Project Assumptions'!$D$16=0,IF(AD$5='Project Assumptions'!$D$15,-'Detailed Project Costs'!$F$58,0),0)</f>
        <v/>
      </c>
      <c r="AE100" s="293">
        <f>IF(AE$5&gt;'Project Assumptions'!$D$15,IF(AE$5&lt;='Project Assumptions'!$D$15+'Project Assumptions'!$D$16,-'Detailed Project Costs'!$F$58/'Project Assumptions'!$D$16,0),0)+IF('Project Assumptions'!$D$16=0,IF(AE$5='Project Assumptions'!$D$15,-'Detailed Project Costs'!$F$58,0),0)</f>
        <v/>
      </c>
      <c r="AF100" s="293">
        <f>IF(AF$5&gt;'Project Assumptions'!$D$15,IF(AF$5&lt;='Project Assumptions'!$D$15+'Project Assumptions'!$D$16,-'Detailed Project Costs'!$F$58/'Project Assumptions'!$D$16,0),0)+IF('Project Assumptions'!$D$16=0,IF(AF$5='Project Assumptions'!$D$15,-'Detailed Project Costs'!$F$58,0),0)</f>
        <v/>
      </c>
      <c r="AG100" s="293">
        <f>IF(AG$5&gt;'Project Assumptions'!$D$15,IF(AG$5&lt;='Project Assumptions'!$D$15+'Project Assumptions'!$D$16,-'Detailed Project Costs'!$F$58/'Project Assumptions'!$D$16,0),0)+IF('Project Assumptions'!$D$16=0,IF(AG$5='Project Assumptions'!$D$15,-'Detailed Project Costs'!$F$58,0),0)</f>
        <v/>
      </c>
      <c r="AH100" s="293">
        <f>IF(AH$5&gt;'Project Assumptions'!$D$15,IF(AH$5&lt;='Project Assumptions'!$D$15+'Project Assumptions'!$D$16,-'Detailed Project Costs'!$F$58/'Project Assumptions'!$D$16,0),0)+IF('Project Assumptions'!$D$16=0,IF(AH$5='Project Assumptions'!$D$15,-'Detailed Project Costs'!$F$58,0),0)</f>
        <v/>
      </c>
      <c r="AI100" s="293">
        <f>IF(AI$5&gt;'Project Assumptions'!$D$15,IF(AI$5&lt;='Project Assumptions'!$D$15+'Project Assumptions'!$D$16,-'Detailed Project Costs'!$F$58/'Project Assumptions'!$D$16,0),0)+IF('Project Assumptions'!$D$16=0,IF(AI$5='Project Assumptions'!$D$15,-'Detailed Project Costs'!$F$58,0),0)</f>
        <v/>
      </c>
      <c r="AJ100" s="293">
        <f>IF(AJ$5&gt;'Project Assumptions'!$D$15,IF(AJ$5&lt;='Project Assumptions'!$D$15+'Project Assumptions'!$D$16,-'Detailed Project Costs'!$F$58/'Project Assumptions'!$D$16,0),0)+IF('Project Assumptions'!$D$16=0,IF(AJ$5='Project Assumptions'!$D$15,-'Detailed Project Costs'!$F$58,0),0)</f>
        <v/>
      </c>
      <c r="AK100" s="293">
        <f>IF(AK$5&gt;'Project Assumptions'!$D$15,IF(AK$5&lt;='Project Assumptions'!$D$15+'Project Assumptions'!$D$16,-'Detailed Project Costs'!$F$58/'Project Assumptions'!$D$16,0),0)+IF('Project Assumptions'!$D$16=0,IF(AK$5='Project Assumptions'!$D$15,-'Detailed Project Costs'!$F$58,0),0)</f>
        <v/>
      </c>
      <c r="AL100" s="293">
        <f>IF(AL$5&gt;'Project Assumptions'!$D$15,IF(AL$5&lt;='Project Assumptions'!$D$15+'Project Assumptions'!$D$16,-'Detailed Project Costs'!$F$58/'Project Assumptions'!$D$16,0),0)+IF('Project Assumptions'!$D$16=0,IF(AL$5='Project Assumptions'!$D$15,-'Detailed Project Costs'!$F$58,0),0)</f>
        <v/>
      </c>
      <c r="AM100" s="293">
        <f>IF(AM$5&gt;'Project Assumptions'!$D$15,IF(AM$5&lt;='Project Assumptions'!$D$15+'Project Assumptions'!$D$16,-'Detailed Project Costs'!$F$58/'Project Assumptions'!$D$16,0),0)+IF('Project Assumptions'!$D$16=0,IF(AM$5='Project Assumptions'!$D$15,-'Detailed Project Costs'!$F$58,0),0)</f>
        <v/>
      </c>
      <c r="AN100" s="293">
        <f>IF(AN$5&gt;'Project Assumptions'!$D$15,IF(AN$5&lt;='Project Assumptions'!$D$15+'Project Assumptions'!$D$16,-'Detailed Project Costs'!$F$58/'Project Assumptions'!$D$16,0),0)+IF('Project Assumptions'!$D$16=0,IF(AN$5='Project Assumptions'!$D$15,-'Detailed Project Costs'!$F$58,0),0)</f>
        <v/>
      </c>
      <c r="AO100" s="293">
        <f>IF(AO$5&gt;'Project Assumptions'!$D$15,IF(AO$5&lt;='Project Assumptions'!$D$15+'Project Assumptions'!$D$16,-'Detailed Project Costs'!$F$58/'Project Assumptions'!$D$16,0),0)+IF('Project Assumptions'!$D$16=0,IF(AO$5='Project Assumptions'!$D$15,-'Detailed Project Costs'!$F$58,0),0)</f>
        <v/>
      </c>
      <c r="AP100" s="293">
        <f>IF(AP$5&gt;'Project Assumptions'!$D$15,IF(AP$5&lt;='Project Assumptions'!$D$15+'Project Assumptions'!$D$16,-'Detailed Project Costs'!$F$58/'Project Assumptions'!$D$16,0),0)+IF('Project Assumptions'!$D$16=0,IF(AP$5='Project Assumptions'!$D$15,-'Detailed Project Costs'!$F$58,0),0)</f>
        <v/>
      </c>
      <c r="AQ100" s="293">
        <f>IF(AQ$5&gt;'Project Assumptions'!$D$15,IF(AQ$5&lt;='Project Assumptions'!$D$15+'Project Assumptions'!$D$16,-'Detailed Project Costs'!$F$58/'Project Assumptions'!$D$16,0),0)+IF('Project Assumptions'!$D$16=0,IF(AQ$5='Project Assumptions'!$D$15,-'Detailed Project Costs'!$F$58,0),0)</f>
        <v/>
      </c>
      <c r="AR100" s="293">
        <f>IF(AR$5&gt;'Project Assumptions'!$D$15,IF(AR$5&lt;='Project Assumptions'!$D$15+'Project Assumptions'!$D$16,-'Detailed Project Costs'!$F$58/'Project Assumptions'!$D$16,0),0)+IF('Project Assumptions'!$D$16=0,IF(AR$5='Project Assumptions'!$D$15,-'Detailed Project Costs'!$F$58,0),0)</f>
        <v/>
      </c>
      <c r="AS100" s="293">
        <f>IF(AS$5&gt;'Project Assumptions'!$D$15,IF(AS$5&lt;='Project Assumptions'!$D$15+'Project Assumptions'!$D$16,-'Detailed Project Costs'!$F$58/'Project Assumptions'!$D$16,0),0)+IF('Project Assumptions'!$D$16=0,IF(AS$5='Project Assumptions'!$D$15,-'Detailed Project Costs'!$F$58,0),0)</f>
        <v/>
      </c>
      <c r="AT100" s="293">
        <f>IF(AT$5&gt;'Project Assumptions'!$D$15,IF(AT$5&lt;='Project Assumptions'!$D$15+'Project Assumptions'!$D$16,-'Detailed Project Costs'!$F$58/'Project Assumptions'!$D$16,0),0)+IF('Project Assumptions'!$D$16=0,IF(AT$5='Project Assumptions'!$D$15,-'Detailed Project Costs'!$F$58,0),0)</f>
        <v/>
      </c>
      <c r="AU100" s="293">
        <f>IF(AU$5&gt;'Project Assumptions'!$D$15,IF(AU$5&lt;='Project Assumptions'!$D$15+'Project Assumptions'!$D$16,-'Detailed Project Costs'!$F$58/'Project Assumptions'!$D$16,0),0)+IF('Project Assumptions'!$D$16=0,IF(AU$5='Project Assumptions'!$D$15,-'Detailed Project Costs'!$F$58,0),0)</f>
        <v/>
      </c>
      <c r="AV100" s="293">
        <f>IF(AV$5&gt;'Project Assumptions'!$D$15,IF(AV$5&lt;='Project Assumptions'!$D$15+'Project Assumptions'!$D$16,-'Detailed Project Costs'!$F$58/'Project Assumptions'!$D$16,0),0)+IF('Project Assumptions'!$D$16=0,IF(AV$5='Project Assumptions'!$D$15,-'Detailed Project Costs'!$F$58,0),0)</f>
        <v/>
      </c>
      <c r="AW100" s="293">
        <f>IF(AW$5&gt;'Project Assumptions'!$D$15,IF(AW$5&lt;='Project Assumptions'!$D$15+'Project Assumptions'!$D$16,-'Detailed Project Costs'!$F$58/'Project Assumptions'!$D$16,0),0)+IF('Project Assumptions'!$D$16=0,IF(AW$5='Project Assumptions'!$D$15,-'Detailed Project Costs'!$F$58,0),0)</f>
        <v/>
      </c>
      <c r="AX100" s="293">
        <f>IF(AX$5&gt;'Project Assumptions'!$D$15,IF(AX$5&lt;='Project Assumptions'!$D$15+'Project Assumptions'!$D$16,-'Detailed Project Costs'!$F$58/'Project Assumptions'!$D$16,0),0)+IF('Project Assumptions'!$D$16=0,IF(AX$5='Project Assumptions'!$D$15,-'Detailed Project Costs'!$F$58,0),0)</f>
        <v/>
      </c>
      <c r="AY100" s="293">
        <f>IF(AY$5&gt;'Project Assumptions'!$D$15,IF(AY$5&lt;='Project Assumptions'!$D$15+'Project Assumptions'!$D$16,-'Detailed Project Costs'!$F$58/'Project Assumptions'!$D$16,0),0)+IF('Project Assumptions'!$D$16=0,IF(AY$5='Project Assumptions'!$D$15,-'Detailed Project Costs'!$F$58,0),0)</f>
        <v/>
      </c>
      <c r="AZ100" s="293">
        <f>IF(AZ$5&gt;'Project Assumptions'!$D$15,IF(AZ$5&lt;='Project Assumptions'!$D$15+'Project Assumptions'!$D$16,-'Detailed Project Costs'!$F$58/'Project Assumptions'!$D$16,0),0)+IF('Project Assumptions'!$D$16=0,IF(AZ$5='Project Assumptions'!$D$15,-'Detailed Project Costs'!$F$58,0),0)</f>
        <v/>
      </c>
      <c r="BA100" s="293">
        <f>IF(BA$5&gt;'Project Assumptions'!$D$15,IF(BA$5&lt;='Project Assumptions'!$D$15+'Project Assumptions'!$D$16,-'Detailed Project Costs'!$F$58/'Project Assumptions'!$D$16,0),0)+IF('Project Assumptions'!$D$16=0,IF(BA$5='Project Assumptions'!$D$15,-'Detailed Project Costs'!$F$58,0),0)</f>
        <v/>
      </c>
      <c r="BB100" s="293">
        <f>IF(BB$5&gt;'Project Assumptions'!$D$15,IF(BB$5&lt;='Project Assumptions'!$D$15+'Project Assumptions'!$D$16,-'Detailed Project Costs'!$F$58/'Project Assumptions'!$D$16,0),0)+IF('Project Assumptions'!$D$16=0,IF(BB$5='Project Assumptions'!$D$15,-'Detailed Project Costs'!$F$58,0),0)</f>
        <v/>
      </c>
      <c r="BC100" s="293">
        <f>IF(BC$5&gt;'Project Assumptions'!$D$15,IF(BC$5&lt;='Project Assumptions'!$D$15+'Project Assumptions'!$D$16,-'Detailed Project Costs'!$F$58/'Project Assumptions'!$D$16,0),0)+IF('Project Assumptions'!$D$16=0,IF(BC$5='Project Assumptions'!$D$15,-'Detailed Project Costs'!$F$58,0),0)</f>
        <v/>
      </c>
      <c r="BD100" s="293">
        <f>IF(BD$5&gt;'Project Assumptions'!$D$15,IF(BD$5&lt;='Project Assumptions'!$D$15+'Project Assumptions'!$D$16,-'Detailed Project Costs'!$F$58/'Project Assumptions'!$D$16,0),0)+IF('Project Assumptions'!$D$16=0,IF(BD$5='Project Assumptions'!$D$15,-'Detailed Project Costs'!$F$58,0),0)</f>
        <v/>
      </c>
      <c r="BE100" s="293">
        <f>IF(BE$5&gt;'Project Assumptions'!$D$15,IF(BE$5&lt;='Project Assumptions'!$D$15+'Project Assumptions'!$D$16,-'Detailed Project Costs'!$F$58/'Project Assumptions'!$D$16,0),0)+IF('Project Assumptions'!$D$16=0,IF(BE$5='Project Assumptions'!$D$15,-'Detailed Project Costs'!$F$58,0),0)</f>
        <v/>
      </c>
      <c r="BF100" s="293">
        <f>IF(BF$5&gt;'Project Assumptions'!$D$15,IF(BF$5&lt;='Project Assumptions'!$D$15+'Project Assumptions'!$D$16,-'Detailed Project Costs'!$F$58/'Project Assumptions'!$D$16,0),0)+IF('Project Assumptions'!$D$16=0,IF(BF$5='Project Assumptions'!$D$15,-'Detailed Project Costs'!$F$58,0),0)</f>
        <v/>
      </c>
      <c r="BG100" s="293">
        <f>IF(BG$5&gt;'Project Assumptions'!$D$15,IF(BG$5&lt;='Project Assumptions'!$D$15+'Project Assumptions'!$D$16,-'Detailed Project Costs'!$F$58/'Project Assumptions'!$D$16,0),0)+IF('Project Assumptions'!$D$16=0,IF(BG$5='Project Assumptions'!$D$15,-'Detailed Project Costs'!$F$58,0),0)</f>
        <v/>
      </c>
      <c r="BH100" s="293">
        <f>IF(BH$5&gt;'Project Assumptions'!$D$15,IF(BH$5&lt;='Project Assumptions'!$D$15+'Project Assumptions'!$D$16,-'Detailed Project Costs'!$F$58/'Project Assumptions'!$D$16,0),0)+IF('Project Assumptions'!$D$16=0,IF(BH$5='Project Assumptions'!$D$15,-'Detailed Project Costs'!$F$58,0),0)</f>
        <v/>
      </c>
      <c r="BI100" s="293">
        <f>IF(BI$5&gt;'Project Assumptions'!$D$15,IF(BI$5&lt;='Project Assumptions'!$D$15+'Project Assumptions'!$D$16,-'Detailed Project Costs'!$F$58/'Project Assumptions'!$D$16,0),0)+IF('Project Assumptions'!$D$16=0,IF(BI$5='Project Assumptions'!$D$15,-'Detailed Project Costs'!$F$58,0),0)</f>
        <v/>
      </c>
      <c r="BJ100" s="293">
        <f>IF(BJ$5&gt;'Project Assumptions'!$D$15,IF(BJ$5&lt;='Project Assumptions'!$D$15+'Project Assumptions'!$D$16,-'Detailed Project Costs'!$F$58/'Project Assumptions'!$D$16,0),0)+IF('Project Assumptions'!$D$16=0,IF(BJ$5='Project Assumptions'!$D$15,-'Detailed Project Costs'!$F$58,0),0)</f>
        <v/>
      </c>
      <c r="BK100" s="293">
        <f>IF(BK$5&gt;'Project Assumptions'!$D$15,IF(BK$5&lt;='Project Assumptions'!$D$15+'Project Assumptions'!$D$16,-'Detailed Project Costs'!$F$58/'Project Assumptions'!$D$16,0),0)+IF('Project Assumptions'!$D$16=0,IF(BK$5='Project Assumptions'!$D$15,-'Detailed Project Costs'!$F$58,0),0)</f>
        <v/>
      </c>
      <c r="BL100" s="293">
        <f>IF(BL$5&gt;'Project Assumptions'!$D$15,IF(BL$5&lt;='Project Assumptions'!$D$15+'Project Assumptions'!$D$16,-'Detailed Project Costs'!$F$58/'Project Assumptions'!$D$16,0),0)+IF('Project Assumptions'!$D$16=0,IF(BL$5='Project Assumptions'!$D$15,-'Detailed Project Costs'!$F$58,0),0)</f>
        <v/>
      </c>
      <c r="BM100" s="293">
        <f>IF(BM$5&gt;'Project Assumptions'!$D$15,IF(BM$5&lt;='Project Assumptions'!$D$15+'Project Assumptions'!$D$16,-'Detailed Project Costs'!$F$58/'Project Assumptions'!$D$16,0),0)+IF('Project Assumptions'!$D$16=0,IF(BM$5='Project Assumptions'!$D$15,-'Detailed Project Costs'!$F$58,0),0)</f>
        <v/>
      </c>
      <c r="BN100" s="293">
        <f>IF(BN$5&gt;'Project Assumptions'!$D$15,IF(BN$5&lt;='Project Assumptions'!$D$15+'Project Assumptions'!$D$16,-'Detailed Project Costs'!$F$58/'Project Assumptions'!$D$16,0),0)+IF('Project Assumptions'!$D$16=0,IF(BN$5='Project Assumptions'!$D$15,-'Detailed Project Costs'!$F$58,0),0)</f>
        <v/>
      </c>
      <c r="BO100" s="293">
        <f>IF(BO$5&gt;'Project Assumptions'!$D$15,IF(BO$5&lt;='Project Assumptions'!$D$15+'Project Assumptions'!$D$16,-'Detailed Project Costs'!$F$58/'Project Assumptions'!$D$16,0),0)+IF('Project Assumptions'!$D$16=0,IF(BO$5='Project Assumptions'!$D$15,-'Detailed Project Costs'!$F$58,0),0)</f>
        <v/>
      </c>
      <c r="BP100" s="293">
        <f>IF(BP$5&gt;'Project Assumptions'!$D$15,IF(BP$5&lt;='Project Assumptions'!$D$15+'Project Assumptions'!$D$16,-'Detailed Project Costs'!$F$58/'Project Assumptions'!$D$16,0),0)+IF('Project Assumptions'!$D$16=0,IF(BP$5='Project Assumptions'!$D$15,-'Detailed Project Costs'!$F$58,0),0)</f>
        <v/>
      </c>
      <c r="BQ100" s="293">
        <f>IF(BQ$5&gt;'Project Assumptions'!$D$15,IF(BQ$5&lt;='Project Assumptions'!$D$15+'Project Assumptions'!$D$16,-'Detailed Project Costs'!$F$58/'Project Assumptions'!$D$16,0),0)+IF('Project Assumptions'!$D$16=0,IF(BQ$5='Project Assumptions'!$D$15,-'Detailed Project Costs'!$F$58,0),0)</f>
        <v/>
      </c>
      <c r="BR100" s="293">
        <f>IF(BR$5&gt;'Project Assumptions'!$D$15,IF(BR$5&lt;='Project Assumptions'!$D$15+'Project Assumptions'!$D$16,-'Detailed Project Costs'!$F$58/'Project Assumptions'!$D$16,0),0)+IF('Project Assumptions'!$D$16=0,IF(BR$5='Project Assumptions'!$D$15,-'Detailed Project Costs'!$F$58,0),0)</f>
        <v/>
      </c>
      <c r="BS100" s="293">
        <f>IF(BS$5&gt;'Project Assumptions'!$D$15,IF(BS$5&lt;='Project Assumptions'!$D$15+'Project Assumptions'!$D$16,-'Detailed Project Costs'!$F$58/'Project Assumptions'!$D$16,0),0)+IF('Project Assumptions'!$D$16=0,IF(BS$5='Project Assumptions'!$D$15,-'Detailed Project Costs'!$F$58,0),0)</f>
        <v/>
      </c>
      <c r="BT100" s="293">
        <f>IF(BT$5&gt;'Project Assumptions'!$D$15,IF(BT$5&lt;='Project Assumptions'!$D$15+'Project Assumptions'!$D$16,-'Detailed Project Costs'!$F$58/'Project Assumptions'!$D$16,0),0)+IF('Project Assumptions'!$D$16=0,IF(BT$5='Project Assumptions'!$D$15,-'Detailed Project Costs'!$F$58,0),0)</f>
        <v/>
      </c>
      <c r="BU100" s="293">
        <f>IF(BU$5&gt;'Project Assumptions'!$D$15,IF(BU$5&lt;='Project Assumptions'!$D$15+'Project Assumptions'!$D$16,-'Detailed Project Costs'!$F$58/'Project Assumptions'!$D$16,0),0)+IF('Project Assumptions'!$D$16=0,IF(BU$5='Project Assumptions'!$D$15,-'Detailed Project Costs'!$F$58,0),0)</f>
        <v/>
      </c>
      <c r="BV100" s="293">
        <f>IF(BV$5&gt;'Project Assumptions'!$D$15,IF(BV$5&lt;='Project Assumptions'!$D$15+'Project Assumptions'!$D$16,-'Detailed Project Costs'!$F$58/'Project Assumptions'!$D$16,0),0)+IF('Project Assumptions'!$D$16=0,IF(BV$5='Project Assumptions'!$D$15,-'Detailed Project Costs'!$F$58,0),0)</f>
        <v/>
      </c>
      <c r="BW100" s="293">
        <f>IF(BW$5&gt;'Project Assumptions'!$D$15,IF(BW$5&lt;='Project Assumptions'!$D$15+'Project Assumptions'!$D$16,-'Detailed Project Costs'!$F$58/'Project Assumptions'!$D$16,0),0)+IF('Project Assumptions'!$D$16=0,IF(BW$5='Project Assumptions'!$D$15,-'Detailed Project Costs'!$F$58,0),0)</f>
        <v/>
      </c>
      <c r="BX100" s="293">
        <f>IF(BX$5&gt;'Project Assumptions'!$D$15,IF(BX$5&lt;='Project Assumptions'!$D$15+'Project Assumptions'!$D$16,-'Detailed Project Costs'!$F$58/'Project Assumptions'!$D$16,0),0)+IF('Project Assumptions'!$D$16=0,IF(BX$5='Project Assumptions'!$D$15,-'Detailed Project Costs'!$F$58,0),0)</f>
        <v/>
      </c>
      <c r="BY100" s="293">
        <f>IF(BY$5&gt;'Project Assumptions'!$D$15,IF(BY$5&lt;='Project Assumptions'!$D$15+'Project Assumptions'!$D$16,-'Detailed Project Costs'!$F$58/'Project Assumptions'!$D$16,0),0)+IF('Project Assumptions'!$D$16=0,IF(BY$5='Project Assumptions'!$D$15,-'Detailed Project Costs'!$F$58,0),0)</f>
        <v/>
      </c>
      <c r="BZ100" s="293">
        <f>IF(BZ$5&gt;'Project Assumptions'!$D$15,IF(BZ$5&lt;='Project Assumptions'!$D$15+'Project Assumptions'!$D$16,-'Detailed Project Costs'!$F$58/'Project Assumptions'!$D$16,0),0)+IF('Project Assumptions'!$D$16=0,IF(BZ$5='Project Assumptions'!$D$15,-'Detailed Project Costs'!$F$58,0),0)</f>
        <v/>
      </c>
      <c r="CA100" s="293">
        <f>IF(CA$5&gt;'Project Assumptions'!$D$15,IF(CA$5&lt;='Project Assumptions'!$D$15+'Project Assumptions'!$D$16,-'Detailed Project Costs'!$F$58/'Project Assumptions'!$D$16,0),0)+IF('Project Assumptions'!$D$16=0,IF(CA$5='Project Assumptions'!$D$15,-'Detailed Project Costs'!$F$58,0),0)</f>
        <v/>
      </c>
      <c r="CB100" s="293">
        <f>IF(CB$5&gt;'Project Assumptions'!$D$15,IF(CB$5&lt;='Project Assumptions'!$D$15+'Project Assumptions'!$D$16,-'Detailed Project Costs'!$F$58/'Project Assumptions'!$D$16,0),0)+IF('Project Assumptions'!$D$16=0,IF(CB$5='Project Assumptions'!$D$15,-'Detailed Project Costs'!$F$58,0),0)</f>
        <v/>
      </c>
      <c r="CC100" s="293">
        <f>IF(CC$5&gt;'Project Assumptions'!$D$15,IF(CC$5&lt;='Project Assumptions'!$D$15+'Project Assumptions'!$D$16,-'Detailed Project Costs'!$F$58/'Project Assumptions'!$D$16,0),0)+IF('Project Assumptions'!$D$16=0,IF(CC$5='Project Assumptions'!$D$15,-'Detailed Project Costs'!$F$58,0),0)</f>
        <v/>
      </c>
      <c r="CD100" s="293">
        <f>IF(CD$5&gt;'Project Assumptions'!$D$15,IF(CD$5&lt;='Project Assumptions'!$D$15+'Project Assumptions'!$D$16,-'Detailed Project Costs'!$F$58/'Project Assumptions'!$D$16,0),0)+IF('Project Assumptions'!$D$16=0,IF(CD$5='Project Assumptions'!$D$15,-'Detailed Project Costs'!$F$58,0),0)</f>
        <v/>
      </c>
      <c r="CE100" s="293">
        <f>IF(CE$5&gt;'Project Assumptions'!$D$15,IF(CE$5&lt;='Project Assumptions'!$D$15+'Project Assumptions'!$D$16,-'Detailed Project Costs'!$F$58/'Project Assumptions'!$D$16,0),0)+IF('Project Assumptions'!$D$16=0,IF(CE$5='Project Assumptions'!$D$15,-'Detailed Project Costs'!$F$58,0),0)</f>
        <v/>
      </c>
      <c r="CF100" s="293">
        <f>IF(CF$5&gt;'Project Assumptions'!$D$15,IF(CF$5&lt;='Project Assumptions'!$D$15+'Project Assumptions'!$D$16,-'Detailed Project Costs'!$F$58/'Project Assumptions'!$D$16,0),0)+IF('Project Assumptions'!$D$16=0,IF(CF$5='Project Assumptions'!$D$15,-'Detailed Project Costs'!$F$58,0),0)</f>
        <v/>
      </c>
      <c r="CG100" s="293">
        <f>IF(CG$5&gt;'Project Assumptions'!$D$15,IF(CG$5&lt;='Project Assumptions'!$D$15+'Project Assumptions'!$D$16,-'Detailed Project Costs'!$F$58/'Project Assumptions'!$D$16,0),0)+IF('Project Assumptions'!$D$16=0,IF(CG$5='Project Assumptions'!$D$15,-'Detailed Project Costs'!$F$58,0),0)</f>
        <v/>
      </c>
      <c r="CH100" s="293">
        <f>IF(CH$5&gt;'Project Assumptions'!$D$15,IF(CH$5&lt;='Project Assumptions'!$D$15+'Project Assumptions'!$D$16,-'Detailed Project Costs'!$F$58/'Project Assumptions'!$D$16,0),0)+IF('Project Assumptions'!$D$16=0,IF(CH$5='Project Assumptions'!$D$15,-'Detailed Project Costs'!$F$58,0),0)</f>
        <v/>
      </c>
      <c r="CI100" s="293">
        <f>IF(CI$5&gt;'Project Assumptions'!$D$15,IF(CI$5&lt;='Project Assumptions'!$D$15+'Project Assumptions'!$D$16,-'Detailed Project Costs'!$F$58/'Project Assumptions'!$D$16,0),0)+IF('Project Assumptions'!$D$16=0,IF(CI$5='Project Assumptions'!$D$15,-'Detailed Project Costs'!$F$58,0),0)</f>
        <v/>
      </c>
      <c r="CJ100" s="293">
        <f>IF(CJ$5&gt;'Project Assumptions'!$D$15,IF(CJ$5&lt;='Project Assumptions'!$D$15+'Project Assumptions'!$D$16,-'Detailed Project Costs'!$F$58/'Project Assumptions'!$D$16,0),0)+IF('Project Assumptions'!$D$16=0,IF(CJ$5='Project Assumptions'!$D$15,-'Detailed Project Costs'!$F$58,0),0)</f>
        <v/>
      </c>
      <c r="CK100" s="293">
        <f>IF(CK$5&gt;'Project Assumptions'!$D$15,IF(CK$5&lt;='Project Assumptions'!$D$15+'Project Assumptions'!$D$16,-'Detailed Project Costs'!$F$58/'Project Assumptions'!$D$16,0),0)+IF('Project Assumptions'!$D$16=0,IF(CK$5='Project Assumptions'!$D$15,-'Detailed Project Costs'!$F$58,0),0)</f>
        <v/>
      </c>
      <c r="CL100" s="293">
        <f>IF(CL$5&gt;'Project Assumptions'!$D$15,IF(CL$5&lt;='Project Assumptions'!$D$15+'Project Assumptions'!$D$16,-'Detailed Project Costs'!$F$58/'Project Assumptions'!$D$16,0),0)+IF('Project Assumptions'!$D$16=0,IF(CL$5='Project Assumptions'!$D$15,-'Detailed Project Costs'!$F$58,0),0)</f>
        <v/>
      </c>
      <c r="CM100" s="293">
        <f>IF(CM$5&gt;'Project Assumptions'!$D$15,IF(CM$5&lt;='Project Assumptions'!$D$15+'Project Assumptions'!$D$16,-'Detailed Project Costs'!$F$58/'Project Assumptions'!$D$16,0),0)+IF('Project Assumptions'!$D$16=0,IF(CM$5='Project Assumptions'!$D$15,-'Detailed Project Costs'!$F$58,0),0)</f>
        <v/>
      </c>
      <c r="CN100" s="293">
        <f>IF(CN$5&gt;'Project Assumptions'!$D$15,IF(CN$5&lt;='Project Assumptions'!$D$15+'Project Assumptions'!$D$16,-'Detailed Project Costs'!$F$58/'Project Assumptions'!$D$16,0),0)+IF('Project Assumptions'!$D$16=0,IF(CN$5='Project Assumptions'!$D$15,-'Detailed Project Costs'!$F$58,0),0)</f>
        <v/>
      </c>
      <c r="CO100" s="293">
        <f>IF(CO$5&gt;'Project Assumptions'!$D$15,IF(CO$5&lt;='Project Assumptions'!$D$15+'Project Assumptions'!$D$16,-'Detailed Project Costs'!$F$58/'Project Assumptions'!$D$16,0),0)+IF('Project Assumptions'!$D$16=0,IF(CO$5='Project Assumptions'!$D$15,-'Detailed Project Costs'!$F$58,0),0)</f>
        <v/>
      </c>
      <c r="CP100" s="293">
        <f>IF(CP$5&gt;'Project Assumptions'!$D$15,IF(CP$5&lt;='Project Assumptions'!$D$15+'Project Assumptions'!$D$16,-'Detailed Project Costs'!$F$58/'Project Assumptions'!$D$16,0),0)+IF('Project Assumptions'!$D$16=0,IF(CP$5='Project Assumptions'!$D$15,-'Detailed Project Costs'!$F$58,0),0)</f>
        <v/>
      </c>
      <c r="CQ100" s="293">
        <f>IF(CQ$5&gt;'Project Assumptions'!$D$15,IF(CQ$5&lt;='Project Assumptions'!$D$15+'Project Assumptions'!$D$16,-'Detailed Project Costs'!$F$58/'Project Assumptions'!$D$16,0),0)+IF('Project Assumptions'!$D$16=0,IF(CQ$5='Project Assumptions'!$D$15,-'Detailed Project Costs'!$F$58,0),0)</f>
        <v/>
      </c>
      <c r="CR100" s="293">
        <f>IF(CR$5&gt;'Project Assumptions'!$D$15,IF(CR$5&lt;='Project Assumptions'!$D$15+'Project Assumptions'!$D$16,-'Detailed Project Costs'!$F$58/'Project Assumptions'!$D$16,0),0)+IF('Project Assumptions'!$D$16=0,IF(CR$5='Project Assumptions'!$D$15,-'Detailed Project Costs'!$F$58,0),0)</f>
        <v/>
      </c>
      <c r="CS100" s="293">
        <f>IF(CS$5&gt;'Project Assumptions'!$D$15,IF(CS$5&lt;='Project Assumptions'!$D$15+'Project Assumptions'!$D$16,-'Detailed Project Costs'!$F$58/'Project Assumptions'!$D$16,0),0)+IF('Project Assumptions'!$D$16=0,IF(CS$5='Project Assumptions'!$D$15,-'Detailed Project Costs'!$F$58,0),0)</f>
        <v/>
      </c>
      <c r="CT100" s="293">
        <f>IF(CT$5&gt;'Project Assumptions'!$D$15,IF(CT$5&lt;='Project Assumptions'!$D$15+'Project Assumptions'!$D$16,-'Detailed Project Costs'!$F$58/'Project Assumptions'!$D$16,0),0)+IF('Project Assumptions'!$D$16=0,IF(CT$5='Project Assumptions'!$D$15,-'Detailed Project Costs'!$F$58,0),0)</f>
        <v/>
      </c>
      <c r="CU100" s="293">
        <f>IF(CU$5&gt;'Project Assumptions'!$D$15,IF(CU$5&lt;='Project Assumptions'!$D$15+'Project Assumptions'!$D$16,-'Detailed Project Costs'!$F$58/'Project Assumptions'!$D$16,0),0)+IF('Project Assumptions'!$D$16=0,IF(CU$5='Project Assumptions'!$D$15,-'Detailed Project Costs'!$F$58,0),0)</f>
        <v/>
      </c>
      <c r="CV100" s="293">
        <f>IF(CV$5&gt;'Project Assumptions'!$D$15,IF(CV$5&lt;='Project Assumptions'!$D$15+'Project Assumptions'!$D$16,-'Detailed Project Costs'!$F$58/'Project Assumptions'!$D$16,0),0)+IF('Project Assumptions'!$D$16=0,IF(CV$5='Project Assumptions'!$D$15,-'Detailed Project Costs'!$F$58,0),0)</f>
        <v/>
      </c>
      <c r="CW100" s="293">
        <f>IF(CW$5&gt;'Project Assumptions'!$D$15,IF(CW$5&lt;='Project Assumptions'!$D$15+'Project Assumptions'!$D$16,-'Detailed Project Costs'!$F$58/'Project Assumptions'!$D$16,0),0)+IF('Project Assumptions'!$D$16=0,IF(CW$5='Project Assumptions'!$D$15,-'Detailed Project Costs'!$F$58,0),0)</f>
        <v/>
      </c>
      <c r="CX100" s="293">
        <f>IF(CX$5&gt;'Project Assumptions'!$D$15,IF(CX$5&lt;='Project Assumptions'!$D$15+'Project Assumptions'!$D$16,-'Detailed Project Costs'!$F$58/'Project Assumptions'!$D$16,0),0)+IF('Project Assumptions'!$D$16=0,IF(CX$5='Project Assumptions'!$D$15,-'Detailed Project Costs'!$F$58,0),0)</f>
        <v/>
      </c>
      <c r="CY100" s="293">
        <f>IF(CY$5&gt;'Project Assumptions'!$D$15,IF(CY$5&lt;='Project Assumptions'!$D$15+'Project Assumptions'!$D$16,-'Detailed Project Costs'!$F$58/'Project Assumptions'!$D$16,0),0)+IF('Project Assumptions'!$D$16=0,IF(CY$5='Project Assumptions'!$D$15,-'Detailed Project Costs'!$F$58,0),0)</f>
        <v/>
      </c>
      <c r="CZ100" s="293">
        <f>IF(CZ$5&gt;'Project Assumptions'!$D$15,IF(CZ$5&lt;='Project Assumptions'!$D$15+'Project Assumptions'!$D$16,-'Detailed Project Costs'!$F$58/'Project Assumptions'!$D$16,0),0)+IF('Project Assumptions'!$D$16=0,IF(CZ$5='Project Assumptions'!$D$15,-'Detailed Project Costs'!$F$58,0),0)</f>
        <v/>
      </c>
      <c r="DA100" s="293">
        <f>IF(DA$5&gt;'Project Assumptions'!$D$15,IF(DA$5&lt;='Project Assumptions'!$D$15+'Project Assumptions'!$D$16,-'Detailed Project Costs'!$F$58/'Project Assumptions'!$D$16,0),0)+IF('Project Assumptions'!$D$16=0,IF(DA$5='Project Assumptions'!$D$15,-'Detailed Project Costs'!$F$58,0),0)</f>
        <v/>
      </c>
      <c r="DB100" s="293">
        <f>IF(DB$5&gt;'Project Assumptions'!$D$15,IF(DB$5&lt;='Project Assumptions'!$D$15+'Project Assumptions'!$D$16,-'Detailed Project Costs'!$F$58/'Project Assumptions'!$D$16,0),0)+IF('Project Assumptions'!$D$16=0,IF(DB$5='Project Assumptions'!$D$15,-'Detailed Project Costs'!$F$58,0),0)</f>
        <v/>
      </c>
      <c r="DC100" s="293" t="n"/>
      <c r="DD100" s="292">
        <f>SUM(F100:DB100)</f>
        <v/>
      </c>
    </row>
    <row r="101">
      <c r="A101" s="1000" t="n"/>
      <c r="B101" s="701" t="inlineStr">
        <is>
          <t xml:space="preserve">   Bank Inspection Fees</t>
        </is>
      </c>
      <c r="C101" s="294" t="n"/>
      <c r="D101" s="295">
        <f>DD101</f>
        <v/>
      </c>
      <c r="E101" s="274" t="n"/>
      <c r="F101" s="273">
        <f>IF(F$5&gt;'Project Assumptions'!$D$15,IF(F$5&lt;='Project Assumptions'!$D$15+'Project Assumptions'!$D$16,-'Detailed Project Costs'!$F$59/'Project Assumptions'!$D$16,0),0)+IF('Project Assumptions'!$D$16=0,IF(F$5='Project Assumptions'!$D$15,-'Detailed Project Costs'!$F$59,0),0)</f>
        <v/>
      </c>
      <c r="G101" s="273">
        <f>IF(G$5&gt;'Project Assumptions'!$D$15,IF(G$5&lt;='Project Assumptions'!$D$15+'Project Assumptions'!$D$16,-'Detailed Project Costs'!$F$59/'Project Assumptions'!$D$16,0),0)+IF('Project Assumptions'!$D$16=0,IF(G$5='Project Assumptions'!$D$15,-'Detailed Project Costs'!$F$59,0),0)</f>
        <v/>
      </c>
      <c r="H101" s="273">
        <f>IF(H$5&gt;'Project Assumptions'!$D$15,IF(H$5&lt;='Project Assumptions'!$D$15+'Project Assumptions'!$D$16,-'Detailed Project Costs'!$F$59/'Project Assumptions'!$D$16,0),0)+IF('Project Assumptions'!$D$16=0,IF(H$5='Project Assumptions'!$D$15,-'Detailed Project Costs'!$F$59,0),0)</f>
        <v/>
      </c>
      <c r="I101" s="273">
        <f>IF(I$5&gt;'Project Assumptions'!$D$15,IF(I$5&lt;='Project Assumptions'!$D$15+'Project Assumptions'!$D$16,-'Detailed Project Costs'!$F$59/'Project Assumptions'!$D$16,0),0)+IF('Project Assumptions'!$D$16=0,IF(I$5='Project Assumptions'!$D$15,-'Detailed Project Costs'!$F$59,0),0)</f>
        <v/>
      </c>
      <c r="J101" s="273">
        <f>IF(J$5&gt;'Project Assumptions'!$D$15,IF(J$5&lt;='Project Assumptions'!$D$15+'Project Assumptions'!$D$16,-'Detailed Project Costs'!$F$59/'Project Assumptions'!$D$16,0),0)+IF('Project Assumptions'!$D$16=0,IF(J$5='Project Assumptions'!$D$15,-'Detailed Project Costs'!$F$59,0),0)</f>
        <v/>
      </c>
      <c r="K101" s="273">
        <f>IF(K$5&gt;'Project Assumptions'!$D$15,IF(K$5&lt;='Project Assumptions'!$D$15+'Project Assumptions'!$D$16,-'Detailed Project Costs'!$F$59/'Project Assumptions'!$D$16,0),0)+IF('Project Assumptions'!$D$16=0,IF(K$5='Project Assumptions'!$D$15,-'Detailed Project Costs'!$F$59,0),0)</f>
        <v/>
      </c>
      <c r="L101" s="273">
        <f>IF(L$5&gt;'Project Assumptions'!$D$15,IF(L$5&lt;='Project Assumptions'!$D$15+'Project Assumptions'!$D$16,-'Detailed Project Costs'!$F$59/'Project Assumptions'!$D$16,0),0)+IF('Project Assumptions'!$D$16=0,IF(L$5='Project Assumptions'!$D$15,-'Detailed Project Costs'!$F$59,0),0)</f>
        <v/>
      </c>
      <c r="M101" s="273">
        <f>IF(M$5&gt;'Project Assumptions'!$D$15,IF(M$5&lt;='Project Assumptions'!$D$15+'Project Assumptions'!$D$16,-'Detailed Project Costs'!$F$59/'Project Assumptions'!$D$16,0),0)+IF('Project Assumptions'!$D$16=0,IF(M$5='Project Assumptions'!$D$15,-'Detailed Project Costs'!$F$59,0),0)</f>
        <v/>
      </c>
      <c r="N101" s="273">
        <f>IF(N$5&gt;'Project Assumptions'!$D$15,IF(N$5&lt;='Project Assumptions'!$D$15+'Project Assumptions'!$D$16,-'Detailed Project Costs'!$F$59/'Project Assumptions'!$D$16,0),0)+IF('Project Assumptions'!$D$16=0,IF(N$5='Project Assumptions'!$D$15,-'Detailed Project Costs'!$F$59,0),0)</f>
        <v/>
      </c>
      <c r="O101" s="273">
        <f>IF(O$5&gt;'Project Assumptions'!$D$15,IF(O$5&lt;='Project Assumptions'!$D$15+'Project Assumptions'!$D$16,-'Detailed Project Costs'!$F$59/'Project Assumptions'!$D$16,0),0)+IF('Project Assumptions'!$D$16=0,IF(O$5='Project Assumptions'!$D$15,-'Detailed Project Costs'!$F$59,0),0)</f>
        <v/>
      </c>
      <c r="P101" s="273">
        <f>IF(P$5&gt;'Project Assumptions'!$D$15,IF(P$5&lt;='Project Assumptions'!$D$15+'Project Assumptions'!$D$16,-'Detailed Project Costs'!$F$59/'Project Assumptions'!$D$16,0),0)+IF('Project Assumptions'!$D$16=0,IF(P$5='Project Assumptions'!$D$15,-'Detailed Project Costs'!$F$59,0),0)</f>
        <v/>
      </c>
      <c r="Q101" s="273">
        <f>IF(Q$5&gt;'Project Assumptions'!$D$15,IF(Q$5&lt;='Project Assumptions'!$D$15+'Project Assumptions'!$D$16,-'Detailed Project Costs'!$F$59/'Project Assumptions'!$D$16,0),0)+IF('Project Assumptions'!$D$16=0,IF(Q$5='Project Assumptions'!$D$15,-'Detailed Project Costs'!$F$59,0),0)</f>
        <v/>
      </c>
      <c r="R101" s="273">
        <f>IF(R$5&gt;'Project Assumptions'!$D$15,IF(R$5&lt;='Project Assumptions'!$D$15+'Project Assumptions'!$D$16,-'Detailed Project Costs'!$F$59/'Project Assumptions'!$D$16,0),0)+IF('Project Assumptions'!$D$16=0,IF(R$5='Project Assumptions'!$D$15,-'Detailed Project Costs'!$F$59,0),0)</f>
        <v/>
      </c>
      <c r="S101" s="273">
        <f>IF(S$5&gt;'Project Assumptions'!$D$15,IF(S$5&lt;='Project Assumptions'!$D$15+'Project Assumptions'!$D$16,-'Detailed Project Costs'!$F$59/'Project Assumptions'!$D$16,0),0)+IF('Project Assumptions'!$D$16=0,IF(S$5='Project Assumptions'!$D$15,-'Detailed Project Costs'!$F$59,0),0)</f>
        <v/>
      </c>
      <c r="T101" s="273">
        <f>IF(T$5&gt;'Project Assumptions'!$D$15,IF(T$5&lt;='Project Assumptions'!$D$15+'Project Assumptions'!$D$16,-'Detailed Project Costs'!$F$59/'Project Assumptions'!$D$16,0),0)+IF('Project Assumptions'!$D$16=0,IF(T$5='Project Assumptions'!$D$15,-'Detailed Project Costs'!$F$59,0),0)</f>
        <v/>
      </c>
      <c r="U101" s="273">
        <f>IF(U$5&gt;'Project Assumptions'!$D$15,IF(U$5&lt;='Project Assumptions'!$D$15+'Project Assumptions'!$D$16,-'Detailed Project Costs'!$F$59/'Project Assumptions'!$D$16,0),0)+IF('Project Assumptions'!$D$16=0,IF(U$5='Project Assumptions'!$D$15,-'Detailed Project Costs'!$F$59,0),0)</f>
        <v/>
      </c>
      <c r="V101" s="273">
        <f>IF(V$5&gt;'Project Assumptions'!$D$15,IF(V$5&lt;='Project Assumptions'!$D$15+'Project Assumptions'!$D$16,-'Detailed Project Costs'!$F$59/'Project Assumptions'!$D$16,0),0)+IF('Project Assumptions'!$D$16=0,IF(V$5='Project Assumptions'!$D$15,-'Detailed Project Costs'!$F$59,0),0)</f>
        <v/>
      </c>
      <c r="W101" s="273">
        <f>IF(W$5&gt;'Project Assumptions'!$D$15,IF(W$5&lt;='Project Assumptions'!$D$15+'Project Assumptions'!$D$16,-'Detailed Project Costs'!$F$59/'Project Assumptions'!$D$16,0),0)+IF('Project Assumptions'!$D$16=0,IF(W$5='Project Assumptions'!$D$15,-'Detailed Project Costs'!$F$59,0),0)</f>
        <v/>
      </c>
      <c r="X101" s="273">
        <f>IF(X$5&gt;'Project Assumptions'!$D$15,IF(X$5&lt;='Project Assumptions'!$D$15+'Project Assumptions'!$D$16,-'Detailed Project Costs'!$F$59/'Project Assumptions'!$D$16,0),0)+IF('Project Assumptions'!$D$16=0,IF(X$5='Project Assumptions'!$D$15,-'Detailed Project Costs'!$F$59,0),0)</f>
        <v/>
      </c>
      <c r="Y101" s="273">
        <f>IF(Y$5&gt;'Project Assumptions'!$D$15,IF(Y$5&lt;='Project Assumptions'!$D$15+'Project Assumptions'!$D$16,-'Detailed Project Costs'!$F$59/'Project Assumptions'!$D$16,0),0)+IF('Project Assumptions'!$D$16=0,IF(Y$5='Project Assumptions'!$D$15,-'Detailed Project Costs'!$F$59,0),0)</f>
        <v/>
      </c>
      <c r="Z101" s="273">
        <f>IF(Z$5&gt;'Project Assumptions'!$D$15,IF(Z$5&lt;='Project Assumptions'!$D$15+'Project Assumptions'!$D$16,-'Detailed Project Costs'!$F$59/'Project Assumptions'!$D$16,0),0)+IF('Project Assumptions'!$D$16=0,IF(Z$5='Project Assumptions'!$D$15,-'Detailed Project Costs'!$F$59,0),0)</f>
        <v/>
      </c>
      <c r="AA101" s="273">
        <f>IF(AA$5&gt;'Project Assumptions'!$D$15,IF(AA$5&lt;='Project Assumptions'!$D$15+'Project Assumptions'!$D$16,-'Detailed Project Costs'!$F$59/'Project Assumptions'!$D$16,0),0)+IF('Project Assumptions'!$D$16=0,IF(AA$5='Project Assumptions'!$D$15,-'Detailed Project Costs'!$F$59,0),0)</f>
        <v/>
      </c>
      <c r="AB101" s="273">
        <f>IF(AB$5&gt;'Project Assumptions'!$D$15,IF(AB$5&lt;='Project Assumptions'!$D$15+'Project Assumptions'!$D$16,-'Detailed Project Costs'!$F$59/'Project Assumptions'!$D$16,0),0)+IF('Project Assumptions'!$D$16=0,IF(AB$5='Project Assumptions'!$D$15,-'Detailed Project Costs'!$F$59,0),0)</f>
        <v/>
      </c>
      <c r="AC101" s="273">
        <f>IF(AC$5&gt;'Project Assumptions'!$D$15,IF(AC$5&lt;='Project Assumptions'!$D$15+'Project Assumptions'!$D$16,-'Detailed Project Costs'!$F$59/'Project Assumptions'!$D$16,0),0)+IF('Project Assumptions'!$D$16=0,IF(AC$5='Project Assumptions'!$D$15,-'Detailed Project Costs'!$F$59,0),0)</f>
        <v/>
      </c>
      <c r="AD101" s="273">
        <f>IF(AD$5&gt;'Project Assumptions'!$D$15,IF(AD$5&lt;='Project Assumptions'!$D$15+'Project Assumptions'!$D$16,-'Detailed Project Costs'!$F$59/'Project Assumptions'!$D$16,0),0)+IF('Project Assumptions'!$D$16=0,IF(AD$5='Project Assumptions'!$D$15,-'Detailed Project Costs'!$F$59,0),0)</f>
        <v/>
      </c>
      <c r="AE101" s="273">
        <f>IF(AE$5&gt;'Project Assumptions'!$D$15,IF(AE$5&lt;='Project Assumptions'!$D$15+'Project Assumptions'!$D$16,-'Detailed Project Costs'!$F$59/'Project Assumptions'!$D$16,0),0)+IF('Project Assumptions'!$D$16=0,IF(AE$5='Project Assumptions'!$D$15,-'Detailed Project Costs'!$F$59,0),0)</f>
        <v/>
      </c>
      <c r="AF101" s="273">
        <f>IF(AF$5&gt;'Project Assumptions'!$D$15,IF(AF$5&lt;='Project Assumptions'!$D$15+'Project Assumptions'!$D$16,-'Detailed Project Costs'!$F$59/'Project Assumptions'!$D$16,0),0)+IF('Project Assumptions'!$D$16=0,IF(AF$5='Project Assumptions'!$D$15,-'Detailed Project Costs'!$F$59,0),0)</f>
        <v/>
      </c>
      <c r="AG101" s="273">
        <f>IF(AG$5&gt;'Project Assumptions'!$D$15,IF(AG$5&lt;='Project Assumptions'!$D$15+'Project Assumptions'!$D$16,-'Detailed Project Costs'!$F$59/'Project Assumptions'!$D$16,0),0)+IF('Project Assumptions'!$D$16=0,IF(AG$5='Project Assumptions'!$D$15,-'Detailed Project Costs'!$F$59,0),0)</f>
        <v/>
      </c>
      <c r="AH101" s="273">
        <f>IF(AH$5&gt;'Project Assumptions'!$D$15,IF(AH$5&lt;='Project Assumptions'!$D$15+'Project Assumptions'!$D$16,-'Detailed Project Costs'!$F$59/'Project Assumptions'!$D$16,0),0)+IF('Project Assumptions'!$D$16=0,IF(AH$5='Project Assumptions'!$D$15,-'Detailed Project Costs'!$F$59,0),0)</f>
        <v/>
      </c>
      <c r="AI101" s="273">
        <f>IF(AI$5&gt;'Project Assumptions'!$D$15,IF(AI$5&lt;='Project Assumptions'!$D$15+'Project Assumptions'!$D$16,-'Detailed Project Costs'!$F$59/'Project Assumptions'!$D$16,0),0)+IF('Project Assumptions'!$D$16=0,IF(AI$5='Project Assumptions'!$D$15,-'Detailed Project Costs'!$F$59,0),0)</f>
        <v/>
      </c>
      <c r="AJ101" s="273">
        <f>IF(AJ$5&gt;'Project Assumptions'!$D$15,IF(AJ$5&lt;='Project Assumptions'!$D$15+'Project Assumptions'!$D$16,-'Detailed Project Costs'!$F$59/'Project Assumptions'!$D$16,0),0)+IF('Project Assumptions'!$D$16=0,IF(AJ$5='Project Assumptions'!$D$15,-'Detailed Project Costs'!$F$59,0),0)</f>
        <v/>
      </c>
      <c r="AK101" s="273">
        <f>IF(AK$5&gt;'Project Assumptions'!$D$15,IF(AK$5&lt;='Project Assumptions'!$D$15+'Project Assumptions'!$D$16,-'Detailed Project Costs'!$F$59/'Project Assumptions'!$D$16,0),0)+IF('Project Assumptions'!$D$16=0,IF(AK$5='Project Assumptions'!$D$15,-'Detailed Project Costs'!$F$59,0),0)</f>
        <v/>
      </c>
      <c r="AL101" s="273">
        <f>IF(AL$5&gt;'Project Assumptions'!$D$15,IF(AL$5&lt;='Project Assumptions'!$D$15+'Project Assumptions'!$D$16,-'Detailed Project Costs'!$F$59/'Project Assumptions'!$D$16,0),0)+IF('Project Assumptions'!$D$16=0,IF(AL$5='Project Assumptions'!$D$15,-'Detailed Project Costs'!$F$59,0),0)</f>
        <v/>
      </c>
      <c r="AM101" s="273">
        <f>IF(AM$5&gt;'Project Assumptions'!$D$15,IF(AM$5&lt;='Project Assumptions'!$D$15+'Project Assumptions'!$D$16,-'Detailed Project Costs'!$F$59/'Project Assumptions'!$D$16,0),0)+IF('Project Assumptions'!$D$16=0,IF(AM$5='Project Assumptions'!$D$15,-'Detailed Project Costs'!$F$59,0),0)</f>
        <v/>
      </c>
      <c r="AN101" s="273">
        <f>IF(AN$5&gt;'Project Assumptions'!$D$15,IF(AN$5&lt;='Project Assumptions'!$D$15+'Project Assumptions'!$D$16,-'Detailed Project Costs'!$F$59/'Project Assumptions'!$D$16,0),0)+IF('Project Assumptions'!$D$16=0,IF(AN$5='Project Assumptions'!$D$15,-'Detailed Project Costs'!$F$59,0),0)</f>
        <v/>
      </c>
      <c r="AO101" s="273">
        <f>IF(AO$5&gt;'Project Assumptions'!$D$15,IF(AO$5&lt;='Project Assumptions'!$D$15+'Project Assumptions'!$D$16,-'Detailed Project Costs'!$F$59/'Project Assumptions'!$D$16,0),0)+IF('Project Assumptions'!$D$16=0,IF(AO$5='Project Assumptions'!$D$15,-'Detailed Project Costs'!$F$59,0),0)</f>
        <v/>
      </c>
      <c r="AP101" s="273">
        <f>IF(AP$5&gt;'Project Assumptions'!$D$15,IF(AP$5&lt;='Project Assumptions'!$D$15+'Project Assumptions'!$D$16,-'Detailed Project Costs'!$F$59/'Project Assumptions'!$D$16,0),0)+IF('Project Assumptions'!$D$16=0,IF(AP$5='Project Assumptions'!$D$15,-'Detailed Project Costs'!$F$59,0),0)</f>
        <v/>
      </c>
      <c r="AQ101" s="273">
        <f>IF(AQ$5&gt;'Project Assumptions'!$D$15,IF(AQ$5&lt;='Project Assumptions'!$D$15+'Project Assumptions'!$D$16,-'Detailed Project Costs'!$F$59/'Project Assumptions'!$D$16,0),0)+IF('Project Assumptions'!$D$16=0,IF(AQ$5='Project Assumptions'!$D$15,-'Detailed Project Costs'!$F$59,0),0)</f>
        <v/>
      </c>
      <c r="AR101" s="273">
        <f>IF(AR$5&gt;'Project Assumptions'!$D$15,IF(AR$5&lt;='Project Assumptions'!$D$15+'Project Assumptions'!$D$16,-'Detailed Project Costs'!$F$59/'Project Assumptions'!$D$16,0),0)+IF('Project Assumptions'!$D$16=0,IF(AR$5='Project Assumptions'!$D$15,-'Detailed Project Costs'!$F$59,0),0)</f>
        <v/>
      </c>
      <c r="AS101" s="273">
        <f>IF(AS$5&gt;'Project Assumptions'!$D$15,IF(AS$5&lt;='Project Assumptions'!$D$15+'Project Assumptions'!$D$16,-'Detailed Project Costs'!$F$59/'Project Assumptions'!$D$16,0),0)+IF('Project Assumptions'!$D$16=0,IF(AS$5='Project Assumptions'!$D$15,-'Detailed Project Costs'!$F$59,0),0)</f>
        <v/>
      </c>
      <c r="AT101" s="273">
        <f>IF(AT$5&gt;'Project Assumptions'!$D$15,IF(AT$5&lt;='Project Assumptions'!$D$15+'Project Assumptions'!$D$16,-'Detailed Project Costs'!$F$59/'Project Assumptions'!$D$16,0),0)+IF('Project Assumptions'!$D$16=0,IF(AT$5='Project Assumptions'!$D$15,-'Detailed Project Costs'!$F$59,0),0)</f>
        <v/>
      </c>
      <c r="AU101" s="273">
        <f>IF(AU$5&gt;'Project Assumptions'!$D$15,IF(AU$5&lt;='Project Assumptions'!$D$15+'Project Assumptions'!$D$16,-'Detailed Project Costs'!$F$59/'Project Assumptions'!$D$16,0),0)+IF('Project Assumptions'!$D$16=0,IF(AU$5='Project Assumptions'!$D$15,-'Detailed Project Costs'!$F$59,0),0)</f>
        <v/>
      </c>
      <c r="AV101" s="273">
        <f>IF(AV$5&gt;'Project Assumptions'!$D$15,IF(AV$5&lt;='Project Assumptions'!$D$15+'Project Assumptions'!$D$16,-'Detailed Project Costs'!$F$59/'Project Assumptions'!$D$16,0),0)+IF('Project Assumptions'!$D$16=0,IF(AV$5='Project Assumptions'!$D$15,-'Detailed Project Costs'!$F$59,0),0)</f>
        <v/>
      </c>
      <c r="AW101" s="273">
        <f>IF(AW$5&gt;'Project Assumptions'!$D$15,IF(AW$5&lt;='Project Assumptions'!$D$15+'Project Assumptions'!$D$16,-'Detailed Project Costs'!$F$59/'Project Assumptions'!$D$16,0),0)+IF('Project Assumptions'!$D$16=0,IF(AW$5='Project Assumptions'!$D$15,-'Detailed Project Costs'!$F$59,0),0)</f>
        <v/>
      </c>
      <c r="AX101" s="273">
        <f>IF(AX$5&gt;'Project Assumptions'!$D$15,IF(AX$5&lt;='Project Assumptions'!$D$15+'Project Assumptions'!$D$16,-'Detailed Project Costs'!$F$59/'Project Assumptions'!$D$16,0),0)+IF('Project Assumptions'!$D$16=0,IF(AX$5='Project Assumptions'!$D$15,-'Detailed Project Costs'!$F$59,0),0)</f>
        <v/>
      </c>
      <c r="AY101" s="273">
        <f>IF(AY$5&gt;'Project Assumptions'!$D$15,IF(AY$5&lt;='Project Assumptions'!$D$15+'Project Assumptions'!$D$16,-'Detailed Project Costs'!$F$59/'Project Assumptions'!$D$16,0),0)+IF('Project Assumptions'!$D$16=0,IF(AY$5='Project Assumptions'!$D$15,-'Detailed Project Costs'!$F$59,0),0)</f>
        <v/>
      </c>
      <c r="AZ101" s="273">
        <f>IF(AZ$5&gt;'Project Assumptions'!$D$15,IF(AZ$5&lt;='Project Assumptions'!$D$15+'Project Assumptions'!$D$16,-'Detailed Project Costs'!$F$59/'Project Assumptions'!$D$16,0),0)+IF('Project Assumptions'!$D$16=0,IF(AZ$5='Project Assumptions'!$D$15,-'Detailed Project Costs'!$F$59,0),0)</f>
        <v/>
      </c>
      <c r="BA101" s="273">
        <f>IF(BA$5&gt;'Project Assumptions'!$D$15,IF(BA$5&lt;='Project Assumptions'!$D$15+'Project Assumptions'!$D$16,-'Detailed Project Costs'!$F$59/'Project Assumptions'!$D$16,0),0)+IF('Project Assumptions'!$D$16=0,IF(BA$5='Project Assumptions'!$D$15,-'Detailed Project Costs'!$F$59,0),0)</f>
        <v/>
      </c>
      <c r="BB101" s="273">
        <f>IF(BB$5&gt;'Project Assumptions'!$D$15,IF(BB$5&lt;='Project Assumptions'!$D$15+'Project Assumptions'!$D$16,-'Detailed Project Costs'!$F$59/'Project Assumptions'!$D$16,0),0)+IF('Project Assumptions'!$D$16=0,IF(BB$5='Project Assumptions'!$D$15,-'Detailed Project Costs'!$F$59,0),0)</f>
        <v/>
      </c>
      <c r="BC101" s="273">
        <f>IF(BC$5&gt;'Project Assumptions'!$D$15,IF(BC$5&lt;='Project Assumptions'!$D$15+'Project Assumptions'!$D$16,-'Detailed Project Costs'!$F$59/'Project Assumptions'!$D$16,0),0)+IF('Project Assumptions'!$D$16=0,IF(BC$5='Project Assumptions'!$D$15,-'Detailed Project Costs'!$F$59,0),0)</f>
        <v/>
      </c>
      <c r="BD101" s="273">
        <f>IF(BD$5&gt;'Project Assumptions'!$D$15,IF(BD$5&lt;='Project Assumptions'!$D$15+'Project Assumptions'!$D$16,-'Detailed Project Costs'!$F$59/'Project Assumptions'!$D$16,0),0)+IF('Project Assumptions'!$D$16=0,IF(BD$5='Project Assumptions'!$D$15,-'Detailed Project Costs'!$F$59,0),0)</f>
        <v/>
      </c>
      <c r="BE101" s="273">
        <f>IF(BE$5&gt;'Project Assumptions'!$D$15,IF(BE$5&lt;='Project Assumptions'!$D$15+'Project Assumptions'!$D$16,-'Detailed Project Costs'!$F$59/'Project Assumptions'!$D$16,0),0)+IF('Project Assumptions'!$D$16=0,IF(BE$5='Project Assumptions'!$D$15,-'Detailed Project Costs'!$F$59,0),0)</f>
        <v/>
      </c>
      <c r="BF101" s="273">
        <f>IF(BF$5&gt;'Project Assumptions'!$D$15,IF(BF$5&lt;='Project Assumptions'!$D$15+'Project Assumptions'!$D$16,-'Detailed Project Costs'!$F$59/'Project Assumptions'!$D$16,0),0)+IF('Project Assumptions'!$D$16=0,IF(BF$5='Project Assumptions'!$D$15,-'Detailed Project Costs'!$F$59,0),0)</f>
        <v/>
      </c>
      <c r="BG101" s="273">
        <f>IF(BG$5&gt;'Project Assumptions'!$D$15,IF(BG$5&lt;='Project Assumptions'!$D$15+'Project Assumptions'!$D$16,-'Detailed Project Costs'!$F$59/'Project Assumptions'!$D$16,0),0)+IF('Project Assumptions'!$D$16=0,IF(BG$5='Project Assumptions'!$D$15,-'Detailed Project Costs'!$F$59,0),0)</f>
        <v/>
      </c>
      <c r="BH101" s="273">
        <f>IF(BH$5&gt;'Project Assumptions'!$D$15,IF(BH$5&lt;='Project Assumptions'!$D$15+'Project Assumptions'!$D$16,-'Detailed Project Costs'!$F$59/'Project Assumptions'!$D$16,0),0)+IF('Project Assumptions'!$D$16=0,IF(BH$5='Project Assumptions'!$D$15,-'Detailed Project Costs'!$F$59,0),0)</f>
        <v/>
      </c>
      <c r="BI101" s="273">
        <f>IF(BI$5&gt;'Project Assumptions'!$D$15,IF(BI$5&lt;='Project Assumptions'!$D$15+'Project Assumptions'!$D$16,-'Detailed Project Costs'!$F$59/'Project Assumptions'!$D$16,0),0)+IF('Project Assumptions'!$D$16=0,IF(BI$5='Project Assumptions'!$D$15,-'Detailed Project Costs'!$F$59,0),0)</f>
        <v/>
      </c>
      <c r="BJ101" s="273">
        <f>IF(BJ$5&gt;'Project Assumptions'!$D$15,IF(BJ$5&lt;='Project Assumptions'!$D$15+'Project Assumptions'!$D$16,-'Detailed Project Costs'!$F$59/'Project Assumptions'!$D$16,0),0)+IF('Project Assumptions'!$D$16=0,IF(BJ$5='Project Assumptions'!$D$15,-'Detailed Project Costs'!$F$59,0),0)</f>
        <v/>
      </c>
      <c r="BK101" s="273">
        <f>IF(BK$5&gt;'Project Assumptions'!$D$15,IF(BK$5&lt;='Project Assumptions'!$D$15+'Project Assumptions'!$D$16,-'Detailed Project Costs'!$F$59/'Project Assumptions'!$D$16,0),0)+IF('Project Assumptions'!$D$16=0,IF(BK$5='Project Assumptions'!$D$15,-'Detailed Project Costs'!$F$59,0),0)</f>
        <v/>
      </c>
      <c r="BL101" s="273">
        <f>IF(BL$5&gt;'Project Assumptions'!$D$15,IF(BL$5&lt;='Project Assumptions'!$D$15+'Project Assumptions'!$D$16,-'Detailed Project Costs'!$F$59/'Project Assumptions'!$D$16,0),0)+IF('Project Assumptions'!$D$16=0,IF(BL$5='Project Assumptions'!$D$15,-'Detailed Project Costs'!$F$59,0),0)</f>
        <v/>
      </c>
      <c r="BM101" s="273">
        <f>IF(BM$5&gt;'Project Assumptions'!$D$15,IF(BM$5&lt;='Project Assumptions'!$D$15+'Project Assumptions'!$D$16,-'Detailed Project Costs'!$F$59/'Project Assumptions'!$D$16,0),0)+IF('Project Assumptions'!$D$16=0,IF(BM$5='Project Assumptions'!$D$15,-'Detailed Project Costs'!$F$59,0),0)</f>
        <v/>
      </c>
      <c r="BN101" s="273">
        <f>IF(BN$5&gt;'Project Assumptions'!$D$15,IF(BN$5&lt;='Project Assumptions'!$D$15+'Project Assumptions'!$D$16,-'Detailed Project Costs'!$F$59/'Project Assumptions'!$D$16,0),0)+IF('Project Assumptions'!$D$16=0,IF(BN$5='Project Assumptions'!$D$15,-'Detailed Project Costs'!$F$59,0),0)</f>
        <v/>
      </c>
      <c r="BO101" s="273">
        <f>IF(BO$5&gt;'Project Assumptions'!$D$15,IF(BO$5&lt;='Project Assumptions'!$D$15+'Project Assumptions'!$D$16,-'Detailed Project Costs'!$F$59/'Project Assumptions'!$D$16,0),0)+IF('Project Assumptions'!$D$16=0,IF(BO$5='Project Assumptions'!$D$15,-'Detailed Project Costs'!$F$59,0),0)</f>
        <v/>
      </c>
      <c r="BP101" s="273">
        <f>IF(BP$5&gt;'Project Assumptions'!$D$15,IF(BP$5&lt;='Project Assumptions'!$D$15+'Project Assumptions'!$D$16,-'Detailed Project Costs'!$F$59/'Project Assumptions'!$D$16,0),0)+IF('Project Assumptions'!$D$16=0,IF(BP$5='Project Assumptions'!$D$15,-'Detailed Project Costs'!$F$59,0),0)</f>
        <v/>
      </c>
      <c r="BQ101" s="273">
        <f>IF(BQ$5&gt;'Project Assumptions'!$D$15,IF(BQ$5&lt;='Project Assumptions'!$D$15+'Project Assumptions'!$D$16,-'Detailed Project Costs'!$F$59/'Project Assumptions'!$D$16,0),0)+IF('Project Assumptions'!$D$16=0,IF(BQ$5='Project Assumptions'!$D$15,-'Detailed Project Costs'!$F$59,0),0)</f>
        <v/>
      </c>
      <c r="BR101" s="273">
        <f>IF(BR$5&gt;'Project Assumptions'!$D$15,IF(BR$5&lt;='Project Assumptions'!$D$15+'Project Assumptions'!$D$16,-'Detailed Project Costs'!$F$59/'Project Assumptions'!$D$16,0),0)+IF('Project Assumptions'!$D$16=0,IF(BR$5='Project Assumptions'!$D$15,-'Detailed Project Costs'!$F$59,0),0)</f>
        <v/>
      </c>
      <c r="BS101" s="273">
        <f>IF(BS$5&gt;'Project Assumptions'!$D$15,IF(BS$5&lt;='Project Assumptions'!$D$15+'Project Assumptions'!$D$16,-'Detailed Project Costs'!$F$59/'Project Assumptions'!$D$16,0),0)+IF('Project Assumptions'!$D$16=0,IF(BS$5='Project Assumptions'!$D$15,-'Detailed Project Costs'!$F$59,0),0)</f>
        <v/>
      </c>
      <c r="BT101" s="273">
        <f>IF(BT$5&gt;'Project Assumptions'!$D$15,IF(BT$5&lt;='Project Assumptions'!$D$15+'Project Assumptions'!$D$16,-'Detailed Project Costs'!$F$59/'Project Assumptions'!$D$16,0),0)+IF('Project Assumptions'!$D$16=0,IF(BT$5='Project Assumptions'!$D$15,-'Detailed Project Costs'!$F$59,0),0)</f>
        <v/>
      </c>
      <c r="BU101" s="273">
        <f>IF(BU$5&gt;'Project Assumptions'!$D$15,IF(BU$5&lt;='Project Assumptions'!$D$15+'Project Assumptions'!$D$16,-'Detailed Project Costs'!$F$59/'Project Assumptions'!$D$16,0),0)+IF('Project Assumptions'!$D$16=0,IF(BU$5='Project Assumptions'!$D$15,-'Detailed Project Costs'!$F$59,0),0)</f>
        <v/>
      </c>
      <c r="BV101" s="273">
        <f>IF(BV$5&gt;'Project Assumptions'!$D$15,IF(BV$5&lt;='Project Assumptions'!$D$15+'Project Assumptions'!$D$16,-'Detailed Project Costs'!$F$59/'Project Assumptions'!$D$16,0),0)+IF('Project Assumptions'!$D$16=0,IF(BV$5='Project Assumptions'!$D$15,-'Detailed Project Costs'!$F$59,0),0)</f>
        <v/>
      </c>
      <c r="BW101" s="273">
        <f>IF(BW$5&gt;'Project Assumptions'!$D$15,IF(BW$5&lt;='Project Assumptions'!$D$15+'Project Assumptions'!$D$16,-'Detailed Project Costs'!$F$59/'Project Assumptions'!$D$16,0),0)+IF('Project Assumptions'!$D$16=0,IF(BW$5='Project Assumptions'!$D$15,-'Detailed Project Costs'!$F$59,0),0)</f>
        <v/>
      </c>
      <c r="BX101" s="273">
        <f>IF(BX$5&gt;'Project Assumptions'!$D$15,IF(BX$5&lt;='Project Assumptions'!$D$15+'Project Assumptions'!$D$16,-'Detailed Project Costs'!$F$59/'Project Assumptions'!$D$16,0),0)+IF('Project Assumptions'!$D$16=0,IF(BX$5='Project Assumptions'!$D$15,-'Detailed Project Costs'!$F$59,0),0)</f>
        <v/>
      </c>
      <c r="BY101" s="273">
        <f>IF(BY$5&gt;'Project Assumptions'!$D$15,IF(BY$5&lt;='Project Assumptions'!$D$15+'Project Assumptions'!$D$16,-'Detailed Project Costs'!$F$59/'Project Assumptions'!$D$16,0),0)+IF('Project Assumptions'!$D$16=0,IF(BY$5='Project Assumptions'!$D$15,-'Detailed Project Costs'!$F$59,0),0)</f>
        <v/>
      </c>
      <c r="BZ101" s="273">
        <f>IF(BZ$5&gt;'Project Assumptions'!$D$15,IF(BZ$5&lt;='Project Assumptions'!$D$15+'Project Assumptions'!$D$16,-'Detailed Project Costs'!$F$59/'Project Assumptions'!$D$16,0),0)+IF('Project Assumptions'!$D$16=0,IF(BZ$5='Project Assumptions'!$D$15,-'Detailed Project Costs'!$F$59,0),0)</f>
        <v/>
      </c>
      <c r="CA101" s="273">
        <f>IF(CA$5&gt;'Project Assumptions'!$D$15,IF(CA$5&lt;='Project Assumptions'!$D$15+'Project Assumptions'!$D$16,-'Detailed Project Costs'!$F$59/'Project Assumptions'!$D$16,0),0)+IF('Project Assumptions'!$D$16=0,IF(CA$5='Project Assumptions'!$D$15,-'Detailed Project Costs'!$F$59,0),0)</f>
        <v/>
      </c>
      <c r="CB101" s="273">
        <f>IF(CB$5&gt;'Project Assumptions'!$D$15,IF(CB$5&lt;='Project Assumptions'!$D$15+'Project Assumptions'!$D$16,-'Detailed Project Costs'!$F$59/'Project Assumptions'!$D$16,0),0)+IF('Project Assumptions'!$D$16=0,IF(CB$5='Project Assumptions'!$D$15,-'Detailed Project Costs'!$F$59,0),0)</f>
        <v/>
      </c>
      <c r="CC101" s="273">
        <f>IF(CC$5&gt;'Project Assumptions'!$D$15,IF(CC$5&lt;='Project Assumptions'!$D$15+'Project Assumptions'!$D$16,-'Detailed Project Costs'!$F$59/'Project Assumptions'!$D$16,0),0)+IF('Project Assumptions'!$D$16=0,IF(CC$5='Project Assumptions'!$D$15,-'Detailed Project Costs'!$F$59,0),0)</f>
        <v/>
      </c>
      <c r="CD101" s="273">
        <f>IF(CD$5&gt;'Project Assumptions'!$D$15,IF(CD$5&lt;='Project Assumptions'!$D$15+'Project Assumptions'!$D$16,-'Detailed Project Costs'!$F$59/'Project Assumptions'!$D$16,0),0)+IF('Project Assumptions'!$D$16=0,IF(CD$5='Project Assumptions'!$D$15,-'Detailed Project Costs'!$F$59,0),0)</f>
        <v/>
      </c>
      <c r="CE101" s="273">
        <f>IF(CE$5&gt;'Project Assumptions'!$D$15,IF(CE$5&lt;='Project Assumptions'!$D$15+'Project Assumptions'!$D$16,-'Detailed Project Costs'!$F$59/'Project Assumptions'!$D$16,0),0)+IF('Project Assumptions'!$D$16=0,IF(CE$5='Project Assumptions'!$D$15,-'Detailed Project Costs'!$F$59,0),0)</f>
        <v/>
      </c>
      <c r="CF101" s="273">
        <f>IF(CF$5&gt;'Project Assumptions'!$D$15,IF(CF$5&lt;='Project Assumptions'!$D$15+'Project Assumptions'!$D$16,-'Detailed Project Costs'!$F$59/'Project Assumptions'!$D$16,0),0)+IF('Project Assumptions'!$D$16=0,IF(CF$5='Project Assumptions'!$D$15,-'Detailed Project Costs'!$F$59,0),0)</f>
        <v/>
      </c>
      <c r="CG101" s="273">
        <f>IF(CG$5&gt;'Project Assumptions'!$D$15,IF(CG$5&lt;='Project Assumptions'!$D$15+'Project Assumptions'!$D$16,-'Detailed Project Costs'!$F$59/'Project Assumptions'!$D$16,0),0)+IF('Project Assumptions'!$D$16=0,IF(CG$5='Project Assumptions'!$D$15,-'Detailed Project Costs'!$F$59,0),0)</f>
        <v/>
      </c>
      <c r="CH101" s="273">
        <f>IF(CH$5&gt;'Project Assumptions'!$D$15,IF(CH$5&lt;='Project Assumptions'!$D$15+'Project Assumptions'!$D$16,-'Detailed Project Costs'!$F$59/'Project Assumptions'!$D$16,0),0)+IF('Project Assumptions'!$D$16=0,IF(CH$5='Project Assumptions'!$D$15,-'Detailed Project Costs'!$F$59,0),0)</f>
        <v/>
      </c>
      <c r="CI101" s="273">
        <f>IF(CI$5&gt;'Project Assumptions'!$D$15,IF(CI$5&lt;='Project Assumptions'!$D$15+'Project Assumptions'!$D$16,-'Detailed Project Costs'!$F$59/'Project Assumptions'!$D$16,0),0)+IF('Project Assumptions'!$D$16=0,IF(CI$5='Project Assumptions'!$D$15,-'Detailed Project Costs'!$F$59,0),0)</f>
        <v/>
      </c>
      <c r="CJ101" s="273">
        <f>IF(CJ$5&gt;'Project Assumptions'!$D$15,IF(CJ$5&lt;='Project Assumptions'!$D$15+'Project Assumptions'!$D$16,-'Detailed Project Costs'!$F$59/'Project Assumptions'!$D$16,0),0)+IF('Project Assumptions'!$D$16=0,IF(CJ$5='Project Assumptions'!$D$15,-'Detailed Project Costs'!$F$59,0),0)</f>
        <v/>
      </c>
      <c r="CK101" s="273">
        <f>IF(CK$5&gt;'Project Assumptions'!$D$15,IF(CK$5&lt;='Project Assumptions'!$D$15+'Project Assumptions'!$D$16,-'Detailed Project Costs'!$F$59/'Project Assumptions'!$D$16,0),0)+IF('Project Assumptions'!$D$16=0,IF(CK$5='Project Assumptions'!$D$15,-'Detailed Project Costs'!$F$59,0),0)</f>
        <v/>
      </c>
      <c r="CL101" s="273">
        <f>IF(CL$5&gt;'Project Assumptions'!$D$15,IF(CL$5&lt;='Project Assumptions'!$D$15+'Project Assumptions'!$D$16,-'Detailed Project Costs'!$F$59/'Project Assumptions'!$D$16,0),0)+IF('Project Assumptions'!$D$16=0,IF(CL$5='Project Assumptions'!$D$15,-'Detailed Project Costs'!$F$59,0),0)</f>
        <v/>
      </c>
      <c r="CM101" s="273">
        <f>IF(CM$5&gt;'Project Assumptions'!$D$15,IF(CM$5&lt;='Project Assumptions'!$D$15+'Project Assumptions'!$D$16,-'Detailed Project Costs'!$F$59/'Project Assumptions'!$D$16,0),0)+IF('Project Assumptions'!$D$16=0,IF(CM$5='Project Assumptions'!$D$15,-'Detailed Project Costs'!$F$59,0),0)</f>
        <v/>
      </c>
      <c r="CN101" s="273">
        <f>IF(CN$5&gt;'Project Assumptions'!$D$15,IF(CN$5&lt;='Project Assumptions'!$D$15+'Project Assumptions'!$D$16,-'Detailed Project Costs'!$F$59/'Project Assumptions'!$D$16,0),0)+IF('Project Assumptions'!$D$16=0,IF(CN$5='Project Assumptions'!$D$15,-'Detailed Project Costs'!$F$59,0),0)</f>
        <v/>
      </c>
      <c r="CO101" s="273">
        <f>IF(CO$5&gt;'Project Assumptions'!$D$15,IF(CO$5&lt;='Project Assumptions'!$D$15+'Project Assumptions'!$D$16,-'Detailed Project Costs'!$F$59/'Project Assumptions'!$D$16,0),0)+IF('Project Assumptions'!$D$16=0,IF(CO$5='Project Assumptions'!$D$15,-'Detailed Project Costs'!$F$59,0),0)</f>
        <v/>
      </c>
      <c r="CP101" s="273">
        <f>IF(CP$5&gt;'Project Assumptions'!$D$15,IF(CP$5&lt;='Project Assumptions'!$D$15+'Project Assumptions'!$D$16,-'Detailed Project Costs'!$F$59/'Project Assumptions'!$D$16,0),0)+IF('Project Assumptions'!$D$16=0,IF(CP$5='Project Assumptions'!$D$15,-'Detailed Project Costs'!$F$59,0),0)</f>
        <v/>
      </c>
      <c r="CQ101" s="273">
        <f>IF(CQ$5&gt;'Project Assumptions'!$D$15,IF(CQ$5&lt;='Project Assumptions'!$D$15+'Project Assumptions'!$D$16,-'Detailed Project Costs'!$F$59/'Project Assumptions'!$D$16,0),0)+IF('Project Assumptions'!$D$16=0,IF(CQ$5='Project Assumptions'!$D$15,-'Detailed Project Costs'!$F$59,0),0)</f>
        <v/>
      </c>
      <c r="CR101" s="273">
        <f>IF(CR$5&gt;'Project Assumptions'!$D$15,IF(CR$5&lt;='Project Assumptions'!$D$15+'Project Assumptions'!$D$16,-'Detailed Project Costs'!$F$59/'Project Assumptions'!$D$16,0),0)+IF('Project Assumptions'!$D$16=0,IF(CR$5='Project Assumptions'!$D$15,-'Detailed Project Costs'!$F$59,0),0)</f>
        <v/>
      </c>
      <c r="CS101" s="273">
        <f>IF(CS$5&gt;'Project Assumptions'!$D$15,IF(CS$5&lt;='Project Assumptions'!$D$15+'Project Assumptions'!$D$16,-'Detailed Project Costs'!$F$59/'Project Assumptions'!$D$16,0),0)+IF('Project Assumptions'!$D$16=0,IF(CS$5='Project Assumptions'!$D$15,-'Detailed Project Costs'!$F$59,0),0)</f>
        <v/>
      </c>
      <c r="CT101" s="273">
        <f>IF(CT$5&gt;'Project Assumptions'!$D$15,IF(CT$5&lt;='Project Assumptions'!$D$15+'Project Assumptions'!$D$16,-'Detailed Project Costs'!$F$59/'Project Assumptions'!$D$16,0),0)+IF('Project Assumptions'!$D$16=0,IF(CT$5='Project Assumptions'!$D$15,-'Detailed Project Costs'!$F$59,0),0)</f>
        <v/>
      </c>
      <c r="CU101" s="273">
        <f>IF(CU$5&gt;'Project Assumptions'!$D$15,IF(CU$5&lt;='Project Assumptions'!$D$15+'Project Assumptions'!$D$16,-'Detailed Project Costs'!$F$59/'Project Assumptions'!$D$16,0),0)+IF('Project Assumptions'!$D$16=0,IF(CU$5='Project Assumptions'!$D$15,-'Detailed Project Costs'!$F$59,0),0)</f>
        <v/>
      </c>
      <c r="CV101" s="273">
        <f>IF(CV$5&gt;'Project Assumptions'!$D$15,IF(CV$5&lt;='Project Assumptions'!$D$15+'Project Assumptions'!$D$16,-'Detailed Project Costs'!$F$59/'Project Assumptions'!$D$16,0),0)+IF('Project Assumptions'!$D$16=0,IF(CV$5='Project Assumptions'!$D$15,-'Detailed Project Costs'!$F$59,0),0)</f>
        <v/>
      </c>
      <c r="CW101" s="273">
        <f>IF(CW$5&gt;'Project Assumptions'!$D$15,IF(CW$5&lt;='Project Assumptions'!$D$15+'Project Assumptions'!$D$16,-'Detailed Project Costs'!$F$59/'Project Assumptions'!$D$16,0),0)+IF('Project Assumptions'!$D$16=0,IF(CW$5='Project Assumptions'!$D$15,-'Detailed Project Costs'!$F$59,0),0)</f>
        <v/>
      </c>
      <c r="CX101" s="273">
        <f>IF(CX$5&gt;'Project Assumptions'!$D$15,IF(CX$5&lt;='Project Assumptions'!$D$15+'Project Assumptions'!$D$16,-'Detailed Project Costs'!$F$59/'Project Assumptions'!$D$16,0),0)+IF('Project Assumptions'!$D$16=0,IF(CX$5='Project Assumptions'!$D$15,-'Detailed Project Costs'!$F$59,0),0)</f>
        <v/>
      </c>
      <c r="CY101" s="273">
        <f>IF(CY$5&gt;'Project Assumptions'!$D$15,IF(CY$5&lt;='Project Assumptions'!$D$15+'Project Assumptions'!$D$16,-'Detailed Project Costs'!$F$59/'Project Assumptions'!$D$16,0),0)+IF('Project Assumptions'!$D$16=0,IF(CY$5='Project Assumptions'!$D$15,-'Detailed Project Costs'!$F$59,0),0)</f>
        <v/>
      </c>
      <c r="CZ101" s="273">
        <f>IF(CZ$5&gt;'Project Assumptions'!$D$15,IF(CZ$5&lt;='Project Assumptions'!$D$15+'Project Assumptions'!$D$16,-'Detailed Project Costs'!$F$59/'Project Assumptions'!$D$16,0),0)+IF('Project Assumptions'!$D$16=0,IF(CZ$5='Project Assumptions'!$D$15,-'Detailed Project Costs'!$F$59,0),0)</f>
        <v/>
      </c>
      <c r="DA101" s="273">
        <f>IF(DA$5&gt;'Project Assumptions'!$D$15,IF(DA$5&lt;='Project Assumptions'!$D$15+'Project Assumptions'!$D$16,-'Detailed Project Costs'!$F$59/'Project Assumptions'!$D$16,0),0)+IF('Project Assumptions'!$D$16=0,IF(DA$5='Project Assumptions'!$D$15,-'Detailed Project Costs'!$F$59,0),0)</f>
        <v/>
      </c>
      <c r="DB101" s="273">
        <f>IF(DB$5&gt;'Project Assumptions'!$D$15,IF(DB$5&lt;='Project Assumptions'!$D$15+'Project Assumptions'!$D$16,-'Detailed Project Costs'!$F$59/'Project Assumptions'!$D$16,0),0)+IF('Project Assumptions'!$D$16=0,IF(DB$5='Project Assumptions'!$D$15,-'Detailed Project Costs'!$F$59,0),0)</f>
        <v/>
      </c>
      <c r="DC101" s="273" t="n"/>
      <c r="DD101" s="295">
        <f>SUM(F101:DB101)</f>
        <v/>
      </c>
    </row>
    <row r="102">
      <c r="A102" s="1005" t="n"/>
      <c r="B102" s="309" t="inlineStr">
        <is>
          <t xml:space="preserve">   Financing Fee</t>
        </is>
      </c>
      <c r="C102" s="337" t="n"/>
      <c r="D102" s="297">
        <f>DD102</f>
        <v/>
      </c>
      <c r="E102" s="276" t="n"/>
      <c r="F102" s="890">
        <f>IF(F$5='Project Assumptions'!$D$15, -'Detailed Project Costs'!$F$60, 0)</f>
        <v/>
      </c>
      <c r="G102" s="890">
        <f>IF(G$5='Project Assumptions'!$D$15, -'Detailed Project Costs'!$F$60, 0)</f>
        <v/>
      </c>
      <c r="H102" s="890">
        <f>IF(H$5='Project Assumptions'!$D$15, -'Detailed Project Costs'!$F$60, 0)</f>
        <v/>
      </c>
      <c r="I102" s="890">
        <f>IF(I$5='Project Assumptions'!$D$15, -'Detailed Project Costs'!$F$60, 0)</f>
        <v/>
      </c>
      <c r="J102" s="890">
        <f>IF(J$5='Project Assumptions'!$D$15, -'Detailed Project Costs'!$F$60, 0)</f>
        <v/>
      </c>
      <c r="K102" s="890">
        <f>IF(K$5='Project Assumptions'!$D$15, -'Detailed Project Costs'!$F$60, 0)</f>
        <v/>
      </c>
      <c r="L102" s="890">
        <f>IF(L$5='Project Assumptions'!$D$15, -'Detailed Project Costs'!$F$60, 0)</f>
        <v/>
      </c>
      <c r="M102" s="890">
        <f>IF(M$5='Project Assumptions'!$D$15, -'Detailed Project Costs'!$F$60, 0)</f>
        <v/>
      </c>
      <c r="N102" s="890">
        <f>IF(N$5='Project Assumptions'!$D$15, -'Detailed Project Costs'!$F$60, 0)</f>
        <v/>
      </c>
      <c r="O102" s="890">
        <f>IF(O$5='Project Assumptions'!$D$15, -'Detailed Project Costs'!$F$60, 0)</f>
        <v/>
      </c>
      <c r="P102" s="890">
        <f>IF(P$5='Project Assumptions'!$D$15, -'Detailed Project Costs'!$F$60, 0)</f>
        <v/>
      </c>
      <c r="Q102" s="890">
        <f>IF(Q$5='Project Assumptions'!$D$15, -'Detailed Project Costs'!$F$60, 0)</f>
        <v/>
      </c>
      <c r="R102" s="890">
        <f>IF(R$5='Project Assumptions'!$D$15, -'Detailed Project Costs'!$F$60, 0)</f>
        <v/>
      </c>
      <c r="S102" s="890">
        <f>IF(S$5='Project Assumptions'!$D$15, -'Detailed Project Costs'!$F$60, 0)</f>
        <v/>
      </c>
      <c r="T102" s="890">
        <f>IF(T$5='Project Assumptions'!$D$15, -'Detailed Project Costs'!$F$60, 0)</f>
        <v/>
      </c>
      <c r="U102" s="890">
        <f>IF(U$5='Project Assumptions'!$D$15, -'Detailed Project Costs'!$F$60, 0)</f>
        <v/>
      </c>
      <c r="V102" s="890">
        <f>IF(V$5='Project Assumptions'!$D$15, -'Detailed Project Costs'!$F$60, 0)</f>
        <v/>
      </c>
      <c r="W102" s="890">
        <f>IF(W$5='Project Assumptions'!$D$15, -'Detailed Project Costs'!$F$60, 0)</f>
        <v/>
      </c>
      <c r="X102" s="890">
        <f>IF(X$5='Project Assumptions'!$D$15, -'Detailed Project Costs'!$F$60, 0)</f>
        <v/>
      </c>
      <c r="Y102" s="890">
        <f>IF(Y$5='Project Assumptions'!$D$15, -'Detailed Project Costs'!$F$60, 0)</f>
        <v/>
      </c>
      <c r="Z102" s="890">
        <f>IF(Z$5='Project Assumptions'!$D$15, -'Detailed Project Costs'!$F$60, 0)</f>
        <v/>
      </c>
      <c r="AA102" s="890">
        <f>IF(AA$5='Project Assumptions'!$D$15, -'Detailed Project Costs'!$F$60, 0)</f>
        <v/>
      </c>
      <c r="AB102" s="890">
        <f>IF(AB$5='Project Assumptions'!$D$15, -'Detailed Project Costs'!$F$60, 0)</f>
        <v/>
      </c>
      <c r="AC102" s="890">
        <f>IF(AC$5='Project Assumptions'!$D$15, -'Detailed Project Costs'!$F$60, 0)</f>
        <v/>
      </c>
      <c r="AD102" s="890">
        <f>IF(AD$5='Project Assumptions'!$D$15, -'Detailed Project Costs'!$F$60, 0)</f>
        <v/>
      </c>
      <c r="AE102" s="890">
        <f>IF(AE$5='Project Assumptions'!$D$15, -'Detailed Project Costs'!$F$60, 0)</f>
        <v/>
      </c>
      <c r="AF102" s="890">
        <f>IF(AF$5='Project Assumptions'!$D$15, -'Detailed Project Costs'!$F$60, 0)</f>
        <v/>
      </c>
      <c r="AG102" s="890">
        <f>IF(AG$5='Project Assumptions'!$D$15, -'Detailed Project Costs'!$F$60, 0)</f>
        <v/>
      </c>
      <c r="AH102" s="890">
        <f>IF(AH$5='Project Assumptions'!$D$15, -'Detailed Project Costs'!$F$60, 0)</f>
        <v/>
      </c>
      <c r="AI102" s="890">
        <f>IF(AI$5='Project Assumptions'!$D$15, -'Detailed Project Costs'!$F$60, 0)</f>
        <v/>
      </c>
      <c r="AJ102" s="890">
        <f>IF(AJ$5='Project Assumptions'!$D$15, -'Detailed Project Costs'!$F$60, 0)</f>
        <v/>
      </c>
      <c r="AK102" s="890">
        <f>IF(AK$5='Project Assumptions'!$D$15, -'Detailed Project Costs'!$F$60, 0)</f>
        <v/>
      </c>
      <c r="AL102" s="890">
        <f>IF(AL$5='Project Assumptions'!$D$15, -'Detailed Project Costs'!$F$60, 0)</f>
        <v/>
      </c>
      <c r="AM102" s="890">
        <f>IF(AM$5='Project Assumptions'!$D$15, -'Detailed Project Costs'!$F$60, 0)</f>
        <v/>
      </c>
      <c r="AN102" s="890">
        <f>IF(AN$5='Project Assumptions'!$D$15, -'Detailed Project Costs'!$F$60, 0)</f>
        <v/>
      </c>
      <c r="AO102" s="890">
        <f>IF(AO$5='Project Assumptions'!$D$15, -'Detailed Project Costs'!$F$60, 0)</f>
        <v/>
      </c>
      <c r="AP102" s="890">
        <f>IF(AP$5='Project Assumptions'!$D$15, -'Detailed Project Costs'!$F$60, 0)</f>
        <v/>
      </c>
      <c r="AQ102" s="890">
        <f>IF(AQ$5='Project Assumptions'!$D$15, -'Detailed Project Costs'!$F$60, 0)</f>
        <v/>
      </c>
      <c r="AR102" s="890">
        <f>IF(AR$5='Project Assumptions'!$D$15, -'Detailed Project Costs'!$F$60, 0)</f>
        <v/>
      </c>
      <c r="AS102" s="890">
        <f>IF(AS$5='Project Assumptions'!$D$15, -'Detailed Project Costs'!$F$60, 0)</f>
        <v/>
      </c>
      <c r="AT102" s="890">
        <f>IF(AT$5='Project Assumptions'!$D$15, -'Detailed Project Costs'!$F$60, 0)</f>
        <v/>
      </c>
      <c r="AU102" s="890">
        <f>IF(AU$5='Project Assumptions'!$D$15, -'Detailed Project Costs'!$F$60, 0)</f>
        <v/>
      </c>
      <c r="AV102" s="890">
        <f>IF(AV$5='Project Assumptions'!$D$15, -'Detailed Project Costs'!$F$60, 0)</f>
        <v/>
      </c>
      <c r="AW102" s="890">
        <f>IF(AW$5='Project Assumptions'!$D$15, -'Detailed Project Costs'!$F$60, 0)</f>
        <v/>
      </c>
      <c r="AX102" s="890">
        <f>IF(AX$5='Project Assumptions'!$D$15, -'Detailed Project Costs'!$F$60, 0)</f>
        <v/>
      </c>
      <c r="AY102" s="890">
        <f>IF(AY$5='Project Assumptions'!$D$15, -'Detailed Project Costs'!$F$60, 0)</f>
        <v/>
      </c>
      <c r="AZ102" s="890">
        <f>IF(AZ$5='Project Assumptions'!$D$15, -'Detailed Project Costs'!$F$60, 0)</f>
        <v/>
      </c>
      <c r="BA102" s="890">
        <f>IF(BA$5='Project Assumptions'!$D$15, -'Detailed Project Costs'!$F$60, 0)</f>
        <v/>
      </c>
      <c r="BB102" s="890">
        <f>IF(BB$5='Project Assumptions'!$D$15, -'Detailed Project Costs'!$F$60, 0)</f>
        <v/>
      </c>
      <c r="BC102" s="890">
        <f>IF(BC$5='Project Assumptions'!$D$15, -'Detailed Project Costs'!$F$60, 0)</f>
        <v/>
      </c>
      <c r="BD102" s="890">
        <f>IF(BD$5='Project Assumptions'!$D$15, -'Detailed Project Costs'!$F$60, 0)</f>
        <v/>
      </c>
      <c r="BE102" s="890">
        <f>IF(BE$5='Project Assumptions'!$D$15, -'Detailed Project Costs'!$F$60, 0)</f>
        <v/>
      </c>
      <c r="BF102" s="890">
        <f>IF(BF$5='Project Assumptions'!$D$15, -'Detailed Project Costs'!$F$60, 0)</f>
        <v/>
      </c>
      <c r="BG102" s="890">
        <f>IF(BG$5='Project Assumptions'!$D$15, -'Detailed Project Costs'!$F$60, 0)</f>
        <v/>
      </c>
      <c r="BH102" s="890">
        <f>IF(BH$5='Project Assumptions'!$D$15, -'Detailed Project Costs'!$F$60, 0)</f>
        <v/>
      </c>
      <c r="BI102" s="890">
        <f>IF(BI$5='Project Assumptions'!$D$15, -'Detailed Project Costs'!$F$60, 0)</f>
        <v/>
      </c>
      <c r="BJ102" s="890">
        <f>IF(BJ$5='Project Assumptions'!$D$15, -'Detailed Project Costs'!$F$60, 0)</f>
        <v/>
      </c>
      <c r="BK102" s="890">
        <f>IF(BK$5='Project Assumptions'!$D$15, -'Detailed Project Costs'!$F$60, 0)</f>
        <v/>
      </c>
      <c r="BL102" s="890">
        <f>IF(BL$5='Project Assumptions'!$D$15, -'Detailed Project Costs'!$F$60, 0)</f>
        <v/>
      </c>
      <c r="BM102" s="890">
        <f>IF(BM$5='Project Assumptions'!$D$15, -'Detailed Project Costs'!$F$60, 0)</f>
        <v/>
      </c>
      <c r="BN102" s="890">
        <f>IF(BN$5='Project Assumptions'!$D$15, -'Detailed Project Costs'!$F$60, 0)</f>
        <v/>
      </c>
      <c r="BO102" s="890">
        <f>IF(BO$5='Project Assumptions'!$D$15, -'Detailed Project Costs'!$F$60, 0)</f>
        <v/>
      </c>
      <c r="BP102" s="890">
        <f>IF(BP$5='Project Assumptions'!$D$15, -'Detailed Project Costs'!$F$60, 0)</f>
        <v/>
      </c>
      <c r="BQ102" s="890">
        <f>IF(BQ$5='Project Assumptions'!$D$15, -'Detailed Project Costs'!$F$60, 0)</f>
        <v/>
      </c>
      <c r="BR102" s="890">
        <f>IF(BR$5='Project Assumptions'!$D$15, -'Detailed Project Costs'!$F$60, 0)</f>
        <v/>
      </c>
      <c r="BS102" s="890">
        <f>IF(BS$5='Project Assumptions'!$D$15, -'Detailed Project Costs'!$F$60, 0)</f>
        <v/>
      </c>
      <c r="BT102" s="890">
        <f>IF(BT$5='Project Assumptions'!$D$15, -'Detailed Project Costs'!$F$60, 0)</f>
        <v/>
      </c>
      <c r="BU102" s="890">
        <f>IF(BU$5='Project Assumptions'!$D$15, -'Detailed Project Costs'!$F$60, 0)</f>
        <v/>
      </c>
      <c r="BV102" s="890">
        <f>IF(BV$5='Project Assumptions'!$D$15, -'Detailed Project Costs'!$F$60, 0)</f>
        <v/>
      </c>
      <c r="BW102" s="890">
        <f>IF(BW$5='Project Assumptions'!$D$15, -'Detailed Project Costs'!$F$60, 0)</f>
        <v/>
      </c>
      <c r="BX102" s="890">
        <f>IF(BX$5='Project Assumptions'!$D$15, -'Detailed Project Costs'!$F$60, 0)</f>
        <v/>
      </c>
      <c r="BY102" s="890">
        <f>IF(BY$5='Project Assumptions'!$D$15, -'Detailed Project Costs'!$F$60, 0)</f>
        <v/>
      </c>
      <c r="BZ102" s="890">
        <f>IF(BZ$5='Project Assumptions'!$D$15, -'Detailed Project Costs'!$F$60, 0)</f>
        <v/>
      </c>
      <c r="CA102" s="890">
        <f>IF(CA$5='Project Assumptions'!$D$15, -'Detailed Project Costs'!$F$60, 0)</f>
        <v/>
      </c>
      <c r="CB102" s="890">
        <f>IF(CB$5='Project Assumptions'!$D$15, -'Detailed Project Costs'!$F$60, 0)</f>
        <v/>
      </c>
      <c r="CC102" s="890">
        <f>IF(CC$5='Project Assumptions'!$D$15, -'Detailed Project Costs'!$F$60, 0)</f>
        <v/>
      </c>
      <c r="CD102" s="890">
        <f>IF(CD$5='Project Assumptions'!$D$15, -'Detailed Project Costs'!$F$60, 0)</f>
        <v/>
      </c>
      <c r="CE102" s="890">
        <f>IF(CE$5='Project Assumptions'!$D$15, -'Detailed Project Costs'!$F$60, 0)</f>
        <v/>
      </c>
      <c r="CF102" s="890">
        <f>IF(CF$5='Project Assumptions'!$D$15, -'Detailed Project Costs'!$F$60, 0)</f>
        <v/>
      </c>
      <c r="CG102" s="890">
        <f>IF(CG$5='Project Assumptions'!$D$15, -'Detailed Project Costs'!$F$60, 0)</f>
        <v/>
      </c>
      <c r="CH102" s="890">
        <f>IF(CH$5='Project Assumptions'!$D$15, -'Detailed Project Costs'!$F$60, 0)</f>
        <v/>
      </c>
      <c r="CI102" s="890">
        <f>IF(CI$5='Project Assumptions'!$D$15, -'Detailed Project Costs'!$F$60, 0)</f>
        <v/>
      </c>
      <c r="CJ102" s="890">
        <f>IF(CJ$5='Project Assumptions'!$D$15, -'Detailed Project Costs'!$F$60, 0)</f>
        <v/>
      </c>
      <c r="CK102" s="890">
        <f>IF(CK$5='Project Assumptions'!$D$15, -'Detailed Project Costs'!$F$60, 0)</f>
        <v/>
      </c>
      <c r="CL102" s="890">
        <f>IF(CL$5='Project Assumptions'!$D$15, -'Detailed Project Costs'!$F$60, 0)</f>
        <v/>
      </c>
      <c r="CM102" s="890">
        <f>IF(CM$5='Project Assumptions'!$D$15, -'Detailed Project Costs'!$F$60, 0)</f>
        <v/>
      </c>
      <c r="CN102" s="890">
        <f>IF(CN$5='Project Assumptions'!$D$15, -'Detailed Project Costs'!$F$60, 0)</f>
        <v/>
      </c>
      <c r="CO102" s="890">
        <f>IF(CO$5='Project Assumptions'!$D$15, -'Detailed Project Costs'!$F$60, 0)</f>
        <v/>
      </c>
      <c r="CP102" s="890">
        <f>IF(CP$5='Project Assumptions'!$D$15, -'Detailed Project Costs'!$F$60, 0)</f>
        <v/>
      </c>
      <c r="CQ102" s="890">
        <f>IF(CQ$5='Project Assumptions'!$D$15, -'Detailed Project Costs'!$F$60, 0)</f>
        <v/>
      </c>
      <c r="CR102" s="890">
        <f>IF(CR$5='Project Assumptions'!$D$15, -'Detailed Project Costs'!$F$60, 0)</f>
        <v/>
      </c>
      <c r="CS102" s="890">
        <f>IF(CS$5='Project Assumptions'!$D$15, -'Detailed Project Costs'!$F$60, 0)</f>
        <v/>
      </c>
      <c r="CT102" s="890">
        <f>IF(CT$5='Project Assumptions'!$D$15, -'Detailed Project Costs'!$F$60, 0)</f>
        <v/>
      </c>
      <c r="CU102" s="890">
        <f>IF(CU$5='Project Assumptions'!$D$15, -'Detailed Project Costs'!$F$60, 0)</f>
        <v/>
      </c>
      <c r="CV102" s="890">
        <f>IF(CV$5='Project Assumptions'!$D$15, -'Detailed Project Costs'!$F$60, 0)</f>
        <v/>
      </c>
      <c r="CW102" s="890">
        <f>IF(CW$5='Project Assumptions'!$D$15, -'Detailed Project Costs'!$F$60, 0)</f>
        <v/>
      </c>
      <c r="CX102" s="890">
        <f>IF(CX$5='Project Assumptions'!$D$15, -'Detailed Project Costs'!$F$60, 0)</f>
        <v/>
      </c>
      <c r="CY102" s="890">
        <f>IF(CY$5='Project Assumptions'!$D$15, -'Detailed Project Costs'!$F$60, 0)</f>
        <v/>
      </c>
      <c r="CZ102" s="890">
        <f>IF(CZ$5='Project Assumptions'!$D$15, -'Detailed Project Costs'!$F$60, 0)</f>
        <v/>
      </c>
      <c r="DA102" s="890">
        <f>IF(DA$5='Project Assumptions'!$D$15, -'Detailed Project Costs'!$F$60, 0)</f>
        <v/>
      </c>
      <c r="DB102" s="890">
        <f>IF(DB$5='Project Assumptions'!$D$15, -'Detailed Project Costs'!$F$60, 0)</f>
        <v/>
      </c>
      <c r="DC102" s="890" t="n"/>
      <c r="DD102" s="297">
        <f>SUM(F102:DB102)</f>
        <v/>
      </c>
    </row>
    <row r="103">
      <c r="A103" s="699" t="inlineStr">
        <is>
          <t>Contingency</t>
        </is>
      </c>
      <c r="B103" s="792" t="inlineStr">
        <is>
          <t xml:space="preserve">   Contingency - Hard Costs</t>
        </is>
      </c>
      <c r="C103" s="700" t="n"/>
      <c r="D103" s="292">
        <f>DD103</f>
        <v/>
      </c>
      <c r="E103" s="641" t="n"/>
      <c r="F103" s="293">
        <f>IF(F5&gt;'Project Assumptions'!$D$15,IF(F5&lt;='Project Assumptions'!$D$15+'Project Assumptions'!$D$16,-'Detailed Project Costs'!$F$67/'Project Assumptions'!$D$16,0),0)+IF('Project Assumptions'!$D$16=0,IF(F5='Project Assumptions'!$D$15,-'Detailed Project Costs'!$F$67,0),0)</f>
        <v/>
      </c>
      <c r="G103" s="293">
        <f>IF(G5&gt;'Project Assumptions'!$D$15,IF(G5&lt;='Project Assumptions'!$D$15+'Project Assumptions'!$D$16,-'Detailed Project Costs'!$F$67/'Project Assumptions'!$D$16,0),0)+IF('Project Assumptions'!$D$16=0,IF(G5='Project Assumptions'!$D$15,-'Detailed Project Costs'!$F$67,0),0)</f>
        <v/>
      </c>
      <c r="H103" s="293">
        <f>IF(H5&gt;'Project Assumptions'!$D$15,IF(H5&lt;='Project Assumptions'!$D$15+'Project Assumptions'!$D$16,-'Detailed Project Costs'!$F$67/'Project Assumptions'!$D$16,0),0)+IF('Project Assumptions'!$D$16=0,IF(H5='Project Assumptions'!$D$15,-'Detailed Project Costs'!$F$67,0),0)</f>
        <v/>
      </c>
      <c r="I103" s="293">
        <f>IF(I5&gt;'Project Assumptions'!$D$15,IF(I5&lt;='Project Assumptions'!$D$15+'Project Assumptions'!$D$16,-'Detailed Project Costs'!$F$67/'Project Assumptions'!$D$16,0),0)+IF('Project Assumptions'!$D$16=0,IF(I5='Project Assumptions'!$D$15,-'Detailed Project Costs'!$F$67,0),0)</f>
        <v/>
      </c>
      <c r="J103" s="293">
        <f>IF(J5&gt;'Project Assumptions'!$D$15,IF(J5&lt;='Project Assumptions'!$D$15+'Project Assumptions'!$D$16,-'Detailed Project Costs'!$F$67/'Project Assumptions'!$D$16,0),0)+IF('Project Assumptions'!$D$16=0,IF(J5='Project Assumptions'!$D$15,-'Detailed Project Costs'!$F$67,0),0)</f>
        <v/>
      </c>
      <c r="K103" s="293">
        <f>IF(K5&gt;'Project Assumptions'!$D$15,IF(K5&lt;='Project Assumptions'!$D$15+'Project Assumptions'!$D$16,-'Detailed Project Costs'!$F$67/'Project Assumptions'!$D$16,0),0)+IF('Project Assumptions'!$D$16=0,IF(K5='Project Assumptions'!$D$15,-'Detailed Project Costs'!$F$67,0),0)</f>
        <v/>
      </c>
      <c r="L103" s="293">
        <f>IF(L5&gt;'Project Assumptions'!$D$15,IF(L5&lt;='Project Assumptions'!$D$15+'Project Assumptions'!$D$16,-'Detailed Project Costs'!$F$67/'Project Assumptions'!$D$16,0),0)+IF('Project Assumptions'!$D$16=0,IF(L5='Project Assumptions'!$D$15,-'Detailed Project Costs'!$F$67,0),0)</f>
        <v/>
      </c>
      <c r="M103" s="293">
        <f>IF(M5&gt;'Project Assumptions'!$D$15,IF(M5&lt;='Project Assumptions'!$D$15+'Project Assumptions'!$D$16,-'Detailed Project Costs'!$F$67/'Project Assumptions'!$D$16,0),0)+IF('Project Assumptions'!$D$16=0,IF(M5='Project Assumptions'!$D$15,-'Detailed Project Costs'!$F$67,0),0)</f>
        <v/>
      </c>
      <c r="N103" s="293">
        <f>IF(N5&gt;'Project Assumptions'!$D$15,IF(N5&lt;='Project Assumptions'!$D$15+'Project Assumptions'!$D$16,-'Detailed Project Costs'!$F$67/'Project Assumptions'!$D$16,0),0)+IF('Project Assumptions'!$D$16=0,IF(N5='Project Assumptions'!$D$15,-'Detailed Project Costs'!$F$67,0),0)</f>
        <v/>
      </c>
      <c r="O103" s="293">
        <f>IF(O5&gt;'Project Assumptions'!$D$15,IF(O5&lt;='Project Assumptions'!$D$15+'Project Assumptions'!$D$16,-'Detailed Project Costs'!$F$67/'Project Assumptions'!$D$16,0),0)+IF('Project Assumptions'!$D$16=0,IF(O5='Project Assumptions'!$D$15,-'Detailed Project Costs'!$F$67,0),0)</f>
        <v/>
      </c>
      <c r="P103" s="293">
        <f>IF(P5&gt;'Project Assumptions'!$D$15,IF(P5&lt;='Project Assumptions'!$D$15+'Project Assumptions'!$D$16,-'Detailed Project Costs'!$F$67/'Project Assumptions'!$D$16,0),0)+IF('Project Assumptions'!$D$16=0,IF(P5='Project Assumptions'!$D$15,-'Detailed Project Costs'!$F$67,0),0)</f>
        <v/>
      </c>
      <c r="Q103" s="293">
        <f>IF(Q5&gt;'Project Assumptions'!$D$15,IF(Q5&lt;='Project Assumptions'!$D$15+'Project Assumptions'!$D$16,-'Detailed Project Costs'!$F$67/'Project Assumptions'!$D$16,0),0)+IF('Project Assumptions'!$D$16=0,IF(Q5='Project Assumptions'!$D$15,-'Detailed Project Costs'!$F$67,0),0)</f>
        <v/>
      </c>
      <c r="R103" s="293">
        <f>IF(R5&gt;'Project Assumptions'!$D$15,IF(R5&lt;='Project Assumptions'!$D$15+'Project Assumptions'!$D$16,-'Detailed Project Costs'!$F$67/'Project Assumptions'!$D$16,0),0)+IF('Project Assumptions'!$D$16=0,IF(R5='Project Assumptions'!$D$15,-'Detailed Project Costs'!$F$67,0),0)</f>
        <v/>
      </c>
      <c r="S103" s="293">
        <f>IF(S5&gt;'Project Assumptions'!$D$15,IF(S5&lt;='Project Assumptions'!$D$15+'Project Assumptions'!$D$16,-'Detailed Project Costs'!$F$67/'Project Assumptions'!$D$16,0),0)+IF('Project Assumptions'!$D$16=0,IF(S5='Project Assumptions'!$D$15,-'Detailed Project Costs'!$F$67,0),0)</f>
        <v/>
      </c>
      <c r="T103" s="293">
        <f>IF(T5&gt;'Project Assumptions'!$D$15,IF(T5&lt;='Project Assumptions'!$D$15+'Project Assumptions'!$D$16,-'Detailed Project Costs'!$F$67/'Project Assumptions'!$D$16,0),0)+IF('Project Assumptions'!$D$16=0,IF(T5='Project Assumptions'!$D$15,-'Detailed Project Costs'!$F$67,0),0)</f>
        <v/>
      </c>
      <c r="U103" s="293">
        <f>IF(U5&gt;'Project Assumptions'!$D$15,IF(U5&lt;='Project Assumptions'!$D$15+'Project Assumptions'!$D$16,-'Detailed Project Costs'!$F$67/'Project Assumptions'!$D$16,0),0)+IF('Project Assumptions'!$D$16=0,IF(U5='Project Assumptions'!$D$15,-'Detailed Project Costs'!$F$67,0),0)</f>
        <v/>
      </c>
      <c r="V103" s="293">
        <f>IF(V5&gt;'Project Assumptions'!$D$15,IF(V5&lt;='Project Assumptions'!$D$15+'Project Assumptions'!$D$16,-'Detailed Project Costs'!$F$67/'Project Assumptions'!$D$16,0),0)+IF('Project Assumptions'!$D$16=0,IF(V5='Project Assumptions'!$D$15,-'Detailed Project Costs'!$F$67,0),0)</f>
        <v/>
      </c>
      <c r="W103" s="293">
        <f>IF(W5&gt;'Project Assumptions'!$D$15,IF(W5&lt;='Project Assumptions'!$D$15+'Project Assumptions'!$D$16,-'Detailed Project Costs'!$F$67/'Project Assumptions'!$D$16,0),0)+IF('Project Assumptions'!$D$16=0,IF(W5='Project Assumptions'!$D$15,-'Detailed Project Costs'!$F$67,0),0)</f>
        <v/>
      </c>
      <c r="X103" s="293">
        <f>IF(X5&gt;'Project Assumptions'!$D$15,IF(X5&lt;='Project Assumptions'!$D$15+'Project Assumptions'!$D$16,-'Detailed Project Costs'!$F$67/'Project Assumptions'!$D$16,0),0)+IF('Project Assumptions'!$D$16=0,IF(X5='Project Assumptions'!$D$15,-'Detailed Project Costs'!$F$67,0),0)</f>
        <v/>
      </c>
      <c r="Y103" s="293">
        <f>IF(Y5&gt;'Project Assumptions'!$D$15,IF(Y5&lt;='Project Assumptions'!$D$15+'Project Assumptions'!$D$16,-'Detailed Project Costs'!$F$67/'Project Assumptions'!$D$16,0),0)+IF('Project Assumptions'!$D$16=0,IF(Y5='Project Assumptions'!$D$15,-'Detailed Project Costs'!$F$67,0),0)</f>
        <v/>
      </c>
      <c r="Z103" s="293">
        <f>IF(Z5&gt;'Project Assumptions'!$D$15,IF(Z5&lt;='Project Assumptions'!$D$15+'Project Assumptions'!$D$16,-'Detailed Project Costs'!$F$67/'Project Assumptions'!$D$16,0),0)+IF('Project Assumptions'!$D$16=0,IF(Z5='Project Assumptions'!$D$15,-'Detailed Project Costs'!$F$67,0),0)</f>
        <v/>
      </c>
      <c r="AA103" s="293">
        <f>IF(AA5&gt;'Project Assumptions'!$D$15,IF(AA5&lt;='Project Assumptions'!$D$15+'Project Assumptions'!$D$16,-'Detailed Project Costs'!$F$67/'Project Assumptions'!$D$16,0),0)+IF('Project Assumptions'!$D$16=0,IF(AA5='Project Assumptions'!$D$15,-'Detailed Project Costs'!$F$67,0),0)</f>
        <v/>
      </c>
      <c r="AB103" s="293">
        <f>IF(AB5&gt;'Project Assumptions'!$D$15,IF(AB5&lt;='Project Assumptions'!$D$15+'Project Assumptions'!$D$16,-'Detailed Project Costs'!$F$67/'Project Assumptions'!$D$16,0),0)+IF('Project Assumptions'!$D$16=0,IF(AB5='Project Assumptions'!$D$15,-'Detailed Project Costs'!$F$67,0),0)</f>
        <v/>
      </c>
      <c r="AC103" s="293">
        <f>IF(AC5&gt;'Project Assumptions'!$D$15,IF(AC5&lt;='Project Assumptions'!$D$15+'Project Assumptions'!$D$16,-'Detailed Project Costs'!$F$67/'Project Assumptions'!$D$16,0),0)+IF('Project Assumptions'!$D$16=0,IF(AC5='Project Assumptions'!$D$15,-'Detailed Project Costs'!$F$67,0),0)</f>
        <v/>
      </c>
      <c r="AD103" s="293">
        <f>IF(AD5&gt;'Project Assumptions'!$D$15,IF(AD5&lt;='Project Assumptions'!$D$15+'Project Assumptions'!$D$16,-'Detailed Project Costs'!$F$67/'Project Assumptions'!$D$16,0),0)+IF('Project Assumptions'!$D$16=0,IF(AD5='Project Assumptions'!$D$15,-'Detailed Project Costs'!$F$67,0),0)</f>
        <v/>
      </c>
      <c r="AE103" s="293">
        <f>IF(AE5&gt;'Project Assumptions'!$D$15,IF(AE5&lt;='Project Assumptions'!$D$15+'Project Assumptions'!$D$16,-'Detailed Project Costs'!$F$67/'Project Assumptions'!$D$16,0),0)+IF('Project Assumptions'!$D$16=0,IF(AE5='Project Assumptions'!$D$15,-'Detailed Project Costs'!$F$67,0),0)</f>
        <v/>
      </c>
      <c r="AF103" s="293">
        <f>IF(AF5&gt;'Project Assumptions'!$D$15,IF(AF5&lt;='Project Assumptions'!$D$15+'Project Assumptions'!$D$16,-'Detailed Project Costs'!$F$67/'Project Assumptions'!$D$16,0),0)+IF('Project Assumptions'!$D$16=0,IF(AF5='Project Assumptions'!$D$15,-'Detailed Project Costs'!$F$67,0),0)</f>
        <v/>
      </c>
      <c r="AG103" s="293">
        <f>IF(AG5&gt;'Project Assumptions'!$D$15,IF(AG5&lt;='Project Assumptions'!$D$15+'Project Assumptions'!$D$16,-'Detailed Project Costs'!$F$67/'Project Assumptions'!$D$16,0),0)+IF('Project Assumptions'!$D$16=0,IF(AG5='Project Assumptions'!$D$15,-'Detailed Project Costs'!$F$67,0),0)</f>
        <v/>
      </c>
      <c r="AH103" s="293">
        <f>IF(AH5&gt;'Project Assumptions'!$D$15,IF(AH5&lt;='Project Assumptions'!$D$15+'Project Assumptions'!$D$16,-'Detailed Project Costs'!$F$67/'Project Assumptions'!$D$16,0),0)+IF('Project Assumptions'!$D$16=0,IF(AH5='Project Assumptions'!$D$15,-'Detailed Project Costs'!$F$67,0),0)</f>
        <v/>
      </c>
      <c r="AI103" s="293">
        <f>IF(AI5&gt;'Project Assumptions'!$D$15,IF(AI5&lt;='Project Assumptions'!$D$15+'Project Assumptions'!$D$16,-'Detailed Project Costs'!$F$67/'Project Assumptions'!$D$16,0),0)+IF('Project Assumptions'!$D$16=0,IF(AI5='Project Assumptions'!$D$15,-'Detailed Project Costs'!$F$67,0),0)</f>
        <v/>
      </c>
      <c r="AJ103" s="293">
        <f>IF(AJ5&gt;'Project Assumptions'!$D$15,IF(AJ5&lt;='Project Assumptions'!$D$15+'Project Assumptions'!$D$16,-'Detailed Project Costs'!$F$67/'Project Assumptions'!$D$16,0),0)+IF('Project Assumptions'!$D$16=0,IF(AJ5='Project Assumptions'!$D$15,-'Detailed Project Costs'!$F$67,0),0)</f>
        <v/>
      </c>
      <c r="AK103" s="293">
        <f>IF(AK5&gt;'Project Assumptions'!$D$15,IF(AK5&lt;='Project Assumptions'!$D$15+'Project Assumptions'!$D$16,-'Detailed Project Costs'!$F$67/'Project Assumptions'!$D$16,0),0)+IF('Project Assumptions'!$D$16=0,IF(AK5='Project Assumptions'!$D$15,-'Detailed Project Costs'!$F$67,0),0)</f>
        <v/>
      </c>
      <c r="AL103" s="293">
        <f>IF(AL5&gt;'Project Assumptions'!$D$15,IF(AL5&lt;='Project Assumptions'!$D$15+'Project Assumptions'!$D$16,-'Detailed Project Costs'!$F$67/'Project Assumptions'!$D$16,0),0)+IF('Project Assumptions'!$D$16=0,IF(AL5='Project Assumptions'!$D$15,-'Detailed Project Costs'!$F$67,0),0)</f>
        <v/>
      </c>
      <c r="AM103" s="293">
        <f>IF(AM5&gt;'Project Assumptions'!$D$15,IF(AM5&lt;='Project Assumptions'!$D$15+'Project Assumptions'!$D$16,-'Detailed Project Costs'!$F$67/'Project Assumptions'!$D$16,0),0)+IF('Project Assumptions'!$D$16=0,IF(AM5='Project Assumptions'!$D$15,-'Detailed Project Costs'!$F$67,0),0)</f>
        <v/>
      </c>
      <c r="AN103" s="293">
        <f>IF(AN5&gt;'Project Assumptions'!$D$15,IF(AN5&lt;='Project Assumptions'!$D$15+'Project Assumptions'!$D$16,-'Detailed Project Costs'!$F$67/'Project Assumptions'!$D$16,0),0)+IF('Project Assumptions'!$D$16=0,IF(AN5='Project Assumptions'!$D$15,-'Detailed Project Costs'!$F$67,0),0)</f>
        <v/>
      </c>
      <c r="AO103" s="293">
        <f>IF(AO5&gt;'Project Assumptions'!$D$15,IF(AO5&lt;='Project Assumptions'!$D$15+'Project Assumptions'!$D$16,-'Detailed Project Costs'!$F$67/'Project Assumptions'!$D$16,0),0)+IF('Project Assumptions'!$D$16=0,IF(AO5='Project Assumptions'!$D$15,-'Detailed Project Costs'!$F$67,0),0)</f>
        <v/>
      </c>
      <c r="AP103" s="293">
        <f>IF(AP5&gt;'Project Assumptions'!$D$15,IF(AP5&lt;='Project Assumptions'!$D$15+'Project Assumptions'!$D$16,-'Detailed Project Costs'!$F$67/'Project Assumptions'!$D$16,0),0)+IF('Project Assumptions'!$D$16=0,IF(AP5='Project Assumptions'!$D$15,-'Detailed Project Costs'!$F$67,0),0)</f>
        <v/>
      </c>
      <c r="AQ103" s="293">
        <f>IF(AQ5&gt;'Project Assumptions'!$D$15,IF(AQ5&lt;='Project Assumptions'!$D$15+'Project Assumptions'!$D$16,-'Detailed Project Costs'!$F$67/'Project Assumptions'!$D$16,0),0)+IF('Project Assumptions'!$D$16=0,IF(AQ5='Project Assumptions'!$D$15,-'Detailed Project Costs'!$F$67,0),0)</f>
        <v/>
      </c>
      <c r="AR103" s="293">
        <f>IF(AR5&gt;'Project Assumptions'!$D$15,IF(AR5&lt;='Project Assumptions'!$D$15+'Project Assumptions'!$D$16,-'Detailed Project Costs'!$F$67/'Project Assumptions'!$D$16,0),0)+IF('Project Assumptions'!$D$16=0,IF(AR5='Project Assumptions'!$D$15,-'Detailed Project Costs'!$F$67,0),0)</f>
        <v/>
      </c>
      <c r="AS103" s="293">
        <f>IF(AS5&gt;'Project Assumptions'!$D$15,IF(AS5&lt;='Project Assumptions'!$D$15+'Project Assumptions'!$D$16,-'Detailed Project Costs'!$F$67/'Project Assumptions'!$D$16,0),0)+IF('Project Assumptions'!$D$16=0,IF(AS5='Project Assumptions'!$D$15,-'Detailed Project Costs'!$F$67,0),0)</f>
        <v/>
      </c>
      <c r="AT103" s="293">
        <f>IF(AT5&gt;'Project Assumptions'!$D$15,IF(AT5&lt;='Project Assumptions'!$D$15+'Project Assumptions'!$D$16,-'Detailed Project Costs'!$F$67/'Project Assumptions'!$D$16,0),0)+IF('Project Assumptions'!$D$16=0,IF(AT5='Project Assumptions'!$D$15,-'Detailed Project Costs'!$F$67,0),0)</f>
        <v/>
      </c>
      <c r="AU103" s="293">
        <f>IF(AU5&gt;'Project Assumptions'!$D$15,IF(AU5&lt;='Project Assumptions'!$D$15+'Project Assumptions'!$D$16,-'Detailed Project Costs'!$F$67/'Project Assumptions'!$D$16,0),0)+IF('Project Assumptions'!$D$16=0,IF(AU5='Project Assumptions'!$D$15,-'Detailed Project Costs'!$F$67,0),0)</f>
        <v/>
      </c>
      <c r="AV103" s="293">
        <f>IF(AV5&gt;'Project Assumptions'!$D$15,IF(AV5&lt;='Project Assumptions'!$D$15+'Project Assumptions'!$D$16,-'Detailed Project Costs'!$F$67/'Project Assumptions'!$D$16,0),0)+IF('Project Assumptions'!$D$16=0,IF(AV5='Project Assumptions'!$D$15,-'Detailed Project Costs'!$F$67,0),0)</f>
        <v/>
      </c>
      <c r="AW103" s="293">
        <f>IF(AW5&gt;'Project Assumptions'!$D$15,IF(AW5&lt;='Project Assumptions'!$D$15+'Project Assumptions'!$D$16,-'Detailed Project Costs'!$F$67/'Project Assumptions'!$D$16,0),0)+IF('Project Assumptions'!$D$16=0,IF(AW5='Project Assumptions'!$D$15,-'Detailed Project Costs'!$F$67,0),0)</f>
        <v/>
      </c>
      <c r="AX103" s="293">
        <f>IF(AX5&gt;'Project Assumptions'!$D$15,IF(AX5&lt;='Project Assumptions'!$D$15+'Project Assumptions'!$D$16,-'Detailed Project Costs'!$F$67/'Project Assumptions'!$D$16,0),0)+IF('Project Assumptions'!$D$16=0,IF(AX5='Project Assumptions'!$D$15,-'Detailed Project Costs'!$F$67,0),0)</f>
        <v/>
      </c>
      <c r="AY103" s="293">
        <f>IF(AY5&gt;'Project Assumptions'!$D$15,IF(AY5&lt;='Project Assumptions'!$D$15+'Project Assumptions'!$D$16,-'Detailed Project Costs'!$F$67/'Project Assumptions'!$D$16,0),0)+IF('Project Assumptions'!$D$16=0,IF(AY5='Project Assumptions'!$D$15,-'Detailed Project Costs'!$F$67,0),0)</f>
        <v/>
      </c>
      <c r="AZ103" s="293">
        <f>IF(AZ5&gt;'Project Assumptions'!$D$15,IF(AZ5&lt;='Project Assumptions'!$D$15+'Project Assumptions'!$D$16,-'Detailed Project Costs'!$F$67/'Project Assumptions'!$D$16,0),0)+IF('Project Assumptions'!$D$16=0,IF(AZ5='Project Assumptions'!$D$15,-'Detailed Project Costs'!$F$67,0),0)</f>
        <v/>
      </c>
      <c r="BA103" s="293">
        <f>IF(BA5&gt;'Project Assumptions'!$D$15,IF(BA5&lt;='Project Assumptions'!$D$15+'Project Assumptions'!$D$16,-'Detailed Project Costs'!$F$67/'Project Assumptions'!$D$16,0),0)+IF('Project Assumptions'!$D$16=0,IF(BA5='Project Assumptions'!$D$15,-'Detailed Project Costs'!$F$67,0),0)</f>
        <v/>
      </c>
      <c r="BB103" s="293">
        <f>IF(BB5&gt;'Project Assumptions'!$D$15,IF(BB5&lt;='Project Assumptions'!$D$15+'Project Assumptions'!$D$16,-'Detailed Project Costs'!$F$67/'Project Assumptions'!$D$16,0),0)+IF('Project Assumptions'!$D$16=0,IF(BB5='Project Assumptions'!$D$15,-'Detailed Project Costs'!$F$67,0),0)</f>
        <v/>
      </c>
      <c r="BC103" s="293">
        <f>IF(BC5&gt;'Project Assumptions'!$D$15,IF(BC5&lt;='Project Assumptions'!$D$15+'Project Assumptions'!$D$16,-'Detailed Project Costs'!$F$67/'Project Assumptions'!$D$16,0),0)+IF('Project Assumptions'!$D$16=0,IF(BC5='Project Assumptions'!$D$15,-'Detailed Project Costs'!$F$67,0),0)</f>
        <v/>
      </c>
      <c r="BD103" s="293">
        <f>IF(BD5&gt;'Project Assumptions'!$D$15,IF(BD5&lt;='Project Assumptions'!$D$15+'Project Assumptions'!$D$16,-'Detailed Project Costs'!$F$67/'Project Assumptions'!$D$16,0),0)+IF('Project Assumptions'!$D$16=0,IF(BD5='Project Assumptions'!$D$15,-'Detailed Project Costs'!$F$67,0),0)</f>
        <v/>
      </c>
      <c r="BE103" s="293">
        <f>IF(BE5&gt;'Project Assumptions'!$D$15,IF(BE5&lt;='Project Assumptions'!$D$15+'Project Assumptions'!$D$16,-'Detailed Project Costs'!$F$67/'Project Assumptions'!$D$16,0),0)+IF('Project Assumptions'!$D$16=0,IF(BE5='Project Assumptions'!$D$15,-'Detailed Project Costs'!$F$67,0),0)</f>
        <v/>
      </c>
      <c r="BF103" s="293">
        <f>IF(BF5&gt;'Project Assumptions'!$D$15,IF(BF5&lt;='Project Assumptions'!$D$15+'Project Assumptions'!$D$16,-'Detailed Project Costs'!$F$67/'Project Assumptions'!$D$16,0),0)+IF('Project Assumptions'!$D$16=0,IF(BF5='Project Assumptions'!$D$15,-'Detailed Project Costs'!$F$67,0),0)</f>
        <v/>
      </c>
      <c r="BG103" s="293">
        <f>IF(BG5&gt;'Project Assumptions'!$D$15,IF(BG5&lt;='Project Assumptions'!$D$15+'Project Assumptions'!$D$16,-'Detailed Project Costs'!$F$67/'Project Assumptions'!$D$16,0),0)+IF('Project Assumptions'!$D$16=0,IF(BG5='Project Assumptions'!$D$15,-'Detailed Project Costs'!$F$67,0),0)</f>
        <v/>
      </c>
      <c r="BH103" s="293">
        <f>IF(BH5&gt;'Project Assumptions'!$D$15,IF(BH5&lt;='Project Assumptions'!$D$15+'Project Assumptions'!$D$16,-'Detailed Project Costs'!$F$67/'Project Assumptions'!$D$16,0),0)+IF('Project Assumptions'!$D$16=0,IF(BH5='Project Assumptions'!$D$15,-'Detailed Project Costs'!$F$67,0),0)</f>
        <v/>
      </c>
      <c r="BI103" s="293">
        <f>IF(BI5&gt;'Project Assumptions'!$D$15,IF(BI5&lt;='Project Assumptions'!$D$15+'Project Assumptions'!$D$16,-'Detailed Project Costs'!$F$67/'Project Assumptions'!$D$16,0),0)+IF('Project Assumptions'!$D$16=0,IF(BI5='Project Assumptions'!$D$15,-'Detailed Project Costs'!$F$67,0),0)</f>
        <v/>
      </c>
      <c r="BJ103" s="293">
        <f>IF(BJ5&gt;'Project Assumptions'!$D$15,IF(BJ5&lt;='Project Assumptions'!$D$15+'Project Assumptions'!$D$16,-'Detailed Project Costs'!$F$67/'Project Assumptions'!$D$16,0),0)+IF('Project Assumptions'!$D$16=0,IF(BJ5='Project Assumptions'!$D$15,-'Detailed Project Costs'!$F$67,0),0)</f>
        <v/>
      </c>
      <c r="BK103" s="293">
        <f>IF(BK5&gt;'Project Assumptions'!$D$15,IF(BK5&lt;='Project Assumptions'!$D$15+'Project Assumptions'!$D$16,-'Detailed Project Costs'!$F$67/'Project Assumptions'!$D$16,0),0)+IF('Project Assumptions'!$D$16=0,IF(BK5='Project Assumptions'!$D$15,-'Detailed Project Costs'!$F$67,0),0)</f>
        <v/>
      </c>
      <c r="BL103" s="293">
        <f>IF(BL5&gt;'Project Assumptions'!$D$15,IF(BL5&lt;='Project Assumptions'!$D$15+'Project Assumptions'!$D$16,-'Detailed Project Costs'!$F$67/'Project Assumptions'!$D$16,0),0)+IF('Project Assumptions'!$D$16=0,IF(BL5='Project Assumptions'!$D$15,-'Detailed Project Costs'!$F$67,0),0)</f>
        <v/>
      </c>
      <c r="BM103" s="293">
        <f>IF(BM5&gt;'Project Assumptions'!$D$15,IF(BM5&lt;='Project Assumptions'!$D$15+'Project Assumptions'!$D$16,-'Detailed Project Costs'!$F$67/'Project Assumptions'!$D$16,0),0)+IF('Project Assumptions'!$D$16=0,IF(BM5='Project Assumptions'!$D$15,-'Detailed Project Costs'!$F$67,0),0)</f>
        <v/>
      </c>
      <c r="BN103" s="293">
        <f>IF(BN5&gt;'Project Assumptions'!$D$15,IF(BN5&lt;='Project Assumptions'!$D$15+'Project Assumptions'!$D$16,-'Detailed Project Costs'!$F$67/'Project Assumptions'!$D$16,0),0)+IF('Project Assumptions'!$D$16=0,IF(BN5='Project Assumptions'!$D$15,-'Detailed Project Costs'!$F$67,0),0)</f>
        <v/>
      </c>
      <c r="BO103" s="293">
        <f>IF(BO5&gt;'Project Assumptions'!$D$15,IF(BO5&lt;='Project Assumptions'!$D$15+'Project Assumptions'!$D$16,-'Detailed Project Costs'!$F$67/'Project Assumptions'!$D$16,0),0)+IF('Project Assumptions'!$D$16=0,IF(BO5='Project Assumptions'!$D$15,-'Detailed Project Costs'!$F$67,0),0)</f>
        <v/>
      </c>
      <c r="BP103" s="293">
        <f>IF(BP5&gt;'Project Assumptions'!$D$15,IF(BP5&lt;='Project Assumptions'!$D$15+'Project Assumptions'!$D$16,-'Detailed Project Costs'!$F$67/'Project Assumptions'!$D$16,0),0)+IF('Project Assumptions'!$D$16=0,IF(BP5='Project Assumptions'!$D$15,-'Detailed Project Costs'!$F$67,0),0)</f>
        <v/>
      </c>
      <c r="BQ103" s="293">
        <f>IF(BQ5&gt;'Project Assumptions'!$D$15,IF(BQ5&lt;='Project Assumptions'!$D$15+'Project Assumptions'!$D$16,-'Detailed Project Costs'!$F$67/'Project Assumptions'!$D$16,0),0)+IF('Project Assumptions'!$D$16=0,IF(BQ5='Project Assumptions'!$D$15,-'Detailed Project Costs'!$F$67,0),0)</f>
        <v/>
      </c>
      <c r="BR103" s="293">
        <f>IF(BR5&gt;'Project Assumptions'!$D$15,IF(BR5&lt;='Project Assumptions'!$D$15+'Project Assumptions'!$D$16,-'Detailed Project Costs'!$F$67/'Project Assumptions'!$D$16,0),0)+IF('Project Assumptions'!$D$16=0,IF(BR5='Project Assumptions'!$D$15,-'Detailed Project Costs'!$F$67,0),0)</f>
        <v/>
      </c>
      <c r="BS103" s="293">
        <f>IF(BS5&gt;'Project Assumptions'!$D$15,IF(BS5&lt;='Project Assumptions'!$D$15+'Project Assumptions'!$D$16,-'Detailed Project Costs'!$F$67/'Project Assumptions'!$D$16,0),0)+IF('Project Assumptions'!$D$16=0,IF(BS5='Project Assumptions'!$D$15,-'Detailed Project Costs'!$F$67,0),0)</f>
        <v/>
      </c>
      <c r="BT103" s="293">
        <f>IF(BT5&gt;'Project Assumptions'!$D$15,IF(BT5&lt;='Project Assumptions'!$D$15+'Project Assumptions'!$D$16,-'Detailed Project Costs'!$F$67/'Project Assumptions'!$D$16,0),0)+IF('Project Assumptions'!$D$16=0,IF(BT5='Project Assumptions'!$D$15,-'Detailed Project Costs'!$F$67,0),0)</f>
        <v/>
      </c>
      <c r="BU103" s="293">
        <f>IF(BU5&gt;'Project Assumptions'!$D$15,IF(BU5&lt;='Project Assumptions'!$D$15+'Project Assumptions'!$D$16,-'Detailed Project Costs'!$F$67/'Project Assumptions'!$D$16,0),0)+IF('Project Assumptions'!$D$16=0,IF(BU5='Project Assumptions'!$D$15,-'Detailed Project Costs'!$F$67,0),0)</f>
        <v/>
      </c>
      <c r="BV103" s="293">
        <f>IF(BV5&gt;'Project Assumptions'!$D$15,IF(BV5&lt;='Project Assumptions'!$D$15+'Project Assumptions'!$D$16,-'Detailed Project Costs'!$F$67/'Project Assumptions'!$D$16,0),0)+IF('Project Assumptions'!$D$16=0,IF(BV5='Project Assumptions'!$D$15,-'Detailed Project Costs'!$F$67,0),0)</f>
        <v/>
      </c>
      <c r="BW103" s="293">
        <f>IF(BW5&gt;'Project Assumptions'!$D$15,IF(BW5&lt;='Project Assumptions'!$D$15+'Project Assumptions'!$D$16,-'Detailed Project Costs'!$F$67/'Project Assumptions'!$D$16,0),0)+IF('Project Assumptions'!$D$16=0,IF(BW5='Project Assumptions'!$D$15,-'Detailed Project Costs'!$F$67,0),0)</f>
        <v/>
      </c>
      <c r="BX103" s="293">
        <f>IF(BX5&gt;'Project Assumptions'!$D$15,IF(BX5&lt;='Project Assumptions'!$D$15+'Project Assumptions'!$D$16,-'Detailed Project Costs'!$F$67/'Project Assumptions'!$D$16,0),0)+IF('Project Assumptions'!$D$16=0,IF(BX5='Project Assumptions'!$D$15,-'Detailed Project Costs'!$F$67,0),0)</f>
        <v/>
      </c>
      <c r="BY103" s="293">
        <f>IF(BY5&gt;'Project Assumptions'!$D$15,IF(BY5&lt;='Project Assumptions'!$D$15+'Project Assumptions'!$D$16,-'Detailed Project Costs'!$F$67/'Project Assumptions'!$D$16,0),0)+IF('Project Assumptions'!$D$16=0,IF(BY5='Project Assumptions'!$D$15,-'Detailed Project Costs'!$F$67,0),0)</f>
        <v/>
      </c>
      <c r="BZ103" s="293">
        <f>IF(BZ5&gt;'Project Assumptions'!$D$15,IF(BZ5&lt;='Project Assumptions'!$D$15+'Project Assumptions'!$D$16,-'Detailed Project Costs'!$F$67/'Project Assumptions'!$D$16,0),0)+IF('Project Assumptions'!$D$16=0,IF(BZ5='Project Assumptions'!$D$15,-'Detailed Project Costs'!$F$67,0),0)</f>
        <v/>
      </c>
      <c r="CA103" s="293">
        <f>IF(CA5&gt;'Project Assumptions'!$D$15,IF(CA5&lt;='Project Assumptions'!$D$15+'Project Assumptions'!$D$16,-'Detailed Project Costs'!$F$67/'Project Assumptions'!$D$16,0),0)+IF('Project Assumptions'!$D$16=0,IF(CA5='Project Assumptions'!$D$15,-'Detailed Project Costs'!$F$67,0),0)</f>
        <v/>
      </c>
      <c r="CB103" s="293">
        <f>IF(CB5&gt;'Project Assumptions'!$D$15,IF(CB5&lt;='Project Assumptions'!$D$15+'Project Assumptions'!$D$16,-'Detailed Project Costs'!$F$67/'Project Assumptions'!$D$16,0),0)+IF('Project Assumptions'!$D$16=0,IF(CB5='Project Assumptions'!$D$15,-'Detailed Project Costs'!$F$67,0),0)</f>
        <v/>
      </c>
      <c r="CC103" s="293">
        <f>IF(CC5&gt;'Project Assumptions'!$D$15,IF(CC5&lt;='Project Assumptions'!$D$15+'Project Assumptions'!$D$16,-'Detailed Project Costs'!$F$67/'Project Assumptions'!$D$16,0),0)+IF('Project Assumptions'!$D$16=0,IF(CC5='Project Assumptions'!$D$15,-'Detailed Project Costs'!$F$67,0),0)</f>
        <v/>
      </c>
      <c r="CD103" s="293">
        <f>IF(CD5&gt;'Project Assumptions'!$D$15,IF(CD5&lt;='Project Assumptions'!$D$15+'Project Assumptions'!$D$16,-'Detailed Project Costs'!$F$67/'Project Assumptions'!$D$16,0),0)+IF('Project Assumptions'!$D$16=0,IF(CD5='Project Assumptions'!$D$15,-'Detailed Project Costs'!$F$67,0),0)</f>
        <v/>
      </c>
      <c r="CE103" s="293">
        <f>IF(CE5&gt;'Project Assumptions'!$D$15,IF(CE5&lt;='Project Assumptions'!$D$15+'Project Assumptions'!$D$16,-'Detailed Project Costs'!$F$67/'Project Assumptions'!$D$16,0),0)+IF('Project Assumptions'!$D$16=0,IF(CE5='Project Assumptions'!$D$15,-'Detailed Project Costs'!$F$67,0),0)</f>
        <v/>
      </c>
      <c r="CF103" s="293">
        <f>IF(CF5&gt;'Project Assumptions'!$D$15,IF(CF5&lt;='Project Assumptions'!$D$15+'Project Assumptions'!$D$16,-'Detailed Project Costs'!$F$67/'Project Assumptions'!$D$16,0),0)+IF('Project Assumptions'!$D$16=0,IF(CF5='Project Assumptions'!$D$15,-'Detailed Project Costs'!$F$67,0),0)</f>
        <v/>
      </c>
      <c r="CG103" s="293">
        <f>IF(CG5&gt;'Project Assumptions'!$D$15,IF(CG5&lt;='Project Assumptions'!$D$15+'Project Assumptions'!$D$16,-'Detailed Project Costs'!$F$67/'Project Assumptions'!$D$16,0),0)+IF('Project Assumptions'!$D$16=0,IF(CG5='Project Assumptions'!$D$15,-'Detailed Project Costs'!$F$67,0),0)</f>
        <v/>
      </c>
      <c r="CH103" s="293">
        <f>IF(CH5&gt;'Project Assumptions'!$D$15,IF(CH5&lt;='Project Assumptions'!$D$15+'Project Assumptions'!$D$16,-'Detailed Project Costs'!$F$67/'Project Assumptions'!$D$16,0),0)+IF('Project Assumptions'!$D$16=0,IF(CH5='Project Assumptions'!$D$15,-'Detailed Project Costs'!$F$67,0),0)</f>
        <v/>
      </c>
      <c r="CI103" s="293">
        <f>IF(CI5&gt;'Project Assumptions'!$D$15,IF(CI5&lt;='Project Assumptions'!$D$15+'Project Assumptions'!$D$16,-'Detailed Project Costs'!$F$67/'Project Assumptions'!$D$16,0),0)+IF('Project Assumptions'!$D$16=0,IF(CI5='Project Assumptions'!$D$15,-'Detailed Project Costs'!$F$67,0),0)</f>
        <v/>
      </c>
      <c r="CJ103" s="293">
        <f>IF(CJ5&gt;'Project Assumptions'!$D$15,IF(CJ5&lt;='Project Assumptions'!$D$15+'Project Assumptions'!$D$16,-'Detailed Project Costs'!$F$67/'Project Assumptions'!$D$16,0),0)+IF('Project Assumptions'!$D$16=0,IF(CJ5='Project Assumptions'!$D$15,-'Detailed Project Costs'!$F$67,0),0)</f>
        <v/>
      </c>
      <c r="CK103" s="293">
        <f>IF(CK5&gt;'Project Assumptions'!$D$15,IF(CK5&lt;='Project Assumptions'!$D$15+'Project Assumptions'!$D$16,-'Detailed Project Costs'!$F$67/'Project Assumptions'!$D$16,0),0)+IF('Project Assumptions'!$D$16=0,IF(CK5='Project Assumptions'!$D$15,-'Detailed Project Costs'!$F$67,0),0)</f>
        <v/>
      </c>
      <c r="CL103" s="293">
        <f>IF(CL5&gt;'Project Assumptions'!$D$15,IF(CL5&lt;='Project Assumptions'!$D$15+'Project Assumptions'!$D$16,-'Detailed Project Costs'!$F$67/'Project Assumptions'!$D$16,0),0)+IF('Project Assumptions'!$D$16=0,IF(CL5='Project Assumptions'!$D$15,-'Detailed Project Costs'!$F$67,0),0)</f>
        <v/>
      </c>
      <c r="CM103" s="293">
        <f>IF(CM5&gt;'Project Assumptions'!$D$15,IF(CM5&lt;='Project Assumptions'!$D$15+'Project Assumptions'!$D$16,-'Detailed Project Costs'!$F$67/'Project Assumptions'!$D$16,0),0)+IF('Project Assumptions'!$D$16=0,IF(CM5='Project Assumptions'!$D$15,-'Detailed Project Costs'!$F$67,0),0)</f>
        <v/>
      </c>
      <c r="CN103" s="293">
        <f>IF(CN5&gt;'Project Assumptions'!$D$15,IF(CN5&lt;='Project Assumptions'!$D$15+'Project Assumptions'!$D$16,-'Detailed Project Costs'!$F$67/'Project Assumptions'!$D$16,0),0)+IF('Project Assumptions'!$D$16=0,IF(CN5='Project Assumptions'!$D$15,-'Detailed Project Costs'!$F$67,0),0)</f>
        <v/>
      </c>
      <c r="CO103" s="293">
        <f>IF(CO5&gt;'Project Assumptions'!$D$15,IF(CO5&lt;='Project Assumptions'!$D$15+'Project Assumptions'!$D$16,-'Detailed Project Costs'!$F$67/'Project Assumptions'!$D$16,0),0)+IF('Project Assumptions'!$D$16=0,IF(CO5='Project Assumptions'!$D$15,-'Detailed Project Costs'!$F$67,0),0)</f>
        <v/>
      </c>
      <c r="CP103" s="293">
        <f>IF(CP5&gt;'Project Assumptions'!$D$15,IF(CP5&lt;='Project Assumptions'!$D$15+'Project Assumptions'!$D$16,-'Detailed Project Costs'!$F$67/'Project Assumptions'!$D$16,0),0)+IF('Project Assumptions'!$D$16=0,IF(CP5='Project Assumptions'!$D$15,-'Detailed Project Costs'!$F$67,0),0)</f>
        <v/>
      </c>
      <c r="CQ103" s="293">
        <f>IF(CQ5&gt;'Project Assumptions'!$D$15,IF(CQ5&lt;='Project Assumptions'!$D$15+'Project Assumptions'!$D$16,-'Detailed Project Costs'!$F$67/'Project Assumptions'!$D$16,0),0)+IF('Project Assumptions'!$D$16=0,IF(CQ5='Project Assumptions'!$D$15,-'Detailed Project Costs'!$F$67,0),0)</f>
        <v/>
      </c>
      <c r="CR103" s="293">
        <f>IF(CR5&gt;'Project Assumptions'!$D$15,IF(CR5&lt;='Project Assumptions'!$D$15+'Project Assumptions'!$D$16,-'Detailed Project Costs'!$F$67/'Project Assumptions'!$D$16,0),0)+IF('Project Assumptions'!$D$16=0,IF(CR5='Project Assumptions'!$D$15,-'Detailed Project Costs'!$F$67,0),0)</f>
        <v/>
      </c>
      <c r="CS103" s="293">
        <f>IF(CS5&gt;'Project Assumptions'!$D$15,IF(CS5&lt;='Project Assumptions'!$D$15+'Project Assumptions'!$D$16,-'Detailed Project Costs'!$F$67/'Project Assumptions'!$D$16,0),0)+IF('Project Assumptions'!$D$16=0,IF(CS5='Project Assumptions'!$D$15,-'Detailed Project Costs'!$F$67,0),0)</f>
        <v/>
      </c>
      <c r="CT103" s="293">
        <f>IF(CT5&gt;'Project Assumptions'!$D$15,IF(CT5&lt;='Project Assumptions'!$D$15+'Project Assumptions'!$D$16,-'Detailed Project Costs'!$F$67/'Project Assumptions'!$D$16,0),0)+IF('Project Assumptions'!$D$16=0,IF(CT5='Project Assumptions'!$D$15,-'Detailed Project Costs'!$F$67,0),0)</f>
        <v/>
      </c>
      <c r="CU103" s="293">
        <f>IF(CU5&gt;'Project Assumptions'!$D$15,IF(CU5&lt;='Project Assumptions'!$D$15+'Project Assumptions'!$D$16,-'Detailed Project Costs'!$F$67/'Project Assumptions'!$D$16,0),0)+IF('Project Assumptions'!$D$16=0,IF(CU5='Project Assumptions'!$D$15,-'Detailed Project Costs'!$F$67,0),0)</f>
        <v/>
      </c>
      <c r="CV103" s="293">
        <f>IF(CV5&gt;'Project Assumptions'!$D$15,IF(CV5&lt;='Project Assumptions'!$D$15+'Project Assumptions'!$D$16,-'Detailed Project Costs'!$F$67/'Project Assumptions'!$D$16,0),0)+IF('Project Assumptions'!$D$16=0,IF(CV5='Project Assumptions'!$D$15,-'Detailed Project Costs'!$F$67,0),0)</f>
        <v/>
      </c>
      <c r="CW103" s="293">
        <f>IF(CW5&gt;'Project Assumptions'!$D$15,IF(CW5&lt;='Project Assumptions'!$D$15+'Project Assumptions'!$D$16,-'Detailed Project Costs'!$F$67/'Project Assumptions'!$D$16,0),0)+IF('Project Assumptions'!$D$16=0,IF(CW5='Project Assumptions'!$D$15,-'Detailed Project Costs'!$F$67,0),0)</f>
        <v/>
      </c>
      <c r="CX103" s="293">
        <f>IF(CX5&gt;'Project Assumptions'!$D$15,IF(CX5&lt;='Project Assumptions'!$D$15+'Project Assumptions'!$D$16,-'Detailed Project Costs'!$F$67/'Project Assumptions'!$D$16,0),0)+IF('Project Assumptions'!$D$16=0,IF(CX5='Project Assumptions'!$D$15,-'Detailed Project Costs'!$F$67,0),0)</f>
        <v/>
      </c>
      <c r="CY103" s="293">
        <f>IF(CY5&gt;'Project Assumptions'!$D$15,IF(CY5&lt;='Project Assumptions'!$D$15+'Project Assumptions'!$D$16,-'Detailed Project Costs'!$F$67/'Project Assumptions'!$D$16,0),0)+IF('Project Assumptions'!$D$16=0,IF(CY5='Project Assumptions'!$D$15,-'Detailed Project Costs'!$F$67,0),0)</f>
        <v/>
      </c>
      <c r="CZ103" s="293">
        <f>IF(CZ5&gt;'Project Assumptions'!$D$15,IF(CZ5&lt;='Project Assumptions'!$D$15+'Project Assumptions'!$D$16,-'Detailed Project Costs'!$F$67/'Project Assumptions'!$D$16,0),0)+IF('Project Assumptions'!$D$16=0,IF(CZ5='Project Assumptions'!$D$15,-'Detailed Project Costs'!$F$67,0),0)</f>
        <v/>
      </c>
      <c r="DA103" s="293">
        <f>IF(DA5&gt;'Project Assumptions'!$D$15,IF(DA5&lt;='Project Assumptions'!$D$15+'Project Assumptions'!$D$16,-'Detailed Project Costs'!$F$67/'Project Assumptions'!$D$16,0),0)+IF('Project Assumptions'!$D$16=0,IF(DA5='Project Assumptions'!$D$15,-'Detailed Project Costs'!$F$67,0),0)</f>
        <v/>
      </c>
      <c r="DB103" s="293">
        <f>IF(DB5&gt;'Project Assumptions'!$D$15,IF(DB5&lt;='Project Assumptions'!$D$15+'Project Assumptions'!$D$16,-'Detailed Project Costs'!$F$67/'Project Assumptions'!$D$16,0),0)+IF('Project Assumptions'!$D$16=0,IF(DB5='Project Assumptions'!$D$15,-'Detailed Project Costs'!$F$67,0),0)</f>
        <v/>
      </c>
      <c r="DC103" s="293" t="n"/>
      <c r="DD103" s="292">
        <f>SUM(F103:DB103)</f>
        <v/>
      </c>
    </row>
    <row r="104">
      <c r="A104" s="1005" t="n"/>
      <c r="B104" s="310" t="inlineStr">
        <is>
          <t xml:space="preserve">   Contingency - Soft Costs</t>
        </is>
      </c>
      <c r="C104" s="337" t="n"/>
      <c r="D104" s="297">
        <f>DD104</f>
        <v/>
      </c>
      <c r="E104" s="276" t="n"/>
      <c r="F104" s="890">
        <f>IF(F5&gt;'Project Assumptions'!$D$15,IF(F5&lt;='Project Assumptions'!$D$15+'Project Assumptions'!$D$16,-'Detailed Project Costs'!$F$68/'Project Assumptions'!$D$16,0),0)+IF('Project Assumptions'!$D$16=0,IF(F5='Project Assumptions'!$D$15,-'Detailed Project Costs'!$F$68,0),0)</f>
        <v/>
      </c>
      <c r="G104" s="890">
        <f>IF(G5&gt;'Project Assumptions'!$D$15,IF(G5&lt;='Project Assumptions'!$D$15+'Project Assumptions'!$D$16,-'Detailed Project Costs'!$F$68/'Project Assumptions'!$D$16,0),0)+IF('Project Assumptions'!$D$16=0,IF(G5='Project Assumptions'!$D$15,-'Detailed Project Costs'!$F$68,0),0)</f>
        <v/>
      </c>
      <c r="H104" s="890">
        <f>IF(H5&gt;'Project Assumptions'!$D$15,IF(H5&lt;='Project Assumptions'!$D$15+'Project Assumptions'!$D$16,-'Detailed Project Costs'!$F$68/'Project Assumptions'!$D$16,0),0)+IF('Project Assumptions'!$D$16=0,IF(H5='Project Assumptions'!$D$15,-'Detailed Project Costs'!$F$68,0),0)</f>
        <v/>
      </c>
      <c r="I104" s="890">
        <f>IF(I5&gt;'Project Assumptions'!$D$15,IF(I5&lt;='Project Assumptions'!$D$15+'Project Assumptions'!$D$16,-'Detailed Project Costs'!$F$68/'Project Assumptions'!$D$16,0),0)+IF('Project Assumptions'!$D$16=0,IF(I5='Project Assumptions'!$D$15,-'Detailed Project Costs'!$F$68,0),0)</f>
        <v/>
      </c>
      <c r="J104" s="890">
        <f>IF(J5&gt;'Project Assumptions'!$D$15,IF(J5&lt;='Project Assumptions'!$D$15+'Project Assumptions'!$D$16,-'Detailed Project Costs'!$F$68/'Project Assumptions'!$D$16,0),0)+IF('Project Assumptions'!$D$16=0,IF(J5='Project Assumptions'!$D$15,-'Detailed Project Costs'!$F$68,0),0)</f>
        <v/>
      </c>
      <c r="K104" s="890">
        <f>IF(K5&gt;'Project Assumptions'!$D$15,IF(K5&lt;='Project Assumptions'!$D$15+'Project Assumptions'!$D$16,-'Detailed Project Costs'!$F$68/'Project Assumptions'!$D$16,0),0)+IF('Project Assumptions'!$D$16=0,IF(K5='Project Assumptions'!$D$15,-'Detailed Project Costs'!$F$68,0),0)</f>
        <v/>
      </c>
      <c r="L104" s="890">
        <f>IF(L5&gt;'Project Assumptions'!$D$15,IF(L5&lt;='Project Assumptions'!$D$15+'Project Assumptions'!$D$16,-'Detailed Project Costs'!$F$68/'Project Assumptions'!$D$16,0),0)+IF('Project Assumptions'!$D$16=0,IF(L5='Project Assumptions'!$D$15,-'Detailed Project Costs'!$F$68,0),0)</f>
        <v/>
      </c>
      <c r="M104" s="890">
        <f>IF(M5&gt;'Project Assumptions'!$D$15,IF(M5&lt;='Project Assumptions'!$D$15+'Project Assumptions'!$D$16,-'Detailed Project Costs'!$F$68/'Project Assumptions'!$D$16,0),0)+IF('Project Assumptions'!$D$16=0,IF(M5='Project Assumptions'!$D$15,-'Detailed Project Costs'!$F$68,0),0)</f>
        <v/>
      </c>
      <c r="N104" s="890">
        <f>IF(N5&gt;'Project Assumptions'!$D$15,IF(N5&lt;='Project Assumptions'!$D$15+'Project Assumptions'!$D$16,-'Detailed Project Costs'!$F$68/'Project Assumptions'!$D$16,0),0)+IF('Project Assumptions'!$D$16=0,IF(N5='Project Assumptions'!$D$15,-'Detailed Project Costs'!$F$68,0),0)</f>
        <v/>
      </c>
      <c r="O104" s="890">
        <f>IF(O5&gt;'Project Assumptions'!$D$15,IF(O5&lt;='Project Assumptions'!$D$15+'Project Assumptions'!$D$16,-'Detailed Project Costs'!$F$68/'Project Assumptions'!$D$16,0),0)+IF('Project Assumptions'!$D$16=0,IF(O5='Project Assumptions'!$D$15,-'Detailed Project Costs'!$F$68,0),0)</f>
        <v/>
      </c>
      <c r="P104" s="890">
        <f>IF(P5&gt;'Project Assumptions'!$D$15,IF(P5&lt;='Project Assumptions'!$D$15+'Project Assumptions'!$D$16,-'Detailed Project Costs'!$F$68/'Project Assumptions'!$D$16,0),0)+IF('Project Assumptions'!$D$16=0,IF(P5='Project Assumptions'!$D$15,-'Detailed Project Costs'!$F$68,0),0)</f>
        <v/>
      </c>
      <c r="Q104" s="890">
        <f>IF(Q5&gt;'Project Assumptions'!$D$15,IF(Q5&lt;='Project Assumptions'!$D$15+'Project Assumptions'!$D$16,-'Detailed Project Costs'!$F$68/'Project Assumptions'!$D$16,0),0)+IF('Project Assumptions'!$D$16=0,IF(Q5='Project Assumptions'!$D$15,-'Detailed Project Costs'!$F$68,0),0)</f>
        <v/>
      </c>
      <c r="R104" s="890">
        <f>IF(R5&gt;'Project Assumptions'!$D$15,IF(R5&lt;='Project Assumptions'!$D$15+'Project Assumptions'!$D$16,-'Detailed Project Costs'!$F$68/'Project Assumptions'!$D$16,0),0)+IF('Project Assumptions'!$D$16=0,IF(R5='Project Assumptions'!$D$15,-'Detailed Project Costs'!$F$68,0),0)</f>
        <v/>
      </c>
      <c r="S104" s="890">
        <f>IF(S5&gt;'Project Assumptions'!$D$15,IF(S5&lt;='Project Assumptions'!$D$15+'Project Assumptions'!$D$16,-'Detailed Project Costs'!$F$68/'Project Assumptions'!$D$16,0),0)+IF('Project Assumptions'!$D$16=0,IF(S5='Project Assumptions'!$D$15,-'Detailed Project Costs'!$F$68,0),0)</f>
        <v/>
      </c>
      <c r="T104" s="890">
        <f>IF(T5&gt;'Project Assumptions'!$D$15,IF(T5&lt;='Project Assumptions'!$D$15+'Project Assumptions'!$D$16,-'Detailed Project Costs'!$F$68/'Project Assumptions'!$D$16,0),0)+IF('Project Assumptions'!$D$16=0,IF(T5='Project Assumptions'!$D$15,-'Detailed Project Costs'!$F$68,0),0)</f>
        <v/>
      </c>
      <c r="U104" s="890">
        <f>IF(U5&gt;'Project Assumptions'!$D$15,IF(U5&lt;='Project Assumptions'!$D$15+'Project Assumptions'!$D$16,-'Detailed Project Costs'!$F$68/'Project Assumptions'!$D$16,0),0)+IF('Project Assumptions'!$D$16=0,IF(U5='Project Assumptions'!$D$15,-'Detailed Project Costs'!$F$68,0),0)</f>
        <v/>
      </c>
      <c r="V104" s="890">
        <f>IF(V5&gt;'Project Assumptions'!$D$15,IF(V5&lt;='Project Assumptions'!$D$15+'Project Assumptions'!$D$16,-'Detailed Project Costs'!$F$68/'Project Assumptions'!$D$16,0),0)+IF('Project Assumptions'!$D$16=0,IF(V5='Project Assumptions'!$D$15,-'Detailed Project Costs'!$F$68,0),0)</f>
        <v/>
      </c>
      <c r="W104" s="890">
        <f>IF(W5&gt;'Project Assumptions'!$D$15,IF(W5&lt;='Project Assumptions'!$D$15+'Project Assumptions'!$D$16,-'Detailed Project Costs'!$F$68/'Project Assumptions'!$D$16,0),0)+IF('Project Assumptions'!$D$16=0,IF(W5='Project Assumptions'!$D$15,-'Detailed Project Costs'!$F$68,0),0)</f>
        <v/>
      </c>
      <c r="X104" s="890">
        <f>IF(X5&gt;'Project Assumptions'!$D$15,IF(X5&lt;='Project Assumptions'!$D$15+'Project Assumptions'!$D$16,-'Detailed Project Costs'!$F$68/'Project Assumptions'!$D$16,0),0)+IF('Project Assumptions'!$D$16=0,IF(X5='Project Assumptions'!$D$15,-'Detailed Project Costs'!$F$68,0),0)</f>
        <v/>
      </c>
      <c r="Y104" s="890">
        <f>IF(Y5&gt;'Project Assumptions'!$D$15,IF(Y5&lt;='Project Assumptions'!$D$15+'Project Assumptions'!$D$16,-'Detailed Project Costs'!$F$68/'Project Assumptions'!$D$16,0),0)+IF('Project Assumptions'!$D$16=0,IF(Y5='Project Assumptions'!$D$15,-'Detailed Project Costs'!$F$68,0),0)</f>
        <v/>
      </c>
      <c r="Z104" s="890">
        <f>IF(Z5&gt;'Project Assumptions'!$D$15,IF(Z5&lt;='Project Assumptions'!$D$15+'Project Assumptions'!$D$16,-'Detailed Project Costs'!$F$68/'Project Assumptions'!$D$16,0),0)+IF('Project Assumptions'!$D$16=0,IF(Z5='Project Assumptions'!$D$15,-'Detailed Project Costs'!$F$68,0),0)</f>
        <v/>
      </c>
      <c r="AA104" s="890">
        <f>IF(AA5&gt;'Project Assumptions'!$D$15,IF(AA5&lt;='Project Assumptions'!$D$15+'Project Assumptions'!$D$16,-'Detailed Project Costs'!$F$68/'Project Assumptions'!$D$16,0),0)+IF('Project Assumptions'!$D$16=0,IF(AA5='Project Assumptions'!$D$15,-'Detailed Project Costs'!$F$68,0),0)</f>
        <v/>
      </c>
      <c r="AB104" s="890">
        <f>IF(AB5&gt;'Project Assumptions'!$D$15,IF(AB5&lt;='Project Assumptions'!$D$15+'Project Assumptions'!$D$16,-'Detailed Project Costs'!$F$68/'Project Assumptions'!$D$16,0),0)+IF('Project Assumptions'!$D$16=0,IF(AB5='Project Assumptions'!$D$15,-'Detailed Project Costs'!$F$68,0),0)</f>
        <v/>
      </c>
      <c r="AC104" s="890">
        <f>IF(AC5&gt;'Project Assumptions'!$D$15,IF(AC5&lt;='Project Assumptions'!$D$15+'Project Assumptions'!$D$16,-'Detailed Project Costs'!$F$68/'Project Assumptions'!$D$16,0),0)+IF('Project Assumptions'!$D$16=0,IF(AC5='Project Assumptions'!$D$15,-'Detailed Project Costs'!$F$68,0),0)</f>
        <v/>
      </c>
      <c r="AD104" s="890">
        <f>IF(AD5&gt;'Project Assumptions'!$D$15,IF(AD5&lt;='Project Assumptions'!$D$15+'Project Assumptions'!$D$16,-'Detailed Project Costs'!$F$68/'Project Assumptions'!$D$16,0),0)+IF('Project Assumptions'!$D$16=0,IF(AD5='Project Assumptions'!$D$15,-'Detailed Project Costs'!$F$68,0),0)</f>
        <v/>
      </c>
      <c r="AE104" s="890">
        <f>IF(AE5&gt;'Project Assumptions'!$D$15,IF(AE5&lt;='Project Assumptions'!$D$15+'Project Assumptions'!$D$16,-'Detailed Project Costs'!$F$68/'Project Assumptions'!$D$16,0),0)+IF('Project Assumptions'!$D$16=0,IF(AE5='Project Assumptions'!$D$15,-'Detailed Project Costs'!$F$68,0),0)</f>
        <v/>
      </c>
      <c r="AF104" s="890">
        <f>IF(AF5&gt;'Project Assumptions'!$D$15,IF(AF5&lt;='Project Assumptions'!$D$15+'Project Assumptions'!$D$16,-'Detailed Project Costs'!$F$68/'Project Assumptions'!$D$16,0),0)+IF('Project Assumptions'!$D$16=0,IF(AF5='Project Assumptions'!$D$15,-'Detailed Project Costs'!$F$68,0),0)</f>
        <v/>
      </c>
      <c r="AG104" s="890">
        <f>IF(AG5&gt;'Project Assumptions'!$D$15,IF(AG5&lt;='Project Assumptions'!$D$15+'Project Assumptions'!$D$16,-'Detailed Project Costs'!$F$68/'Project Assumptions'!$D$16,0),0)+IF('Project Assumptions'!$D$16=0,IF(AG5='Project Assumptions'!$D$15,-'Detailed Project Costs'!$F$68,0),0)</f>
        <v/>
      </c>
      <c r="AH104" s="890">
        <f>IF(AH5&gt;'Project Assumptions'!$D$15,IF(AH5&lt;='Project Assumptions'!$D$15+'Project Assumptions'!$D$16,-'Detailed Project Costs'!$F$68/'Project Assumptions'!$D$16,0),0)+IF('Project Assumptions'!$D$16=0,IF(AH5='Project Assumptions'!$D$15,-'Detailed Project Costs'!$F$68,0),0)</f>
        <v/>
      </c>
      <c r="AI104" s="890">
        <f>IF(AI5&gt;'Project Assumptions'!$D$15,IF(AI5&lt;='Project Assumptions'!$D$15+'Project Assumptions'!$D$16,-'Detailed Project Costs'!$F$68/'Project Assumptions'!$D$16,0),0)+IF('Project Assumptions'!$D$16=0,IF(AI5='Project Assumptions'!$D$15,-'Detailed Project Costs'!$F$68,0),0)</f>
        <v/>
      </c>
      <c r="AJ104" s="890">
        <f>IF(AJ5&gt;'Project Assumptions'!$D$15,IF(AJ5&lt;='Project Assumptions'!$D$15+'Project Assumptions'!$D$16,-'Detailed Project Costs'!$F$68/'Project Assumptions'!$D$16,0),0)+IF('Project Assumptions'!$D$16=0,IF(AJ5='Project Assumptions'!$D$15,-'Detailed Project Costs'!$F$68,0),0)</f>
        <v/>
      </c>
      <c r="AK104" s="890">
        <f>IF(AK5&gt;'Project Assumptions'!$D$15,IF(AK5&lt;='Project Assumptions'!$D$15+'Project Assumptions'!$D$16,-'Detailed Project Costs'!$F$68/'Project Assumptions'!$D$16,0),0)+IF('Project Assumptions'!$D$16=0,IF(AK5='Project Assumptions'!$D$15,-'Detailed Project Costs'!$F$68,0),0)</f>
        <v/>
      </c>
      <c r="AL104" s="890">
        <f>IF(AL5&gt;'Project Assumptions'!$D$15,IF(AL5&lt;='Project Assumptions'!$D$15+'Project Assumptions'!$D$16,-'Detailed Project Costs'!$F$68/'Project Assumptions'!$D$16,0),0)+IF('Project Assumptions'!$D$16=0,IF(AL5='Project Assumptions'!$D$15,-'Detailed Project Costs'!$F$68,0),0)</f>
        <v/>
      </c>
      <c r="AM104" s="890">
        <f>IF(AM5&gt;'Project Assumptions'!$D$15,IF(AM5&lt;='Project Assumptions'!$D$15+'Project Assumptions'!$D$16,-'Detailed Project Costs'!$F$68/'Project Assumptions'!$D$16,0),0)+IF('Project Assumptions'!$D$16=0,IF(AM5='Project Assumptions'!$D$15,-'Detailed Project Costs'!$F$68,0),0)</f>
        <v/>
      </c>
      <c r="AN104" s="890">
        <f>IF(AN5&gt;'Project Assumptions'!$D$15,IF(AN5&lt;='Project Assumptions'!$D$15+'Project Assumptions'!$D$16,-'Detailed Project Costs'!$F$68/'Project Assumptions'!$D$16,0),0)+IF('Project Assumptions'!$D$16=0,IF(AN5='Project Assumptions'!$D$15,-'Detailed Project Costs'!$F$68,0),0)</f>
        <v/>
      </c>
      <c r="AO104" s="890">
        <f>IF(AO5&gt;'Project Assumptions'!$D$15,IF(AO5&lt;='Project Assumptions'!$D$15+'Project Assumptions'!$D$16,-'Detailed Project Costs'!$F$68/'Project Assumptions'!$D$16,0),0)+IF('Project Assumptions'!$D$16=0,IF(AO5='Project Assumptions'!$D$15,-'Detailed Project Costs'!$F$68,0),0)</f>
        <v/>
      </c>
      <c r="AP104" s="890">
        <f>IF(AP5&gt;'Project Assumptions'!$D$15,IF(AP5&lt;='Project Assumptions'!$D$15+'Project Assumptions'!$D$16,-'Detailed Project Costs'!$F$68/'Project Assumptions'!$D$16,0),0)+IF('Project Assumptions'!$D$16=0,IF(AP5='Project Assumptions'!$D$15,-'Detailed Project Costs'!$F$68,0),0)</f>
        <v/>
      </c>
      <c r="AQ104" s="890">
        <f>IF(AQ5&gt;'Project Assumptions'!$D$15,IF(AQ5&lt;='Project Assumptions'!$D$15+'Project Assumptions'!$D$16,-'Detailed Project Costs'!$F$68/'Project Assumptions'!$D$16,0),0)+IF('Project Assumptions'!$D$16=0,IF(AQ5='Project Assumptions'!$D$15,-'Detailed Project Costs'!$F$68,0),0)</f>
        <v/>
      </c>
      <c r="AR104" s="890">
        <f>IF(AR5&gt;'Project Assumptions'!$D$15,IF(AR5&lt;='Project Assumptions'!$D$15+'Project Assumptions'!$D$16,-'Detailed Project Costs'!$F$68/'Project Assumptions'!$D$16,0),0)+IF('Project Assumptions'!$D$16=0,IF(AR5='Project Assumptions'!$D$15,-'Detailed Project Costs'!$F$68,0),0)</f>
        <v/>
      </c>
      <c r="AS104" s="890">
        <f>IF(AS5&gt;'Project Assumptions'!$D$15,IF(AS5&lt;='Project Assumptions'!$D$15+'Project Assumptions'!$D$16,-'Detailed Project Costs'!$F$68/'Project Assumptions'!$D$16,0),0)+IF('Project Assumptions'!$D$16=0,IF(AS5='Project Assumptions'!$D$15,-'Detailed Project Costs'!$F$68,0),0)</f>
        <v/>
      </c>
      <c r="AT104" s="890">
        <f>IF(AT5&gt;'Project Assumptions'!$D$15,IF(AT5&lt;='Project Assumptions'!$D$15+'Project Assumptions'!$D$16,-'Detailed Project Costs'!$F$68/'Project Assumptions'!$D$16,0),0)+IF('Project Assumptions'!$D$16=0,IF(AT5='Project Assumptions'!$D$15,-'Detailed Project Costs'!$F$68,0),0)</f>
        <v/>
      </c>
      <c r="AU104" s="890">
        <f>IF(AU5&gt;'Project Assumptions'!$D$15,IF(AU5&lt;='Project Assumptions'!$D$15+'Project Assumptions'!$D$16,-'Detailed Project Costs'!$F$68/'Project Assumptions'!$D$16,0),0)+IF('Project Assumptions'!$D$16=0,IF(AU5='Project Assumptions'!$D$15,-'Detailed Project Costs'!$F$68,0),0)</f>
        <v/>
      </c>
      <c r="AV104" s="890">
        <f>IF(AV5&gt;'Project Assumptions'!$D$15,IF(AV5&lt;='Project Assumptions'!$D$15+'Project Assumptions'!$D$16,-'Detailed Project Costs'!$F$68/'Project Assumptions'!$D$16,0),0)+IF('Project Assumptions'!$D$16=0,IF(AV5='Project Assumptions'!$D$15,-'Detailed Project Costs'!$F$68,0),0)</f>
        <v/>
      </c>
      <c r="AW104" s="890">
        <f>IF(AW5&gt;'Project Assumptions'!$D$15,IF(AW5&lt;='Project Assumptions'!$D$15+'Project Assumptions'!$D$16,-'Detailed Project Costs'!$F$68/'Project Assumptions'!$D$16,0),0)+IF('Project Assumptions'!$D$16=0,IF(AW5='Project Assumptions'!$D$15,-'Detailed Project Costs'!$F$68,0),0)</f>
        <v/>
      </c>
      <c r="AX104" s="890">
        <f>IF(AX5&gt;'Project Assumptions'!$D$15,IF(AX5&lt;='Project Assumptions'!$D$15+'Project Assumptions'!$D$16,-'Detailed Project Costs'!$F$68/'Project Assumptions'!$D$16,0),0)+IF('Project Assumptions'!$D$16=0,IF(AX5='Project Assumptions'!$D$15,-'Detailed Project Costs'!$F$68,0),0)</f>
        <v/>
      </c>
      <c r="AY104" s="890">
        <f>IF(AY5&gt;'Project Assumptions'!$D$15,IF(AY5&lt;='Project Assumptions'!$D$15+'Project Assumptions'!$D$16,-'Detailed Project Costs'!$F$68/'Project Assumptions'!$D$16,0),0)+IF('Project Assumptions'!$D$16=0,IF(AY5='Project Assumptions'!$D$15,-'Detailed Project Costs'!$F$68,0),0)</f>
        <v/>
      </c>
      <c r="AZ104" s="890">
        <f>IF(AZ5&gt;'Project Assumptions'!$D$15,IF(AZ5&lt;='Project Assumptions'!$D$15+'Project Assumptions'!$D$16,-'Detailed Project Costs'!$F$68/'Project Assumptions'!$D$16,0),0)+IF('Project Assumptions'!$D$16=0,IF(AZ5='Project Assumptions'!$D$15,-'Detailed Project Costs'!$F$68,0),0)</f>
        <v/>
      </c>
      <c r="BA104" s="890">
        <f>IF(BA5&gt;'Project Assumptions'!$D$15,IF(BA5&lt;='Project Assumptions'!$D$15+'Project Assumptions'!$D$16,-'Detailed Project Costs'!$F$68/'Project Assumptions'!$D$16,0),0)+IF('Project Assumptions'!$D$16=0,IF(BA5='Project Assumptions'!$D$15,-'Detailed Project Costs'!$F$68,0),0)</f>
        <v/>
      </c>
      <c r="BB104" s="890">
        <f>IF(BB5&gt;'Project Assumptions'!$D$15,IF(BB5&lt;='Project Assumptions'!$D$15+'Project Assumptions'!$D$16,-'Detailed Project Costs'!$F$68/'Project Assumptions'!$D$16,0),0)+IF('Project Assumptions'!$D$16=0,IF(BB5='Project Assumptions'!$D$15,-'Detailed Project Costs'!$F$68,0),0)</f>
        <v/>
      </c>
      <c r="BC104" s="890">
        <f>IF(BC5&gt;'Project Assumptions'!$D$15,IF(BC5&lt;='Project Assumptions'!$D$15+'Project Assumptions'!$D$16,-'Detailed Project Costs'!$F$68/'Project Assumptions'!$D$16,0),0)+IF('Project Assumptions'!$D$16=0,IF(BC5='Project Assumptions'!$D$15,-'Detailed Project Costs'!$F$68,0),0)</f>
        <v/>
      </c>
      <c r="BD104" s="890">
        <f>IF(BD5&gt;'Project Assumptions'!$D$15,IF(BD5&lt;='Project Assumptions'!$D$15+'Project Assumptions'!$D$16,-'Detailed Project Costs'!$F$68/'Project Assumptions'!$D$16,0),0)+IF('Project Assumptions'!$D$16=0,IF(BD5='Project Assumptions'!$D$15,-'Detailed Project Costs'!$F$68,0),0)</f>
        <v/>
      </c>
      <c r="BE104" s="890">
        <f>IF(BE5&gt;'Project Assumptions'!$D$15,IF(BE5&lt;='Project Assumptions'!$D$15+'Project Assumptions'!$D$16,-'Detailed Project Costs'!$F$68/'Project Assumptions'!$D$16,0),0)+IF('Project Assumptions'!$D$16=0,IF(BE5='Project Assumptions'!$D$15,-'Detailed Project Costs'!$F$68,0),0)</f>
        <v/>
      </c>
      <c r="BF104" s="890">
        <f>IF(BF5&gt;'Project Assumptions'!$D$15,IF(BF5&lt;='Project Assumptions'!$D$15+'Project Assumptions'!$D$16,-'Detailed Project Costs'!$F$68/'Project Assumptions'!$D$16,0),0)+IF('Project Assumptions'!$D$16=0,IF(BF5='Project Assumptions'!$D$15,-'Detailed Project Costs'!$F$68,0),0)</f>
        <v/>
      </c>
      <c r="BG104" s="890">
        <f>IF(BG5&gt;'Project Assumptions'!$D$15,IF(BG5&lt;='Project Assumptions'!$D$15+'Project Assumptions'!$D$16,-'Detailed Project Costs'!$F$68/'Project Assumptions'!$D$16,0),0)+IF('Project Assumptions'!$D$16=0,IF(BG5='Project Assumptions'!$D$15,-'Detailed Project Costs'!$F$68,0),0)</f>
        <v/>
      </c>
      <c r="BH104" s="890">
        <f>IF(BH5&gt;'Project Assumptions'!$D$15,IF(BH5&lt;='Project Assumptions'!$D$15+'Project Assumptions'!$D$16,-'Detailed Project Costs'!$F$68/'Project Assumptions'!$D$16,0),0)+IF('Project Assumptions'!$D$16=0,IF(BH5='Project Assumptions'!$D$15,-'Detailed Project Costs'!$F$68,0),0)</f>
        <v/>
      </c>
      <c r="BI104" s="890">
        <f>IF(BI5&gt;'Project Assumptions'!$D$15,IF(BI5&lt;='Project Assumptions'!$D$15+'Project Assumptions'!$D$16,-'Detailed Project Costs'!$F$68/'Project Assumptions'!$D$16,0),0)+IF('Project Assumptions'!$D$16=0,IF(BI5='Project Assumptions'!$D$15,-'Detailed Project Costs'!$F$68,0),0)</f>
        <v/>
      </c>
      <c r="BJ104" s="890">
        <f>IF(BJ5&gt;'Project Assumptions'!$D$15,IF(BJ5&lt;='Project Assumptions'!$D$15+'Project Assumptions'!$D$16,-'Detailed Project Costs'!$F$68/'Project Assumptions'!$D$16,0),0)+IF('Project Assumptions'!$D$16=0,IF(BJ5='Project Assumptions'!$D$15,-'Detailed Project Costs'!$F$68,0),0)</f>
        <v/>
      </c>
      <c r="BK104" s="890">
        <f>IF(BK5&gt;'Project Assumptions'!$D$15,IF(BK5&lt;='Project Assumptions'!$D$15+'Project Assumptions'!$D$16,-'Detailed Project Costs'!$F$68/'Project Assumptions'!$D$16,0),0)+IF('Project Assumptions'!$D$16=0,IF(BK5='Project Assumptions'!$D$15,-'Detailed Project Costs'!$F$68,0),0)</f>
        <v/>
      </c>
      <c r="BL104" s="890">
        <f>IF(BL5&gt;'Project Assumptions'!$D$15,IF(BL5&lt;='Project Assumptions'!$D$15+'Project Assumptions'!$D$16,-'Detailed Project Costs'!$F$68/'Project Assumptions'!$D$16,0),0)+IF('Project Assumptions'!$D$16=0,IF(BL5='Project Assumptions'!$D$15,-'Detailed Project Costs'!$F$68,0),0)</f>
        <v/>
      </c>
      <c r="BM104" s="890">
        <f>IF(BM5&gt;'Project Assumptions'!$D$15,IF(BM5&lt;='Project Assumptions'!$D$15+'Project Assumptions'!$D$16,-'Detailed Project Costs'!$F$68/'Project Assumptions'!$D$16,0),0)+IF('Project Assumptions'!$D$16=0,IF(BM5='Project Assumptions'!$D$15,-'Detailed Project Costs'!$F$68,0),0)</f>
        <v/>
      </c>
      <c r="BN104" s="890">
        <f>IF(BN5&gt;'Project Assumptions'!$D$15,IF(BN5&lt;='Project Assumptions'!$D$15+'Project Assumptions'!$D$16,-'Detailed Project Costs'!$F$68/'Project Assumptions'!$D$16,0),0)+IF('Project Assumptions'!$D$16=0,IF(BN5='Project Assumptions'!$D$15,-'Detailed Project Costs'!$F$68,0),0)</f>
        <v/>
      </c>
      <c r="BO104" s="890">
        <f>IF(BO5&gt;'Project Assumptions'!$D$15,IF(BO5&lt;='Project Assumptions'!$D$15+'Project Assumptions'!$D$16,-'Detailed Project Costs'!$F$68/'Project Assumptions'!$D$16,0),0)+IF('Project Assumptions'!$D$16=0,IF(BO5='Project Assumptions'!$D$15,-'Detailed Project Costs'!$F$68,0),0)</f>
        <v/>
      </c>
      <c r="BP104" s="890">
        <f>IF(BP5&gt;'Project Assumptions'!$D$15,IF(BP5&lt;='Project Assumptions'!$D$15+'Project Assumptions'!$D$16,-'Detailed Project Costs'!$F$68/'Project Assumptions'!$D$16,0),0)+IF('Project Assumptions'!$D$16=0,IF(BP5='Project Assumptions'!$D$15,-'Detailed Project Costs'!$F$68,0),0)</f>
        <v/>
      </c>
      <c r="BQ104" s="890">
        <f>IF(BQ5&gt;'Project Assumptions'!$D$15,IF(BQ5&lt;='Project Assumptions'!$D$15+'Project Assumptions'!$D$16,-'Detailed Project Costs'!$F$68/'Project Assumptions'!$D$16,0),0)+IF('Project Assumptions'!$D$16=0,IF(BQ5='Project Assumptions'!$D$15,-'Detailed Project Costs'!$F$68,0),0)</f>
        <v/>
      </c>
      <c r="BR104" s="890">
        <f>IF(BR5&gt;'Project Assumptions'!$D$15,IF(BR5&lt;='Project Assumptions'!$D$15+'Project Assumptions'!$D$16,-'Detailed Project Costs'!$F$68/'Project Assumptions'!$D$16,0),0)+IF('Project Assumptions'!$D$16=0,IF(BR5='Project Assumptions'!$D$15,-'Detailed Project Costs'!$F$68,0),0)</f>
        <v/>
      </c>
      <c r="BS104" s="890">
        <f>IF(BS5&gt;'Project Assumptions'!$D$15,IF(BS5&lt;='Project Assumptions'!$D$15+'Project Assumptions'!$D$16,-'Detailed Project Costs'!$F$68/'Project Assumptions'!$D$16,0),0)+IF('Project Assumptions'!$D$16=0,IF(BS5='Project Assumptions'!$D$15,-'Detailed Project Costs'!$F$68,0),0)</f>
        <v/>
      </c>
      <c r="BT104" s="890">
        <f>IF(BT5&gt;'Project Assumptions'!$D$15,IF(BT5&lt;='Project Assumptions'!$D$15+'Project Assumptions'!$D$16,-'Detailed Project Costs'!$F$68/'Project Assumptions'!$D$16,0),0)+IF('Project Assumptions'!$D$16=0,IF(BT5='Project Assumptions'!$D$15,-'Detailed Project Costs'!$F$68,0),0)</f>
        <v/>
      </c>
      <c r="BU104" s="890">
        <f>IF(BU5&gt;'Project Assumptions'!$D$15,IF(BU5&lt;='Project Assumptions'!$D$15+'Project Assumptions'!$D$16,-'Detailed Project Costs'!$F$68/'Project Assumptions'!$D$16,0),0)+IF('Project Assumptions'!$D$16=0,IF(BU5='Project Assumptions'!$D$15,-'Detailed Project Costs'!$F$68,0),0)</f>
        <v/>
      </c>
      <c r="BV104" s="890">
        <f>IF(BV5&gt;'Project Assumptions'!$D$15,IF(BV5&lt;='Project Assumptions'!$D$15+'Project Assumptions'!$D$16,-'Detailed Project Costs'!$F$68/'Project Assumptions'!$D$16,0),0)+IF('Project Assumptions'!$D$16=0,IF(BV5='Project Assumptions'!$D$15,-'Detailed Project Costs'!$F$68,0),0)</f>
        <v/>
      </c>
      <c r="BW104" s="890">
        <f>IF(BW5&gt;'Project Assumptions'!$D$15,IF(BW5&lt;='Project Assumptions'!$D$15+'Project Assumptions'!$D$16,-'Detailed Project Costs'!$F$68/'Project Assumptions'!$D$16,0),0)+IF('Project Assumptions'!$D$16=0,IF(BW5='Project Assumptions'!$D$15,-'Detailed Project Costs'!$F$68,0),0)</f>
        <v/>
      </c>
      <c r="BX104" s="890">
        <f>IF(BX5&gt;'Project Assumptions'!$D$15,IF(BX5&lt;='Project Assumptions'!$D$15+'Project Assumptions'!$D$16,-'Detailed Project Costs'!$F$68/'Project Assumptions'!$D$16,0),0)+IF('Project Assumptions'!$D$16=0,IF(BX5='Project Assumptions'!$D$15,-'Detailed Project Costs'!$F$68,0),0)</f>
        <v/>
      </c>
      <c r="BY104" s="890">
        <f>IF(BY5&gt;'Project Assumptions'!$D$15,IF(BY5&lt;='Project Assumptions'!$D$15+'Project Assumptions'!$D$16,-'Detailed Project Costs'!$F$68/'Project Assumptions'!$D$16,0),0)+IF('Project Assumptions'!$D$16=0,IF(BY5='Project Assumptions'!$D$15,-'Detailed Project Costs'!$F$68,0),0)</f>
        <v/>
      </c>
      <c r="BZ104" s="890">
        <f>IF(BZ5&gt;'Project Assumptions'!$D$15,IF(BZ5&lt;='Project Assumptions'!$D$15+'Project Assumptions'!$D$16,-'Detailed Project Costs'!$F$68/'Project Assumptions'!$D$16,0),0)+IF('Project Assumptions'!$D$16=0,IF(BZ5='Project Assumptions'!$D$15,-'Detailed Project Costs'!$F$68,0),0)</f>
        <v/>
      </c>
      <c r="CA104" s="890">
        <f>IF(CA5&gt;'Project Assumptions'!$D$15,IF(CA5&lt;='Project Assumptions'!$D$15+'Project Assumptions'!$D$16,-'Detailed Project Costs'!$F$68/'Project Assumptions'!$D$16,0),0)+IF('Project Assumptions'!$D$16=0,IF(CA5='Project Assumptions'!$D$15,-'Detailed Project Costs'!$F$68,0),0)</f>
        <v/>
      </c>
      <c r="CB104" s="890">
        <f>IF(CB5&gt;'Project Assumptions'!$D$15,IF(CB5&lt;='Project Assumptions'!$D$15+'Project Assumptions'!$D$16,-'Detailed Project Costs'!$F$68/'Project Assumptions'!$D$16,0),0)+IF('Project Assumptions'!$D$16=0,IF(CB5='Project Assumptions'!$D$15,-'Detailed Project Costs'!$F$68,0),0)</f>
        <v/>
      </c>
      <c r="CC104" s="890">
        <f>IF(CC5&gt;'Project Assumptions'!$D$15,IF(CC5&lt;='Project Assumptions'!$D$15+'Project Assumptions'!$D$16,-'Detailed Project Costs'!$F$68/'Project Assumptions'!$D$16,0),0)+IF('Project Assumptions'!$D$16=0,IF(CC5='Project Assumptions'!$D$15,-'Detailed Project Costs'!$F$68,0),0)</f>
        <v/>
      </c>
      <c r="CD104" s="890">
        <f>IF(CD5&gt;'Project Assumptions'!$D$15,IF(CD5&lt;='Project Assumptions'!$D$15+'Project Assumptions'!$D$16,-'Detailed Project Costs'!$F$68/'Project Assumptions'!$D$16,0),0)+IF('Project Assumptions'!$D$16=0,IF(CD5='Project Assumptions'!$D$15,-'Detailed Project Costs'!$F$68,0),0)</f>
        <v/>
      </c>
      <c r="CE104" s="890">
        <f>IF(CE5&gt;'Project Assumptions'!$D$15,IF(CE5&lt;='Project Assumptions'!$D$15+'Project Assumptions'!$D$16,-'Detailed Project Costs'!$F$68/'Project Assumptions'!$D$16,0),0)+IF('Project Assumptions'!$D$16=0,IF(CE5='Project Assumptions'!$D$15,-'Detailed Project Costs'!$F$68,0),0)</f>
        <v/>
      </c>
      <c r="CF104" s="890">
        <f>IF(CF5&gt;'Project Assumptions'!$D$15,IF(CF5&lt;='Project Assumptions'!$D$15+'Project Assumptions'!$D$16,-'Detailed Project Costs'!$F$68/'Project Assumptions'!$D$16,0),0)+IF('Project Assumptions'!$D$16=0,IF(CF5='Project Assumptions'!$D$15,-'Detailed Project Costs'!$F$68,0),0)</f>
        <v/>
      </c>
      <c r="CG104" s="890">
        <f>IF(CG5&gt;'Project Assumptions'!$D$15,IF(CG5&lt;='Project Assumptions'!$D$15+'Project Assumptions'!$D$16,-'Detailed Project Costs'!$F$68/'Project Assumptions'!$D$16,0),0)+IF('Project Assumptions'!$D$16=0,IF(CG5='Project Assumptions'!$D$15,-'Detailed Project Costs'!$F$68,0),0)</f>
        <v/>
      </c>
      <c r="CH104" s="890">
        <f>IF(CH5&gt;'Project Assumptions'!$D$15,IF(CH5&lt;='Project Assumptions'!$D$15+'Project Assumptions'!$D$16,-'Detailed Project Costs'!$F$68/'Project Assumptions'!$D$16,0),0)+IF('Project Assumptions'!$D$16=0,IF(CH5='Project Assumptions'!$D$15,-'Detailed Project Costs'!$F$68,0),0)</f>
        <v/>
      </c>
      <c r="CI104" s="890">
        <f>IF(CI5&gt;'Project Assumptions'!$D$15,IF(CI5&lt;='Project Assumptions'!$D$15+'Project Assumptions'!$D$16,-'Detailed Project Costs'!$F$68/'Project Assumptions'!$D$16,0),0)+IF('Project Assumptions'!$D$16=0,IF(CI5='Project Assumptions'!$D$15,-'Detailed Project Costs'!$F$68,0),0)</f>
        <v/>
      </c>
      <c r="CJ104" s="890">
        <f>IF(CJ5&gt;'Project Assumptions'!$D$15,IF(CJ5&lt;='Project Assumptions'!$D$15+'Project Assumptions'!$D$16,-'Detailed Project Costs'!$F$68/'Project Assumptions'!$D$16,0),0)+IF('Project Assumptions'!$D$16=0,IF(CJ5='Project Assumptions'!$D$15,-'Detailed Project Costs'!$F$68,0),0)</f>
        <v/>
      </c>
      <c r="CK104" s="890">
        <f>IF(CK5&gt;'Project Assumptions'!$D$15,IF(CK5&lt;='Project Assumptions'!$D$15+'Project Assumptions'!$D$16,-'Detailed Project Costs'!$F$68/'Project Assumptions'!$D$16,0),0)+IF('Project Assumptions'!$D$16=0,IF(CK5='Project Assumptions'!$D$15,-'Detailed Project Costs'!$F$68,0),0)</f>
        <v/>
      </c>
      <c r="CL104" s="890">
        <f>IF(CL5&gt;'Project Assumptions'!$D$15,IF(CL5&lt;='Project Assumptions'!$D$15+'Project Assumptions'!$D$16,-'Detailed Project Costs'!$F$68/'Project Assumptions'!$D$16,0),0)+IF('Project Assumptions'!$D$16=0,IF(CL5='Project Assumptions'!$D$15,-'Detailed Project Costs'!$F$68,0),0)</f>
        <v/>
      </c>
      <c r="CM104" s="890">
        <f>IF(CM5&gt;'Project Assumptions'!$D$15,IF(CM5&lt;='Project Assumptions'!$D$15+'Project Assumptions'!$D$16,-'Detailed Project Costs'!$F$68/'Project Assumptions'!$D$16,0),0)+IF('Project Assumptions'!$D$16=0,IF(CM5='Project Assumptions'!$D$15,-'Detailed Project Costs'!$F$68,0),0)</f>
        <v/>
      </c>
      <c r="CN104" s="890">
        <f>IF(CN5&gt;'Project Assumptions'!$D$15,IF(CN5&lt;='Project Assumptions'!$D$15+'Project Assumptions'!$D$16,-'Detailed Project Costs'!$F$68/'Project Assumptions'!$D$16,0),0)+IF('Project Assumptions'!$D$16=0,IF(CN5='Project Assumptions'!$D$15,-'Detailed Project Costs'!$F$68,0),0)</f>
        <v/>
      </c>
      <c r="CO104" s="890">
        <f>IF(CO5&gt;'Project Assumptions'!$D$15,IF(CO5&lt;='Project Assumptions'!$D$15+'Project Assumptions'!$D$16,-'Detailed Project Costs'!$F$68/'Project Assumptions'!$D$16,0),0)+IF('Project Assumptions'!$D$16=0,IF(CO5='Project Assumptions'!$D$15,-'Detailed Project Costs'!$F$68,0),0)</f>
        <v/>
      </c>
      <c r="CP104" s="890">
        <f>IF(CP5&gt;'Project Assumptions'!$D$15,IF(CP5&lt;='Project Assumptions'!$D$15+'Project Assumptions'!$D$16,-'Detailed Project Costs'!$F$68/'Project Assumptions'!$D$16,0),0)+IF('Project Assumptions'!$D$16=0,IF(CP5='Project Assumptions'!$D$15,-'Detailed Project Costs'!$F$68,0),0)</f>
        <v/>
      </c>
      <c r="CQ104" s="890">
        <f>IF(CQ5&gt;'Project Assumptions'!$D$15,IF(CQ5&lt;='Project Assumptions'!$D$15+'Project Assumptions'!$D$16,-'Detailed Project Costs'!$F$68/'Project Assumptions'!$D$16,0),0)+IF('Project Assumptions'!$D$16=0,IF(CQ5='Project Assumptions'!$D$15,-'Detailed Project Costs'!$F$68,0),0)</f>
        <v/>
      </c>
      <c r="CR104" s="890">
        <f>IF(CR5&gt;'Project Assumptions'!$D$15,IF(CR5&lt;='Project Assumptions'!$D$15+'Project Assumptions'!$D$16,-'Detailed Project Costs'!$F$68/'Project Assumptions'!$D$16,0),0)+IF('Project Assumptions'!$D$16=0,IF(CR5='Project Assumptions'!$D$15,-'Detailed Project Costs'!$F$68,0),0)</f>
        <v/>
      </c>
      <c r="CS104" s="890">
        <f>IF(CS5&gt;'Project Assumptions'!$D$15,IF(CS5&lt;='Project Assumptions'!$D$15+'Project Assumptions'!$D$16,-'Detailed Project Costs'!$F$68/'Project Assumptions'!$D$16,0),0)+IF('Project Assumptions'!$D$16=0,IF(CS5='Project Assumptions'!$D$15,-'Detailed Project Costs'!$F$68,0),0)</f>
        <v/>
      </c>
      <c r="CT104" s="890">
        <f>IF(CT5&gt;'Project Assumptions'!$D$15,IF(CT5&lt;='Project Assumptions'!$D$15+'Project Assumptions'!$D$16,-'Detailed Project Costs'!$F$68/'Project Assumptions'!$D$16,0),0)+IF('Project Assumptions'!$D$16=0,IF(CT5='Project Assumptions'!$D$15,-'Detailed Project Costs'!$F$68,0),0)</f>
        <v/>
      </c>
      <c r="CU104" s="890">
        <f>IF(CU5&gt;'Project Assumptions'!$D$15,IF(CU5&lt;='Project Assumptions'!$D$15+'Project Assumptions'!$D$16,-'Detailed Project Costs'!$F$68/'Project Assumptions'!$D$16,0),0)+IF('Project Assumptions'!$D$16=0,IF(CU5='Project Assumptions'!$D$15,-'Detailed Project Costs'!$F$68,0),0)</f>
        <v/>
      </c>
      <c r="CV104" s="890">
        <f>IF(CV5&gt;'Project Assumptions'!$D$15,IF(CV5&lt;='Project Assumptions'!$D$15+'Project Assumptions'!$D$16,-'Detailed Project Costs'!$F$68/'Project Assumptions'!$D$16,0),0)+IF('Project Assumptions'!$D$16=0,IF(CV5='Project Assumptions'!$D$15,-'Detailed Project Costs'!$F$68,0),0)</f>
        <v/>
      </c>
      <c r="CW104" s="890">
        <f>IF(CW5&gt;'Project Assumptions'!$D$15,IF(CW5&lt;='Project Assumptions'!$D$15+'Project Assumptions'!$D$16,-'Detailed Project Costs'!$F$68/'Project Assumptions'!$D$16,0),0)+IF('Project Assumptions'!$D$16=0,IF(CW5='Project Assumptions'!$D$15,-'Detailed Project Costs'!$F$68,0),0)</f>
        <v/>
      </c>
      <c r="CX104" s="890">
        <f>IF(CX5&gt;'Project Assumptions'!$D$15,IF(CX5&lt;='Project Assumptions'!$D$15+'Project Assumptions'!$D$16,-'Detailed Project Costs'!$F$68/'Project Assumptions'!$D$16,0),0)+IF('Project Assumptions'!$D$16=0,IF(CX5='Project Assumptions'!$D$15,-'Detailed Project Costs'!$F$68,0),0)</f>
        <v/>
      </c>
      <c r="CY104" s="890">
        <f>IF(CY5&gt;'Project Assumptions'!$D$15,IF(CY5&lt;='Project Assumptions'!$D$15+'Project Assumptions'!$D$16,-'Detailed Project Costs'!$F$68/'Project Assumptions'!$D$16,0),0)+IF('Project Assumptions'!$D$16=0,IF(CY5='Project Assumptions'!$D$15,-'Detailed Project Costs'!$F$68,0),0)</f>
        <v/>
      </c>
      <c r="CZ104" s="890">
        <f>IF(CZ5&gt;'Project Assumptions'!$D$15,IF(CZ5&lt;='Project Assumptions'!$D$15+'Project Assumptions'!$D$16,-'Detailed Project Costs'!$F$68/'Project Assumptions'!$D$16,0),0)+IF('Project Assumptions'!$D$16=0,IF(CZ5='Project Assumptions'!$D$15,-'Detailed Project Costs'!$F$68,0),0)</f>
        <v/>
      </c>
      <c r="DA104" s="890">
        <f>IF(DA5&gt;'Project Assumptions'!$D$15,IF(DA5&lt;='Project Assumptions'!$D$15+'Project Assumptions'!$D$16,-'Detailed Project Costs'!$F$68/'Project Assumptions'!$D$16,0),0)+IF('Project Assumptions'!$D$16=0,IF(DA5='Project Assumptions'!$D$15,-'Detailed Project Costs'!$F$68,0),0)</f>
        <v/>
      </c>
      <c r="DB104" s="890">
        <f>IF(DB5&gt;'Project Assumptions'!$D$15,IF(DB5&lt;='Project Assumptions'!$D$15+'Project Assumptions'!$D$16,-'Detailed Project Costs'!$F$68/'Project Assumptions'!$D$16,0),0)+IF('Project Assumptions'!$D$16=0,IF(DB5='Project Assumptions'!$D$15,-'Detailed Project Costs'!$F$68,0),0)</f>
        <v/>
      </c>
      <c r="DC104" s="890" t="n"/>
      <c r="DD104" s="297">
        <f>SUM(F104:DB104)</f>
        <v/>
      </c>
    </row>
    <row r="105">
      <c r="A105" s="706" t="inlineStr">
        <is>
          <t>F&amp;E</t>
        </is>
      </c>
      <c r="B105" s="707" t="inlineStr">
        <is>
          <t>Furniture and Equipment</t>
        </is>
      </c>
      <c r="C105" s="338" t="n"/>
      <c r="D105" s="289">
        <f>DD105</f>
        <v/>
      </c>
      <c r="E105" s="290" t="n"/>
      <c r="F105" s="291" t="n"/>
      <c r="G105" s="291">
        <f>IF(G5='Project Assumptions'!$D$15+'Project Assumptions'!$D$16,-SUM('Detailed Project Costs'!$F$70:$F$73),0)+IF('Project Assumptions'!$D$15+'Project Assumptions'!$D$16=0,IF(G5=1,-SUM('Detailed Project Costs'!$F$70:$F$73),0),0)</f>
        <v/>
      </c>
      <c r="H105" s="291">
        <f>IF(H5='Project Assumptions'!$D$15+'Project Assumptions'!$D$16,-SUM('Detailed Project Costs'!$F$70:$F$73),0)+IF('Project Assumptions'!$D$15+'Project Assumptions'!$D$16=0,IF(H5=1,-SUM('Detailed Project Costs'!$F$70:$F$73),0),0)</f>
        <v/>
      </c>
      <c r="I105" s="291">
        <f>IF(I5='Project Assumptions'!$D$15+'Project Assumptions'!$D$16,-SUM('Detailed Project Costs'!$F$70:$F$73),0)+IF('Project Assumptions'!$D$15+'Project Assumptions'!$D$16=0,IF(I5=1,-SUM('Detailed Project Costs'!$F$70:$F$73),0),0)</f>
        <v/>
      </c>
      <c r="J105" s="291">
        <f>IF(J5='Project Assumptions'!$D$15+'Project Assumptions'!$D$16,-SUM('Detailed Project Costs'!$F$70:$F$73),0)+IF('Project Assumptions'!$D$15+'Project Assumptions'!$D$16=0,IF(J5=1,-SUM('Detailed Project Costs'!$F$70:$F$73),0),0)</f>
        <v/>
      </c>
      <c r="K105" s="291">
        <f>IF(K5='Project Assumptions'!$D$15+'Project Assumptions'!$D$16,-SUM('Detailed Project Costs'!$F$70:$F$73),0)+IF('Project Assumptions'!$D$15+'Project Assumptions'!$D$16=0,IF(K5=1,-SUM('Detailed Project Costs'!$F$70:$F$73),0),0)</f>
        <v/>
      </c>
      <c r="L105" s="291">
        <f>IF(L5='Project Assumptions'!$D$15+'Project Assumptions'!$D$16,-SUM('Detailed Project Costs'!$F$70:$F$73),0)+IF('Project Assumptions'!$D$15+'Project Assumptions'!$D$16=0,IF(L5=1,-SUM('Detailed Project Costs'!$F$70:$F$73),0),0)</f>
        <v/>
      </c>
      <c r="M105" s="291">
        <f>IF(M5='Project Assumptions'!$D$15+'Project Assumptions'!$D$16,-SUM('Detailed Project Costs'!$F$70:$F$73),0)+IF('Project Assumptions'!$D$15+'Project Assumptions'!$D$16=0,IF(M5=1,-SUM('Detailed Project Costs'!$F$70:$F$73),0),0)</f>
        <v/>
      </c>
      <c r="N105" s="291">
        <f>IF(N5='Project Assumptions'!$D$15+'Project Assumptions'!$D$16,-SUM('Detailed Project Costs'!$F$70:$F$73),0)+IF('Project Assumptions'!$D$15+'Project Assumptions'!$D$16=0,IF(N5=1,-SUM('Detailed Project Costs'!$F$70:$F$73),0),0)</f>
        <v/>
      </c>
      <c r="O105" s="291">
        <f>IF(O5='Project Assumptions'!$D$15+'Project Assumptions'!$D$16,-SUM('Detailed Project Costs'!$F$70:$F$73),0)+IF('Project Assumptions'!$D$15+'Project Assumptions'!$D$16=0,IF(O5=1,-SUM('Detailed Project Costs'!$F$70:$F$73),0),0)</f>
        <v/>
      </c>
      <c r="P105" s="291">
        <f>IF(P5='Project Assumptions'!$D$15+'Project Assumptions'!$D$16,-SUM('Detailed Project Costs'!$F$70:$F$73),0)+IF('Project Assumptions'!$D$15+'Project Assumptions'!$D$16=0,IF(P5=1,-SUM('Detailed Project Costs'!$F$70:$F$73),0),0)</f>
        <v/>
      </c>
      <c r="Q105" s="291">
        <f>IF(Q5='Project Assumptions'!$D$15+'Project Assumptions'!$D$16,-SUM('Detailed Project Costs'!$F$70:$F$73),0)+IF('Project Assumptions'!$D$15+'Project Assumptions'!$D$16=0,IF(Q5=1,-SUM('Detailed Project Costs'!$F$70:$F$73),0),0)</f>
        <v/>
      </c>
      <c r="R105" s="291">
        <f>IF(R5='Project Assumptions'!$D$15+'Project Assumptions'!$D$16,-SUM('Detailed Project Costs'!$F$70:$F$73),0)+IF('Project Assumptions'!$D$15+'Project Assumptions'!$D$16=0,IF(R5=1,-SUM('Detailed Project Costs'!$F$70:$F$73),0),0)</f>
        <v/>
      </c>
      <c r="S105" s="291">
        <f>IF(S5='Project Assumptions'!$D$15+'Project Assumptions'!$D$16,-SUM('Detailed Project Costs'!$F$70:$F$73),0)+IF('Project Assumptions'!$D$15+'Project Assumptions'!$D$16=0,IF(S5=1,-SUM('Detailed Project Costs'!$F$70:$F$73),0),0)</f>
        <v/>
      </c>
      <c r="T105" s="291">
        <f>IF(T5='Project Assumptions'!$D$15+'Project Assumptions'!$D$16,-SUM('Detailed Project Costs'!$F$70:$F$73),0)+IF('Project Assumptions'!$D$15+'Project Assumptions'!$D$16=0,IF(T5=1,-SUM('Detailed Project Costs'!$F$70:$F$73),0),0)</f>
        <v/>
      </c>
      <c r="U105" s="291">
        <f>IF(U5='Project Assumptions'!$D$15+'Project Assumptions'!$D$16,-SUM('Detailed Project Costs'!$F$70:$F$73),0)+IF('Project Assumptions'!$D$15+'Project Assumptions'!$D$16=0,IF(U5=1,-SUM('Detailed Project Costs'!$F$70:$F$73),0),0)</f>
        <v/>
      </c>
      <c r="V105" s="291">
        <f>IF(V5='Project Assumptions'!$D$15+'Project Assumptions'!$D$16,-SUM('Detailed Project Costs'!$F$70:$F$73),0)+IF('Project Assumptions'!$D$15+'Project Assumptions'!$D$16=0,IF(V5=1,-SUM('Detailed Project Costs'!$F$70:$F$73),0),0)</f>
        <v/>
      </c>
      <c r="W105" s="291">
        <f>IF(W5='Project Assumptions'!$D$15+'Project Assumptions'!$D$16,-SUM('Detailed Project Costs'!$F$70:$F$73),0)+IF('Project Assumptions'!$D$15+'Project Assumptions'!$D$16=0,IF(W5=1,-SUM('Detailed Project Costs'!$F$70:$F$73),0),0)</f>
        <v/>
      </c>
      <c r="X105" s="291">
        <f>IF(X5='Project Assumptions'!$D$15+'Project Assumptions'!$D$16,-SUM('Detailed Project Costs'!$F$70:$F$73),0)+IF('Project Assumptions'!$D$15+'Project Assumptions'!$D$16=0,IF(X5=1,-SUM('Detailed Project Costs'!$F$70:$F$73),0),0)</f>
        <v/>
      </c>
      <c r="Y105" s="291">
        <f>IF(Y5='Project Assumptions'!$D$15+'Project Assumptions'!$D$16,-SUM('Detailed Project Costs'!$F$70:$F$73),0)+IF('Project Assumptions'!$D$15+'Project Assumptions'!$D$16=0,IF(Y5=1,-SUM('Detailed Project Costs'!$F$70:$F$73),0),0)</f>
        <v/>
      </c>
      <c r="Z105" s="291">
        <f>IF(Z5='Project Assumptions'!$D$15+'Project Assumptions'!$D$16,-SUM('Detailed Project Costs'!$F$70:$F$73),0)+IF('Project Assumptions'!$D$15+'Project Assumptions'!$D$16=0,IF(Z5=1,-SUM('Detailed Project Costs'!$F$70:$F$73),0),0)</f>
        <v/>
      </c>
      <c r="AA105" s="291">
        <f>IF(AA5='Project Assumptions'!$D$15+'Project Assumptions'!$D$16,-SUM('Detailed Project Costs'!$F$70:$F$73),0)+IF('Project Assumptions'!$D$15+'Project Assumptions'!$D$16=0,IF(AA5=1,-SUM('Detailed Project Costs'!$F$70:$F$73),0),0)</f>
        <v/>
      </c>
      <c r="AB105" s="291">
        <f>IF(AB5='Project Assumptions'!$D$15+'Project Assumptions'!$D$16,-SUM('Detailed Project Costs'!$F$70:$F$73),0)+IF('Project Assumptions'!$D$15+'Project Assumptions'!$D$16=0,IF(AB5=1,-SUM('Detailed Project Costs'!$F$70:$F$73),0),0)</f>
        <v/>
      </c>
      <c r="AC105" s="291">
        <f>IF(AC5='Project Assumptions'!$D$15+'Project Assumptions'!$D$16,-SUM('Detailed Project Costs'!$F$70:$F$73),0)+IF('Project Assumptions'!$D$15+'Project Assumptions'!$D$16=0,IF(AC5=1,-SUM('Detailed Project Costs'!$F$70:$F$73),0),0)</f>
        <v/>
      </c>
      <c r="AD105" s="291">
        <f>IF(AD5='Project Assumptions'!$D$15+'Project Assumptions'!$D$16,-SUM('Detailed Project Costs'!$F$70:$F$73),0)+IF('Project Assumptions'!$D$15+'Project Assumptions'!$D$16=0,IF(AD5=1,-SUM('Detailed Project Costs'!$F$70:$F$73),0),0)</f>
        <v/>
      </c>
      <c r="AE105" s="291">
        <f>IF(AE5='Project Assumptions'!$D$15+'Project Assumptions'!$D$16,-SUM('Detailed Project Costs'!$F$70:$F$73),0)+IF('Project Assumptions'!$D$15+'Project Assumptions'!$D$16=0,IF(AE5=1,-SUM('Detailed Project Costs'!$F$70:$F$73),0),0)</f>
        <v/>
      </c>
      <c r="AF105" s="291">
        <f>IF(AF5='Project Assumptions'!$D$15+'Project Assumptions'!$D$16,-SUM('Detailed Project Costs'!$F$70:$F$73),0)+IF('Project Assumptions'!$D$15+'Project Assumptions'!$D$16=0,IF(AF5=1,-SUM('Detailed Project Costs'!$F$70:$F$73),0),0)</f>
        <v/>
      </c>
      <c r="AG105" s="291">
        <f>IF(AG5='Project Assumptions'!$D$15+'Project Assumptions'!$D$16,-SUM('Detailed Project Costs'!$F$70:$F$73),0)+IF('Project Assumptions'!$D$15+'Project Assumptions'!$D$16=0,IF(AG5=1,-SUM('Detailed Project Costs'!$F$70:$F$73),0),0)</f>
        <v/>
      </c>
      <c r="AH105" s="291">
        <f>IF(AH5='Project Assumptions'!$D$15+'Project Assumptions'!$D$16,-SUM('Detailed Project Costs'!$F$70:$F$73),0)+IF('Project Assumptions'!$D$15+'Project Assumptions'!$D$16=0,IF(AH5=1,-SUM('Detailed Project Costs'!$F$70:$F$73),0),0)</f>
        <v/>
      </c>
      <c r="AI105" s="291">
        <f>IF(AI5='Project Assumptions'!$D$15+'Project Assumptions'!$D$16,-SUM('Detailed Project Costs'!$F$70:$F$73),0)+IF('Project Assumptions'!$D$15+'Project Assumptions'!$D$16=0,IF(AI5=1,-SUM('Detailed Project Costs'!$F$70:$F$73),0),0)</f>
        <v/>
      </c>
      <c r="AJ105" s="291">
        <f>IF(AJ5='Project Assumptions'!$D$15+'Project Assumptions'!$D$16,-SUM('Detailed Project Costs'!$F$70:$F$73),0)+IF('Project Assumptions'!$D$15+'Project Assumptions'!$D$16=0,IF(AJ5=1,-SUM('Detailed Project Costs'!$F$70:$F$73),0),0)</f>
        <v/>
      </c>
      <c r="AK105" s="291">
        <f>IF(AK5='Project Assumptions'!$D$15+'Project Assumptions'!$D$16,-SUM('Detailed Project Costs'!$F$70:$F$73),0)+IF('Project Assumptions'!$D$15+'Project Assumptions'!$D$16=0,IF(AK5=1,-SUM('Detailed Project Costs'!$F$70:$F$73),0),0)</f>
        <v/>
      </c>
      <c r="AL105" s="291">
        <f>IF(AL5='Project Assumptions'!$D$15+'Project Assumptions'!$D$16,-SUM('Detailed Project Costs'!$F$70:$F$73),0)+IF('Project Assumptions'!$D$15+'Project Assumptions'!$D$16=0,IF(AL5=1,-SUM('Detailed Project Costs'!$F$70:$F$73),0),0)</f>
        <v/>
      </c>
      <c r="AM105" s="291">
        <f>IF(AM5='Project Assumptions'!$D$15+'Project Assumptions'!$D$16,-SUM('Detailed Project Costs'!$F$70:$F$73),0)+IF('Project Assumptions'!$D$15+'Project Assumptions'!$D$16=0,IF(AM5=1,-SUM('Detailed Project Costs'!$F$70:$F$73),0),0)</f>
        <v/>
      </c>
      <c r="AN105" s="291">
        <f>IF(AN5='Project Assumptions'!$D$15+'Project Assumptions'!$D$16,-SUM('Detailed Project Costs'!$F$70:$F$73),0)+IF('Project Assumptions'!$D$15+'Project Assumptions'!$D$16=0,IF(AN5=1,-SUM('Detailed Project Costs'!$F$70:$F$73),0),0)</f>
        <v/>
      </c>
      <c r="AO105" s="291">
        <f>IF(AO5='Project Assumptions'!$D$15+'Project Assumptions'!$D$16,-SUM('Detailed Project Costs'!$F$70:$F$73),0)+IF('Project Assumptions'!$D$15+'Project Assumptions'!$D$16=0,IF(AO5=1,-SUM('Detailed Project Costs'!$F$70:$F$73),0),0)</f>
        <v/>
      </c>
      <c r="AP105" s="291">
        <f>IF(AP5='Project Assumptions'!$D$15+'Project Assumptions'!$D$16,-SUM('Detailed Project Costs'!$F$70:$F$73),0)+IF('Project Assumptions'!$D$15+'Project Assumptions'!$D$16=0,IF(AP5=1,-SUM('Detailed Project Costs'!$F$70:$F$73),0),0)</f>
        <v/>
      </c>
      <c r="AQ105" s="291">
        <f>IF(AQ5='Project Assumptions'!$D$15+'Project Assumptions'!$D$16,-SUM('Detailed Project Costs'!$F$70:$F$73),0)+IF('Project Assumptions'!$D$15+'Project Assumptions'!$D$16=0,IF(AQ5=1,-SUM('Detailed Project Costs'!$F$70:$F$73),0),0)</f>
        <v/>
      </c>
      <c r="AR105" s="291">
        <f>IF(AR5='Project Assumptions'!$D$15+'Project Assumptions'!$D$16,-SUM('Detailed Project Costs'!$F$70:$F$73),0)+IF('Project Assumptions'!$D$15+'Project Assumptions'!$D$16=0,IF(AR5=1,-SUM('Detailed Project Costs'!$F$70:$F$73),0),0)</f>
        <v/>
      </c>
      <c r="AS105" s="291">
        <f>IF(AS5='Project Assumptions'!$D$15+'Project Assumptions'!$D$16,-SUM('Detailed Project Costs'!$F$70:$F$73),0)+IF('Project Assumptions'!$D$15+'Project Assumptions'!$D$16=0,IF(AS5=1,-SUM('Detailed Project Costs'!$F$70:$F$73),0),0)</f>
        <v/>
      </c>
      <c r="AT105" s="291">
        <f>IF(AT5='Project Assumptions'!$D$15+'Project Assumptions'!$D$16,-SUM('Detailed Project Costs'!$F$70:$F$73),0)+IF('Project Assumptions'!$D$15+'Project Assumptions'!$D$16=0,IF(AT5=1,-SUM('Detailed Project Costs'!$F$70:$F$73),0),0)</f>
        <v/>
      </c>
      <c r="AU105" s="291">
        <f>IF(AU5='Project Assumptions'!$D$15+'Project Assumptions'!$D$16,-SUM('Detailed Project Costs'!$F$70:$F$73),0)+IF('Project Assumptions'!$D$15+'Project Assumptions'!$D$16=0,IF(AU5=1,-SUM('Detailed Project Costs'!$F$70:$F$73),0),0)</f>
        <v/>
      </c>
      <c r="AV105" s="291">
        <f>IF(AV5='Project Assumptions'!$D$15+'Project Assumptions'!$D$16,-SUM('Detailed Project Costs'!$F$70:$F$73),0)+IF('Project Assumptions'!$D$15+'Project Assumptions'!$D$16=0,IF(AV5=1,-SUM('Detailed Project Costs'!$F$70:$F$73),0),0)</f>
        <v/>
      </c>
      <c r="AW105" s="291">
        <f>IF(AW5='Project Assumptions'!$D$15+'Project Assumptions'!$D$16,-SUM('Detailed Project Costs'!$F$70:$F$73),0)+IF('Project Assumptions'!$D$15+'Project Assumptions'!$D$16=0,IF(AW5=1,-SUM('Detailed Project Costs'!$F$70:$F$73),0),0)</f>
        <v/>
      </c>
      <c r="AX105" s="291">
        <f>IF(AX5='Project Assumptions'!$D$15+'Project Assumptions'!$D$16,-SUM('Detailed Project Costs'!$F$70:$F$73),0)+IF('Project Assumptions'!$D$15+'Project Assumptions'!$D$16=0,IF(AX5=1,-SUM('Detailed Project Costs'!$F$70:$F$73),0),0)</f>
        <v/>
      </c>
      <c r="AY105" s="291">
        <f>IF(AY5='Project Assumptions'!$D$15+'Project Assumptions'!$D$16,-SUM('Detailed Project Costs'!$F$70:$F$73),0)+IF('Project Assumptions'!$D$15+'Project Assumptions'!$D$16=0,IF(AY5=1,-SUM('Detailed Project Costs'!$F$70:$F$73),0),0)</f>
        <v/>
      </c>
      <c r="AZ105" s="291">
        <f>IF(AZ5='Project Assumptions'!$D$15+'Project Assumptions'!$D$16,-SUM('Detailed Project Costs'!$F$70:$F$73),0)+IF('Project Assumptions'!$D$15+'Project Assumptions'!$D$16=0,IF(AZ5=1,-SUM('Detailed Project Costs'!$F$70:$F$73),0),0)</f>
        <v/>
      </c>
      <c r="BA105" s="291">
        <f>IF(BA5='Project Assumptions'!$D$15+'Project Assumptions'!$D$16,-SUM('Detailed Project Costs'!$F$70:$F$73),0)+IF('Project Assumptions'!$D$15+'Project Assumptions'!$D$16=0,IF(BA5=1,-SUM('Detailed Project Costs'!$F$70:$F$73),0),0)</f>
        <v/>
      </c>
      <c r="BB105" s="291">
        <f>IF(BB5='Project Assumptions'!$D$15+'Project Assumptions'!$D$16,-SUM('Detailed Project Costs'!$F$70:$F$73),0)+IF('Project Assumptions'!$D$15+'Project Assumptions'!$D$16=0,IF(BB5=1,-SUM('Detailed Project Costs'!$F$70:$F$73),0),0)</f>
        <v/>
      </c>
      <c r="BC105" s="291">
        <f>IF(BC5='Project Assumptions'!$D$15+'Project Assumptions'!$D$16,-SUM('Detailed Project Costs'!$F$70:$F$73),0)+IF('Project Assumptions'!$D$15+'Project Assumptions'!$D$16=0,IF(BC5=1,-SUM('Detailed Project Costs'!$F$70:$F$73),0),0)</f>
        <v/>
      </c>
      <c r="BD105" s="291">
        <f>IF(BD5='Project Assumptions'!$D$15+'Project Assumptions'!$D$16,-SUM('Detailed Project Costs'!$F$70:$F$73),0)+IF('Project Assumptions'!$D$15+'Project Assumptions'!$D$16=0,IF(BD5=1,-SUM('Detailed Project Costs'!$F$70:$F$73),0),0)</f>
        <v/>
      </c>
      <c r="BE105" s="291">
        <f>IF(BE5='Project Assumptions'!$D$15+'Project Assumptions'!$D$16,-SUM('Detailed Project Costs'!$F$70:$F$73),0)+IF('Project Assumptions'!$D$15+'Project Assumptions'!$D$16=0,IF(BE5=1,-SUM('Detailed Project Costs'!$F$70:$F$73),0),0)</f>
        <v/>
      </c>
      <c r="BF105" s="291">
        <f>IF(BF5='Project Assumptions'!$D$15+'Project Assumptions'!$D$16,-SUM('Detailed Project Costs'!$F$70:$F$73),0)+IF('Project Assumptions'!$D$15+'Project Assumptions'!$D$16=0,IF(BF5=1,-SUM('Detailed Project Costs'!$F$70:$F$73),0),0)</f>
        <v/>
      </c>
      <c r="BG105" s="291">
        <f>IF(BG5='Project Assumptions'!$D$15+'Project Assumptions'!$D$16,-SUM('Detailed Project Costs'!$F$70:$F$73),0)+IF('Project Assumptions'!$D$15+'Project Assumptions'!$D$16=0,IF(BG5=1,-SUM('Detailed Project Costs'!$F$70:$F$73),0),0)</f>
        <v/>
      </c>
      <c r="BH105" s="291">
        <f>IF(BH5='Project Assumptions'!$D$15+'Project Assumptions'!$D$16,-SUM('Detailed Project Costs'!$F$70:$F$73),0)+IF('Project Assumptions'!$D$15+'Project Assumptions'!$D$16=0,IF(BH5=1,-SUM('Detailed Project Costs'!$F$70:$F$73),0),0)</f>
        <v/>
      </c>
      <c r="BI105" s="291">
        <f>IF(BI5='Project Assumptions'!$D$15+'Project Assumptions'!$D$16,-SUM('Detailed Project Costs'!$F$70:$F$73),0)+IF('Project Assumptions'!$D$15+'Project Assumptions'!$D$16=0,IF(BI5=1,-SUM('Detailed Project Costs'!$F$70:$F$73),0),0)</f>
        <v/>
      </c>
      <c r="BJ105" s="291">
        <f>IF(BJ5='Project Assumptions'!$D$15+'Project Assumptions'!$D$16,-SUM('Detailed Project Costs'!$F$70:$F$73),0)+IF('Project Assumptions'!$D$15+'Project Assumptions'!$D$16=0,IF(BJ5=1,-SUM('Detailed Project Costs'!$F$70:$F$73),0),0)</f>
        <v/>
      </c>
      <c r="BK105" s="291">
        <f>IF(BK5='Project Assumptions'!$D$15+'Project Assumptions'!$D$16,-SUM('Detailed Project Costs'!$F$70:$F$73),0)+IF('Project Assumptions'!$D$15+'Project Assumptions'!$D$16=0,IF(BK5=1,-SUM('Detailed Project Costs'!$F$70:$F$73),0),0)</f>
        <v/>
      </c>
      <c r="BL105" s="291">
        <f>IF(BL5='Project Assumptions'!$D$15+'Project Assumptions'!$D$16,-SUM('Detailed Project Costs'!$F$70:$F$73),0)+IF('Project Assumptions'!$D$15+'Project Assumptions'!$D$16=0,IF(BL5=1,-SUM('Detailed Project Costs'!$F$70:$F$73),0),0)</f>
        <v/>
      </c>
      <c r="BM105" s="291">
        <f>IF(BM5='Project Assumptions'!$D$15+'Project Assumptions'!$D$16,-SUM('Detailed Project Costs'!$F$70:$F$73),0)+IF('Project Assumptions'!$D$15+'Project Assumptions'!$D$16=0,IF(BM5=1,-SUM('Detailed Project Costs'!$F$70:$F$73),0),0)</f>
        <v/>
      </c>
      <c r="BN105" s="291">
        <f>IF(BN5='Project Assumptions'!$D$15+'Project Assumptions'!$D$16,-SUM('Detailed Project Costs'!$F$70:$F$73),0)+IF('Project Assumptions'!$D$15+'Project Assumptions'!$D$16=0,IF(BN5=1,-SUM('Detailed Project Costs'!$F$70:$F$73),0),0)</f>
        <v/>
      </c>
      <c r="BO105" s="291">
        <f>IF(BO5='Project Assumptions'!$D$15+'Project Assumptions'!$D$16,-SUM('Detailed Project Costs'!$F$70:$F$73),0)+IF('Project Assumptions'!$D$15+'Project Assumptions'!$D$16=0,IF(BO5=1,-SUM('Detailed Project Costs'!$F$70:$F$73),0),0)</f>
        <v/>
      </c>
      <c r="BP105" s="291">
        <f>IF(BP5='Project Assumptions'!$D$15+'Project Assumptions'!$D$16,-SUM('Detailed Project Costs'!$F$70:$F$73),0)+IF('Project Assumptions'!$D$15+'Project Assumptions'!$D$16=0,IF(BP5=1,-SUM('Detailed Project Costs'!$F$70:$F$73),0),0)</f>
        <v/>
      </c>
      <c r="BQ105" s="291">
        <f>IF(BQ5='Project Assumptions'!$D$15+'Project Assumptions'!$D$16,-SUM('Detailed Project Costs'!$F$70:$F$73),0)+IF('Project Assumptions'!$D$15+'Project Assumptions'!$D$16=0,IF(BQ5=1,-SUM('Detailed Project Costs'!$F$70:$F$73),0),0)</f>
        <v/>
      </c>
      <c r="BR105" s="291">
        <f>IF(BR5='Project Assumptions'!$D$15+'Project Assumptions'!$D$16,-SUM('Detailed Project Costs'!$F$70:$F$73),0)+IF('Project Assumptions'!$D$15+'Project Assumptions'!$D$16=0,IF(BR5=1,-SUM('Detailed Project Costs'!$F$70:$F$73),0),0)</f>
        <v/>
      </c>
      <c r="BS105" s="291">
        <f>IF(BS5='Project Assumptions'!$D$15+'Project Assumptions'!$D$16,-SUM('Detailed Project Costs'!$F$70:$F$73),0)+IF('Project Assumptions'!$D$15+'Project Assumptions'!$D$16=0,IF(BS5=1,-SUM('Detailed Project Costs'!$F$70:$F$73),0),0)</f>
        <v/>
      </c>
      <c r="BT105" s="291">
        <f>IF(BT5='Project Assumptions'!$D$15+'Project Assumptions'!$D$16,-SUM('Detailed Project Costs'!$F$70:$F$73),0)+IF('Project Assumptions'!$D$15+'Project Assumptions'!$D$16=0,IF(BT5=1,-SUM('Detailed Project Costs'!$F$70:$F$73),0),0)</f>
        <v/>
      </c>
      <c r="BU105" s="291">
        <f>IF(BU5='Project Assumptions'!$D$15+'Project Assumptions'!$D$16,-SUM('Detailed Project Costs'!$F$70:$F$73),0)+IF('Project Assumptions'!$D$15+'Project Assumptions'!$D$16=0,IF(BU5=1,-SUM('Detailed Project Costs'!$F$70:$F$73),0),0)</f>
        <v/>
      </c>
      <c r="BV105" s="291">
        <f>IF(BV5='Project Assumptions'!$D$15+'Project Assumptions'!$D$16,-SUM('Detailed Project Costs'!$F$70:$F$73),0)+IF('Project Assumptions'!$D$15+'Project Assumptions'!$D$16=0,IF(BV5=1,-SUM('Detailed Project Costs'!$F$70:$F$73),0),0)</f>
        <v/>
      </c>
      <c r="BW105" s="291">
        <f>IF(BW5='Project Assumptions'!$D$15+'Project Assumptions'!$D$16,-SUM('Detailed Project Costs'!$F$70:$F$73),0)+IF('Project Assumptions'!$D$15+'Project Assumptions'!$D$16=0,IF(BW5=1,-SUM('Detailed Project Costs'!$F$70:$F$73),0),0)</f>
        <v/>
      </c>
      <c r="BX105" s="291">
        <f>IF(BX5='Project Assumptions'!$D$15+'Project Assumptions'!$D$16,-SUM('Detailed Project Costs'!$F$70:$F$73),0)+IF('Project Assumptions'!$D$15+'Project Assumptions'!$D$16=0,IF(BX5=1,-SUM('Detailed Project Costs'!$F$70:$F$73),0),0)</f>
        <v/>
      </c>
      <c r="BY105" s="291">
        <f>IF(BY5='Project Assumptions'!$D$15+'Project Assumptions'!$D$16,-SUM('Detailed Project Costs'!$F$70:$F$73),0)+IF('Project Assumptions'!$D$15+'Project Assumptions'!$D$16=0,IF(BY5=1,-SUM('Detailed Project Costs'!$F$70:$F$73),0),0)</f>
        <v/>
      </c>
      <c r="BZ105" s="291">
        <f>IF(BZ5='Project Assumptions'!$D$15+'Project Assumptions'!$D$16,-SUM('Detailed Project Costs'!$F$70:$F$73),0)+IF('Project Assumptions'!$D$15+'Project Assumptions'!$D$16=0,IF(BZ5=1,-SUM('Detailed Project Costs'!$F$70:$F$73),0),0)</f>
        <v/>
      </c>
      <c r="CA105" s="291">
        <f>IF(CA5='Project Assumptions'!$D$15+'Project Assumptions'!$D$16,-SUM('Detailed Project Costs'!$F$70:$F$73),0)+IF('Project Assumptions'!$D$15+'Project Assumptions'!$D$16=0,IF(CA5=1,-SUM('Detailed Project Costs'!$F$70:$F$73),0),0)</f>
        <v/>
      </c>
      <c r="CB105" s="291">
        <f>IF(CB5='Project Assumptions'!$D$15+'Project Assumptions'!$D$16,-SUM('Detailed Project Costs'!$F$70:$F$73),0)+IF('Project Assumptions'!$D$15+'Project Assumptions'!$D$16=0,IF(CB5=1,-SUM('Detailed Project Costs'!$F$70:$F$73),0),0)</f>
        <v/>
      </c>
      <c r="CC105" s="291">
        <f>IF(CC5='Project Assumptions'!$D$15+'Project Assumptions'!$D$16,-SUM('Detailed Project Costs'!$F$70:$F$73),0)+IF('Project Assumptions'!$D$15+'Project Assumptions'!$D$16=0,IF(CC5=1,-SUM('Detailed Project Costs'!$F$70:$F$73),0),0)</f>
        <v/>
      </c>
      <c r="CD105" s="291">
        <f>IF(CD5='Project Assumptions'!$D$15+'Project Assumptions'!$D$16,-SUM('Detailed Project Costs'!$F$70:$F$73),0)+IF('Project Assumptions'!$D$15+'Project Assumptions'!$D$16=0,IF(CD5=1,-SUM('Detailed Project Costs'!$F$70:$F$73),0),0)</f>
        <v/>
      </c>
      <c r="CE105" s="291">
        <f>IF(CE5='Project Assumptions'!$D$15+'Project Assumptions'!$D$16,-SUM('Detailed Project Costs'!$F$70:$F$73),0)+IF('Project Assumptions'!$D$15+'Project Assumptions'!$D$16=0,IF(CE5=1,-SUM('Detailed Project Costs'!$F$70:$F$73),0),0)</f>
        <v/>
      </c>
      <c r="CF105" s="291">
        <f>IF(CF5='Project Assumptions'!$D$15+'Project Assumptions'!$D$16,-SUM('Detailed Project Costs'!$F$70:$F$73),0)+IF('Project Assumptions'!$D$15+'Project Assumptions'!$D$16=0,IF(CF5=1,-SUM('Detailed Project Costs'!$F$70:$F$73),0),0)</f>
        <v/>
      </c>
      <c r="CG105" s="291">
        <f>IF(CG5='Project Assumptions'!$D$15+'Project Assumptions'!$D$16,-SUM('Detailed Project Costs'!$F$70:$F$73),0)+IF('Project Assumptions'!$D$15+'Project Assumptions'!$D$16=0,IF(CG5=1,-SUM('Detailed Project Costs'!$F$70:$F$73),0),0)</f>
        <v/>
      </c>
      <c r="CH105" s="291">
        <f>IF(CH5='Project Assumptions'!$D$15+'Project Assumptions'!$D$16,-SUM('Detailed Project Costs'!$F$70:$F$73),0)+IF('Project Assumptions'!$D$15+'Project Assumptions'!$D$16=0,IF(CH5=1,-SUM('Detailed Project Costs'!$F$70:$F$73),0),0)</f>
        <v/>
      </c>
      <c r="CI105" s="291">
        <f>IF(CI5='Project Assumptions'!$D$15+'Project Assumptions'!$D$16,-SUM('Detailed Project Costs'!$F$70:$F$73),0)+IF('Project Assumptions'!$D$15+'Project Assumptions'!$D$16=0,IF(CI5=1,-SUM('Detailed Project Costs'!$F$70:$F$73),0),0)</f>
        <v/>
      </c>
      <c r="CJ105" s="291">
        <f>IF(CJ5='Project Assumptions'!$D$15+'Project Assumptions'!$D$16,-SUM('Detailed Project Costs'!$F$70:$F$73),0)+IF('Project Assumptions'!$D$15+'Project Assumptions'!$D$16=0,IF(CJ5=1,-SUM('Detailed Project Costs'!$F$70:$F$73),0),0)</f>
        <v/>
      </c>
      <c r="CK105" s="291">
        <f>IF(CK5='Project Assumptions'!$D$15+'Project Assumptions'!$D$16,-SUM('Detailed Project Costs'!$F$70:$F$73),0)+IF('Project Assumptions'!$D$15+'Project Assumptions'!$D$16=0,IF(CK5=1,-SUM('Detailed Project Costs'!$F$70:$F$73),0),0)</f>
        <v/>
      </c>
      <c r="CL105" s="291">
        <f>IF(CL5='Project Assumptions'!$D$15+'Project Assumptions'!$D$16,-SUM('Detailed Project Costs'!$F$70:$F$73),0)+IF('Project Assumptions'!$D$15+'Project Assumptions'!$D$16=0,IF(CL5=1,-SUM('Detailed Project Costs'!$F$70:$F$73),0),0)</f>
        <v/>
      </c>
      <c r="CM105" s="291">
        <f>IF(CM5='Project Assumptions'!$D$15+'Project Assumptions'!$D$16,-SUM('Detailed Project Costs'!$F$70:$F$73),0)+IF('Project Assumptions'!$D$15+'Project Assumptions'!$D$16=0,IF(CM5=1,-SUM('Detailed Project Costs'!$F$70:$F$73),0),0)</f>
        <v/>
      </c>
      <c r="CN105" s="291">
        <f>IF(CN5='Project Assumptions'!$D$15+'Project Assumptions'!$D$16,-SUM('Detailed Project Costs'!$F$70:$F$73),0)+IF('Project Assumptions'!$D$15+'Project Assumptions'!$D$16=0,IF(CN5=1,-SUM('Detailed Project Costs'!$F$70:$F$73),0),0)</f>
        <v/>
      </c>
      <c r="CO105" s="291">
        <f>IF(CO5='Project Assumptions'!$D$15+'Project Assumptions'!$D$16,-SUM('Detailed Project Costs'!$F$70:$F$73),0)+IF('Project Assumptions'!$D$15+'Project Assumptions'!$D$16=0,IF(CO5=1,-SUM('Detailed Project Costs'!$F$70:$F$73),0),0)</f>
        <v/>
      </c>
      <c r="CP105" s="291">
        <f>IF(CP5='Project Assumptions'!$D$15+'Project Assumptions'!$D$16,-SUM('Detailed Project Costs'!$F$70:$F$73),0)+IF('Project Assumptions'!$D$15+'Project Assumptions'!$D$16=0,IF(CP5=1,-SUM('Detailed Project Costs'!$F$70:$F$73),0),0)</f>
        <v/>
      </c>
      <c r="CQ105" s="291">
        <f>IF(CQ5='Project Assumptions'!$D$15+'Project Assumptions'!$D$16,-SUM('Detailed Project Costs'!$F$70:$F$73),0)+IF('Project Assumptions'!$D$15+'Project Assumptions'!$D$16=0,IF(CQ5=1,-SUM('Detailed Project Costs'!$F$70:$F$73),0),0)</f>
        <v/>
      </c>
      <c r="CR105" s="291">
        <f>IF(CR5='Project Assumptions'!$D$15+'Project Assumptions'!$D$16,-SUM('Detailed Project Costs'!$F$70:$F$73),0)+IF('Project Assumptions'!$D$15+'Project Assumptions'!$D$16=0,IF(CR5=1,-SUM('Detailed Project Costs'!$F$70:$F$73),0),0)</f>
        <v/>
      </c>
      <c r="CS105" s="291">
        <f>IF(CS5='Project Assumptions'!$D$15+'Project Assumptions'!$D$16,-SUM('Detailed Project Costs'!$F$70:$F$73),0)+IF('Project Assumptions'!$D$15+'Project Assumptions'!$D$16=0,IF(CS5=1,-SUM('Detailed Project Costs'!$F$70:$F$73),0),0)</f>
        <v/>
      </c>
      <c r="CT105" s="291">
        <f>IF(CT5='Project Assumptions'!$D$15+'Project Assumptions'!$D$16,-SUM('Detailed Project Costs'!$F$70:$F$73),0)+IF('Project Assumptions'!$D$15+'Project Assumptions'!$D$16=0,IF(CT5=1,-SUM('Detailed Project Costs'!$F$70:$F$73),0),0)</f>
        <v/>
      </c>
      <c r="CU105" s="291">
        <f>IF(CU5='Project Assumptions'!$D$15+'Project Assumptions'!$D$16,-SUM('Detailed Project Costs'!$F$70:$F$73),0)+IF('Project Assumptions'!$D$15+'Project Assumptions'!$D$16=0,IF(CU5=1,-SUM('Detailed Project Costs'!$F$70:$F$73),0),0)</f>
        <v/>
      </c>
      <c r="CV105" s="291">
        <f>IF(CV5='Project Assumptions'!$D$15+'Project Assumptions'!$D$16,-SUM('Detailed Project Costs'!$F$70:$F$73),0)+IF('Project Assumptions'!$D$15+'Project Assumptions'!$D$16=0,IF(CV5=1,-SUM('Detailed Project Costs'!$F$70:$F$73),0),0)</f>
        <v/>
      </c>
      <c r="CW105" s="291">
        <f>IF(CW5='Project Assumptions'!$D$15+'Project Assumptions'!$D$16,-SUM('Detailed Project Costs'!$F$70:$F$73),0)+IF('Project Assumptions'!$D$15+'Project Assumptions'!$D$16=0,IF(CW5=1,-SUM('Detailed Project Costs'!$F$70:$F$73),0),0)</f>
        <v/>
      </c>
      <c r="CX105" s="291">
        <f>IF(CX5='Project Assumptions'!$D$15+'Project Assumptions'!$D$16,-SUM('Detailed Project Costs'!$F$70:$F$73),0)+IF('Project Assumptions'!$D$15+'Project Assumptions'!$D$16=0,IF(CX5=1,-SUM('Detailed Project Costs'!$F$70:$F$73),0),0)</f>
        <v/>
      </c>
      <c r="CY105" s="291">
        <f>IF(CY5='Project Assumptions'!$D$15+'Project Assumptions'!$D$16,-SUM('Detailed Project Costs'!$F$70:$F$73),0)+IF('Project Assumptions'!$D$15+'Project Assumptions'!$D$16=0,IF(CY5=1,-SUM('Detailed Project Costs'!$F$70:$F$73),0),0)</f>
        <v/>
      </c>
      <c r="CZ105" s="291">
        <f>IF(CZ5='Project Assumptions'!$D$15+'Project Assumptions'!$D$16,-SUM('Detailed Project Costs'!$F$70:$F$73),0)+IF('Project Assumptions'!$D$15+'Project Assumptions'!$D$16=0,IF(CZ5=1,-SUM('Detailed Project Costs'!$F$70:$F$73),0),0)</f>
        <v/>
      </c>
      <c r="DA105" s="291">
        <f>IF(DA5='Project Assumptions'!$D$15+'Project Assumptions'!$D$16,-SUM('Detailed Project Costs'!$F$70:$F$73),0)+IF('Project Assumptions'!$D$15+'Project Assumptions'!$D$16=0,IF(DA5=1,-SUM('Detailed Project Costs'!$F$70:$F$73),0),0)</f>
        <v/>
      </c>
      <c r="DB105" s="291">
        <f>IF(DB5='Project Assumptions'!$D$15+'Project Assumptions'!$D$16,-SUM('Detailed Project Costs'!$F$70:$F$73),0)+IF('Project Assumptions'!$D$15+'Project Assumptions'!$D$16=0,IF(DB5=1,-SUM('Detailed Project Costs'!$F$70:$F$73),0),0)</f>
        <v/>
      </c>
      <c r="DC105" s="291" t="n"/>
      <c r="DD105" s="289">
        <f>SUM(F105:DB105)</f>
        <v/>
      </c>
    </row>
    <row r="106" ht="14.1" customFormat="1" customHeight="1" s="312">
      <c r="A106" s="708" t="inlineStr">
        <is>
          <t>Monthly Costs excluding Interest</t>
        </is>
      </c>
      <c r="B106" s="709" t="n"/>
      <c r="C106" s="280" t="n"/>
      <c r="D106" s="311">
        <f>DD106</f>
        <v/>
      </c>
      <c r="E106" s="281" t="n"/>
      <c r="F106" s="279">
        <f>SUM(F29:F34)+F35+F46+SUM(F57:F74)+F75+F87+SUM(F99:F105)</f>
        <v/>
      </c>
      <c r="G106" s="279">
        <f>SUM(G29:G34)+G35+G46+SUM(G57:G74)+G75+G87+SUM(G99:G105)</f>
        <v/>
      </c>
      <c r="H106" s="279">
        <f>SUM(H29:H34)+H35+H46+SUM(H57:H74)+H75+H87+SUM(H99:H105)</f>
        <v/>
      </c>
      <c r="I106" s="279">
        <f>SUM(I29:I34)+I35+I46+SUM(I57:I74)+I75+I87+SUM(I99:I105)</f>
        <v/>
      </c>
      <c r="J106" s="279">
        <f>SUM(J29:J34)+J35+J46+SUM(J57:J74)+J75+J87+SUM(J99:J105)</f>
        <v/>
      </c>
      <c r="K106" s="279">
        <f>SUM(K29:K34)+K35+K46+SUM(K57:K74)+K75+K87+SUM(K99:K105)</f>
        <v/>
      </c>
      <c r="L106" s="279">
        <f>SUM(L29:L34)+L35+L46+SUM(L57:L74)+L75+L87+SUM(L99:L105)</f>
        <v/>
      </c>
      <c r="M106" s="279">
        <f>SUM(M29:M34)+M35+M46+SUM(M57:M74)+M75+M87+SUM(M99:M105)</f>
        <v/>
      </c>
      <c r="N106" s="279">
        <f>SUM(N29:N34)+N35+N46+SUM(N57:N74)+N75+N87+SUM(N99:N105)</f>
        <v/>
      </c>
      <c r="O106" s="279">
        <f>SUM(O29:O34)+O35+O46+SUM(O57:O74)+O75+O87+SUM(O99:O105)</f>
        <v/>
      </c>
      <c r="P106" s="279">
        <f>SUM(P29:P34)+P35+P46+SUM(P57:P74)+P75+P87+SUM(P99:P105)</f>
        <v/>
      </c>
      <c r="Q106" s="279">
        <f>SUM(Q29:Q34)+Q35+Q46+SUM(Q57:Q74)+Q75+Q87+SUM(Q99:Q105)</f>
        <v/>
      </c>
      <c r="R106" s="279">
        <f>SUM(R29:R34)+R35+R46+SUM(R57:R74)+R75+R87+SUM(R99:R105)</f>
        <v/>
      </c>
      <c r="S106" s="279">
        <f>SUM(S29:S34)+S35+S46+SUM(S57:S74)+S75+S87+SUM(S99:S105)</f>
        <v/>
      </c>
      <c r="T106" s="279">
        <f>SUM(T29:T34)+T35+T46+SUM(T57:T74)+T75+T87+SUM(T99:T105)</f>
        <v/>
      </c>
      <c r="U106" s="279">
        <f>SUM(U29:U34)+U35+U46+SUM(U57:U74)+U75+U87+SUM(U99:U105)</f>
        <v/>
      </c>
      <c r="V106" s="279">
        <f>SUM(V29:V34)+V35+V46+SUM(V57:V74)+V75+V87+SUM(V99:V105)</f>
        <v/>
      </c>
      <c r="W106" s="279">
        <f>SUM(W29:W34)+W35+W46+SUM(W57:W74)+W75+W87+SUM(W99:W105)</f>
        <v/>
      </c>
      <c r="X106" s="279">
        <f>SUM(X29:X34)+X35+X46+SUM(X57:X74)+X75+X87+SUM(X99:X105)</f>
        <v/>
      </c>
      <c r="Y106" s="279">
        <f>SUM(Y29:Y34)+Y35+Y46+SUM(Y57:Y74)+Y75+Y87+SUM(Y99:Y105)</f>
        <v/>
      </c>
      <c r="Z106" s="279">
        <f>SUM(Z29:Z34)+Z35+Z46+SUM(Z57:Z74)+Z75+Z87+SUM(Z99:Z105)</f>
        <v/>
      </c>
      <c r="AA106" s="279">
        <f>SUM(AA29:AA34)+AA35+AA46+SUM(AA57:AA74)+AA75+AA87+SUM(AA99:AA105)</f>
        <v/>
      </c>
      <c r="AB106" s="279">
        <f>SUM(AB29:AB34)+AB35+AB46+SUM(AB57:AB74)+AB75+AB87+SUM(AB99:AB105)</f>
        <v/>
      </c>
      <c r="AC106" s="279">
        <f>SUM(AC29:AC34)+AC35+AC46+SUM(AC57:AC74)+AC75+AC87+SUM(AC99:AC105)</f>
        <v/>
      </c>
      <c r="AD106" s="279">
        <f>SUM(AD29:AD34)+AD35+AD46+SUM(AD57:AD74)+AD75+AD87+SUM(AD99:AD105)</f>
        <v/>
      </c>
      <c r="AE106" s="279">
        <f>SUM(AE29:AE34)+AE35+AE46+SUM(AE57:AE74)+AE75+AE87+SUM(AE99:AE105)</f>
        <v/>
      </c>
      <c r="AF106" s="279">
        <f>SUM(AF29:AF34)+AF35+AF46+SUM(AF57:AF74)+AF75+AF87+SUM(AF99:AF105)</f>
        <v/>
      </c>
      <c r="AG106" s="279">
        <f>SUM(AG29:AG34)+AG35+AG46+SUM(AG57:AG74)+AG75+AG87+SUM(AG99:AG105)</f>
        <v/>
      </c>
      <c r="AH106" s="279">
        <f>SUM(AH29:AH34)+AH35+AH46+SUM(AH57:AH74)+AH75+AH87+SUM(AH99:AH105)</f>
        <v/>
      </c>
      <c r="AI106" s="279">
        <f>SUM(AI29:AI34)+AI35+AI46+SUM(AI57:AI74)+AI75+AI87+SUM(AI99:AI105)</f>
        <v/>
      </c>
      <c r="AJ106" s="279">
        <f>SUM(AJ29:AJ34)+AJ35+AJ46+SUM(AJ57:AJ74)+AJ75+AJ87+SUM(AJ99:AJ105)</f>
        <v/>
      </c>
      <c r="AK106" s="279">
        <f>SUM(AK29:AK34)+AK35+AK46+SUM(AK57:AK74)+AK75+AK87+SUM(AK99:AK105)</f>
        <v/>
      </c>
      <c r="AL106" s="279">
        <f>SUM(AL29:AL34)+AL35+AL46+SUM(AL57:AL74)+AL75+AL87+SUM(AL99:AL105)</f>
        <v/>
      </c>
      <c r="AM106" s="279">
        <f>SUM(AM29:AM34)+AM35+AM46+SUM(AM57:AM74)+AM75+AM87+SUM(AM99:AM105)</f>
        <v/>
      </c>
      <c r="AN106" s="279">
        <f>SUM(AN29:AN34)+AN35+AN46+SUM(AN57:AN74)+AN75+AN87+SUM(AN99:AN105)</f>
        <v/>
      </c>
      <c r="AO106" s="279">
        <f>SUM(AO29:AO34)+AO35+AO46+SUM(AO57:AO74)+AO75+AO87+SUM(AO99:AO105)</f>
        <v/>
      </c>
      <c r="AP106" s="279">
        <f>SUM(AP29:AP34)+AP35+AP46+SUM(AP57:AP74)+AP75+AP87+SUM(AP99:AP105)</f>
        <v/>
      </c>
      <c r="AQ106" s="279">
        <f>SUM(AQ29:AQ34)+AQ35+AQ46+SUM(AQ57:AQ74)+AQ75+AQ87+SUM(AQ99:AQ105)</f>
        <v/>
      </c>
      <c r="AR106" s="279">
        <f>SUM(AR29:AR34)+AR35+AR46+SUM(AR57:AR74)+AR75+AR87+SUM(AR99:AR105)</f>
        <v/>
      </c>
      <c r="AS106" s="279">
        <f>SUM(AS29:AS34)+AS35+AS46+SUM(AS57:AS74)+AS75+AS87+SUM(AS99:AS105)</f>
        <v/>
      </c>
      <c r="AT106" s="279">
        <f>SUM(AT29:AT34)+AT35+AT46+SUM(AT57:AT74)+AT75+AT87+SUM(AT99:AT105)</f>
        <v/>
      </c>
      <c r="AU106" s="279">
        <f>SUM(AU29:AU34)+AU35+AU46+SUM(AU57:AU74)+AU75+AU87+SUM(AU99:AU105)</f>
        <v/>
      </c>
      <c r="AV106" s="279">
        <f>SUM(AV29:AV34)+AV35+AV46+SUM(AV57:AV74)+AV75+AV87+SUM(AV99:AV105)</f>
        <v/>
      </c>
      <c r="AW106" s="279">
        <f>SUM(AW29:AW34)+AW35+AW46+SUM(AW57:AW74)+AW75+AW87+SUM(AW99:AW105)</f>
        <v/>
      </c>
      <c r="AX106" s="279">
        <f>SUM(AX29:AX34)+AX35+AX46+SUM(AX57:AX74)+AX75+AX87+SUM(AX99:AX105)</f>
        <v/>
      </c>
      <c r="AY106" s="279">
        <f>SUM(AY29:AY34)+AY35+AY46+SUM(AY57:AY74)+AY75+AY87+SUM(AY99:AY105)</f>
        <v/>
      </c>
      <c r="AZ106" s="279">
        <f>SUM(AZ29:AZ34)+AZ35+AZ46+SUM(AZ57:AZ74)+AZ75+AZ87+SUM(AZ99:AZ105)</f>
        <v/>
      </c>
      <c r="BA106" s="279">
        <f>SUM(BA29:BA34)+BA35+BA46+SUM(BA57:BA74)+BA75+BA87+SUM(BA99:BA105)</f>
        <v/>
      </c>
      <c r="BB106" s="279">
        <f>SUM(BB29:BB34)+BB35+BB46+SUM(BB57:BB74)+BB75+BB87+SUM(BB99:BB105)</f>
        <v/>
      </c>
      <c r="BC106" s="279">
        <f>SUM(BC29:BC34)+BC35+BC46+SUM(BC57:BC74)+BC75+BC87+SUM(BC99:BC105)</f>
        <v/>
      </c>
      <c r="BD106" s="279">
        <f>SUM(BD29:BD34)+BD35+BD46+SUM(BD57:BD74)+BD75+BD87+SUM(BD99:BD105)</f>
        <v/>
      </c>
      <c r="BE106" s="279">
        <f>SUM(BE29:BE34)+BE35+BE46+SUM(BE57:BE74)+BE75+BE87+SUM(BE99:BE105)</f>
        <v/>
      </c>
      <c r="BF106" s="279">
        <f>SUM(BF29:BF34)+BF35+BF46+SUM(BF57:BF74)+BF75+BF87+SUM(BF99:BF105)</f>
        <v/>
      </c>
      <c r="BG106" s="279">
        <f>SUM(BG29:BG34)+BG35+BG46+SUM(BG57:BG74)+BG75+BG87+SUM(BG99:BG105)</f>
        <v/>
      </c>
      <c r="BH106" s="279">
        <f>SUM(BH29:BH34)+BH35+BH46+SUM(BH57:BH74)+BH75+BH87+SUM(BH99:BH105)</f>
        <v/>
      </c>
      <c r="BI106" s="279">
        <f>SUM(BI29:BI34)+BI35+BI46+SUM(BI57:BI74)+BI75+BI87+SUM(BI99:BI105)</f>
        <v/>
      </c>
      <c r="BJ106" s="279">
        <f>SUM(BJ29:BJ34)+BJ35+BJ46+SUM(BJ57:BJ74)+BJ75+BJ87+SUM(BJ99:BJ105)</f>
        <v/>
      </c>
      <c r="BK106" s="279">
        <f>SUM(BK29:BK34)+BK35+BK46+SUM(BK57:BK74)+BK75+BK87+SUM(BK99:BK105)</f>
        <v/>
      </c>
      <c r="BL106" s="279">
        <f>SUM(BL29:BL34)+BL35+BL46+SUM(BL57:BL74)+BL75+BL87+SUM(BL99:BL105)</f>
        <v/>
      </c>
      <c r="BM106" s="279">
        <f>SUM(BM29:BM34)+BM35+BM46+SUM(BM57:BM74)+BM75+BM87+SUM(BM99:BM105)</f>
        <v/>
      </c>
      <c r="BN106" s="279">
        <f>SUM(BN29:BN34)+BN35+BN46+SUM(BN57:BN74)+BN75+BN87+SUM(BN99:BN105)</f>
        <v/>
      </c>
      <c r="BO106" s="279">
        <f>SUM(BO29:BO34)+BO35+BO46+SUM(BO57:BO74)+BO75+BO87+SUM(BO99:BO105)</f>
        <v/>
      </c>
      <c r="BP106" s="279">
        <f>SUM(BP29:BP34)+BP35+BP46+SUM(BP57:BP74)+BP75+BP87+SUM(BP99:BP105)</f>
        <v/>
      </c>
      <c r="BQ106" s="279">
        <f>SUM(BQ29:BQ34)+BQ35+BQ46+SUM(BQ57:BQ74)+BQ75+BQ87+SUM(BQ99:BQ105)</f>
        <v/>
      </c>
      <c r="BR106" s="279">
        <f>SUM(BR29:BR34)+BR35+BR46+SUM(BR57:BR74)+BR75+BR87+SUM(BR99:BR105)</f>
        <v/>
      </c>
      <c r="BS106" s="279">
        <f>SUM(BS29:BS34)+BS35+BS46+SUM(BS57:BS74)+BS75+BS87+SUM(BS99:BS105)</f>
        <v/>
      </c>
      <c r="BT106" s="279">
        <f>SUM(BT29:BT34)+BT35+BT46+SUM(BT57:BT74)+BT75+BT87+SUM(BT99:BT105)</f>
        <v/>
      </c>
      <c r="BU106" s="279">
        <f>SUM(BU29:BU34)+BU35+BU46+SUM(BU57:BU74)+BU75+BU87+SUM(BU99:BU105)</f>
        <v/>
      </c>
      <c r="BV106" s="279">
        <f>SUM(BV29:BV34)+BV35+BV46+SUM(BV57:BV74)+BV75+BV87+SUM(BV99:BV105)</f>
        <v/>
      </c>
      <c r="BW106" s="279">
        <f>SUM(BW29:BW34)+BW35+BW46+SUM(BW57:BW74)+BW75+BW87+SUM(BW99:BW105)</f>
        <v/>
      </c>
      <c r="BX106" s="279">
        <f>SUM(BX29:BX34)+BX35+BX46+SUM(BX57:BX74)+BX75+BX87+SUM(BX99:BX105)</f>
        <v/>
      </c>
      <c r="BY106" s="279">
        <f>SUM(BY29:BY34)+BY35+BY46+SUM(BY57:BY74)+BY75+BY87+SUM(BY99:BY105)</f>
        <v/>
      </c>
      <c r="BZ106" s="279">
        <f>SUM(BZ29:BZ34)+BZ35+BZ46+SUM(BZ57:BZ74)+BZ75+BZ87+SUM(BZ99:BZ105)</f>
        <v/>
      </c>
      <c r="CA106" s="279">
        <f>SUM(CA29:CA34)+CA35+CA46+SUM(CA57:CA74)+CA75+CA87+SUM(CA99:CA105)</f>
        <v/>
      </c>
      <c r="CB106" s="279">
        <f>SUM(CB29:CB34)+CB35+CB46+SUM(CB57:CB74)+CB75+CB87+SUM(CB99:CB105)</f>
        <v/>
      </c>
      <c r="CC106" s="279">
        <f>SUM(CC29:CC34)+CC35+CC46+SUM(CC57:CC74)+CC75+CC87+SUM(CC99:CC105)</f>
        <v/>
      </c>
      <c r="CD106" s="279">
        <f>SUM(CD29:CD34)+CD35+CD46+SUM(CD57:CD74)+CD75+CD87+SUM(CD99:CD105)</f>
        <v/>
      </c>
      <c r="CE106" s="279">
        <f>SUM(CE29:CE34)+CE35+CE46+SUM(CE57:CE74)+CE75+CE87+SUM(CE99:CE105)</f>
        <v/>
      </c>
      <c r="CF106" s="279">
        <f>SUM(CF29:CF34)+CF35+CF46+SUM(CF57:CF74)+CF75+CF87+SUM(CF99:CF105)</f>
        <v/>
      </c>
      <c r="CG106" s="279">
        <f>SUM(CG29:CG34)+CG35+CG46+SUM(CG57:CG74)+CG75+CG87+SUM(CG99:CG105)</f>
        <v/>
      </c>
      <c r="CH106" s="279">
        <f>SUM(CH29:CH34)+CH35+CH46+SUM(CH57:CH74)+CH75+CH87+SUM(CH99:CH105)</f>
        <v/>
      </c>
      <c r="CI106" s="279">
        <f>SUM(CI29:CI34)+CI35+CI46+SUM(CI57:CI74)+CI75+CI87+SUM(CI99:CI105)</f>
        <v/>
      </c>
      <c r="CJ106" s="279">
        <f>SUM(CJ29:CJ34)+CJ35+CJ46+SUM(CJ57:CJ74)+CJ75+CJ87+SUM(CJ99:CJ105)</f>
        <v/>
      </c>
      <c r="CK106" s="279">
        <f>SUM(CK29:CK34)+CK35+CK46+SUM(CK57:CK74)+CK75+CK87+SUM(CK99:CK105)</f>
        <v/>
      </c>
      <c r="CL106" s="279">
        <f>SUM(CL29:CL34)+CL35+CL46+SUM(CL57:CL74)+CL75+CL87+SUM(CL99:CL105)</f>
        <v/>
      </c>
      <c r="CM106" s="279">
        <f>SUM(CM29:CM34)+CM35+CM46+SUM(CM57:CM74)+CM75+CM87+SUM(CM99:CM105)</f>
        <v/>
      </c>
      <c r="CN106" s="279">
        <f>SUM(CN29:CN34)+CN35+CN46+SUM(CN57:CN74)+CN75+CN87+SUM(CN99:CN105)</f>
        <v/>
      </c>
      <c r="CO106" s="279">
        <f>SUM(CO29:CO34)+CO35+CO46+SUM(CO57:CO74)+CO75+CO87+SUM(CO99:CO105)</f>
        <v/>
      </c>
      <c r="CP106" s="279">
        <f>SUM(CP29:CP34)+CP35+CP46+SUM(CP57:CP74)+CP75+CP87+SUM(CP99:CP105)</f>
        <v/>
      </c>
      <c r="CQ106" s="279">
        <f>SUM(CQ29:CQ34)+CQ35+CQ46+SUM(CQ57:CQ74)+CQ75+CQ87+SUM(CQ99:CQ105)</f>
        <v/>
      </c>
      <c r="CR106" s="279">
        <f>SUM(CR29:CR34)+CR35+CR46+SUM(CR57:CR74)+CR75+CR87+SUM(CR99:CR105)</f>
        <v/>
      </c>
      <c r="CS106" s="279">
        <f>SUM(CS29:CS34)+CS35+CS46+SUM(CS57:CS74)+CS75+CS87+SUM(CS99:CS105)</f>
        <v/>
      </c>
      <c r="CT106" s="279">
        <f>SUM(CT29:CT34)+CT35+CT46+SUM(CT57:CT74)+CT75+CT87+SUM(CT99:CT105)</f>
        <v/>
      </c>
      <c r="CU106" s="279">
        <f>SUM(CU29:CU34)+CU35+CU46+SUM(CU57:CU74)+CU75+CU87+SUM(CU99:CU105)</f>
        <v/>
      </c>
      <c r="CV106" s="279">
        <f>SUM(CV29:CV34)+CV35+CV46+SUM(CV57:CV74)+CV75+CV87+SUM(CV99:CV105)</f>
        <v/>
      </c>
      <c r="CW106" s="279">
        <f>SUM(CW29:CW34)+CW35+CW46+SUM(CW57:CW74)+CW75+CW87+SUM(CW99:CW105)</f>
        <v/>
      </c>
      <c r="CX106" s="279">
        <f>SUM(CX29:CX34)+CX35+CX46+SUM(CX57:CX74)+CX75+CX87+SUM(CX99:CX105)</f>
        <v/>
      </c>
      <c r="CY106" s="279">
        <f>SUM(CY29:CY34)+CY35+CY46+SUM(CY57:CY74)+CY75+CY87+SUM(CY99:CY105)</f>
        <v/>
      </c>
      <c r="CZ106" s="279">
        <f>SUM(CZ29:CZ34)+CZ35+CZ46+SUM(CZ57:CZ74)+CZ75+CZ87+SUM(CZ99:CZ105)</f>
        <v/>
      </c>
      <c r="DA106" s="279">
        <f>SUM(DA29:DA34)+DA35+DA46+SUM(DA57:DA74)+DA75+DA87+SUM(DA99:DA105)</f>
        <v/>
      </c>
      <c r="DB106" s="279">
        <f>SUM(DB29:DB34)+DB35+DB46+SUM(DB57:DB74)+DB75+DB87+SUM(DB99:DB105)</f>
        <v/>
      </c>
      <c r="DC106" s="279" t="n"/>
      <c r="DD106" s="311">
        <f>SUM(F106:DB106)</f>
        <v/>
      </c>
    </row>
    <row r="107">
      <c r="A107" s="13" t="n"/>
      <c r="B107" s="13" t="n"/>
      <c r="C107" s="13" t="n"/>
      <c r="D107" s="13" t="n"/>
      <c r="E107" s="271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3" t="n"/>
      <c r="AU107" s="13" t="n"/>
      <c r="AV107" s="13" t="n"/>
      <c r="AW107" s="13" t="n"/>
      <c r="AX107" s="13" t="n"/>
      <c r="AY107" s="13" t="n"/>
      <c r="AZ107" s="13" t="n"/>
      <c r="BA107" s="13" t="n"/>
      <c r="BB107" s="13" t="n"/>
      <c r="BC107" s="13" t="n"/>
      <c r="BD107" s="13" t="n"/>
      <c r="BE107" s="13" t="n"/>
      <c r="BF107" s="13" t="n"/>
      <c r="BG107" s="13" t="n"/>
      <c r="BH107" s="13" t="n"/>
      <c r="BI107" s="13" t="n"/>
      <c r="BJ107" s="13" t="n"/>
      <c r="BK107" s="13" t="n"/>
      <c r="BL107" s="13" t="n"/>
      <c r="BM107" s="13" t="n"/>
      <c r="BN107" s="13" t="n"/>
      <c r="BO107" s="13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/>
      <c r="CO107" s="13" t="n"/>
      <c r="CP107" s="13" t="n"/>
      <c r="CQ107" s="13" t="n"/>
      <c r="CR107" s="13" t="n"/>
      <c r="CS107" s="13" t="n"/>
      <c r="CT107" s="13" t="n"/>
      <c r="CU107" s="13" t="n"/>
      <c r="CV107" s="13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</row>
    <row r="108">
      <c r="A108" s="13" t="n"/>
      <c r="B108" s="13" t="n"/>
      <c r="C108" s="13" t="n"/>
      <c r="D108" s="13" t="n"/>
      <c r="E108" s="271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13" t="n"/>
      <c r="AV108" s="13" t="n"/>
      <c r="AW108" s="13" t="n"/>
      <c r="AX108" s="13" t="n"/>
      <c r="AY108" s="13" t="n"/>
      <c r="AZ108" s="13" t="n"/>
      <c r="BA108" s="13" t="n"/>
      <c r="BB108" s="13" t="n"/>
      <c r="BC108" s="13" t="n"/>
      <c r="BD108" s="13" t="n"/>
      <c r="BE108" s="13" t="n"/>
      <c r="BF108" s="13" t="n"/>
      <c r="BG108" s="13" t="n"/>
      <c r="BH108" s="13" t="n"/>
      <c r="BI108" s="13" t="n"/>
      <c r="BJ108" s="13" t="n"/>
      <c r="BK108" s="13" t="n"/>
      <c r="BL108" s="13" t="n"/>
      <c r="BM108" s="13" t="n"/>
      <c r="BN108" s="13" t="n"/>
      <c r="BO108" s="13" t="n"/>
      <c r="BP108" s="13" t="n"/>
      <c r="BQ108" s="13" t="n"/>
      <c r="BR108" s="13" t="n"/>
      <c r="BS108" s="13" t="n"/>
      <c r="BT108" s="13" t="n"/>
      <c r="BU108" s="13" t="n"/>
      <c r="BV108" s="13" t="n"/>
      <c r="BW108" s="13" t="n"/>
      <c r="BX108" s="13" t="n"/>
      <c r="BY108" s="13" t="n"/>
      <c r="BZ108" s="13" t="n"/>
      <c r="CA108" s="13" t="n"/>
      <c r="CB108" s="13" t="n"/>
      <c r="CC108" s="13" t="n"/>
      <c r="CD108" s="13" t="n"/>
      <c r="CE108" s="13" t="n"/>
      <c r="CF108" s="13" t="n"/>
      <c r="CG108" s="13" t="n"/>
      <c r="CH108" s="13" t="n"/>
      <c r="CI108" s="13" t="n"/>
      <c r="CJ108" s="13" t="n"/>
      <c r="CK108" s="13" t="n"/>
      <c r="CL108" s="13" t="n"/>
      <c r="CM108" s="13" t="n"/>
      <c r="CN108" s="13" t="n"/>
      <c r="CO108" s="13" t="n"/>
      <c r="CP108" s="13" t="n"/>
      <c r="CQ108" s="13" t="n"/>
      <c r="CR108" s="13" t="n"/>
      <c r="CS108" s="13" t="n"/>
      <c r="CT108" s="13" t="n"/>
      <c r="CU108" s="13" t="n"/>
      <c r="CV108" s="13" t="n"/>
      <c r="CW108" s="13" t="n"/>
      <c r="CX108" s="13" t="n"/>
      <c r="CY108" s="13" t="n"/>
      <c r="CZ108" s="13" t="n"/>
      <c r="DA108" s="13" t="n"/>
      <c r="DB108" s="13" t="n"/>
      <c r="DC108" s="13" t="n"/>
      <c r="DD108" s="13" t="n"/>
    </row>
    <row r="109" customFormat="1" s="313">
      <c r="A109" s="1125" t="inlineStr">
        <is>
          <t>Interest Prior To Construction</t>
        </is>
      </c>
      <c r="B109" s="23" t="inlineStr">
        <is>
          <t xml:space="preserve">   Interest - prior to Construction Start</t>
        </is>
      </c>
      <c r="C109" s="700" t="n"/>
      <c r="D109" s="292">
        <f>DD109</f>
        <v/>
      </c>
      <c r="E109" s="641" t="n"/>
      <c r="F109" s="293" t="n"/>
      <c r="G109" s="293">
        <f>IF(G5&lt;='Project Assumptions'!$D$15,(MIN(0,-F213))*'Project Assumptions'!$D$23/12,0)</f>
        <v/>
      </c>
      <c r="H109" s="293">
        <f>IF(H5&lt;='Project Assumptions'!$D$15,(MIN(0,-G213))*'Project Assumptions'!$D$23/12,0)</f>
        <v/>
      </c>
      <c r="I109" s="293">
        <f>IF(I5&lt;='Project Assumptions'!$D$15,(MIN(0,-H213))*'Project Assumptions'!$D$23/12,0)</f>
        <v/>
      </c>
      <c r="J109" s="293">
        <f>IF(J5&lt;='Project Assumptions'!$D$15,(MIN(0,-I213))*'Project Assumptions'!$D$23/12,0)</f>
        <v/>
      </c>
      <c r="K109" s="293">
        <f>IF(K5&lt;='Project Assumptions'!$D$15,(MIN(0,-J213))*'Project Assumptions'!$D$23/12,0)</f>
        <v/>
      </c>
      <c r="L109" s="293">
        <f>IF(L5&lt;='Project Assumptions'!$D$15,(MIN(0,-K213))*'Project Assumptions'!$D$23/12,0)</f>
        <v/>
      </c>
      <c r="M109" s="293">
        <f>IF(M5&lt;='Project Assumptions'!$D$15,(MIN(0,-L213))*'Project Assumptions'!$D$23/12,0)</f>
        <v/>
      </c>
      <c r="N109" s="293">
        <f>IF(N5&lt;='Project Assumptions'!$D$15,(MIN(0,-M213))*'Project Assumptions'!$D$23/12,0)</f>
        <v/>
      </c>
      <c r="O109" s="293">
        <f>IF(O5&lt;='Project Assumptions'!$D$15,(MIN(0,-N213))*'Project Assumptions'!$D$23/12,0)</f>
        <v/>
      </c>
      <c r="P109" s="293">
        <f>IF(P5&lt;='Project Assumptions'!$D$15,(MIN(0,-O213))*'Project Assumptions'!$D$23/12,0)</f>
        <v/>
      </c>
      <c r="Q109" s="293">
        <f>IF(Q5&lt;='Project Assumptions'!$D$15,(MIN(0,-P213))*'Project Assumptions'!$D$23/12,0)</f>
        <v/>
      </c>
      <c r="R109" s="293">
        <f>IF(R5&lt;='Project Assumptions'!$D$15,(MIN(0,-Q213))*'Project Assumptions'!$D$23/12,0)</f>
        <v/>
      </c>
      <c r="S109" s="293">
        <f>IF(S5&lt;='Project Assumptions'!$D$15,(MIN(0,-R213))*'Project Assumptions'!$D$23/12,0)</f>
        <v/>
      </c>
      <c r="T109" s="293">
        <f>IF(T5&lt;='Project Assumptions'!$D$15,(MIN(0,-S213))*'Project Assumptions'!$D$23/12,0)</f>
        <v/>
      </c>
      <c r="U109" s="293">
        <f>IF(U5&lt;='Project Assumptions'!$D$15,(MIN(0,-T213))*'Project Assumptions'!$D$23/12,0)</f>
        <v/>
      </c>
      <c r="V109" s="293">
        <f>IF(V5&lt;='Project Assumptions'!$D$15,(MIN(0,-U213))*'Project Assumptions'!$D$23/12,0)</f>
        <v/>
      </c>
      <c r="W109" s="293">
        <f>IF(W5&lt;='Project Assumptions'!$D$15,(MIN(0,-V213))*'Project Assumptions'!$D$23/12,0)</f>
        <v/>
      </c>
      <c r="X109" s="293">
        <f>IF(X5&lt;='Project Assumptions'!$D$15,(MIN(0,-W213))*'Project Assumptions'!$D$23/12,0)</f>
        <v/>
      </c>
      <c r="Y109" s="293">
        <f>IF(Y5&lt;='Project Assumptions'!$D$15,(MIN(0,-X213))*'Project Assumptions'!$D$23/12,0)</f>
        <v/>
      </c>
      <c r="Z109" s="293">
        <f>IF(Z5&lt;='Project Assumptions'!$D$15,(MIN(0,-Y213))*'Project Assumptions'!$D$23/12,0)</f>
        <v/>
      </c>
      <c r="AA109" s="293">
        <f>IF(AA5&lt;='Project Assumptions'!$D$15,(MIN(0,-Z213))*'Project Assumptions'!$D$23/12,0)</f>
        <v/>
      </c>
      <c r="AB109" s="293">
        <f>IF(AB5&lt;='Project Assumptions'!$D$15,(MIN(0,-AA213))*'Project Assumptions'!$D$23/12,0)</f>
        <v/>
      </c>
      <c r="AC109" s="293">
        <f>IF(AC5&lt;='Project Assumptions'!$D$15,(MIN(0,-AB213))*'Project Assumptions'!$D$23/12,0)</f>
        <v/>
      </c>
      <c r="AD109" s="293">
        <f>IF(AD5&lt;='Project Assumptions'!$D$15,(MIN(0,-AC213))*'Project Assumptions'!$D$23/12,0)</f>
        <v/>
      </c>
      <c r="AE109" s="293">
        <f>IF(AE5&lt;='Project Assumptions'!$D$15,(MIN(0,-AD213))*'Project Assumptions'!$D$23/12,0)</f>
        <v/>
      </c>
      <c r="AF109" s="293">
        <f>IF(AF5&lt;='Project Assumptions'!$D$15,(MIN(0,-AE213))*'Project Assumptions'!$D$23/12,0)</f>
        <v/>
      </c>
      <c r="AG109" s="293">
        <f>IF(AG5&lt;='Project Assumptions'!$D$15,(MIN(0,-AF213))*'Project Assumptions'!$D$23/12,0)</f>
        <v/>
      </c>
      <c r="AH109" s="293">
        <f>IF(AH5&lt;='Project Assumptions'!$D$15,(MIN(0,-AG213))*'Project Assumptions'!$D$23/12,0)</f>
        <v/>
      </c>
      <c r="AI109" s="293">
        <f>IF(AI5&lt;='Project Assumptions'!$D$15,(MIN(0,-AH213))*'Project Assumptions'!$D$23/12,0)</f>
        <v/>
      </c>
      <c r="AJ109" s="293">
        <f>IF(AJ5&lt;='Project Assumptions'!$D$15,(MIN(0,-AI213))*'Project Assumptions'!$D$23/12,0)</f>
        <v/>
      </c>
      <c r="AK109" s="293">
        <f>IF(AK5&lt;='Project Assumptions'!$D$15,(MIN(0,-AJ213))*'Project Assumptions'!$D$23/12,0)</f>
        <v/>
      </c>
      <c r="AL109" s="293">
        <f>IF(AL5&lt;='Project Assumptions'!$D$15,(MIN(0,-AK213))*'Project Assumptions'!$D$23/12,0)</f>
        <v/>
      </c>
      <c r="AM109" s="293">
        <f>IF(AM5&lt;='Project Assumptions'!$D$15,(MIN(0,-AL213))*'Project Assumptions'!$D$23/12,0)</f>
        <v/>
      </c>
      <c r="AN109" s="293">
        <f>IF(AN5&lt;='Project Assumptions'!$D$15,(MIN(0,-AM213))*'Project Assumptions'!$D$23/12,0)</f>
        <v/>
      </c>
      <c r="AO109" s="293">
        <f>IF(AO5&lt;='Project Assumptions'!$D$15,(MIN(0,-AN213))*'Project Assumptions'!$D$23/12,0)</f>
        <v/>
      </c>
      <c r="AP109" s="293">
        <f>IF(AP5&lt;='Project Assumptions'!$D$15,(MIN(0,-AO213))*'Project Assumptions'!$D$23/12,0)</f>
        <v/>
      </c>
      <c r="AQ109" s="293">
        <f>IF(AQ5&lt;='Project Assumptions'!$D$15,(MIN(0,-AP213))*'Project Assumptions'!$D$23/12,0)</f>
        <v/>
      </c>
      <c r="AR109" s="293">
        <f>IF(AR5&lt;='Project Assumptions'!$D$15,(MIN(0,-AQ213))*'Project Assumptions'!$D$23/12,0)</f>
        <v/>
      </c>
      <c r="AS109" s="293">
        <f>IF(AS5&lt;='Project Assumptions'!$D$15,(MIN(0,-AR213))*'Project Assumptions'!$D$23/12,0)</f>
        <v/>
      </c>
      <c r="AT109" s="293">
        <f>IF(AT5&lt;='Project Assumptions'!$D$15,(MIN(0,-AS213))*'Project Assumptions'!$D$23/12,0)</f>
        <v/>
      </c>
      <c r="AU109" s="293">
        <f>IF(AU5&lt;='Project Assumptions'!$D$15,(MIN(0,-AT213))*'Project Assumptions'!$D$23/12,0)</f>
        <v/>
      </c>
      <c r="AV109" s="293">
        <f>IF(AV5&lt;='Project Assumptions'!$D$15,(MIN(0,-AU213))*'Project Assumptions'!$D$23/12,0)</f>
        <v/>
      </c>
      <c r="AW109" s="293">
        <f>IF(AW5&lt;='Project Assumptions'!$D$15,(MIN(0,-AV213))*'Project Assumptions'!$D$23/12,0)</f>
        <v/>
      </c>
      <c r="AX109" s="293">
        <f>IF(AX5&lt;='Project Assumptions'!$D$15,(MIN(0,-AW213))*'Project Assumptions'!$D$23/12,0)</f>
        <v/>
      </c>
      <c r="AY109" s="293">
        <f>IF(AY5&lt;='Project Assumptions'!$D$15,(MIN(0,-AX213))*'Project Assumptions'!$D$23/12,0)</f>
        <v/>
      </c>
      <c r="AZ109" s="293">
        <f>IF(AZ5&lt;='Project Assumptions'!$D$15,(MIN(0,-AY213))*'Project Assumptions'!$D$23/12,0)</f>
        <v/>
      </c>
      <c r="BA109" s="293">
        <f>IF(BA5&lt;='Project Assumptions'!$D$15,(MIN(0,-AZ213))*'Project Assumptions'!$D$23/12,0)</f>
        <v/>
      </c>
      <c r="BB109" s="293">
        <f>IF(BB5&lt;='Project Assumptions'!$D$15,(MIN(0,-BA213))*'Project Assumptions'!$D$23/12,0)</f>
        <v/>
      </c>
      <c r="BC109" s="293">
        <f>IF(BC5&lt;='Project Assumptions'!$D$15,(MIN(0,-BB213))*'Project Assumptions'!$D$23/12,0)</f>
        <v/>
      </c>
      <c r="BD109" s="293">
        <f>IF(BD5&lt;='Project Assumptions'!$D$15,(MIN(0,-BC213))*'Project Assumptions'!$D$23/12,0)</f>
        <v/>
      </c>
      <c r="BE109" s="293">
        <f>IF(BE5&lt;='Project Assumptions'!$D$15,(MIN(0,-BD213))*'Project Assumptions'!$D$23/12,0)</f>
        <v/>
      </c>
      <c r="BF109" s="293">
        <f>IF(BF5&lt;='Project Assumptions'!$D$15,(MIN(0,-BE213))*'Project Assumptions'!$D$23/12,0)</f>
        <v/>
      </c>
      <c r="BG109" s="293">
        <f>IF(BG5&lt;='Project Assumptions'!$D$15,(MIN(0,-BF213))*'Project Assumptions'!$D$23/12,0)</f>
        <v/>
      </c>
      <c r="BH109" s="293">
        <f>IF(BH5&lt;='Project Assumptions'!$D$15,(MIN(0,-BG213))*'Project Assumptions'!$D$23/12,0)</f>
        <v/>
      </c>
      <c r="BI109" s="293">
        <f>IF(BI5&lt;='Project Assumptions'!$D$15,(MIN(0,-BH213))*'Project Assumptions'!$D$23/12,0)</f>
        <v/>
      </c>
      <c r="BJ109" s="293">
        <f>IF(BJ5&lt;='Project Assumptions'!$D$15,(MIN(0,-BI213))*'Project Assumptions'!$D$23/12,0)</f>
        <v/>
      </c>
      <c r="BK109" s="293">
        <f>IF(BK5&lt;='Project Assumptions'!$D$15,(MIN(0,-BJ213))*'Project Assumptions'!$D$23/12,0)</f>
        <v/>
      </c>
      <c r="BL109" s="293">
        <f>IF(BL5&lt;='Project Assumptions'!$D$15,(MIN(0,-BK213))*'Project Assumptions'!$D$23/12,0)</f>
        <v/>
      </c>
      <c r="BM109" s="293">
        <f>IF(BM5&lt;='Project Assumptions'!$D$15,(MIN(0,-BL213))*'Project Assumptions'!$D$23/12,0)</f>
        <v/>
      </c>
      <c r="BN109" s="293">
        <f>IF(BN5&lt;='Project Assumptions'!$D$15,(MIN(0,-BM213))*'Project Assumptions'!$D$23/12,0)</f>
        <v/>
      </c>
      <c r="BO109" s="293">
        <f>IF(BO5&lt;='Project Assumptions'!$D$15,(MIN(0,-BN213))*'Project Assumptions'!$D$23/12,0)</f>
        <v/>
      </c>
      <c r="BP109" s="293">
        <f>IF(BP5&lt;='Project Assumptions'!$D$15,(MIN(0,-BO213))*'Project Assumptions'!$D$23/12,0)</f>
        <v/>
      </c>
      <c r="BQ109" s="293">
        <f>IF(BQ5&lt;='Project Assumptions'!$D$15,(MIN(0,-BP213))*'Project Assumptions'!$D$23/12,0)</f>
        <v/>
      </c>
      <c r="BR109" s="293">
        <f>IF(BR5&lt;='Project Assumptions'!$D$15,(MIN(0,-BQ213))*'Project Assumptions'!$D$23/12,0)</f>
        <v/>
      </c>
      <c r="BS109" s="293">
        <f>IF(BS5&lt;='Project Assumptions'!$D$15,(MIN(0,-BR213))*'Project Assumptions'!$D$23/12,0)</f>
        <v/>
      </c>
      <c r="BT109" s="293">
        <f>IF(BT5&lt;='Project Assumptions'!$D$15,(MIN(0,-BS213))*'Project Assumptions'!$D$23/12,0)</f>
        <v/>
      </c>
      <c r="BU109" s="293">
        <f>IF(BU5&lt;='Project Assumptions'!$D$15,(MIN(0,-BT213))*'Project Assumptions'!$D$23/12,0)</f>
        <v/>
      </c>
      <c r="BV109" s="293">
        <f>IF(BV5&lt;='Project Assumptions'!$D$15,(MIN(0,-BU213))*'Project Assumptions'!$D$23/12,0)</f>
        <v/>
      </c>
      <c r="BW109" s="293">
        <f>IF(BW5&lt;='Project Assumptions'!$D$15,(MIN(0,-BV213))*'Project Assumptions'!$D$23/12,0)</f>
        <v/>
      </c>
      <c r="BX109" s="293">
        <f>IF(BX5&lt;='Project Assumptions'!$D$15,(MIN(0,-BW213))*'Project Assumptions'!$D$23/12,0)</f>
        <v/>
      </c>
      <c r="BY109" s="293">
        <f>IF(BY5&lt;='Project Assumptions'!$D$15,(MIN(0,-BX213))*'Project Assumptions'!$D$23/12,0)</f>
        <v/>
      </c>
      <c r="BZ109" s="293">
        <f>IF(BZ5&lt;='Project Assumptions'!$D$15,(MIN(0,-BY213))*'Project Assumptions'!$D$23/12,0)</f>
        <v/>
      </c>
      <c r="CA109" s="293">
        <f>IF(CA5&lt;='Project Assumptions'!$D$15,(MIN(0,-BZ213))*'Project Assumptions'!$D$23/12,0)</f>
        <v/>
      </c>
      <c r="CB109" s="293">
        <f>IF(CB5&lt;='Project Assumptions'!$D$15,(MIN(0,-CA213))*'Project Assumptions'!$D$23/12,0)</f>
        <v/>
      </c>
      <c r="CC109" s="293">
        <f>IF(CC5&lt;='Project Assumptions'!$D$15,(MIN(0,-CB213))*'Project Assumptions'!$D$23/12,0)</f>
        <v/>
      </c>
      <c r="CD109" s="293">
        <f>IF(CD5&lt;='Project Assumptions'!$D$15,(MIN(0,-CC213))*'Project Assumptions'!$D$23/12,0)</f>
        <v/>
      </c>
      <c r="CE109" s="293">
        <f>IF(CE5&lt;='Project Assumptions'!$D$15,(MIN(0,-CD213))*'Project Assumptions'!$D$23/12,0)</f>
        <v/>
      </c>
      <c r="CF109" s="293">
        <f>IF(CF5&lt;='Project Assumptions'!$D$15,(MIN(0,-CE213))*'Project Assumptions'!$D$23/12,0)</f>
        <v/>
      </c>
      <c r="CG109" s="293">
        <f>IF(CG5&lt;='Project Assumptions'!$D$15,(MIN(0,-CF213))*'Project Assumptions'!$D$23/12,0)</f>
        <v/>
      </c>
      <c r="CH109" s="293">
        <f>IF(CH5&lt;='Project Assumptions'!$D$15,(MIN(0,-CG213))*'Project Assumptions'!$D$23/12,0)</f>
        <v/>
      </c>
      <c r="CI109" s="293">
        <f>IF(CI5&lt;='Project Assumptions'!$D$15,(MIN(0,-CH213))*'Project Assumptions'!$D$23/12,0)</f>
        <v/>
      </c>
      <c r="CJ109" s="293">
        <f>IF(CJ5&lt;='Project Assumptions'!$D$15,(MIN(0,-CI213))*'Project Assumptions'!$D$23/12,0)</f>
        <v/>
      </c>
      <c r="CK109" s="293">
        <f>IF(CK5&lt;='Project Assumptions'!$D$15,(MIN(0,-CJ213))*'Project Assumptions'!$D$23/12,0)</f>
        <v/>
      </c>
      <c r="CL109" s="293">
        <f>IF(CL5&lt;='Project Assumptions'!$D$15,(MIN(0,-CK213))*'Project Assumptions'!$D$23/12,0)</f>
        <v/>
      </c>
      <c r="CM109" s="293">
        <f>IF(CM5&lt;='Project Assumptions'!$D$15,(MIN(0,-CL213))*'Project Assumptions'!$D$23/12,0)</f>
        <v/>
      </c>
      <c r="CN109" s="293">
        <f>IF(CN5&lt;='Project Assumptions'!$D$15,(MIN(0,-CM213))*'Project Assumptions'!$D$23/12,0)</f>
        <v/>
      </c>
      <c r="CO109" s="293">
        <f>IF(CO5&lt;='Project Assumptions'!$D$15,(MIN(0,-CN213))*'Project Assumptions'!$D$23/12,0)</f>
        <v/>
      </c>
      <c r="CP109" s="293">
        <f>IF(CP5&lt;='Project Assumptions'!$D$15,(MIN(0,-CO213))*'Project Assumptions'!$D$23/12,0)</f>
        <v/>
      </c>
      <c r="CQ109" s="293">
        <f>IF(CQ5&lt;='Project Assumptions'!$D$15,(MIN(0,-CP213))*'Project Assumptions'!$D$23/12,0)</f>
        <v/>
      </c>
      <c r="CR109" s="293">
        <f>IF(CR5&lt;='Project Assumptions'!$D$15,(MIN(0,-CQ213))*'Project Assumptions'!$D$23/12,0)</f>
        <v/>
      </c>
      <c r="CS109" s="293">
        <f>IF(CS5&lt;='Project Assumptions'!$D$15,(MIN(0,-CR213))*'Project Assumptions'!$D$23/12,0)</f>
        <v/>
      </c>
      <c r="CT109" s="293">
        <f>IF(CT5&lt;='Project Assumptions'!$D$15,(MIN(0,-CS213))*'Project Assumptions'!$D$23/12,0)</f>
        <v/>
      </c>
      <c r="CU109" s="293">
        <f>IF(CU5&lt;='Project Assumptions'!$D$15,(MIN(0,-CT213))*'Project Assumptions'!$D$23/12,0)</f>
        <v/>
      </c>
      <c r="CV109" s="293">
        <f>IF(CV5&lt;='Project Assumptions'!$D$15,(MIN(0,-CU213))*'Project Assumptions'!$D$23/12,0)</f>
        <v/>
      </c>
      <c r="CW109" s="293">
        <f>IF(CW5&lt;='Project Assumptions'!$D$15,(MIN(0,-CV213))*'Project Assumptions'!$D$23/12,0)</f>
        <v/>
      </c>
      <c r="CX109" s="293">
        <f>IF(CX5&lt;='Project Assumptions'!$D$15,(MIN(0,-CW213))*'Project Assumptions'!$D$23/12,0)</f>
        <v/>
      </c>
      <c r="CY109" s="293">
        <f>IF(CY5&lt;='Project Assumptions'!$D$15,(MIN(0,-CX213))*'Project Assumptions'!$D$23/12,0)</f>
        <v/>
      </c>
      <c r="CZ109" s="293">
        <f>IF(CZ5&lt;='Project Assumptions'!$D$15,(MIN(0,-CY213))*'Project Assumptions'!$D$23/12,0)</f>
        <v/>
      </c>
      <c r="DA109" s="293">
        <f>IF(DA5&lt;='Project Assumptions'!$D$15,(MIN(0,-CZ213))*'Project Assumptions'!$D$23/12,0)</f>
        <v/>
      </c>
      <c r="DB109" s="293">
        <f>IF(DB5&lt;='Project Assumptions'!$D$15,(MIN(0,-DA213))*'Project Assumptions'!$D$23/12,0)</f>
        <v/>
      </c>
      <c r="DC109" s="293" t="n"/>
      <c r="DD109" s="292">
        <f>SUM(G109:DB109)</f>
        <v/>
      </c>
    </row>
    <row r="110" customFormat="1" s="314">
      <c r="A110" s="1005" t="n"/>
      <c r="B110" s="788" t="inlineStr">
        <is>
          <t xml:space="preserve">   Interest - Construction Start to CO</t>
        </is>
      </c>
      <c r="C110" s="337" t="n"/>
      <c r="D110" s="297">
        <f>DD110</f>
        <v/>
      </c>
      <c r="E110" s="276" t="n"/>
      <c r="F110" s="890" t="n"/>
      <c r="G110" s="890">
        <f>IF(G5&gt;'Project Assumptions'!$D$15+1,IF(G5&lt;='Project Assumptions'!$D$15+'Project Assumptions'!$D$16,(MIN(0,-F213))*'Project Assumptions'!$D$23/12,0),0)+IF(G5='Project Assumptions'!$D$15+1,IF(G5&lt;='Project Assumptions'!$D$15+'Project Assumptions'!$D$16,(MIN(0,-F202-F206))*'Project Assumptions'!$D$23/12,0),0)</f>
        <v/>
      </c>
      <c r="H110" s="890">
        <f>IF(H5&gt;'Project Assumptions'!$D$15+1,IF(H5&lt;='Project Assumptions'!$D$15+'Project Assumptions'!$D$16,(MIN(0,-G213))*'Project Assumptions'!$D$23/12,0),0)+IF(H5='Project Assumptions'!$D$15+1,IF(H5&lt;='Project Assumptions'!$D$15+'Project Assumptions'!$D$16,(MIN(0,-G202-G206))*'Project Assumptions'!$D$23/12,0),0)</f>
        <v/>
      </c>
      <c r="I110" s="890">
        <f>IF(I5&gt;'Project Assumptions'!$D$15+1,IF(I5&lt;='Project Assumptions'!$D$15+'Project Assumptions'!$D$16,(MIN(0,-H213))*'Project Assumptions'!$D$23/12,0),0)+IF(I5='Project Assumptions'!$D$15+1,IF(I5&lt;='Project Assumptions'!$D$15+'Project Assumptions'!$D$16,(MIN(0,-H202-H206))*'Project Assumptions'!$D$23/12,0),0)</f>
        <v/>
      </c>
      <c r="J110" s="890">
        <f>IF(J5&gt;'Project Assumptions'!$D$15+1,IF(J5&lt;='Project Assumptions'!$D$15+'Project Assumptions'!$D$16,(MIN(0,-I213))*'Project Assumptions'!$D$23/12,0),0)+IF(J5='Project Assumptions'!$D$15+1,IF(J5&lt;='Project Assumptions'!$D$15+'Project Assumptions'!$D$16,(MIN(0,-I202-I206))*'Project Assumptions'!$D$23/12,0),0)</f>
        <v/>
      </c>
      <c r="K110" s="890">
        <f>IF(K5&gt;'Project Assumptions'!$D$15+1,IF(K5&lt;='Project Assumptions'!$D$15+'Project Assumptions'!$D$16,(MIN(0,-J213))*'Project Assumptions'!$D$23/12,0),0)+IF(K5='Project Assumptions'!$D$15+1,IF(K5&lt;='Project Assumptions'!$D$15+'Project Assumptions'!$D$16,(MIN(0,-J202-J206))*'Project Assumptions'!$D$23/12,0),0)</f>
        <v/>
      </c>
      <c r="L110" s="890">
        <f>IF(L5&gt;'Project Assumptions'!$D$15+1,IF(L5&lt;='Project Assumptions'!$D$15+'Project Assumptions'!$D$16,(MIN(0,-K213))*'Project Assumptions'!$D$23/12,0),0)+IF(L5='Project Assumptions'!$D$15+1,IF(L5&lt;='Project Assumptions'!$D$15+'Project Assumptions'!$D$16,(MIN(0,-K202-K206))*'Project Assumptions'!$D$23/12,0),0)</f>
        <v/>
      </c>
      <c r="M110" s="890">
        <f>IF(M5&gt;'Project Assumptions'!$D$15+1,IF(M5&lt;='Project Assumptions'!$D$15+'Project Assumptions'!$D$16,(MIN(0,-L213))*'Project Assumptions'!$D$23/12,0),0)+IF(M5='Project Assumptions'!$D$15+1,IF(M5&lt;='Project Assumptions'!$D$15+'Project Assumptions'!$D$16,(MIN(0,-L202-L206))*'Project Assumptions'!$D$23/12,0),0)</f>
        <v/>
      </c>
      <c r="N110" s="890">
        <f>IF(N5&gt;'Project Assumptions'!$D$15+1,IF(N5&lt;='Project Assumptions'!$D$15+'Project Assumptions'!$D$16,(MIN(0,-M213))*'Project Assumptions'!$D$23/12,0),0)+IF(N5='Project Assumptions'!$D$15+1,IF(N5&lt;='Project Assumptions'!$D$15+'Project Assumptions'!$D$16,(MIN(0,-M202-M206))*'Project Assumptions'!$D$23/12,0),0)</f>
        <v/>
      </c>
      <c r="O110" s="890">
        <f>IF(O5&gt;'Project Assumptions'!$D$15+1,IF(O5&lt;='Project Assumptions'!$D$15+'Project Assumptions'!$D$16,(MIN(0,-N213))*'Project Assumptions'!$D$23/12,0),0)+IF(O5='Project Assumptions'!$D$15+1,IF(O5&lt;='Project Assumptions'!$D$15+'Project Assumptions'!$D$16,(MIN(0,-N202-N206))*'Project Assumptions'!$D$23/12,0),0)</f>
        <v/>
      </c>
      <c r="P110" s="890">
        <f>IF(P5&gt;'Project Assumptions'!$D$15+1,IF(P5&lt;='Project Assumptions'!$D$15+'Project Assumptions'!$D$16,(MIN(0,-O213))*'Project Assumptions'!$D$23/12,0),0)+IF(P5='Project Assumptions'!$D$15+1,IF(P5&lt;='Project Assumptions'!$D$15+'Project Assumptions'!$D$16,(MIN(0,-O202-O206))*'Project Assumptions'!$D$23/12,0),0)</f>
        <v/>
      </c>
      <c r="Q110" s="890">
        <f>IF(Q5&gt;'Project Assumptions'!$D$15+1,IF(Q5&lt;='Project Assumptions'!$D$15+'Project Assumptions'!$D$16,(MIN(0,-P213))*'Project Assumptions'!$D$23/12,0),0)+IF(Q5='Project Assumptions'!$D$15+1,IF(Q5&lt;='Project Assumptions'!$D$15+'Project Assumptions'!$D$16,(MIN(0,-P202-P206))*'Project Assumptions'!$D$23/12,0),0)</f>
        <v/>
      </c>
      <c r="R110" s="890">
        <f>IF(R5&gt;'Project Assumptions'!$D$15+1,IF(R5&lt;='Project Assumptions'!$D$15+'Project Assumptions'!$D$16,(MIN(0,-Q213))*'Project Assumptions'!$D$23/12,0),0)+IF(R5='Project Assumptions'!$D$15+1,IF(R5&lt;='Project Assumptions'!$D$15+'Project Assumptions'!$D$16,(MIN(0,-Q202-Q206))*'Project Assumptions'!$D$23/12,0),0)</f>
        <v/>
      </c>
      <c r="S110" s="890">
        <f>IF(S5&gt;'Project Assumptions'!$D$15+1,IF(S5&lt;='Project Assumptions'!$D$15+'Project Assumptions'!$D$16,(MIN(0,-R213))*'Project Assumptions'!$D$23/12,0),0)+IF(S5='Project Assumptions'!$D$15+1,IF(S5&lt;='Project Assumptions'!$D$15+'Project Assumptions'!$D$16,(MIN(0,-R202-R206))*'Project Assumptions'!$D$23/12,0),0)</f>
        <v/>
      </c>
      <c r="T110" s="890">
        <f>IF(T5&gt;'Project Assumptions'!$D$15+1,IF(T5&lt;='Project Assumptions'!$D$15+'Project Assumptions'!$D$16,(MIN(0,-S213))*'Project Assumptions'!$D$23/12,0),0)+IF(T5='Project Assumptions'!$D$15+1,IF(T5&lt;='Project Assumptions'!$D$15+'Project Assumptions'!$D$16,(MIN(0,-S202-S206))*'Project Assumptions'!$D$23/12,0),0)</f>
        <v/>
      </c>
      <c r="U110" s="890">
        <f>IF(U5&gt;'Project Assumptions'!$D$15+1,IF(U5&lt;='Project Assumptions'!$D$15+'Project Assumptions'!$D$16,(MIN(0,-T213))*'Project Assumptions'!$D$23/12,0),0)+IF(U5='Project Assumptions'!$D$15+1,IF(U5&lt;='Project Assumptions'!$D$15+'Project Assumptions'!$D$16,(MIN(0,-T202-T206))*'Project Assumptions'!$D$23/12,0),0)</f>
        <v/>
      </c>
      <c r="V110" s="890">
        <f>IF(V5&gt;'Project Assumptions'!$D$15+1,IF(V5&lt;='Project Assumptions'!$D$15+'Project Assumptions'!$D$16,(MIN(0,-U213))*'Project Assumptions'!$D$23/12,0),0)+IF(V5='Project Assumptions'!$D$15+1,IF(V5&lt;='Project Assumptions'!$D$15+'Project Assumptions'!$D$16,(MIN(0,-U202-U206))*'Project Assumptions'!$D$23/12,0),0)</f>
        <v/>
      </c>
      <c r="W110" s="890">
        <f>IF(W5&gt;'Project Assumptions'!$D$15+1,IF(W5&lt;='Project Assumptions'!$D$15+'Project Assumptions'!$D$16,(MIN(0,-V213))*'Project Assumptions'!$D$23/12,0),0)+IF(W5='Project Assumptions'!$D$15+1,IF(W5&lt;='Project Assumptions'!$D$15+'Project Assumptions'!$D$16,(MIN(0,-V202-V206))*'Project Assumptions'!$D$23/12,0),0)</f>
        <v/>
      </c>
      <c r="X110" s="890">
        <f>IF(X5&gt;'Project Assumptions'!$D$15+1,IF(X5&lt;='Project Assumptions'!$D$15+'Project Assumptions'!$D$16,(MIN(0,-W213))*'Project Assumptions'!$D$23/12,0),0)+IF(X5='Project Assumptions'!$D$15+1,IF(X5&lt;='Project Assumptions'!$D$15+'Project Assumptions'!$D$16,(MIN(0,-W202-W206))*'Project Assumptions'!$D$23/12,0),0)</f>
        <v/>
      </c>
      <c r="Y110" s="890">
        <f>IF(Y5&gt;'Project Assumptions'!$D$15+1,IF(Y5&lt;='Project Assumptions'!$D$15+'Project Assumptions'!$D$16,(MIN(0,-X213))*'Project Assumptions'!$D$23/12,0),0)+IF(Y5='Project Assumptions'!$D$15+1,IF(Y5&lt;='Project Assumptions'!$D$15+'Project Assumptions'!$D$16,(MIN(0,-X202-X206))*'Project Assumptions'!$D$23/12,0),0)</f>
        <v/>
      </c>
      <c r="Z110" s="890">
        <f>IF(Z5&gt;'Project Assumptions'!$D$15+1,IF(Z5&lt;='Project Assumptions'!$D$15+'Project Assumptions'!$D$16,(MIN(0,-Y213))*'Project Assumptions'!$D$23/12,0),0)+IF(Z5='Project Assumptions'!$D$15+1,IF(Z5&lt;='Project Assumptions'!$D$15+'Project Assumptions'!$D$16,(MIN(0,-Y202-Y206))*'Project Assumptions'!$D$23/12,0),0)</f>
        <v/>
      </c>
      <c r="AA110" s="890">
        <f>IF(AA5&gt;'Project Assumptions'!$D$15+1,IF(AA5&lt;='Project Assumptions'!$D$15+'Project Assumptions'!$D$16,(MIN(0,-Z213))*'Project Assumptions'!$D$23/12,0),0)+IF(AA5='Project Assumptions'!$D$15+1,IF(AA5&lt;='Project Assumptions'!$D$15+'Project Assumptions'!$D$16,(MIN(0,-Z202-Z206))*'Project Assumptions'!$D$23/12,0),0)</f>
        <v/>
      </c>
      <c r="AB110" s="890">
        <f>IF(AB5&gt;'Project Assumptions'!$D$15+1,IF(AB5&lt;='Project Assumptions'!$D$15+'Project Assumptions'!$D$16,(MIN(0,-AA213))*'Project Assumptions'!$D$23/12,0),0)+IF(AB5='Project Assumptions'!$D$15+1,IF(AB5&lt;='Project Assumptions'!$D$15+'Project Assumptions'!$D$16,(MIN(0,-AA202-AA206))*'Project Assumptions'!$D$23/12,0),0)</f>
        <v/>
      </c>
      <c r="AC110" s="890">
        <f>IF(AC5&gt;'Project Assumptions'!$D$15+1,IF(AC5&lt;='Project Assumptions'!$D$15+'Project Assumptions'!$D$16,(MIN(0,-AB213))*'Project Assumptions'!$D$23/12,0),0)+IF(AC5='Project Assumptions'!$D$15+1,IF(AC5&lt;='Project Assumptions'!$D$15+'Project Assumptions'!$D$16,(MIN(0,-AB202-AB206))*'Project Assumptions'!$D$23/12,0),0)</f>
        <v/>
      </c>
      <c r="AD110" s="890">
        <f>IF(AD5&gt;'Project Assumptions'!$D$15+1,IF(AD5&lt;='Project Assumptions'!$D$15+'Project Assumptions'!$D$16,(MIN(0,-AC213))*'Project Assumptions'!$D$23/12,0),0)+IF(AD5='Project Assumptions'!$D$15+1,IF(AD5&lt;='Project Assumptions'!$D$15+'Project Assumptions'!$D$16,(MIN(0,-AC202-AC206))*'Project Assumptions'!$D$23/12,0),0)</f>
        <v/>
      </c>
      <c r="AE110" s="890">
        <f>IF(AE5&gt;'Project Assumptions'!$D$15+1,IF(AE5&lt;='Project Assumptions'!$D$15+'Project Assumptions'!$D$16,(MIN(0,-AD213))*'Project Assumptions'!$D$23/12,0),0)+IF(AE5='Project Assumptions'!$D$15+1,IF(AE5&lt;='Project Assumptions'!$D$15+'Project Assumptions'!$D$16,(MIN(0,-AD202-AD206))*'Project Assumptions'!$D$23/12,0),0)</f>
        <v/>
      </c>
      <c r="AF110" s="890">
        <f>IF(AF5&gt;'Project Assumptions'!$D$15+1,IF(AF5&lt;='Project Assumptions'!$D$15+'Project Assumptions'!$D$16,(MIN(0,-AE213))*'Project Assumptions'!$D$23/12,0),0)+IF(AF5='Project Assumptions'!$D$15+1,IF(AF5&lt;='Project Assumptions'!$D$15+'Project Assumptions'!$D$16,(MIN(0,-AE202-AE206))*'Project Assumptions'!$D$23/12,0),0)</f>
        <v/>
      </c>
      <c r="AG110" s="890">
        <f>IF(AG5&gt;'Project Assumptions'!$D$15+1,IF(AG5&lt;='Project Assumptions'!$D$15+'Project Assumptions'!$D$16,(MIN(0,-AF213))*'Project Assumptions'!$D$23/12,0),0)+IF(AG5='Project Assumptions'!$D$15+1,IF(AG5&lt;='Project Assumptions'!$D$15+'Project Assumptions'!$D$16,(MIN(0,-AF202-AF206))*'Project Assumptions'!$D$23/12,0),0)</f>
        <v/>
      </c>
      <c r="AH110" s="890">
        <f>IF(AH5&gt;'Project Assumptions'!$D$15+1,IF(AH5&lt;='Project Assumptions'!$D$15+'Project Assumptions'!$D$16,(MIN(0,-AG213))*'Project Assumptions'!$D$23/12,0),0)+IF(AH5='Project Assumptions'!$D$15+1,IF(AH5&lt;='Project Assumptions'!$D$15+'Project Assumptions'!$D$16,(MIN(0,-AG202-AG206))*'Project Assumptions'!$D$23/12,0),0)</f>
        <v/>
      </c>
      <c r="AI110" s="890">
        <f>IF(AI5&gt;'Project Assumptions'!$D$15+1,IF(AI5&lt;='Project Assumptions'!$D$15+'Project Assumptions'!$D$16,(MIN(0,-AH213))*'Project Assumptions'!$D$23/12,0),0)+IF(AI5='Project Assumptions'!$D$15+1,IF(AI5&lt;='Project Assumptions'!$D$15+'Project Assumptions'!$D$16,(MIN(0,-AH202-AH206))*'Project Assumptions'!$D$23/12,0),0)</f>
        <v/>
      </c>
      <c r="AJ110" s="890">
        <f>IF(AJ5&gt;'Project Assumptions'!$D$15+1,IF(AJ5&lt;='Project Assumptions'!$D$15+'Project Assumptions'!$D$16,(MIN(0,-AI213))*'Project Assumptions'!$D$23/12,0),0)+IF(AJ5='Project Assumptions'!$D$15+1,IF(AJ5&lt;='Project Assumptions'!$D$15+'Project Assumptions'!$D$16,(MIN(0,-AI202-AI206))*'Project Assumptions'!$D$23/12,0),0)</f>
        <v/>
      </c>
      <c r="AK110" s="890">
        <f>IF(AK5&gt;'Project Assumptions'!$D$15+1,IF(AK5&lt;='Project Assumptions'!$D$15+'Project Assumptions'!$D$16,(MIN(0,-AJ213))*'Project Assumptions'!$D$23/12,0),0)+IF(AK5='Project Assumptions'!$D$15+1,IF(AK5&lt;='Project Assumptions'!$D$15+'Project Assumptions'!$D$16,(MIN(0,-AJ202-AJ206))*'Project Assumptions'!$D$23/12,0),0)</f>
        <v/>
      </c>
      <c r="AL110" s="890">
        <f>IF(AL5&gt;'Project Assumptions'!$D$15+1,IF(AL5&lt;='Project Assumptions'!$D$15+'Project Assumptions'!$D$16,(MIN(0,-AK213))*'Project Assumptions'!$D$23/12,0),0)+IF(AL5='Project Assumptions'!$D$15+1,IF(AL5&lt;='Project Assumptions'!$D$15+'Project Assumptions'!$D$16,(MIN(0,-AK202-AK206))*'Project Assumptions'!$D$23/12,0),0)</f>
        <v/>
      </c>
      <c r="AM110" s="890">
        <f>IF(AM5&gt;'Project Assumptions'!$D$15+1,IF(AM5&lt;='Project Assumptions'!$D$15+'Project Assumptions'!$D$16,(MIN(0,-AL213))*'Project Assumptions'!$D$23/12,0),0)+IF(AM5='Project Assumptions'!$D$15+1,IF(AM5&lt;='Project Assumptions'!$D$15+'Project Assumptions'!$D$16,(MIN(0,-AL202-AL206))*'Project Assumptions'!$D$23/12,0),0)</f>
        <v/>
      </c>
      <c r="AN110" s="890">
        <f>IF(AN5&gt;'Project Assumptions'!$D$15+1,IF(AN5&lt;='Project Assumptions'!$D$15+'Project Assumptions'!$D$16,(MIN(0,-AM213))*'Project Assumptions'!$D$23/12,0),0)+IF(AN5='Project Assumptions'!$D$15+1,IF(AN5&lt;='Project Assumptions'!$D$15+'Project Assumptions'!$D$16,(MIN(0,-AM202-AM206))*'Project Assumptions'!$D$23/12,0),0)</f>
        <v/>
      </c>
      <c r="AO110" s="890">
        <f>IF(AO5&gt;'Project Assumptions'!$D$15+1,IF(AO5&lt;='Project Assumptions'!$D$15+'Project Assumptions'!$D$16,(MIN(0,-AN213))*'Project Assumptions'!$D$23/12,0),0)+IF(AO5='Project Assumptions'!$D$15+1,IF(AO5&lt;='Project Assumptions'!$D$15+'Project Assumptions'!$D$16,(MIN(0,-AN202-AN206))*'Project Assumptions'!$D$23/12,0),0)</f>
        <v/>
      </c>
      <c r="AP110" s="890">
        <f>IF(AP5&gt;'Project Assumptions'!$D$15+1,IF(AP5&lt;='Project Assumptions'!$D$15+'Project Assumptions'!$D$16,(MIN(0,-AO213))*'Project Assumptions'!$D$23/12,0),0)+IF(AP5='Project Assumptions'!$D$15+1,IF(AP5&lt;='Project Assumptions'!$D$15+'Project Assumptions'!$D$16,(MIN(0,-AO202-AO206))*'Project Assumptions'!$D$23/12,0),0)</f>
        <v/>
      </c>
      <c r="AQ110" s="890">
        <f>IF(AQ5&gt;'Project Assumptions'!$D$15+1,IF(AQ5&lt;='Project Assumptions'!$D$15+'Project Assumptions'!$D$16,(MIN(0,-AP213))*'Project Assumptions'!$D$23/12,0),0)+IF(AQ5='Project Assumptions'!$D$15+1,IF(AQ5&lt;='Project Assumptions'!$D$15+'Project Assumptions'!$D$16,(MIN(0,-AP202-AP206))*'Project Assumptions'!$D$23/12,0),0)</f>
        <v/>
      </c>
      <c r="AR110" s="890">
        <f>IF(AR5&gt;'Project Assumptions'!$D$15+1,IF(AR5&lt;='Project Assumptions'!$D$15+'Project Assumptions'!$D$16,(MIN(0,-AQ213))*'Project Assumptions'!$D$23/12,0),0)+IF(AR5='Project Assumptions'!$D$15+1,IF(AR5&lt;='Project Assumptions'!$D$15+'Project Assumptions'!$D$16,(MIN(0,-AQ202-AQ206))*'Project Assumptions'!$D$23/12,0),0)</f>
        <v/>
      </c>
      <c r="AS110" s="890">
        <f>IF(AS5&gt;'Project Assumptions'!$D$15+1,IF(AS5&lt;='Project Assumptions'!$D$15+'Project Assumptions'!$D$16,(MIN(0,-AR213))*'Project Assumptions'!$D$23/12,0),0)+IF(AS5='Project Assumptions'!$D$15+1,IF(AS5&lt;='Project Assumptions'!$D$15+'Project Assumptions'!$D$16,(MIN(0,-AR202-AR206))*'Project Assumptions'!$D$23/12,0),0)</f>
        <v/>
      </c>
      <c r="AT110" s="890">
        <f>IF(AT5&gt;'Project Assumptions'!$D$15+1,IF(AT5&lt;='Project Assumptions'!$D$15+'Project Assumptions'!$D$16,(MIN(0,-AS213))*'Project Assumptions'!$D$23/12,0),0)+IF(AT5='Project Assumptions'!$D$15+1,IF(AT5&lt;='Project Assumptions'!$D$15+'Project Assumptions'!$D$16,(MIN(0,-AS202-AS206))*'Project Assumptions'!$D$23/12,0),0)</f>
        <v/>
      </c>
      <c r="AU110" s="890">
        <f>IF(AU5&gt;'Project Assumptions'!$D$15+1,IF(AU5&lt;='Project Assumptions'!$D$15+'Project Assumptions'!$D$16,(MIN(0,-AT213))*'Project Assumptions'!$D$23/12,0),0)+IF(AU5='Project Assumptions'!$D$15+1,IF(AU5&lt;='Project Assumptions'!$D$15+'Project Assumptions'!$D$16,(MIN(0,-AT202-AT206))*'Project Assumptions'!$D$23/12,0),0)</f>
        <v/>
      </c>
      <c r="AV110" s="890">
        <f>IF(AV5&gt;'Project Assumptions'!$D$15+1,IF(AV5&lt;='Project Assumptions'!$D$15+'Project Assumptions'!$D$16,(MIN(0,-AU213))*'Project Assumptions'!$D$23/12,0),0)+IF(AV5='Project Assumptions'!$D$15+1,IF(AV5&lt;='Project Assumptions'!$D$15+'Project Assumptions'!$D$16,(MIN(0,-AU202-AU206))*'Project Assumptions'!$D$23/12,0),0)</f>
        <v/>
      </c>
      <c r="AW110" s="890">
        <f>IF(AW5&gt;'Project Assumptions'!$D$15+1,IF(AW5&lt;='Project Assumptions'!$D$15+'Project Assumptions'!$D$16,(MIN(0,-AV213))*'Project Assumptions'!$D$23/12,0),0)+IF(AW5='Project Assumptions'!$D$15+1,IF(AW5&lt;='Project Assumptions'!$D$15+'Project Assumptions'!$D$16,(MIN(0,-AV202-AV206))*'Project Assumptions'!$D$23/12,0),0)</f>
        <v/>
      </c>
      <c r="AX110" s="890">
        <f>IF(AX5&gt;'Project Assumptions'!$D$15+1,IF(AX5&lt;='Project Assumptions'!$D$15+'Project Assumptions'!$D$16,(MIN(0,-AW213))*'Project Assumptions'!$D$23/12,0),0)+IF(AX5='Project Assumptions'!$D$15+1,IF(AX5&lt;='Project Assumptions'!$D$15+'Project Assumptions'!$D$16,(MIN(0,-AW202-AW206))*'Project Assumptions'!$D$23/12,0),0)</f>
        <v/>
      </c>
      <c r="AY110" s="890">
        <f>IF(AY5&gt;'Project Assumptions'!$D$15+1,IF(AY5&lt;='Project Assumptions'!$D$15+'Project Assumptions'!$D$16,(MIN(0,-AX213))*'Project Assumptions'!$D$23/12,0),0)+IF(AY5='Project Assumptions'!$D$15+1,IF(AY5&lt;='Project Assumptions'!$D$15+'Project Assumptions'!$D$16,(MIN(0,-AX202-AX206))*'Project Assumptions'!$D$23/12,0),0)</f>
        <v/>
      </c>
      <c r="AZ110" s="890">
        <f>IF(AZ5&gt;'Project Assumptions'!$D$15+1,IF(AZ5&lt;='Project Assumptions'!$D$15+'Project Assumptions'!$D$16,(MIN(0,-AY213))*'Project Assumptions'!$D$23/12,0),0)+IF(AZ5='Project Assumptions'!$D$15+1,IF(AZ5&lt;='Project Assumptions'!$D$15+'Project Assumptions'!$D$16,(MIN(0,-AY202-AY206))*'Project Assumptions'!$D$23/12,0),0)</f>
        <v/>
      </c>
      <c r="BA110" s="890">
        <f>IF(BA5&gt;'Project Assumptions'!$D$15+1,IF(BA5&lt;='Project Assumptions'!$D$15+'Project Assumptions'!$D$16,(MIN(0,-AZ213))*'Project Assumptions'!$D$23/12,0),0)+IF(BA5='Project Assumptions'!$D$15+1,IF(BA5&lt;='Project Assumptions'!$D$15+'Project Assumptions'!$D$16,(MIN(0,-AZ202-AZ206))*'Project Assumptions'!$D$23/12,0),0)</f>
        <v/>
      </c>
      <c r="BB110" s="890">
        <f>IF(BB5&gt;'Project Assumptions'!$D$15+1,IF(BB5&lt;='Project Assumptions'!$D$15+'Project Assumptions'!$D$16,(MIN(0,-BA213))*'Project Assumptions'!$D$23/12,0),0)+IF(BB5='Project Assumptions'!$D$15+1,IF(BB5&lt;='Project Assumptions'!$D$15+'Project Assumptions'!$D$16,(MIN(0,-BA202-BA206))*'Project Assumptions'!$D$23/12,0),0)</f>
        <v/>
      </c>
      <c r="BC110" s="890">
        <f>IF(BC5&gt;'Project Assumptions'!$D$15+1,IF(BC5&lt;='Project Assumptions'!$D$15+'Project Assumptions'!$D$16,(MIN(0,-BB213))*'Project Assumptions'!$D$23/12,0),0)+IF(BC5='Project Assumptions'!$D$15+1,IF(BC5&lt;='Project Assumptions'!$D$15+'Project Assumptions'!$D$16,(MIN(0,-BB202-BB206))*'Project Assumptions'!$D$23/12,0),0)</f>
        <v/>
      </c>
      <c r="BD110" s="890">
        <f>IF(BD5&gt;'Project Assumptions'!$D$15+1,IF(BD5&lt;='Project Assumptions'!$D$15+'Project Assumptions'!$D$16,(MIN(0,-BC213))*'Project Assumptions'!$D$23/12,0),0)+IF(BD5='Project Assumptions'!$D$15+1,IF(BD5&lt;='Project Assumptions'!$D$15+'Project Assumptions'!$D$16,(MIN(0,-BC202-BC206))*'Project Assumptions'!$D$23/12,0),0)</f>
        <v/>
      </c>
      <c r="BE110" s="890">
        <f>IF(BE5&gt;'Project Assumptions'!$D$15+1,IF(BE5&lt;='Project Assumptions'!$D$15+'Project Assumptions'!$D$16,(MIN(0,-BD213))*'Project Assumptions'!$D$23/12,0),0)+IF(BE5='Project Assumptions'!$D$15+1,IF(BE5&lt;='Project Assumptions'!$D$15+'Project Assumptions'!$D$16,(MIN(0,-BD202-BD206))*'Project Assumptions'!$D$23/12,0),0)</f>
        <v/>
      </c>
      <c r="BF110" s="890">
        <f>IF(BF5&gt;'Project Assumptions'!$D$15+1,IF(BF5&lt;='Project Assumptions'!$D$15+'Project Assumptions'!$D$16,(MIN(0,-BE213))*'Project Assumptions'!$D$23/12,0),0)+IF(BF5='Project Assumptions'!$D$15+1,IF(BF5&lt;='Project Assumptions'!$D$15+'Project Assumptions'!$D$16,(MIN(0,-BE202-BE206))*'Project Assumptions'!$D$23/12,0),0)</f>
        <v/>
      </c>
      <c r="BG110" s="890">
        <f>IF(BG5&gt;'Project Assumptions'!$D$15+1,IF(BG5&lt;='Project Assumptions'!$D$15+'Project Assumptions'!$D$16,(MIN(0,-BF213))*'Project Assumptions'!$D$23/12,0),0)+IF(BG5='Project Assumptions'!$D$15+1,IF(BG5&lt;='Project Assumptions'!$D$15+'Project Assumptions'!$D$16,(MIN(0,-BF202-BF206))*'Project Assumptions'!$D$23/12,0),0)</f>
        <v/>
      </c>
      <c r="BH110" s="890">
        <f>IF(BH5&gt;'Project Assumptions'!$D$15+1,IF(BH5&lt;='Project Assumptions'!$D$15+'Project Assumptions'!$D$16,(MIN(0,-BG213))*'Project Assumptions'!$D$23/12,0),0)+IF(BH5='Project Assumptions'!$D$15+1,IF(BH5&lt;='Project Assumptions'!$D$15+'Project Assumptions'!$D$16,(MIN(0,-BG202-BG206))*'Project Assumptions'!$D$23/12,0),0)</f>
        <v/>
      </c>
      <c r="BI110" s="890">
        <f>IF(BI5&gt;'Project Assumptions'!$D$15+1,IF(BI5&lt;='Project Assumptions'!$D$15+'Project Assumptions'!$D$16,(MIN(0,-BH213))*'Project Assumptions'!$D$23/12,0),0)+IF(BI5='Project Assumptions'!$D$15+1,IF(BI5&lt;='Project Assumptions'!$D$15+'Project Assumptions'!$D$16,(MIN(0,-BH202-BH206))*'Project Assumptions'!$D$23/12,0),0)</f>
        <v/>
      </c>
      <c r="BJ110" s="890">
        <f>IF(BJ5&gt;'Project Assumptions'!$D$15+1,IF(BJ5&lt;='Project Assumptions'!$D$15+'Project Assumptions'!$D$16,(MIN(0,-BI213))*'Project Assumptions'!$D$23/12,0),0)+IF(BJ5='Project Assumptions'!$D$15+1,IF(BJ5&lt;='Project Assumptions'!$D$15+'Project Assumptions'!$D$16,(MIN(0,-BI202-BI206))*'Project Assumptions'!$D$23/12,0),0)</f>
        <v/>
      </c>
      <c r="BK110" s="890">
        <f>IF(BK5&gt;'Project Assumptions'!$D$15+1,IF(BK5&lt;='Project Assumptions'!$D$15+'Project Assumptions'!$D$16,(MIN(0,-BJ213))*'Project Assumptions'!$D$23/12,0),0)+IF(BK5='Project Assumptions'!$D$15+1,IF(BK5&lt;='Project Assumptions'!$D$15+'Project Assumptions'!$D$16,(MIN(0,-BJ202-BJ206))*'Project Assumptions'!$D$23/12,0),0)</f>
        <v/>
      </c>
      <c r="BL110" s="890">
        <f>IF(BL5&gt;'Project Assumptions'!$D$15+1,IF(BL5&lt;='Project Assumptions'!$D$15+'Project Assumptions'!$D$16,(MIN(0,-BK213))*'Project Assumptions'!$D$23/12,0),0)+IF(BL5='Project Assumptions'!$D$15+1,IF(BL5&lt;='Project Assumptions'!$D$15+'Project Assumptions'!$D$16,(MIN(0,-BK202-BK206))*'Project Assumptions'!$D$23/12,0),0)</f>
        <v/>
      </c>
      <c r="BM110" s="890">
        <f>IF(BM5&gt;'Project Assumptions'!$D$15+1,IF(BM5&lt;='Project Assumptions'!$D$15+'Project Assumptions'!$D$16,(MIN(0,-BL213))*'Project Assumptions'!$D$23/12,0),0)+IF(BM5='Project Assumptions'!$D$15+1,IF(BM5&lt;='Project Assumptions'!$D$15+'Project Assumptions'!$D$16,(MIN(0,-BL202-BL206))*'Project Assumptions'!$D$23/12,0),0)</f>
        <v/>
      </c>
      <c r="BN110" s="890">
        <f>IF(BN5&gt;'Project Assumptions'!$D$15+1,IF(BN5&lt;='Project Assumptions'!$D$15+'Project Assumptions'!$D$16,(MIN(0,-BM213))*'Project Assumptions'!$D$23/12,0),0)+IF(BN5='Project Assumptions'!$D$15+1,IF(BN5&lt;='Project Assumptions'!$D$15+'Project Assumptions'!$D$16,(MIN(0,-BM202-BM206))*'Project Assumptions'!$D$23/12,0),0)</f>
        <v/>
      </c>
      <c r="BO110" s="890">
        <f>IF(BO5&gt;'Project Assumptions'!$D$15+1,IF(BO5&lt;='Project Assumptions'!$D$15+'Project Assumptions'!$D$16,(MIN(0,-BN213))*'Project Assumptions'!$D$23/12,0),0)+IF(BO5='Project Assumptions'!$D$15+1,IF(BO5&lt;='Project Assumptions'!$D$15+'Project Assumptions'!$D$16,(MIN(0,-BN202-BN206))*'Project Assumptions'!$D$23/12,0),0)</f>
        <v/>
      </c>
      <c r="BP110" s="890">
        <f>IF(BP5&gt;'Project Assumptions'!$D$15+1,IF(BP5&lt;='Project Assumptions'!$D$15+'Project Assumptions'!$D$16,(MIN(0,-BO213))*'Project Assumptions'!$D$23/12,0),0)+IF(BP5='Project Assumptions'!$D$15+1,IF(BP5&lt;='Project Assumptions'!$D$15+'Project Assumptions'!$D$16,(MIN(0,-BO202-BO206))*'Project Assumptions'!$D$23/12,0),0)</f>
        <v/>
      </c>
      <c r="BQ110" s="890">
        <f>IF(BQ5&gt;'Project Assumptions'!$D$15+1,IF(BQ5&lt;='Project Assumptions'!$D$15+'Project Assumptions'!$D$16,(MIN(0,-BP213))*'Project Assumptions'!$D$23/12,0),0)+IF(BQ5='Project Assumptions'!$D$15+1,IF(BQ5&lt;='Project Assumptions'!$D$15+'Project Assumptions'!$D$16,(MIN(0,-BP202-BP206))*'Project Assumptions'!$D$23/12,0),0)</f>
        <v/>
      </c>
      <c r="BR110" s="890">
        <f>IF(BR5&gt;'Project Assumptions'!$D$15+1,IF(BR5&lt;='Project Assumptions'!$D$15+'Project Assumptions'!$D$16,(MIN(0,-BQ213))*'Project Assumptions'!$D$23/12,0),0)+IF(BR5='Project Assumptions'!$D$15+1,IF(BR5&lt;='Project Assumptions'!$D$15+'Project Assumptions'!$D$16,(MIN(0,-BQ202-BQ206))*'Project Assumptions'!$D$23/12,0),0)</f>
        <v/>
      </c>
      <c r="BS110" s="890">
        <f>IF(BS5&gt;'Project Assumptions'!$D$15+1,IF(BS5&lt;='Project Assumptions'!$D$15+'Project Assumptions'!$D$16,(MIN(0,-BR213))*'Project Assumptions'!$D$23/12,0),0)+IF(BS5='Project Assumptions'!$D$15+1,IF(BS5&lt;='Project Assumptions'!$D$15+'Project Assumptions'!$D$16,(MIN(0,-BR202-BR206))*'Project Assumptions'!$D$23/12,0),0)</f>
        <v/>
      </c>
      <c r="BT110" s="890">
        <f>IF(BT5&gt;'Project Assumptions'!$D$15+1,IF(BT5&lt;='Project Assumptions'!$D$15+'Project Assumptions'!$D$16,(MIN(0,-BS213))*'Project Assumptions'!$D$23/12,0),0)+IF(BT5='Project Assumptions'!$D$15+1,IF(BT5&lt;='Project Assumptions'!$D$15+'Project Assumptions'!$D$16,(MIN(0,-BS202-BS206))*'Project Assumptions'!$D$23/12,0),0)</f>
        <v/>
      </c>
      <c r="BU110" s="890">
        <f>IF(BU5&gt;'Project Assumptions'!$D$15+1,IF(BU5&lt;='Project Assumptions'!$D$15+'Project Assumptions'!$D$16,(MIN(0,-BT213))*'Project Assumptions'!$D$23/12,0),0)+IF(BU5='Project Assumptions'!$D$15+1,IF(BU5&lt;='Project Assumptions'!$D$15+'Project Assumptions'!$D$16,(MIN(0,-BT202-BT206))*'Project Assumptions'!$D$23/12,0),0)</f>
        <v/>
      </c>
      <c r="BV110" s="890">
        <f>IF(BV5&gt;'Project Assumptions'!$D$15+1,IF(BV5&lt;='Project Assumptions'!$D$15+'Project Assumptions'!$D$16,(MIN(0,-BU213))*'Project Assumptions'!$D$23/12,0),0)+IF(BV5='Project Assumptions'!$D$15+1,IF(BV5&lt;='Project Assumptions'!$D$15+'Project Assumptions'!$D$16,(MIN(0,-BU202-BU206))*'Project Assumptions'!$D$23/12,0),0)</f>
        <v/>
      </c>
      <c r="BW110" s="890">
        <f>IF(BW5&gt;'Project Assumptions'!$D$15+1,IF(BW5&lt;='Project Assumptions'!$D$15+'Project Assumptions'!$D$16,(MIN(0,-BV213))*'Project Assumptions'!$D$23/12,0),0)+IF(BW5='Project Assumptions'!$D$15+1,IF(BW5&lt;='Project Assumptions'!$D$15+'Project Assumptions'!$D$16,(MIN(0,-BV202-BV206))*'Project Assumptions'!$D$23/12,0),0)</f>
        <v/>
      </c>
      <c r="BX110" s="890">
        <f>IF(BX5&gt;'Project Assumptions'!$D$15+1,IF(BX5&lt;='Project Assumptions'!$D$15+'Project Assumptions'!$D$16,(MIN(0,-BW213))*'Project Assumptions'!$D$23/12,0),0)+IF(BX5='Project Assumptions'!$D$15+1,IF(BX5&lt;='Project Assumptions'!$D$15+'Project Assumptions'!$D$16,(MIN(0,-BW202-BW206))*'Project Assumptions'!$D$23/12,0),0)</f>
        <v/>
      </c>
      <c r="BY110" s="890">
        <f>IF(BY5&gt;'Project Assumptions'!$D$15+1,IF(BY5&lt;='Project Assumptions'!$D$15+'Project Assumptions'!$D$16,(MIN(0,-BX213))*'Project Assumptions'!$D$23/12,0),0)+IF(BY5='Project Assumptions'!$D$15+1,IF(BY5&lt;='Project Assumptions'!$D$15+'Project Assumptions'!$D$16,(MIN(0,-BX202-BX206))*'Project Assumptions'!$D$23/12,0),0)</f>
        <v/>
      </c>
      <c r="BZ110" s="890">
        <f>IF(BZ5&gt;'Project Assumptions'!$D$15+1,IF(BZ5&lt;='Project Assumptions'!$D$15+'Project Assumptions'!$D$16,(MIN(0,-BY213))*'Project Assumptions'!$D$23/12,0),0)+IF(BZ5='Project Assumptions'!$D$15+1,IF(BZ5&lt;='Project Assumptions'!$D$15+'Project Assumptions'!$D$16,(MIN(0,-BY202-BY206))*'Project Assumptions'!$D$23/12,0),0)</f>
        <v/>
      </c>
      <c r="CA110" s="890">
        <f>IF(CA5&gt;'Project Assumptions'!$D$15+1,IF(CA5&lt;='Project Assumptions'!$D$15+'Project Assumptions'!$D$16,(MIN(0,-BZ213))*'Project Assumptions'!$D$23/12,0),0)+IF(CA5='Project Assumptions'!$D$15+1,IF(CA5&lt;='Project Assumptions'!$D$15+'Project Assumptions'!$D$16,(MIN(0,-BZ202-BZ206))*'Project Assumptions'!$D$23/12,0),0)</f>
        <v/>
      </c>
      <c r="CB110" s="890">
        <f>IF(CB5&gt;'Project Assumptions'!$D$15+1,IF(CB5&lt;='Project Assumptions'!$D$15+'Project Assumptions'!$D$16,(MIN(0,-CA213))*'Project Assumptions'!$D$23/12,0),0)+IF(CB5='Project Assumptions'!$D$15+1,IF(CB5&lt;='Project Assumptions'!$D$15+'Project Assumptions'!$D$16,(MIN(0,-CA202-CA206))*'Project Assumptions'!$D$23/12,0),0)</f>
        <v/>
      </c>
      <c r="CC110" s="890">
        <f>IF(CC5&gt;'Project Assumptions'!$D$15+1,IF(CC5&lt;='Project Assumptions'!$D$15+'Project Assumptions'!$D$16,(MIN(0,-CB213))*'Project Assumptions'!$D$23/12,0),0)+IF(CC5='Project Assumptions'!$D$15+1,IF(CC5&lt;='Project Assumptions'!$D$15+'Project Assumptions'!$D$16,(MIN(0,-CB202-CB206))*'Project Assumptions'!$D$23/12,0),0)</f>
        <v/>
      </c>
      <c r="CD110" s="890">
        <f>IF(CD5&gt;'Project Assumptions'!$D$15+1,IF(CD5&lt;='Project Assumptions'!$D$15+'Project Assumptions'!$D$16,(MIN(0,-CC213))*'Project Assumptions'!$D$23/12,0),0)+IF(CD5='Project Assumptions'!$D$15+1,IF(CD5&lt;='Project Assumptions'!$D$15+'Project Assumptions'!$D$16,(MIN(0,-CC202-CC206))*'Project Assumptions'!$D$23/12,0),0)</f>
        <v/>
      </c>
      <c r="CE110" s="890">
        <f>IF(CE5&gt;'Project Assumptions'!$D$15+1,IF(CE5&lt;='Project Assumptions'!$D$15+'Project Assumptions'!$D$16,(MIN(0,-CD213))*'Project Assumptions'!$D$23/12,0),0)+IF(CE5='Project Assumptions'!$D$15+1,IF(CE5&lt;='Project Assumptions'!$D$15+'Project Assumptions'!$D$16,(MIN(0,-CD202-CD206))*'Project Assumptions'!$D$23/12,0),0)</f>
        <v/>
      </c>
      <c r="CF110" s="890">
        <f>IF(CF5&gt;'Project Assumptions'!$D$15+1,IF(CF5&lt;='Project Assumptions'!$D$15+'Project Assumptions'!$D$16,(MIN(0,-CE213))*'Project Assumptions'!$D$23/12,0),0)+IF(CF5='Project Assumptions'!$D$15+1,IF(CF5&lt;='Project Assumptions'!$D$15+'Project Assumptions'!$D$16,(MIN(0,-CE202-CE206))*'Project Assumptions'!$D$23/12,0),0)</f>
        <v/>
      </c>
      <c r="CG110" s="890">
        <f>IF(CG5&gt;'Project Assumptions'!$D$15+1,IF(CG5&lt;='Project Assumptions'!$D$15+'Project Assumptions'!$D$16,(MIN(0,-CF213))*'Project Assumptions'!$D$23/12,0),0)+IF(CG5='Project Assumptions'!$D$15+1,IF(CG5&lt;='Project Assumptions'!$D$15+'Project Assumptions'!$D$16,(MIN(0,-CF202-CF206))*'Project Assumptions'!$D$23/12,0),0)</f>
        <v/>
      </c>
      <c r="CH110" s="890">
        <f>IF(CH5&gt;'Project Assumptions'!$D$15+1,IF(CH5&lt;='Project Assumptions'!$D$15+'Project Assumptions'!$D$16,(MIN(0,-CG213))*'Project Assumptions'!$D$23/12,0),0)+IF(CH5='Project Assumptions'!$D$15+1,IF(CH5&lt;='Project Assumptions'!$D$15+'Project Assumptions'!$D$16,(MIN(0,-CG202-CG206))*'Project Assumptions'!$D$23/12,0),0)</f>
        <v/>
      </c>
      <c r="CI110" s="890">
        <f>IF(CI5&gt;'Project Assumptions'!$D$15+1,IF(CI5&lt;='Project Assumptions'!$D$15+'Project Assumptions'!$D$16,(MIN(0,-CH213))*'Project Assumptions'!$D$23/12,0),0)+IF(CI5='Project Assumptions'!$D$15+1,IF(CI5&lt;='Project Assumptions'!$D$15+'Project Assumptions'!$D$16,(MIN(0,-CH202-CH206))*'Project Assumptions'!$D$23/12,0),0)</f>
        <v/>
      </c>
      <c r="CJ110" s="890">
        <f>IF(CJ5&gt;'Project Assumptions'!$D$15+1,IF(CJ5&lt;='Project Assumptions'!$D$15+'Project Assumptions'!$D$16,(MIN(0,-CI213))*'Project Assumptions'!$D$23/12,0),0)+IF(CJ5='Project Assumptions'!$D$15+1,IF(CJ5&lt;='Project Assumptions'!$D$15+'Project Assumptions'!$D$16,(MIN(0,-CI202-CI206))*'Project Assumptions'!$D$23/12,0),0)</f>
        <v/>
      </c>
      <c r="CK110" s="890">
        <f>IF(CK5&gt;'Project Assumptions'!$D$15+1,IF(CK5&lt;='Project Assumptions'!$D$15+'Project Assumptions'!$D$16,(MIN(0,-CJ213))*'Project Assumptions'!$D$23/12,0),0)+IF(CK5='Project Assumptions'!$D$15+1,IF(CK5&lt;='Project Assumptions'!$D$15+'Project Assumptions'!$D$16,(MIN(0,-CJ202-CJ206))*'Project Assumptions'!$D$23/12,0),0)</f>
        <v/>
      </c>
      <c r="CL110" s="890">
        <f>IF(CL5&gt;'Project Assumptions'!$D$15+1,IF(CL5&lt;='Project Assumptions'!$D$15+'Project Assumptions'!$D$16,(MIN(0,-CK213))*'Project Assumptions'!$D$23/12,0),0)+IF(CL5='Project Assumptions'!$D$15+1,IF(CL5&lt;='Project Assumptions'!$D$15+'Project Assumptions'!$D$16,(MIN(0,-CK202-CK206))*'Project Assumptions'!$D$23/12,0),0)</f>
        <v/>
      </c>
      <c r="CM110" s="890">
        <f>IF(CM5&gt;'Project Assumptions'!$D$15+1,IF(CM5&lt;='Project Assumptions'!$D$15+'Project Assumptions'!$D$16,(MIN(0,-CL213))*'Project Assumptions'!$D$23/12,0),0)+IF(CM5='Project Assumptions'!$D$15+1,IF(CM5&lt;='Project Assumptions'!$D$15+'Project Assumptions'!$D$16,(MIN(0,-CL202-CL206))*'Project Assumptions'!$D$23/12,0),0)</f>
        <v/>
      </c>
      <c r="CN110" s="890">
        <f>IF(CN5&gt;'Project Assumptions'!$D$15+1,IF(CN5&lt;='Project Assumptions'!$D$15+'Project Assumptions'!$D$16,(MIN(0,-CM213))*'Project Assumptions'!$D$23/12,0),0)+IF(CN5='Project Assumptions'!$D$15+1,IF(CN5&lt;='Project Assumptions'!$D$15+'Project Assumptions'!$D$16,(MIN(0,-CM202-CM206))*'Project Assumptions'!$D$23/12,0),0)</f>
        <v/>
      </c>
      <c r="CO110" s="890">
        <f>IF(CO5&gt;'Project Assumptions'!$D$15+1,IF(CO5&lt;='Project Assumptions'!$D$15+'Project Assumptions'!$D$16,(MIN(0,-CN213))*'Project Assumptions'!$D$23/12,0),0)+IF(CO5='Project Assumptions'!$D$15+1,IF(CO5&lt;='Project Assumptions'!$D$15+'Project Assumptions'!$D$16,(MIN(0,-CN202-CN206))*'Project Assumptions'!$D$23/12,0),0)</f>
        <v/>
      </c>
      <c r="CP110" s="890">
        <f>IF(CP5&gt;'Project Assumptions'!$D$15+1,IF(CP5&lt;='Project Assumptions'!$D$15+'Project Assumptions'!$D$16,(MIN(0,-CO213))*'Project Assumptions'!$D$23/12,0),0)+IF(CP5='Project Assumptions'!$D$15+1,IF(CP5&lt;='Project Assumptions'!$D$15+'Project Assumptions'!$D$16,(MIN(0,-CO202-CO206))*'Project Assumptions'!$D$23/12,0),0)</f>
        <v/>
      </c>
      <c r="CQ110" s="890">
        <f>IF(CQ5&gt;'Project Assumptions'!$D$15+1,IF(CQ5&lt;='Project Assumptions'!$D$15+'Project Assumptions'!$D$16,(MIN(0,-CP213))*'Project Assumptions'!$D$23/12,0),0)+IF(CQ5='Project Assumptions'!$D$15+1,IF(CQ5&lt;='Project Assumptions'!$D$15+'Project Assumptions'!$D$16,(MIN(0,-CP202-CP206))*'Project Assumptions'!$D$23/12,0),0)</f>
        <v/>
      </c>
      <c r="CR110" s="890">
        <f>IF(CR5&gt;'Project Assumptions'!$D$15+1,IF(CR5&lt;='Project Assumptions'!$D$15+'Project Assumptions'!$D$16,(MIN(0,-CQ213))*'Project Assumptions'!$D$23/12,0),0)+IF(CR5='Project Assumptions'!$D$15+1,IF(CR5&lt;='Project Assumptions'!$D$15+'Project Assumptions'!$D$16,(MIN(0,-CQ202-CQ206))*'Project Assumptions'!$D$23/12,0),0)</f>
        <v/>
      </c>
      <c r="CS110" s="890">
        <f>IF(CS5&gt;'Project Assumptions'!$D$15+1,IF(CS5&lt;='Project Assumptions'!$D$15+'Project Assumptions'!$D$16,(MIN(0,-CR213))*'Project Assumptions'!$D$23/12,0),0)+IF(CS5='Project Assumptions'!$D$15+1,IF(CS5&lt;='Project Assumptions'!$D$15+'Project Assumptions'!$D$16,(MIN(0,-CR202-CR206))*'Project Assumptions'!$D$23/12,0),0)</f>
        <v/>
      </c>
      <c r="CT110" s="890">
        <f>IF(CT5&gt;'Project Assumptions'!$D$15+1,IF(CT5&lt;='Project Assumptions'!$D$15+'Project Assumptions'!$D$16,(MIN(0,-CS213))*'Project Assumptions'!$D$23/12,0),0)+IF(CT5='Project Assumptions'!$D$15+1,IF(CT5&lt;='Project Assumptions'!$D$15+'Project Assumptions'!$D$16,(MIN(0,-CS202-CS206))*'Project Assumptions'!$D$23/12,0),0)</f>
        <v/>
      </c>
      <c r="CU110" s="890">
        <f>IF(CU5&gt;'Project Assumptions'!$D$15+1,IF(CU5&lt;='Project Assumptions'!$D$15+'Project Assumptions'!$D$16,(MIN(0,-CT213))*'Project Assumptions'!$D$23/12,0),0)+IF(CU5='Project Assumptions'!$D$15+1,IF(CU5&lt;='Project Assumptions'!$D$15+'Project Assumptions'!$D$16,(MIN(0,-CT202-CT206))*'Project Assumptions'!$D$23/12,0),0)</f>
        <v/>
      </c>
      <c r="CV110" s="890">
        <f>IF(CV5&gt;'Project Assumptions'!$D$15+1,IF(CV5&lt;='Project Assumptions'!$D$15+'Project Assumptions'!$D$16,(MIN(0,-CU213))*'Project Assumptions'!$D$23/12,0),0)+IF(CV5='Project Assumptions'!$D$15+1,IF(CV5&lt;='Project Assumptions'!$D$15+'Project Assumptions'!$D$16,(MIN(0,-CU202-CU206))*'Project Assumptions'!$D$23/12,0),0)</f>
        <v/>
      </c>
      <c r="CW110" s="890">
        <f>IF(CW5&gt;'Project Assumptions'!$D$15+1,IF(CW5&lt;='Project Assumptions'!$D$15+'Project Assumptions'!$D$16,(MIN(0,-CV213))*'Project Assumptions'!$D$23/12,0),0)+IF(CW5='Project Assumptions'!$D$15+1,IF(CW5&lt;='Project Assumptions'!$D$15+'Project Assumptions'!$D$16,(MIN(0,-CV202-CV206))*'Project Assumptions'!$D$23/12,0),0)</f>
        <v/>
      </c>
      <c r="CX110" s="890">
        <f>IF(CX5&gt;'Project Assumptions'!$D$15+1,IF(CX5&lt;='Project Assumptions'!$D$15+'Project Assumptions'!$D$16,(MIN(0,-CW213))*'Project Assumptions'!$D$23/12,0),0)+IF(CX5='Project Assumptions'!$D$15+1,IF(CX5&lt;='Project Assumptions'!$D$15+'Project Assumptions'!$D$16,(MIN(0,-CW202-CW206))*'Project Assumptions'!$D$23/12,0),0)</f>
        <v/>
      </c>
      <c r="CY110" s="890">
        <f>IF(CY5&gt;'Project Assumptions'!$D$15+1,IF(CY5&lt;='Project Assumptions'!$D$15+'Project Assumptions'!$D$16,(MIN(0,-CX213))*'Project Assumptions'!$D$23/12,0),0)+IF(CY5='Project Assumptions'!$D$15+1,IF(CY5&lt;='Project Assumptions'!$D$15+'Project Assumptions'!$D$16,(MIN(0,-CX202-CX206))*'Project Assumptions'!$D$23/12,0),0)</f>
        <v/>
      </c>
      <c r="CZ110" s="890">
        <f>IF(CZ5&gt;'Project Assumptions'!$D$15+1,IF(CZ5&lt;='Project Assumptions'!$D$15+'Project Assumptions'!$D$16,(MIN(0,-CY213))*'Project Assumptions'!$D$23/12,0),0)+IF(CZ5='Project Assumptions'!$D$15+1,IF(CZ5&lt;='Project Assumptions'!$D$15+'Project Assumptions'!$D$16,(MIN(0,-CY202-CY206))*'Project Assumptions'!$D$23/12,0),0)</f>
        <v/>
      </c>
      <c r="DA110" s="890">
        <f>IF(DA5&gt;'Project Assumptions'!$D$15+1,IF(DA5&lt;='Project Assumptions'!$D$15+'Project Assumptions'!$D$16,(MIN(0,-CZ213))*'Project Assumptions'!$D$23/12,0),0)+IF(DA5='Project Assumptions'!$D$15+1,IF(DA5&lt;='Project Assumptions'!$D$15+'Project Assumptions'!$D$16,(MIN(0,-CZ202-CZ206))*'Project Assumptions'!$D$23/12,0),0)</f>
        <v/>
      </c>
      <c r="DB110" s="890">
        <f>IF(DB5&gt;'Project Assumptions'!$D$15+1,IF(DB5&lt;='Project Assumptions'!$D$15+'Project Assumptions'!$D$16,(MIN(0,-DA213))*'Project Assumptions'!$D$23/12,0),0)+IF(DB5='Project Assumptions'!$D$15+1,IF(DB5&lt;='Project Assumptions'!$D$15+'Project Assumptions'!$D$16,(MIN(0,-DA202-DA206))*'Project Assumptions'!$D$23/12,0),0)</f>
        <v/>
      </c>
      <c r="DC110" s="890" t="n"/>
      <c r="DD110" s="297">
        <f>SUM(G110:DB110)</f>
        <v/>
      </c>
    </row>
    <row r="111">
      <c r="A111" s="1126" t="inlineStr">
        <is>
          <t>Loss to Breakeven</t>
        </is>
      </c>
      <c r="B111" s="9" t="inlineStr">
        <is>
          <t xml:space="preserve">   Total Square Feet Leased - thru Project Sale</t>
        </is>
      </c>
      <c r="C111" s="294" t="n"/>
      <c r="D111" s="295">
        <f>DD111</f>
        <v/>
      </c>
      <c r="E111" s="274" t="n"/>
      <c r="F111" s="273" t="n"/>
      <c r="G111" s="273">
        <f>IF(G5&lt;='Project Returns'!$G$32,SUM(G113:G123),0)</f>
        <v/>
      </c>
      <c r="H111" s="273">
        <f>IF(H5&lt;='Project Returns'!$G$32,SUM(H113:H123),0)</f>
        <v/>
      </c>
      <c r="I111" s="273">
        <f>IF(I5&lt;='Project Returns'!$G$32,SUM(I113:I123),0)</f>
        <v/>
      </c>
      <c r="J111" s="273">
        <f>IF(J5&lt;='Project Returns'!$G$32,SUM(J113:J123),0)</f>
        <v/>
      </c>
      <c r="K111" s="273">
        <f>IF(K5&lt;='Project Returns'!$G$32,SUM(K113:K123),0)</f>
        <v/>
      </c>
      <c r="L111" s="273">
        <f>IF(L5&lt;='Project Returns'!$G$32,SUM(L113:L123),0)</f>
        <v/>
      </c>
      <c r="M111" s="273">
        <f>IF(M5&lt;='Project Returns'!$G$32,SUM(M113:M123),0)</f>
        <v/>
      </c>
      <c r="N111" s="273">
        <f>IF(N5&lt;='Project Returns'!$G$32,SUM(N113:N123),0)</f>
        <v/>
      </c>
      <c r="O111" s="273">
        <f>IF(O5&lt;='Project Returns'!$G$32,SUM(O113:O123),0)</f>
        <v/>
      </c>
      <c r="P111" s="273">
        <f>IF(P5&lt;='Project Returns'!$G$32,SUM(P113:P123),0)</f>
        <v/>
      </c>
      <c r="Q111" s="273">
        <f>IF(Q5&lt;='Project Returns'!$G$32,SUM(Q113:Q123),0)</f>
        <v/>
      </c>
      <c r="R111" s="273">
        <f>IF(R5&lt;='Project Returns'!$G$32,SUM(R113:R123),0)</f>
        <v/>
      </c>
      <c r="S111" s="273">
        <f>IF(S5&lt;='Project Returns'!$G$32,SUM(S113:S123),0)</f>
        <v/>
      </c>
      <c r="T111" s="273">
        <f>IF(T5&lt;='Project Returns'!$G$32,SUM(T113:T123),0)</f>
        <v/>
      </c>
      <c r="U111" s="273">
        <f>IF(U5&lt;='Project Returns'!$G$32,SUM(U113:U123),0)</f>
        <v/>
      </c>
      <c r="V111" s="273">
        <f>IF(V5&lt;='Project Returns'!$G$32,SUM(V113:V123),0)</f>
        <v/>
      </c>
      <c r="W111" s="273">
        <f>IF(W5&lt;='Project Returns'!$G$32,SUM(W113:W123),0)</f>
        <v/>
      </c>
      <c r="X111" s="273">
        <f>IF(X5&lt;='Project Returns'!$G$32,SUM(X113:X123),0)</f>
        <v/>
      </c>
      <c r="Y111" s="273">
        <f>IF(Y5&lt;='Project Returns'!$G$32,SUM(Y113:Y123),0)</f>
        <v/>
      </c>
      <c r="Z111" s="273">
        <f>IF(Z5&lt;='Project Returns'!$G$32,SUM(Z113:Z123),0)</f>
        <v/>
      </c>
      <c r="AA111" s="273">
        <f>IF(AA5&lt;='Project Returns'!$G$32,SUM(AA113:AA123),0)</f>
        <v/>
      </c>
      <c r="AB111" s="273">
        <f>IF(AB5&lt;='Project Returns'!$G$32,SUM(AB113:AB123),0)</f>
        <v/>
      </c>
      <c r="AC111" s="273">
        <f>IF(AC5&lt;='Project Returns'!$G$32,SUM(AC113:AC123),0)</f>
        <v/>
      </c>
      <c r="AD111" s="273">
        <f>IF(AD5&lt;='Project Returns'!$G$32,SUM(AD113:AD123),0)</f>
        <v/>
      </c>
      <c r="AE111" s="273">
        <f>IF(AE5&lt;='Project Returns'!$G$32,SUM(AE113:AE123),0)</f>
        <v/>
      </c>
      <c r="AF111" s="273">
        <f>IF(AF5&lt;='Project Returns'!$G$32,SUM(AF113:AF123),0)</f>
        <v/>
      </c>
      <c r="AG111" s="273">
        <f>IF(AG5&lt;='Project Returns'!$G$32,SUM(AG113:AG123),0)</f>
        <v/>
      </c>
      <c r="AH111" s="273">
        <f>IF(AH5&lt;='Project Returns'!$G$32,SUM(AH113:AH123),0)</f>
        <v/>
      </c>
      <c r="AI111" s="273">
        <f>IF(AI5&lt;='Project Returns'!$G$32,SUM(AI113:AI123),0)</f>
        <v/>
      </c>
      <c r="AJ111" s="273">
        <f>IF(AJ5&lt;='Project Returns'!$G$32,SUM(AJ113:AJ123),0)</f>
        <v/>
      </c>
      <c r="AK111" s="273">
        <f>IF(AK5&lt;='Project Returns'!$G$32,SUM(AK113:AK123),0)</f>
        <v/>
      </c>
      <c r="AL111" s="273">
        <f>IF(AL5&lt;='Project Returns'!$G$32,SUM(AL113:AL123),0)</f>
        <v/>
      </c>
      <c r="AM111" s="273">
        <f>IF(AM5&lt;='Project Returns'!$G$32,SUM(AM113:AM123),0)</f>
        <v/>
      </c>
      <c r="AN111" s="273">
        <f>IF(AN5&lt;='Project Returns'!$G$32,SUM(AN113:AN123),0)</f>
        <v/>
      </c>
      <c r="AO111" s="273">
        <f>IF(AO5&lt;='Project Returns'!$G$32,SUM(AO113:AO123),0)</f>
        <v/>
      </c>
      <c r="AP111" s="273">
        <f>IF(AP5&lt;='Project Returns'!$G$32,SUM(AP113:AP123),0)</f>
        <v/>
      </c>
      <c r="AQ111" s="273">
        <f>IF(AQ5&lt;='Project Returns'!$G$32,SUM(AQ113:AQ123),0)</f>
        <v/>
      </c>
      <c r="AR111" s="273">
        <f>IF(AR5&lt;='Project Returns'!$G$32,SUM(AR113:AR123),0)</f>
        <v/>
      </c>
      <c r="AS111" s="273">
        <f>IF(AS5&lt;='Project Returns'!$G$32,SUM(AS113:AS123),0)</f>
        <v/>
      </c>
      <c r="AT111" s="273">
        <f>IF(AT5&lt;='Project Returns'!$G$32,SUM(AT113:AT123),0)</f>
        <v/>
      </c>
      <c r="AU111" s="273">
        <f>IF(AU5&lt;='Project Returns'!$G$32,SUM(AU113:AU123),0)</f>
        <v/>
      </c>
      <c r="AV111" s="273">
        <f>IF(AV5&lt;='Project Returns'!$G$32,SUM(AV113:AV123),0)</f>
        <v/>
      </c>
      <c r="AW111" s="273">
        <f>IF(AW5&lt;='Project Returns'!$G$32,SUM(AW113:AW123),0)</f>
        <v/>
      </c>
      <c r="AX111" s="273">
        <f>IF(AX5&lt;='Project Returns'!$G$32,SUM(AX113:AX123),0)</f>
        <v/>
      </c>
      <c r="AY111" s="273">
        <f>IF(AY5&lt;='Project Returns'!$G$32,SUM(AY113:AY123),0)</f>
        <v/>
      </c>
      <c r="AZ111" s="273">
        <f>IF(AZ5&lt;='Project Returns'!$G$32,SUM(AZ113:AZ123),0)</f>
        <v/>
      </c>
      <c r="BA111" s="273">
        <f>IF(BA5&lt;='Project Returns'!$G$32,SUM(BA113:BA123),0)</f>
        <v/>
      </c>
      <c r="BB111" s="273">
        <f>IF(BB5&lt;='Project Returns'!$G$32,SUM(BB113:BB123),0)</f>
        <v/>
      </c>
      <c r="BC111" s="273">
        <f>IF(BC5&lt;='Project Returns'!$G$32,SUM(BC113:BC123),0)</f>
        <v/>
      </c>
      <c r="BD111" s="273">
        <f>IF(BD5&lt;='Project Returns'!$G$32,SUM(BD113:BD123),0)</f>
        <v/>
      </c>
      <c r="BE111" s="273">
        <f>IF(BE5&lt;='Project Returns'!$G$32,SUM(BE113:BE123),0)</f>
        <v/>
      </c>
      <c r="BF111" s="273">
        <f>IF(BF5&lt;='Project Returns'!$G$32,SUM(BF113:BF123),0)</f>
        <v/>
      </c>
      <c r="BG111" s="273">
        <f>IF(BG5&lt;='Project Returns'!$G$32,SUM(BG113:BG123),0)</f>
        <v/>
      </c>
      <c r="BH111" s="273">
        <f>IF(BH5&lt;='Project Returns'!$G$32,SUM(BH113:BH123),0)</f>
        <v/>
      </c>
      <c r="BI111" s="273">
        <f>IF(BI5&lt;='Project Returns'!$G$32,SUM(BI113:BI123),0)</f>
        <v/>
      </c>
      <c r="BJ111" s="273">
        <f>IF(BJ5&lt;='Project Returns'!$G$32,SUM(BJ113:BJ123),0)</f>
        <v/>
      </c>
      <c r="BK111" s="273">
        <f>IF(BK5&lt;='Project Returns'!$G$32,SUM(BK113:BK123),0)</f>
        <v/>
      </c>
      <c r="BL111" s="273">
        <f>IF(BL5&lt;='Project Returns'!$G$32,SUM(BL113:BL123),0)</f>
        <v/>
      </c>
      <c r="BM111" s="273">
        <f>IF(BM5&lt;='Project Returns'!$G$32,SUM(BM113:BM123),0)</f>
        <v/>
      </c>
      <c r="BN111" s="273">
        <f>IF(BN5&lt;='Project Returns'!$G$32,SUM(BN113:BN123),0)</f>
        <v/>
      </c>
      <c r="BO111" s="273">
        <f>IF(BO5&lt;='Project Returns'!$G$32,SUM(BO113:BO123),0)</f>
        <v/>
      </c>
      <c r="BP111" s="273">
        <f>IF(BP5&lt;='Project Returns'!$G$32,SUM(BP113:BP123),0)</f>
        <v/>
      </c>
      <c r="BQ111" s="273">
        <f>IF(BQ5&lt;='Project Returns'!$G$32,SUM(BQ113:BQ123),0)</f>
        <v/>
      </c>
      <c r="BR111" s="273">
        <f>IF(BR5&lt;='Project Returns'!$G$32,SUM(BR113:BR123),0)</f>
        <v/>
      </c>
      <c r="BS111" s="273">
        <f>IF(BS5&lt;='Project Returns'!$G$32,SUM(BS113:BS123),0)</f>
        <v/>
      </c>
      <c r="BT111" s="273">
        <f>IF(BT5&lt;='Project Returns'!$G$32,SUM(BT113:BT123),0)</f>
        <v/>
      </c>
      <c r="BU111" s="273">
        <f>IF(BU5&lt;='Project Returns'!$G$32,SUM(BU113:BU123),0)</f>
        <v/>
      </c>
      <c r="BV111" s="273">
        <f>IF(BV5&lt;='Project Returns'!$G$32,SUM(BV113:BV123),0)</f>
        <v/>
      </c>
      <c r="BW111" s="273">
        <f>IF(BW5&lt;='Project Returns'!$G$32,SUM(BW113:BW123),0)</f>
        <v/>
      </c>
      <c r="BX111" s="273">
        <f>IF(BX5&lt;='Project Returns'!$G$32,SUM(BX113:BX123),0)</f>
        <v/>
      </c>
      <c r="BY111" s="273">
        <f>IF(BY5&lt;='Project Returns'!$G$32,SUM(BY113:BY123),0)</f>
        <v/>
      </c>
      <c r="BZ111" s="273">
        <f>IF(BZ5&lt;='Project Returns'!$G$32,SUM(BZ113:BZ123),0)</f>
        <v/>
      </c>
      <c r="CA111" s="273">
        <f>IF(CA5&lt;='Project Returns'!$G$32,SUM(CA113:CA123),0)</f>
        <v/>
      </c>
      <c r="CB111" s="273">
        <f>IF(CB5&lt;='Project Returns'!$G$32,SUM(CB113:CB123),0)</f>
        <v/>
      </c>
      <c r="CC111" s="273">
        <f>IF(CC5&lt;='Project Returns'!$G$32,SUM(CC113:CC123),0)</f>
        <v/>
      </c>
      <c r="CD111" s="273">
        <f>IF(CD5&lt;='Project Returns'!$G$32,SUM(CD113:CD123),0)</f>
        <v/>
      </c>
      <c r="CE111" s="273">
        <f>IF(CE5&lt;='Project Returns'!$G$32,SUM(CE113:CE123),0)</f>
        <v/>
      </c>
      <c r="CF111" s="273">
        <f>IF(CF5&lt;='Project Returns'!$G$32,SUM(CF113:CF123),0)</f>
        <v/>
      </c>
      <c r="CG111" s="273">
        <f>IF(CG5&lt;='Project Returns'!$G$32,SUM(CG113:CG123),0)</f>
        <v/>
      </c>
      <c r="CH111" s="273">
        <f>IF(CH5&lt;='Project Returns'!$G$32,SUM(CH113:CH123),0)</f>
        <v/>
      </c>
      <c r="CI111" s="273">
        <f>IF(CI5&lt;='Project Returns'!$G$32,SUM(CI113:CI123),0)</f>
        <v/>
      </c>
      <c r="CJ111" s="273">
        <f>IF(CJ5&lt;='Project Returns'!$G$32,SUM(CJ113:CJ123),0)</f>
        <v/>
      </c>
      <c r="CK111" s="273">
        <f>IF(CK5&lt;='Project Returns'!$G$32,SUM(CK113:CK123),0)</f>
        <v/>
      </c>
      <c r="CL111" s="273">
        <f>IF(CL5&lt;='Project Returns'!$G$32,SUM(CL113:CL123),0)</f>
        <v/>
      </c>
      <c r="CM111" s="273">
        <f>IF(CM5&lt;='Project Returns'!$G$32,SUM(CM113:CM123),0)</f>
        <v/>
      </c>
      <c r="CN111" s="273">
        <f>IF(CN5&lt;='Project Returns'!$G$32,SUM(CN113:CN123),0)</f>
        <v/>
      </c>
      <c r="CO111" s="273">
        <f>IF(CO5&lt;='Project Returns'!$G$32,SUM(CO113:CO123),0)</f>
        <v/>
      </c>
      <c r="CP111" s="273">
        <f>IF(CP5&lt;='Project Returns'!$G$32,SUM(CP113:CP123),0)</f>
        <v/>
      </c>
      <c r="CQ111" s="273">
        <f>IF(CQ5&lt;='Project Returns'!$G$32,SUM(CQ113:CQ123),0)</f>
        <v/>
      </c>
      <c r="CR111" s="273">
        <f>IF(CR5&lt;='Project Returns'!$G$32,SUM(CR113:CR123),0)</f>
        <v/>
      </c>
      <c r="CS111" s="273">
        <f>IF(CS5&lt;='Project Returns'!$G$32,SUM(CS113:CS123),0)</f>
        <v/>
      </c>
      <c r="CT111" s="273">
        <f>IF(CT5&lt;='Project Returns'!$G$32,SUM(CT113:CT123),0)</f>
        <v/>
      </c>
      <c r="CU111" s="273">
        <f>IF(CU5&lt;='Project Returns'!$G$32,SUM(CU113:CU123),0)</f>
        <v/>
      </c>
      <c r="CV111" s="273">
        <f>IF(CV5&lt;='Project Returns'!$G$32,SUM(CV113:CV123),0)</f>
        <v/>
      </c>
      <c r="CW111" s="273">
        <f>IF(CW5&lt;='Project Returns'!$G$32,SUM(CW113:CW123),0)</f>
        <v/>
      </c>
      <c r="CX111" s="273">
        <f>IF(CX5&lt;='Project Returns'!$G$32,SUM(CX113:CX123),0)</f>
        <v/>
      </c>
      <c r="CY111" s="273">
        <f>IF(CY5&lt;='Project Returns'!$G$32,SUM(CY113:CY123),0)</f>
        <v/>
      </c>
      <c r="CZ111" s="273">
        <f>IF(CZ5&lt;='Project Returns'!$G$32,SUM(CZ113:CZ123),0)</f>
        <v/>
      </c>
      <c r="DA111" s="273">
        <f>IF(DA5&lt;='Project Returns'!$G$32,SUM(DA113:DA123),0)</f>
        <v/>
      </c>
      <c r="DB111" s="273">
        <f>IF(DB5&lt;='Project Returns'!$G$32,SUM(DB113:DB123),0)</f>
        <v/>
      </c>
      <c r="DC111" s="273" t="n"/>
      <c r="DD111" s="295">
        <f>MAX(F111:DB111)</f>
        <v/>
      </c>
    </row>
    <row r="112">
      <c r="A112" s="1000" t="n"/>
      <c r="B112" s="9" t="inlineStr">
        <is>
          <t xml:space="preserve">   Total Square Feet Leased - all months</t>
        </is>
      </c>
      <c r="C112" s="294" t="n"/>
      <c r="D112" s="295">
        <f>DD112</f>
        <v/>
      </c>
      <c r="E112" s="274" t="n"/>
      <c r="F112" s="273" t="n"/>
      <c r="G112" s="273">
        <f>SUM(G113:G122)</f>
        <v/>
      </c>
      <c r="H112" s="273">
        <f>SUM(H113:H122)</f>
        <v/>
      </c>
      <c r="I112" s="273">
        <f>SUM(I113:I122)</f>
        <v/>
      </c>
      <c r="J112" s="273">
        <f>SUM(J113:J122)</f>
        <v/>
      </c>
      <c r="K112" s="273">
        <f>SUM(K113:K122)</f>
        <v/>
      </c>
      <c r="L112" s="273">
        <f>SUM(L113:L122)</f>
        <v/>
      </c>
      <c r="M112" s="273">
        <f>SUM(M113:M122)</f>
        <v/>
      </c>
      <c r="N112" s="273">
        <f>SUM(N113:N122)</f>
        <v/>
      </c>
      <c r="O112" s="273">
        <f>SUM(O113:O122)</f>
        <v/>
      </c>
      <c r="P112" s="273">
        <f>SUM(P113:P122)</f>
        <v/>
      </c>
      <c r="Q112" s="273">
        <f>SUM(Q113:Q122)</f>
        <v/>
      </c>
      <c r="R112" s="273">
        <f>SUM(R113:R122)</f>
        <v/>
      </c>
      <c r="S112" s="273">
        <f>SUM(S113:S122)</f>
        <v/>
      </c>
      <c r="T112" s="273">
        <f>SUM(T113:T122)</f>
        <v/>
      </c>
      <c r="U112" s="273">
        <f>SUM(U113:U122)</f>
        <v/>
      </c>
      <c r="V112" s="273">
        <f>SUM(V113:V122)</f>
        <v/>
      </c>
      <c r="W112" s="273">
        <f>SUM(W113:W122)</f>
        <v/>
      </c>
      <c r="X112" s="273">
        <f>SUM(X113:X122)</f>
        <v/>
      </c>
      <c r="Y112" s="273">
        <f>SUM(Y113:Y122)</f>
        <v/>
      </c>
      <c r="Z112" s="273">
        <f>SUM(Z113:Z122)</f>
        <v/>
      </c>
      <c r="AA112" s="273">
        <f>SUM(AA113:AA122)</f>
        <v/>
      </c>
      <c r="AB112" s="273">
        <f>SUM(AB113:AB122)</f>
        <v/>
      </c>
      <c r="AC112" s="273">
        <f>SUM(AC113:AC122)</f>
        <v/>
      </c>
      <c r="AD112" s="273">
        <f>SUM(AD113:AD122)</f>
        <v/>
      </c>
      <c r="AE112" s="273">
        <f>SUM(AE113:AE122)</f>
        <v/>
      </c>
      <c r="AF112" s="273">
        <f>SUM(AF113:AF122)</f>
        <v/>
      </c>
      <c r="AG112" s="273">
        <f>SUM(AG113:AG122)</f>
        <v/>
      </c>
      <c r="AH112" s="273">
        <f>SUM(AH113:AH122)</f>
        <v/>
      </c>
      <c r="AI112" s="273">
        <f>SUM(AI113:AI122)</f>
        <v/>
      </c>
      <c r="AJ112" s="273">
        <f>SUM(AJ113:AJ122)</f>
        <v/>
      </c>
      <c r="AK112" s="273">
        <f>SUM(AK113:AK122)</f>
        <v/>
      </c>
      <c r="AL112" s="273">
        <f>SUM(AL113:AL122)</f>
        <v/>
      </c>
      <c r="AM112" s="273">
        <f>SUM(AM113:AM122)</f>
        <v/>
      </c>
      <c r="AN112" s="273">
        <f>SUM(AN113:AN122)</f>
        <v/>
      </c>
      <c r="AO112" s="273">
        <f>SUM(AO113:AO122)</f>
        <v/>
      </c>
      <c r="AP112" s="273">
        <f>SUM(AP113:AP122)</f>
        <v/>
      </c>
      <c r="AQ112" s="273">
        <f>SUM(AQ113:AQ122)</f>
        <v/>
      </c>
      <c r="AR112" s="273">
        <f>SUM(AR113:AR122)</f>
        <v/>
      </c>
      <c r="AS112" s="273">
        <f>SUM(AS113:AS122)</f>
        <v/>
      </c>
      <c r="AT112" s="273">
        <f>SUM(AT113:AT122)</f>
        <v/>
      </c>
      <c r="AU112" s="273">
        <f>SUM(AU113:AU122)</f>
        <v/>
      </c>
      <c r="AV112" s="273">
        <f>SUM(AV113:AV122)</f>
        <v/>
      </c>
      <c r="AW112" s="273">
        <f>SUM(AW113:AW122)</f>
        <v/>
      </c>
      <c r="AX112" s="273">
        <f>SUM(AX113:AX122)</f>
        <v/>
      </c>
      <c r="AY112" s="273">
        <f>SUM(AY113:AY122)</f>
        <v/>
      </c>
      <c r="AZ112" s="273">
        <f>SUM(AZ113:AZ122)</f>
        <v/>
      </c>
      <c r="BA112" s="273">
        <f>SUM(BA113:BA122)</f>
        <v/>
      </c>
      <c r="BB112" s="273">
        <f>SUM(BB113:BB122)</f>
        <v/>
      </c>
      <c r="BC112" s="273">
        <f>SUM(BC113:BC122)</f>
        <v/>
      </c>
      <c r="BD112" s="273">
        <f>SUM(BD113:BD122)</f>
        <v/>
      </c>
      <c r="BE112" s="273">
        <f>SUM(BE113:BE122)</f>
        <v/>
      </c>
      <c r="BF112" s="273">
        <f>SUM(BF113:BF122)</f>
        <v/>
      </c>
      <c r="BG112" s="273">
        <f>SUM(BG113:BG122)</f>
        <v/>
      </c>
      <c r="BH112" s="273">
        <f>SUM(BH113:BH122)</f>
        <v/>
      </c>
      <c r="BI112" s="273">
        <f>SUM(BI113:BI122)</f>
        <v/>
      </c>
      <c r="BJ112" s="273">
        <f>SUM(BJ113:BJ122)</f>
        <v/>
      </c>
      <c r="BK112" s="273">
        <f>SUM(BK113:BK122)</f>
        <v/>
      </c>
      <c r="BL112" s="273">
        <f>SUM(BL113:BL122)</f>
        <v/>
      </c>
      <c r="BM112" s="273">
        <f>SUM(BM113:BM122)</f>
        <v/>
      </c>
      <c r="BN112" s="273">
        <f>SUM(BN113:BN122)</f>
        <v/>
      </c>
      <c r="BO112" s="273">
        <f>SUM(BO113:BO122)</f>
        <v/>
      </c>
      <c r="BP112" s="273">
        <f>SUM(BP113:BP122)</f>
        <v/>
      </c>
      <c r="BQ112" s="273">
        <f>SUM(BQ113:BQ122)</f>
        <v/>
      </c>
      <c r="BR112" s="273">
        <f>SUM(BR113:BR122)</f>
        <v/>
      </c>
      <c r="BS112" s="273">
        <f>SUM(BS113:BS122)</f>
        <v/>
      </c>
      <c r="BT112" s="273">
        <f>SUM(BT113:BT122)</f>
        <v/>
      </c>
      <c r="BU112" s="273">
        <f>SUM(BU113:BU122)</f>
        <v/>
      </c>
      <c r="BV112" s="273">
        <f>SUM(BV113:BV122)</f>
        <v/>
      </c>
      <c r="BW112" s="273">
        <f>SUM(BW113:BW122)</f>
        <v/>
      </c>
      <c r="BX112" s="273">
        <f>SUM(BX113:BX122)</f>
        <v/>
      </c>
      <c r="BY112" s="273">
        <f>SUM(BY113:BY122)</f>
        <v/>
      </c>
      <c r="BZ112" s="273">
        <f>SUM(BZ113:BZ122)</f>
        <v/>
      </c>
      <c r="CA112" s="273">
        <f>SUM(CA113:CA122)</f>
        <v/>
      </c>
      <c r="CB112" s="273">
        <f>SUM(CB113:CB122)</f>
        <v/>
      </c>
      <c r="CC112" s="273">
        <f>SUM(CC113:CC122)</f>
        <v/>
      </c>
      <c r="CD112" s="273">
        <f>SUM(CD113:CD122)</f>
        <v/>
      </c>
      <c r="CE112" s="273">
        <f>SUM(CE113:CE122)</f>
        <v/>
      </c>
      <c r="CF112" s="273">
        <f>SUM(CF113:CF122)</f>
        <v/>
      </c>
      <c r="CG112" s="273">
        <f>SUM(CG113:CG122)</f>
        <v/>
      </c>
      <c r="CH112" s="273">
        <f>SUM(CH113:CH122)</f>
        <v/>
      </c>
      <c r="CI112" s="273">
        <f>SUM(CI113:CI122)</f>
        <v/>
      </c>
      <c r="CJ112" s="273">
        <f>SUM(CJ113:CJ122)</f>
        <v/>
      </c>
      <c r="CK112" s="273">
        <f>SUM(CK113:CK122)</f>
        <v/>
      </c>
      <c r="CL112" s="273">
        <f>SUM(CL113:CL122)</f>
        <v/>
      </c>
      <c r="CM112" s="273">
        <f>SUM(CM113:CM122)</f>
        <v/>
      </c>
      <c r="CN112" s="273">
        <f>SUM(CN113:CN122)</f>
        <v/>
      </c>
      <c r="CO112" s="273">
        <f>SUM(CO113:CO122)</f>
        <v/>
      </c>
      <c r="CP112" s="273">
        <f>SUM(CP113:CP122)</f>
        <v/>
      </c>
      <c r="CQ112" s="273">
        <f>SUM(CQ113:CQ122)</f>
        <v/>
      </c>
      <c r="CR112" s="273">
        <f>SUM(CR113:CR122)</f>
        <v/>
      </c>
      <c r="CS112" s="273">
        <f>SUM(CS113:CS122)</f>
        <v/>
      </c>
      <c r="CT112" s="273">
        <f>SUM(CT113:CT122)</f>
        <v/>
      </c>
      <c r="CU112" s="273">
        <f>SUM(CU113:CU122)</f>
        <v/>
      </c>
      <c r="CV112" s="273">
        <f>SUM(CV113:CV122)</f>
        <v/>
      </c>
      <c r="CW112" s="273">
        <f>SUM(CW113:CW122)</f>
        <v/>
      </c>
      <c r="CX112" s="273">
        <f>SUM(CX113:CX122)</f>
        <v/>
      </c>
      <c r="CY112" s="273">
        <f>SUM(CY113:CY122)</f>
        <v/>
      </c>
      <c r="CZ112" s="273">
        <f>SUM(CZ113:CZ122)</f>
        <v/>
      </c>
      <c r="DA112" s="273">
        <f>SUM(DA113:DA122)</f>
        <v/>
      </c>
      <c r="DB112" s="273">
        <f>SUM(DB113:DB122)</f>
        <v/>
      </c>
      <c r="DC112" s="273" t="n"/>
      <c r="DD112" s="295">
        <f>MAX(F112:DB112)</f>
        <v/>
      </c>
    </row>
    <row r="113" hidden="1" outlineLevel="1">
      <c r="A113" s="1000" t="n"/>
      <c r="B113" s="315" t="inlineStr">
        <is>
          <t>Lease #1</t>
        </is>
      </c>
      <c r="C113" s="294" t="n"/>
      <c r="D113" s="299">
        <f>DD113</f>
        <v/>
      </c>
      <c r="E113" s="300" t="n"/>
      <c r="F113" s="301" t="n"/>
      <c r="G113" s="301">
        <f>IF('Economic Assumptions'!$B10+'Project Assumptions'!$D$15+'Project Assumptions'!$D$16='Detailed Cashflows'!G$5,'Economic Assumptions'!$C10,0)</f>
        <v/>
      </c>
      <c r="H113" s="301">
        <f>IF('Economic Assumptions'!$B10+'Project Assumptions'!$D$15+'Project Assumptions'!$D$16='Detailed Cashflows'!H$5,'Economic Assumptions'!$C10,0)+G113</f>
        <v/>
      </c>
      <c r="I113" s="301">
        <f>IF('Economic Assumptions'!$B10+'Project Assumptions'!$D$15+'Project Assumptions'!$D$16='Detailed Cashflows'!I$5,'Economic Assumptions'!$C10,0)+H113</f>
        <v/>
      </c>
      <c r="J113" s="301">
        <f>IF('Economic Assumptions'!$B10+'Project Assumptions'!$D$15+'Project Assumptions'!$D$16='Detailed Cashflows'!J$5,'Economic Assumptions'!$C10,0)+I113</f>
        <v/>
      </c>
      <c r="K113" s="301">
        <f>IF('Economic Assumptions'!$B10+'Project Assumptions'!$D$15+'Project Assumptions'!$D$16='Detailed Cashflows'!K$5,'Economic Assumptions'!$C10,0)+J113</f>
        <v/>
      </c>
      <c r="L113" s="301">
        <f>IF('Economic Assumptions'!$B10+'Project Assumptions'!$D$15+'Project Assumptions'!$D$16='Detailed Cashflows'!L$5,'Economic Assumptions'!$C10,0)+K113</f>
        <v/>
      </c>
      <c r="M113" s="301">
        <f>IF('Economic Assumptions'!$B10+'Project Assumptions'!$D$15+'Project Assumptions'!$D$16='Detailed Cashflows'!M$5,'Economic Assumptions'!$C10,0)+L113</f>
        <v/>
      </c>
      <c r="N113" s="301">
        <f>IF('Economic Assumptions'!$B10+'Project Assumptions'!$D$15+'Project Assumptions'!$D$16='Detailed Cashflows'!N$5,'Economic Assumptions'!$C10,0)+M113</f>
        <v/>
      </c>
      <c r="O113" s="301">
        <f>IF('Economic Assumptions'!$B10+'Project Assumptions'!$D$15+'Project Assumptions'!$D$16='Detailed Cashflows'!O$5,'Economic Assumptions'!$C10,0)+N113</f>
        <v/>
      </c>
      <c r="P113" s="301">
        <f>IF('Economic Assumptions'!$B10+'Project Assumptions'!$D$15+'Project Assumptions'!$D$16='Detailed Cashflows'!P$5,'Economic Assumptions'!$C10,0)+O113</f>
        <v/>
      </c>
      <c r="Q113" s="301">
        <f>IF('Economic Assumptions'!$B10+'Project Assumptions'!$D$15+'Project Assumptions'!$D$16='Detailed Cashflows'!Q$5,'Economic Assumptions'!$C10,0)+P113</f>
        <v/>
      </c>
      <c r="R113" s="301">
        <f>IF('Economic Assumptions'!$B10+'Project Assumptions'!$D$15+'Project Assumptions'!$D$16='Detailed Cashflows'!R$5,'Economic Assumptions'!$C10,0)+Q113</f>
        <v/>
      </c>
      <c r="S113" s="301">
        <f>IF('Economic Assumptions'!$B10+'Project Assumptions'!$D$15+'Project Assumptions'!$D$16='Detailed Cashflows'!S$5,'Economic Assumptions'!$C10,0)+R113</f>
        <v/>
      </c>
      <c r="T113" s="301">
        <f>IF('Economic Assumptions'!$B10+'Project Assumptions'!$D$15+'Project Assumptions'!$D$16='Detailed Cashflows'!T$5,'Economic Assumptions'!$C10,0)+S113</f>
        <v/>
      </c>
      <c r="U113" s="301">
        <f>IF('Economic Assumptions'!$B10+'Project Assumptions'!$D$15+'Project Assumptions'!$D$16='Detailed Cashflows'!U$5,'Economic Assumptions'!$C10,0)+T113</f>
        <v/>
      </c>
      <c r="V113" s="301">
        <f>IF('Economic Assumptions'!$B10+'Project Assumptions'!$D$15+'Project Assumptions'!$D$16='Detailed Cashflows'!V$5,'Economic Assumptions'!$C10,0)+U113</f>
        <v/>
      </c>
      <c r="W113" s="301">
        <f>IF('Economic Assumptions'!$B10+'Project Assumptions'!$D$15+'Project Assumptions'!$D$16='Detailed Cashflows'!W$5,'Economic Assumptions'!$C10,0)+V113</f>
        <v/>
      </c>
      <c r="X113" s="301">
        <f>IF('Economic Assumptions'!$B10+'Project Assumptions'!$D$15+'Project Assumptions'!$D$16='Detailed Cashflows'!X$5,'Economic Assumptions'!$C10,0)+W113</f>
        <v/>
      </c>
      <c r="Y113" s="301">
        <f>IF('Economic Assumptions'!$B10+'Project Assumptions'!$D$15+'Project Assumptions'!$D$16='Detailed Cashflows'!Y$5,'Economic Assumptions'!$C10,0)+X113</f>
        <v/>
      </c>
      <c r="Z113" s="301">
        <f>IF('Economic Assumptions'!$B10+'Project Assumptions'!$D$15+'Project Assumptions'!$D$16='Detailed Cashflows'!Z$5,'Economic Assumptions'!$C10,0)+Y113</f>
        <v/>
      </c>
      <c r="AA113" s="301">
        <f>IF('Economic Assumptions'!$B10+'Project Assumptions'!$D$15+'Project Assumptions'!$D$16='Detailed Cashflows'!AA$5,'Economic Assumptions'!$C10,0)+Z113</f>
        <v/>
      </c>
      <c r="AB113" s="301">
        <f>IF('Economic Assumptions'!$B10+'Project Assumptions'!$D$15+'Project Assumptions'!$D$16='Detailed Cashflows'!AB$5,'Economic Assumptions'!$C10,0)+AA113</f>
        <v/>
      </c>
      <c r="AC113" s="301">
        <f>IF('Economic Assumptions'!$B10+'Project Assumptions'!$D$15+'Project Assumptions'!$D$16='Detailed Cashflows'!AC$5,'Economic Assumptions'!$C10,0)+AB113</f>
        <v/>
      </c>
      <c r="AD113" s="301">
        <f>IF('Economic Assumptions'!$B10+'Project Assumptions'!$D$15+'Project Assumptions'!$D$16='Detailed Cashflows'!AD$5,'Economic Assumptions'!$C10,0)+AC113</f>
        <v/>
      </c>
      <c r="AE113" s="301">
        <f>IF('Economic Assumptions'!$B10+'Project Assumptions'!$D$15+'Project Assumptions'!$D$16='Detailed Cashflows'!AE$5,'Economic Assumptions'!$C10,0)+AD113</f>
        <v/>
      </c>
      <c r="AF113" s="301">
        <f>IF('Economic Assumptions'!$B10+'Project Assumptions'!$D$15+'Project Assumptions'!$D$16='Detailed Cashflows'!AF$5,'Economic Assumptions'!$C10,0)+AE113</f>
        <v/>
      </c>
      <c r="AG113" s="301">
        <f>IF('Economic Assumptions'!$B10+'Project Assumptions'!$D$15+'Project Assumptions'!$D$16='Detailed Cashflows'!AG$5,'Economic Assumptions'!$C10,0)+AF113</f>
        <v/>
      </c>
      <c r="AH113" s="301">
        <f>IF('Economic Assumptions'!$B10+'Project Assumptions'!$D$15+'Project Assumptions'!$D$16='Detailed Cashflows'!AH$5,'Economic Assumptions'!$C10,0)+AG113</f>
        <v/>
      </c>
      <c r="AI113" s="301">
        <f>IF('Economic Assumptions'!$B10+'Project Assumptions'!$D$15+'Project Assumptions'!$D$16='Detailed Cashflows'!AI$5,'Economic Assumptions'!$C10,0)+AH113</f>
        <v/>
      </c>
      <c r="AJ113" s="301">
        <f>IF('Economic Assumptions'!$B10+'Project Assumptions'!$D$15+'Project Assumptions'!$D$16='Detailed Cashflows'!AJ$5,'Economic Assumptions'!$C10,0)+AI113</f>
        <v/>
      </c>
      <c r="AK113" s="301">
        <f>IF('Economic Assumptions'!$B10+'Project Assumptions'!$D$15+'Project Assumptions'!$D$16='Detailed Cashflows'!AK$5,'Economic Assumptions'!$C10,0)+AJ113</f>
        <v/>
      </c>
      <c r="AL113" s="301">
        <f>IF('Economic Assumptions'!$B10+'Project Assumptions'!$D$15+'Project Assumptions'!$D$16='Detailed Cashflows'!AL$5,'Economic Assumptions'!$C10,0)+AK113</f>
        <v/>
      </c>
      <c r="AM113" s="301">
        <f>IF('Economic Assumptions'!$B10+'Project Assumptions'!$D$15+'Project Assumptions'!$D$16='Detailed Cashflows'!AM$5,'Economic Assumptions'!$C10,0)+AL113</f>
        <v/>
      </c>
      <c r="AN113" s="301">
        <f>IF('Economic Assumptions'!$B10+'Project Assumptions'!$D$15+'Project Assumptions'!$D$16='Detailed Cashflows'!AN$5,'Economic Assumptions'!$C10,0)+AM113</f>
        <v/>
      </c>
      <c r="AO113" s="301">
        <f>IF('Economic Assumptions'!$B10+'Project Assumptions'!$D$15+'Project Assumptions'!$D$16='Detailed Cashflows'!AO$5,'Economic Assumptions'!$C10,0)+AN113</f>
        <v/>
      </c>
      <c r="AP113" s="301">
        <f>IF('Economic Assumptions'!$B10+'Project Assumptions'!$D$15+'Project Assumptions'!$D$16='Detailed Cashflows'!AP$5,'Economic Assumptions'!$C10,0)+AO113</f>
        <v/>
      </c>
      <c r="AQ113" s="301">
        <f>IF('Economic Assumptions'!$B10+'Project Assumptions'!$D$15+'Project Assumptions'!$D$16='Detailed Cashflows'!AQ$5,'Economic Assumptions'!$C10,0)+AP113</f>
        <v/>
      </c>
      <c r="AR113" s="301">
        <f>IF('Economic Assumptions'!$B10+'Project Assumptions'!$D$15+'Project Assumptions'!$D$16='Detailed Cashflows'!AR$5,'Economic Assumptions'!$C10,0)+AQ113</f>
        <v/>
      </c>
      <c r="AS113" s="301">
        <f>IF('Economic Assumptions'!$B10+'Project Assumptions'!$D$15+'Project Assumptions'!$D$16='Detailed Cashflows'!AS$5,'Economic Assumptions'!$C10,0)+AR113</f>
        <v/>
      </c>
      <c r="AT113" s="301">
        <f>IF('Economic Assumptions'!$B10+'Project Assumptions'!$D$15+'Project Assumptions'!$D$16='Detailed Cashflows'!AT$5,'Economic Assumptions'!$C10,0)+AS113</f>
        <v/>
      </c>
      <c r="AU113" s="301">
        <f>IF('Economic Assumptions'!$B10+'Project Assumptions'!$D$15+'Project Assumptions'!$D$16='Detailed Cashflows'!AU$5,'Economic Assumptions'!$C10,0)+AT113</f>
        <v/>
      </c>
      <c r="AV113" s="301">
        <f>IF('Economic Assumptions'!$B10+'Project Assumptions'!$D$15+'Project Assumptions'!$D$16='Detailed Cashflows'!AV$5,'Economic Assumptions'!$C10,0)+AU113</f>
        <v/>
      </c>
      <c r="AW113" s="301">
        <f>IF('Economic Assumptions'!$B10+'Project Assumptions'!$D$15+'Project Assumptions'!$D$16='Detailed Cashflows'!AW$5,'Economic Assumptions'!$C10,0)+AV113</f>
        <v/>
      </c>
      <c r="AX113" s="301">
        <f>IF('Economic Assumptions'!$B10+'Project Assumptions'!$D$15+'Project Assumptions'!$D$16='Detailed Cashflows'!AX$5,'Economic Assumptions'!$C10,0)+AW113</f>
        <v/>
      </c>
      <c r="AY113" s="301">
        <f>IF('Economic Assumptions'!$B10+'Project Assumptions'!$D$15+'Project Assumptions'!$D$16='Detailed Cashflows'!AY$5,'Economic Assumptions'!$C10,0)+AX113</f>
        <v/>
      </c>
      <c r="AZ113" s="301">
        <f>IF('Economic Assumptions'!$B10+'Project Assumptions'!$D$15+'Project Assumptions'!$D$16='Detailed Cashflows'!AZ$5,'Economic Assumptions'!$C10,0)+AY113</f>
        <v/>
      </c>
      <c r="BA113" s="301">
        <f>IF('Economic Assumptions'!$B10+'Project Assumptions'!$D$15+'Project Assumptions'!$D$16='Detailed Cashflows'!BA$5,'Economic Assumptions'!$C10,0)+AZ113</f>
        <v/>
      </c>
      <c r="BB113" s="301">
        <f>IF('Economic Assumptions'!$B10+'Project Assumptions'!$D$15+'Project Assumptions'!$D$16='Detailed Cashflows'!BB$5,'Economic Assumptions'!$C10,0)+BA113</f>
        <v/>
      </c>
      <c r="BC113" s="301">
        <f>IF('Economic Assumptions'!$B10+'Project Assumptions'!$D$15+'Project Assumptions'!$D$16='Detailed Cashflows'!BC$5,'Economic Assumptions'!$C10,0)+BB113</f>
        <v/>
      </c>
      <c r="BD113" s="301">
        <f>IF('Economic Assumptions'!$B10+'Project Assumptions'!$D$15+'Project Assumptions'!$D$16='Detailed Cashflows'!BD$5,'Economic Assumptions'!$C10,0)+BC113</f>
        <v/>
      </c>
      <c r="BE113" s="301">
        <f>IF('Economic Assumptions'!$B10+'Project Assumptions'!$D$15+'Project Assumptions'!$D$16='Detailed Cashflows'!BE$5,'Economic Assumptions'!$C10,0)+BD113</f>
        <v/>
      </c>
      <c r="BF113" s="301">
        <f>IF('Economic Assumptions'!$B10+'Project Assumptions'!$D$15+'Project Assumptions'!$D$16='Detailed Cashflows'!BF$5,'Economic Assumptions'!$C10,0)+BE113</f>
        <v/>
      </c>
      <c r="BG113" s="301">
        <f>IF('Economic Assumptions'!$B10+'Project Assumptions'!$D$15+'Project Assumptions'!$D$16='Detailed Cashflows'!BG$5,'Economic Assumptions'!$C10,0)+BF113</f>
        <v/>
      </c>
      <c r="BH113" s="301">
        <f>IF('Economic Assumptions'!$B10+'Project Assumptions'!$D$15+'Project Assumptions'!$D$16='Detailed Cashflows'!BH$5,'Economic Assumptions'!$C10,0)+BG113</f>
        <v/>
      </c>
      <c r="BI113" s="301">
        <f>IF('Economic Assumptions'!$B10+'Project Assumptions'!$D$15+'Project Assumptions'!$D$16='Detailed Cashflows'!BI$5,'Economic Assumptions'!$C10,0)+BH113</f>
        <v/>
      </c>
      <c r="BJ113" s="301">
        <f>IF('Economic Assumptions'!$B10+'Project Assumptions'!$D$15+'Project Assumptions'!$D$16='Detailed Cashflows'!BJ$5,'Economic Assumptions'!$C10,0)+BI113</f>
        <v/>
      </c>
      <c r="BK113" s="301">
        <f>IF('Economic Assumptions'!$B10+'Project Assumptions'!$D$15+'Project Assumptions'!$D$16='Detailed Cashflows'!BK$5,'Economic Assumptions'!$C10,0)+BJ113</f>
        <v/>
      </c>
      <c r="BL113" s="301">
        <f>IF('Economic Assumptions'!$B10+'Project Assumptions'!$D$15+'Project Assumptions'!$D$16='Detailed Cashflows'!BL$5,'Economic Assumptions'!$C10,0)+BK113</f>
        <v/>
      </c>
      <c r="BM113" s="301">
        <f>IF('Economic Assumptions'!$B10+'Project Assumptions'!$D$15+'Project Assumptions'!$D$16='Detailed Cashflows'!BM$5,'Economic Assumptions'!$C10,0)+BL113</f>
        <v/>
      </c>
      <c r="BN113" s="301">
        <f>IF('Economic Assumptions'!$B10+'Project Assumptions'!$D$15+'Project Assumptions'!$D$16='Detailed Cashflows'!BN$5,'Economic Assumptions'!$C10,0)+BM113</f>
        <v/>
      </c>
      <c r="BO113" s="301">
        <f>IF('Economic Assumptions'!$B10+'Project Assumptions'!$D$15+'Project Assumptions'!$D$16='Detailed Cashflows'!BO$5,'Economic Assumptions'!$C10,0)+BN113</f>
        <v/>
      </c>
      <c r="BP113" s="301">
        <f>IF('Economic Assumptions'!$B10+'Project Assumptions'!$D$15+'Project Assumptions'!$D$16='Detailed Cashflows'!BP$5,'Economic Assumptions'!$C10,0)+BO113</f>
        <v/>
      </c>
      <c r="BQ113" s="301">
        <f>IF('Economic Assumptions'!$B10+'Project Assumptions'!$D$15+'Project Assumptions'!$D$16='Detailed Cashflows'!BQ$5,'Economic Assumptions'!$C10,0)+BP113</f>
        <v/>
      </c>
      <c r="BR113" s="301">
        <f>IF('Economic Assumptions'!$B10+'Project Assumptions'!$D$15+'Project Assumptions'!$D$16='Detailed Cashflows'!BR$5,'Economic Assumptions'!$C10,0)+BQ113</f>
        <v/>
      </c>
      <c r="BS113" s="301">
        <f>IF('Economic Assumptions'!$B10+'Project Assumptions'!$D$15+'Project Assumptions'!$D$16='Detailed Cashflows'!BS$5,'Economic Assumptions'!$C10,0)+BR113</f>
        <v/>
      </c>
      <c r="BT113" s="301">
        <f>IF('Economic Assumptions'!$B10+'Project Assumptions'!$D$15+'Project Assumptions'!$D$16='Detailed Cashflows'!BT$5,'Economic Assumptions'!$C10,0)+BS113</f>
        <v/>
      </c>
      <c r="BU113" s="301">
        <f>IF('Economic Assumptions'!$B10+'Project Assumptions'!$D$15+'Project Assumptions'!$D$16='Detailed Cashflows'!BU$5,'Economic Assumptions'!$C10,0)+BT113</f>
        <v/>
      </c>
      <c r="BV113" s="301">
        <f>IF('Economic Assumptions'!$B10+'Project Assumptions'!$D$15+'Project Assumptions'!$D$16='Detailed Cashflows'!BV$5,'Economic Assumptions'!$C10,0)+BU113</f>
        <v/>
      </c>
      <c r="BW113" s="301">
        <f>IF('Economic Assumptions'!$B10+'Project Assumptions'!$D$15+'Project Assumptions'!$D$16='Detailed Cashflows'!BW$5,'Economic Assumptions'!$C10,0)+BV113</f>
        <v/>
      </c>
      <c r="BX113" s="301">
        <f>IF('Economic Assumptions'!$B10+'Project Assumptions'!$D$15+'Project Assumptions'!$D$16='Detailed Cashflows'!BX$5,'Economic Assumptions'!$C10,0)+BW113</f>
        <v/>
      </c>
      <c r="BY113" s="301">
        <f>IF('Economic Assumptions'!$B10+'Project Assumptions'!$D$15+'Project Assumptions'!$D$16='Detailed Cashflows'!BY$5,'Economic Assumptions'!$C10,0)+BX113</f>
        <v/>
      </c>
      <c r="BZ113" s="301">
        <f>IF('Economic Assumptions'!$B10+'Project Assumptions'!$D$15+'Project Assumptions'!$D$16='Detailed Cashflows'!BZ$5,'Economic Assumptions'!$C10,0)+BY113</f>
        <v/>
      </c>
      <c r="CA113" s="301">
        <f>IF('Economic Assumptions'!$B10+'Project Assumptions'!$D$15+'Project Assumptions'!$D$16='Detailed Cashflows'!CA$5,'Economic Assumptions'!$C10,0)+BZ113</f>
        <v/>
      </c>
      <c r="CB113" s="301">
        <f>IF('Economic Assumptions'!$B10+'Project Assumptions'!$D$15+'Project Assumptions'!$D$16='Detailed Cashflows'!CB$5,'Economic Assumptions'!$C10,0)+CA113</f>
        <v/>
      </c>
      <c r="CC113" s="301">
        <f>IF('Economic Assumptions'!$B10+'Project Assumptions'!$D$15+'Project Assumptions'!$D$16='Detailed Cashflows'!CC$5,'Economic Assumptions'!$C10,0)+CB113</f>
        <v/>
      </c>
      <c r="CD113" s="301">
        <f>IF('Economic Assumptions'!$B10+'Project Assumptions'!$D$15+'Project Assumptions'!$D$16='Detailed Cashflows'!CD$5,'Economic Assumptions'!$C10,0)+CC113</f>
        <v/>
      </c>
      <c r="CE113" s="301">
        <f>IF('Economic Assumptions'!$B10+'Project Assumptions'!$D$15+'Project Assumptions'!$D$16='Detailed Cashflows'!CE$5,'Economic Assumptions'!$C10,0)+CD113</f>
        <v/>
      </c>
      <c r="CF113" s="301">
        <f>IF('Economic Assumptions'!$B10+'Project Assumptions'!$D$15+'Project Assumptions'!$D$16='Detailed Cashflows'!CF$5,'Economic Assumptions'!$C10,0)+CE113</f>
        <v/>
      </c>
      <c r="CG113" s="301">
        <f>IF('Economic Assumptions'!$B10+'Project Assumptions'!$D$15+'Project Assumptions'!$D$16='Detailed Cashflows'!CG$5,'Economic Assumptions'!$C10,0)+CF113</f>
        <v/>
      </c>
      <c r="CH113" s="301">
        <f>IF('Economic Assumptions'!$B10+'Project Assumptions'!$D$15+'Project Assumptions'!$D$16='Detailed Cashflows'!CH$5,'Economic Assumptions'!$C10,0)+CG113</f>
        <v/>
      </c>
      <c r="CI113" s="301">
        <f>IF('Economic Assumptions'!$B10+'Project Assumptions'!$D$15+'Project Assumptions'!$D$16='Detailed Cashflows'!CI$5,'Economic Assumptions'!$C10,0)+CH113</f>
        <v/>
      </c>
      <c r="CJ113" s="301">
        <f>IF('Economic Assumptions'!$B10+'Project Assumptions'!$D$15+'Project Assumptions'!$D$16='Detailed Cashflows'!CJ$5,'Economic Assumptions'!$C10,0)+CI113</f>
        <v/>
      </c>
      <c r="CK113" s="301">
        <f>IF('Economic Assumptions'!$B10+'Project Assumptions'!$D$15+'Project Assumptions'!$D$16='Detailed Cashflows'!CK$5,'Economic Assumptions'!$C10,0)+CJ113</f>
        <v/>
      </c>
      <c r="CL113" s="301">
        <f>IF('Economic Assumptions'!$B10+'Project Assumptions'!$D$15+'Project Assumptions'!$D$16='Detailed Cashflows'!CL$5,'Economic Assumptions'!$C10,0)+CK113</f>
        <v/>
      </c>
      <c r="CM113" s="301">
        <f>IF('Economic Assumptions'!$B10+'Project Assumptions'!$D$15+'Project Assumptions'!$D$16='Detailed Cashflows'!CM$5,'Economic Assumptions'!$C10,0)+CL113</f>
        <v/>
      </c>
      <c r="CN113" s="301">
        <f>IF('Economic Assumptions'!$B10+'Project Assumptions'!$D$15+'Project Assumptions'!$D$16='Detailed Cashflows'!CN$5,'Economic Assumptions'!$C10,0)+CM113</f>
        <v/>
      </c>
      <c r="CO113" s="301">
        <f>IF('Economic Assumptions'!$B10+'Project Assumptions'!$D$15+'Project Assumptions'!$D$16='Detailed Cashflows'!CO$5,'Economic Assumptions'!$C10,0)+CN113</f>
        <v/>
      </c>
      <c r="CP113" s="301">
        <f>IF('Economic Assumptions'!$B10+'Project Assumptions'!$D$15+'Project Assumptions'!$D$16='Detailed Cashflows'!CP$5,'Economic Assumptions'!$C10,0)+CO113</f>
        <v/>
      </c>
      <c r="CQ113" s="301">
        <f>IF('Economic Assumptions'!$B10+'Project Assumptions'!$D$15+'Project Assumptions'!$D$16='Detailed Cashflows'!CQ$5,'Economic Assumptions'!$C10,0)+CP113</f>
        <v/>
      </c>
      <c r="CR113" s="301">
        <f>IF('Economic Assumptions'!$B10+'Project Assumptions'!$D$15+'Project Assumptions'!$D$16='Detailed Cashflows'!CR$5,'Economic Assumptions'!$C10,0)+CQ113</f>
        <v/>
      </c>
      <c r="CS113" s="301">
        <f>IF('Economic Assumptions'!$B10+'Project Assumptions'!$D$15+'Project Assumptions'!$D$16='Detailed Cashflows'!CS$5,'Economic Assumptions'!$C10,0)+CR113</f>
        <v/>
      </c>
      <c r="CT113" s="301">
        <f>IF('Economic Assumptions'!$B10+'Project Assumptions'!$D$15+'Project Assumptions'!$D$16='Detailed Cashflows'!CT$5,'Economic Assumptions'!$C10,0)+CS113</f>
        <v/>
      </c>
      <c r="CU113" s="301">
        <f>IF('Economic Assumptions'!$B10+'Project Assumptions'!$D$15+'Project Assumptions'!$D$16='Detailed Cashflows'!CU$5,'Economic Assumptions'!$C10,0)+CT113</f>
        <v/>
      </c>
      <c r="CV113" s="301">
        <f>IF('Economic Assumptions'!$B10+'Project Assumptions'!$D$15+'Project Assumptions'!$D$16='Detailed Cashflows'!CV$5,'Economic Assumptions'!$C10,0)+CU113</f>
        <v/>
      </c>
      <c r="CW113" s="301">
        <f>IF('Economic Assumptions'!$B10+'Project Assumptions'!$D$15+'Project Assumptions'!$D$16='Detailed Cashflows'!CW$5,'Economic Assumptions'!$C10,0)+CV113</f>
        <v/>
      </c>
      <c r="CX113" s="301">
        <f>IF('Economic Assumptions'!$B10+'Project Assumptions'!$D$15+'Project Assumptions'!$D$16='Detailed Cashflows'!CX$5,'Economic Assumptions'!$C10,0)+CW113</f>
        <v/>
      </c>
      <c r="CY113" s="301">
        <f>IF('Economic Assumptions'!$B10+'Project Assumptions'!$D$15+'Project Assumptions'!$D$16='Detailed Cashflows'!CY$5,'Economic Assumptions'!$C10,0)+CX113</f>
        <v/>
      </c>
      <c r="CZ113" s="301">
        <f>IF('Economic Assumptions'!$B10+'Project Assumptions'!$D$15+'Project Assumptions'!$D$16='Detailed Cashflows'!CZ$5,'Economic Assumptions'!$C10,0)+CY113</f>
        <v/>
      </c>
      <c r="DA113" s="301">
        <f>IF('Economic Assumptions'!$B10+'Project Assumptions'!$D$15+'Project Assumptions'!$D$16='Detailed Cashflows'!DA$5,'Economic Assumptions'!$C10,0)+CZ113</f>
        <v/>
      </c>
      <c r="DB113" s="301">
        <f>IF('Economic Assumptions'!$B10+'Project Assumptions'!$D$15+'Project Assumptions'!$D$16='Detailed Cashflows'!DB$5,'Economic Assumptions'!$C10,0)+DA113</f>
        <v/>
      </c>
      <c r="DC113" s="301" t="n"/>
      <c r="DD113" s="299">
        <f>MAX(F113:DB113)</f>
        <v/>
      </c>
    </row>
    <row r="114" hidden="1" outlineLevel="1">
      <c r="A114" s="1000" t="n"/>
      <c r="B114" s="315" t="inlineStr">
        <is>
          <t>Lease #2</t>
        </is>
      </c>
      <c r="C114" s="294" t="n"/>
      <c r="D114" s="299">
        <f>DD114</f>
        <v/>
      </c>
      <c r="E114" s="300" t="n"/>
      <c r="F114" s="301" t="n"/>
      <c r="G114" s="301">
        <f>IF('Economic Assumptions'!$B11+'Project Assumptions'!$D$15+'Project Assumptions'!$D$16='Detailed Cashflows'!G$5,'Economic Assumptions'!$C11,0)</f>
        <v/>
      </c>
      <c r="H114" s="301">
        <f>IF('Economic Assumptions'!$B11+'Project Assumptions'!$D$15+'Project Assumptions'!$D$16='Detailed Cashflows'!H$5,'Economic Assumptions'!$C11,0)+G114</f>
        <v/>
      </c>
      <c r="I114" s="301">
        <f>IF('Economic Assumptions'!$B11+'Project Assumptions'!$D$15+'Project Assumptions'!$D$16='Detailed Cashflows'!I$5,'Economic Assumptions'!$C11,0)+H114</f>
        <v/>
      </c>
      <c r="J114" s="301">
        <f>IF('Economic Assumptions'!$B11+'Project Assumptions'!$D$15+'Project Assumptions'!$D$16='Detailed Cashflows'!J$5,'Economic Assumptions'!$C11,0)+I114</f>
        <v/>
      </c>
      <c r="K114" s="301">
        <f>IF('Economic Assumptions'!$B11+'Project Assumptions'!$D$15+'Project Assumptions'!$D$16='Detailed Cashflows'!K$5,'Economic Assumptions'!$C11,0)+J114</f>
        <v/>
      </c>
      <c r="L114" s="301">
        <f>IF('Economic Assumptions'!$B11+'Project Assumptions'!$D$15+'Project Assumptions'!$D$16='Detailed Cashflows'!L$5,'Economic Assumptions'!$C11,0)+K114</f>
        <v/>
      </c>
      <c r="M114" s="301">
        <f>IF('Economic Assumptions'!$B11+'Project Assumptions'!$D$15+'Project Assumptions'!$D$16='Detailed Cashflows'!M$5,'Economic Assumptions'!$C11,0)+L114</f>
        <v/>
      </c>
      <c r="N114" s="301">
        <f>IF('Economic Assumptions'!$B11+'Project Assumptions'!$D$15+'Project Assumptions'!$D$16='Detailed Cashflows'!N$5,'Economic Assumptions'!$C11,0)+M114</f>
        <v/>
      </c>
      <c r="O114" s="301">
        <f>IF('Economic Assumptions'!$B11+'Project Assumptions'!$D$15+'Project Assumptions'!$D$16='Detailed Cashflows'!O$5,'Economic Assumptions'!$C11,0)+N114</f>
        <v/>
      </c>
      <c r="P114" s="301">
        <f>IF('Economic Assumptions'!$B11+'Project Assumptions'!$D$15+'Project Assumptions'!$D$16='Detailed Cashflows'!P$5,'Economic Assumptions'!$C11,0)+O114</f>
        <v/>
      </c>
      <c r="Q114" s="301">
        <f>IF('Economic Assumptions'!$B11+'Project Assumptions'!$D$15+'Project Assumptions'!$D$16='Detailed Cashflows'!Q$5,'Economic Assumptions'!$C11,0)+P114</f>
        <v/>
      </c>
      <c r="R114" s="301">
        <f>IF('Economic Assumptions'!$B11+'Project Assumptions'!$D$15+'Project Assumptions'!$D$16='Detailed Cashflows'!R$5,'Economic Assumptions'!$C11,0)+Q114</f>
        <v/>
      </c>
      <c r="S114" s="301">
        <f>IF('Economic Assumptions'!$B11+'Project Assumptions'!$D$15+'Project Assumptions'!$D$16='Detailed Cashflows'!S$5,'Economic Assumptions'!$C11,0)+R114</f>
        <v/>
      </c>
      <c r="T114" s="301">
        <f>IF('Economic Assumptions'!$B11+'Project Assumptions'!$D$15+'Project Assumptions'!$D$16='Detailed Cashflows'!T$5,'Economic Assumptions'!$C11,0)+S114</f>
        <v/>
      </c>
      <c r="U114" s="301">
        <f>IF('Economic Assumptions'!$B11+'Project Assumptions'!$D$15+'Project Assumptions'!$D$16='Detailed Cashflows'!U$5,'Economic Assumptions'!$C11,0)+T114</f>
        <v/>
      </c>
      <c r="V114" s="301">
        <f>IF('Economic Assumptions'!$B11+'Project Assumptions'!$D$15+'Project Assumptions'!$D$16='Detailed Cashflows'!V$5,'Economic Assumptions'!$C11,0)+U114</f>
        <v/>
      </c>
      <c r="W114" s="301">
        <f>IF('Economic Assumptions'!$B11+'Project Assumptions'!$D$15+'Project Assumptions'!$D$16='Detailed Cashflows'!W$5,'Economic Assumptions'!$C11,0)+V114</f>
        <v/>
      </c>
      <c r="X114" s="301">
        <f>IF('Economic Assumptions'!$B11+'Project Assumptions'!$D$15+'Project Assumptions'!$D$16='Detailed Cashflows'!X$5,'Economic Assumptions'!$C11,0)+W114</f>
        <v/>
      </c>
      <c r="Y114" s="301">
        <f>IF('Economic Assumptions'!$B11+'Project Assumptions'!$D$15+'Project Assumptions'!$D$16='Detailed Cashflows'!Y$5,'Economic Assumptions'!$C11,0)+X114</f>
        <v/>
      </c>
      <c r="Z114" s="301">
        <f>IF('Economic Assumptions'!$B11+'Project Assumptions'!$D$15+'Project Assumptions'!$D$16='Detailed Cashflows'!Z$5,'Economic Assumptions'!$C11,0)+Y114</f>
        <v/>
      </c>
      <c r="AA114" s="301">
        <f>IF('Economic Assumptions'!$B11+'Project Assumptions'!$D$15+'Project Assumptions'!$D$16='Detailed Cashflows'!AA$5,'Economic Assumptions'!$C11,0)+Z114</f>
        <v/>
      </c>
      <c r="AB114" s="301">
        <f>IF('Economic Assumptions'!$B11+'Project Assumptions'!$D$15+'Project Assumptions'!$D$16='Detailed Cashflows'!AB$5,'Economic Assumptions'!$C11,0)+AA114</f>
        <v/>
      </c>
      <c r="AC114" s="301">
        <f>IF('Economic Assumptions'!$B11+'Project Assumptions'!$D$15+'Project Assumptions'!$D$16='Detailed Cashflows'!AC$5,'Economic Assumptions'!$C11,0)+AB114</f>
        <v/>
      </c>
      <c r="AD114" s="301">
        <f>IF('Economic Assumptions'!$B11+'Project Assumptions'!$D$15+'Project Assumptions'!$D$16='Detailed Cashflows'!AD$5,'Economic Assumptions'!$C11,0)+AC114</f>
        <v/>
      </c>
      <c r="AE114" s="301">
        <f>IF('Economic Assumptions'!$B11+'Project Assumptions'!$D$15+'Project Assumptions'!$D$16='Detailed Cashflows'!AE$5,'Economic Assumptions'!$C11,0)+AD114</f>
        <v/>
      </c>
      <c r="AF114" s="301">
        <f>IF('Economic Assumptions'!$B11+'Project Assumptions'!$D$15+'Project Assumptions'!$D$16='Detailed Cashflows'!AF$5,'Economic Assumptions'!$C11,0)+AE114</f>
        <v/>
      </c>
      <c r="AG114" s="301">
        <f>IF('Economic Assumptions'!$B11+'Project Assumptions'!$D$15+'Project Assumptions'!$D$16='Detailed Cashflows'!AG$5,'Economic Assumptions'!$C11,0)+AF114</f>
        <v/>
      </c>
      <c r="AH114" s="301">
        <f>IF('Economic Assumptions'!$B11+'Project Assumptions'!$D$15+'Project Assumptions'!$D$16='Detailed Cashflows'!AH$5,'Economic Assumptions'!$C11,0)+AG114</f>
        <v/>
      </c>
      <c r="AI114" s="301">
        <f>IF('Economic Assumptions'!$B11+'Project Assumptions'!$D$15+'Project Assumptions'!$D$16='Detailed Cashflows'!AI$5,'Economic Assumptions'!$C11,0)+AH114</f>
        <v/>
      </c>
      <c r="AJ114" s="301">
        <f>IF('Economic Assumptions'!$B11+'Project Assumptions'!$D$15+'Project Assumptions'!$D$16='Detailed Cashflows'!AJ$5,'Economic Assumptions'!$C11,0)+AI114</f>
        <v/>
      </c>
      <c r="AK114" s="301">
        <f>IF('Economic Assumptions'!$B11+'Project Assumptions'!$D$15+'Project Assumptions'!$D$16='Detailed Cashflows'!AK$5,'Economic Assumptions'!$C11,0)+AJ114</f>
        <v/>
      </c>
      <c r="AL114" s="301">
        <f>IF('Economic Assumptions'!$B11+'Project Assumptions'!$D$15+'Project Assumptions'!$D$16='Detailed Cashflows'!AL$5,'Economic Assumptions'!$C11,0)+AK114</f>
        <v/>
      </c>
      <c r="AM114" s="301">
        <f>IF('Economic Assumptions'!$B11+'Project Assumptions'!$D$15+'Project Assumptions'!$D$16='Detailed Cashflows'!AM$5,'Economic Assumptions'!$C11,0)+AL114</f>
        <v/>
      </c>
      <c r="AN114" s="301">
        <f>IF('Economic Assumptions'!$B11+'Project Assumptions'!$D$15+'Project Assumptions'!$D$16='Detailed Cashflows'!AN$5,'Economic Assumptions'!$C11,0)+AM114</f>
        <v/>
      </c>
      <c r="AO114" s="301">
        <f>IF('Economic Assumptions'!$B11+'Project Assumptions'!$D$15+'Project Assumptions'!$D$16='Detailed Cashflows'!AO$5,'Economic Assumptions'!$C11,0)+AN114</f>
        <v/>
      </c>
      <c r="AP114" s="301">
        <f>IF('Economic Assumptions'!$B11+'Project Assumptions'!$D$15+'Project Assumptions'!$D$16='Detailed Cashflows'!AP$5,'Economic Assumptions'!$C11,0)+AO114</f>
        <v/>
      </c>
      <c r="AQ114" s="301">
        <f>IF('Economic Assumptions'!$B11+'Project Assumptions'!$D$15+'Project Assumptions'!$D$16='Detailed Cashflows'!AQ$5,'Economic Assumptions'!$C11,0)+AP114</f>
        <v/>
      </c>
      <c r="AR114" s="301">
        <f>IF('Economic Assumptions'!$B11+'Project Assumptions'!$D$15+'Project Assumptions'!$D$16='Detailed Cashflows'!AR$5,'Economic Assumptions'!$C11,0)+AQ114</f>
        <v/>
      </c>
      <c r="AS114" s="301">
        <f>IF('Economic Assumptions'!$B11+'Project Assumptions'!$D$15+'Project Assumptions'!$D$16='Detailed Cashflows'!AS$5,'Economic Assumptions'!$C11,0)+AR114</f>
        <v/>
      </c>
      <c r="AT114" s="301">
        <f>IF('Economic Assumptions'!$B11+'Project Assumptions'!$D$15+'Project Assumptions'!$D$16='Detailed Cashflows'!AT$5,'Economic Assumptions'!$C11,0)+AS114</f>
        <v/>
      </c>
      <c r="AU114" s="301">
        <f>IF('Economic Assumptions'!$B11+'Project Assumptions'!$D$15+'Project Assumptions'!$D$16='Detailed Cashflows'!AU$5,'Economic Assumptions'!$C11,0)+AT114</f>
        <v/>
      </c>
      <c r="AV114" s="301">
        <f>IF('Economic Assumptions'!$B11+'Project Assumptions'!$D$15+'Project Assumptions'!$D$16='Detailed Cashflows'!AV$5,'Economic Assumptions'!$C11,0)+AU114</f>
        <v/>
      </c>
      <c r="AW114" s="301">
        <f>IF('Economic Assumptions'!$B11+'Project Assumptions'!$D$15+'Project Assumptions'!$D$16='Detailed Cashflows'!AW$5,'Economic Assumptions'!$C11,0)+AV114</f>
        <v/>
      </c>
      <c r="AX114" s="301">
        <f>IF('Economic Assumptions'!$B11+'Project Assumptions'!$D$15+'Project Assumptions'!$D$16='Detailed Cashflows'!AX$5,'Economic Assumptions'!$C11,0)+AW114</f>
        <v/>
      </c>
      <c r="AY114" s="301">
        <f>IF('Economic Assumptions'!$B11+'Project Assumptions'!$D$15+'Project Assumptions'!$D$16='Detailed Cashflows'!AY$5,'Economic Assumptions'!$C11,0)+AX114</f>
        <v/>
      </c>
      <c r="AZ114" s="301">
        <f>IF('Economic Assumptions'!$B11+'Project Assumptions'!$D$15+'Project Assumptions'!$D$16='Detailed Cashflows'!AZ$5,'Economic Assumptions'!$C11,0)+AY114</f>
        <v/>
      </c>
      <c r="BA114" s="301">
        <f>IF('Economic Assumptions'!$B11+'Project Assumptions'!$D$15+'Project Assumptions'!$D$16='Detailed Cashflows'!BA$5,'Economic Assumptions'!$C11,0)+AZ114</f>
        <v/>
      </c>
      <c r="BB114" s="301">
        <f>IF('Economic Assumptions'!$B11+'Project Assumptions'!$D$15+'Project Assumptions'!$D$16='Detailed Cashflows'!BB$5,'Economic Assumptions'!$C11,0)+BA114</f>
        <v/>
      </c>
      <c r="BC114" s="301">
        <f>IF('Economic Assumptions'!$B11+'Project Assumptions'!$D$15+'Project Assumptions'!$D$16='Detailed Cashflows'!BC$5,'Economic Assumptions'!$C11,0)+BB114</f>
        <v/>
      </c>
      <c r="BD114" s="301">
        <f>IF('Economic Assumptions'!$B11+'Project Assumptions'!$D$15+'Project Assumptions'!$D$16='Detailed Cashflows'!BD$5,'Economic Assumptions'!$C11,0)+BC114</f>
        <v/>
      </c>
      <c r="BE114" s="301">
        <f>IF('Economic Assumptions'!$B11+'Project Assumptions'!$D$15+'Project Assumptions'!$D$16='Detailed Cashflows'!BE$5,'Economic Assumptions'!$C11,0)+BD114</f>
        <v/>
      </c>
      <c r="BF114" s="301">
        <f>IF('Economic Assumptions'!$B11+'Project Assumptions'!$D$15+'Project Assumptions'!$D$16='Detailed Cashflows'!BF$5,'Economic Assumptions'!$C11,0)+BE114</f>
        <v/>
      </c>
      <c r="BG114" s="301">
        <f>IF('Economic Assumptions'!$B11+'Project Assumptions'!$D$15+'Project Assumptions'!$D$16='Detailed Cashflows'!BG$5,'Economic Assumptions'!$C11,0)+BF114</f>
        <v/>
      </c>
      <c r="BH114" s="301">
        <f>IF('Economic Assumptions'!$B11+'Project Assumptions'!$D$15+'Project Assumptions'!$D$16='Detailed Cashflows'!BH$5,'Economic Assumptions'!$C11,0)+BG114</f>
        <v/>
      </c>
      <c r="BI114" s="301">
        <f>IF('Economic Assumptions'!$B11+'Project Assumptions'!$D$15+'Project Assumptions'!$D$16='Detailed Cashflows'!BI$5,'Economic Assumptions'!$C11,0)+BH114</f>
        <v/>
      </c>
      <c r="BJ114" s="301">
        <f>IF('Economic Assumptions'!$B11+'Project Assumptions'!$D$15+'Project Assumptions'!$D$16='Detailed Cashflows'!BJ$5,'Economic Assumptions'!$C11,0)+BI114</f>
        <v/>
      </c>
      <c r="BK114" s="301">
        <f>IF('Economic Assumptions'!$B11+'Project Assumptions'!$D$15+'Project Assumptions'!$D$16='Detailed Cashflows'!BK$5,'Economic Assumptions'!$C11,0)+BJ114</f>
        <v/>
      </c>
      <c r="BL114" s="301">
        <f>IF('Economic Assumptions'!$B11+'Project Assumptions'!$D$15+'Project Assumptions'!$D$16='Detailed Cashflows'!BL$5,'Economic Assumptions'!$C11,0)+BK114</f>
        <v/>
      </c>
      <c r="BM114" s="301">
        <f>IF('Economic Assumptions'!$B11+'Project Assumptions'!$D$15+'Project Assumptions'!$D$16='Detailed Cashflows'!BM$5,'Economic Assumptions'!$C11,0)+BL114</f>
        <v/>
      </c>
      <c r="BN114" s="301">
        <f>IF('Economic Assumptions'!$B11+'Project Assumptions'!$D$15+'Project Assumptions'!$D$16='Detailed Cashflows'!BN$5,'Economic Assumptions'!$C11,0)+BM114</f>
        <v/>
      </c>
      <c r="BO114" s="301">
        <f>IF('Economic Assumptions'!$B11+'Project Assumptions'!$D$15+'Project Assumptions'!$D$16='Detailed Cashflows'!BO$5,'Economic Assumptions'!$C11,0)+BN114</f>
        <v/>
      </c>
      <c r="BP114" s="301">
        <f>IF('Economic Assumptions'!$B11+'Project Assumptions'!$D$15+'Project Assumptions'!$D$16='Detailed Cashflows'!BP$5,'Economic Assumptions'!$C11,0)+BO114</f>
        <v/>
      </c>
      <c r="BQ114" s="301">
        <f>IF('Economic Assumptions'!$B11+'Project Assumptions'!$D$15+'Project Assumptions'!$D$16='Detailed Cashflows'!BQ$5,'Economic Assumptions'!$C11,0)+BP114</f>
        <v/>
      </c>
      <c r="BR114" s="301">
        <f>IF('Economic Assumptions'!$B11+'Project Assumptions'!$D$15+'Project Assumptions'!$D$16='Detailed Cashflows'!BR$5,'Economic Assumptions'!$C11,0)+BQ114</f>
        <v/>
      </c>
      <c r="BS114" s="301">
        <f>IF('Economic Assumptions'!$B11+'Project Assumptions'!$D$15+'Project Assumptions'!$D$16='Detailed Cashflows'!BS$5,'Economic Assumptions'!$C11,0)+BR114</f>
        <v/>
      </c>
      <c r="BT114" s="301">
        <f>IF('Economic Assumptions'!$B11+'Project Assumptions'!$D$15+'Project Assumptions'!$D$16='Detailed Cashflows'!BT$5,'Economic Assumptions'!$C11,0)+BS114</f>
        <v/>
      </c>
      <c r="BU114" s="301">
        <f>IF('Economic Assumptions'!$B11+'Project Assumptions'!$D$15+'Project Assumptions'!$D$16='Detailed Cashflows'!BU$5,'Economic Assumptions'!$C11,0)+BT114</f>
        <v/>
      </c>
      <c r="BV114" s="301">
        <f>IF('Economic Assumptions'!$B11+'Project Assumptions'!$D$15+'Project Assumptions'!$D$16='Detailed Cashflows'!BV$5,'Economic Assumptions'!$C11,0)+BU114</f>
        <v/>
      </c>
      <c r="BW114" s="301">
        <f>IF('Economic Assumptions'!$B11+'Project Assumptions'!$D$15+'Project Assumptions'!$D$16='Detailed Cashflows'!BW$5,'Economic Assumptions'!$C11,0)+BV114</f>
        <v/>
      </c>
      <c r="BX114" s="301">
        <f>IF('Economic Assumptions'!$B11+'Project Assumptions'!$D$15+'Project Assumptions'!$D$16='Detailed Cashflows'!BX$5,'Economic Assumptions'!$C11,0)+BW114</f>
        <v/>
      </c>
      <c r="BY114" s="301">
        <f>IF('Economic Assumptions'!$B11+'Project Assumptions'!$D$15+'Project Assumptions'!$D$16='Detailed Cashflows'!BY$5,'Economic Assumptions'!$C11,0)+BX114</f>
        <v/>
      </c>
      <c r="BZ114" s="301">
        <f>IF('Economic Assumptions'!$B11+'Project Assumptions'!$D$15+'Project Assumptions'!$D$16='Detailed Cashflows'!BZ$5,'Economic Assumptions'!$C11,0)+BY114</f>
        <v/>
      </c>
      <c r="CA114" s="301">
        <f>IF('Economic Assumptions'!$B11+'Project Assumptions'!$D$15+'Project Assumptions'!$D$16='Detailed Cashflows'!CA$5,'Economic Assumptions'!$C11,0)+BZ114</f>
        <v/>
      </c>
      <c r="CB114" s="301">
        <f>IF('Economic Assumptions'!$B11+'Project Assumptions'!$D$15+'Project Assumptions'!$D$16='Detailed Cashflows'!CB$5,'Economic Assumptions'!$C11,0)+CA114</f>
        <v/>
      </c>
      <c r="CC114" s="301">
        <f>IF('Economic Assumptions'!$B11+'Project Assumptions'!$D$15+'Project Assumptions'!$D$16='Detailed Cashflows'!CC$5,'Economic Assumptions'!$C11,0)+CB114</f>
        <v/>
      </c>
      <c r="CD114" s="301">
        <f>IF('Economic Assumptions'!$B11+'Project Assumptions'!$D$15+'Project Assumptions'!$D$16='Detailed Cashflows'!CD$5,'Economic Assumptions'!$C11,0)+CC114</f>
        <v/>
      </c>
      <c r="CE114" s="301">
        <f>IF('Economic Assumptions'!$B11+'Project Assumptions'!$D$15+'Project Assumptions'!$D$16='Detailed Cashflows'!CE$5,'Economic Assumptions'!$C11,0)+CD114</f>
        <v/>
      </c>
      <c r="CF114" s="301">
        <f>IF('Economic Assumptions'!$B11+'Project Assumptions'!$D$15+'Project Assumptions'!$D$16='Detailed Cashflows'!CF$5,'Economic Assumptions'!$C11,0)+CE114</f>
        <v/>
      </c>
      <c r="CG114" s="301">
        <f>IF('Economic Assumptions'!$B11+'Project Assumptions'!$D$15+'Project Assumptions'!$D$16='Detailed Cashflows'!CG$5,'Economic Assumptions'!$C11,0)+CF114</f>
        <v/>
      </c>
      <c r="CH114" s="301">
        <f>IF('Economic Assumptions'!$B11+'Project Assumptions'!$D$15+'Project Assumptions'!$D$16='Detailed Cashflows'!CH$5,'Economic Assumptions'!$C11,0)+CG114</f>
        <v/>
      </c>
      <c r="CI114" s="301">
        <f>IF('Economic Assumptions'!$B11+'Project Assumptions'!$D$15+'Project Assumptions'!$D$16='Detailed Cashflows'!CI$5,'Economic Assumptions'!$C11,0)+CH114</f>
        <v/>
      </c>
      <c r="CJ114" s="301">
        <f>IF('Economic Assumptions'!$B11+'Project Assumptions'!$D$15+'Project Assumptions'!$D$16='Detailed Cashflows'!CJ$5,'Economic Assumptions'!$C11,0)+CI114</f>
        <v/>
      </c>
      <c r="CK114" s="301">
        <f>IF('Economic Assumptions'!$B11+'Project Assumptions'!$D$15+'Project Assumptions'!$D$16='Detailed Cashflows'!CK$5,'Economic Assumptions'!$C11,0)+CJ114</f>
        <v/>
      </c>
      <c r="CL114" s="301">
        <f>IF('Economic Assumptions'!$B11+'Project Assumptions'!$D$15+'Project Assumptions'!$D$16='Detailed Cashflows'!CL$5,'Economic Assumptions'!$C11,0)+CK114</f>
        <v/>
      </c>
      <c r="CM114" s="301">
        <f>IF('Economic Assumptions'!$B11+'Project Assumptions'!$D$15+'Project Assumptions'!$D$16='Detailed Cashflows'!CM$5,'Economic Assumptions'!$C11,0)+CL114</f>
        <v/>
      </c>
      <c r="CN114" s="301">
        <f>IF('Economic Assumptions'!$B11+'Project Assumptions'!$D$15+'Project Assumptions'!$D$16='Detailed Cashflows'!CN$5,'Economic Assumptions'!$C11,0)+CM114</f>
        <v/>
      </c>
      <c r="CO114" s="301">
        <f>IF('Economic Assumptions'!$B11+'Project Assumptions'!$D$15+'Project Assumptions'!$D$16='Detailed Cashflows'!CO$5,'Economic Assumptions'!$C11,0)+CN114</f>
        <v/>
      </c>
      <c r="CP114" s="301">
        <f>IF('Economic Assumptions'!$B11+'Project Assumptions'!$D$15+'Project Assumptions'!$D$16='Detailed Cashflows'!CP$5,'Economic Assumptions'!$C11,0)+CO114</f>
        <v/>
      </c>
      <c r="CQ114" s="301">
        <f>IF('Economic Assumptions'!$B11+'Project Assumptions'!$D$15+'Project Assumptions'!$D$16='Detailed Cashflows'!CQ$5,'Economic Assumptions'!$C11,0)+CP114</f>
        <v/>
      </c>
      <c r="CR114" s="301">
        <f>IF('Economic Assumptions'!$B11+'Project Assumptions'!$D$15+'Project Assumptions'!$D$16='Detailed Cashflows'!CR$5,'Economic Assumptions'!$C11,0)+CQ114</f>
        <v/>
      </c>
      <c r="CS114" s="301">
        <f>IF('Economic Assumptions'!$B11+'Project Assumptions'!$D$15+'Project Assumptions'!$D$16='Detailed Cashflows'!CS$5,'Economic Assumptions'!$C11,0)+CR114</f>
        <v/>
      </c>
      <c r="CT114" s="301">
        <f>IF('Economic Assumptions'!$B11+'Project Assumptions'!$D$15+'Project Assumptions'!$D$16='Detailed Cashflows'!CT$5,'Economic Assumptions'!$C11,0)+CS114</f>
        <v/>
      </c>
      <c r="CU114" s="301">
        <f>IF('Economic Assumptions'!$B11+'Project Assumptions'!$D$15+'Project Assumptions'!$D$16='Detailed Cashflows'!CU$5,'Economic Assumptions'!$C11,0)+CT114</f>
        <v/>
      </c>
      <c r="CV114" s="301">
        <f>IF('Economic Assumptions'!$B11+'Project Assumptions'!$D$15+'Project Assumptions'!$D$16='Detailed Cashflows'!CV$5,'Economic Assumptions'!$C11,0)+CU114</f>
        <v/>
      </c>
      <c r="CW114" s="301">
        <f>IF('Economic Assumptions'!$B11+'Project Assumptions'!$D$15+'Project Assumptions'!$D$16='Detailed Cashflows'!CW$5,'Economic Assumptions'!$C11,0)+CV114</f>
        <v/>
      </c>
      <c r="CX114" s="301">
        <f>IF('Economic Assumptions'!$B11+'Project Assumptions'!$D$15+'Project Assumptions'!$D$16='Detailed Cashflows'!CX$5,'Economic Assumptions'!$C11,0)+CW114</f>
        <v/>
      </c>
      <c r="CY114" s="301">
        <f>IF('Economic Assumptions'!$B11+'Project Assumptions'!$D$15+'Project Assumptions'!$D$16='Detailed Cashflows'!CY$5,'Economic Assumptions'!$C11,0)+CX114</f>
        <v/>
      </c>
      <c r="CZ114" s="301">
        <f>IF('Economic Assumptions'!$B11+'Project Assumptions'!$D$15+'Project Assumptions'!$D$16='Detailed Cashflows'!CZ$5,'Economic Assumptions'!$C11,0)+CY114</f>
        <v/>
      </c>
      <c r="DA114" s="301">
        <f>IF('Economic Assumptions'!$B11+'Project Assumptions'!$D$15+'Project Assumptions'!$D$16='Detailed Cashflows'!DA$5,'Economic Assumptions'!$C11,0)+CZ114</f>
        <v/>
      </c>
      <c r="DB114" s="301">
        <f>IF('Economic Assumptions'!$B11+'Project Assumptions'!$D$15+'Project Assumptions'!$D$16='Detailed Cashflows'!DB$5,'Economic Assumptions'!$C11,0)+DA114</f>
        <v/>
      </c>
      <c r="DC114" s="301" t="n"/>
      <c r="DD114" s="299">
        <f>MAX(F114:DB114)</f>
        <v/>
      </c>
    </row>
    <row r="115" hidden="1" outlineLevel="1">
      <c r="A115" s="1000" t="n"/>
      <c r="B115" s="315" t="inlineStr">
        <is>
          <t>Lease #3</t>
        </is>
      </c>
      <c r="C115" s="294" t="n"/>
      <c r="D115" s="299">
        <f>DD115</f>
        <v/>
      </c>
      <c r="E115" s="300" t="n"/>
      <c r="F115" s="301" t="n"/>
      <c r="G115" s="301">
        <f>IF('Economic Assumptions'!$B12+'Project Assumptions'!$D$15+'Project Assumptions'!$D$16='Detailed Cashflows'!G$5,'Economic Assumptions'!$C12,0)</f>
        <v/>
      </c>
      <c r="H115" s="301">
        <f>IF('Economic Assumptions'!$B12+'Project Assumptions'!$D$15+'Project Assumptions'!$D$16='Detailed Cashflows'!H$5,'Economic Assumptions'!$C12,0)+G115</f>
        <v/>
      </c>
      <c r="I115" s="301">
        <f>IF('Economic Assumptions'!$B12+'Project Assumptions'!$D$15+'Project Assumptions'!$D$16='Detailed Cashflows'!I$5,'Economic Assumptions'!$C12,0)+H115</f>
        <v/>
      </c>
      <c r="J115" s="301">
        <f>IF('Economic Assumptions'!$B12+'Project Assumptions'!$D$15+'Project Assumptions'!$D$16='Detailed Cashflows'!J$5,'Economic Assumptions'!$C12,0)+I115</f>
        <v/>
      </c>
      <c r="K115" s="301">
        <f>IF('Economic Assumptions'!$B12+'Project Assumptions'!$D$15+'Project Assumptions'!$D$16='Detailed Cashflows'!K$5,'Economic Assumptions'!$C12,0)+J115</f>
        <v/>
      </c>
      <c r="L115" s="301">
        <f>IF('Economic Assumptions'!$B12+'Project Assumptions'!$D$15+'Project Assumptions'!$D$16='Detailed Cashflows'!L$5,'Economic Assumptions'!$C12,0)+K115</f>
        <v/>
      </c>
      <c r="M115" s="301">
        <f>IF('Economic Assumptions'!$B12+'Project Assumptions'!$D$15+'Project Assumptions'!$D$16='Detailed Cashflows'!M$5,'Economic Assumptions'!$C12,0)+L115</f>
        <v/>
      </c>
      <c r="N115" s="301">
        <f>IF('Economic Assumptions'!$B12+'Project Assumptions'!$D$15+'Project Assumptions'!$D$16='Detailed Cashflows'!N$5,'Economic Assumptions'!$C12,0)+M115</f>
        <v/>
      </c>
      <c r="O115" s="301">
        <f>IF('Economic Assumptions'!$B12+'Project Assumptions'!$D$15+'Project Assumptions'!$D$16='Detailed Cashflows'!O$5,'Economic Assumptions'!$C12,0)+N115</f>
        <v/>
      </c>
      <c r="P115" s="301">
        <f>IF('Economic Assumptions'!$B12+'Project Assumptions'!$D$15+'Project Assumptions'!$D$16='Detailed Cashflows'!P$5,'Economic Assumptions'!$C12,0)+O115</f>
        <v/>
      </c>
      <c r="Q115" s="301">
        <f>IF('Economic Assumptions'!$B12+'Project Assumptions'!$D$15+'Project Assumptions'!$D$16='Detailed Cashflows'!Q$5,'Economic Assumptions'!$C12,0)+P115</f>
        <v/>
      </c>
      <c r="R115" s="301">
        <f>IF('Economic Assumptions'!$B12+'Project Assumptions'!$D$15+'Project Assumptions'!$D$16='Detailed Cashflows'!R$5,'Economic Assumptions'!$C12,0)+Q115</f>
        <v/>
      </c>
      <c r="S115" s="301">
        <f>IF('Economic Assumptions'!$B12+'Project Assumptions'!$D$15+'Project Assumptions'!$D$16='Detailed Cashflows'!S$5,'Economic Assumptions'!$C12,0)+R115</f>
        <v/>
      </c>
      <c r="T115" s="301">
        <f>IF('Economic Assumptions'!$B12+'Project Assumptions'!$D$15+'Project Assumptions'!$D$16='Detailed Cashflows'!T$5,'Economic Assumptions'!$C12,0)+S115</f>
        <v/>
      </c>
      <c r="U115" s="301">
        <f>IF('Economic Assumptions'!$B12+'Project Assumptions'!$D$15+'Project Assumptions'!$D$16='Detailed Cashflows'!U$5,'Economic Assumptions'!$C12,0)+T115</f>
        <v/>
      </c>
      <c r="V115" s="301">
        <f>IF('Economic Assumptions'!$B12+'Project Assumptions'!$D$15+'Project Assumptions'!$D$16='Detailed Cashflows'!V$5,'Economic Assumptions'!$C12,0)+U115</f>
        <v/>
      </c>
      <c r="W115" s="301">
        <f>IF('Economic Assumptions'!$B12+'Project Assumptions'!$D$15+'Project Assumptions'!$D$16='Detailed Cashflows'!W$5,'Economic Assumptions'!$C12,0)+V115</f>
        <v/>
      </c>
      <c r="X115" s="301">
        <f>IF('Economic Assumptions'!$B12+'Project Assumptions'!$D$15+'Project Assumptions'!$D$16='Detailed Cashflows'!X$5,'Economic Assumptions'!$C12,0)+W115</f>
        <v/>
      </c>
      <c r="Y115" s="301">
        <f>IF('Economic Assumptions'!$B12+'Project Assumptions'!$D$15+'Project Assumptions'!$D$16='Detailed Cashflows'!Y$5,'Economic Assumptions'!$C12,0)+X115</f>
        <v/>
      </c>
      <c r="Z115" s="301">
        <f>IF('Economic Assumptions'!$B12+'Project Assumptions'!$D$15+'Project Assumptions'!$D$16='Detailed Cashflows'!Z$5,'Economic Assumptions'!$C12,0)+Y115</f>
        <v/>
      </c>
      <c r="AA115" s="301">
        <f>IF('Economic Assumptions'!$B12+'Project Assumptions'!$D$15+'Project Assumptions'!$D$16='Detailed Cashflows'!AA$5,'Economic Assumptions'!$C12,0)+Z115</f>
        <v/>
      </c>
      <c r="AB115" s="301">
        <f>IF('Economic Assumptions'!$B12+'Project Assumptions'!$D$15+'Project Assumptions'!$D$16='Detailed Cashflows'!AB$5,'Economic Assumptions'!$C12,0)+AA115</f>
        <v/>
      </c>
      <c r="AC115" s="301">
        <f>IF('Economic Assumptions'!$B12+'Project Assumptions'!$D$15+'Project Assumptions'!$D$16='Detailed Cashflows'!AC$5,'Economic Assumptions'!$C12,0)+AB115</f>
        <v/>
      </c>
      <c r="AD115" s="301">
        <f>IF('Economic Assumptions'!$B12+'Project Assumptions'!$D$15+'Project Assumptions'!$D$16='Detailed Cashflows'!AD$5,'Economic Assumptions'!$C12,0)+AC115</f>
        <v/>
      </c>
      <c r="AE115" s="301">
        <f>IF('Economic Assumptions'!$B12+'Project Assumptions'!$D$15+'Project Assumptions'!$D$16='Detailed Cashflows'!AE$5,'Economic Assumptions'!$C12,0)+AD115</f>
        <v/>
      </c>
      <c r="AF115" s="301">
        <f>IF('Economic Assumptions'!$B12+'Project Assumptions'!$D$15+'Project Assumptions'!$D$16='Detailed Cashflows'!AF$5,'Economic Assumptions'!$C12,0)+AE115</f>
        <v/>
      </c>
      <c r="AG115" s="301">
        <f>IF('Economic Assumptions'!$B12+'Project Assumptions'!$D$15+'Project Assumptions'!$D$16='Detailed Cashflows'!AG$5,'Economic Assumptions'!$C12,0)+AF115</f>
        <v/>
      </c>
      <c r="AH115" s="301">
        <f>IF('Economic Assumptions'!$B12+'Project Assumptions'!$D$15+'Project Assumptions'!$D$16='Detailed Cashflows'!AH$5,'Economic Assumptions'!$C12,0)+AG115</f>
        <v/>
      </c>
      <c r="AI115" s="301">
        <f>IF('Economic Assumptions'!$B12+'Project Assumptions'!$D$15+'Project Assumptions'!$D$16='Detailed Cashflows'!AI$5,'Economic Assumptions'!$C12,0)+AH115</f>
        <v/>
      </c>
      <c r="AJ115" s="301">
        <f>IF('Economic Assumptions'!$B12+'Project Assumptions'!$D$15+'Project Assumptions'!$D$16='Detailed Cashflows'!AJ$5,'Economic Assumptions'!$C12,0)+AI115</f>
        <v/>
      </c>
      <c r="AK115" s="301">
        <f>IF('Economic Assumptions'!$B12+'Project Assumptions'!$D$15+'Project Assumptions'!$D$16='Detailed Cashflows'!AK$5,'Economic Assumptions'!$C12,0)+AJ115</f>
        <v/>
      </c>
      <c r="AL115" s="301">
        <f>IF('Economic Assumptions'!$B12+'Project Assumptions'!$D$15+'Project Assumptions'!$D$16='Detailed Cashflows'!AL$5,'Economic Assumptions'!$C12,0)+AK115</f>
        <v/>
      </c>
      <c r="AM115" s="301">
        <f>IF('Economic Assumptions'!$B12+'Project Assumptions'!$D$15+'Project Assumptions'!$D$16='Detailed Cashflows'!AM$5,'Economic Assumptions'!$C12,0)+AL115</f>
        <v/>
      </c>
      <c r="AN115" s="301">
        <f>IF('Economic Assumptions'!$B12+'Project Assumptions'!$D$15+'Project Assumptions'!$D$16='Detailed Cashflows'!AN$5,'Economic Assumptions'!$C12,0)+AM115</f>
        <v/>
      </c>
      <c r="AO115" s="301">
        <f>IF('Economic Assumptions'!$B12+'Project Assumptions'!$D$15+'Project Assumptions'!$D$16='Detailed Cashflows'!AO$5,'Economic Assumptions'!$C12,0)+AN115</f>
        <v/>
      </c>
      <c r="AP115" s="301">
        <f>IF('Economic Assumptions'!$B12+'Project Assumptions'!$D$15+'Project Assumptions'!$D$16='Detailed Cashflows'!AP$5,'Economic Assumptions'!$C12,0)+AO115</f>
        <v/>
      </c>
      <c r="AQ115" s="301">
        <f>IF('Economic Assumptions'!$B12+'Project Assumptions'!$D$15+'Project Assumptions'!$D$16='Detailed Cashflows'!AQ$5,'Economic Assumptions'!$C12,0)+AP115</f>
        <v/>
      </c>
      <c r="AR115" s="301">
        <f>IF('Economic Assumptions'!$B12+'Project Assumptions'!$D$15+'Project Assumptions'!$D$16='Detailed Cashflows'!AR$5,'Economic Assumptions'!$C12,0)+AQ115</f>
        <v/>
      </c>
      <c r="AS115" s="301">
        <f>IF('Economic Assumptions'!$B12+'Project Assumptions'!$D$15+'Project Assumptions'!$D$16='Detailed Cashflows'!AS$5,'Economic Assumptions'!$C12,0)+AR115</f>
        <v/>
      </c>
      <c r="AT115" s="301">
        <f>IF('Economic Assumptions'!$B12+'Project Assumptions'!$D$15+'Project Assumptions'!$D$16='Detailed Cashflows'!AT$5,'Economic Assumptions'!$C12,0)+AS115</f>
        <v/>
      </c>
      <c r="AU115" s="301">
        <f>IF('Economic Assumptions'!$B12+'Project Assumptions'!$D$15+'Project Assumptions'!$D$16='Detailed Cashflows'!AU$5,'Economic Assumptions'!$C12,0)+AT115</f>
        <v/>
      </c>
      <c r="AV115" s="301">
        <f>IF('Economic Assumptions'!$B12+'Project Assumptions'!$D$15+'Project Assumptions'!$D$16='Detailed Cashflows'!AV$5,'Economic Assumptions'!$C12,0)+AU115</f>
        <v/>
      </c>
      <c r="AW115" s="301">
        <f>IF('Economic Assumptions'!$B12+'Project Assumptions'!$D$15+'Project Assumptions'!$D$16='Detailed Cashflows'!AW$5,'Economic Assumptions'!$C12,0)+AV115</f>
        <v/>
      </c>
      <c r="AX115" s="301">
        <f>IF('Economic Assumptions'!$B12+'Project Assumptions'!$D$15+'Project Assumptions'!$D$16='Detailed Cashflows'!AX$5,'Economic Assumptions'!$C12,0)+AW115</f>
        <v/>
      </c>
      <c r="AY115" s="301">
        <f>IF('Economic Assumptions'!$B12+'Project Assumptions'!$D$15+'Project Assumptions'!$D$16='Detailed Cashflows'!AY$5,'Economic Assumptions'!$C12,0)+AX115</f>
        <v/>
      </c>
      <c r="AZ115" s="301">
        <f>IF('Economic Assumptions'!$B12+'Project Assumptions'!$D$15+'Project Assumptions'!$D$16='Detailed Cashflows'!AZ$5,'Economic Assumptions'!$C12,0)+AY115</f>
        <v/>
      </c>
      <c r="BA115" s="301">
        <f>IF('Economic Assumptions'!$B12+'Project Assumptions'!$D$15+'Project Assumptions'!$D$16='Detailed Cashflows'!BA$5,'Economic Assumptions'!$C12,0)+AZ115</f>
        <v/>
      </c>
      <c r="BB115" s="301">
        <f>IF('Economic Assumptions'!$B12+'Project Assumptions'!$D$15+'Project Assumptions'!$D$16='Detailed Cashflows'!BB$5,'Economic Assumptions'!$C12,0)+BA115</f>
        <v/>
      </c>
      <c r="BC115" s="301">
        <f>IF('Economic Assumptions'!$B12+'Project Assumptions'!$D$15+'Project Assumptions'!$D$16='Detailed Cashflows'!BC$5,'Economic Assumptions'!$C12,0)+BB115</f>
        <v/>
      </c>
      <c r="BD115" s="301">
        <f>IF('Economic Assumptions'!$B12+'Project Assumptions'!$D$15+'Project Assumptions'!$D$16='Detailed Cashflows'!BD$5,'Economic Assumptions'!$C12,0)+BC115</f>
        <v/>
      </c>
      <c r="BE115" s="301">
        <f>IF('Economic Assumptions'!$B12+'Project Assumptions'!$D$15+'Project Assumptions'!$D$16='Detailed Cashflows'!BE$5,'Economic Assumptions'!$C12,0)+BD115</f>
        <v/>
      </c>
      <c r="BF115" s="301">
        <f>IF('Economic Assumptions'!$B12+'Project Assumptions'!$D$15+'Project Assumptions'!$D$16='Detailed Cashflows'!BF$5,'Economic Assumptions'!$C12,0)+BE115</f>
        <v/>
      </c>
      <c r="BG115" s="301">
        <f>IF('Economic Assumptions'!$B12+'Project Assumptions'!$D$15+'Project Assumptions'!$D$16='Detailed Cashflows'!BG$5,'Economic Assumptions'!$C12,0)+BF115</f>
        <v/>
      </c>
      <c r="BH115" s="301">
        <f>IF('Economic Assumptions'!$B12+'Project Assumptions'!$D$15+'Project Assumptions'!$D$16='Detailed Cashflows'!BH$5,'Economic Assumptions'!$C12,0)+BG115</f>
        <v/>
      </c>
      <c r="BI115" s="301">
        <f>IF('Economic Assumptions'!$B12+'Project Assumptions'!$D$15+'Project Assumptions'!$D$16='Detailed Cashflows'!BI$5,'Economic Assumptions'!$C12,0)+BH115</f>
        <v/>
      </c>
      <c r="BJ115" s="301">
        <f>IF('Economic Assumptions'!$B12+'Project Assumptions'!$D$15+'Project Assumptions'!$D$16='Detailed Cashflows'!BJ$5,'Economic Assumptions'!$C12,0)+BI115</f>
        <v/>
      </c>
      <c r="BK115" s="301">
        <f>IF('Economic Assumptions'!$B12+'Project Assumptions'!$D$15+'Project Assumptions'!$D$16='Detailed Cashflows'!BK$5,'Economic Assumptions'!$C12,0)+BJ115</f>
        <v/>
      </c>
      <c r="BL115" s="301">
        <f>IF('Economic Assumptions'!$B12+'Project Assumptions'!$D$15+'Project Assumptions'!$D$16='Detailed Cashflows'!BL$5,'Economic Assumptions'!$C12,0)+BK115</f>
        <v/>
      </c>
      <c r="BM115" s="301">
        <f>IF('Economic Assumptions'!$B12+'Project Assumptions'!$D$15+'Project Assumptions'!$D$16='Detailed Cashflows'!BM$5,'Economic Assumptions'!$C12,0)+BL115</f>
        <v/>
      </c>
      <c r="BN115" s="301">
        <f>IF('Economic Assumptions'!$B12+'Project Assumptions'!$D$15+'Project Assumptions'!$D$16='Detailed Cashflows'!BN$5,'Economic Assumptions'!$C12,0)+BM115</f>
        <v/>
      </c>
      <c r="BO115" s="301">
        <f>IF('Economic Assumptions'!$B12+'Project Assumptions'!$D$15+'Project Assumptions'!$D$16='Detailed Cashflows'!BO$5,'Economic Assumptions'!$C12,0)+BN115</f>
        <v/>
      </c>
      <c r="BP115" s="301">
        <f>IF('Economic Assumptions'!$B12+'Project Assumptions'!$D$15+'Project Assumptions'!$D$16='Detailed Cashflows'!BP$5,'Economic Assumptions'!$C12,0)+BO115</f>
        <v/>
      </c>
      <c r="BQ115" s="301">
        <f>IF('Economic Assumptions'!$B12+'Project Assumptions'!$D$15+'Project Assumptions'!$D$16='Detailed Cashflows'!BQ$5,'Economic Assumptions'!$C12,0)+BP115</f>
        <v/>
      </c>
      <c r="BR115" s="301">
        <f>IF('Economic Assumptions'!$B12+'Project Assumptions'!$D$15+'Project Assumptions'!$D$16='Detailed Cashflows'!BR$5,'Economic Assumptions'!$C12,0)+BQ115</f>
        <v/>
      </c>
      <c r="BS115" s="301">
        <f>IF('Economic Assumptions'!$B12+'Project Assumptions'!$D$15+'Project Assumptions'!$D$16='Detailed Cashflows'!BS$5,'Economic Assumptions'!$C12,0)+BR115</f>
        <v/>
      </c>
      <c r="BT115" s="301">
        <f>IF('Economic Assumptions'!$B12+'Project Assumptions'!$D$15+'Project Assumptions'!$D$16='Detailed Cashflows'!BT$5,'Economic Assumptions'!$C12,0)+BS115</f>
        <v/>
      </c>
      <c r="BU115" s="301">
        <f>IF('Economic Assumptions'!$B12+'Project Assumptions'!$D$15+'Project Assumptions'!$D$16='Detailed Cashflows'!BU$5,'Economic Assumptions'!$C12,0)+BT115</f>
        <v/>
      </c>
      <c r="BV115" s="301">
        <f>IF('Economic Assumptions'!$B12+'Project Assumptions'!$D$15+'Project Assumptions'!$D$16='Detailed Cashflows'!BV$5,'Economic Assumptions'!$C12,0)+BU115</f>
        <v/>
      </c>
      <c r="BW115" s="301">
        <f>IF('Economic Assumptions'!$B12+'Project Assumptions'!$D$15+'Project Assumptions'!$D$16='Detailed Cashflows'!BW$5,'Economic Assumptions'!$C12,0)+BV115</f>
        <v/>
      </c>
      <c r="BX115" s="301">
        <f>IF('Economic Assumptions'!$B12+'Project Assumptions'!$D$15+'Project Assumptions'!$D$16='Detailed Cashflows'!BX$5,'Economic Assumptions'!$C12,0)+BW115</f>
        <v/>
      </c>
      <c r="BY115" s="301">
        <f>IF('Economic Assumptions'!$B12+'Project Assumptions'!$D$15+'Project Assumptions'!$D$16='Detailed Cashflows'!BY$5,'Economic Assumptions'!$C12,0)+BX115</f>
        <v/>
      </c>
      <c r="BZ115" s="301">
        <f>IF('Economic Assumptions'!$B12+'Project Assumptions'!$D$15+'Project Assumptions'!$D$16='Detailed Cashflows'!BZ$5,'Economic Assumptions'!$C12,0)+BY115</f>
        <v/>
      </c>
      <c r="CA115" s="301">
        <f>IF('Economic Assumptions'!$B12+'Project Assumptions'!$D$15+'Project Assumptions'!$D$16='Detailed Cashflows'!CA$5,'Economic Assumptions'!$C12,0)+BZ115</f>
        <v/>
      </c>
      <c r="CB115" s="301">
        <f>IF('Economic Assumptions'!$B12+'Project Assumptions'!$D$15+'Project Assumptions'!$D$16='Detailed Cashflows'!CB$5,'Economic Assumptions'!$C12,0)+CA115</f>
        <v/>
      </c>
      <c r="CC115" s="301">
        <f>IF('Economic Assumptions'!$B12+'Project Assumptions'!$D$15+'Project Assumptions'!$D$16='Detailed Cashflows'!CC$5,'Economic Assumptions'!$C12,0)+CB115</f>
        <v/>
      </c>
      <c r="CD115" s="301">
        <f>IF('Economic Assumptions'!$B12+'Project Assumptions'!$D$15+'Project Assumptions'!$D$16='Detailed Cashflows'!CD$5,'Economic Assumptions'!$C12,0)+CC115</f>
        <v/>
      </c>
      <c r="CE115" s="301">
        <f>IF('Economic Assumptions'!$B12+'Project Assumptions'!$D$15+'Project Assumptions'!$D$16='Detailed Cashflows'!CE$5,'Economic Assumptions'!$C12,0)+CD115</f>
        <v/>
      </c>
      <c r="CF115" s="301">
        <f>IF('Economic Assumptions'!$B12+'Project Assumptions'!$D$15+'Project Assumptions'!$D$16='Detailed Cashflows'!CF$5,'Economic Assumptions'!$C12,0)+CE115</f>
        <v/>
      </c>
      <c r="CG115" s="301">
        <f>IF('Economic Assumptions'!$B12+'Project Assumptions'!$D$15+'Project Assumptions'!$D$16='Detailed Cashflows'!CG$5,'Economic Assumptions'!$C12,0)+CF115</f>
        <v/>
      </c>
      <c r="CH115" s="301">
        <f>IF('Economic Assumptions'!$B12+'Project Assumptions'!$D$15+'Project Assumptions'!$D$16='Detailed Cashflows'!CH$5,'Economic Assumptions'!$C12,0)+CG115</f>
        <v/>
      </c>
      <c r="CI115" s="301">
        <f>IF('Economic Assumptions'!$B12+'Project Assumptions'!$D$15+'Project Assumptions'!$D$16='Detailed Cashflows'!CI$5,'Economic Assumptions'!$C12,0)+CH115</f>
        <v/>
      </c>
      <c r="CJ115" s="301">
        <f>IF('Economic Assumptions'!$B12+'Project Assumptions'!$D$15+'Project Assumptions'!$D$16='Detailed Cashflows'!CJ$5,'Economic Assumptions'!$C12,0)+CI115</f>
        <v/>
      </c>
      <c r="CK115" s="301">
        <f>IF('Economic Assumptions'!$B12+'Project Assumptions'!$D$15+'Project Assumptions'!$D$16='Detailed Cashflows'!CK$5,'Economic Assumptions'!$C12,0)+CJ115</f>
        <v/>
      </c>
      <c r="CL115" s="301">
        <f>IF('Economic Assumptions'!$B12+'Project Assumptions'!$D$15+'Project Assumptions'!$D$16='Detailed Cashflows'!CL$5,'Economic Assumptions'!$C12,0)+CK115</f>
        <v/>
      </c>
      <c r="CM115" s="301">
        <f>IF('Economic Assumptions'!$B12+'Project Assumptions'!$D$15+'Project Assumptions'!$D$16='Detailed Cashflows'!CM$5,'Economic Assumptions'!$C12,0)+CL115</f>
        <v/>
      </c>
      <c r="CN115" s="301">
        <f>IF('Economic Assumptions'!$B12+'Project Assumptions'!$D$15+'Project Assumptions'!$D$16='Detailed Cashflows'!CN$5,'Economic Assumptions'!$C12,0)+CM115</f>
        <v/>
      </c>
      <c r="CO115" s="301">
        <f>IF('Economic Assumptions'!$B12+'Project Assumptions'!$D$15+'Project Assumptions'!$D$16='Detailed Cashflows'!CO$5,'Economic Assumptions'!$C12,0)+CN115</f>
        <v/>
      </c>
      <c r="CP115" s="301">
        <f>IF('Economic Assumptions'!$B12+'Project Assumptions'!$D$15+'Project Assumptions'!$D$16='Detailed Cashflows'!CP$5,'Economic Assumptions'!$C12,0)+CO115</f>
        <v/>
      </c>
      <c r="CQ115" s="301">
        <f>IF('Economic Assumptions'!$B12+'Project Assumptions'!$D$15+'Project Assumptions'!$D$16='Detailed Cashflows'!CQ$5,'Economic Assumptions'!$C12,0)+CP115</f>
        <v/>
      </c>
      <c r="CR115" s="301">
        <f>IF('Economic Assumptions'!$B12+'Project Assumptions'!$D$15+'Project Assumptions'!$D$16='Detailed Cashflows'!CR$5,'Economic Assumptions'!$C12,0)+CQ115</f>
        <v/>
      </c>
      <c r="CS115" s="301">
        <f>IF('Economic Assumptions'!$B12+'Project Assumptions'!$D$15+'Project Assumptions'!$D$16='Detailed Cashflows'!CS$5,'Economic Assumptions'!$C12,0)+CR115</f>
        <v/>
      </c>
      <c r="CT115" s="301">
        <f>IF('Economic Assumptions'!$B12+'Project Assumptions'!$D$15+'Project Assumptions'!$D$16='Detailed Cashflows'!CT$5,'Economic Assumptions'!$C12,0)+CS115</f>
        <v/>
      </c>
      <c r="CU115" s="301">
        <f>IF('Economic Assumptions'!$B12+'Project Assumptions'!$D$15+'Project Assumptions'!$D$16='Detailed Cashflows'!CU$5,'Economic Assumptions'!$C12,0)+CT115</f>
        <v/>
      </c>
      <c r="CV115" s="301">
        <f>IF('Economic Assumptions'!$B12+'Project Assumptions'!$D$15+'Project Assumptions'!$D$16='Detailed Cashflows'!CV$5,'Economic Assumptions'!$C12,0)+CU115</f>
        <v/>
      </c>
      <c r="CW115" s="301">
        <f>IF('Economic Assumptions'!$B12+'Project Assumptions'!$D$15+'Project Assumptions'!$D$16='Detailed Cashflows'!CW$5,'Economic Assumptions'!$C12,0)+CV115</f>
        <v/>
      </c>
      <c r="CX115" s="301">
        <f>IF('Economic Assumptions'!$B12+'Project Assumptions'!$D$15+'Project Assumptions'!$D$16='Detailed Cashflows'!CX$5,'Economic Assumptions'!$C12,0)+CW115</f>
        <v/>
      </c>
      <c r="CY115" s="301">
        <f>IF('Economic Assumptions'!$B12+'Project Assumptions'!$D$15+'Project Assumptions'!$D$16='Detailed Cashflows'!CY$5,'Economic Assumptions'!$C12,0)+CX115</f>
        <v/>
      </c>
      <c r="CZ115" s="301">
        <f>IF('Economic Assumptions'!$B12+'Project Assumptions'!$D$15+'Project Assumptions'!$D$16='Detailed Cashflows'!CZ$5,'Economic Assumptions'!$C12,0)+CY115</f>
        <v/>
      </c>
      <c r="DA115" s="301">
        <f>IF('Economic Assumptions'!$B12+'Project Assumptions'!$D$15+'Project Assumptions'!$D$16='Detailed Cashflows'!DA$5,'Economic Assumptions'!$C12,0)+CZ115</f>
        <v/>
      </c>
      <c r="DB115" s="301">
        <f>IF('Economic Assumptions'!$B12+'Project Assumptions'!$D$15+'Project Assumptions'!$D$16='Detailed Cashflows'!DB$5,'Economic Assumptions'!$C12,0)+DA115</f>
        <v/>
      </c>
      <c r="DC115" s="301" t="n"/>
      <c r="DD115" s="299">
        <f>MAX(F115:DB115)</f>
        <v/>
      </c>
    </row>
    <row r="116" hidden="1" outlineLevel="1">
      <c r="A116" s="1000" t="n"/>
      <c r="B116" s="315" t="inlineStr">
        <is>
          <t>Lease #4</t>
        </is>
      </c>
      <c r="C116" s="294" t="n"/>
      <c r="D116" s="299">
        <f>DD116</f>
        <v/>
      </c>
      <c r="E116" s="300" t="n"/>
      <c r="F116" s="301" t="n"/>
      <c r="G116" s="301">
        <f>IF('Economic Assumptions'!$B13+'Project Assumptions'!$D$15+'Project Assumptions'!$D$16='Detailed Cashflows'!G$5,'Economic Assumptions'!$C13,0)</f>
        <v/>
      </c>
      <c r="H116" s="301">
        <f>IF('Economic Assumptions'!$B13+'Project Assumptions'!$D$15+'Project Assumptions'!$D$16='Detailed Cashflows'!H$5,'Economic Assumptions'!$C13,0)+G116</f>
        <v/>
      </c>
      <c r="I116" s="301">
        <f>IF('Economic Assumptions'!$B13+'Project Assumptions'!$D$15+'Project Assumptions'!$D$16='Detailed Cashflows'!I$5,'Economic Assumptions'!$C13,0)+H116</f>
        <v/>
      </c>
      <c r="J116" s="301">
        <f>IF('Economic Assumptions'!$B13+'Project Assumptions'!$D$15+'Project Assumptions'!$D$16='Detailed Cashflows'!J$5,'Economic Assumptions'!$C13,0)+I116</f>
        <v/>
      </c>
      <c r="K116" s="301">
        <f>IF('Economic Assumptions'!$B13+'Project Assumptions'!$D$15+'Project Assumptions'!$D$16='Detailed Cashflows'!K$5,'Economic Assumptions'!$C13,0)+J116</f>
        <v/>
      </c>
      <c r="L116" s="301">
        <f>IF('Economic Assumptions'!$B13+'Project Assumptions'!$D$15+'Project Assumptions'!$D$16='Detailed Cashflows'!L$5,'Economic Assumptions'!$C13,0)+K116</f>
        <v/>
      </c>
      <c r="M116" s="301">
        <f>IF('Economic Assumptions'!$B13+'Project Assumptions'!$D$15+'Project Assumptions'!$D$16='Detailed Cashflows'!M$5,'Economic Assumptions'!$C13,0)+L116</f>
        <v/>
      </c>
      <c r="N116" s="301">
        <f>IF('Economic Assumptions'!$B13+'Project Assumptions'!$D$15+'Project Assumptions'!$D$16='Detailed Cashflows'!N$5,'Economic Assumptions'!$C13,0)+M116</f>
        <v/>
      </c>
      <c r="O116" s="301">
        <f>IF('Economic Assumptions'!$B13+'Project Assumptions'!$D$15+'Project Assumptions'!$D$16='Detailed Cashflows'!O$5,'Economic Assumptions'!$C13,0)+N116</f>
        <v/>
      </c>
      <c r="P116" s="301">
        <f>IF('Economic Assumptions'!$B13+'Project Assumptions'!$D$15+'Project Assumptions'!$D$16='Detailed Cashflows'!P$5,'Economic Assumptions'!$C13,0)+O116</f>
        <v/>
      </c>
      <c r="Q116" s="301">
        <f>IF('Economic Assumptions'!$B13+'Project Assumptions'!$D$15+'Project Assumptions'!$D$16='Detailed Cashflows'!Q$5,'Economic Assumptions'!$C13,0)+P116</f>
        <v/>
      </c>
      <c r="R116" s="301">
        <f>IF('Economic Assumptions'!$B13+'Project Assumptions'!$D$15+'Project Assumptions'!$D$16='Detailed Cashflows'!R$5,'Economic Assumptions'!$C13,0)+Q116</f>
        <v/>
      </c>
      <c r="S116" s="301">
        <f>IF('Economic Assumptions'!$B13+'Project Assumptions'!$D$15+'Project Assumptions'!$D$16='Detailed Cashflows'!S$5,'Economic Assumptions'!$C13,0)+R116</f>
        <v/>
      </c>
      <c r="T116" s="301">
        <f>IF('Economic Assumptions'!$B13+'Project Assumptions'!$D$15+'Project Assumptions'!$D$16='Detailed Cashflows'!T$5,'Economic Assumptions'!$C13,0)+S116</f>
        <v/>
      </c>
      <c r="U116" s="301">
        <f>IF('Economic Assumptions'!$B13+'Project Assumptions'!$D$15+'Project Assumptions'!$D$16='Detailed Cashflows'!U$5,'Economic Assumptions'!$C13,0)+T116</f>
        <v/>
      </c>
      <c r="V116" s="301">
        <f>IF('Economic Assumptions'!$B13+'Project Assumptions'!$D$15+'Project Assumptions'!$D$16='Detailed Cashflows'!V$5,'Economic Assumptions'!$C13,0)+U116</f>
        <v/>
      </c>
      <c r="W116" s="301">
        <f>IF('Economic Assumptions'!$B13+'Project Assumptions'!$D$15+'Project Assumptions'!$D$16='Detailed Cashflows'!W$5,'Economic Assumptions'!$C13,0)+V116</f>
        <v/>
      </c>
      <c r="X116" s="301">
        <f>IF('Economic Assumptions'!$B13+'Project Assumptions'!$D$15+'Project Assumptions'!$D$16='Detailed Cashflows'!X$5,'Economic Assumptions'!$C13,0)+W116</f>
        <v/>
      </c>
      <c r="Y116" s="301">
        <f>IF('Economic Assumptions'!$B13+'Project Assumptions'!$D$15+'Project Assumptions'!$D$16='Detailed Cashflows'!Y$5,'Economic Assumptions'!$C13,0)+X116</f>
        <v/>
      </c>
      <c r="Z116" s="301">
        <f>IF('Economic Assumptions'!$B13+'Project Assumptions'!$D$15+'Project Assumptions'!$D$16='Detailed Cashflows'!Z$5,'Economic Assumptions'!$C13,0)+Y116</f>
        <v/>
      </c>
      <c r="AA116" s="301">
        <f>IF('Economic Assumptions'!$B13+'Project Assumptions'!$D$15+'Project Assumptions'!$D$16='Detailed Cashflows'!AA$5,'Economic Assumptions'!$C13,0)+Z116</f>
        <v/>
      </c>
      <c r="AB116" s="301">
        <f>IF('Economic Assumptions'!$B13+'Project Assumptions'!$D$15+'Project Assumptions'!$D$16='Detailed Cashflows'!AB$5,'Economic Assumptions'!$C13,0)+AA116</f>
        <v/>
      </c>
      <c r="AC116" s="301">
        <f>IF('Economic Assumptions'!$B13+'Project Assumptions'!$D$15+'Project Assumptions'!$D$16='Detailed Cashflows'!AC$5,'Economic Assumptions'!$C13,0)+AB116</f>
        <v/>
      </c>
      <c r="AD116" s="301">
        <f>IF('Economic Assumptions'!$B13+'Project Assumptions'!$D$15+'Project Assumptions'!$D$16='Detailed Cashflows'!AD$5,'Economic Assumptions'!$C13,0)+AC116</f>
        <v/>
      </c>
      <c r="AE116" s="301">
        <f>IF('Economic Assumptions'!$B13+'Project Assumptions'!$D$15+'Project Assumptions'!$D$16='Detailed Cashflows'!AE$5,'Economic Assumptions'!$C13,0)+AD116</f>
        <v/>
      </c>
      <c r="AF116" s="301">
        <f>IF('Economic Assumptions'!$B13+'Project Assumptions'!$D$15+'Project Assumptions'!$D$16='Detailed Cashflows'!AF$5,'Economic Assumptions'!$C13,0)+AE116</f>
        <v/>
      </c>
      <c r="AG116" s="301">
        <f>IF('Economic Assumptions'!$B13+'Project Assumptions'!$D$15+'Project Assumptions'!$D$16='Detailed Cashflows'!AG$5,'Economic Assumptions'!$C13,0)+AF116</f>
        <v/>
      </c>
      <c r="AH116" s="301">
        <f>IF('Economic Assumptions'!$B13+'Project Assumptions'!$D$15+'Project Assumptions'!$D$16='Detailed Cashflows'!AH$5,'Economic Assumptions'!$C13,0)+AG116</f>
        <v/>
      </c>
      <c r="AI116" s="301">
        <f>IF('Economic Assumptions'!$B13+'Project Assumptions'!$D$15+'Project Assumptions'!$D$16='Detailed Cashflows'!AI$5,'Economic Assumptions'!$C13,0)+AH116</f>
        <v/>
      </c>
      <c r="AJ116" s="301">
        <f>IF('Economic Assumptions'!$B13+'Project Assumptions'!$D$15+'Project Assumptions'!$D$16='Detailed Cashflows'!AJ$5,'Economic Assumptions'!$C13,0)+AI116</f>
        <v/>
      </c>
      <c r="AK116" s="301">
        <f>IF('Economic Assumptions'!$B13+'Project Assumptions'!$D$15+'Project Assumptions'!$D$16='Detailed Cashflows'!AK$5,'Economic Assumptions'!$C13,0)+AJ116</f>
        <v/>
      </c>
      <c r="AL116" s="301">
        <f>IF('Economic Assumptions'!$B13+'Project Assumptions'!$D$15+'Project Assumptions'!$D$16='Detailed Cashflows'!AL$5,'Economic Assumptions'!$C13,0)+AK116</f>
        <v/>
      </c>
      <c r="AM116" s="301">
        <f>IF('Economic Assumptions'!$B13+'Project Assumptions'!$D$15+'Project Assumptions'!$D$16='Detailed Cashflows'!AM$5,'Economic Assumptions'!$C13,0)+AL116</f>
        <v/>
      </c>
      <c r="AN116" s="301">
        <f>IF('Economic Assumptions'!$B13+'Project Assumptions'!$D$15+'Project Assumptions'!$D$16='Detailed Cashflows'!AN$5,'Economic Assumptions'!$C13,0)+AM116</f>
        <v/>
      </c>
      <c r="AO116" s="301">
        <f>IF('Economic Assumptions'!$B13+'Project Assumptions'!$D$15+'Project Assumptions'!$D$16='Detailed Cashflows'!AO$5,'Economic Assumptions'!$C13,0)+AN116</f>
        <v/>
      </c>
      <c r="AP116" s="301">
        <f>IF('Economic Assumptions'!$B13+'Project Assumptions'!$D$15+'Project Assumptions'!$D$16='Detailed Cashflows'!AP$5,'Economic Assumptions'!$C13,0)+AO116</f>
        <v/>
      </c>
      <c r="AQ116" s="301">
        <f>IF('Economic Assumptions'!$B13+'Project Assumptions'!$D$15+'Project Assumptions'!$D$16='Detailed Cashflows'!AQ$5,'Economic Assumptions'!$C13,0)+AP116</f>
        <v/>
      </c>
      <c r="AR116" s="301">
        <f>IF('Economic Assumptions'!$B13+'Project Assumptions'!$D$15+'Project Assumptions'!$D$16='Detailed Cashflows'!AR$5,'Economic Assumptions'!$C13,0)+AQ116</f>
        <v/>
      </c>
      <c r="AS116" s="301">
        <f>IF('Economic Assumptions'!$B13+'Project Assumptions'!$D$15+'Project Assumptions'!$D$16='Detailed Cashflows'!AS$5,'Economic Assumptions'!$C13,0)+AR116</f>
        <v/>
      </c>
      <c r="AT116" s="301">
        <f>IF('Economic Assumptions'!$B13+'Project Assumptions'!$D$15+'Project Assumptions'!$D$16='Detailed Cashflows'!AT$5,'Economic Assumptions'!$C13,0)+AS116</f>
        <v/>
      </c>
      <c r="AU116" s="301">
        <f>IF('Economic Assumptions'!$B13+'Project Assumptions'!$D$15+'Project Assumptions'!$D$16='Detailed Cashflows'!AU$5,'Economic Assumptions'!$C13,0)+AT116</f>
        <v/>
      </c>
      <c r="AV116" s="301">
        <f>IF('Economic Assumptions'!$B13+'Project Assumptions'!$D$15+'Project Assumptions'!$D$16='Detailed Cashflows'!AV$5,'Economic Assumptions'!$C13,0)+AU116</f>
        <v/>
      </c>
      <c r="AW116" s="301">
        <f>IF('Economic Assumptions'!$B13+'Project Assumptions'!$D$15+'Project Assumptions'!$D$16='Detailed Cashflows'!AW$5,'Economic Assumptions'!$C13,0)+AV116</f>
        <v/>
      </c>
      <c r="AX116" s="301">
        <f>IF('Economic Assumptions'!$B13+'Project Assumptions'!$D$15+'Project Assumptions'!$D$16='Detailed Cashflows'!AX$5,'Economic Assumptions'!$C13,0)+AW116</f>
        <v/>
      </c>
      <c r="AY116" s="301">
        <f>IF('Economic Assumptions'!$B13+'Project Assumptions'!$D$15+'Project Assumptions'!$D$16='Detailed Cashflows'!AY$5,'Economic Assumptions'!$C13,0)+AX116</f>
        <v/>
      </c>
      <c r="AZ116" s="301">
        <f>IF('Economic Assumptions'!$B13+'Project Assumptions'!$D$15+'Project Assumptions'!$D$16='Detailed Cashflows'!AZ$5,'Economic Assumptions'!$C13,0)+AY116</f>
        <v/>
      </c>
      <c r="BA116" s="301">
        <f>IF('Economic Assumptions'!$B13+'Project Assumptions'!$D$15+'Project Assumptions'!$D$16='Detailed Cashflows'!BA$5,'Economic Assumptions'!$C13,0)+AZ116</f>
        <v/>
      </c>
      <c r="BB116" s="301">
        <f>IF('Economic Assumptions'!$B13+'Project Assumptions'!$D$15+'Project Assumptions'!$D$16='Detailed Cashflows'!BB$5,'Economic Assumptions'!$C13,0)+BA116</f>
        <v/>
      </c>
      <c r="BC116" s="301">
        <f>IF('Economic Assumptions'!$B13+'Project Assumptions'!$D$15+'Project Assumptions'!$D$16='Detailed Cashflows'!BC$5,'Economic Assumptions'!$C13,0)+BB116</f>
        <v/>
      </c>
      <c r="BD116" s="301">
        <f>IF('Economic Assumptions'!$B13+'Project Assumptions'!$D$15+'Project Assumptions'!$D$16='Detailed Cashflows'!BD$5,'Economic Assumptions'!$C13,0)+BC116</f>
        <v/>
      </c>
      <c r="BE116" s="301">
        <f>IF('Economic Assumptions'!$B13+'Project Assumptions'!$D$15+'Project Assumptions'!$D$16='Detailed Cashflows'!BE$5,'Economic Assumptions'!$C13,0)+BD116</f>
        <v/>
      </c>
      <c r="BF116" s="301">
        <f>IF('Economic Assumptions'!$B13+'Project Assumptions'!$D$15+'Project Assumptions'!$D$16='Detailed Cashflows'!BF$5,'Economic Assumptions'!$C13,0)+BE116</f>
        <v/>
      </c>
      <c r="BG116" s="301">
        <f>IF('Economic Assumptions'!$B13+'Project Assumptions'!$D$15+'Project Assumptions'!$D$16='Detailed Cashflows'!BG$5,'Economic Assumptions'!$C13,0)+BF116</f>
        <v/>
      </c>
      <c r="BH116" s="301">
        <f>IF('Economic Assumptions'!$B13+'Project Assumptions'!$D$15+'Project Assumptions'!$D$16='Detailed Cashflows'!BH$5,'Economic Assumptions'!$C13,0)+BG116</f>
        <v/>
      </c>
      <c r="BI116" s="301">
        <f>IF('Economic Assumptions'!$B13+'Project Assumptions'!$D$15+'Project Assumptions'!$D$16='Detailed Cashflows'!BI$5,'Economic Assumptions'!$C13,0)+BH116</f>
        <v/>
      </c>
      <c r="BJ116" s="301">
        <f>IF('Economic Assumptions'!$B13+'Project Assumptions'!$D$15+'Project Assumptions'!$D$16='Detailed Cashflows'!BJ$5,'Economic Assumptions'!$C13,0)+BI116</f>
        <v/>
      </c>
      <c r="BK116" s="301">
        <f>IF('Economic Assumptions'!$B13+'Project Assumptions'!$D$15+'Project Assumptions'!$D$16='Detailed Cashflows'!BK$5,'Economic Assumptions'!$C13,0)+BJ116</f>
        <v/>
      </c>
      <c r="BL116" s="301">
        <f>IF('Economic Assumptions'!$B13+'Project Assumptions'!$D$15+'Project Assumptions'!$D$16='Detailed Cashflows'!BL$5,'Economic Assumptions'!$C13,0)+BK116</f>
        <v/>
      </c>
      <c r="BM116" s="301">
        <f>IF('Economic Assumptions'!$B13+'Project Assumptions'!$D$15+'Project Assumptions'!$D$16='Detailed Cashflows'!BM$5,'Economic Assumptions'!$C13,0)+BL116</f>
        <v/>
      </c>
      <c r="BN116" s="301">
        <f>IF('Economic Assumptions'!$B13+'Project Assumptions'!$D$15+'Project Assumptions'!$D$16='Detailed Cashflows'!BN$5,'Economic Assumptions'!$C13,0)+BM116</f>
        <v/>
      </c>
      <c r="BO116" s="301">
        <f>IF('Economic Assumptions'!$B13+'Project Assumptions'!$D$15+'Project Assumptions'!$D$16='Detailed Cashflows'!BO$5,'Economic Assumptions'!$C13,0)+BN116</f>
        <v/>
      </c>
      <c r="BP116" s="301">
        <f>IF('Economic Assumptions'!$B13+'Project Assumptions'!$D$15+'Project Assumptions'!$D$16='Detailed Cashflows'!BP$5,'Economic Assumptions'!$C13,0)+BO116</f>
        <v/>
      </c>
      <c r="BQ116" s="301">
        <f>IF('Economic Assumptions'!$B13+'Project Assumptions'!$D$15+'Project Assumptions'!$D$16='Detailed Cashflows'!BQ$5,'Economic Assumptions'!$C13,0)+BP116</f>
        <v/>
      </c>
      <c r="BR116" s="301">
        <f>IF('Economic Assumptions'!$B13+'Project Assumptions'!$D$15+'Project Assumptions'!$D$16='Detailed Cashflows'!BR$5,'Economic Assumptions'!$C13,0)+BQ116</f>
        <v/>
      </c>
      <c r="BS116" s="301">
        <f>IF('Economic Assumptions'!$B13+'Project Assumptions'!$D$15+'Project Assumptions'!$D$16='Detailed Cashflows'!BS$5,'Economic Assumptions'!$C13,0)+BR116</f>
        <v/>
      </c>
      <c r="BT116" s="301">
        <f>IF('Economic Assumptions'!$B13+'Project Assumptions'!$D$15+'Project Assumptions'!$D$16='Detailed Cashflows'!BT$5,'Economic Assumptions'!$C13,0)+BS116</f>
        <v/>
      </c>
      <c r="BU116" s="301">
        <f>IF('Economic Assumptions'!$B13+'Project Assumptions'!$D$15+'Project Assumptions'!$D$16='Detailed Cashflows'!BU$5,'Economic Assumptions'!$C13,0)+BT116</f>
        <v/>
      </c>
      <c r="BV116" s="301">
        <f>IF('Economic Assumptions'!$B13+'Project Assumptions'!$D$15+'Project Assumptions'!$D$16='Detailed Cashflows'!BV$5,'Economic Assumptions'!$C13,0)+BU116</f>
        <v/>
      </c>
      <c r="BW116" s="301">
        <f>IF('Economic Assumptions'!$B13+'Project Assumptions'!$D$15+'Project Assumptions'!$D$16='Detailed Cashflows'!BW$5,'Economic Assumptions'!$C13,0)+BV116</f>
        <v/>
      </c>
      <c r="BX116" s="301">
        <f>IF('Economic Assumptions'!$B13+'Project Assumptions'!$D$15+'Project Assumptions'!$D$16='Detailed Cashflows'!BX$5,'Economic Assumptions'!$C13,0)+BW116</f>
        <v/>
      </c>
      <c r="BY116" s="301">
        <f>IF('Economic Assumptions'!$B13+'Project Assumptions'!$D$15+'Project Assumptions'!$D$16='Detailed Cashflows'!BY$5,'Economic Assumptions'!$C13,0)+BX116</f>
        <v/>
      </c>
      <c r="BZ116" s="301">
        <f>IF('Economic Assumptions'!$B13+'Project Assumptions'!$D$15+'Project Assumptions'!$D$16='Detailed Cashflows'!BZ$5,'Economic Assumptions'!$C13,0)+BY116</f>
        <v/>
      </c>
      <c r="CA116" s="301">
        <f>IF('Economic Assumptions'!$B13+'Project Assumptions'!$D$15+'Project Assumptions'!$D$16='Detailed Cashflows'!CA$5,'Economic Assumptions'!$C13,0)+BZ116</f>
        <v/>
      </c>
      <c r="CB116" s="301">
        <f>IF('Economic Assumptions'!$B13+'Project Assumptions'!$D$15+'Project Assumptions'!$D$16='Detailed Cashflows'!CB$5,'Economic Assumptions'!$C13,0)+CA116</f>
        <v/>
      </c>
      <c r="CC116" s="301">
        <f>IF('Economic Assumptions'!$B13+'Project Assumptions'!$D$15+'Project Assumptions'!$D$16='Detailed Cashflows'!CC$5,'Economic Assumptions'!$C13,0)+CB116</f>
        <v/>
      </c>
      <c r="CD116" s="301">
        <f>IF('Economic Assumptions'!$B13+'Project Assumptions'!$D$15+'Project Assumptions'!$D$16='Detailed Cashflows'!CD$5,'Economic Assumptions'!$C13,0)+CC116</f>
        <v/>
      </c>
      <c r="CE116" s="301">
        <f>IF('Economic Assumptions'!$B13+'Project Assumptions'!$D$15+'Project Assumptions'!$D$16='Detailed Cashflows'!CE$5,'Economic Assumptions'!$C13,0)+CD116</f>
        <v/>
      </c>
      <c r="CF116" s="301">
        <f>IF('Economic Assumptions'!$B13+'Project Assumptions'!$D$15+'Project Assumptions'!$D$16='Detailed Cashflows'!CF$5,'Economic Assumptions'!$C13,0)+CE116</f>
        <v/>
      </c>
      <c r="CG116" s="301">
        <f>IF('Economic Assumptions'!$B13+'Project Assumptions'!$D$15+'Project Assumptions'!$D$16='Detailed Cashflows'!CG$5,'Economic Assumptions'!$C13,0)+CF116</f>
        <v/>
      </c>
      <c r="CH116" s="301">
        <f>IF('Economic Assumptions'!$B13+'Project Assumptions'!$D$15+'Project Assumptions'!$D$16='Detailed Cashflows'!CH$5,'Economic Assumptions'!$C13,0)+CG116</f>
        <v/>
      </c>
      <c r="CI116" s="301">
        <f>IF('Economic Assumptions'!$B13+'Project Assumptions'!$D$15+'Project Assumptions'!$D$16='Detailed Cashflows'!CI$5,'Economic Assumptions'!$C13,0)+CH116</f>
        <v/>
      </c>
      <c r="CJ116" s="301">
        <f>IF('Economic Assumptions'!$B13+'Project Assumptions'!$D$15+'Project Assumptions'!$D$16='Detailed Cashflows'!CJ$5,'Economic Assumptions'!$C13,0)+CI116</f>
        <v/>
      </c>
      <c r="CK116" s="301">
        <f>IF('Economic Assumptions'!$B13+'Project Assumptions'!$D$15+'Project Assumptions'!$D$16='Detailed Cashflows'!CK$5,'Economic Assumptions'!$C13,0)+CJ116</f>
        <v/>
      </c>
      <c r="CL116" s="301">
        <f>IF('Economic Assumptions'!$B13+'Project Assumptions'!$D$15+'Project Assumptions'!$D$16='Detailed Cashflows'!CL$5,'Economic Assumptions'!$C13,0)+CK116</f>
        <v/>
      </c>
      <c r="CM116" s="301">
        <f>IF('Economic Assumptions'!$B13+'Project Assumptions'!$D$15+'Project Assumptions'!$D$16='Detailed Cashflows'!CM$5,'Economic Assumptions'!$C13,0)+CL116</f>
        <v/>
      </c>
      <c r="CN116" s="301">
        <f>IF('Economic Assumptions'!$B13+'Project Assumptions'!$D$15+'Project Assumptions'!$D$16='Detailed Cashflows'!CN$5,'Economic Assumptions'!$C13,0)+CM116</f>
        <v/>
      </c>
      <c r="CO116" s="301">
        <f>IF('Economic Assumptions'!$B13+'Project Assumptions'!$D$15+'Project Assumptions'!$D$16='Detailed Cashflows'!CO$5,'Economic Assumptions'!$C13,0)+CN116</f>
        <v/>
      </c>
      <c r="CP116" s="301">
        <f>IF('Economic Assumptions'!$B13+'Project Assumptions'!$D$15+'Project Assumptions'!$D$16='Detailed Cashflows'!CP$5,'Economic Assumptions'!$C13,0)+CO116</f>
        <v/>
      </c>
      <c r="CQ116" s="301">
        <f>IF('Economic Assumptions'!$B13+'Project Assumptions'!$D$15+'Project Assumptions'!$D$16='Detailed Cashflows'!CQ$5,'Economic Assumptions'!$C13,0)+CP116</f>
        <v/>
      </c>
      <c r="CR116" s="301">
        <f>IF('Economic Assumptions'!$B13+'Project Assumptions'!$D$15+'Project Assumptions'!$D$16='Detailed Cashflows'!CR$5,'Economic Assumptions'!$C13,0)+CQ116</f>
        <v/>
      </c>
      <c r="CS116" s="301">
        <f>IF('Economic Assumptions'!$B13+'Project Assumptions'!$D$15+'Project Assumptions'!$D$16='Detailed Cashflows'!CS$5,'Economic Assumptions'!$C13,0)+CR116</f>
        <v/>
      </c>
      <c r="CT116" s="301">
        <f>IF('Economic Assumptions'!$B13+'Project Assumptions'!$D$15+'Project Assumptions'!$D$16='Detailed Cashflows'!CT$5,'Economic Assumptions'!$C13,0)+CS116</f>
        <v/>
      </c>
      <c r="CU116" s="301">
        <f>IF('Economic Assumptions'!$B13+'Project Assumptions'!$D$15+'Project Assumptions'!$D$16='Detailed Cashflows'!CU$5,'Economic Assumptions'!$C13,0)+CT116</f>
        <v/>
      </c>
      <c r="CV116" s="301">
        <f>IF('Economic Assumptions'!$B13+'Project Assumptions'!$D$15+'Project Assumptions'!$D$16='Detailed Cashflows'!CV$5,'Economic Assumptions'!$C13,0)+CU116</f>
        <v/>
      </c>
      <c r="CW116" s="301">
        <f>IF('Economic Assumptions'!$B13+'Project Assumptions'!$D$15+'Project Assumptions'!$D$16='Detailed Cashflows'!CW$5,'Economic Assumptions'!$C13,0)+CV116</f>
        <v/>
      </c>
      <c r="CX116" s="301">
        <f>IF('Economic Assumptions'!$B13+'Project Assumptions'!$D$15+'Project Assumptions'!$D$16='Detailed Cashflows'!CX$5,'Economic Assumptions'!$C13,0)+CW116</f>
        <v/>
      </c>
      <c r="CY116" s="301">
        <f>IF('Economic Assumptions'!$B13+'Project Assumptions'!$D$15+'Project Assumptions'!$D$16='Detailed Cashflows'!CY$5,'Economic Assumptions'!$C13,0)+CX116</f>
        <v/>
      </c>
      <c r="CZ116" s="301">
        <f>IF('Economic Assumptions'!$B13+'Project Assumptions'!$D$15+'Project Assumptions'!$D$16='Detailed Cashflows'!CZ$5,'Economic Assumptions'!$C13,0)+CY116</f>
        <v/>
      </c>
      <c r="DA116" s="301">
        <f>IF('Economic Assumptions'!$B13+'Project Assumptions'!$D$15+'Project Assumptions'!$D$16='Detailed Cashflows'!DA$5,'Economic Assumptions'!$C13,0)+CZ116</f>
        <v/>
      </c>
      <c r="DB116" s="301">
        <f>IF('Economic Assumptions'!$B13+'Project Assumptions'!$D$15+'Project Assumptions'!$D$16='Detailed Cashflows'!DB$5,'Economic Assumptions'!$C13,0)+DA116</f>
        <v/>
      </c>
      <c r="DC116" s="301" t="n"/>
      <c r="DD116" s="299">
        <f>MAX(F116:DB116)</f>
        <v/>
      </c>
    </row>
    <row r="117" hidden="1" outlineLevel="1">
      <c r="A117" s="1000" t="n"/>
      <c r="B117" s="315" t="inlineStr">
        <is>
          <t>Lease #5</t>
        </is>
      </c>
      <c r="C117" s="294" t="n"/>
      <c r="D117" s="299">
        <f>DD117</f>
        <v/>
      </c>
      <c r="E117" s="300" t="n"/>
      <c r="F117" s="301" t="n"/>
      <c r="G117" s="301">
        <f>IF('Economic Assumptions'!$B14+'Project Assumptions'!$D$15+'Project Assumptions'!$D$16='Detailed Cashflows'!G$5,'Economic Assumptions'!$C14,0)</f>
        <v/>
      </c>
      <c r="H117" s="301">
        <f>IF('Economic Assumptions'!$B14+'Project Assumptions'!$D$15+'Project Assumptions'!$D$16='Detailed Cashflows'!H$5,'Economic Assumptions'!$C14,0)+G117</f>
        <v/>
      </c>
      <c r="I117" s="301">
        <f>IF('Economic Assumptions'!$B14+'Project Assumptions'!$D$15+'Project Assumptions'!$D$16='Detailed Cashflows'!I$5,'Economic Assumptions'!$C14,0)+H117</f>
        <v/>
      </c>
      <c r="J117" s="301">
        <f>IF('Economic Assumptions'!$B14+'Project Assumptions'!$D$15+'Project Assumptions'!$D$16='Detailed Cashflows'!J$5,'Economic Assumptions'!$C14,0)+I117</f>
        <v/>
      </c>
      <c r="K117" s="301">
        <f>IF('Economic Assumptions'!$B14+'Project Assumptions'!$D$15+'Project Assumptions'!$D$16='Detailed Cashflows'!K$5,'Economic Assumptions'!$C14,0)+J117</f>
        <v/>
      </c>
      <c r="L117" s="301">
        <f>IF('Economic Assumptions'!$B14+'Project Assumptions'!$D$15+'Project Assumptions'!$D$16='Detailed Cashflows'!L$5,'Economic Assumptions'!$C14,0)+K117</f>
        <v/>
      </c>
      <c r="M117" s="301">
        <f>IF('Economic Assumptions'!$B14+'Project Assumptions'!$D$15+'Project Assumptions'!$D$16='Detailed Cashflows'!M$5,'Economic Assumptions'!$C14,0)+L117</f>
        <v/>
      </c>
      <c r="N117" s="301">
        <f>IF('Economic Assumptions'!$B14+'Project Assumptions'!$D$15+'Project Assumptions'!$D$16='Detailed Cashflows'!N$5,'Economic Assumptions'!$C14,0)+M117</f>
        <v/>
      </c>
      <c r="O117" s="301">
        <f>IF('Economic Assumptions'!$B14+'Project Assumptions'!$D$15+'Project Assumptions'!$D$16='Detailed Cashflows'!O$5,'Economic Assumptions'!$C14,0)+N117</f>
        <v/>
      </c>
      <c r="P117" s="301">
        <f>IF('Economic Assumptions'!$B14+'Project Assumptions'!$D$15+'Project Assumptions'!$D$16='Detailed Cashflows'!P$5,'Economic Assumptions'!$C14,0)+O117</f>
        <v/>
      </c>
      <c r="Q117" s="301">
        <f>IF('Economic Assumptions'!$B14+'Project Assumptions'!$D$15+'Project Assumptions'!$D$16='Detailed Cashflows'!Q$5,'Economic Assumptions'!$C14,0)+P117</f>
        <v/>
      </c>
      <c r="R117" s="301">
        <f>IF('Economic Assumptions'!$B14+'Project Assumptions'!$D$15+'Project Assumptions'!$D$16='Detailed Cashflows'!R$5,'Economic Assumptions'!$C14,0)+Q117</f>
        <v/>
      </c>
      <c r="S117" s="301">
        <f>IF('Economic Assumptions'!$B14+'Project Assumptions'!$D$15+'Project Assumptions'!$D$16='Detailed Cashflows'!S$5,'Economic Assumptions'!$C14,0)+R117</f>
        <v/>
      </c>
      <c r="T117" s="301">
        <f>IF('Economic Assumptions'!$B14+'Project Assumptions'!$D$15+'Project Assumptions'!$D$16='Detailed Cashflows'!T$5,'Economic Assumptions'!$C14,0)+S117</f>
        <v/>
      </c>
      <c r="U117" s="301">
        <f>IF('Economic Assumptions'!$B14+'Project Assumptions'!$D$15+'Project Assumptions'!$D$16='Detailed Cashflows'!U$5,'Economic Assumptions'!$C14,0)+T117</f>
        <v/>
      </c>
      <c r="V117" s="301">
        <f>IF('Economic Assumptions'!$B14+'Project Assumptions'!$D$15+'Project Assumptions'!$D$16='Detailed Cashflows'!V$5,'Economic Assumptions'!$C14,0)+U117</f>
        <v/>
      </c>
      <c r="W117" s="301">
        <f>IF('Economic Assumptions'!$B14+'Project Assumptions'!$D$15+'Project Assumptions'!$D$16='Detailed Cashflows'!W$5,'Economic Assumptions'!$C14,0)+V117</f>
        <v/>
      </c>
      <c r="X117" s="301">
        <f>IF('Economic Assumptions'!$B14+'Project Assumptions'!$D$15+'Project Assumptions'!$D$16='Detailed Cashflows'!X$5,'Economic Assumptions'!$C14,0)+W117</f>
        <v/>
      </c>
      <c r="Y117" s="301">
        <f>IF('Economic Assumptions'!$B14+'Project Assumptions'!$D$15+'Project Assumptions'!$D$16='Detailed Cashflows'!Y$5,'Economic Assumptions'!$C14,0)+X117</f>
        <v/>
      </c>
      <c r="Z117" s="301">
        <f>IF('Economic Assumptions'!$B14+'Project Assumptions'!$D$15+'Project Assumptions'!$D$16='Detailed Cashflows'!Z$5,'Economic Assumptions'!$C14,0)+Y117</f>
        <v/>
      </c>
      <c r="AA117" s="301">
        <f>IF('Economic Assumptions'!$B14+'Project Assumptions'!$D$15+'Project Assumptions'!$D$16='Detailed Cashflows'!AA$5,'Economic Assumptions'!$C14,0)+Z117</f>
        <v/>
      </c>
      <c r="AB117" s="301">
        <f>IF('Economic Assumptions'!$B14+'Project Assumptions'!$D$15+'Project Assumptions'!$D$16='Detailed Cashflows'!AB$5,'Economic Assumptions'!$C14,0)+AA117</f>
        <v/>
      </c>
      <c r="AC117" s="301">
        <f>IF('Economic Assumptions'!$B14+'Project Assumptions'!$D$15+'Project Assumptions'!$D$16='Detailed Cashflows'!AC$5,'Economic Assumptions'!$C14,0)+AB117</f>
        <v/>
      </c>
      <c r="AD117" s="301">
        <f>IF('Economic Assumptions'!$B14+'Project Assumptions'!$D$15+'Project Assumptions'!$D$16='Detailed Cashflows'!AD$5,'Economic Assumptions'!$C14,0)+AC117</f>
        <v/>
      </c>
      <c r="AE117" s="301">
        <f>IF('Economic Assumptions'!$B14+'Project Assumptions'!$D$15+'Project Assumptions'!$D$16='Detailed Cashflows'!AE$5,'Economic Assumptions'!$C14,0)+AD117</f>
        <v/>
      </c>
      <c r="AF117" s="301">
        <f>IF('Economic Assumptions'!$B14+'Project Assumptions'!$D$15+'Project Assumptions'!$D$16='Detailed Cashflows'!AF$5,'Economic Assumptions'!$C14,0)+AE117</f>
        <v/>
      </c>
      <c r="AG117" s="301">
        <f>IF('Economic Assumptions'!$B14+'Project Assumptions'!$D$15+'Project Assumptions'!$D$16='Detailed Cashflows'!AG$5,'Economic Assumptions'!$C14,0)+AF117</f>
        <v/>
      </c>
      <c r="AH117" s="301">
        <f>IF('Economic Assumptions'!$B14+'Project Assumptions'!$D$15+'Project Assumptions'!$D$16='Detailed Cashflows'!AH$5,'Economic Assumptions'!$C14,0)+AG117</f>
        <v/>
      </c>
      <c r="AI117" s="301">
        <f>IF('Economic Assumptions'!$B14+'Project Assumptions'!$D$15+'Project Assumptions'!$D$16='Detailed Cashflows'!AI$5,'Economic Assumptions'!$C14,0)+AH117</f>
        <v/>
      </c>
      <c r="AJ117" s="301">
        <f>IF('Economic Assumptions'!$B14+'Project Assumptions'!$D$15+'Project Assumptions'!$D$16='Detailed Cashflows'!AJ$5,'Economic Assumptions'!$C14,0)+AI117</f>
        <v/>
      </c>
      <c r="AK117" s="301">
        <f>IF('Economic Assumptions'!$B14+'Project Assumptions'!$D$15+'Project Assumptions'!$D$16='Detailed Cashflows'!AK$5,'Economic Assumptions'!$C14,0)+AJ117</f>
        <v/>
      </c>
      <c r="AL117" s="301">
        <f>IF('Economic Assumptions'!$B14+'Project Assumptions'!$D$15+'Project Assumptions'!$D$16='Detailed Cashflows'!AL$5,'Economic Assumptions'!$C14,0)+AK117</f>
        <v/>
      </c>
      <c r="AM117" s="301">
        <f>IF('Economic Assumptions'!$B14+'Project Assumptions'!$D$15+'Project Assumptions'!$D$16='Detailed Cashflows'!AM$5,'Economic Assumptions'!$C14,0)+AL117</f>
        <v/>
      </c>
      <c r="AN117" s="301">
        <f>IF('Economic Assumptions'!$B14+'Project Assumptions'!$D$15+'Project Assumptions'!$D$16='Detailed Cashflows'!AN$5,'Economic Assumptions'!$C14,0)+AM117</f>
        <v/>
      </c>
      <c r="AO117" s="301">
        <f>IF('Economic Assumptions'!$B14+'Project Assumptions'!$D$15+'Project Assumptions'!$D$16='Detailed Cashflows'!AO$5,'Economic Assumptions'!$C14,0)+AN117</f>
        <v/>
      </c>
      <c r="AP117" s="301">
        <f>IF('Economic Assumptions'!$B14+'Project Assumptions'!$D$15+'Project Assumptions'!$D$16='Detailed Cashflows'!AP$5,'Economic Assumptions'!$C14,0)+AO117</f>
        <v/>
      </c>
      <c r="AQ117" s="301">
        <f>IF('Economic Assumptions'!$B14+'Project Assumptions'!$D$15+'Project Assumptions'!$D$16='Detailed Cashflows'!AQ$5,'Economic Assumptions'!$C14,0)+AP117</f>
        <v/>
      </c>
      <c r="AR117" s="301">
        <f>IF('Economic Assumptions'!$B14+'Project Assumptions'!$D$15+'Project Assumptions'!$D$16='Detailed Cashflows'!AR$5,'Economic Assumptions'!$C14,0)+AQ117</f>
        <v/>
      </c>
      <c r="AS117" s="301">
        <f>IF('Economic Assumptions'!$B14+'Project Assumptions'!$D$15+'Project Assumptions'!$D$16='Detailed Cashflows'!AS$5,'Economic Assumptions'!$C14,0)+AR117</f>
        <v/>
      </c>
      <c r="AT117" s="301">
        <f>IF('Economic Assumptions'!$B14+'Project Assumptions'!$D$15+'Project Assumptions'!$D$16='Detailed Cashflows'!AT$5,'Economic Assumptions'!$C14,0)+AS117</f>
        <v/>
      </c>
      <c r="AU117" s="301">
        <f>IF('Economic Assumptions'!$B14+'Project Assumptions'!$D$15+'Project Assumptions'!$D$16='Detailed Cashflows'!AU$5,'Economic Assumptions'!$C14,0)+AT117</f>
        <v/>
      </c>
      <c r="AV117" s="301">
        <f>IF('Economic Assumptions'!$B14+'Project Assumptions'!$D$15+'Project Assumptions'!$D$16='Detailed Cashflows'!AV$5,'Economic Assumptions'!$C14,0)+AU117</f>
        <v/>
      </c>
      <c r="AW117" s="301">
        <f>IF('Economic Assumptions'!$B14+'Project Assumptions'!$D$15+'Project Assumptions'!$D$16='Detailed Cashflows'!AW$5,'Economic Assumptions'!$C14,0)+AV117</f>
        <v/>
      </c>
      <c r="AX117" s="301">
        <f>IF('Economic Assumptions'!$B14+'Project Assumptions'!$D$15+'Project Assumptions'!$D$16='Detailed Cashflows'!AX$5,'Economic Assumptions'!$C14,0)+AW117</f>
        <v/>
      </c>
      <c r="AY117" s="301">
        <f>IF('Economic Assumptions'!$B14+'Project Assumptions'!$D$15+'Project Assumptions'!$D$16='Detailed Cashflows'!AY$5,'Economic Assumptions'!$C14,0)+AX117</f>
        <v/>
      </c>
      <c r="AZ117" s="301">
        <f>IF('Economic Assumptions'!$B14+'Project Assumptions'!$D$15+'Project Assumptions'!$D$16='Detailed Cashflows'!AZ$5,'Economic Assumptions'!$C14,0)+AY117</f>
        <v/>
      </c>
      <c r="BA117" s="301">
        <f>IF('Economic Assumptions'!$B14+'Project Assumptions'!$D$15+'Project Assumptions'!$D$16='Detailed Cashflows'!BA$5,'Economic Assumptions'!$C14,0)+AZ117</f>
        <v/>
      </c>
      <c r="BB117" s="301">
        <f>IF('Economic Assumptions'!$B14+'Project Assumptions'!$D$15+'Project Assumptions'!$D$16='Detailed Cashflows'!BB$5,'Economic Assumptions'!$C14,0)+BA117</f>
        <v/>
      </c>
      <c r="BC117" s="301">
        <f>IF('Economic Assumptions'!$B14+'Project Assumptions'!$D$15+'Project Assumptions'!$D$16='Detailed Cashflows'!BC$5,'Economic Assumptions'!$C14,0)+BB117</f>
        <v/>
      </c>
      <c r="BD117" s="301">
        <f>IF('Economic Assumptions'!$B14+'Project Assumptions'!$D$15+'Project Assumptions'!$D$16='Detailed Cashflows'!BD$5,'Economic Assumptions'!$C14,0)+BC117</f>
        <v/>
      </c>
      <c r="BE117" s="301">
        <f>IF('Economic Assumptions'!$B14+'Project Assumptions'!$D$15+'Project Assumptions'!$D$16='Detailed Cashflows'!BE$5,'Economic Assumptions'!$C14,0)+BD117</f>
        <v/>
      </c>
      <c r="BF117" s="301">
        <f>IF('Economic Assumptions'!$B14+'Project Assumptions'!$D$15+'Project Assumptions'!$D$16='Detailed Cashflows'!BF$5,'Economic Assumptions'!$C14,0)+BE117</f>
        <v/>
      </c>
      <c r="BG117" s="301">
        <f>IF('Economic Assumptions'!$B14+'Project Assumptions'!$D$15+'Project Assumptions'!$D$16='Detailed Cashflows'!BG$5,'Economic Assumptions'!$C14,0)+BF117</f>
        <v/>
      </c>
      <c r="BH117" s="301">
        <f>IF('Economic Assumptions'!$B14+'Project Assumptions'!$D$15+'Project Assumptions'!$D$16='Detailed Cashflows'!BH$5,'Economic Assumptions'!$C14,0)+BG117</f>
        <v/>
      </c>
      <c r="BI117" s="301">
        <f>IF('Economic Assumptions'!$B14+'Project Assumptions'!$D$15+'Project Assumptions'!$D$16='Detailed Cashflows'!BI$5,'Economic Assumptions'!$C14,0)+BH117</f>
        <v/>
      </c>
      <c r="BJ117" s="301">
        <f>IF('Economic Assumptions'!$B14+'Project Assumptions'!$D$15+'Project Assumptions'!$D$16='Detailed Cashflows'!BJ$5,'Economic Assumptions'!$C14,0)+BI117</f>
        <v/>
      </c>
      <c r="BK117" s="301">
        <f>IF('Economic Assumptions'!$B14+'Project Assumptions'!$D$15+'Project Assumptions'!$D$16='Detailed Cashflows'!BK$5,'Economic Assumptions'!$C14,0)+BJ117</f>
        <v/>
      </c>
      <c r="BL117" s="301">
        <f>IF('Economic Assumptions'!$B14+'Project Assumptions'!$D$15+'Project Assumptions'!$D$16='Detailed Cashflows'!BL$5,'Economic Assumptions'!$C14,0)+BK117</f>
        <v/>
      </c>
      <c r="BM117" s="301">
        <f>IF('Economic Assumptions'!$B14+'Project Assumptions'!$D$15+'Project Assumptions'!$D$16='Detailed Cashflows'!BM$5,'Economic Assumptions'!$C14,0)+BL117</f>
        <v/>
      </c>
      <c r="BN117" s="301">
        <f>IF('Economic Assumptions'!$B14+'Project Assumptions'!$D$15+'Project Assumptions'!$D$16='Detailed Cashflows'!BN$5,'Economic Assumptions'!$C14,0)+BM117</f>
        <v/>
      </c>
      <c r="BO117" s="301">
        <f>IF('Economic Assumptions'!$B14+'Project Assumptions'!$D$15+'Project Assumptions'!$D$16='Detailed Cashflows'!BO$5,'Economic Assumptions'!$C14,0)+BN117</f>
        <v/>
      </c>
      <c r="BP117" s="301">
        <f>IF('Economic Assumptions'!$B14+'Project Assumptions'!$D$15+'Project Assumptions'!$D$16='Detailed Cashflows'!BP$5,'Economic Assumptions'!$C14,0)+BO117</f>
        <v/>
      </c>
      <c r="BQ117" s="301">
        <f>IF('Economic Assumptions'!$B14+'Project Assumptions'!$D$15+'Project Assumptions'!$D$16='Detailed Cashflows'!BQ$5,'Economic Assumptions'!$C14,0)+BP117</f>
        <v/>
      </c>
      <c r="BR117" s="301">
        <f>IF('Economic Assumptions'!$B14+'Project Assumptions'!$D$15+'Project Assumptions'!$D$16='Detailed Cashflows'!BR$5,'Economic Assumptions'!$C14,0)+BQ117</f>
        <v/>
      </c>
      <c r="BS117" s="301">
        <f>IF('Economic Assumptions'!$B14+'Project Assumptions'!$D$15+'Project Assumptions'!$D$16='Detailed Cashflows'!BS$5,'Economic Assumptions'!$C14,0)+BR117</f>
        <v/>
      </c>
      <c r="BT117" s="301">
        <f>IF('Economic Assumptions'!$B14+'Project Assumptions'!$D$15+'Project Assumptions'!$D$16='Detailed Cashflows'!BT$5,'Economic Assumptions'!$C14,0)+BS117</f>
        <v/>
      </c>
      <c r="BU117" s="301">
        <f>IF('Economic Assumptions'!$B14+'Project Assumptions'!$D$15+'Project Assumptions'!$D$16='Detailed Cashflows'!BU$5,'Economic Assumptions'!$C14,0)+BT117</f>
        <v/>
      </c>
      <c r="BV117" s="301">
        <f>IF('Economic Assumptions'!$B14+'Project Assumptions'!$D$15+'Project Assumptions'!$D$16='Detailed Cashflows'!BV$5,'Economic Assumptions'!$C14,0)+BU117</f>
        <v/>
      </c>
      <c r="BW117" s="301">
        <f>IF('Economic Assumptions'!$B14+'Project Assumptions'!$D$15+'Project Assumptions'!$D$16='Detailed Cashflows'!BW$5,'Economic Assumptions'!$C14,0)+BV117</f>
        <v/>
      </c>
      <c r="BX117" s="301">
        <f>IF('Economic Assumptions'!$B14+'Project Assumptions'!$D$15+'Project Assumptions'!$D$16='Detailed Cashflows'!BX$5,'Economic Assumptions'!$C14,0)+BW117</f>
        <v/>
      </c>
      <c r="BY117" s="301">
        <f>IF('Economic Assumptions'!$B14+'Project Assumptions'!$D$15+'Project Assumptions'!$D$16='Detailed Cashflows'!BY$5,'Economic Assumptions'!$C14,0)+BX117</f>
        <v/>
      </c>
      <c r="BZ117" s="301">
        <f>IF('Economic Assumptions'!$B14+'Project Assumptions'!$D$15+'Project Assumptions'!$D$16='Detailed Cashflows'!BZ$5,'Economic Assumptions'!$C14,0)+BY117</f>
        <v/>
      </c>
      <c r="CA117" s="301">
        <f>IF('Economic Assumptions'!$B14+'Project Assumptions'!$D$15+'Project Assumptions'!$D$16='Detailed Cashflows'!CA$5,'Economic Assumptions'!$C14,0)+BZ117</f>
        <v/>
      </c>
      <c r="CB117" s="301">
        <f>IF('Economic Assumptions'!$B14+'Project Assumptions'!$D$15+'Project Assumptions'!$D$16='Detailed Cashflows'!CB$5,'Economic Assumptions'!$C14,0)+CA117</f>
        <v/>
      </c>
      <c r="CC117" s="301">
        <f>IF('Economic Assumptions'!$B14+'Project Assumptions'!$D$15+'Project Assumptions'!$D$16='Detailed Cashflows'!CC$5,'Economic Assumptions'!$C14,0)+CB117</f>
        <v/>
      </c>
      <c r="CD117" s="301">
        <f>IF('Economic Assumptions'!$B14+'Project Assumptions'!$D$15+'Project Assumptions'!$D$16='Detailed Cashflows'!CD$5,'Economic Assumptions'!$C14,0)+CC117</f>
        <v/>
      </c>
      <c r="CE117" s="301">
        <f>IF('Economic Assumptions'!$B14+'Project Assumptions'!$D$15+'Project Assumptions'!$D$16='Detailed Cashflows'!CE$5,'Economic Assumptions'!$C14,0)+CD117</f>
        <v/>
      </c>
      <c r="CF117" s="301">
        <f>IF('Economic Assumptions'!$B14+'Project Assumptions'!$D$15+'Project Assumptions'!$D$16='Detailed Cashflows'!CF$5,'Economic Assumptions'!$C14,0)+CE117</f>
        <v/>
      </c>
      <c r="CG117" s="301">
        <f>IF('Economic Assumptions'!$B14+'Project Assumptions'!$D$15+'Project Assumptions'!$D$16='Detailed Cashflows'!CG$5,'Economic Assumptions'!$C14,0)+CF117</f>
        <v/>
      </c>
      <c r="CH117" s="301">
        <f>IF('Economic Assumptions'!$B14+'Project Assumptions'!$D$15+'Project Assumptions'!$D$16='Detailed Cashflows'!CH$5,'Economic Assumptions'!$C14,0)+CG117</f>
        <v/>
      </c>
      <c r="CI117" s="301">
        <f>IF('Economic Assumptions'!$B14+'Project Assumptions'!$D$15+'Project Assumptions'!$D$16='Detailed Cashflows'!CI$5,'Economic Assumptions'!$C14,0)+CH117</f>
        <v/>
      </c>
      <c r="CJ117" s="301">
        <f>IF('Economic Assumptions'!$B14+'Project Assumptions'!$D$15+'Project Assumptions'!$D$16='Detailed Cashflows'!CJ$5,'Economic Assumptions'!$C14,0)+CI117</f>
        <v/>
      </c>
      <c r="CK117" s="301">
        <f>IF('Economic Assumptions'!$B14+'Project Assumptions'!$D$15+'Project Assumptions'!$D$16='Detailed Cashflows'!CK$5,'Economic Assumptions'!$C14,0)+CJ117</f>
        <v/>
      </c>
      <c r="CL117" s="301">
        <f>IF('Economic Assumptions'!$B14+'Project Assumptions'!$D$15+'Project Assumptions'!$D$16='Detailed Cashflows'!CL$5,'Economic Assumptions'!$C14,0)+CK117</f>
        <v/>
      </c>
      <c r="CM117" s="301">
        <f>IF('Economic Assumptions'!$B14+'Project Assumptions'!$D$15+'Project Assumptions'!$D$16='Detailed Cashflows'!CM$5,'Economic Assumptions'!$C14,0)+CL117</f>
        <v/>
      </c>
      <c r="CN117" s="301">
        <f>IF('Economic Assumptions'!$B14+'Project Assumptions'!$D$15+'Project Assumptions'!$D$16='Detailed Cashflows'!CN$5,'Economic Assumptions'!$C14,0)+CM117</f>
        <v/>
      </c>
      <c r="CO117" s="301">
        <f>IF('Economic Assumptions'!$B14+'Project Assumptions'!$D$15+'Project Assumptions'!$D$16='Detailed Cashflows'!CO$5,'Economic Assumptions'!$C14,0)+CN117</f>
        <v/>
      </c>
      <c r="CP117" s="301">
        <f>IF('Economic Assumptions'!$B14+'Project Assumptions'!$D$15+'Project Assumptions'!$D$16='Detailed Cashflows'!CP$5,'Economic Assumptions'!$C14,0)+CO117</f>
        <v/>
      </c>
      <c r="CQ117" s="301">
        <f>IF('Economic Assumptions'!$B14+'Project Assumptions'!$D$15+'Project Assumptions'!$D$16='Detailed Cashflows'!CQ$5,'Economic Assumptions'!$C14,0)+CP117</f>
        <v/>
      </c>
      <c r="CR117" s="301">
        <f>IF('Economic Assumptions'!$B14+'Project Assumptions'!$D$15+'Project Assumptions'!$D$16='Detailed Cashflows'!CR$5,'Economic Assumptions'!$C14,0)+CQ117</f>
        <v/>
      </c>
      <c r="CS117" s="301">
        <f>IF('Economic Assumptions'!$B14+'Project Assumptions'!$D$15+'Project Assumptions'!$D$16='Detailed Cashflows'!CS$5,'Economic Assumptions'!$C14,0)+CR117</f>
        <v/>
      </c>
      <c r="CT117" s="301">
        <f>IF('Economic Assumptions'!$B14+'Project Assumptions'!$D$15+'Project Assumptions'!$D$16='Detailed Cashflows'!CT$5,'Economic Assumptions'!$C14,0)+CS117</f>
        <v/>
      </c>
      <c r="CU117" s="301">
        <f>IF('Economic Assumptions'!$B14+'Project Assumptions'!$D$15+'Project Assumptions'!$D$16='Detailed Cashflows'!CU$5,'Economic Assumptions'!$C14,0)+CT117</f>
        <v/>
      </c>
      <c r="CV117" s="301">
        <f>IF('Economic Assumptions'!$B14+'Project Assumptions'!$D$15+'Project Assumptions'!$D$16='Detailed Cashflows'!CV$5,'Economic Assumptions'!$C14,0)+CU117</f>
        <v/>
      </c>
      <c r="CW117" s="301">
        <f>IF('Economic Assumptions'!$B14+'Project Assumptions'!$D$15+'Project Assumptions'!$D$16='Detailed Cashflows'!CW$5,'Economic Assumptions'!$C14,0)+CV117</f>
        <v/>
      </c>
      <c r="CX117" s="301">
        <f>IF('Economic Assumptions'!$B14+'Project Assumptions'!$D$15+'Project Assumptions'!$D$16='Detailed Cashflows'!CX$5,'Economic Assumptions'!$C14,0)+CW117</f>
        <v/>
      </c>
      <c r="CY117" s="301">
        <f>IF('Economic Assumptions'!$B14+'Project Assumptions'!$D$15+'Project Assumptions'!$D$16='Detailed Cashflows'!CY$5,'Economic Assumptions'!$C14,0)+CX117</f>
        <v/>
      </c>
      <c r="CZ117" s="301">
        <f>IF('Economic Assumptions'!$B14+'Project Assumptions'!$D$15+'Project Assumptions'!$D$16='Detailed Cashflows'!CZ$5,'Economic Assumptions'!$C14,0)+CY117</f>
        <v/>
      </c>
      <c r="DA117" s="301">
        <f>IF('Economic Assumptions'!$B14+'Project Assumptions'!$D$15+'Project Assumptions'!$D$16='Detailed Cashflows'!DA$5,'Economic Assumptions'!$C14,0)+CZ117</f>
        <v/>
      </c>
      <c r="DB117" s="301">
        <f>IF('Economic Assumptions'!$B14+'Project Assumptions'!$D$15+'Project Assumptions'!$D$16='Detailed Cashflows'!DB$5,'Economic Assumptions'!$C14,0)+DA117</f>
        <v/>
      </c>
      <c r="DC117" s="301" t="n"/>
      <c r="DD117" s="299">
        <f>MAX(F117:DB117)</f>
        <v/>
      </c>
    </row>
    <row r="118" hidden="1" outlineLevel="1">
      <c r="A118" s="1000" t="n"/>
      <c r="B118" s="315" t="inlineStr">
        <is>
          <t>Lease #6</t>
        </is>
      </c>
      <c r="C118" s="294" t="n"/>
      <c r="D118" s="299">
        <f>DD118</f>
        <v/>
      </c>
      <c r="E118" s="300" t="n"/>
      <c r="F118" s="301" t="n"/>
      <c r="G118" s="301">
        <f>IF('Economic Assumptions'!$B15+'Project Assumptions'!$D$15+'Project Assumptions'!$D$16='Detailed Cashflows'!G$5,'Economic Assumptions'!$C15,0)</f>
        <v/>
      </c>
      <c r="H118" s="301">
        <f>IF('Economic Assumptions'!$B15+'Project Assumptions'!$D$15+'Project Assumptions'!$D$16='Detailed Cashflows'!H$5,'Economic Assumptions'!$C15,0)+G118</f>
        <v/>
      </c>
      <c r="I118" s="301">
        <f>IF('Economic Assumptions'!$B15+'Project Assumptions'!$D$15+'Project Assumptions'!$D$16='Detailed Cashflows'!I$5,'Economic Assumptions'!$C15,0)+H118</f>
        <v/>
      </c>
      <c r="J118" s="301">
        <f>IF('Economic Assumptions'!$B15+'Project Assumptions'!$D$15+'Project Assumptions'!$D$16='Detailed Cashflows'!J$5,'Economic Assumptions'!$C15,0)+I118</f>
        <v/>
      </c>
      <c r="K118" s="301">
        <f>IF('Economic Assumptions'!$B15+'Project Assumptions'!$D$15+'Project Assumptions'!$D$16='Detailed Cashflows'!K$5,'Economic Assumptions'!$C15,0)+J118</f>
        <v/>
      </c>
      <c r="L118" s="301">
        <f>IF('Economic Assumptions'!$B15+'Project Assumptions'!$D$15+'Project Assumptions'!$D$16='Detailed Cashflows'!L$5,'Economic Assumptions'!$C15,0)+K118</f>
        <v/>
      </c>
      <c r="M118" s="301">
        <f>IF('Economic Assumptions'!$B15+'Project Assumptions'!$D$15+'Project Assumptions'!$D$16='Detailed Cashflows'!M$5,'Economic Assumptions'!$C15,0)+L118</f>
        <v/>
      </c>
      <c r="N118" s="301">
        <f>IF('Economic Assumptions'!$B15+'Project Assumptions'!$D$15+'Project Assumptions'!$D$16='Detailed Cashflows'!N$5,'Economic Assumptions'!$C15,0)+M118</f>
        <v/>
      </c>
      <c r="O118" s="301">
        <f>IF('Economic Assumptions'!$B15+'Project Assumptions'!$D$15+'Project Assumptions'!$D$16='Detailed Cashflows'!O$5,'Economic Assumptions'!$C15,0)+N118</f>
        <v/>
      </c>
      <c r="P118" s="301">
        <f>IF('Economic Assumptions'!$B15+'Project Assumptions'!$D$15+'Project Assumptions'!$D$16='Detailed Cashflows'!P$5,'Economic Assumptions'!$C15,0)+O118</f>
        <v/>
      </c>
      <c r="Q118" s="301">
        <f>IF('Economic Assumptions'!$B15+'Project Assumptions'!$D$15+'Project Assumptions'!$D$16='Detailed Cashflows'!Q$5,'Economic Assumptions'!$C15,0)+P118</f>
        <v/>
      </c>
      <c r="R118" s="301">
        <f>IF('Economic Assumptions'!$B15+'Project Assumptions'!$D$15+'Project Assumptions'!$D$16='Detailed Cashflows'!R$5,'Economic Assumptions'!$C15,0)+Q118</f>
        <v/>
      </c>
      <c r="S118" s="301">
        <f>IF('Economic Assumptions'!$B15+'Project Assumptions'!$D$15+'Project Assumptions'!$D$16='Detailed Cashflows'!S$5,'Economic Assumptions'!$C15,0)+R118</f>
        <v/>
      </c>
      <c r="T118" s="301">
        <f>IF('Economic Assumptions'!$B15+'Project Assumptions'!$D$15+'Project Assumptions'!$D$16='Detailed Cashflows'!T$5,'Economic Assumptions'!$C15,0)+S118</f>
        <v/>
      </c>
      <c r="U118" s="301">
        <f>IF('Economic Assumptions'!$B15+'Project Assumptions'!$D$15+'Project Assumptions'!$D$16='Detailed Cashflows'!U$5,'Economic Assumptions'!$C15,0)+T118</f>
        <v/>
      </c>
      <c r="V118" s="301">
        <f>IF('Economic Assumptions'!$B15+'Project Assumptions'!$D$15+'Project Assumptions'!$D$16='Detailed Cashflows'!V$5,'Economic Assumptions'!$C15,0)+U118</f>
        <v/>
      </c>
      <c r="W118" s="301">
        <f>IF('Economic Assumptions'!$B15+'Project Assumptions'!$D$15+'Project Assumptions'!$D$16='Detailed Cashflows'!W$5,'Economic Assumptions'!$C15,0)+V118</f>
        <v/>
      </c>
      <c r="X118" s="301">
        <f>IF('Economic Assumptions'!$B15+'Project Assumptions'!$D$15+'Project Assumptions'!$D$16='Detailed Cashflows'!X$5,'Economic Assumptions'!$C15,0)+W118</f>
        <v/>
      </c>
      <c r="Y118" s="301">
        <f>IF('Economic Assumptions'!$B15+'Project Assumptions'!$D$15+'Project Assumptions'!$D$16='Detailed Cashflows'!Y$5,'Economic Assumptions'!$C15,0)+X118</f>
        <v/>
      </c>
      <c r="Z118" s="301">
        <f>IF('Economic Assumptions'!$B15+'Project Assumptions'!$D$15+'Project Assumptions'!$D$16='Detailed Cashflows'!Z$5,'Economic Assumptions'!$C15,0)+Y118</f>
        <v/>
      </c>
      <c r="AA118" s="301">
        <f>IF('Economic Assumptions'!$B15+'Project Assumptions'!$D$15+'Project Assumptions'!$D$16='Detailed Cashflows'!AA$5,'Economic Assumptions'!$C15,0)+Z118</f>
        <v/>
      </c>
      <c r="AB118" s="301">
        <f>IF('Economic Assumptions'!$B15+'Project Assumptions'!$D$15+'Project Assumptions'!$D$16='Detailed Cashflows'!AB$5,'Economic Assumptions'!$C15,0)+AA118</f>
        <v/>
      </c>
      <c r="AC118" s="301">
        <f>IF('Economic Assumptions'!$B15+'Project Assumptions'!$D$15+'Project Assumptions'!$D$16='Detailed Cashflows'!AC$5,'Economic Assumptions'!$C15,0)+AB118</f>
        <v/>
      </c>
      <c r="AD118" s="301">
        <f>IF('Economic Assumptions'!$B15+'Project Assumptions'!$D$15+'Project Assumptions'!$D$16='Detailed Cashflows'!AD$5,'Economic Assumptions'!$C15,0)+AC118</f>
        <v/>
      </c>
      <c r="AE118" s="301">
        <f>IF('Economic Assumptions'!$B15+'Project Assumptions'!$D$15+'Project Assumptions'!$D$16='Detailed Cashflows'!AE$5,'Economic Assumptions'!$C15,0)+AD118</f>
        <v/>
      </c>
      <c r="AF118" s="301">
        <f>IF('Economic Assumptions'!$B15+'Project Assumptions'!$D$15+'Project Assumptions'!$D$16='Detailed Cashflows'!AF$5,'Economic Assumptions'!$C15,0)+AE118</f>
        <v/>
      </c>
      <c r="AG118" s="301">
        <f>IF('Economic Assumptions'!$B15+'Project Assumptions'!$D$15+'Project Assumptions'!$D$16='Detailed Cashflows'!AG$5,'Economic Assumptions'!$C15,0)+AF118</f>
        <v/>
      </c>
      <c r="AH118" s="301">
        <f>IF('Economic Assumptions'!$B15+'Project Assumptions'!$D$15+'Project Assumptions'!$D$16='Detailed Cashflows'!AH$5,'Economic Assumptions'!$C15,0)+AG118</f>
        <v/>
      </c>
      <c r="AI118" s="301">
        <f>IF('Economic Assumptions'!$B15+'Project Assumptions'!$D$15+'Project Assumptions'!$D$16='Detailed Cashflows'!AI$5,'Economic Assumptions'!$C15,0)+AH118</f>
        <v/>
      </c>
      <c r="AJ118" s="301">
        <f>IF('Economic Assumptions'!$B15+'Project Assumptions'!$D$15+'Project Assumptions'!$D$16='Detailed Cashflows'!AJ$5,'Economic Assumptions'!$C15,0)+AI118</f>
        <v/>
      </c>
      <c r="AK118" s="301">
        <f>IF('Economic Assumptions'!$B15+'Project Assumptions'!$D$15+'Project Assumptions'!$D$16='Detailed Cashflows'!AK$5,'Economic Assumptions'!$C15,0)+AJ118</f>
        <v/>
      </c>
      <c r="AL118" s="301">
        <f>IF('Economic Assumptions'!$B15+'Project Assumptions'!$D$15+'Project Assumptions'!$D$16='Detailed Cashflows'!AL$5,'Economic Assumptions'!$C15,0)+AK118</f>
        <v/>
      </c>
      <c r="AM118" s="301">
        <f>IF('Economic Assumptions'!$B15+'Project Assumptions'!$D$15+'Project Assumptions'!$D$16='Detailed Cashflows'!AM$5,'Economic Assumptions'!$C15,0)+AL118</f>
        <v/>
      </c>
      <c r="AN118" s="301">
        <f>IF('Economic Assumptions'!$B15+'Project Assumptions'!$D$15+'Project Assumptions'!$D$16='Detailed Cashflows'!AN$5,'Economic Assumptions'!$C15,0)+AM118</f>
        <v/>
      </c>
      <c r="AO118" s="301">
        <f>IF('Economic Assumptions'!$B15+'Project Assumptions'!$D$15+'Project Assumptions'!$D$16='Detailed Cashflows'!AO$5,'Economic Assumptions'!$C15,0)+AN118</f>
        <v/>
      </c>
      <c r="AP118" s="301">
        <f>IF('Economic Assumptions'!$B15+'Project Assumptions'!$D$15+'Project Assumptions'!$D$16='Detailed Cashflows'!AP$5,'Economic Assumptions'!$C15,0)+AO118</f>
        <v/>
      </c>
      <c r="AQ118" s="301">
        <f>IF('Economic Assumptions'!$B15+'Project Assumptions'!$D$15+'Project Assumptions'!$D$16='Detailed Cashflows'!AQ$5,'Economic Assumptions'!$C15,0)+AP118</f>
        <v/>
      </c>
      <c r="AR118" s="301">
        <f>IF('Economic Assumptions'!$B15+'Project Assumptions'!$D$15+'Project Assumptions'!$D$16='Detailed Cashflows'!AR$5,'Economic Assumptions'!$C15,0)+AQ118</f>
        <v/>
      </c>
      <c r="AS118" s="301">
        <f>IF('Economic Assumptions'!$B15+'Project Assumptions'!$D$15+'Project Assumptions'!$D$16='Detailed Cashflows'!AS$5,'Economic Assumptions'!$C15,0)+AR118</f>
        <v/>
      </c>
      <c r="AT118" s="301">
        <f>IF('Economic Assumptions'!$B15+'Project Assumptions'!$D$15+'Project Assumptions'!$D$16='Detailed Cashflows'!AT$5,'Economic Assumptions'!$C15,0)+AS118</f>
        <v/>
      </c>
      <c r="AU118" s="301">
        <f>IF('Economic Assumptions'!$B15+'Project Assumptions'!$D$15+'Project Assumptions'!$D$16='Detailed Cashflows'!AU$5,'Economic Assumptions'!$C15,0)+AT118</f>
        <v/>
      </c>
      <c r="AV118" s="301">
        <f>IF('Economic Assumptions'!$B15+'Project Assumptions'!$D$15+'Project Assumptions'!$D$16='Detailed Cashflows'!AV$5,'Economic Assumptions'!$C15,0)+AU118</f>
        <v/>
      </c>
      <c r="AW118" s="301">
        <f>IF('Economic Assumptions'!$B15+'Project Assumptions'!$D$15+'Project Assumptions'!$D$16='Detailed Cashflows'!AW$5,'Economic Assumptions'!$C15,0)+AV118</f>
        <v/>
      </c>
      <c r="AX118" s="301">
        <f>IF('Economic Assumptions'!$B15+'Project Assumptions'!$D$15+'Project Assumptions'!$D$16='Detailed Cashflows'!AX$5,'Economic Assumptions'!$C15,0)+AW118</f>
        <v/>
      </c>
      <c r="AY118" s="301">
        <f>IF('Economic Assumptions'!$B15+'Project Assumptions'!$D$15+'Project Assumptions'!$D$16='Detailed Cashflows'!AY$5,'Economic Assumptions'!$C15,0)+AX118</f>
        <v/>
      </c>
      <c r="AZ118" s="301">
        <f>IF('Economic Assumptions'!$B15+'Project Assumptions'!$D$15+'Project Assumptions'!$D$16='Detailed Cashflows'!AZ$5,'Economic Assumptions'!$C15,0)+AY118</f>
        <v/>
      </c>
      <c r="BA118" s="301">
        <f>IF('Economic Assumptions'!$B15+'Project Assumptions'!$D$15+'Project Assumptions'!$D$16='Detailed Cashflows'!BA$5,'Economic Assumptions'!$C15,0)+AZ118</f>
        <v/>
      </c>
      <c r="BB118" s="301">
        <f>IF('Economic Assumptions'!$B15+'Project Assumptions'!$D$15+'Project Assumptions'!$D$16='Detailed Cashflows'!BB$5,'Economic Assumptions'!$C15,0)+BA118</f>
        <v/>
      </c>
      <c r="BC118" s="301">
        <f>IF('Economic Assumptions'!$B15+'Project Assumptions'!$D$15+'Project Assumptions'!$D$16='Detailed Cashflows'!BC$5,'Economic Assumptions'!$C15,0)+BB118</f>
        <v/>
      </c>
      <c r="BD118" s="301">
        <f>IF('Economic Assumptions'!$B15+'Project Assumptions'!$D$15+'Project Assumptions'!$D$16='Detailed Cashflows'!BD$5,'Economic Assumptions'!$C15,0)+BC118</f>
        <v/>
      </c>
      <c r="BE118" s="301">
        <f>IF('Economic Assumptions'!$B15+'Project Assumptions'!$D$15+'Project Assumptions'!$D$16='Detailed Cashflows'!BE$5,'Economic Assumptions'!$C15,0)+BD118</f>
        <v/>
      </c>
      <c r="BF118" s="301">
        <f>IF('Economic Assumptions'!$B15+'Project Assumptions'!$D$15+'Project Assumptions'!$D$16='Detailed Cashflows'!BF$5,'Economic Assumptions'!$C15,0)+BE118</f>
        <v/>
      </c>
      <c r="BG118" s="301">
        <f>IF('Economic Assumptions'!$B15+'Project Assumptions'!$D$15+'Project Assumptions'!$D$16='Detailed Cashflows'!BG$5,'Economic Assumptions'!$C15,0)+BF118</f>
        <v/>
      </c>
      <c r="BH118" s="301">
        <f>IF('Economic Assumptions'!$B15+'Project Assumptions'!$D$15+'Project Assumptions'!$D$16='Detailed Cashflows'!BH$5,'Economic Assumptions'!$C15,0)+BG118</f>
        <v/>
      </c>
      <c r="BI118" s="301">
        <f>IF('Economic Assumptions'!$B15+'Project Assumptions'!$D$15+'Project Assumptions'!$D$16='Detailed Cashflows'!BI$5,'Economic Assumptions'!$C15,0)+BH118</f>
        <v/>
      </c>
      <c r="BJ118" s="301">
        <f>IF('Economic Assumptions'!$B15+'Project Assumptions'!$D$15+'Project Assumptions'!$D$16='Detailed Cashflows'!BJ$5,'Economic Assumptions'!$C15,0)+BI118</f>
        <v/>
      </c>
      <c r="BK118" s="301">
        <f>IF('Economic Assumptions'!$B15+'Project Assumptions'!$D$15+'Project Assumptions'!$D$16='Detailed Cashflows'!BK$5,'Economic Assumptions'!$C15,0)+BJ118</f>
        <v/>
      </c>
      <c r="BL118" s="301">
        <f>IF('Economic Assumptions'!$B15+'Project Assumptions'!$D$15+'Project Assumptions'!$D$16='Detailed Cashflows'!BL$5,'Economic Assumptions'!$C15,0)+BK118</f>
        <v/>
      </c>
      <c r="BM118" s="301">
        <f>IF('Economic Assumptions'!$B15+'Project Assumptions'!$D$15+'Project Assumptions'!$D$16='Detailed Cashflows'!BM$5,'Economic Assumptions'!$C15,0)+BL118</f>
        <v/>
      </c>
      <c r="BN118" s="301">
        <f>IF('Economic Assumptions'!$B15+'Project Assumptions'!$D$15+'Project Assumptions'!$D$16='Detailed Cashflows'!BN$5,'Economic Assumptions'!$C15,0)+BM118</f>
        <v/>
      </c>
      <c r="BO118" s="301">
        <f>IF('Economic Assumptions'!$B15+'Project Assumptions'!$D$15+'Project Assumptions'!$D$16='Detailed Cashflows'!BO$5,'Economic Assumptions'!$C15,0)+BN118</f>
        <v/>
      </c>
      <c r="BP118" s="301">
        <f>IF('Economic Assumptions'!$B15+'Project Assumptions'!$D$15+'Project Assumptions'!$D$16='Detailed Cashflows'!BP$5,'Economic Assumptions'!$C15,0)+BO118</f>
        <v/>
      </c>
      <c r="BQ118" s="301">
        <f>IF('Economic Assumptions'!$B15+'Project Assumptions'!$D$15+'Project Assumptions'!$D$16='Detailed Cashflows'!BQ$5,'Economic Assumptions'!$C15,0)+BP118</f>
        <v/>
      </c>
      <c r="BR118" s="301">
        <f>IF('Economic Assumptions'!$B15+'Project Assumptions'!$D$15+'Project Assumptions'!$D$16='Detailed Cashflows'!BR$5,'Economic Assumptions'!$C15,0)+BQ118</f>
        <v/>
      </c>
      <c r="BS118" s="301">
        <f>IF('Economic Assumptions'!$B15+'Project Assumptions'!$D$15+'Project Assumptions'!$D$16='Detailed Cashflows'!BS$5,'Economic Assumptions'!$C15,0)+BR118</f>
        <v/>
      </c>
      <c r="BT118" s="301">
        <f>IF('Economic Assumptions'!$B15+'Project Assumptions'!$D$15+'Project Assumptions'!$D$16='Detailed Cashflows'!BT$5,'Economic Assumptions'!$C15,0)+BS118</f>
        <v/>
      </c>
      <c r="BU118" s="301">
        <f>IF('Economic Assumptions'!$B15+'Project Assumptions'!$D$15+'Project Assumptions'!$D$16='Detailed Cashflows'!BU$5,'Economic Assumptions'!$C15,0)+BT118</f>
        <v/>
      </c>
      <c r="BV118" s="301">
        <f>IF('Economic Assumptions'!$B15+'Project Assumptions'!$D$15+'Project Assumptions'!$D$16='Detailed Cashflows'!BV$5,'Economic Assumptions'!$C15,0)+BU118</f>
        <v/>
      </c>
      <c r="BW118" s="301">
        <f>IF('Economic Assumptions'!$B15+'Project Assumptions'!$D$15+'Project Assumptions'!$D$16='Detailed Cashflows'!BW$5,'Economic Assumptions'!$C15,0)+BV118</f>
        <v/>
      </c>
      <c r="BX118" s="301">
        <f>IF('Economic Assumptions'!$B15+'Project Assumptions'!$D$15+'Project Assumptions'!$D$16='Detailed Cashflows'!BX$5,'Economic Assumptions'!$C15,0)+BW118</f>
        <v/>
      </c>
      <c r="BY118" s="301">
        <f>IF('Economic Assumptions'!$B15+'Project Assumptions'!$D$15+'Project Assumptions'!$D$16='Detailed Cashflows'!BY$5,'Economic Assumptions'!$C15,0)+BX118</f>
        <v/>
      </c>
      <c r="BZ118" s="301">
        <f>IF('Economic Assumptions'!$B15+'Project Assumptions'!$D$15+'Project Assumptions'!$D$16='Detailed Cashflows'!BZ$5,'Economic Assumptions'!$C15,0)+BY118</f>
        <v/>
      </c>
      <c r="CA118" s="301">
        <f>IF('Economic Assumptions'!$B15+'Project Assumptions'!$D$15+'Project Assumptions'!$D$16='Detailed Cashflows'!CA$5,'Economic Assumptions'!$C15,0)+BZ118</f>
        <v/>
      </c>
      <c r="CB118" s="301">
        <f>IF('Economic Assumptions'!$B15+'Project Assumptions'!$D$15+'Project Assumptions'!$D$16='Detailed Cashflows'!CB$5,'Economic Assumptions'!$C15,0)+CA118</f>
        <v/>
      </c>
      <c r="CC118" s="301">
        <f>IF('Economic Assumptions'!$B15+'Project Assumptions'!$D$15+'Project Assumptions'!$D$16='Detailed Cashflows'!CC$5,'Economic Assumptions'!$C15,0)+CB118</f>
        <v/>
      </c>
      <c r="CD118" s="301">
        <f>IF('Economic Assumptions'!$B15+'Project Assumptions'!$D$15+'Project Assumptions'!$D$16='Detailed Cashflows'!CD$5,'Economic Assumptions'!$C15,0)+CC118</f>
        <v/>
      </c>
      <c r="CE118" s="301">
        <f>IF('Economic Assumptions'!$B15+'Project Assumptions'!$D$15+'Project Assumptions'!$D$16='Detailed Cashflows'!CE$5,'Economic Assumptions'!$C15,0)+CD118</f>
        <v/>
      </c>
      <c r="CF118" s="301">
        <f>IF('Economic Assumptions'!$B15+'Project Assumptions'!$D$15+'Project Assumptions'!$D$16='Detailed Cashflows'!CF$5,'Economic Assumptions'!$C15,0)+CE118</f>
        <v/>
      </c>
      <c r="CG118" s="301">
        <f>IF('Economic Assumptions'!$B15+'Project Assumptions'!$D$15+'Project Assumptions'!$D$16='Detailed Cashflows'!CG$5,'Economic Assumptions'!$C15,0)+CF118</f>
        <v/>
      </c>
      <c r="CH118" s="301">
        <f>IF('Economic Assumptions'!$B15+'Project Assumptions'!$D$15+'Project Assumptions'!$D$16='Detailed Cashflows'!CH$5,'Economic Assumptions'!$C15,0)+CG118</f>
        <v/>
      </c>
      <c r="CI118" s="301">
        <f>IF('Economic Assumptions'!$B15+'Project Assumptions'!$D$15+'Project Assumptions'!$D$16='Detailed Cashflows'!CI$5,'Economic Assumptions'!$C15,0)+CH118</f>
        <v/>
      </c>
      <c r="CJ118" s="301">
        <f>IF('Economic Assumptions'!$B15+'Project Assumptions'!$D$15+'Project Assumptions'!$D$16='Detailed Cashflows'!CJ$5,'Economic Assumptions'!$C15,0)+CI118</f>
        <v/>
      </c>
      <c r="CK118" s="301">
        <f>IF('Economic Assumptions'!$B15+'Project Assumptions'!$D$15+'Project Assumptions'!$D$16='Detailed Cashflows'!CK$5,'Economic Assumptions'!$C15,0)+CJ118</f>
        <v/>
      </c>
      <c r="CL118" s="301">
        <f>IF('Economic Assumptions'!$B15+'Project Assumptions'!$D$15+'Project Assumptions'!$D$16='Detailed Cashflows'!CL$5,'Economic Assumptions'!$C15,0)+CK118</f>
        <v/>
      </c>
      <c r="CM118" s="301">
        <f>IF('Economic Assumptions'!$B15+'Project Assumptions'!$D$15+'Project Assumptions'!$D$16='Detailed Cashflows'!CM$5,'Economic Assumptions'!$C15,0)+CL118</f>
        <v/>
      </c>
      <c r="CN118" s="301">
        <f>IF('Economic Assumptions'!$B15+'Project Assumptions'!$D$15+'Project Assumptions'!$D$16='Detailed Cashflows'!CN$5,'Economic Assumptions'!$C15,0)+CM118</f>
        <v/>
      </c>
      <c r="CO118" s="301">
        <f>IF('Economic Assumptions'!$B15+'Project Assumptions'!$D$15+'Project Assumptions'!$D$16='Detailed Cashflows'!CO$5,'Economic Assumptions'!$C15,0)+CN118</f>
        <v/>
      </c>
      <c r="CP118" s="301">
        <f>IF('Economic Assumptions'!$B15+'Project Assumptions'!$D$15+'Project Assumptions'!$D$16='Detailed Cashflows'!CP$5,'Economic Assumptions'!$C15,0)+CO118</f>
        <v/>
      </c>
      <c r="CQ118" s="301">
        <f>IF('Economic Assumptions'!$B15+'Project Assumptions'!$D$15+'Project Assumptions'!$D$16='Detailed Cashflows'!CQ$5,'Economic Assumptions'!$C15,0)+CP118</f>
        <v/>
      </c>
      <c r="CR118" s="301">
        <f>IF('Economic Assumptions'!$B15+'Project Assumptions'!$D$15+'Project Assumptions'!$D$16='Detailed Cashflows'!CR$5,'Economic Assumptions'!$C15,0)+CQ118</f>
        <v/>
      </c>
      <c r="CS118" s="301">
        <f>IF('Economic Assumptions'!$B15+'Project Assumptions'!$D$15+'Project Assumptions'!$D$16='Detailed Cashflows'!CS$5,'Economic Assumptions'!$C15,0)+CR118</f>
        <v/>
      </c>
      <c r="CT118" s="301">
        <f>IF('Economic Assumptions'!$B15+'Project Assumptions'!$D$15+'Project Assumptions'!$D$16='Detailed Cashflows'!CT$5,'Economic Assumptions'!$C15,0)+CS118</f>
        <v/>
      </c>
      <c r="CU118" s="301">
        <f>IF('Economic Assumptions'!$B15+'Project Assumptions'!$D$15+'Project Assumptions'!$D$16='Detailed Cashflows'!CU$5,'Economic Assumptions'!$C15,0)+CT118</f>
        <v/>
      </c>
      <c r="CV118" s="301">
        <f>IF('Economic Assumptions'!$B15+'Project Assumptions'!$D$15+'Project Assumptions'!$D$16='Detailed Cashflows'!CV$5,'Economic Assumptions'!$C15,0)+CU118</f>
        <v/>
      </c>
      <c r="CW118" s="301">
        <f>IF('Economic Assumptions'!$B15+'Project Assumptions'!$D$15+'Project Assumptions'!$D$16='Detailed Cashflows'!CW$5,'Economic Assumptions'!$C15,0)+CV118</f>
        <v/>
      </c>
      <c r="CX118" s="301">
        <f>IF('Economic Assumptions'!$B15+'Project Assumptions'!$D$15+'Project Assumptions'!$D$16='Detailed Cashflows'!CX$5,'Economic Assumptions'!$C15,0)+CW118</f>
        <v/>
      </c>
      <c r="CY118" s="301">
        <f>IF('Economic Assumptions'!$B15+'Project Assumptions'!$D$15+'Project Assumptions'!$D$16='Detailed Cashflows'!CY$5,'Economic Assumptions'!$C15,0)+CX118</f>
        <v/>
      </c>
      <c r="CZ118" s="301">
        <f>IF('Economic Assumptions'!$B15+'Project Assumptions'!$D$15+'Project Assumptions'!$D$16='Detailed Cashflows'!CZ$5,'Economic Assumptions'!$C15,0)+CY118</f>
        <v/>
      </c>
      <c r="DA118" s="301">
        <f>IF('Economic Assumptions'!$B15+'Project Assumptions'!$D$15+'Project Assumptions'!$D$16='Detailed Cashflows'!DA$5,'Economic Assumptions'!$C15,0)+CZ118</f>
        <v/>
      </c>
      <c r="DB118" s="301">
        <f>IF('Economic Assumptions'!$B15+'Project Assumptions'!$D$15+'Project Assumptions'!$D$16='Detailed Cashflows'!DB$5,'Economic Assumptions'!$C15,0)+DA118</f>
        <v/>
      </c>
      <c r="DC118" s="301" t="n"/>
      <c r="DD118" s="299">
        <f>MAX(F118:DB118)</f>
        <v/>
      </c>
    </row>
    <row r="119" hidden="1" outlineLevel="1">
      <c r="A119" s="1000" t="n"/>
      <c r="B119" s="315" t="inlineStr">
        <is>
          <t>Lease #7</t>
        </is>
      </c>
      <c r="C119" s="294" t="n"/>
      <c r="D119" s="299">
        <f>DD119</f>
        <v/>
      </c>
      <c r="E119" s="300" t="n"/>
      <c r="F119" s="301" t="n"/>
      <c r="G119" s="301">
        <f>IF('Economic Assumptions'!$B16+'Project Assumptions'!$D$15+'Project Assumptions'!$D$16='Detailed Cashflows'!G$5,'Economic Assumptions'!$C16,0)</f>
        <v/>
      </c>
      <c r="H119" s="301">
        <f>IF('Economic Assumptions'!$B16+'Project Assumptions'!$D$15+'Project Assumptions'!$D$16='Detailed Cashflows'!H$5,'Economic Assumptions'!$C16,0)+G119</f>
        <v/>
      </c>
      <c r="I119" s="301">
        <f>IF('Economic Assumptions'!$B16+'Project Assumptions'!$D$15+'Project Assumptions'!$D$16='Detailed Cashflows'!I$5,'Economic Assumptions'!$C16,0)+H119</f>
        <v/>
      </c>
      <c r="J119" s="301">
        <f>IF('Economic Assumptions'!$B16+'Project Assumptions'!$D$15+'Project Assumptions'!$D$16='Detailed Cashflows'!J$5,'Economic Assumptions'!$C16,0)+I119</f>
        <v/>
      </c>
      <c r="K119" s="301">
        <f>IF('Economic Assumptions'!$B16+'Project Assumptions'!$D$15+'Project Assumptions'!$D$16='Detailed Cashflows'!K$5,'Economic Assumptions'!$C16,0)+J119</f>
        <v/>
      </c>
      <c r="L119" s="301">
        <f>IF('Economic Assumptions'!$B16+'Project Assumptions'!$D$15+'Project Assumptions'!$D$16='Detailed Cashflows'!L$5,'Economic Assumptions'!$C16,0)+K119</f>
        <v/>
      </c>
      <c r="M119" s="301">
        <f>IF('Economic Assumptions'!$B16+'Project Assumptions'!$D$15+'Project Assumptions'!$D$16='Detailed Cashflows'!M$5,'Economic Assumptions'!$C16,0)+L119</f>
        <v/>
      </c>
      <c r="N119" s="301">
        <f>IF('Economic Assumptions'!$B16+'Project Assumptions'!$D$15+'Project Assumptions'!$D$16='Detailed Cashflows'!N$5,'Economic Assumptions'!$C16,0)+M119</f>
        <v/>
      </c>
      <c r="O119" s="301">
        <f>IF('Economic Assumptions'!$B16+'Project Assumptions'!$D$15+'Project Assumptions'!$D$16='Detailed Cashflows'!O$5,'Economic Assumptions'!$C16,0)+N119</f>
        <v/>
      </c>
      <c r="P119" s="301">
        <f>IF('Economic Assumptions'!$B16+'Project Assumptions'!$D$15+'Project Assumptions'!$D$16='Detailed Cashflows'!P$5,'Economic Assumptions'!$C16,0)+O119</f>
        <v/>
      </c>
      <c r="Q119" s="301">
        <f>IF('Economic Assumptions'!$B16+'Project Assumptions'!$D$15+'Project Assumptions'!$D$16='Detailed Cashflows'!Q$5,'Economic Assumptions'!$C16,0)+P119</f>
        <v/>
      </c>
      <c r="R119" s="301">
        <f>IF('Economic Assumptions'!$B16+'Project Assumptions'!$D$15+'Project Assumptions'!$D$16='Detailed Cashflows'!R$5,'Economic Assumptions'!$C16,0)+Q119</f>
        <v/>
      </c>
      <c r="S119" s="301">
        <f>IF('Economic Assumptions'!$B16+'Project Assumptions'!$D$15+'Project Assumptions'!$D$16='Detailed Cashflows'!S$5,'Economic Assumptions'!$C16,0)+R119</f>
        <v/>
      </c>
      <c r="T119" s="301">
        <f>IF('Economic Assumptions'!$B16+'Project Assumptions'!$D$15+'Project Assumptions'!$D$16='Detailed Cashflows'!T$5,'Economic Assumptions'!$C16,0)+S119</f>
        <v/>
      </c>
      <c r="U119" s="301">
        <f>IF('Economic Assumptions'!$B16+'Project Assumptions'!$D$15+'Project Assumptions'!$D$16='Detailed Cashflows'!U$5,'Economic Assumptions'!$C16,0)+T119</f>
        <v/>
      </c>
      <c r="V119" s="301">
        <f>IF('Economic Assumptions'!$B16+'Project Assumptions'!$D$15+'Project Assumptions'!$D$16='Detailed Cashflows'!V$5,'Economic Assumptions'!$C16,0)+U119</f>
        <v/>
      </c>
      <c r="W119" s="301">
        <f>IF('Economic Assumptions'!$B16+'Project Assumptions'!$D$15+'Project Assumptions'!$D$16='Detailed Cashflows'!W$5,'Economic Assumptions'!$C16,0)+V119</f>
        <v/>
      </c>
      <c r="X119" s="301">
        <f>IF('Economic Assumptions'!$B16+'Project Assumptions'!$D$15+'Project Assumptions'!$D$16='Detailed Cashflows'!X$5,'Economic Assumptions'!$C16,0)+W119</f>
        <v/>
      </c>
      <c r="Y119" s="301">
        <f>IF('Economic Assumptions'!$B16+'Project Assumptions'!$D$15+'Project Assumptions'!$D$16='Detailed Cashflows'!Y$5,'Economic Assumptions'!$C16,0)+X119</f>
        <v/>
      </c>
      <c r="Z119" s="301">
        <f>IF('Economic Assumptions'!$B16+'Project Assumptions'!$D$15+'Project Assumptions'!$D$16='Detailed Cashflows'!Z$5,'Economic Assumptions'!$C16,0)+Y119</f>
        <v/>
      </c>
      <c r="AA119" s="301">
        <f>IF('Economic Assumptions'!$B16+'Project Assumptions'!$D$15+'Project Assumptions'!$D$16='Detailed Cashflows'!AA$5,'Economic Assumptions'!$C16,0)+Z119</f>
        <v/>
      </c>
      <c r="AB119" s="301">
        <f>IF('Economic Assumptions'!$B16+'Project Assumptions'!$D$15+'Project Assumptions'!$D$16='Detailed Cashflows'!AB$5,'Economic Assumptions'!$C16,0)+AA119</f>
        <v/>
      </c>
      <c r="AC119" s="301">
        <f>IF('Economic Assumptions'!$B16+'Project Assumptions'!$D$15+'Project Assumptions'!$D$16='Detailed Cashflows'!AC$5,'Economic Assumptions'!$C16,0)+AB119</f>
        <v/>
      </c>
      <c r="AD119" s="301">
        <f>IF('Economic Assumptions'!$B16+'Project Assumptions'!$D$15+'Project Assumptions'!$D$16='Detailed Cashflows'!AD$5,'Economic Assumptions'!$C16,0)+AC119</f>
        <v/>
      </c>
      <c r="AE119" s="301">
        <f>IF('Economic Assumptions'!$B16+'Project Assumptions'!$D$15+'Project Assumptions'!$D$16='Detailed Cashflows'!AE$5,'Economic Assumptions'!$C16,0)+AD119</f>
        <v/>
      </c>
      <c r="AF119" s="301">
        <f>IF('Economic Assumptions'!$B16+'Project Assumptions'!$D$15+'Project Assumptions'!$D$16='Detailed Cashflows'!AF$5,'Economic Assumptions'!$C16,0)+AE119</f>
        <v/>
      </c>
      <c r="AG119" s="301">
        <f>IF('Economic Assumptions'!$B16+'Project Assumptions'!$D$15+'Project Assumptions'!$D$16='Detailed Cashflows'!AG$5,'Economic Assumptions'!$C16,0)+AF119</f>
        <v/>
      </c>
      <c r="AH119" s="301">
        <f>IF('Economic Assumptions'!$B16+'Project Assumptions'!$D$15+'Project Assumptions'!$D$16='Detailed Cashflows'!AH$5,'Economic Assumptions'!$C16,0)+AG119</f>
        <v/>
      </c>
      <c r="AI119" s="301">
        <f>IF('Economic Assumptions'!$B16+'Project Assumptions'!$D$15+'Project Assumptions'!$D$16='Detailed Cashflows'!AI$5,'Economic Assumptions'!$C16,0)+AH119</f>
        <v/>
      </c>
      <c r="AJ119" s="301">
        <f>IF('Economic Assumptions'!$B16+'Project Assumptions'!$D$15+'Project Assumptions'!$D$16='Detailed Cashflows'!AJ$5,'Economic Assumptions'!$C16,0)+AI119</f>
        <v/>
      </c>
      <c r="AK119" s="301">
        <f>IF('Economic Assumptions'!$B16+'Project Assumptions'!$D$15+'Project Assumptions'!$D$16='Detailed Cashflows'!AK$5,'Economic Assumptions'!$C16,0)+AJ119</f>
        <v/>
      </c>
      <c r="AL119" s="301">
        <f>IF('Economic Assumptions'!$B16+'Project Assumptions'!$D$15+'Project Assumptions'!$D$16='Detailed Cashflows'!AL$5,'Economic Assumptions'!$C16,0)+AK119</f>
        <v/>
      </c>
      <c r="AM119" s="301">
        <f>IF('Economic Assumptions'!$B16+'Project Assumptions'!$D$15+'Project Assumptions'!$D$16='Detailed Cashflows'!AM$5,'Economic Assumptions'!$C16,0)+AL119</f>
        <v/>
      </c>
      <c r="AN119" s="301">
        <f>IF('Economic Assumptions'!$B16+'Project Assumptions'!$D$15+'Project Assumptions'!$D$16='Detailed Cashflows'!AN$5,'Economic Assumptions'!$C16,0)+AM119</f>
        <v/>
      </c>
      <c r="AO119" s="301">
        <f>IF('Economic Assumptions'!$B16+'Project Assumptions'!$D$15+'Project Assumptions'!$D$16='Detailed Cashflows'!AO$5,'Economic Assumptions'!$C16,0)+AN119</f>
        <v/>
      </c>
      <c r="AP119" s="301">
        <f>IF('Economic Assumptions'!$B16+'Project Assumptions'!$D$15+'Project Assumptions'!$D$16='Detailed Cashflows'!AP$5,'Economic Assumptions'!$C16,0)+AO119</f>
        <v/>
      </c>
      <c r="AQ119" s="301">
        <f>IF('Economic Assumptions'!$B16+'Project Assumptions'!$D$15+'Project Assumptions'!$D$16='Detailed Cashflows'!AQ$5,'Economic Assumptions'!$C16,0)+AP119</f>
        <v/>
      </c>
      <c r="AR119" s="301">
        <f>IF('Economic Assumptions'!$B16+'Project Assumptions'!$D$15+'Project Assumptions'!$D$16='Detailed Cashflows'!AR$5,'Economic Assumptions'!$C16,0)+AQ119</f>
        <v/>
      </c>
      <c r="AS119" s="301">
        <f>IF('Economic Assumptions'!$B16+'Project Assumptions'!$D$15+'Project Assumptions'!$D$16='Detailed Cashflows'!AS$5,'Economic Assumptions'!$C16,0)+AR119</f>
        <v/>
      </c>
      <c r="AT119" s="301">
        <f>IF('Economic Assumptions'!$B16+'Project Assumptions'!$D$15+'Project Assumptions'!$D$16='Detailed Cashflows'!AT$5,'Economic Assumptions'!$C16,0)+AS119</f>
        <v/>
      </c>
      <c r="AU119" s="301">
        <f>IF('Economic Assumptions'!$B16+'Project Assumptions'!$D$15+'Project Assumptions'!$D$16='Detailed Cashflows'!AU$5,'Economic Assumptions'!$C16,0)+AT119</f>
        <v/>
      </c>
      <c r="AV119" s="301">
        <f>IF('Economic Assumptions'!$B16+'Project Assumptions'!$D$15+'Project Assumptions'!$D$16='Detailed Cashflows'!AV$5,'Economic Assumptions'!$C16,0)+AU119</f>
        <v/>
      </c>
      <c r="AW119" s="301">
        <f>IF('Economic Assumptions'!$B16+'Project Assumptions'!$D$15+'Project Assumptions'!$D$16='Detailed Cashflows'!AW$5,'Economic Assumptions'!$C16,0)+AV119</f>
        <v/>
      </c>
      <c r="AX119" s="301">
        <f>IF('Economic Assumptions'!$B16+'Project Assumptions'!$D$15+'Project Assumptions'!$D$16='Detailed Cashflows'!AX$5,'Economic Assumptions'!$C16,0)+AW119</f>
        <v/>
      </c>
      <c r="AY119" s="301">
        <f>IF('Economic Assumptions'!$B16+'Project Assumptions'!$D$15+'Project Assumptions'!$D$16='Detailed Cashflows'!AY$5,'Economic Assumptions'!$C16,0)+AX119</f>
        <v/>
      </c>
      <c r="AZ119" s="301">
        <f>IF('Economic Assumptions'!$B16+'Project Assumptions'!$D$15+'Project Assumptions'!$D$16='Detailed Cashflows'!AZ$5,'Economic Assumptions'!$C16,0)+AY119</f>
        <v/>
      </c>
      <c r="BA119" s="301">
        <f>IF('Economic Assumptions'!$B16+'Project Assumptions'!$D$15+'Project Assumptions'!$D$16='Detailed Cashflows'!BA$5,'Economic Assumptions'!$C16,0)+AZ119</f>
        <v/>
      </c>
      <c r="BB119" s="301">
        <f>IF('Economic Assumptions'!$B16+'Project Assumptions'!$D$15+'Project Assumptions'!$D$16='Detailed Cashflows'!BB$5,'Economic Assumptions'!$C16,0)+BA119</f>
        <v/>
      </c>
      <c r="BC119" s="301">
        <f>IF('Economic Assumptions'!$B16+'Project Assumptions'!$D$15+'Project Assumptions'!$D$16='Detailed Cashflows'!BC$5,'Economic Assumptions'!$C16,0)+BB119</f>
        <v/>
      </c>
      <c r="BD119" s="301">
        <f>IF('Economic Assumptions'!$B16+'Project Assumptions'!$D$15+'Project Assumptions'!$D$16='Detailed Cashflows'!BD$5,'Economic Assumptions'!$C16,0)+BC119</f>
        <v/>
      </c>
      <c r="BE119" s="301">
        <f>IF('Economic Assumptions'!$B16+'Project Assumptions'!$D$15+'Project Assumptions'!$D$16='Detailed Cashflows'!BE$5,'Economic Assumptions'!$C16,0)+BD119</f>
        <v/>
      </c>
      <c r="BF119" s="301">
        <f>IF('Economic Assumptions'!$B16+'Project Assumptions'!$D$15+'Project Assumptions'!$D$16='Detailed Cashflows'!BF$5,'Economic Assumptions'!$C16,0)+BE119</f>
        <v/>
      </c>
      <c r="BG119" s="301">
        <f>IF('Economic Assumptions'!$B16+'Project Assumptions'!$D$15+'Project Assumptions'!$D$16='Detailed Cashflows'!BG$5,'Economic Assumptions'!$C16,0)+BF119</f>
        <v/>
      </c>
      <c r="BH119" s="301">
        <f>IF('Economic Assumptions'!$B16+'Project Assumptions'!$D$15+'Project Assumptions'!$D$16='Detailed Cashflows'!BH$5,'Economic Assumptions'!$C16,0)+BG119</f>
        <v/>
      </c>
      <c r="BI119" s="301">
        <f>IF('Economic Assumptions'!$B16+'Project Assumptions'!$D$15+'Project Assumptions'!$D$16='Detailed Cashflows'!BI$5,'Economic Assumptions'!$C16,0)+BH119</f>
        <v/>
      </c>
      <c r="BJ119" s="301">
        <f>IF('Economic Assumptions'!$B16+'Project Assumptions'!$D$15+'Project Assumptions'!$D$16='Detailed Cashflows'!BJ$5,'Economic Assumptions'!$C16,0)+BI119</f>
        <v/>
      </c>
      <c r="BK119" s="301">
        <f>IF('Economic Assumptions'!$B16+'Project Assumptions'!$D$15+'Project Assumptions'!$D$16='Detailed Cashflows'!BK$5,'Economic Assumptions'!$C16,0)+BJ119</f>
        <v/>
      </c>
      <c r="BL119" s="301">
        <f>IF('Economic Assumptions'!$B16+'Project Assumptions'!$D$15+'Project Assumptions'!$D$16='Detailed Cashflows'!BL$5,'Economic Assumptions'!$C16,0)+BK119</f>
        <v/>
      </c>
      <c r="BM119" s="301">
        <f>IF('Economic Assumptions'!$B16+'Project Assumptions'!$D$15+'Project Assumptions'!$D$16='Detailed Cashflows'!BM$5,'Economic Assumptions'!$C16,0)+BL119</f>
        <v/>
      </c>
      <c r="BN119" s="301">
        <f>IF('Economic Assumptions'!$B16+'Project Assumptions'!$D$15+'Project Assumptions'!$D$16='Detailed Cashflows'!BN$5,'Economic Assumptions'!$C16,0)+BM119</f>
        <v/>
      </c>
      <c r="BO119" s="301">
        <f>IF('Economic Assumptions'!$B16+'Project Assumptions'!$D$15+'Project Assumptions'!$D$16='Detailed Cashflows'!BO$5,'Economic Assumptions'!$C16,0)+BN119</f>
        <v/>
      </c>
      <c r="BP119" s="301">
        <f>IF('Economic Assumptions'!$B16+'Project Assumptions'!$D$15+'Project Assumptions'!$D$16='Detailed Cashflows'!BP$5,'Economic Assumptions'!$C16,0)+BO119</f>
        <v/>
      </c>
      <c r="BQ119" s="301">
        <f>IF('Economic Assumptions'!$B16+'Project Assumptions'!$D$15+'Project Assumptions'!$D$16='Detailed Cashflows'!BQ$5,'Economic Assumptions'!$C16,0)+BP119</f>
        <v/>
      </c>
      <c r="BR119" s="301">
        <f>IF('Economic Assumptions'!$B16+'Project Assumptions'!$D$15+'Project Assumptions'!$D$16='Detailed Cashflows'!BR$5,'Economic Assumptions'!$C16,0)+BQ119</f>
        <v/>
      </c>
      <c r="BS119" s="301">
        <f>IF('Economic Assumptions'!$B16+'Project Assumptions'!$D$15+'Project Assumptions'!$D$16='Detailed Cashflows'!BS$5,'Economic Assumptions'!$C16,0)+BR119</f>
        <v/>
      </c>
      <c r="BT119" s="301">
        <f>IF('Economic Assumptions'!$B16+'Project Assumptions'!$D$15+'Project Assumptions'!$D$16='Detailed Cashflows'!BT$5,'Economic Assumptions'!$C16,0)+BS119</f>
        <v/>
      </c>
      <c r="BU119" s="301">
        <f>IF('Economic Assumptions'!$B16+'Project Assumptions'!$D$15+'Project Assumptions'!$D$16='Detailed Cashflows'!BU$5,'Economic Assumptions'!$C16,0)+BT119</f>
        <v/>
      </c>
      <c r="BV119" s="301">
        <f>IF('Economic Assumptions'!$B16+'Project Assumptions'!$D$15+'Project Assumptions'!$D$16='Detailed Cashflows'!BV$5,'Economic Assumptions'!$C16,0)+BU119</f>
        <v/>
      </c>
      <c r="BW119" s="301">
        <f>IF('Economic Assumptions'!$B16+'Project Assumptions'!$D$15+'Project Assumptions'!$D$16='Detailed Cashflows'!BW$5,'Economic Assumptions'!$C16,0)+BV119</f>
        <v/>
      </c>
      <c r="BX119" s="301">
        <f>IF('Economic Assumptions'!$B16+'Project Assumptions'!$D$15+'Project Assumptions'!$D$16='Detailed Cashflows'!BX$5,'Economic Assumptions'!$C16,0)+BW119</f>
        <v/>
      </c>
      <c r="BY119" s="301">
        <f>IF('Economic Assumptions'!$B16+'Project Assumptions'!$D$15+'Project Assumptions'!$D$16='Detailed Cashflows'!BY$5,'Economic Assumptions'!$C16,0)+BX119</f>
        <v/>
      </c>
      <c r="BZ119" s="301">
        <f>IF('Economic Assumptions'!$B16+'Project Assumptions'!$D$15+'Project Assumptions'!$D$16='Detailed Cashflows'!BZ$5,'Economic Assumptions'!$C16,0)+BY119</f>
        <v/>
      </c>
      <c r="CA119" s="301">
        <f>IF('Economic Assumptions'!$B16+'Project Assumptions'!$D$15+'Project Assumptions'!$D$16='Detailed Cashflows'!CA$5,'Economic Assumptions'!$C16,0)+BZ119</f>
        <v/>
      </c>
      <c r="CB119" s="301">
        <f>IF('Economic Assumptions'!$B16+'Project Assumptions'!$D$15+'Project Assumptions'!$D$16='Detailed Cashflows'!CB$5,'Economic Assumptions'!$C16,0)+CA119</f>
        <v/>
      </c>
      <c r="CC119" s="301">
        <f>IF('Economic Assumptions'!$B16+'Project Assumptions'!$D$15+'Project Assumptions'!$D$16='Detailed Cashflows'!CC$5,'Economic Assumptions'!$C16,0)+CB119</f>
        <v/>
      </c>
      <c r="CD119" s="301">
        <f>IF('Economic Assumptions'!$B16+'Project Assumptions'!$D$15+'Project Assumptions'!$D$16='Detailed Cashflows'!CD$5,'Economic Assumptions'!$C16,0)+CC119</f>
        <v/>
      </c>
      <c r="CE119" s="301">
        <f>IF('Economic Assumptions'!$B16+'Project Assumptions'!$D$15+'Project Assumptions'!$D$16='Detailed Cashflows'!CE$5,'Economic Assumptions'!$C16,0)+CD119</f>
        <v/>
      </c>
      <c r="CF119" s="301">
        <f>IF('Economic Assumptions'!$B16+'Project Assumptions'!$D$15+'Project Assumptions'!$D$16='Detailed Cashflows'!CF$5,'Economic Assumptions'!$C16,0)+CE119</f>
        <v/>
      </c>
      <c r="CG119" s="301">
        <f>IF('Economic Assumptions'!$B16+'Project Assumptions'!$D$15+'Project Assumptions'!$D$16='Detailed Cashflows'!CG$5,'Economic Assumptions'!$C16,0)+CF119</f>
        <v/>
      </c>
      <c r="CH119" s="301">
        <f>IF('Economic Assumptions'!$B16+'Project Assumptions'!$D$15+'Project Assumptions'!$D$16='Detailed Cashflows'!CH$5,'Economic Assumptions'!$C16,0)+CG119</f>
        <v/>
      </c>
      <c r="CI119" s="301">
        <f>IF('Economic Assumptions'!$B16+'Project Assumptions'!$D$15+'Project Assumptions'!$D$16='Detailed Cashflows'!CI$5,'Economic Assumptions'!$C16,0)+CH119</f>
        <v/>
      </c>
      <c r="CJ119" s="301">
        <f>IF('Economic Assumptions'!$B16+'Project Assumptions'!$D$15+'Project Assumptions'!$D$16='Detailed Cashflows'!CJ$5,'Economic Assumptions'!$C16,0)+CI119</f>
        <v/>
      </c>
      <c r="CK119" s="301">
        <f>IF('Economic Assumptions'!$B16+'Project Assumptions'!$D$15+'Project Assumptions'!$D$16='Detailed Cashflows'!CK$5,'Economic Assumptions'!$C16,0)+CJ119</f>
        <v/>
      </c>
      <c r="CL119" s="301">
        <f>IF('Economic Assumptions'!$B16+'Project Assumptions'!$D$15+'Project Assumptions'!$D$16='Detailed Cashflows'!CL$5,'Economic Assumptions'!$C16,0)+CK119</f>
        <v/>
      </c>
      <c r="CM119" s="301">
        <f>IF('Economic Assumptions'!$B16+'Project Assumptions'!$D$15+'Project Assumptions'!$D$16='Detailed Cashflows'!CM$5,'Economic Assumptions'!$C16,0)+CL119</f>
        <v/>
      </c>
      <c r="CN119" s="301">
        <f>IF('Economic Assumptions'!$B16+'Project Assumptions'!$D$15+'Project Assumptions'!$D$16='Detailed Cashflows'!CN$5,'Economic Assumptions'!$C16,0)+CM119</f>
        <v/>
      </c>
      <c r="CO119" s="301">
        <f>IF('Economic Assumptions'!$B16+'Project Assumptions'!$D$15+'Project Assumptions'!$D$16='Detailed Cashflows'!CO$5,'Economic Assumptions'!$C16,0)+CN119</f>
        <v/>
      </c>
      <c r="CP119" s="301">
        <f>IF('Economic Assumptions'!$B16+'Project Assumptions'!$D$15+'Project Assumptions'!$D$16='Detailed Cashflows'!CP$5,'Economic Assumptions'!$C16,0)+CO119</f>
        <v/>
      </c>
      <c r="CQ119" s="301">
        <f>IF('Economic Assumptions'!$B16+'Project Assumptions'!$D$15+'Project Assumptions'!$D$16='Detailed Cashflows'!CQ$5,'Economic Assumptions'!$C16,0)+CP119</f>
        <v/>
      </c>
      <c r="CR119" s="301">
        <f>IF('Economic Assumptions'!$B16+'Project Assumptions'!$D$15+'Project Assumptions'!$D$16='Detailed Cashflows'!CR$5,'Economic Assumptions'!$C16,0)+CQ119</f>
        <v/>
      </c>
      <c r="CS119" s="301">
        <f>IF('Economic Assumptions'!$B16+'Project Assumptions'!$D$15+'Project Assumptions'!$D$16='Detailed Cashflows'!CS$5,'Economic Assumptions'!$C16,0)+CR119</f>
        <v/>
      </c>
      <c r="CT119" s="301">
        <f>IF('Economic Assumptions'!$B16+'Project Assumptions'!$D$15+'Project Assumptions'!$D$16='Detailed Cashflows'!CT$5,'Economic Assumptions'!$C16,0)+CS119</f>
        <v/>
      </c>
      <c r="CU119" s="301">
        <f>IF('Economic Assumptions'!$B16+'Project Assumptions'!$D$15+'Project Assumptions'!$D$16='Detailed Cashflows'!CU$5,'Economic Assumptions'!$C16,0)+CT119</f>
        <v/>
      </c>
      <c r="CV119" s="301">
        <f>IF('Economic Assumptions'!$B16+'Project Assumptions'!$D$15+'Project Assumptions'!$D$16='Detailed Cashflows'!CV$5,'Economic Assumptions'!$C16,0)+CU119</f>
        <v/>
      </c>
      <c r="CW119" s="301">
        <f>IF('Economic Assumptions'!$B16+'Project Assumptions'!$D$15+'Project Assumptions'!$D$16='Detailed Cashflows'!CW$5,'Economic Assumptions'!$C16,0)+CV119</f>
        <v/>
      </c>
      <c r="CX119" s="301">
        <f>IF('Economic Assumptions'!$B16+'Project Assumptions'!$D$15+'Project Assumptions'!$D$16='Detailed Cashflows'!CX$5,'Economic Assumptions'!$C16,0)+CW119</f>
        <v/>
      </c>
      <c r="CY119" s="301">
        <f>IF('Economic Assumptions'!$B16+'Project Assumptions'!$D$15+'Project Assumptions'!$D$16='Detailed Cashflows'!CY$5,'Economic Assumptions'!$C16,0)+CX119</f>
        <v/>
      </c>
      <c r="CZ119" s="301">
        <f>IF('Economic Assumptions'!$B16+'Project Assumptions'!$D$15+'Project Assumptions'!$D$16='Detailed Cashflows'!CZ$5,'Economic Assumptions'!$C16,0)+CY119</f>
        <v/>
      </c>
      <c r="DA119" s="301">
        <f>IF('Economic Assumptions'!$B16+'Project Assumptions'!$D$15+'Project Assumptions'!$D$16='Detailed Cashflows'!DA$5,'Economic Assumptions'!$C16,0)+CZ119</f>
        <v/>
      </c>
      <c r="DB119" s="301">
        <f>IF('Economic Assumptions'!$B16+'Project Assumptions'!$D$15+'Project Assumptions'!$D$16='Detailed Cashflows'!DB$5,'Economic Assumptions'!$C16,0)+DA119</f>
        <v/>
      </c>
      <c r="DC119" s="301" t="n"/>
      <c r="DD119" s="299">
        <f>MAX(F119:DB119)</f>
        <v/>
      </c>
    </row>
    <row r="120" hidden="1" outlineLevel="1">
      <c r="A120" s="1000" t="n"/>
      <c r="B120" s="315" t="inlineStr">
        <is>
          <t>Lease #8</t>
        </is>
      </c>
      <c r="C120" s="294" t="n"/>
      <c r="D120" s="299">
        <f>DD120</f>
        <v/>
      </c>
      <c r="E120" s="300" t="n"/>
      <c r="F120" s="301" t="n"/>
      <c r="G120" s="301">
        <f>IF('Economic Assumptions'!$B17+'Project Assumptions'!$D$15+'Project Assumptions'!$D$16='Detailed Cashflows'!G$5,'Economic Assumptions'!$C17,0)</f>
        <v/>
      </c>
      <c r="H120" s="301">
        <f>IF('Economic Assumptions'!$B17+'Project Assumptions'!$D$15+'Project Assumptions'!$D$16='Detailed Cashflows'!H$5,'Economic Assumptions'!$C17,0)+G120</f>
        <v/>
      </c>
      <c r="I120" s="301">
        <f>IF('Economic Assumptions'!$B17+'Project Assumptions'!$D$15+'Project Assumptions'!$D$16='Detailed Cashflows'!I$5,'Economic Assumptions'!$C17,0)+H120</f>
        <v/>
      </c>
      <c r="J120" s="301">
        <f>IF('Economic Assumptions'!$B17+'Project Assumptions'!$D$15+'Project Assumptions'!$D$16='Detailed Cashflows'!J$5,'Economic Assumptions'!$C17,0)+I120</f>
        <v/>
      </c>
      <c r="K120" s="301">
        <f>IF('Economic Assumptions'!$B17+'Project Assumptions'!$D$15+'Project Assumptions'!$D$16='Detailed Cashflows'!K$5,'Economic Assumptions'!$C17,0)+J120</f>
        <v/>
      </c>
      <c r="L120" s="301">
        <f>IF('Economic Assumptions'!$B17+'Project Assumptions'!$D$15+'Project Assumptions'!$D$16='Detailed Cashflows'!L$5,'Economic Assumptions'!$C17,0)+K120</f>
        <v/>
      </c>
      <c r="M120" s="301">
        <f>IF('Economic Assumptions'!$B17+'Project Assumptions'!$D$15+'Project Assumptions'!$D$16='Detailed Cashflows'!M$5,'Economic Assumptions'!$C17,0)+L120</f>
        <v/>
      </c>
      <c r="N120" s="301">
        <f>IF('Economic Assumptions'!$B17+'Project Assumptions'!$D$15+'Project Assumptions'!$D$16='Detailed Cashflows'!N$5,'Economic Assumptions'!$C17,0)+M120</f>
        <v/>
      </c>
      <c r="O120" s="301">
        <f>IF('Economic Assumptions'!$B17+'Project Assumptions'!$D$15+'Project Assumptions'!$D$16='Detailed Cashflows'!O$5,'Economic Assumptions'!$C17,0)+N120</f>
        <v/>
      </c>
      <c r="P120" s="301">
        <f>IF('Economic Assumptions'!$B17+'Project Assumptions'!$D$15+'Project Assumptions'!$D$16='Detailed Cashflows'!P$5,'Economic Assumptions'!$C17,0)+O120</f>
        <v/>
      </c>
      <c r="Q120" s="301">
        <f>IF('Economic Assumptions'!$B17+'Project Assumptions'!$D$15+'Project Assumptions'!$D$16='Detailed Cashflows'!Q$5,'Economic Assumptions'!$C17,0)+P120</f>
        <v/>
      </c>
      <c r="R120" s="301">
        <f>IF('Economic Assumptions'!$B17+'Project Assumptions'!$D$15+'Project Assumptions'!$D$16='Detailed Cashflows'!R$5,'Economic Assumptions'!$C17,0)+Q120</f>
        <v/>
      </c>
      <c r="S120" s="301">
        <f>IF('Economic Assumptions'!$B17+'Project Assumptions'!$D$15+'Project Assumptions'!$D$16='Detailed Cashflows'!S$5,'Economic Assumptions'!$C17,0)+R120</f>
        <v/>
      </c>
      <c r="T120" s="301">
        <f>IF('Economic Assumptions'!$B17+'Project Assumptions'!$D$15+'Project Assumptions'!$D$16='Detailed Cashflows'!T$5,'Economic Assumptions'!$C17,0)+S120</f>
        <v/>
      </c>
      <c r="U120" s="301">
        <f>IF('Economic Assumptions'!$B17+'Project Assumptions'!$D$15+'Project Assumptions'!$D$16='Detailed Cashflows'!U$5,'Economic Assumptions'!$C17,0)+T120</f>
        <v/>
      </c>
      <c r="V120" s="301">
        <f>IF('Economic Assumptions'!$B17+'Project Assumptions'!$D$15+'Project Assumptions'!$D$16='Detailed Cashflows'!V$5,'Economic Assumptions'!$C17,0)+U120</f>
        <v/>
      </c>
      <c r="W120" s="301">
        <f>IF('Economic Assumptions'!$B17+'Project Assumptions'!$D$15+'Project Assumptions'!$D$16='Detailed Cashflows'!W$5,'Economic Assumptions'!$C17,0)+V120</f>
        <v/>
      </c>
      <c r="X120" s="301">
        <f>IF('Economic Assumptions'!$B17+'Project Assumptions'!$D$15+'Project Assumptions'!$D$16='Detailed Cashflows'!X$5,'Economic Assumptions'!$C17,0)+W120</f>
        <v/>
      </c>
      <c r="Y120" s="301">
        <f>IF('Economic Assumptions'!$B17+'Project Assumptions'!$D$15+'Project Assumptions'!$D$16='Detailed Cashflows'!Y$5,'Economic Assumptions'!$C17,0)+X120</f>
        <v/>
      </c>
      <c r="Z120" s="301">
        <f>IF('Economic Assumptions'!$B17+'Project Assumptions'!$D$15+'Project Assumptions'!$D$16='Detailed Cashflows'!Z$5,'Economic Assumptions'!$C17,0)+Y120</f>
        <v/>
      </c>
      <c r="AA120" s="301">
        <f>IF('Economic Assumptions'!$B17+'Project Assumptions'!$D$15+'Project Assumptions'!$D$16='Detailed Cashflows'!AA$5,'Economic Assumptions'!$C17,0)+Z120</f>
        <v/>
      </c>
      <c r="AB120" s="301">
        <f>IF('Economic Assumptions'!$B17+'Project Assumptions'!$D$15+'Project Assumptions'!$D$16='Detailed Cashflows'!AB$5,'Economic Assumptions'!$C17,0)+AA120</f>
        <v/>
      </c>
      <c r="AC120" s="301">
        <f>IF('Economic Assumptions'!$B17+'Project Assumptions'!$D$15+'Project Assumptions'!$D$16='Detailed Cashflows'!AC$5,'Economic Assumptions'!$C17,0)+AB120</f>
        <v/>
      </c>
      <c r="AD120" s="301">
        <f>IF('Economic Assumptions'!$B17+'Project Assumptions'!$D$15+'Project Assumptions'!$D$16='Detailed Cashflows'!AD$5,'Economic Assumptions'!$C17,0)+AC120</f>
        <v/>
      </c>
      <c r="AE120" s="301">
        <f>IF('Economic Assumptions'!$B17+'Project Assumptions'!$D$15+'Project Assumptions'!$D$16='Detailed Cashflows'!AE$5,'Economic Assumptions'!$C17,0)+AD120</f>
        <v/>
      </c>
      <c r="AF120" s="301">
        <f>IF('Economic Assumptions'!$B17+'Project Assumptions'!$D$15+'Project Assumptions'!$D$16='Detailed Cashflows'!AF$5,'Economic Assumptions'!$C17,0)+AE120</f>
        <v/>
      </c>
      <c r="AG120" s="301">
        <f>IF('Economic Assumptions'!$B17+'Project Assumptions'!$D$15+'Project Assumptions'!$D$16='Detailed Cashflows'!AG$5,'Economic Assumptions'!$C17,0)+AF120</f>
        <v/>
      </c>
      <c r="AH120" s="301">
        <f>IF('Economic Assumptions'!$B17+'Project Assumptions'!$D$15+'Project Assumptions'!$D$16='Detailed Cashflows'!AH$5,'Economic Assumptions'!$C17,0)+AG120</f>
        <v/>
      </c>
      <c r="AI120" s="301">
        <f>IF('Economic Assumptions'!$B17+'Project Assumptions'!$D$15+'Project Assumptions'!$D$16='Detailed Cashflows'!AI$5,'Economic Assumptions'!$C17,0)+AH120</f>
        <v/>
      </c>
      <c r="AJ120" s="301">
        <f>IF('Economic Assumptions'!$B17+'Project Assumptions'!$D$15+'Project Assumptions'!$D$16='Detailed Cashflows'!AJ$5,'Economic Assumptions'!$C17,0)+AI120</f>
        <v/>
      </c>
      <c r="AK120" s="301">
        <f>IF('Economic Assumptions'!$B17+'Project Assumptions'!$D$15+'Project Assumptions'!$D$16='Detailed Cashflows'!AK$5,'Economic Assumptions'!$C17,0)+AJ120</f>
        <v/>
      </c>
      <c r="AL120" s="301">
        <f>IF('Economic Assumptions'!$B17+'Project Assumptions'!$D$15+'Project Assumptions'!$D$16='Detailed Cashflows'!AL$5,'Economic Assumptions'!$C17,0)+AK120</f>
        <v/>
      </c>
      <c r="AM120" s="301">
        <f>IF('Economic Assumptions'!$B17+'Project Assumptions'!$D$15+'Project Assumptions'!$D$16='Detailed Cashflows'!AM$5,'Economic Assumptions'!$C17,0)+AL120</f>
        <v/>
      </c>
      <c r="AN120" s="301">
        <f>IF('Economic Assumptions'!$B17+'Project Assumptions'!$D$15+'Project Assumptions'!$D$16='Detailed Cashflows'!AN$5,'Economic Assumptions'!$C17,0)+AM120</f>
        <v/>
      </c>
      <c r="AO120" s="301">
        <f>IF('Economic Assumptions'!$B17+'Project Assumptions'!$D$15+'Project Assumptions'!$D$16='Detailed Cashflows'!AO$5,'Economic Assumptions'!$C17,0)+AN120</f>
        <v/>
      </c>
      <c r="AP120" s="301">
        <f>IF('Economic Assumptions'!$B17+'Project Assumptions'!$D$15+'Project Assumptions'!$D$16='Detailed Cashflows'!AP$5,'Economic Assumptions'!$C17,0)+AO120</f>
        <v/>
      </c>
      <c r="AQ120" s="301">
        <f>IF('Economic Assumptions'!$B17+'Project Assumptions'!$D$15+'Project Assumptions'!$D$16='Detailed Cashflows'!AQ$5,'Economic Assumptions'!$C17,0)+AP120</f>
        <v/>
      </c>
      <c r="AR120" s="301">
        <f>IF('Economic Assumptions'!$B17+'Project Assumptions'!$D$15+'Project Assumptions'!$D$16='Detailed Cashflows'!AR$5,'Economic Assumptions'!$C17,0)+AQ120</f>
        <v/>
      </c>
      <c r="AS120" s="301">
        <f>IF('Economic Assumptions'!$B17+'Project Assumptions'!$D$15+'Project Assumptions'!$D$16='Detailed Cashflows'!AS$5,'Economic Assumptions'!$C17,0)+AR120</f>
        <v/>
      </c>
      <c r="AT120" s="301">
        <f>IF('Economic Assumptions'!$B17+'Project Assumptions'!$D$15+'Project Assumptions'!$D$16='Detailed Cashflows'!AT$5,'Economic Assumptions'!$C17,0)+AS120</f>
        <v/>
      </c>
      <c r="AU120" s="301">
        <f>IF('Economic Assumptions'!$B17+'Project Assumptions'!$D$15+'Project Assumptions'!$D$16='Detailed Cashflows'!AU$5,'Economic Assumptions'!$C17,0)+AT120</f>
        <v/>
      </c>
      <c r="AV120" s="301">
        <f>IF('Economic Assumptions'!$B17+'Project Assumptions'!$D$15+'Project Assumptions'!$D$16='Detailed Cashflows'!AV$5,'Economic Assumptions'!$C17,0)+AU120</f>
        <v/>
      </c>
      <c r="AW120" s="301">
        <f>IF('Economic Assumptions'!$B17+'Project Assumptions'!$D$15+'Project Assumptions'!$D$16='Detailed Cashflows'!AW$5,'Economic Assumptions'!$C17,0)+AV120</f>
        <v/>
      </c>
      <c r="AX120" s="301">
        <f>IF('Economic Assumptions'!$B17+'Project Assumptions'!$D$15+'Project Assumptions'!$D$16='Detailed Cashflows'!AX$5,'Economic Assumptions'!$C17,0)+AW120</f>
        <v/>
      </c>
      <c r="AY120" s="301">
        <f>IF('Economic Assumptions'!$B17+'Project Assumptions'!$D$15+'Project Assumptions'!$D$16='Detailed Cashflows'!AY$5,'Economic Assumptions'!$C17,0)+AX120</f>
        <v/>
      </c>
      <c r="AZ120" s="301">
        <f>IF('Economic Assumptions'!$B17+'Project Assumptions'!$D$15+'Project Assumptions'!$D$16='Detailed Cashflows'!AZ$5,'Economic Assumptions'!$C17,0)+AY120</f>
        <v/>
      </c>
      <c r="BA120" s="301">
        <f>IF('Economic Assumptions'!$B17+'Project Assumptions'!$D$15+'Project Assumptions'!$D$16='Detailed Cashflows'!BA$5,'Economic Assumptions'!$C17,0)+AZ120</f>
        <v/>
      </c>
      <c r="BB120" s="301">
        <f>IF('Economic Assumptions'!$B17+'Project Assumptions'!$D$15+'Project Assumptions'!$D$16='Detailed Cashflows'!BB$5,'Economic Assumptions'!$C17,0)+BA120</f>
        <v/>
      </c>
      <c r="BC120" s="301">
        <f>IF('Economic Assumptions'!$B17+'Project Assumptions'!$D$15+'Project Assumptions'!$D$16='Detailed Cashflows'!BC$5,'Economic Assumptions'!$C17,0)+BB120</f>
        <v/>
      </c>
      <c r="BD120" s="301">
        <f>IF('Economic Assumptions'!$B17+'Project Assumptions'!$D$15+'Project Assumptions'!$D$16='Detailed Cashflows'!BD$5,'Economic Assumptions'!$C17,0)+BC120</f>
        <v/>
      </c>
      <c r="BE120" s="301">
        <f>IF('Economic Assumptions'!$B17+'Project Assumptions'!$D$15+'Project Assumptions'!$D$16='Detailed Cashflows'!BE$5,'Economic Assumptions'!$C17,0)+BD120</f>
        <v/>
      </c>
      <c r="BF120" s="301">
        <f>IF('Economic Assumptions'!$B17+'Project Assumptions'!$D$15+'Project Assumptions'!$D$16='Detailed Cashflows'!BF$5,'Economic Assumptions'!$C17,0)+BE120</f>
        <v/>
      </c>
      <c r="BG120" s="301">
        <f>IF('Economic Assumptions'!$B17+'Project Assumptions'!$D$15+'Project Assumptions'!$D$16='Detailed Cashflows'!BG$5,'Economic Assumptions'!$C17,0)+BF120</f>
        <v/>
      </c>
      <c r="BH120" s="301">
        <f>IF('Economic Assumptions'!$B17+'Project Assumptions'!$D$15+'Project Assumptions'!$D$16='Detailed Cashflows'!BH$5,'Economic Assumptions'!$C17,0)+BG120</f>
        <v/>
      </c>
      <c r="BI120" s="301">
        <f>IF('Economic Assumptions'!$B17+'Project Assumptions'!$D$15+'Project Assumptions'!$D$16='Detailed Cashflows'!BI$5,'Economic Assumptions'!$C17,0)+BH120</f>
        <v/>
      </c>
      <c r="BJ120" s="301">
        <f>IF('Economic Assumptions'!$B17+'Project Assumptions'!$D$15+'Project Assumptions'!$D$16='Detailed Cashflows'!BJ$5,'Economic Assumptions'!$C17,0)+BI120</f>
        <v/>
      </c>
      <c r="BK120" s="301">
        <f>IF('Economic Assumptions'!$B17+'Project Assumptions'!$D$15+'Project Assumptions'!$D$16='Detailed Cashflows'!BK$5,'Economic Assumptions'!$C17,0)+BJ120</f>
        <v/>
      </c>
      <c r="BL120" s="301">
        <f>IF('Economic Assumptions'!$B17+'Project Assumptions'!$D$15+'Project Assumptions'!$D$16='Detailed Cashflows'!BL$5,'Economic Assumptions'!$C17,0)+BK120</f>
        <v/>
      </c>
      <c r="BM120" s="301">
        <f>IF('Economic Assumptions'!$B17+'Project Assumptions'!$D$15+'Project Assumptions'!$D$16='Detailed Cashflows'!BM$5,'Economic Assumptions'!$C17,0)+BL120</f>
        <v/>
      </c>
      <c r="BN120" s="301">
        <f>IF('Economic Assumptions'!$B17+'Project Assumptions'!$D$15+'Project Assumptions'!$D$16='Detailed Cashflows'!BN$5,'Economic Assumptions'!$C17,0)+BM120</f>
        <v/>
      </c>
      <c r="BO120" s="301">
        <f>IF('Economic Assumptions'!$B17+'Project Assumptions'!$D$15+'Project Assumptions'!$D$16='Detailed Cashflows'!BO$5,'Economic Assumptions'!$C17,0)+BN120</f>
        <v/>
      </c>
      <c r="BP120" s="301">
        <f>IF('Economic Assumptions'!$B17+'Project Assumptions'!$D$15+'Project Assumptions'!$D$16='Detailed Cashflows'!BP$5,'Economic Assumptions'!$C17,0)+BO120</f>
        <v/>
      </c>
      <c r="BQ120" s="301">
        <f>IF('Economic Assumptions'!$B17+'Project Assumptions'!$D$15+'Project Assumptions'!$D$16='Detailed Cashflows'!BQ$5,'Economic Assumptions'!$C17,0)+BP120</f>
        <v/>
      </c>
      <c r="BR120" s="301">
        <f>IF('Economic Assumptions'!$B17+'Project Assumptions'!$D$15+'Project Assumptions'!$D$16='Detailed Cashflows'!BR$5,'Economic Assumptions'!$C17,0)+BQ120</f>
        <v/>
      </c>
      <c r="BS120" s="301">
        <f>IF('Economic Assumptions'!$B17+'Project Assumptions'!$D$15+'Project Assumptions'!$D$16='Detailed Cashflows'!BS$5,'Economic Assumptions'!$C17,0)+BR120</f>
        <v/>
      </c>
      <c r="BT120" s="301">
        <f>IF('Economic Assumptions'!$B17+'Project Assumptions'!$D$15+'Project Assumptions'!$D$16='Detailed Cashflows'!BT$5,'Economic Assumptions'!$C17,0)+BS120</f>
        <v/>
      </c>
      <c r="BU120" s="301">
        <f>IF('Economic Assumptions'!$B17+'Project Assumptions'!$D$15+'Project Assumptions'!$D$16='Detailed Cashflows'!BU$5,'Economic Assumptions'!$C17,0)+BT120</f>
        <v/>
      </c>
      <c r="BV120" s="301">
        <f>IF('Economic Assumptions'!$B17+'Project Assumptions'!$D$15+'Project Assumptions'!$D$16='Detailed Cashflows'!BV$5,'Economic Assumptions'!$C17,0)+BU120</f>
        <v/>
      </c>
      <c r="BW120" s="301">
        <f>IF('Economic Assumptions'!$B17+'Project Assumptions'!$D$15+'Project Assumptions'!$D$16='Detailed Cashflows'!BW$5,'Economic Assumptions'!$C17,0)+BV120</f>
        <v/>
      </c>
      <c r="BX120" s="301">
        <f>IF('Economic Assumptions'!$B17+'Project Assumptions'!$D$15+'Project Assumptions'!$D$16='Detailed Cashflows'!BX$5,'Economic Assumptions'!$C17,0)+BW120</f>
        <v/>
      </c>
      <c r="BY120" s="301">
        <f>IF('Economic Assumptions'!$B17+'Project Assumptions'!$D$15+'Project Assumptions'!$D$16='Detailed Cashflows'!BY$5,'Economic Assumptions'!$C17,0)+BX120</f>
        <v/>
      </c>
      <c r="BZ120" s="301">
        <f>IF('Economic Assumptions'!$B17+'Project Assumptions'!$D$15+'Project Assumptions'!$D$16='Detailed Cashflows'!BZ$5,'Economic Assumptions'!$C17,0)+BY120</f>
        <v/>
      </c>
      <c r="CA120" s="301">
        <f>IF('Economic Assumptions'!$B17+'Project Assumptions'!$D$15+'Project Assumptions'!$D$16='Detailed Cashflows'!CA$5,'Economic Assumptions'!$C17,0)+BZ120</f>
        <v/>
      </c>
      <c r="CB120" s="301">
        <f>IF('Economic Assumptions'!$B17+'Project Assumptions'!$D$15+'Project Assumptions'!$D$16='Detailed Cashflows'!CB$5,'Economic Assumptions'!$C17,0)+CA120</f>
        <v/>
      </c>
      <c r="CC120" s="301">
        <f>IF('Economic Assumptions'!$B17+'Project Assumptions'!$D$15+'Project Assumptions'!$D$16='Detailed Cashflows'!CC$5,'Economic Assumptions'!$C17,0)+CB120</f>
        <v/>
      </c>
      <c r="CD120" s="301">
        <f>IF('Economic Assumptions'!$B17+'Project Assumptions'!$D$15+'Project Assumptions'!$D$16='Detailed Cashflows'!CD$5,'Economic Assumptions'!$C17,0)+CC120</f>
        <v/>
      </c>
      <c r="CE120" s="301">
        <f>IF('Economic Assumptions'!$B17+'Project Assumptions'!$D$15+'Project Assumptions'!$D$16='Detailed Cashflows'!CE$5,'Economic Assumptions'!$C17,0)+CD120</f>
        <v/>
      </c>
      <c r="CF120" s="301">
        <f>IF('Economic Assumptions'!$B17+'Project Assumptions'!$D$15+'Project Assumptions'!$D$16='Detailed Cashflows'!CF$5,'Economic Assumptions'!$C17,0)+CE120</f>
        <v/>
      </c>
      <c r="CG120" s="301">
        <f>IF('Economic Assumptions'!$B17+'Project Assumptions'!$D$15+'Project Assumptions'!$D$16='Detailed Cashflows'!CG$5,'Economic Assumptions'!$C17,0)+CF120</f>
        <v/>
      </c>
      <c r="CH120" s="301">
        <f>IF('Economic Assumptions'!$B17+'Project Assumptions'!$D$15+'Project Assumptions'!$D$16='Detailed Cashflows'!CH$5,'Economic Assumptions'!$C17,0)+CG120</f>
        <v/>
      </c>
      <c r="CI120" s="301">
        <f>IF('Economic Assumptions'!$B17+'Project Assumptions'!$D$15+'Project Assumptions'!$D$16='Detailed Cashflows'!CI$5,'Economic Assumptions'!$C17,0)+CH120</f>
        <v/>
      </c>
      <c r="CJ120" s="301">
        <f>IF('Economic Assumptions'!$B17+'Project Assumptions'!$D$15+'Project Assumptions'!$D$16='Detailed Cashflows'!CJ$5,'Economic Assumptions'!$C17,0)+CI120</f>
        <v/>
      </c>
      <c r="CK120" s="301">
        <f>IF('Economic Assumptions'!$B17+'Project Assumptions'!$D$15+'Project Assumptions'!$D$16='Detailed Cashflows'!CK$5,'Economic Assumptions'!$C17,0)+CJ120</f>
        <v/>
      </c>
      <c r="CL120" s="301">
        <f>IF('Economic Assumptions'!$B17+'Project Assumptions'!$D$15+'Project Assumptions'!$D$16='Detailed Cashflows'!CL$5,'Economic Assumptions'!$C17,0)+CK120</f>
        <v/>
      </c>
      <c r="CM120" s="301">
        <f>IF('Economic Assumptions'!$B17+'Project Assumptions'!$D$15+'Project Assumptions'!$D$16='Detailed Cashflows'!CM$5,'Economic Assumptions'!$C17,0)+CL120</f>
        <v/>
      </c>
      <c r="CN120" s="301">
        <f>IF('Economic Assumptions'!$B17+'Project Assumptions'!$D$15+'Project Assumptions'!$D$16='Detailed Cashflows'!CN$5,'Economic Assumptions'!$C17,0)+CM120</f>
        <v/>
      </c>
      <c r="CO120" s="301">
        <f>IF('Economic Assumptions'!$B17+'Project Assumptions'!$D$15+'Project Assumptions'!$D$16='Detailed Cashflows'!CO$5,'Economic Assumptions'!$C17,0)+CN120</f>
        <v/>
      </c>
      <c r="CP120" s="301">
        <f>IF('Economic Assumptions'!$B17+'Project Assumptions'!$D$15+'Project Assumptions'!$D$16='Detailed Cashflows'!CP$5,'Economic Assumptions'!$C17,0)+CO120</f>
        <v/>
      </c>
      <c r="CQ120" s="301">
        <f>IF('Economic Assumptions'!$B17+'Project Assumptions'!$D$15+'Project Assumptions'!$D$16='Detailed Cashflows'!CQ$5,'Economic Assumptions'!$C17,0)+CP120</f>
        <v/>
      </c>
      <c r="CR120" s="301">
        <f>IF('Economic Assumptions'!$B17+'Project Assumptions'!$D$15+'Project Assumptions'!$D$16='Detailed Cashflows'!CR$5,'Economic Assumptions'!$C17,0)+CQ120</f>
        <v/>
      </c>
      <c r="CS120" s="301">
        <f>IF('Economic Assumptions'!$B17+'Project Assumptions'!$D$15+'Project Assumptions'!$D$16='Detailed Cashflows'!CS$5,'Economic Assumptions'!$C17,0)+CR120</f>
        <v/>
      </c>
      <c r="CT120" s="301">
        <f>IF('Economic Assumptions'!$B17+'Project Assumptions'!$D$15+'Project Assumptions'!$D$16='Detailed Cashflows'!CT$5,'Economic Assumptions'!$C17,0)+CS120</f>
        <v/>
      </c>
      <c r="CU120" s="301">
        <f>IF('Economic Assumptions'!$B17+'Project Assumptions'!$D$15+'Project Assumptions'!$D$16='Detailed Cashflows'!CU$5,'Economic Assumptions'!$C17,0)+CT120</f>
        <v/>
      </c>
      <c r="CV120" s="301">
        <f>IF('Economic Assumptions'!$B17+'Project Assumptions'!$D$15+'Project Assumptions'!$D$16='Detailed Cashflows'!CV$5,'Economic Assumptions'!$C17,0)+CU120</f>
        <v/>
      </c>
      <c r="CW120" s="301">
        <f>IF('Economic Assumptions'!$B17+'Project Assumptions'!$D$15+'Project Assumptions'!$D$16='Detailed Cashflows'!CW$5,'Economic Assumptions'!$C17,0)+CV120</f>
        <v/>
      </c>
      <c r="CX120" s="301">
        <f>IF('Economic Assumptions'!$B17+'Project Assumptions'!$D$15+'Project Assumptions'!$D$16='Detailed Cashflows'!CX$5,'Economic Assumptions'!$C17,0)+CW120</f>
        <v/>
      </c>
      <c r="CY120" s="301">
        <f>IF('Economic Assumptions'!$B17+'Project Assumptions'!$D$15+'Project Assumptions'!$D$16='Detailed Cashflows'!CY$5,'Economic Assumptions'!$C17,0)+CX120</f>
        <v/>
      </c>
      <c r="CZ120" s="301">
        <f>IF('Economic Assumptions'!$B17+'Project Assumptions'!$D$15+'Project Assumptions'!$D$16='Detailed Cashflows'!CZ$5,'Economic Assumptions'!$C17,0)+CY120</f>
        <v/>
      </c>
      <c r="DA120" s="301">
        <f>IF('Economic Assumptions'!$B17+'Project Assumptions'!$D$15+'Project Assumptions'!$D$16='Detailed Cashflows'!DA$5,'Economic Assumptions'!$C17,0)+CZ120</f>
        <v/>
      </c>
      <c r="DB120" s="301">
        <f>IF('Economic Assumptions'!$B17+'Project Assumptions'!$D$15+'Project Assumptions'!$D$16='Detailed Cashflows'!DB$5,'Economic Assumptions'!$C17,0)+DA120</f>
        <v/>
      </c>
      <c r="DC120" s="301" t="n"/>
      <c r="DD120" s="299">
        <f>MAX(F120:DB120)</f>
        <v/>
      </c>
    </row>
    <row r="121" hidden="1" outlineLevel="1">
      <c r="A121" s="1000" t="n"/>
      <c r="B121" s="315" t="inlineStr">
        <is>
          <t>Lease #9</t>
        </is>
      </c>
      <c r="C121" s="294" t="n"/>
      <c r="D121" s="299">
        <f>DD121</f>
        <v/>
      </c>
      <c r="E121" s="300" t="n"/>
      <c r="F121" s="301" t="n"/>
      <c r="G121" s="301">
        <f>IF('Economic Assumptions'!$B18+'Project Assumptions'!$D$15+'Project Assumptions'!$D$16='Detailed Cashflows'!G$5,'Economic Assumptions'!$C18,0)</f>
        <v/>
      </c>
      <c r="H121" s="301">
        <f>IF('Economic Assumptions'!$B18+'Project Assumptions'!$D$15+'Project Assumptions'!$D$16='Detailed Cashflows'!H$5,'Economic Assumptions'!$C18,0)+G121</f>
        <v/>
      </c>
      <c r="I121" s="301">
        <f>IF('Economic Assumptions'!$B18+'Project Assumptions'!$D$15+'Project Assumptions'!$D$16='Detailed Cashflows'!I$5,'Economic Assumptions'!$C18,0)+H121</f>
        <v/>
      </c>
      <c r="J121" s="301">
        <f>IF('Economic Assumptions'!$B18+'Project Assumptions'!$D$15+'Project Assumptions'!$D$16='Detailed Cashflows'!J$5,'Economic Assumptions'!$C18,0)+I121</f>
        <v/>
      </c>
      <c r="K121" s="301">
        <f>IF('Economic Assumptions'!$B18+'Project Assumptions'!$D$15+'Project Assumptions'!$D$16='Detailed Cashflows'!K$5,'Economic Assumptions'!$C18,0)+J121</f>
        <v/>
      </c>
      <c r="L121" s="301">
        <f>IF('Economic Assumptions'!$B18+'Project Assumptions'!$D$15+'Project Assumptions'!$D$16='Detailed Cashflows'!L$5,'Economic Assumptions'!$C18,0)+K121</f>
        <v/>
      </c>
      <c r="M121" s="301">
        <f>IF('Economic Assumptions'!$B18+'Project Assumptions'!$D$15+'Project Assumptions'!$D$16='Detailed Cashflows'!M$5,'Economic Assumptions'!$C18,0)+L121</f>
        <v/>
      </c>
      <c r="N121" s="301">
        <f>IF('Economic Assumptions'!$B18+'Project Assumptions'!$D$15+'Project Assumptions'!$D$16='Detailed Cashflows'!N$5,'Economic Assumptions'!$C18,0)+M121</f>
        <v/>
      </c>
      <c r="O121" s="301">
        <f>IF('Economic Assumptions'!$B18+'Project Assumptions'!$D$15+'Project Assumptions'!$D$16='Detailed Cashflows'!O$5,'Economic Assumptions'!$C18,0)+N121</f>
        <v/>
      </c>
      <c r="P121" s="301">
        <f>IF('Economic Assumptions'!$B18+'Project Assumptions'!$D$15+'Project Assumptions'!$D$16='Detailed Cashflows'!P$5,'Economic Assumptions'!$C18,0)+O121</f>
        <v/>
      </c>
      <c r="Q121" s="301">
        <f>IF('Economic Assumptions'!$B18+'Project Assumptions'!$D$15+'Project Assumptions'!$D$16='Detailed Cashflows'!Q$5,'Economic Assumptions'!$C18,0)+P121</f>
        <v/>
      </c>
      <c r="R121" s="301">
        <f>IF('Economic Assumptions'!$B18+'Project Assumptions'!$D$15+'Project Assumptions'!$D$16='Detailed Cashflows'!R$5,'Economic Assumptions'!$C18,0)+Q121</f>
        <v/>
      </c>
      <c r="S121" s="301">
        <f>IF('Economic Assumptions'!$B18+'Project Assumptions'!$D$15+'Project Assumptions'!$D$16='Detailed Cashflows'!S$5,'Economic Assumptions'!$C18,0)+R121</f>
        <v/>
      </c>
      <c r="T121" s="301">
        <f>IF('Economic Assumptions'!$B18+'Project Assumptions'!$D$15+'Project Assumptions'!$D$16='Detailed Cashflows'!T$5,'Economic Assumptions'!$C18,0)+S121</f>
        <v/>
      </c>
      <c r="U121" s="301">
        <f>IF('Economic Assumptions'!$B18+'Project Assumptions'!$D$15+'Project Assumptions'!$D$16='Detailed Cashflows'!U$5,'Economic Assumptions'!$C18,0)+T121</f>
        <v/>
      </c>
      <c r="V121" s="301">
        <f>IF('Economic Assumptions'!$B18+'Project Assumptions'!$D$15+'Project Assumptions'!$D$16='Detailed Cashflows'!V$5,'Economic Assumptions'!$C18,0)+U121</f>
        <v/>
      </c>
      <c r="W121" s="301">
        <f>IF('Economic Assumptions'!$B18+'Project Assumptions'!$D$15+'Project Assumptions'!$D$16='Detailed Cashflows'!W$5,'Economic Assumptions'!$C18,0)+V121</f>
        <v/>
      </c>
      <c r="X121" s="301">
        <f>IF('Economic Assumptions'!$B18+'Project Assumptions'!$D$15+'Project Assumptions'!$D$16='Detailed Cashflows'!X$5,'Economic Assumptions'!$C18,0)+W121</f>
        <v/>
      </c>
      <c r="Y121" s="301">
        <f>IF('Economic Assumptions'!$B18+'Project Assumptions'!$D$15+'Project Assumptions'!$D$16='Detailed Cashflows'!Y$5,'Economic Assumptions'!$C18,0)+X121</f>
        <v/>
      </c>
      <c r="Z121" s="301">
        <f>IF('Economic Assumptions'!$B18+'Project Assumptions'!$D$15+'Project Assumptions'!$D$16='Detailed Cashflows'!Z$5,'Economic Assumptions'!$C18,0)+Y121</f>
        <v/>
      </c>
      <c r="AA121" s="301">
        <f>IF('Economic Assumptions'!$B18+'Project Assumptions'!$D$15+'Project Assumptions'!$D$16='Detailed Cashflows'!AA$5,'Economic Assumptions'!$C18,0)+Z121</f>
        <v/>
      </c>
      <c r="AB121" s="301">
        <f>IF('Economic Assumptions'!$B18+'Project Assumptions'!$D$15+'Project Assumptions'!$D$16='Detailed Cashflows'!AB$5,'Economic Assumptions'!$C18,0)+AA121</f>
        <v/>
      </c>
      <c r="AC121" s="301">
        <f>IF('Economic Assumptions'!$B18+'Project Assumptions'!$D$15+'Project Assumptions'!$D$16='Detailed Cashflows'!AC$5,'Economic Assumptions'!$C18,0)+AB121</f>
        <v/>
      </c>
      <c r="AD121" s="301">
        <f>IF('Economic Assumptions'!$B18+'Project Assumptions'!$D$15+'Project Assumptions'!$D$16='Detailed Cashflows'!AD$5,'Economic Assumptions'!$C18,0)+AC121</f>
        <v/>
      </c>
      <c r="AE121" s="301">
        <f>IF('Economic Assumptions'!$B18+'Project Assumptions'!$D$15+'Project Assumptions'!$D$16='Detailed Cashflows'!AE$5,'Economic Assumptions'!$C18,0)+AD121</f>
        <v/>
      </c>
      <c r="AF121" s="301">
        <f>IF('Economic Assumptions'!$B18+'Project Assumptions'!$D$15+'Project Assumptions'!$D$16='Detailed Cashflows'!AF$5,'Economic Assumptions'!$C18,0)+AE121</f>
        <v/>
      </c>
      <c r="AG121" s="301">
        <f>IF('Economic Assumptions'!$B18+'Project Assumptions'!$D$15+'Project Assumptions'!$D$16='Detailed Cashflows'!AG$5,'Economic Assumptions'!$C18,0)+AF121</f>
        <v/>
      </c>
      <c r="AH121" s="301">
        <f>IF('Economic Assumptions'!$B18+'Project Assumptions'!$D$15+'Project Assumptions'!$D$16='Detailed Cashflows'!AH$5,'Economic Assumptions'!$C18,0)+AG121</f>
        <v/>
      </c>
      <c r="AI121" s="301">
        <f>IF('Economic Assumptions'!$B18+'Project Assumptions'!$D$15+'Project Assumptions'!$D$16='Detailed Cashflows'!AI$5,'Economic Assumptions'!$C18,0)+AH121</f>
        <v/>
      </c>
      <c r="AJ121" s="301">
        <f>IF('Economic Assumptions'!$B18+'Project Assumptions'!$D$15+'Project Assumptions'!$D$16='Detailed Cashflows'!AJ$5,'Economic Assumptions'!$C18,0)+AI121</f>
        <v/>
      </c>
      <c r="AK121" s="301">
        <f>IF('Economic Assumptions'!$B18+'Project Assumptions'!$D$15+'Project Assumptions'!$D$16='Detailed Cashflows'!AK$5,'Economic Assumptions'!$C18,0)+AJ121</f>
        <v/>
      </c>
      <c r="AL121" s="301">
        <f>IF('Economic Assumptions'!$B18+'Project Assumptions'!$D$15+'Project Assumptions'!$D$16='Detailed Cashflows'!AL$5,'Economic Assumptions'!$C18,0)+AK121</f>
        <v/>
      </c>
      <c r="AM121" s="301">
        <f>IF('Economic Assumptions'!$B18+'Project Assumptions'!$D$15+'Project Assumptions'!$D$16='Detailed Cashflows'!AM$5,'Economic Assumptions'!$C18,0)+AL121</f>
        <v/>
      </c>
      <c r="AN121" s="301">
        <f>IF('Economic Assumptions'!$B18+'Project Assumptions'!$D$15+'Project Assumptions'!$D$16='Detailed Cashflows'!AN$5,'Economic Assumptions'!$C18,0)+AM121</f>
        <v/>
      </c>
      <c r="AO121" s="301">
        <f>IF('Economic Assumptions'!$B18+'Project Assumptions'!$D$15+'Project Assumptions'!$D$16='Detailed Cashflows'!AO$5,'Economic Assumptions'!$C18,0)+AN121</f>
        <v/>
      </c>
      <c r="AP121" s="301">
        <f>IF('Economic Assumptions'!$B18+'Project Assumptions'!$D$15+'Project Assumptions'!$D$16='Detailed Cashflows'!AP$5,'Economic Assumptions'!$C18,0)+AO121</f>
        <v/>
      </c>
      <c r="AQ121" s="301">
        <f>IF('Economic Assumptions'!$B18+'Project Assumptions'!$D$15+'Project Assumptions'!$D$16='Detailed Cashflows'!AQ$5,'Economic Assumptions'!$C18,0)+AP121</f>
        <v/>
      </c>
      <c r="AR121" s="301">
        <f>IF('Economic Assumptions'!$B18+'Project Assumptions'!$D$15+'Project Assumptions'!$D$16='Detailed Cashflows'!AR$5,'Economic Assumptions'!$C18,0)+AQ121</f>
        <v/>
      </c>
      <c r="AS121" s="301">
        <f>IF('Economic Assumptions'!$B18+'Project Assumptions'!$D$15+'Project Assumptions'!$D$16='Detailed Cashflows'!AS$5,'Economic Assumptions'!$C18,0)+AR121</f>
        <v/>
      </c>
      <c r="AT121" s="301">
        <f>IF('Economic Assumptions'!$B18+'Project Assumptions'!$D$15+'Project Assumptions'!$D$16='Detailed Cashflows'!AT$5,'Economic Assumptions'!$C18,0)+AS121</f>
        <v/>
      </c>
      <c r="AU121" s="301">
        <f>IF('Economic Assumptions'!$B18+'Project Assumptions'!$D$15+'Project Assumptions'!$D$16='Detailed Cashflows'!AU$5,'Economic Assumptions'!$C18,0)+AT121</f>
        <v/>
      </c>
      <c r="AV121" s="301">
        <f>IF('Economic Assumptions'!$B18+'Project Assumptions'!$D$15+'Project Assumptions'!$D$16='Detailed Cashflows'!AV$5,'Economic Assumptions'!$C18,0)+AU121</f>
        <v/>
      </c>
      <c r="AW121" s="301">
        <f>IF('Economic Assumptions'!$B18+'Project Assumptions'!$D$15+'Project Assumptions'!$D$16='Detailed Cashflows'!AW$5,'Economic Assumptions'!$C18,0)+AV121</f>
        <v/>
      </c>
      <c r="AX121" s="301">
        <f>IF('Economic Assumptions'!$B18+'Project Assumptions'!$D$15+'Project Assumptions'!$D$16='Detailed Cashflows'!AX$5,'Economic Assumptions'!$C18,0)+AW121</f>
        <v/>
      </c>
      <c r="AY121" s="301">
        <f>IF('Economic Assumptions'!$B18+'Project Assumptions'!$D$15+'Project Assumptions'!$D$16='Detailed Cashflows'!AY$5,'Economic Assumptions'!$C18,0)+AX121</f>
        <v/>
      </c>
      <c r="AZ121" s="301">
        <f>IF('Economic Assumptions'!$B18+'Project Assumptions'!$D$15+'Project Assumptions'!$D$16='Detailed Cashflows'!AZ$5,'Economic Assumptions'!$C18,0)+AY121</f>
        <v/>
      </c>
      <c r="BA121" s="301">
        <f>IF('Economic Assumptions'!$B18+'Project Assumptions'!$D$15+'Project Assumptions'!$D$16='Detailed Cashflows'!BA$5,'Economic Assumptions'!$C18,0)+AZ121</f>
        <v/>
      </c>
      <c r="BB121" s="301">
        <f>IF('Economic Assumptions'!$B18+'Project Assumptions'!$D$15+'Project Assumptions'!$D$16='Detailed Cashflows'!BB$5,'Economic Assumptions'!$C18,0)+BA121</f>
        <v/>
      </c>
      <c r="BC121" s="301">
        <f>IF('Economic Assumptions'!$B18+'Project Assumptions'!$D$15+'Project Assumptions'!$D$16='Detailed Cashflows'!BC$5,'Economic Assumptions'!$C18,0)+BB121</f>
        <v/>
      </c>
      <c r="BD121" s="301">
        <f>IF('Economic Assumptions'!$B18+'Project Assumptions'!$D$15+'Project Assumptions'!$D$16='Detailed Cashflows'!BD$5,'Economic Assumptions'!$C18,0)+BC121</f>
        <v/>
      </c>
      <c r="BE121" s="301">
        <f>IF('Economic Assumptions'!$B18+'Project Assumptions'!$D$15+'Project Assumptions'!$D$16='Detailed Cashflows'!BE$5,'Economic Assumptions'!$C18,0)+BD121</f>
        <v/>
      </c>
      <c r="BF121" s="301">
        <f>IF('Economic Assumptions'!$B18+'Project Assumptions'!$D$15+'Project Assumptions'!$D$16='Detailed Cashflows'!BF$5,'Economic Assumptions'!$C18,0)+BE121</f>
        <v/>
      </c>
      <c r="BG121" s="301">
        <f>IF('Economic Assumptions'!$B18+'Project Assumptions'!$D$15+'Project Assumptions'!$D$16='Detailed Cashflows'!BG$5,'Economic Assumptions'!$C18,0)+BF121</f>
        <v/>
      </c>
      <c r="BH121" s="301">
        <f>IF('Economic Assumptions'!$B18+'Project Assumptions'!$D$15+'Project Assumptions'!$D$16='Detailed Cashflows'!BH$5,'Economic Assumptions'!$C18,0)+BG121</f>
        <v/>
      </c>
      <c r="BI121" s="301">
        <f>IF('Economic Assumptions'!$B18+'Project Assumptions'!$D$15+'Project Assumptions'!$D$16='Detailed Cashflows'!BI$5,'Economic Assumptions'!$C18,0)+BH121</f>
        <v/>
      </c>
      <c r="BJ121" s="301">
        <f>IF('Economic Assumptions'!$B18+'Project Assumptions'!$D$15+'Project Assumptions'!$D$16='Detailed Cashflows'!BJ$5,'Economic Assumptions'!$C18,0)+BI121</f>
        <v/>
      </c>
      <c r="BK121" s="301">
        <f>IF('Economic Assumptions'!$B18+'Project Assumptions'!$D$15+'Project Assumptions'!$D$16='Detailed Cashflows'!BK$5,'Economic Assumptions'!$C18,0)+BJ121</f>
        <v/>
      </c>
      <c r="BL121" s="301">
        <f>IF('Economic Assumptions'!$B18+'Project Assumptions'!$D$15+'Project Assumptions'!$D$16='Detailed Cashflows'!BL$5,'Economic Assumptions'!$C18,0)+BK121</f>
        <v/>
      </c>
      <c r="BM121" s="301">
        <f>IF('Economic Assumptions'!$B18+'Project Assumptions'!$D$15+'Project Assumptions'!$D$16='Detailed Cashflows'!BM$5,'Economic Assumptions'!$C18,0)+BL121</f>
        <v/>
      </c>
      <c r="BN121" s="301">
        <f>IF('Economic Assumptions'!$B18+'Project Assumptions'!$D$15+'Project Assumptions'!$D$16='Detailed Cashflows'!BN$5,'Economic Assumptions'!$C18,0)+BM121</f>
        <v/>
      </c>
      <c r="BO121" s="301">
        <f>IF('Economic Assumptions'!$B18+'Project Assumptions'!$D$15+'Project Assumptions'!$D$16='Detailed Cashflows'!BO$5,'Economic Assumptions'!$C18,0)+BN121</f>
        <v/>
      </c>
      <c r="BP121" s="301">
        <f>IF('Economic Assumptions'!$B18+'Project Assumptions'!$D$15+'Project Assumptions'!$D$16='Detailed Cashflows'!BP$5,'Economic Assumptions'!$C18,0)+BO121</f>
        <v/>
      </c>
      <c r="BQ121" s="301">
        <f>IF('Economic Assumptions'!$B18+'Project Assumptions'!$D$15+'Project Assumptions'!$D$16='Detailed Cashflows'!BQ$5,'Economic Assumptions'!$C18,0)+BP121</f>
        <v/>
      </c>
      <c r="BR121" s="301">
        <f>IF('Economic Assumptions'!$B18+'Project Assumptions'!$D$15+'Project Assumptions'!$D$16='Detailed Cashflows'!BR$5,'Economic Assumptions'!$C18,0)+BQ121</f>
        <v/>
      </c>
      <c r="BS121" s="301">
        <f>IF('Economic Assumptions'!$B18+'Project Assumptions'!$D$15+'Project Assumptions'!$D$16='Detailed Cashflows'!BS$5,'Economic Assumptions'!$C18,0)+BR121</f>
        <v/>
      </c>
      <c r="BT121" s="301">
        <f>IF('Economic Assumptions'!$B18+'Project Assumptions'!$D$15+'Project Assumptions'!$D$16='Detailed Cashflows'!BT$5,'Economic Assumptions'!$C18,0)+BS121</f>
        <v/>
      </c>
      <c r="BU121" s="301">
        <f>IF('Economic Assumptions'!$B18+'Project Assumptions'!$D$15+'Project Assumptions'!$D$16='Detailed Cashflows'!BU$5,'Economic Assumptions'!$C18,0)+BT121</f>
        <v/>
      </c>
      <c r="BV121" s="301">
        <f>IF('Economic Assumptions'!$B18+'Project Assumptions'!$D$15+'Project Assumptions'!$D$16='Detailed Cashflows'!BV$5,'Economic Assumptions'!$C18,0)+BU121</f>
        <v/>
      </c>
      <c r="BW121" s="301">
        <f>IF('Economic Assumptions'!$B18+'Project Assumptions'!$D$15+'Project Assumptions'!$D$16='Detailed Cashflows'!BW$5,'Economic Assumptions'!$C18,0)+BV121</f>
        <v/>
      </c>
      <c r="BX121" s="301">
        <f>IF('Economic Assumptions'!$B18+'Project Assumptions'!$D$15+'Project Assumptions'!$D$16='Detailed Cashflows'!BX$5,'Economic Assumptions'!$C18,0)+BW121</f>
        <v/>
      </c>
      <c r="BY121" s="301">
        <f>IF('Economic Assumptions'!$B18+'Project Assumptions'!$D$15+'Project Assumptions'!$D$16='Detailed Cashflows'!BY$5,'Economic Assumptions'!$C18,0)+BX121</f>
        <v/>
      </c>
      <c r="BZ121" s="301">
        <f>IF('Economic Assumptions'!$B18+'Project Assumptions'!$D$15+'Project Assumptions'!$D$16='Detailed Cashflows'!BZ$5,'Economic Assumptions'!$C18,0)+BY121</f>
        <v/>
      </c>
      <c r="CA121" s="301">
        <f>IF('Economic Assumptions'!$B18+'Project Assumptions'!$D$15+'Project Assumptions'!$D$16='Detailed Cashflows'!CA$5,'Economic Assumptions'!$C18,0)+BZ121</f>
        <v/>
      </c>
      <c r="CB121" s="301">
        <f>IF('Economic Assumptions'!$B18+'Project Assumptions'!$D$15+'Project Assumptions'!$D$16='Detailed Cashflows'!CB$5,'Economic Assumptions'!$C18,0)+CA121</f>
        <v/>
      </c>
      <c r="CC121" s="301">
        <f>IF('Economic Assumptions'!$B18+'Project Assumptions'!$D$15+'Project Assumptions'!$D$16='Detailed Cashflows'!CC$5,'Economic Assumptions'!$C18,0)+CB121</f>
        <v/>
      </c>
      <c r="CD121" s="301">
        <f>IF('Economic Assumptions'!$B18+'Project Assumptions'!$D$15+'Project Assumptions'!$D$16='Detailed Cashflows'!CD$5,'Economic Assumptions'!$C18,0)+CC121</f>
        <v/>
      </c>
      <c r="CE121" s="301">
        <f>IF('Economic Assumptions'!$B18+'Project Assumptions'!$D$15+'Project Assumptions'!$D$16='Detailed Cashflows'!CE$5,'Economic Assumptions'!$C18,0)+CD121</f>
        <v/>
      </c>
      <c r="CF121" s="301">
        <f>IF('Economic Assumptions'!$B18+'Project Assumptions'!$D$15+'Project Assumptions'!$D$16='Detailed Cashflows'!CF$5,'Economic Assumptions'!$C18,0)+CE121</f>
        <v/>
      </c>
      <c r="CG121" s="301">
        <f>IF('Economic Assumptions'!$B18+'Project Assumptions'!$D$15+'Project Assumptions'!$D$16='Detailed Cashflows'!CG$5,'Economic Assumptions'!$C18,0)+CF121</f>
        <v/>
      </c>
      <c r="CH121" s="301">
        <f>IF('Economic Assumptions'!$B18+'Project Assumptions'!$D$15+'Project Assumptions'!$D$16='Detailed Cashflows'!CH$5,'Economic Assumptions'!$C18,0)+CG121</f>
        <v/>
      </c>
      <c r="CI121" s="301">
        <f>IF('Economic Assumptions'!$B18+'Project Assumptions'!$D$15+'Project Assumptions'!$D$16='Detailed Cashflows'!CI$5,'Economic Assumptions'!$C18,0)+CH121</f>
        <v/>
      </c>
      <c r="CJ121" s="301">
        <f>IF('Economic Assumptions'!$B18+'Project Assumptions'!$D$15+'Project Assumptions'!$D$16='Detailed Cashflows'!CJ$5,'Economic Assumptions'!$C18,0)+CI121</f>
        <v/>
      </c>
      <c r="CK121" s="301">
        <f>IF('Economic Assumptions'!$B18+'Project Assumptions'!$D$15+'Project Assumptions'!$D$16='Detailed Cashflows'!CK$5,'Economic Assumptions'!$C18,0)+CJ121</f>
        <v/>
      </c>
      <c r="CL121" s="301">
        <f>IF('Economic Assumptions'!$B18+'Project Assumptions'!$D$15+'Project Assumptions'!$D$16='Detailed Cashflows'!CL$5,'Economic Assumptions'!$C18,0)+CK121</f>
        <v/>
      </c>
      <c r="CM121" s="301">
        <f>IF('Economic Assumptions'!$B18+'Project Assumptions'!$D$15+'Project Assumptions'!$D$16='Detailed Cashflows'!CM$5,'Economic Assumptions'!$C18,0)+CL121</f>
        <v/>
      </c>
      <c r="CN121" s="301">
        <f>IF('Economic Assumptions'!$B18+'Project Assumptions'!$D$15+'Project Assumptions'!$D$16='Detailed Cashflows'!CN$5,'Economic Assumptions'!$C18,0)+CM121</f>
        <v/>
      </c>
      <c r="CO121" s="301">
        <f>IF('Economic Assumptions'!$B18+'Project Assumptions'!$D$15+'Project Assumptions'!$D$16='Detailed Cashflows'!CO$5,'Economic Assumptions'!$C18,0)+CN121</f>
        <v/>
      </c>
      <c r="CP121" s="301">
        <f>IF('Economic Assumptions'!$B18+'Project Assumptions'!$D$15+'Project Assumptions'!$D$16='Detailed Cashflows'!CP$5,'Economic Assumptions'!$C18,0)+CO121</f>
        <v/>
      </c>
      <c r="CQ121" s="301">
        <f>IF('Economic Assumptions'!$B18+'Project Assumptions'!$D$15+'Project Assumptions'!$D$16='Detailed Cashflows'!CQ$5,'Economic Assumptions'!$C18,0)+CP121</f>
        <v/>
      </c>
      <c r="CR121" s="301">
        <f>IF('Economic Assumptions'!$B18+'Project Assumptions'!$D$15+'Project Assumptions'!$D$16='Detailed Cashflows'!CR$5,'Economic Assumptions'!$C18,0)+CQ121</f>
        <v/>
      </c>
      <c r="CS121" s="301">
        <f>IF('Economic Assumptions'!$B18+'Project Assumptions'!$D$15+'Project Assumptions'!$D$16='Detailed Cashflows'!CS$5,'Economic Assumptions'!$C18,0)+CR121</f>
        <v/>
      </c>
      <c r="CT121" s="301">
        <f>IF('Economic Assumptions'!$B18+'Project Assumptions'!$D$15+'Project Assumptions'!$D$16='Detailed Cashflows'!CT$5,'Economic Assumptions'!$C18,0)+CS121</f>
        <v/>
      </c>
      <c r="CU121" s="301">
        <f>IF('Economic Assumptions'!$B18+'Project Assumptions'!$D$15+'Project Assumptions'!$D$16='Detailed Cashflows'!CU$5,'Economic Assumptions'!$C18,0)+CT121</f>
        <v/>
      </c>
      <c r="CV121" s="301">
        <f>IF('Economic Assumptions'!$B18+'Project Assumptions'!$D$15+'Project Assumptions'!$D$16='Detailed Cashflows'!CV$5,'Economic Assumptions'!$C18,0)+CU121</f>
        <v/>
      </c>
      <c r="CW121" s="301">
        <f>IF('Economic Assumptions'!$B18+'Project Assumptions'!$D$15+'Project Assumptions'!$D$16='Detailed Cashflows'!CW$5,'Economic Assumptions'!$C18,0)+CV121</f>
        <v/>
      </c>
      <c r="CX121" s="301">
        <f>IF('Economic Assumptions'!$B18+'Project Assumptions'!$D$15+'Project Assumptions'!$D$16='Detailed Cashflows'!CX$5,'Economic Assumptions'!$C18,0)+CW121</f>
        <v/>
      </c>
      <c r="CY121" s="301">
        <f>IF('Economic Assumptions'!$B18+'Project Assumptions'!$D$15+'Project Assumptions'!$D$16='Detailed Cashflows'!CY$5,'Economic Assumptions'!$C18,0)+CX121</f>
        <v/>
      </c>
      <c r="CZ121" s="301">
        <f>IF('Economic Assumptions'!$B18+'Project Assumptions'!$D$15+'Project Assumptions'!$D$16='Detailed Cashflows'!CZ$5,'Economic Assumptions'!$C18,0)+CY121</f>
        <v/>
      </c>
      <c r="DA121" s="301">
        <f>IF('Economic Assumptions'!$B18+'Project Assumptions'!$D$15+'Project Assumptions'!$D$16='Detailed Cashflows'!DA$5,'Economic Assumptions'!$C18,0)+CZ121</f>
        <v/>
      </c>
      <c r="DB121" s="301">
        <f>IF('Economic Assumptions'!$B18+'Project Assumptions'!$D$15+'Project Assumptions'!$D$16='Detailed Cashflows'!DB$5,'Economic Assumptions'!$C18,0)+DA121</f>
        <v/>
      </c>
      <c r="DC121" s="301" t="n"/>
      <c r="DD121" s="299">
        <f>MAX(F121:DB121)</f>
        <v/>
      </c>
    </row>
    <row r="122" hidden="1" outlineLevel="1">
      <c r="A122" s="1000" t="n"/>
      <c r="B122" s="315" t="inlineStr">
        <is>
          <t>Lease #10</t>
        </is>
      </c>
      <c r="C122" s="294" t="n"/>
      <c r="D122" s="299">
        <f>DD122</f>
        <v/>
      </c>
      <c r="E122" s="300" t="n"/>
      <c r="F122" s="301" t="n"/>
      <c r="G122" s="301">
        <f>IF('Economic Assumptions'!$B19+'Project Assumptions'!$D$15+'Project Assumptions'!$D$16='Detailed Cashflows'!G$5,'Economic Assumptions'!$C19,0)</f>
        <v/>
      </c>
      <c r="H122" s="301">
        <f>IF('Economic Assumptions'!$B19+'Project Assumptions'!$D$15+'Project Assumptions'!$D$16='Detailed Cashflows'!H$5,'Economic Assumptions'!$C19,0)+G122</f>
        <v/>
      </c>
      <c r="I122" s="301">
        <f>IF('Economic Assumptions'!$B19+'Project Assumptions'!$D$15+'Project Assumptions'!$D$16='Detailed Cashflows'!I$5,'Economic Assumptions'!$C19,0)+H122</f>
        <v/>
      </c>
      <c r="J122" s="301">
        <f>IF('Economic Assumptions'!$B19+'Project Assumptions'!$D$15+'Project Assumptions'!$D$16='Detailed Cashflows'!J$5,'Economic Assumptions'!$C19,0)+I122</f>
        <v/>
      </c>
      <c r="K122" s="301">
        <f>IF('Economic Assumptions'!$B19+'Project Assumptions'!$D$15+'Project Assumptions'!$D$16='Detailed Cashflows'!K$5,'Economic Assumptions'!$C19,0)+J122</f>
        <v/>
      </c>
      <c r="L122" s="301">
        <f>IF('Economic Assumptions'!$B19+'Project Assumptions'!$D$15+'Project Assumptions'!$D$16='Detailed Cashflows'!L$5,'Economic Assumptions'!$C19,0)+K122</f>
        <v/>
      </c>
      <c r="M122" s="301">
        <f>IF('Economic Assumptions'!$B19+'Project Assumptions'!$D$15+'Project Assumptions'!$D$16='Detailed Cashflows'!M$5,'Economic Assumptions'!$C19,0)+L122</f>
        <v/>
      </c>
      <c r="N122" s="301">
        <f>IF('Economic Assumptions'!$B19+'Project Assumptions'!$D$15+'Project Assumptions'!$D$16='Detailed Cashflows'!N$5,'Economic Assumptions'!$C19,0)+M122</f>
        <v/>
      </c>
      <c r="O122" s="301">
        <f>IF('Economic Assumptions'!$B19+'Project Assumptions'!$D$15+'Project Assumptions'!$D$16='Detailed Cashflows'!O$5,'Economic Assumptions'!$C19,0)+N122</f>
        <v/>
      </c>
      <c r="P122" s="301">
        <f>IF('Economic Assumptions'!$B19+'Project Assumptions'!$D$15+'Project Assumptions'!$D$16='Detailed Cashflows'!P$5,'Economic Assumptions'!$C19,0)+O122</f>
        <v/>
      </c>
      <c r="Q122" s="301">
        <f>IF('Economic Assumptions'!$B19+'Project Assumptions'!$D$15+'Project Assumptions'!$D$16='Detailed Cashflows'!Q$5,'Economic Assumptions'!$C19,0)+P122</f>
        <v/>
      </c>
      <c r="R122" s="301">
        <f>IF('Economic Assumptions'!$B19+'Project Assumptions'!$D$15+'Project Assumptions'!$D$16='Detailed Cashflows'!R$5,'Economic Assumptions'!$C19,0)+Q122</f>
        <v/>
      </c>
      <c r="S122" s="301">
        <f>IF('Economic Assumptions'!$B19+'Project Assumptions'!$D$15+'Project Assumptions'!$D$16='Detailed Cashflows'!S$5,'Economic Assumptions'!$C19,0)+R122</f>
        <v/>
      </c>
      <c r="T122" s="301">
        <f>IF('Economic Assumptions'!$B19+'Project Assumptions'!$D$15+'Project Assumptions'!$D$16='Detailed Cashflows'!T$5,'Economic Assumptions'!$C19,0)+S122</f>
        <v/>
      </c>
      <c r="U122" s="301">
        <f>IF('Economic Assumptions'!$B19+'Project Assumptions'!$D$15+'Project Assumptions'!$D$16='Detailed Cashflows'!U$5,'Economic Assumptions'!$C19,0)+T122</f>
        <v/>
      </c>
      <c r="V122" s="301">
        <f>IF('Economic Assumptions'!$B19+'Project Assumptions'!$D$15+'Project Assumptions'!$D$16='Detailed Cashflows'!V$5,'Economic Assumptions'!$C19,0)+U122</f>
        <v/>
      </c>
      <c r="W122" s="301">
        <f>IF('Economic Assumptions'!$B19+'Project Assumptions'!$D$15+'Project Assumptions'!$D$16='Detailed Cashflows'!W$5,'Economic Assumptions'!$C19,0)+V122</f>
        <v/>
      </c>
      <c r="X122" s="301">
        <f>IF('Economic Assumptions'!$B19+'Project Assumptions'!$D$15+'Project Assumptions'!$D$16='Detailed Cashflows'!X$5,'Economic Assumptions'!$C19,0)+W122</f>
        <v/>
      </c>
      <c r="Y122" s="301">
        <f>IF('Economic Assumptions'!$B19+'Project Assumptions'!$D$15+'Project Assumptions'!$D$16='Detailed Cashflows'!Y$5,'Economic Assumptions'!$C19,0)+X122</f>
        <v/>
      </c>
      <c r="Z122" s="301">
        <f>IF('Economic Assumptions'!$B19+'Project Assumptions'!$D$15+'Project Assumptions'!$D$16='Detailed Cashflows'!Z$5,'Economic Assumptions'!$C19,0)+Y122</f>
        <v/>
      </c>
      <c r="AA122" s="301">
        <f>IF('Economic Assumptions'!$B19+'Project Assumptions'!$D$15+'Project Assumptions'!$D$16='Detailed Cashflows'!AA$5,'Economic Assumptions'!$C19,0)+Z122</f>
        <v/>
      </c>
      <c r="AB122" s="301">
        <f>IF('Economic Assumptions'!$B19+'Project Assumptions'!$D$15+'Project Assumptions'!$D$16='Detailed Cashflows'!AB$5,'Economic Assumptions'!$C19,0)+AA122</f>
        <v/>
      </c>
      <c r="AC122" s="301">
        <f>IF('Economic Assumptions'!$B19+'Project Assumptions'!$D$15+'Project Assumptions'!$D$16='Detailed Cashflows'!AC$5,'Economic Assumptions'!$C19,0)+AB122</f>
        <v/>
      </c>
      <c r="AD122" s="301">
        <f>IF('Economic Assumptions'!$B19+'Project Assumptions'!$D$15+'Project Assumptions'!$D$16='Detailed Cashflows'!AD$5,'Economic Assumptions'!$C19,0)+AC122</f>
        <v/>
      </c>
      <c r="AE122" s="301">
        <f>IF('Economic Assumptions'!$B19+'Project Assumptions'!$D$15+'Project Assumptions'!$D$16='Detailed Cashflows'!AE$5,'Economic Assumptions'!$C19,0)+AD122</f>
        <v/>
      </c>
      <c r="AF122" s="301">
        <f>IF('Economic Assumptions'!$B19+'Project Assumptions'!$D$15+'Project Assumptions'!$D$16='Detailed Cashflows'!AF$5,'Economic Assumptions'!$C19,0)+AE122</f>
        <v/>
      </c>
      <c r="AG122" s="301">
        <f>IF('Economic Assumptions'!$B19+'Project Assumptions'!$D$15+'Project Assumptions'!$D$16='Detailed Cashflows'!AG$5,'Economic Assumptions'!$C19,0)+AF122</f>
        <v/>
      </c>
      <c r="AH122" s="301">
        <f>IF('Economic Assumptions'!$B19+'Project Assumptions'!$D$15+'Project Assumptions'!$D$16='Detailed Cashflows'!AH$5,'Economic Assumptions'!$C19,0)+AG122</f>
        <v/>
      </c>
      <c r="AI122" s="301">
        <f>IF('Economic Assumptions'!$B19+'Project Assumptions'!$D$15+'Project Assumptions'!$D$16='Detailed Cashflows'!AI$5,'Economic Assumptions'!$C19,0)+AH122</f>
        <v/>
      </c>
      <c r="AJ122" s="301">
        <f>IF('Economic Assumptions'!$B19+'Project Assumptions'!$D$15+'Project Assumptions'!$D$16='Detailed Cashflows'!AJ$5,'Economic Assumptions'!$C19,0)+AI122</f>
        <v/>
      </c>
      <c r="AK122" s="301">
        <f>IF('Economic Assumptions'!$B19+'Project Assumptions'!$D$15+'Project Assumptions'!$D$16='Detailed Cashflows'!AK$5,'Economic Assumptions'!$C19,0)+AJ122</f>
        <v/>
      </c>
      <c r="AL122" s="301">
        <f>IF('Economic Assumptions'!$B19+'Project Assumptions'!$D$15+'Project Assumptions'!$D$16='Detailed Cashflows'!AL$5,'Economic Assumptions'!$C19,0)+AK122</f>
        <v/>
      </c>
      <c r="AM122" s="301">
        <f>IF('Economic Assumptions'!$B19+'Project Assumptions'!$D$15+'Project Assumptions'!$D$16='Detailed Cashflows'!AM$5,'Economic Assumptions'!$C19,0)+AL122</f>
        <v/>
      </c>
      <c r="AN122" s="301">
        <f>IF('Economic Assumptions'!$B19+'Project Assumptions'!$D$15+'Project Assumptions'!$D$16='Detailed Cashflows'!AN$5,'Economic Assumptions'!$C19,0)+AM122</f>
        <v/>
      </c>
      <c r="AO122" s="301">
        <f>IF('Economic Assumptions'!$B19+'Project Assumptions'!$D$15+'Project Assumptions'!$D$16='Detailed Cashflows'!AO$5,'Economic Assumptions'!$C19,0)+AN122</f>
        <v/>
      </c>
      <c r="AP122" s="301">
        <f>IF('Economic Assumptions'!$B19+'Project Assumptions'!$D$15+'Project Assumptions'!$D$16='Detailed Cashflows'!AP$5,'Economic Assumptions'!$C19,0)+AO122</f>
        <v/>
      </c>
      <c r="AQ122" s="301">
        <f>IF('Economic Assumptions'!$B19+'Project Assumptions'!$D$15+'Project Assumptions'!$D$16='Detailed Cashflows'!AQ$5,'Economic Assumptions'!$C19,0)+AP122</f>
        <v/>
      </c>
      <c r="AR122" s="301">
        <f>IF('Economic Assumptions'!$B19+'Project Assumptions'!$D$15+'Project Assumptions'!$D$16='Detailed Cashflows'!AR$5,'Economic Assumptions'!$C19,0)+AQ122</f>
        <v/>
      </c>
      <c r="AS122" s="301">
        <f>IF('Economic Assumptions'!$B19+'Project Assumptions'!$D$15+'Project Assumptions'!$D$16='Detailed Cashflows'!AS$5,'Economic Assumptions'!$C19,0)+AR122</f>
        <v/>
      </c>
      <c r="AT122" s="301">
        <f>IF('Economic Assumptions'!$B19+'Project Assumptions'!$D$15+'Project Assumptions'!$D$16='Detailed Cashflows'!AT$5,'Economic Assumptions'!$C19,0)+AS122</f>
        <v/>
      </c>
      <c r="AU122" s="301">
        <f>IF('Economic Assumptions'!$B19+'Project Assumptions'!$D$15+'Project Assumptions'!$D$16='Detailed Cashflows'!AU$5,'Economic Assumptions'!$C19,0)+AT122</f>
        <v/>
      </c>
      <c r="AV122" s="301">
        <f>IF('Economic Assumptions'!$B19+'Project Assumptions'!$D$15+'Project Assumptions'!$D$16='Detailed Cashflows'!AV$5,'Economic Assumptions'!$C19,0)+AU122</f>
        <v/>
      </c>
      <c r="AW122" s="301">
        <f>IF('Economic Assumptions'!$B19+'Project Assumptions'!$D$15+'Project Assumptions'!$D$16='Detailed Cashflows'!AW$5,'Economic Assumptions'!$C19,0)+AV122</f>
        <v/>
      </c>
      <c r="AX122" s="301">
        <f>IF('Economic Assumptions'!$B19+'Project Assumptions'!$D$15+'Project Assumptions'!$D$16='Detailed Cashflows'!AX$5,'Economic Assumptions'!$C19,0)+AW122</f>
        <v/>
      </c>
      <c r="AY122" s="301">
        <f>IF('Economic Assumptions'!$B19+'Project Assumptions'!$D$15+'Project Assumptions'!$D$16='Detailed Cashflows'!AY$5,'Economic Assumptions'!$C19,0)+AX122</f>
        <v/>
      </c>
      <c r="AZ122" s="301">
        <f>IF('Economic Assumptions'!$B19+'Project Assumptions'!$D$15+'Project Assumptions'!$D$16='Detailed Cashflows'!AZ$5,'Economic Assumptions'!$C19,0)+AY122</f>
        <v/>
      </c>
      <c r="BA122" s="301">
        <f>IF('Economic Assumptions'!$B19+'Project Assumptions'!$D$15+'Project Assumptions'!$D$16='Detailed Cashflows'!BA$5,'Economic Assumptions'!$C19,0)+AZ122</f>
        <v/>
      </c>
      <c r="BB122" s="301">
        <f>IF('Economic Assumptions'!$B19+'Project Assumptions'!$D$15+'Project Assumptions'!$D$16='Detailed Cashflows'!BB$5,'Economic Assumptions'!$C19,0)+BA122</f>
        <v/>
      </c>
      <c r="BC122" s="301">
        <f>IF('Economic Assumptions'!$B19+'Project Assumptions'!$D$15+'Project Assumptions'!$D$16='Detailed Cashflows'!BC$5,'Economic Assumptions'!$C19,0)+BB122</f>
        <v/>
      </c>
      <c r="BD122" s="301">
        <f>IF('Economic Assumptions'!$B19+'Project Assumptions'!$D$15+'Project Assumptions'!$D$16='Detailed Cashflows'!BD$5,'Economic Assumptions'!$C19,0)+BC122</f>
        <v/>
      </c>
      <c r="BE122" s="301">
        <f>IF('Economic Assumptions'!$B19+'Project Assumptions'!$D$15+'Project Assumptions'!$D$16='Detailed Cashflows'!BE$5,'Economic Assumptions'!$C19,0)+BD122</f>
        <v/>
      </c>
      <c r="BF122" s="301">
        <f>IF('Economic Assumptions'!$B19+'Project Assumptions'!$D$15+'Project Assumptions'!$D$16='Detailed Cashflows'!BF$5,'Economic Assumptions'!$C19,0)+BE122</f>
        <v/>
      </c>
      <c r="BG122" s="301">
        <f>IF('Economic Assumptions'!$B19+'Project Assumptions'!$D$15+'Project Assumptions'!$D$16='Detailed Cashflows'!BG$5,'Economic Assumptions'!$C19,0)+BF122</f>
        <v/>
      </c>
      <c r="BH122" s="301">
        <f>IF('Economic Assumptions'!$B19+'Project Assumptions'!$D$15+'Project Assumptions'!$D$16='Detailed Cashflows'!BH$5,'Economic Assumptions'!$C19,0)+BG122</f>
        <v/>
      </c>
      <c r="BI122" s="301">
        <f>IF('Economic Assumptions'!$B19+'Project Assumptions'!$D$15+'Project Assumptions'!$D$16='Detailed Cashflows'!BI$5,'Economic Assumptions'!$C19,0)+BH122</f>
        <v/>
      </c>
      <c r="BJ122" s="301">
        <f>IF('Economic Assumptions'!$B19+'Project Assumptions'!$D$15+'Project Assumptions'!$D$16='Detailed Cashflows'!BJ$5,'Economic Assumptions'!$C19,0)+BI122</f>
        <v/>
      </c>
      <c r="BK122" s="301">
        <f>IF('Economic Assumptions'!$B19+'Project Assumptions'!$D$15+'Project Assumptions'!$D$16='Detailed Cashflows'!BK$5,'Economic Assumptions'!$C19,0)+BJ122</f>
        <v/>
      </c>
      <c r="BL122" s="301">
        <f>IF('Economic Assumptions'!$B19+'Project Assumptions'!$D$15+'Project Assumptions'!$D$16='Detailed Cashflows'!BL$5,'Economic Assumptions'!$C19,0)+BK122</f>
        <v/>
      </c>
      <c r="BM122" s="301">
        <f>IF('Economic Assumptions'!$B19+'Project Assumptions'!$D$15+'Project Assumptions'!$D$16='Detailed Cashflows'!BM$5,'Economic Assumptions'!$C19,0)+BL122</f>
        <v/>
      </c>
      <c r="BN122" s="301">
        <f>IF('Economic Assumptions'!$B19+'Project Assumptions'!$D$15+'Project Assumptions'!$D$16='Detailed Cashflows'!BN$5,'Economic Assumptions'!$C19,0)+BM122</f>
        <v/>
      </c>
      <c r="BO122" s="301">
        <f>IF('Economic Assumptions'!$B19+'Project Assumptions'!$D$15+'Project Assumptions'!$D$16='Detailed Cashflows'!BO$5,'Economic Assumptions'!$C19,0)+BN122</f>
        <v/>
      </c>
      <c r="BP122" s="301">
        <f>IF('Economic Assumptions'!$B19+'Project Assumptions'!$D$15+'Project Assumptions'!$D$16='Detailed Cashflows'!BP$5,'Economic Assumptions'!$C19,0)+BO122</f>
        <v/>
      </c>
      <c r="BQ122" s="301">
        <f>IF('Economic Assumptions'!$B19+'Project Assumptions'!$D$15+'Project Assumptions'!$D$16='Detailed Cashflows'!BQ$5,'Economic Assumptions'!$C19,0)+BP122</f>
        <v/>
      </c>
      <c r="BR122" s="301">
        <f>IF('Economic Assumptions'!$B19+'Project Assumptions'!$D$15+'Project Assumptions'!$D$16='Detailed Cashflows'!BR$5,'Economic Assumptions'!$C19,0)+BQ122</f>
        <v/>
      </c>
      <c r="BS122" s="301">
        <f>IF('Economic Assumptions'!$B19+'Project Assumptions'!$D$15+'Project Assumptions'!$D$16='Detailed Cashflows'!BS$5,'Economic Assumptions'!$C19,0)+BR122</f>
        <v/>
      </c>
      <c r="BT122" s="301">
        <f>IF('Economic Assumptions'!$B19+'Project Assumptions'!$D$15+'Project Assumptions'!$D$16='Detailed Cashflows'!BT$5,'Economic Assumptions'!$C19,0)+BS122</f>
        <v/>
      </c>
      <c r="BU122" s="301">
        <f>IF('Economic Assumptions'!$B19+'Project Assumptions'!$D$15+'Project Assumptions'!$D$16='Detailed Cashflows'!BU$5,'Economic Assumptions'!$C19,0)+BT122</f>
        <v/>
      </c>
      <c r="BV122" s="301">
        <f>IF('Economic Assumptions'!$B19+'Project Assumptions'!$D$15+'Project Assumptions'!$D$16='Detailed Cashflows'!BV$5,'Economic Assumptions'!$C19,0)+BU122</f>
        <v/>
      </c>
      <c r="BW122" s="301">
        <f>IF('Economic Assumptions'!$B19+'Project Assumptions'!$D$15+'Project Assumptions'!$D$16='Detailed Cashflows'!BW$5,'Economic Assumptions'!$C19,0)+BV122</f>
        <v/>
      </c>
      <c r="BX122" s="301">
        <f>IF('Economic Assumptions'!$B19+'Project Assumptions'!$D$15+'Project Assumptions'!$D$16='Detailed Cashflows'!BX$5,'Economic Assumptions'!$C19,0)+BW122</f>
        <v/>
      </c>
      <c r="BY122" s="301">
        <f>IF('Economic Assumptions'!$B19+'Project Assumptions'!$D$15+'Project Assumptions'!$D$16='Detailed Cashflows'!BY$5,'Economic Assumptions'!$C19,0)+BX122</f>
        <v/>
      </c>
      <c r="BZ122" s="301">
        <f>IF('Economic Assumptions'!$B19+'Project Assumptions'!$D$15+'Project Assumptions'!$D$16='Detailed Cashflows'!BZ$5,'Economic Assumptions'!$C19,0)+BY122</f>
        <v/>
      </c>
      <c r="CA122" s="301">
        <f>IF('Economic Assumptions'!$B19+'Project Assumptions'!$D$15+'Project Assumptions'!$D$16='Detailed Cashflows'!CA$5,'Economic Assumptions'!$C19,0)+BZ122</f>
        <v/>
      </c>
      <c r="CB122" s="301">
        <f>IF('Economic Assumptions'!$B19+'Project Assumptions'!$D$15+'Project Assumptions'!$D$16='Detailed Cashflows'!CB$5,'Economic Assumptions'!$C19,0)+CA122</f>
        <v/>
      </c>
      <c r="CC122" s="301">
        <f>IF('Economic Assumptions'!$B19+'Project Assumptions'!$D$15+'Project Assumptions'!$D$16='Detailed Cashflows'!CC$5,'Economic Assumptions'!$C19,0)+CB122</f>
        <v/>
      </c>
      <c r="CD122" s="301">
        <f>IF('Economic Assumptions'!$B19+'Project Assumptions'!$D$15+'Project Assumptions'!$D$16='Detailed Cashflows'!CD$5,'Economic Assumptions'!$C19,0)+CC122</f>
        <v/>
      </c>
      <c r="CE122" s="301">
        <f>IF('Economic Assumptions'!$B19+'Project Assumptions'!$D$15+'Project Assumptions'!$D$16='Detailed Cashflows'!CE$5,'Economic Assumptions'!$C19,0)+CD122</f>
        <v/>
      </c>
      <c r="CF122" s="301">
        <f>IF('Economic Assumptions'!$B19+'Project Assumptions'!$D$15+'Project Assumptions'!$D$16='Detailed Cashflows'!CF$5,'Economic Assumptions'!$C19,0)+CE122</f>
        <v/>
      </c>
      <c r="CG122" s="301">
        <f>IF('Economic Assumptions'!$B19+'Project Assumptions'!$D$15+'Project Assumptions'!$D$16='Detailed Cashflows'!CG$5,'Economic Assumptions'!$C19,0)+CF122</f>
        <v/>
      </c>
      <c r="CH122" s="301">
        <f>IF('Economic Assumptions'!$B19+'Project Assumptions'!$D$15+'Project Assumptions'!$D$16='Detailed Cashflows'!CH$5,'Economic Assumptions'!$C19,0)+CG122</f>
        <v/>
      </c>
      <c r="CI122" s="301">
        <f>IF('Economic Assumptions'!$B19+'Project Assumptions'!$D$15+'Project Assumptions'!$D$16='Detailed Cashflows'!CI$5,'Economic Assumptions'!$C19,0)+CH122</f>
        <v/>
      </c>
      <c r="CJ122" s="301">
        <f>IF('Economic Assumptions'!$B19+'Project Assumptions'!$D$15+'Project Assumptions'!$D$16='Detailed Cashflows'!CJ$5,'Economic Assumptions'!$C19,0)+CI122</f>
        <v/>
      </c>
      <c r="CK122" s="301">
        <f>IF('Economic Assumptions'!$B19+'Project Assumptions'!$D$15+'Project Assumptions'!$D$16='Detailed Cashflows'!CK$5,'Economic Assumptions'!$C19,0)+CJ122</f>
        <v/>
      </c>
      <c r="CL122" s="301">
        <f>IF('Economic Assumptions'!$B19+'Project Assumptions'!$D$15+'Project Assumptions'!$D$16='Detailed Cashflows'!CL$5,'Economic Assumptions'!$C19,0)+CK122</f>
        <v/>
      </c>
      <c r="CM122" s="301">
        <f>IF('Economic Assumptions'!$B19+'Project Assumptions'!$D$15+'Project Assumptions'!$D$16='Detailed Cashflows'!CM$5,'Economic Assumptions'!$C19,0)+CL122</f>
        <v/>
      </c>
      <c r="CN122" s="301">
        <f>IF('Economic Assumptions'!$B19+'Project Assumptions'!$D$15+'Project Assumptions'!$D$16='Detailed Cashflows'!CN$5,'Economic Assumptions'!$C19,0)+CM122</f>
        <v/>
      </c>
      <c r="CO122" s="301">
        <f>IF('Economic Assumptions'!$B19+'Project Assumptions'!$D$15+'Project Assumptions'!$D$16='Detailed Cashflows'!CO$5,'Economic Assumptions'!$C19,0)+CN122</f>
        <v/>
      </c>
      <c r="CP122" s="301">
        <f>IF('Economic Assumptions'!$B19+'Project Assumptions'!$D$15+'Project Assumptions'!$D$16='Detailed Cashflows'!CP$5,'Economic Assumptions'!$C19,0)+CO122</f>
        <v/>
      </c>
      <c r="CQ122" s="301">
        <f>IF('Economic Assumptions'!$B19+'Project Assumptions'!$D$15+'Project Assumptions'!$D$16='Detailed Cashflows'!CQ$5,'Economic Assumptions'!$C19,0)+CP122</f>
        <v/>
      </c>
      <c r="CR122" s="301">
        <f>IF('Economic Assumptions'!$B19+'Project Assumptions'!$D$15+'Project Assumptions'!$D$16='Detailed Cashflows'!CR$5,'Economic Assumptions'!$C19,0)+CQ122</f>
        <v/>
      </c>
      <c r="CS122" s="301">
        <f>IF('Economic Assumptions'!$B19+'Project Assumptions'!$D$15+'Project Assumptions'!$D$16='Detailed Cashflows'!CS$5,'Economic Assumptions'!$C19,0)+CR122</f>
        <v/>
      </c>
      <c r="CT122" s="301">
        <f>IF('Economic Assumptions'!$B19+'Project Assumptions'!$D$15+'Project Assumptions'!$D$16='Detailed Cashflows'!CT$5,'Economic Assumptions'!$C19,0)+CS122</f>
        <v/>
      </c>
      <c r="CU122" s="301">
        <f>IF('Economic Assumptions'!$B19+'Project Assumptions'!$D$15+'Project Assumptions'!$D$16='Detailed Cashflows'!CU$5,'Economic Assumptions'!$C19,0)+CT122</f>
        <v/>
      </c>
      <c r="CV122" s="301">
        <f>IF('Economic Assumptions'!$B19+'Project Assumptions'!$D$15+'Project Assumptions'!$D$16='Detailed Cashflows'!CV$5,'Economic Assumptions'!$C19,0)+CU122</f>
        <v/>
      </c>
      <c r="CW122" s="301">
        <f>IF('Economic Assumptions'!$B19+'Project Assumptions'!$D$15+'Project Assumptions'!$D$16='Detailed Cashflows'!CW$5,'Economic Assumptions'!$C19,0)+CV122</f>
        <v/>
      </c>
      <c r="CX122" s="301">
        <f>IF('Economic Assumptions'!$B19+'Project Assumptions'!$D$15+'Project Assumptions'!$D$16='Detailed Cashflows'!CX$5,'Economic Assumptions'!$C19,0)+CW122</f>
        <v/>
      </c>
      <c r="CY122" s="301">
        <f>IF('Economic Assumptions'!$B19+'Project Assumptions'!$D$15+'Project Assumptions'!$D$16='Detailed Cashflows'!CY$5,'Economic Assumptions'!$C19,0)+CX122</f>
        <v/>
      </c>
      <c r="CZ122" s="301">
        <f>IF('Economic Assumptions'!$B19+'Project Assumptions'!$D$15+'Project Assumptions'!$D$16='Detailed Cashflows'!CZ$5,'Economic Assumptions'!$C19,0)+CY122</f>
        <v/>
      </c>
      <c r="DA122" s="301">
        <f>IF('Economic Assumptions'!$B19+'Project Assumptions'!$D$15+'Project Assumptions'!$D$16='Detailed Cashflows'!DA$5,'Economic Assumptions'!$C19,0)+CZ122</f>
        <v/>
      </c>
      <c r="DB122" s="301">
        <f>IF('Economic Assumptions'!$B19+'Project Assumptions'!$D$15+'Project Assumptions'!$D$16='Detailed Cashflows'!DB$5,'Economic Assumptions'!$C19,0)+DA122</f>
        <v/>
      </c>
      <c r="DC122" s="301" t="n"/>
      <c r="DD122" s="299">
        <f>MAX(F122:DB122)</f>
        <v/>
      </c>
    </row>
    <row r="123" hidden="1" outlineLevel="1">
      <c r="A123" s="1000" t="n"/>
      <c r="B123" s="710" t="inlineStr">
        <is>
          <t>Lease #11</t>
        </is>
      </c>
      <c r="C123" s="337" t="n"/>
      <c r="D123" s="305">
        <f>DD123</f>
        <v/>
      </c>
      <c r="E123" s="306" t="n"/>
      <c r="F123" s="891" t="n"/>
      <c r="G123" s="891">
        <f>IF('Economic Assumptions'!$B20+'Project Assumptions'!$D$15+'Project Assumptions'!$D$16='Detailed Cashflows'!G$5,'Economic Assumptions'!$C20,0)</f>
        <v/>
      </c>
      <c r="H123" s="891">
        <f>IF('Economic Assumptions'!$B20+'Project Assumptions'!$D$15+'Project Assumptions'!$D$16='Detailed Cashflows'!H$5,'Economic Assumptions'!$C20,0)+G123</f>
        <v/>
      </c>
      <c r="I123" s="891">
        <f>IF('Economic Assumptions'!$B20+'Project Assumptions'!$D$15+'Project Assumptions'!$D$16='Detailed Cashflows'!I$5,'Economic Assumptions'!$C20,0)+H123</f>
        <v/>
      </c>
      <c r="J123" s="891">
        <f>IF('Economic Assumptions'!$B20+'Project Assumptions'!$D$15+'Project Assumptions'!$D$16='Detailed Cashflows'!J$5,'Economic Assumptions'!$C20,0)+I123</f>
        <v/>
      </c>
      <c r="K123" s="891">
        <f>IF('Economic Assumptions'!$B20+'Project Assumptions'!$D$15+'Project Assumptions'!$D$16='Detailed Cashflows'!K$5,'Economic Assumptions'!$C20,0)+J123</f>
        <v/>
      </c>
      <c r="L123" s="891">
        <f>IF('Economic Assumptions'!$B20+'Project Assumptions'!$D$15+'Project Assumptions'!$D$16='Detailed Cashflows'!L$5,'Economic Assumptions'!$C20,0)+K123</f>
        <v/>
      </c>
      <c r="M123" s="891">
        <f>IF('Economic Assumptions'!$B20+'Project Assumptions'!$D$15+'Project Assumptions'!$D$16='Detailed Cashflows'!M$5,'Economic Assumptions'!$C20,0)+L123</f>
        <v/>
      </c>
      <c r="N123" s="891">
        <f>IF('Economic Assumptions'!$B20+'Project Assumptions'!$D$15+'Project Assumptions'!$D$16='Detailed Cashflows'!N$5,'Economic Assumptions'!$C20,0)+M123</f>
        <v/>
      </c>
      <c r="O123" s="891">
        <f>IF('Economic Assumptions'!$B20+'Project Assumptions'!$D$15+'Project Assumptions'!$D$16='Detailed Cashflows'!O$5,'Economic Assumptions'!$C20,0)+N123</f>
        <v/>
      </c>
      <c r="P123" s="891">
        <f>IF('Economic Assumptions'!$B20+'Project Assumptions'!$D$15+'Project Assumptions'!$D$16='Detailed Cashflows'!P$5,'Economic Assumptions'!$C20,0)+O123</f>
        <v/>
      </c>
      <c r="Q123" s="891">
        <f>IF('Economic Assumptions'!$B20+'Project Assumptions'!$D$15+'Project Assumptions'!$D$16='Detailed Cashflows'!Q$5,'Economic Assumptions'!$C20,0)+P123</f>
        <v/>
      </c>
      <c r="R123" s="891">
        <f>IF('Economic Assumptions'!$B20+'Project Assumptions'!$D$15+'Project Assumptions'!$D$16='Detailed Cashflows'!R$5,'Economic Assumptions'!$C20,0)+Q123</f>
        <v/>
      </c>
      <c r="S123" s="891">
        <f>IF('Economic Assumptions'!$B20+'Project Assumptions'!$D$15+'Project Assumptions'!$D$16='Detailed Cashflows'!S$5,'Economic Assumptions'!$C20,0)+R123</f>
        <v/>
      </c>
      <c r="T123" s="891">
        <f>IF('Economic Assumptions'!$B20+'Project Assumptions'!$D$15+'Project Assumptions'!$D$16='Detailed Cashflows'!T$5,'Economic Assumptions'!$C20,0)+S123</f>
        <v/>
      </c>
      <c r="U123" s="891">
        <f>IF('Economic Assumptions'!$B20+'Project Assumptions'!$D$15+'Project Assumptions'!$D$16='Detailed Cashflows'!U$5,'Economic Assumptions'!$C20,0)+T123</f>
        <v/>
      </c>
      <c r="V123" s="891">
        <f>IF('Economic Assumptions'!$B20+'Project Assumptions'!$D$15+'Project Assumptions'!$D$16='Detailed Cashflows'!V$5,'Economic Assumptions'!$C20,0)+U123</f>
        <v/>
      </c>
      <c r="W123" s="891">
        <f>IF('Economic Assumptions'!$B20+'Project Assumptions'!$D$15+'Project Assumptions'!$D$16='Detailed Cashflows'!W$5,'Economic Assumptions'!$C20,0)+V123</f>
        <v/>
      </c>
      <c r="X123" s="891">
        <f>IF('Economic Assumptions'!$B20+'Project Assumptions'!$D$15+'Project Assumptions'!$D$16='Detailed Cashflows'!X$5,'Economic Assumptions'!$C20,0)+W123</f>
        <v/>
      </c>
      <c r="Y123" s="891">
        <f>IF('Economic Assumptions'!$B20+'Project Assumptions'!$D$15+'Project Assumptions'!$D$16='Detailed Cashflows'!Y$5,'Economic Assumptions'!$C20,0)+X123</f>
        <v/>
      </c>
      <c r="Z123" s="891">
        <f>IF('Economic Assumptions'!$B20+'Project Assumptions'!$D$15+'Project Assumptions'!$D$16='Detailed Cashflows'!Z$5,'Economic Assumptions'!$C20,0)+Y123</f>
        <v/>
      </c>
      <c r="AA123" s="891">
        <f>IF('Economic Assumptions'!$B20+'Project Assumptions'!$D$15+'Project Assumptions'!$D$16='Detailed Cashflows'!AA$5,'Economic Assumptions'!$C20,0)+Z123</f>
        <v/>
      </c>
      <c r="AB123" s="891">
        <f>IF('Economic Assumptions'!$B20+'Project Assumptions'!$D$15+'Project Assumptions'!$D$16='Detailed Cashflows'!AB$5,'Economic Assumptions'!$C20,0)+AA123</f>
        <v/>
      </c>
      <c r="AC123" s="891">
        <f>IF('Economic Assumptions'!$B20+'Project Assumptions'!$D$15+'Project Assumptions'!$D$16='Detailed Cashflows'!AC$5,'Economic Assumptions'!$C20,0)+AB123</f>
        <v/>
      </c>
      <c r="AD123" s="891">
        <f>IF('Economic Assumptions'!$B20+'Project Assumptions'!$D$15+'Project Assumptions'!$D$16='Detailed Cashflows'!AD$5,'Economic Assumptions'!$C20,0)+AC123</f>
        <v/>
      </c>
      <c r="AE123" s="891">
        <f>IF('Economic Assumptions'!$B20+'Project Assumptions'!$D$15+'Project Assumptions'!$D$16='Detailed Cashflows'!AE$5,'Economic Assumptions'!$C20,0)+AD123</f>
        <v/>
      </c>
      <c r="AF123" s="891">
        <f>IF('Economic Assumptions'!$B20+'Project Assumptions'!$D$15+'Project Assumptions'!$D$16='Detailed Cashflows'!AF$5,'Economic Assumptions'!$C20,0)+AE123</f>
        <v/>
      </c>
      <c r="AG123" s="891">
        <f>IF('Economic Assumptions'!$B20+'Project Assumptions'!$D$15+'Project Assumptions'!$D$16='Detailed Cashflows'!AG$5,'Economic Assumptions'!$C20,0)+AF123</f>
        <v/>
      </c>
      <c r="AH123" s="891">
        <f>IF('Economic Assumptions'!$B20+'Project Assumptions'!$D$15+'Project Assumptions'!$D$16='Detailed Cashflows'!AH$5,'Economic Assumptions'!$C20,0)+AG123</f>
        <v/>
      </c>
      <c r="AI123" s="891">
        <f>IF('Economic Assumptions'!$B20+'Project Assumptions'!$D$15+'Project Assumptions'!$D$16='Detailed Cashflows'!AI$5,'Economic Assumptions'!$C20,0)+AH123</f>
        <v/>
      </c>
      <c r="AJ123" s="891">
        <f>IF('Economic Assumptions'!$B20+'Project Assumptions'!$D$15+'Project Assumptions'!$D$16='Detailed Cashflows'!AJ$5,'Economic Assumptions'!$C20,0)+AI123</f>
        <v/>
      </c>
      <c r="AK123" s="891">
        <f>IF('Economic Assumptions'!$B20+'Project Assumptions'!$D$15+'Project Assumptions'!$D$16='Detailed Cashflows'!AK$5,'Economic Assumptions'!$C20,0)+AJ123</f>
        <v/>
      </c>
      <c r="AL123" s="891">
        <f>IF('Economic Assumptions'!$B20+'Project Assumptions'!$D$15+'Project Assumptions'!$D$16='Detailed Cashflows'!AL$5,'Economic Assumptions'!$C20,0)+AK123</f>
        <v/>
      </c>
      <c r="AM123" s="891">
        <f>IF('Economic Assumptions'!$B20+'Project Assumptions'!$D$15+'Project Assumptions'!$D$16='Detailed Cashflows'!AM$5,'Economic Assumptions'!$C20,0)+AL123</f>
        <v/>
      </c>
      <c r="AN123" s="891">
        <f>IF('Economic Assumptions'!$B20+'Project Assumptions'!$D$15+'Project Assumptions'!$D$16='Detailed Cashflows'!AN$5,'Economic Assumptions'!$C20,0)+AM123</f>
        <v/>
      </c>
      <c r="AO123" s="891">
        <f>IF('Economic Assumptions'!$B20+'Project Assumptions'!$D$15+'Project Assumptions'!$D$16='Detailed Cashflows'!AO$5,'Economic Assumptions'!$C20,0)+AN123</f>
        <v/>
      </c>
      <c r="AP123" s="891">
        <f>IF('Economic Assumptions'!$B20+'Project Assumptions'!$D$15+'Project Assumptions'!$D$16='Detailed Cashflows'!AP$5,'Economic Assumptions'!$C20,0)+AO123</f>
        <v/>
      </c>
      <c r="AQ123" s="891">
        <f>IF('Economic Assumptions'!$B20+'Project Assumptions'!$D$15+'Project Assumptions'!$D$16='Detailed Cashflows'!AQ$5,'Economic Assumptions'!$C20,0)+AP123</f>
        <v/>
      </c>
      <c r="AR123" s="891">
        <f>IF('Economic Assumptions'!$B20+'Project Assumptions'!$D$15+'Project Assumptions'!$D$16='Detailed Cashflows'!AR$5,'Economic Assumptions'!$C20,0)+AQ123</f>
        <v/>
      </c>
      <c r="AS123" s="891">
        <f>IF('Economic Assumptions'!$B20+'Project Assumptions'!$D$15+'Project Assumptions'!$D$16='Detailed Cashflows'!AS$5,'Economic Assumptions'!$C20,0)+AR123</f>
        <v/>
      </c>
      <c r="AT123" s="891">
        <f>IF('Economic Assumptions'!$B20+'Project Assumptions'!$D$15+'Project Assumptions'!$D$16='Detailed Cashflows'!AT$5,'Economic Assumptions'!$C20,0)+AS123</f>
        <v/>
      </c>
      <c r="AU123" s="891">
        <f>IF('Economic Assumptions'!$B20+'Project Assumptions'!$D$15+'Project Assumptions'!$D$16='Detailed Cashflows'!AU$5,'Economic Assumptions'!$C20,0)+AT123</f>
        <v/>
      </c>
      <c r="AV123" s="891">
        <f>IF('Economic Assumptions'!$B20+'Project Assumptions'!$D$15+'Project Assumptions'!$D$16='Detailed Cashflows'!AV$5,'Economic Assumptions'!$C20,0)+AU123</f>
        <v/>
      </c>
      <c r="AW123" s="891">
        <f>IF('Economic Assumptions'!$B20+'Project Assumptions'!$D$15+'Project Assumptions'!$D$16='Detailed Cashflows'!AW$5,'Economic Assumptions'!$C20,0)+AV123</f>
        <v/>
      </c>
      <c r="AX123" s="891">
        <f>IF('Economic Assumptions'!$B20+'Project Assumptions'!$D$15+'Project Assumptions'!$D$16='Detailed Cashflows'!AX$5,'Economic Assumptions'!$C20,0)+AW123</f>
        <v/>
      </c>
      <c r="AY123" s="891">
        <f>IF('Economic Assumptions'!$B20+'Project Assumptions'!$D$15+'Project Assumptions'!$D$16='Detailed Cashflows'!AY$5,'Economic Assumptions'!$C20,0)+AX123</f>
        <v/>
      </c>
      <c r="AZ123" s="891">
        <f>IF('Economic Assumptions'!$B20+'Project Assumptions'!$D$15+'Project Assumptions'!$D$16='Detailed Cashflows'!AZ$5,'Economic Assumptions'!$C20,0)+AY123</f>
        <v/>
      </c>
      <c r="BA123" s="891">
        <f>IF('Economic Assumptions'!$B20+'Project Assumptions'!$D$15+'Project Assumptions'!$D$16='Detailed Cashflows'!BA$5,'Economic Assumptions'!$C20,0)+AZ123</f>
        <v/>
      </c>
      <c r="BB123" s="891">
        <f>IF('Economic Assumptions'!$B20+'Project Assumptions'!$D$15+'Project Assumptions'!$D$16='Detailed Cashflows'!BB$5,'Economic Assumptions'!$C20,0)+BA123</f>
        <v/>
      </c>
      <c r="BC123" s="891">
        <f>IF('Economic Assumptions'!$B20+'Project Assumptions'!$D$15+'Project Assumptions'!$D$16='Detailed Cashflows'!BC$5,'Economic Assumptions'!$C20,0)+BB123</f>
        <v/>
      </c>
      <c r="BD123" s="891">
        <f>IF('Economic Assumptions'!$B20+'Project Assumptions'!$D$15+'Project Assumptions'!$D$16='Detailed Cashflows'!BD$5,'Economic Assumptions'!$C20,0)+BC123</f>
        <v/>
      </c>
      <c r="BE123" s="891">
        <f>IF('Economic Assumptions'!$B20+'Project Assumptions'!$D$15+'Project Assumptions'!$D$16='Detailed Cashflows'!BE$5,'Economic Assumptions'!$C20,0)+BD123</f>
        <v/>
      </c>
      <c r="BF123" s="891">
        <f>IF('Economic Assumptions'!$B20+'Project Assumptions'!$D$15+'Project Assumptions'!$D$16='Detailed Cashflows'!BF$5,'Economic Assumptions'!$C20,0)+BE123</f>
        <v/>
      </c>
      <c r="BG123" s="891">
        <f>IF('Economic Assumptions'!$B20+'Project Assumptions'!$D$15+'Project Assumptions'!$D$16='Detailed Cashflows'!BG$5,'Economic Assumptions'!$C20,0)+BF123</f>
        <v/>
      </c>
      <c r="BH123" s="891">
        <f>IF('Economic Assumptions'!$B20+'Project Assumptions'!$D$15+'Project Assumptions'!$D$16='Detailed Cashflows'!BH$5,'Economic Assumptions'!$C20,0)+BG123</f>
        <v/>
      </c>
      <c r="BI123" s="891">
        <f>IF('Economic Assumptions'!$B20+'Project Assumptions'!$D$15+'Project Assumptions'!$D$16='Detailed Cashflows'!BI$5,'Economic Assumptions'!$C20,0)+BH123</f>
        <v/>
      </c>
      <c r="BJ123" s="891">
        <f>IF('Economic Assumptions'!$B20+'Project Assumptions'!$D$15+'Project Assumptions'!$D$16='Detailed Cashflows'!BJ$5,'Economic Assumptions'!$C20,0)+BI123</f>
        <v/>
      </c>
      <c r="BK123" s="891">
        <f>IF('Economic Assumptions'!$B20+'Project Assumptions'!$D$15+'Project Assumptions'!$D$16='Detailed Cashflows'!BK$5,'Economic Assumptions'!$C20,0)+BJ123</f>
        <v/>
      </c>
      <c r="BL123" s="891">
        <f>IF('Economic Assumptions'!$B20+'Project Assumptions'!$D$15+'Project Assumptions'!$D$16='Detailed Cashflows'!BL$5,'Economic Assumptions'!$C20,0)+BK123</f>
        <v/>
      </c>
      <c r="BM123" s="891">
        <f>IF('Economic Assumptions'!$B20+'Project Assumptions'!$D$15+'Project Assumptions'!$D$16='Detailed Cashflows'!BM$5,'Economic Assumptions'!$C20,0)+BL123</f>
        <v/>
      </c>
      <c r="BN123" s="891">
        <f>IF('Economic Assumptions'!$B20+'Project Assumptions'!$D$15+'Project Assumptions'!$D$16='Detailed Cashflows'!BN$5,'Economic Assumptions'!$C20,0)+BM123</f>
        <v/>
      </c>
      <c r="BO123" s="891">
        <f>IF('Economic Assumptions'!$B20+'Project Assumptions'!$D$15+'Project Assumptions'!$D$16='Detailed Cashflows'!BO$5,'Economic Assumptions'!$C20,0)+BN123</f>
        <v/>
      </c>
      <c r="BP123" s="891">
        <f>IF('Economic Assumptions'!$B20+'Project Assumptions'!$D$15+'Project Assumptions'!$D$16='Detailed Cashflows'!BP$5,'Economic Assumptions'!$C20,0)+BO123</f>
        <v/>
      </c>
      <c r="BQ123" s="891">
        <f>IF('Economic Assumptions'!$B20+'Project Assumptions'!$D$15+'Project Assumptions'!$D$16='Detailed Cashflows'!BQ$5,'Economic Assumptions'!$C20,0)+BP123</f>
        <v/>
      </c>
      <c r="BR123" s="891">
        <f>IF('Economic Assumptions'!$B20+'Project Assumptions'!$D$15+'Project Assumptions'!$D$16='Detailed Cashflows'!BR$5,'Economic Assumptions'!$C20,0)+BQ123</f>
        <v/>
      </c>
      <c r="BS123" s="891">
        <f>IF('Economic Assumptions'!$B20+'Project Assumptions'!$D$15+'Project Assumptions'!$D$16='Detailed Cashflows'!BS$5,'Economic Assumptions'!$C20,0)+BR123</f>
        <v/>
      </c>
      <c r="BT123" s="891">
        <f>IF('Economic Assumptions'!$B20+'Project Assumptions'!$D$15+'Project Assumptions'!$D$16='Detailed Cashflows'!BT$5,'Economic Assumptions'!$C20,0)+BS123</f>
        <v/>
      </c>
      <c r="BU123" s="891">
        <f>IF('Economic Assumptions'!$B20+'Project Assumptions'!$D$15+'Project Assumptions'!$D$16='Detailed Cashflows'!BU$5,'Economic Assumptions'!$C20,0)+BT123</f>
        <v/>
      </c>
      <c r="BV123" s="891">
        <f>IF('Economic Assumptions'!$B20+'Project Assumptions'!$D$15+'Project Assumptions'!$D$16='Detailed Cashflows'!BV$5,'Economic Assumptions'!$C20,0)+BU123</f>
        <v/>
      </c>
      <c r="BW123" s="891">
        <f>IF('Economic Assumptions'!$B20+'Project Assumptions'!$D$15+'Project Assumptions'!$D$16='Detailed Cashflows'!BW$5,'Economic Assumptions'!$C20,0)+BV123</f>
        <v/>
      </c>
      <c r="BX123" s="891">
        <f>IF('Economic Assumptions'!$B20+'Project Assumptions'!$D$15+'Project Assumptions'!$D$16='Detailed Cashflows'!BX$5,'Economic Assumptions'!$C20,0)+BW123</f>
        <v/>
      </c>
      <c r="BY123" s="891">
        <f>IF('Economic Assumptions'!$B20+'Project Assumptions'!$D$15+'Project Assumptions'!$D$16='Detailed Cashflows'!BY$5,'Economic Assumptions'!$C20,0)+BX123</f>
        <v/>
      </c>
      <c r="BZ123" s="891">
        <f>IF('Economic Assumptions'!$B20+'Project Assumptions'!$D$15+'Project Assumptions'!$D$16='Detailed Cashflows'!BZ$5,'Economic Assumptions'!$C20,0)+BY123</f>
        <v/>
      </c>
      <c r="CA123" s="891">
        <f>IF('Economic Assumptions'!$B20+'Project Assumptions'!$D$15+'Project Assumptions'!$D$16='Detailed Cashflows'!CA$5,'Economic Assumptions'!$C20,0)+BZ123</f>
        <v/>
      </c>
      <c r="CB123" s="891">
        <f>IF('Economic Assumptions'!$B20+'Project Assumptions'!$D$15+'Project Assumptions'!$D$16='Detailed Cashflows'!CB$5,'Economic Assumptions'!$C20,0)+CA123</f>
        <v/>
      </c>
      <c r="CC123" s="891">
        <f>IF('Economic Assumptions'!$B20+'Project Assumptions'!$D$15+'Project Assumptions'!$D$16='Detailed Cashflows'!CC$5,'Economic Assumptions'!$C20,0)+CB123</f>
        <v/>
      </c>
      <c r="CD123" s="891">
        <f>IF('Economic Assumptions'!$B20+'Project Assumptions'!$D$15+'Project Assumptions'!$D$16='Detailed Cashflows'!CD$5,'Economic Assumptions'!$C20,0)+CC123</f>
        <v/>
      </c>
      <c r="CE123" s="891">
        <f>IF('Economic Assumptions'!$B20+'Project Assumptions'!$D$15+'Project Assumptions'!$D$16='Detailed Cashflows'!CE$5,'Economic Assumptions'!$C20,0)+CD123</f>
        <v/>
      </c>
      <c r="CF123" s="891">
        <f>IF('Economic Assumptions'!$B20+'Project Assumptions'!$D$15+'Project Assumptions'!$D$16='Detailed Cashflows'!CF$5,'Economic Assumptions'!$C20,0)+CE123</f>
        <v/>
      </c>
      <c r="CG123" s="891">
        <f>IF('Economic Assumptions'!$B20+'Project Assumptions'!$D$15+'Project Assumptions'!$D$16='Detailed Cashflows'!CG$5,'Economic Assumptions'!$C20,0)+CF123</f>
        <v/>
      </c>
      <c r="CH123" s="891">
        <f>IF('Economic Assumptions'!$B20+'Project Assumptions'!$D$15+'Project Assumptions'!$D$16='Detailed Cashflows'!CH$5,'Economic Assumptions'!$C20,0)+CG123</f>
        <v/>
      </c>
      <c r="CI123" s="891">
        <f>IF('Economic Assumptions'!$B20+'Project Assumptions'!$D$15+'Project Assumptions'!$D$16='Detailed Cashflows'!CI$5,'Economic Assumptions'!$C20,0)+CH123</f>
        <v/>
      </c>
      <c r="CJ123" s="891">
        <f>IF('Economic Assumptions'!$B20+'Project Assumptions'!$D$15+'Project Assumptions'!$D$16='Detailed Cashflows'!CJ$5,'Economic Assumptions'!$C20,0)+CI123</f>
        <v/>
      </c>
      <c r="CK123" s="891">
        <f>IF('Economic Assumptions'!$B20+'Project Assumptions'!$D$15+'Project Assumptions'!$D$16='Detailed Cashflows'!CK$5,'Economic Assumptions'!$C20,0)+CJ123</f>
        <v/>
      </c>
      <c r="CL123" s="891">
        <f>IF('Economic Assumptions'!$B20+'Project Assumptions'!$D$15+'Project Assumptions'!$D$16='Detailed Cashflows'!CL$5,'Economic Assumptions'!$C20,0)+CK123</f>
        <v/>
      </c>
      <c r="CM123" s="891">
        <f>IF('Economic Assumptions'!$B20+'Project Assumptions'!$D$15+'Project Assumptions'!$D$16='Detailed Cashflows'!CM$5,'Economic Assumptions'!$C20,0)+CL123</f>
        <v/>
      </c>
      <c r="CN123" s="891">
        <f>IF('Economic Assumptions'!$B20+'Project Assumptions'!$D$15+'Project Assumptions'!$D$16='Detailed Cashflows'!CN$5,'Economic Assumptions'!$C20,0)+CM123</f>
        <v/>
      </c>
      <c r="CO123" s="891">
        <f>IF('Economic Assumptions'!$B20+'Project Assumptions'!$D$15+'Project Assumptions'!$D$16='Detailed Cashflows'!CO$5,'Economic Assumptions'!$C20,0)+CN123</f>
        <v/>
      </c>
      <c r="CP123" s="891">
        <f>IF('Economic Assumptions'!$B20+'Project Assumptions'!$D$15+'Project Assumptions'!$D$16='Detailed Cashflows'!CP$5,'Economic Assumptions'!$C20,0)+CO123</f>
        <v/>
      </c>
      <c r="CQ123" s="891">
        <f>IF('Economic Assumptions'!$B20+'Project Assumptions'!$D$15+'Project Assumptions'!$D$16='Detailed Cashflows'!CQ$5,'Economic Assumptions'!$C20,0)+CP123</f>
        <v/>
      </c>
      <c r="CR123" s="891">
        <f>IF('Economic Assumptions'!$B20+'Project Assumptions'!$D$15+'Project Assumptions'!$D$16='Detailed Cashflows'!CR$5,'Economic Assumptions'!$C20,0)+CQ123</f>
        <v/>
      </c>
      <c r="CS123" s="891">
        <f>IF('Economic Assumptions'!$B20+'Project Assumptions'!$D$15+'Project Assumptions'!$D$16='Detailed Cashflows'!CS$5,'Economic Assumptions'!$C20,0)+CR123</f>
        <v/>
      </c>
      <c r="CT123" s="891">
        <f>IF('Economic Assumptions'!$B20+'Project Assumptions'!$D$15+'Project Assumptions'!$D$16='Detailed Cashflows'!CT$5,'Economic Assumptions'!$C20,0)+CS123</f>
        <v/>
      </c>
      <c r="CU123" s="891">
        <f>IF('Economic Assumptions'!$B20+'Project Assumptions'!$D$15+'Project Assumptions'!$D$16='Detailed Cashflows'!CU$5,'Economic Assumptions'!$C20,0)+CT123</f>
        <v/>
      </c>
      <c r="CV123" s="891">
        <f>IF('Economic Assumptions'!$B20+'Project Assumptions'!$D$15+'Project Assumptions'!$D$16='Detailed Cashflows'!CV$5,'Economic Assumptions'!$C20,0)+CU123</f>
        <v/>
      </c>
      <c r="CW123" s="891">
        <f>IF('Economic Assumptions'!$B20+'Project Assumptions'!$D$15+'Project Assumptions'!$D$16='Detailed Cashflows'!CW$5,'Economic Assumptions'!$C20,0)+CV123</f>
        <v/>
      </c>
      <c r="CX123" s="891">
        <f>IF('Economic Assumptions'!$B20+'Project Assumptions'!$D$15+'Project Assumptions'!$D$16='Detailed Cashflows'!CX$5,'Economic Assumptions'!$C20,0)+CW123</f>
        <v/>
      </c>
      <c r="CY123" s="891">
        <f>IF('Economic Assumptions'!$B20+'Project Assumptions'!$D$15+'Project Assumptions'!$D$16='Detailed Cashflows'!CY$5,'Economic Assumptions'!$C20,0)+CX123</f>
        <v/>
      </c>
      <c r="CZ123" s="891">
        <f>IF('Economic Assumptions'!$B20+'Project Assumptions'!$D$15+'Project Assumptions'!$D$16='Detailed Cashflows'!CZ$5,'Economic Assumptions'!$C20,0)+CY123</f>
        <v/>
      </c>
      <c r="DA123" s="891">
        <f>IF('Economic Assumptions'!$B20+'Project Assumptions'!$D$15+'Project Assumptions'!$D$16='Detailed Cashflows'!DA$5,'Economic Assumptions'!$C20,0)+CZ123</f>
        <v/>
      </c>
      <c r="DB123" s="891">
        <f>IF('Economic Assumptions'!$B20+'Project Assumptions'!$D$15+'Project Assumptions'!$D$16='Detailed Cashflows'!DB$5,'Economic Assumptions'!$C20,0)+DA123</f>
        <v/>
      </c>
      <c r="DC123" s="891" t="n"/>
      <c r="DD123" s="305">
        <f>MAX(F123:DB123)</f>
        <v/>
      </c>
    </row>
    <row r="124" collapsed="1">
      <c r="A124" s="1000" t="n"/>
      <c r="B124" s="316" t="inlineStr">
        <is>
          <t xml:space="preserve">   Calculations - thru Project Sale</t>
        </is>
      </c>
      <c r="C124" s="317" t="n"/>
      <c r="D124" s="318" t="n"/>
      <c r="E124" s="271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  <c r="AS124" s="13" t="n"/>
      <c r="AT124" s="13" t="n"/>
      <c r="AU124" s="13" t="n"/>
      <c r="AV124" s="13" t="n"/>
      <c r="AW124" s="13" t="n"/>
      <c r="AX124" s="13" t="n"/>
      <c r="AY124" s="13" t="n"/>
      <c r="AZ124" s="13" t="n"/>
      <c r="BA124" s="13" t="n"/>
      <c r="BB124" s="13" t="n"/>
      <c r="BC124" s="13" t="n"/>
      <c r="BD124" s="13" t="n"/>
      <c r="BE124" s="13" t="n"/>
      <c r="BF124" s="13" t="n"/>
      <c r="BG124" s="13" t="n"/>
      <c r="BH124" s="13" t="n"/>
      <c r="BI124" s="13" t="n"/>
      <c r="BJ124" s="13" t="n"/>
      <c r="BK124" s="13" t="n"/>
      <c r="BL124" s="13" t="n"/>
      <c r="BM124" s="13" t="n"/>
      <c r="BN124" s="13" t="n"/>
      <c r="BO124" s="13" t="n"/>
      <c r="BP124" s="13" t="n"/>
      <c r="BQ124" s="13" t="n"/>
      <c r="BR124" s="13" t="n"/>
      <c r="BS124" s="13" t="n"/>
      <c r="BT124" s="13" t="n"/>
      <c r="BU124" s="13" t="n"/>
      <c r="BV124" s="13" t="n"/>
      <c r="BW124" s="13" t="n"/>
      <c r="BX124" s="13" t="n"/>
      <c r="BY124" s="13" t="n"/>
      <c r="BZ124" s="13" t="n"/>
      <c r="CA124" s="13" t="n"/>
      <c r="CB124" s="13" t="n"/>
      <c r="CC124" s="13" t="n"/>
      <c r="CD124" s="13" t="n"/>
      <c r="CE124" s="13" t="n"/>
      <c r="CF124" s="13" t="n"/>
      <c r="CG124" s="13" t="n"/>
      <c r="CH124" s="13" t="n"/>
      <c r="CI124" s="13" t="n"/>
      <c r="CJ124" s="13" t="n"/>
      <c r="CK124" s="13" t="n"/>
      <c r="CL124" s="13" t="n"/>
      <c r="CM124" s="13" t="n"/>
      <c r="CN124" s="13" t="n"/>
      <c r="CO124" s="13" t="n"/>
      <c r="CP124" s="13" t="n"/>
      <c r="CQ124" s="13" t="n"/>
      <c r="CR124" s="13" t="n"/>
      <c r="CS124" s="13" t="n"/>
      <c r="CT124" s="13" t="n"/>
      <c r="CU124" s="13" t="n"/>
      <c r="CV124" s="13" t="n"/>
      <c r="CW124" s="13" t="n"/>
      <c r="CX124" s="13" t="n"/>
      <c r="CY124" s="13" t="n"/>
      <c r="CZ124" s="13" t="n"/>
      <c r="DA124" s="13" t="n"/>
      <c r="DB124" s="13" t="n"/>
      <c r="DC124" s="13" t="n"/>
      <c r="DD124" s="13" t="n"/>
    </row>
    <row r="125">
      <c r="A125" s="1000" t="n"/>
      <c r="B125" s="591" t="inlineStr">
        <is>
          <t xml:space="preserve">   Interest - after CO</t>
        </is>
      </c>
      <c r="C125" s="592" t="n"/>
      <c r="D125" s="593">
        <f>DD125</f>
        <v/>
      </c>
      <c r="E125" s="594" t="n"/>
      <c r="F125" s="595" t="n"/>
      <c r="G125" s="595">
        <f>IF(G5&gt;'Project Assumptions'!$D$15+'Project Assumptions'!$D$16,IF(G5&lt;='Project Returns'!$F$32,IF(G5&gt;'Project Assumptions'!$D$15+1,(MIN(0,-F213))*'Project Assumptions'!$D$26/12,0),0),0)+IF(G5&gt;'Project Assumptions'!$D$15+'Project Assumptions'!$D$16,IF(G5&lt;='Project Returns'!$F$32,IF(G5='Project Assumptions'!$D$15+1,(MIN(0,-F202-F206))*'Project Assumptions'!$D$26/12,0),0),0)</f>
        <v/>
      </c>
      <c r="H125" s="595">
        <f>IF(H5&gt;'Project Assumptions'!$D$15+'Project Assumptions'!$D$16,IF(H5&lt;='Project Returns'!$F$32,IF(H5&gt;'Project Assumptions'!$D$15+1,(MIN(0,-G213))*'Project Assumptions'!$D$26/12,0),0),0)+IF(H5&gt;'Project Assumptions'!$D$15+'Project Assumptions'!$D$16,IF(H5&lt;='Project Returns'!$F$32,IF(H5='Project Assumptions'!$D$15+1,(MIN(0,-G202-G206))*'Project Assumptions'!$D$26/12,0),0),0)</f>
        <v/>
      </c>
      <c r="I125" s="595">
        <f>IF(I5&gt;'Project Assumptions'!$D$15+'Project Assumptions'!$D$16,IF(I5&lt;='Project Returns'!$F$32,IF(I5&gt;'Project Assumptions'!$D$15+1,(MIN(0,-H213))*'Project Assumptions'!$D$26/12,0),0),0)+IF(I5&gt;'Project Assumptions'!$D$15+'Project Assumptions'!$D$16,IF(I5&lt;='Project Returns'!$F$32,IF(I5='Project Assumptions'!$D$15+1,(MIN(0,-H202-H206))*'Project Assumptions'!$D$26/12,0),0),0)</f>
        <v/>
      </c>
      <c r="J125" s="595">
        <f>IF(J5&gt;'Project Assumptions'!$D$15+'Project Assumptions'!$D$16,IF(J5&lt;='Project Returns'!$F$32,IF(J5&gt;'Project Assumptions'!$D$15+1,(MIN(0,-I213))*'Project Assumptions'!$D$26/12,0),0),0)+IF(J5&gt;'Project Assumptions'!$D$15+'Project Assumptions'!$D$16,IF(J5&lt;='Project Returns'!$F$32,IF(J5='Project Assumptions'!$D$15+1,(MIN(0,-I202-I206))*'Project Assumptions'!$D$26/12,0),0),0)</f>
        <v/>
      </c>
      <c r="K125" s="595">
        <f>IF(K5&gt;'Project Assumptions'!$D$15+'Project Assumptions'!$D$16,IF(K5&lt;='Project Returns'!$F$32,IF(K5&gt;'Project Assumptions'!$D$15+1,(MIN(0,-J213))*'Project Assumptions'!$D$26/12,0),0),0)+IF(K5&gt;'Project Assumptions'!$D$15+'Project Assumptions'!$D$16,IF(K5&lt;='Project Returns'!$F$32,IF(K5='Project Assumptions'!$D$15+1,(MIN(0,-J202-J206))*'Project Assumptions'!$D$26/12,0),0),0)</f>
        <v/>
      </c>
      <c r="L125" s="595">
        <f>IF(L5&gt;'Project Assumptions'!$D$15+'Project Assumptions'!$D$16,IF(L5&lt;='Project Returns'!$F$32,IF(L5&gt;'Project Assumptions'!$D$15+1,(MIN(0,-K213))*'Project Assumptions'!$D$26/12,0),0),0)+IF(L5&gt;'Project Assumptions'!$D$15+'Project Assumptions'!$D$16,IF(L5&lt;='Project Returns'!$F$32,IF(L5='Project Assumptions'!$D$15+1,(MIN(0,-K202-K206))*'Project Assumptions'!$D$26/12,0),0),0)</f>
        <v/>
      </c>
      <c r="M125" s="595">
        <f>IF(M5&gt;'Project Assumptions'!$D$15+'Project Assumptions'!$D$16,IF(M5&lt;='Project Returns'!$F$32,IF(M5&gt;'Project Assumptions'!$D$15+1,(MIN(0,-L213))*'Project Assumptions'!$D$26/12,0),0),0)+IF(M5&gt;'Project Assumptions'!$D$15+'Project Assumptions'!$D$16,IF(M5&lt;='Project Returns'!$F$32,IF(M5='Project Assumptions'!$D$15+1,(MIN(0,-L202-L206))*'Project Assumptions'!$D$26/12,0),0),0)</f>
        <v/>
      </c>
      <c r="N125" s="595">
        <f>IF(N5&gt;'Project Assumptions'!$D$15+'Project Assumptions'!$D$16,IF(N5&lt;='Project Returns'!$F$32,IF(N5&gt;'Project Assumptions'!$D$15+1,(MIN(0,-M213))*'Project Assumptions'!$D$26/12,0),0),0)+IF(N5&gt;'Project Assumptions'!$D$15+'Project Assumptions'!$D$16,IF(N5&lt;='Project Returns'!$F$32,IF(N5='Project Assumptions'!$D$15+1,(MIN(0,-M202-M206))*'Project Assumptions'!$D$26/12,0),0),0)</f>
        <v/>
      </c>
      <c r="O125" s="595">
        <f>IF(O5&gt;'Project Assumptions'!$D$15+'Project Assumptions'!$D$16,IF(O5&lt;='Project Returns'!$F$32,IF(O5&gt;'Project Assumptions'!$D$15+1,(MIN(0,-N213))*'Project Assumptions'!$D$26/12,0),0),0)+IF(O5&gt;'Project Assumptions'!$D$15+'Project Assumptions'!$D$16,IF(O5&lt;='Project Returns'!$F$32,IF(O5='Project Assumptions'!$D$15+1,(MIN(0,-N202-N206))*'Project Assumptions'!$D$26/12,0),0),0)</f>
        <v/>
      </c>
      <c r="P125" s="595">
        <f>IF(P5&gt;'Project Assumptions'!$D$15+'Project Assumptions'!$D$16,IF(P5&lt;='Project Returns'!$F$32,IF(P5&gt;'Project Assumptions'!$D$15+1,(MIN(0,-O213))*'Project Assumptions'!$D$26/12,0),0),0)+IF(P5&gt;'Project Assumptions'!$D$15+'Project Assumptions'!$D$16,IF(P5&lt;='Project Returns'!$F$32,IF(P5='Project Assumptions'!$D$15+1,(MIN(0,-O202-O206))*'Project Assumptions'!$D$26/12,0),0),0)</f>
        <v/>
      </c>
      <c r="Q125" s="595">
        <f>IF(Q5&gt;'Project Assumptions'!$D$15+'Project Assumptions'!$D$16,IF(Q5&lt;='Project Returns'!$F$32,IF(Q5&gt;'Project Assumptions'!$D$15+1,(MIN(0,-P213))*'Project Assumptions'!$D$26/12,0),0),0)+IF(Q5&gt;'Project Assumptions'!$D$15+'Project Assumptions'!$D$16,IF(Q5&lt;='Project Returns'!$F$32,IF(Q5='Project Assumptions'!$D$15+1,(MIN(0,-P202-P206))*'Project Assumptions'!$D$26/12,0),0),0)</f>
        <v/>
      </c>
      <c r="R125" s="595">
        <f>IF(R5&gt;'Project Assumptions'!$D$15+'Project Assumptions'!$D$16,IF(R5&lt;='Project Returns'!$F$32,IF(R5&gt;'Project Assumptions'!$D$15+1,(MIN(0,-Q213))*'Project Assumptions'!$D$26/12,0),0),0)+IF(R5&gt;'Project Assumptions'!$D$15+'Project Assumptions'!$D$16,IF(R5&lt;='Project Returns'!$F$32,IF(R5='Project Assumptions'!$D$15+1,(MIN(0,-Q202-Q206))*'Project Assumptions'!$D$26/12,0),0),0)</f>
        <v/>
      </c>
      <c r="S125" s="595">
        <f>IF(S5&gt;'Project Assumptions'!$D$15+'Project Assumptions'!$D$16,IF(S5&lt;='Project Returns'!$F$32,IF(S5&gt;'Project Assumptions'!$D$15+1,(MIN(0,-R213))*'Project Assumptions'!$D$26/12,0),0),0)+IF(S5&gt;'Project Assumptions'!$D$15+'Project Assumptions'!$D$16,IF(S5&lt;='Project Returns'!$F$32,IF(S5='Project Assumptions'!$D$15+1,(MIN(0,-R202-R206))*'Project Assumptions'!$D$26/12,0),0),0)</f>
        <v/>
      </c>
      <c r="T125" s="595">
        <f>IF(T5&gt;'Project Assumptions'!$D$15+'Project Assumptions'!$D$16,IF(T5&lt;='Project Returns'!$F$32,IF(T5&gt;'Project Assumptions'!$D$15+1,(MIN(0,-S213))*'Project Assumptions'!$D$26/12,0),0),0)+IF(T5&gt;'Project Assumptions'!$D$15+'Project Assumptions'!$D$16,IF(T5&lt;='Project Returns'!$F$32,IF(T5='Project Assumptions'!$D$15+1,(MIN(0,-S202-S206))*'Project Assumptions'!$D$26/12,0),0),0)</f>
        <v/>
      </c>
      <c r="U125" s="595">
        <f>IF(U5&gt;'Project Assumptions'!$D$15+'Project Assumptions'!$D$16,IF(U5&lt;='Project Returns'!$F$32,IF(U5&gt;'Project Assumptions'!$D$15+1,(MIN(0,-T213))*'Project Assumptions'!$D$26/12,0),0),0)+IF(U5&gt;'Project Assumptions'!$D$15+'Project Assumptions'!$D$16,IF(U5&lt;='Project Returns'!$F$32,IF(U5='Project Assumptions'!$D$15+1,(MIN(0,-T202-T206))*'Project Assumptions'!$D$26/12,0),0),0)</f>
        <v/>
      </c>
      <c r="V125" s="595">
        <f>IF(V5&gt;'Project Assumptions'!$D$15+'Project Assumptions'!$D$16,IF(V5&lt;='Project Returns'!$F$32,IF(V5&gt;'Project Assumptions'!$D$15+1,(MIN(0,-U213))*'Project Assumptions'!$D$26/12,0),0),0)+IF(V5&gt;'Project Assumptions'!$D$15+'Project Assumptions'!$D$16,IF(V5&lt;='Project Returns'!$F$32,IF(V5='Project Assumptions'!$D$15+1,(MIN(0,-U202-U206))*'Project Assumptions'!$D$26/12,0),0),0)</f>
        <v/>
      </c>
      <c r="W125" s="595">
        <f>IF(W5&gt;'Project Assumptions'!$D$15+'Project Assumptions'!$D$16,IF(W5&lt;='Project Returns'!$F$32,IF(W5&gt;'Project Assumptions'!$D$15+1,(MIN(0,-V213))*'Project Assumptions'!$D$26/12,0),0),0)+IF(W5&gt;'Project Assumptions'!$D$15+'Project Assumptions'!$D$16,IF(W5&lt;='Project Returns'!$F$32,IF(W5='Project Assumptions'!$D$15+1,(MIN(0,-V202-V206))*'Project Assumptions'!$D$26/12,0),0),0)</f>
        <v/>
      </c>
      <c r="X125" s="595">
        <f>IF(X5&gt;'Project Assumptions'!$D$15+'Project Assumptions'!$D$16,IF(X5&lt;='Project Returns'!$F$32,IF(X5&gt;'Project Assumptions'!$D$15+1,(MIN(0,-W213))*'Project Assumptions'!$D$26/12,0),0),0)+IF(X5&gt;'Project Assumptions'!$D$15+'Project Assumptions'!$D$16,IF(X5&lt;='Project Returns'!$F$32,IF(X5='Project Assumptions'!$D$15+1,(MIN(0,-W202-W206))*'Project Assumptions'!$D$26/12,0),0),0)</f>
        <v/>
      </c>
      <c r="Y125" s="595">
        <f>IF(Y5&gt;'Project Assumptions'!$D$15+'Project Assumptions'!$D$16,IF(Y5&lt;='Project Returns'!$F$32,IF(Y5&gt;'Project Assumptions'!$D$15+1,(MIN(0,-X213))*'Project Assumptions'!$D$26/12,0),0),0)+IF(Y5&gt;'Project Assumptions'!$D$15+'Project Assumptions'!$D$16,IF(Y5&lt;='Project Returns'!$F$32,IF(Y5='Project Assumptions'!$D$15+1,(MIN(0,-X202-X206))*'Project Assumptions'!$D$26/12,0),0),0)</f>
        <v/>
      </c>
      <c r="Z125" s="595">
        <f>IF(Z5&gt;'Project Assumptions'!$D$15+'Project Assumptions'!$D$16,IF(Z5&lt;='Project Returns'!$F$32,IF(Z5&gt;'Project Assumptions'!$D$15+1,(MIN(0,-Y213))*'Project Assumptions'!$D$26/12,0),0),0)+IF(Z5&gt;'Project Assumptions'!$D$15+'Project Assumptions'!$D$16,IF(Z5&lt;='Project Returns'!$F$32,IF(Z5='Project Assumptions'!$D$15+1,(MIN(0,-Y202-Y206))*'Project Assumptions'!$D$26/12,0),0),0)</f>
        <v/>
      </c>
      <c r="AA125" s="595">
        <f>IF(AA5&gt;'Project Assumptions'!$D$15+'Project Assumptions'!$D$16,IF(AA5&lt;='Project Returns'!$F$32,IF(AA5&gt;'Project Assumptions'!$D$15+1,(MIN(0,-Z213))*'Project Assumptions'!$D$26/12,0),0),0)+IF(AA5&gt;'Project Assumptions'!$D$15+'Project Assumptions'!$D$16,IF(AA5&lt;='Project Returns'!$F$32,IF(AA5='Project Assumptions'!$D$15+1,(MIN(0,-Z202-Z206))*'Project Assumptions'!$D$26/12,0),0),0)</f>
        <v/>
      </c>
      <c r="AB125" s="595">
        <f>IF(AB5&gt;'Project Assumptions'!$D$15+'Project Assumptions'!$D$16,IF(AB5&lt;='Project Returns'!$F$32,IF(AB5&gt;'Project Assumptions'!$D$15+1,(MIN(0,-AA213))*'Project Assumptions'!$D$26/12,0),0),0)+IF(AB5&gt;'Project Assumptions'!$D$15+'Project Assumptions'!$D$16,IF(AB5&lt;='Project Returns'!$F$32,IF(AB5='Project Assumptions'!$D$15+1,(MIN(0,-AA202-AA206))*'Project Assumptions'!$D$26/12,0),0),0)</f>
        <v/>
      </c>
      <c r="AC125" s="595">
        <f>IF(AC5&gt;'Project Assumptions'!$D$15+'Project Assumptions'!$D$16,IF(AC5&lt;='Project Returns'!$F$32,IF(AC5&gt;'Project Assumptions'!$D$15+1,(MIN(0,-AB213))*'Project Assumptions'!$D$26/12,0),0),0)+IF(AC5&gt;'Project Assumptions'!$D$15+'Project Assumptions'!$D$16,IF(AC5&lt;='Project Returns'!$F$32,IF(AC5='Project Assumptions'!$D$15+1,(MIN(0,-AB202-AB206))*'Project Assumptions'!$D$26/12,0),0),0)</f>
        <v/>
      </c>
      <c r="AD125" s="595">
        <f>IF(AD5&gt;'Project Assumptions'!$D$15+'Project Assumptions'!$D$16,IF(AD5&lt;='Project Returns'!$F$32,IF(AD5&gt;'Project Assumptions'!$D$15+1,(MIN(0,-AC213))*'Project Assumptions'!$D$26/12,0),0),0)+IF(AD5&gt;'Project Assumptions'!$D$15+'Project Assumptions'!$D$16,IF(AD5&lt;='Project Returns'!$F$32,IF(AD5='Project Assumptions'!$D$15+1,(MIN(0,-AC202-AC206))*'Project Assumptions'!$D$26/12,0),0),0)</f>
        <v/>
      </c>
      <c r="AE125" s="595">
        <f>IF(AE5&gt;'Project Assumptions'!$D$15+'Project Assumptions'!$D$16,IF(AE5&lt;='Project Returns'!$F$32,IF(AE5&gt;'Project Assumptions'!$D$15+1,(MIN(0,-AD213))*'Project Assumptions'!$D$26/12,0),0),0)+IF(AE5&gt;'Project Assumptions'!$D$15+'Project Assumptions'!$D$16,IF(AE5&lt;='Project Returns'!$F$32,IF(AE5='Project Assumptions'!$D$15+1,(MIN(0,-AD202-AD206))*'Project Assumptions'!$D$26/12,0),0),0)</f>
        <v/>
      </c>
      <c r="AF125" s="595">
        <f>IF(AF5&gt;'Project Assumptions'!$D$15+'Project Assumptions'!$D$16,IF(AF5&lt;='Project Returns'!$F$32,IF(AF5&gt;'Project Assumptions'!$D$15+1,(MIN(0,-AE213))*'Project Assumptions'!$D$26/12,0),0),0)+IF(AF5&gt;'Project Assumptions'!$D$15+'Project Assumptions'!$D$16,IF(AF5&lt;='Project Returns'!$F$32,IF(AF5='Project Assumptions'!$D$15+1,(MIN(0,-AE202-AE206))*'Project Assumptions'!$D$26/12,0),0),0)</f>
        <v/>
      </c>
      <c r="AG125" s="595">
        <f>IF(AG5&gt;'Project Assumptions'!$D$15+'Project Assumptions'!$D$16,IF(AG5&lt;='Project Returns'!$F$32,IF(AG5&gt;'Project Assumptions'!$D$15+1,(MIN(0,-AF213))*'Project Assumptions'!$D$26/12,0),0),0)+IF(AG5&gt;'Project Assumptions'!$D$15+'Project Assumptions'!$D$16,IF(AG5&lt;='Project Returns'!$F$32,IF(AG5='Project Assumptions'!$D$15+1,(MIN(0,-AF202-AF206))*'Project Assumptions'!$D$26/12,0),0),0)</f>
        <v/>
      </c>
      <c r="AH125" s="595">
        <f>IF(AH5&gt;'Project Assumptions'!$D$15+'Project Assumptions'!$D$16,IF(AH5&lt;='Project Returns'!$F$32,IF(AH5&gt;'Project Assumptions'!$D$15+1,(MIN(0,-AG213))*'Project Assumptions'!$D$26/12,0),0),0)+IF(AH5&gt;'Project Assumptions'!$D$15+'Project Assumptions'!$D$16,IF(AH5&lt;='Project Returns'!$F$32,IF(AH5='Project Assumptions'!$D$15+1,(MIN(0,-AG202-AG206))*'Project Assumptions'!$D$26/12,0),0),0)</f>
        <v/>
      </c>
      <c r="AI125" s="595">
        <f>IF(AI5&gt;'Project Assumptions'!$D$15+'Project Assumptions'!$D$16,IF(AI5&lt;='Project Returns'!$F$32,IF(AI5&gt;'Project Assumptions'!$D$15+1,(MIN(0,-AH213))*'Project Assumptions'!$D$26/12,0),0),0)+IF(AI5&gt;'Project Assumptions'!$D$15+'Project Assumptions'!$D$16,IF(AI5&lt;='Project Returns'!$F$32,IF(AI5='Project Assumptions'!$D$15+1,(MIN(0,-AH202-AH206))*'Project Assumptions'!$D$26/12,0),0),0)</f>
        <v/>
      </c>
      <c r="AJ125" s="595">
        <f>IF(AJ5&gt;'Project Assumptions'!$D$15+'Project Assumptions'!$D$16,IF(AJ5&lt;='Project Returns'!$F$32,IF(AJ5&gt;'Project Assumptions'!$D$15+1,(MIN(0,-AI213))*'Project Assumptions'!$D$26/12,0),0),0)+IF(AJ5&gt;'Project Assumptions'!$D$15+'Project Assumptions'!$D$16,IF(AJ5&lt;='Project Returns'!$F$32,IF(AJ5='Project Assumptions'!$D$15+1,(MIN(0,-AI202-AI206))*'Project Assumptions'!$D$26/12,0),0),0)</f>
        <v/>
      </c>
      <c r="AK125" s="595">
        <f>IF(AK5&gt;'Project Assumptions'!$D$15+'Project Assumptions'!$D$16,IF(AK5&lt;='Project Returns'!$F$32,IF(AK5&gt;'Project Assumptions'!$D$15+1,(MIN(0,-AJ213))*'Project Assumptions'!$D$26/12,0),0),0)+IF(AK5&gt;'Project Assumptions'!$D$15+'Project Assumptions'!$D$16,IF(AK5&lt;='Project Returns'!$F$32,IF(AK5='Project Assumptions'!$D$15+1,(MIN(0,-AJ202-AJ206))*'Project Assumptions'!$D$26/12,0),0),0)</f>
        <v/>
      </c>
      <c r="AL125" s="595">
        <f>IF(AL5&gt;'Project Assumptions'!$D$15+'Project Assumptions'!$D$16,IF(AL5&lt;='Project Returns'!$F$32,IF(AL5&gt;'Project Assumptions'!$D$15+1,(MIN(0,-AK213))*'Project Assumptions'!$D$26/12,0),0),0)+IF(AL5&gt;'Project Assumptions'!$D$15+'Project Assumptions'!$D$16,IF(AL5&lt;='Project Returns'!$F$32,IF(AL5='Project Assumptions'!$D$15+1,(MIN(0,-AK202-AK206))*'Project Assumptions'!$D$26/12,0),0),0)</f>
        <v/>
      </c>
      <c r="AM125" s="595">
        <f>IF(AM5&gt;'Project Assumptions'!$D$15+'Project Assumptions'!$D$16,IF(AM5&lt;='Project Returns'!$F$32,IF(AM5&gt;'Project Assumptions'!$D$15+1,(MIN(0,-AL213))*'Project Assumptions'!$D$26/12,0),0),0)+IF(AM5&gt;'Project Assumptions'!$D$15+'Project Assumptions'!$D$16,IF(AM5&lt;='Project Returns'!$F$32,IF(AM5='Project Assumptions'!$D$15+1,(MIN(0,-AL202-AL206))*'Project Assumptions'!$D$26/12,0),0),0)</f>
        <v/>
      </c>
      <c r="AN125" s="595">
        <f>IF(AN5&gt;'Project Assumptions'!$D$15+'Project Assumptions'!$D$16,IF(AN5&lt;='Project Returns'!$F$32,IF(AN5&gt;'Project Assumptions'!$D$15+1,(MIN(0,-AM213))*'Project Assumptions'!$D$26/12,0),0),0)+IF(AN5&gt;'Project Assumptions'!$D$15+'Project Assumptions'!$D$16,IF(AN5&lt;='Project Returns'!$F$32,IF(AN5='Project Assumptions'!$D$15+1,(MIN(0,-AM202-AM206))*'Project Assumptions'!$D$26/12,0),0),0)</f>
        <v/>
      </c>
      <c r="AO125" s="595">
        <f>IF(AO5&gt;'Project Assumptions'!$D$15+'Project Assumptions'!$D$16,IF(AO5&lt;='Project Returns'!$F$32,IF(AO5&gt;'Project Assumptions'!$D$15+1,(MIN(0,-AN213))*'Project Assumptions'!$D$26/12,0),0),0)+IF(AO5&gt;'Project Assumptions'!$D$15+'Project Assumptions'!$D$16,IF(AO5&lt;='Project Returns'!$F$32,IF(AO5='Project Assumptions'!$D$15+1,(MIN(0,-AN202-AN206))*'Project Assumptions'!$D$26/12,0),0),0)</f>
        <v/>
      </c>
      <c r="AP125" s="595">
        <f>IF(AP5&gt;'Project Assumptions'!$D$15+'Project Assumptions'!$D$16,IF(AP5&lt;='Project Returns'!$F$32,IF(AP5&gt;'Project Assumptions'!$D$15+1,(MIN(0,-AO213))*'Project Assumptions'!$D$26/12,0),0),0)+IF(AP5&gt;'Project Assumptions'!$D$15+'Project Assumptions'!$D$16,IF(AP5&lt;='Project Returns'!$F$32,IF(AP5='Project Assumptions'!$D$15+1,(MIN(0,-AO202-AO206))*'Project Assumptions'!$D$26/12,0),0),0)</f>
        <v/>
      </c>
      <c r="AQ125" s="595">
        <f>IF(AQ5&gt;'Project Assumptions'!$D$15+'Project Assumptions'!$D$16,IF(AQ5&lt;='Project Returns'!$F$32,IF(AQ5&gt;'Project Assumptions'!$D$15+1,(MIN(0,-AP213))*'Project Assumptions'!$D$26/12,0),0),0)+IF(AQ5&gt;'Project Assumptions'!$D$15+'Project Assumptions'!$D$16,IF(AQ5&lt;='Project Returns'!$F$32,IF(AQ5='Project Assumptions'!$D$15+1,(MIN(0,-AP202-AP206))*'Project Assumptions'!$D$26/12,0),0),0)</f>
        <v/>
      </c>
      <c r="AR125" s="595">
        <f>IF(AR5&gt;'Project Assumptions'!$D$15+'Project Assumptions'!$D$16,IF(AR5&lt;='Project Returns'!$F$32,IF(AR5&gt;'Project Assumptions'!$D$15+1,(MIN(0,-AQ213))*'Project Assumptions'!$D$26/12,0),0),0)+IF(AR5&gt;'Project Assumptions'!$D$15+'Project Assumptions'!$D$16,IF(AR5&lt;='Project Returns'!$F$32,IF(AR5='Project Assumptions'!$D$15+1,(MIN(0,-AQ202-AQ206))*'Project Assumptions'!$D$26/12,0),0),0)</f>
        <v/>
      </c>
      <c r="AS125" s="595">
        <f>IF(AS5&gt;'Project Assumptions'!$D$15+'Project Assumptions'!$D$16,IF(AS5&lt;='Project Returns'!$F$32,IF(AS5&gt;'Project Assumptions'!$D$15+1,(MIN(0,-AR213))*'Project Assumptions'!$D$26/12,0),0),0)+IF(AS5&gt;'Project Assumptions'!$D$15+'Project Assumptions'!$D$16,IF(AS5&lt;='Project Returns'!$F$32,IF(AS5='Project Assumptions'!$D$15+1,(MIN(0,-AR202-AR206))*'Project Assumptions'!$D$26/12,0),0),0)</f>
        <v/>
      </c>
      <c r="AT125" s="595">
        <f>IF(AT5&gt;'Project Assumptions'!$D$15+'Project Assumptions'!$D$16,IF(AT5&lt;='Project Returns'!$F$32,IF(AT5&gt;'Project Assumptions'!$D$15+1,(MIN(0,-AS213))*'Project Assumptions'!$D$26/12,0),0),0)+IF(AT5&gt;'Project Assumptions'!$D$15+'Project Assumptions'!$D$16,IF(AT5&lt;='Project Returns'!$F$32,IF(AT5='Project Assumptions'!$D$15+1,(MIN(0,-AS202-AS206))*'Project Assumptions'!$D$26/12,0),0),0)</f>
        <v/>
      </c>
      <c r="AU125" s="595">
        <f>IF(AU5&gt;'Project Assumptions'!$D$15+'Project Assumptions'!$D$16,IF(AU5&lt;='Project Returns'!$F$32,IF(AU5&gt;'Project Assumptions'!$D$15+1,(MIN(0,-AT213))*'Project Assumptions'!$D$26/12,0),0),0)+IF(AU5&gt;'Project Assumptions'!$D$15+'Project Assumptions'!$D$16,IF(AU5&lt;='Project Returns'!$F$32,IF(AU5='Project Assumptions'!$D$15+1,(MIN(0,-AT202-AT206))*'Project Assumptions'!$D$26/12,0),0),0)</f>
        <v/>
      </c>
      <c r="AV125" s="595">
        <f>IF(AV5&gt;'Project Assumptions'!$D$15+'Project Assumptions'!$D$16,IF(AV5&lt;='Project Returns'!$F$32,IF(AV5&gt;'Project Assumptions'!$D$15+1,(MIN(0,-AU213))*'Project Assumptions'!$D$26/12,0),0),0)+IF(AV5&gt;'Project Assumptions'!$D$15+'Project Assumptions'!$D$16,IF(AV5&lt;='Project Returns'!$F$32,IF(AV5='Project Assumptions'!$D$15+1,(MIN(0,-AU202-AU206))*'Project Assumptions'!$D$26/12,0),0),0)</f>
        <v/>
      </c>
      <c r="AW125" s="595">
        <f>IF(AW5&gt;'Project Assumptions'!$D$15+'Project Assumptions'!$D$16,IF(AW5&lt;='Project Returns'!$F$32,IF(AW5&gt;'Project Assumptions'!$D$15+1,(MIN(0,-AV213))*'Project Assumptions'!$D$26/12,0),0),0)+IF(AW5&gt;'Project Assumptions'!$D$15+'Project Assumptions'!$D$16,IF(AW5&lt;='Project Returns'!$F$32,IF(AW5='Project Assumptions'!$D$15+1,(MIN(0,-AV202-AV206))*'Project Assumptions'!$D$26/12,0),0),0)</f>
        <v/>
      </c>
      <c r="AX125" s="595">
        <f>IF(AX5&gt;'Project Assumptions'!$D$15+'Project Assumptions'!$D$16,IF(AX5&lt;='Project Returns'!$F$32,IF(AX5&gt;'Project Assumptions'!$D$15+1,(MIN(0,-AW213))*'Project Assumptions'!$D$26/12,0),0),0)+IF(AX5&gt;'Project Assumptions'!$D$15+'Project Assumptions'!$D$16,IF(AX5&lt;='Project Returns'!$F$32,IF(AX5='Project Assumptions'!$D$15+1,(MIN(0,-AW202-AW206))*'Project Assumptions'!$D$26/12,0),0),0)</f>
        <v/>
      </c>
      <c r="AY125" s="595">
        <f>IF(AY5&gt;'Project Assumptions'!$D$15+'Project Assumptions'!$D$16,IF(AY5&lt;='Project Returns'!$F$32,IF(AY5&gt;'Project Assumptions'!$D$15+1,(MIN(0,-AX213))*'Project Assumptions'!$D$26/12,0),0),0)+IF(AY5&gt;'Project Assumptions'!$D$15+'Project Assumptions'!$D$16,IF(AY5&lt;='Project Returns'!$F$32,IF(AY5='Project Assumptions'!$D$15+1,(MIN(0,-AX202-AX206))*'Project Assumptions'!$D$26/12,0),0),0)</f>
        <v/>
      </c>
      <c r="AZ125" s="595">
        <f>IF(AZ5&gt;'Project Assumptions'!$D$15+'Project Assumptions'!$D$16,IF(AZ5&lt;='Project Returns'!$F$32,IF(AZ5&gt;'Project Assumptions'!$D$15+1,(MIN(0,-AY213))*'Project Assumptions'!$D$26/12,0),0),0)+IF(AZ5&gt;'Project Assumptions'!$D$15+'Project Assumptions'!$D$16,IF(AZ5&lt;='Project Returns'!$F$32,IF(AZ5='Project Assumptions'!$D$15+1,(MIN(0,-AY202-AY206))*'Project Assumptions'!$D$26/12,0),0),0)</f>
        <v/>
      </c>
      <c r="BA125" s="595">
        <f>IF(BA5&gt;'Project Assumptions'!$D$15+'Project Assumptions'!$D$16,IF(BA5&lt;='Project Returns'!$F$32,IF(BA5&gt;'Project Assumptions'!$D$15+1,(MIN(0,-AZ213))*'Project Assumptions'!$D$26/12,0),0),0)+IF(BA5&gt;'Project Assumptions'!$D$15+'Project Assumptions'!$D$16,IF(BA5&lt;='Project Returns'!$F$32,IF(BA5='Project Assumptions'!$D$15+1,(MIN(0,-AZ202-AZ206))*'Project Assumptions'!$D$26/12,0),0),0)</f>
        <v/>
      </c>
      <c r="BB125" s="595">
        <f>IF(BB5&gt;'Project Assumptions'!$D$15+'Project Assumptions'!$D$16,IF(BB5&lt;='Project Returns'!$F$32,IF(BB5&gt;'Project Assumptions'!$D$15+1,(MIN(0,-BA213))*'Project Assumptions'!$D$26/12,0),0),0)+IF(BB5&gt;'Project Assumptions'!$D$15+'Project Assumptions'!$D$16,IF(BB5&lt;='Project Returns'!$F$32,IF(BB5='Project Assumptions'!$D$15+1,(MIN(0,-BA202-BA206))*'Project Assumptions'!$D$26/12,0),0),0)</f>
        <v/>
      </c>
      <c r="BC125" s="595">
        <f>IF(BC5&gt;'Project Assumptions'!$D$15+'Project Assumptions'!$D$16,IF(BC5&lt;='Project Returns'!$F$32,IF(BC5&gt;'Project Assumptions'!$D$15+1,(MIN(0,-BB213))*'Project Assumptions'!$D$26/12,0),0),0)+IF(BC5&gt;'Project Assumptions'!$D$15+'Project Assumptions'!$D$16,IF(BC5&lt;='Project Returns'!$F$32,IF(BC5='Project Assumptions'!$D$15+1,(MIN(0,-BB202-BB206))*'Project Assumptions'!$D$26/12,0),0),0)</f>
        <v/>
      </c>
      <c r="BD125" s="595">
        <f>IF(BD5&gt;'Project Assumptions'!$D$15+'Project Assumptions'!$D$16,IF(BD5&lt;='Project Returns'!$F$32,IF(BD5&gt;'Project Assumptions'!$D$15+1,(MIN(0,-BC213))*'Project Assumptions'!$D$26/12,0),0),0)+IF(BD5&gt;'Project Assumptions'!$D$15+'Project Assumptions'!$D$16,IF(BD5&lt;='Project Returns'!$F$32,IF(BD5='Project Assumptions'!$D$15+1,(MIN(0,-BC202-BC206))*'Project Assumptions'!$D$26/12,0),0),0)</f>
        <v/>
      </c>
      <c r="BE125" s="595">
        <f>IF(BE5&gt;'Project Assumptions'!$D$15+'Project Assumptions'!$D$16,IF(BE5&lt;='Project Returns'!$F$32,IF(BE5&gt;'Project Assumptions'!$D$15+1,(MIN(0,-BD213))*'Project Assumptions'!$D$26/12,0),0),0)+IF(BE5&gt;'Project Assumptions'!$D$15+'Project Assumptions'!$D$16,IF(BE5&lt;='Project Returns'!$F$32,IF(BE5='Project Assumptions'!$D$15+1,(MIN(0,-BD202-BD206))*'Project Assumptions'!$D$26/12,0),0),0)</f>
        <v/>
      </c>
      <c r="BF125" s="595">
        <f>IF(BF5&gt;'Project Assumptions'!$D$15+'Project Assumptions'!$D$16,IF(BF5&lt;='Project Returns'!$F$32,IF(BF5&gt;'Project Assumptions'!$D$15+1,(MIN(0,-BE213))*'Project Assumptions'!$D$26/12,0),0),0)+IF(BF5&gt;'Project Assumptions'!$D$15+'Project Assumptions'!$D$16,IF(BF5&lt;='Project Returns'!$F$32,IF(BF5='Project Assumptions'!$D$15+1,(MIN(0,-BE202-BE206))*'Project Assumptions'!$D$26/12,0),0),0)</f>
        <v/>
      </c>
      <c r="BG125" s="595">
        <f>IF(BG5&gt;'Project Assumptions'!$D$15+'Project Assumptions'!$D$16,IF(BG5&lt;='Project Returns'!$F$32,IF(BG5&gt;'Project Assumptions'!$D$15+1,(MIN(0,-BF213))*'Project Assumptions'!$D$26/12,0),0),0)+IF(BG5&gt;'Project Assumptions'!$D$15+'Project Assumptions'!$D$16,IF(BG5&lt;='Project Returns'!$F$32,IF(BG5='Project Assumptions'!$D$15+1,(MIN(0,-BF202-BF206))*'Project Assumptions'!$D$26/12,0),0),0)</f>
        <v/>
      </c>
      <c r="BH125" s="595">
        <f>IF(BH5&gt;'Project Assumptions'!$D$15+'Project Assumptions'!$D$16,IF(BH5&lt;='Project Returns'!$F$32,IF(BH5&gt;'Project Assumptions'!$D$15+1,(MIN(0,-BG213))*'Project Assumptions'!$D$26/12,0),0),0)+IF(BH5&gt;'Project Assumptions'!$D$15+'Project Assumptions'!$D$16,IF(BH5&lt;='Project Returns'!$F$32,IF(BH5='Project Assumptions'!$D$15+1,(MIN(0,-BG202-BG206))*'Project Assumptions'!$D$26/12,0),0),0)</f>
        <v/>
      </c>
      <c r="BI125" s="595">
        <f>IF(BI5&gt;'Project Assumptions'!$D$15+'Project Assumptions'!$D$16,IF(BI5&lt;='Project Returns'!$F$32,IF(BI5&gt;'Project Assumptions'!$D$15+1,(MIN(0,-BH213))*'Project Assumptions'!$D$26/12,0),0),0)+IF(BI5&gt;'Project Assumptions'!$D$15+'Project Assumptions'!$D$16,IF(BI5&lt;='Project Returns'!$F$32,IF(BI5='Project Assumptions'!$D$15+1,(MIN(0,-BH202-BH206))*'Project Assumptions'!$D$26/12,0),0),0)</f>
        <v/>
      </c>
      <c r="BJ125" s="595">
        <f>IF(BJ5&gt;'Project Assumptions'!$D$15+'Project Assumptions'!$D$16,IF(BJ5&lt;='Project Returns'!$F$32,IF(BJ5&gt;'Project Assumptions'!$D$15+1,(MIN(0,-BI213))*'Project Assumptions'!$D$26/12,0),0),0)+IF(BJ5&gt;'Project Assumptions'!$D$15+'Project Assumptions'!$D$16,IF(BJ5&lt;='Project Returns'!$F$32,IF(BJ5='Project Assumptions'!$D$15+1,(MIN(0,-BI202-BI206))*'Project Assumptions'!$D$26/12,0),0),0)</f>
        <v/>
      </c>
      <c r="BK125" s="595">
        <f>IF(BK5&gt;'Project Assumptions'!$D$15+'Project Assumptions'!$D$16,IF(BK5&lt;='Project Returns'!$F$32,IF(BK5&gt;'Project Assumptions'!$D$15+1,(MIN(0,-BJ213))*'Project Assumptions'!$D$26/12,0),0),0)+IF(BK5&gt;'Project Assumptions'!$D$15+'Project Assumptions'!$D$16,IF(BK5&lt;='Project Returns'!$F$32,IF(BK5='Project Assumptions'!$D$15+1,(MIN(0,-BJ202-BJ206))*'Project Assumptions'!$D$26/12,0),0),0)</f>
        <v/>
      </c>
      <c r="BL125" s="595">
        <f>IF(BL5&gt;'Project Assumptions'!$D$15+'Project Assumptions'!$D$16,IF(BL5&lt;='Project Returns'!$F$32,IF(BL5&gt;'Project Assumptions'!$D$15+1,(MIN(0,-BK213))*'Project Assumptions'!$D$26/12,0),0),0)+IF(BL5&gt;'Project Assumptions'!$D$15+'Project Assumptions'!$D$16,IF(BL5&lt;='Project Returns'!$F$32,IF(BL5='Project Assumptions'!$D$15+1,(MIN(0,-BK202-BK206))*'Project Assumptions'!$D$26/12,0),0),0)</f>
        <v/>
      </c>
      <c r="BM125" s="595">
        <f>IF(BM5&gt;'Project Assumptions'!$D$15+'Project Assumptions'!$D$16,IF(BM5&lt;='Project Returns'!$F$32,IF(BM5&gt;'Project Assumptions'!$D$15+1,(MIN(0,-BL213))*'Project Assumptions'!$D$26/12,0),0),0)+IF(BM5&gt;'Project Assumptions'!$D$15+'Project Assumptions'!$D$16,IF(BM5&lt;='Project Returns'!$F$32,IF(BM5='Project Assumptions'!$D$15+1,(MIN(0,-BL202-BL206))*'Project Assumptions'!$D$26/12,0),0),0)</f>
        <v/>
      </c>
      <c r="BN125" s="595">
        <f>IF(BN5&gt;'Project Assumptions'!$D$15+'Project Assumptions'!$D$16,IF(BN5&lt;='Project Returns'!$F$32,IF(BN5&gt;'Project Assumptions'!$D$15+1,(MIN(0,-BM213))*'Project Assumptions'!$D$26/12,0),0),0)+IF(BN5&gt;'Project Assumptions'!$D$15+'Project Assumptions'!$D$16,IF(BN5&lt;='Project Returns'!$F$32,IF(BN5='Project Assumptions'!$D$15+1,(MIN(0,-BM202-BM206))*'Project Assumptions'!$D$26/12,0),0),0)</f>
        <v/>
      </c>
      <c r="BO125" s="595">
        <f>IF(BO5&gt;'Project Assumptions'!$D$15+'Project Assumptions'!$D$16,IF(BO5&lt;='Project Returns'!$F$32,IF(BO5&gt;'Project Assumptions'!$D$15+1,(MIN(0,-BN213))*'Project Assumptions'!$D$26/12,0),0),0)+IF(BO5&gt;'Project Assumptions'!$D$15+'Project Assumptions'!$D$16,IF(BO5&lt;='Project Returns'!$F$32,IF(BO5='Project Assumptions'!$D$15+1,(MIN(0,-BN202-BN206))*'Project Assumptions'!$D$26/12,0),0),0)</f>
        <v/>
      </c>
      <c r="BP125" s="595">
        <f>IF(BP5&gt;'Project Assumptions'!$D$15+'Project Assumptions'!$D$16,IF(BP5&lt;='Project Returns'!$F$32,IF(BP5&gt;'Project Assumptions'!$D$15+1,(MIN(0,-BO213))*'Project Assumptions'!$D$26/12,0),0),0)+IF(BP5&gt;'Project Assumptions'!$D$15+'Project Assumptions'!$D$16,IF(BP5&lt;='Project Returns'!$F$32,IF(BP5='Project Assumptions'!$D$15+1,(MIN(0,-BO202-BO206))*'Project Assumptions'!$D$26/12,0),0),0)</f>
        <v/>
      </c>
      <c r="BQ125" s="595">
        <f>IF(BQ5&gt;'Project Assumptions'!$D$15+'Project Assumptions'!$D$16,IF(BQ5&lt;='Project Returns'!$F$32,IF(BQ5&gt;'Project Assumptions'!$D$15+1,(MIN(0,-BP213))*'Project Assumptions'!$D$26/12,0),0),0)+IF(BQ5&gt;'Project Assumptions'!$D$15+'Project Assumptions'!$D$16,IF(BQ5&lt;='Project Returns'!$F$32,IF(BQ5='Project Assumptions'!$D$15+1,(MIN(0,-BP202-BP206))*'Project Assumptions'!$D$26/12,0),0),0)</f>
        <v/>
      </c>
      <c r="BR125" s="595">
        <f>IF(BR5&gt;'Project Assumptions'!$D$15+'Project Assumptions'!$D$16,IF(BR5&lt;='Project Returns'!$F$32,IF(BR5&gt;'Project Assumptions'!$D$15+1,(MIN(0,-BQ213))*'Project Assumptions'!$D$26/12,0),0),0)+IF(BR5&gt;'Project Assumptions'!$D$15+'Project Assumptions'!$D$16,IF(BR5&lt;='Project Returns'!$F$32,IF(BR5='Project Assumptions'!$D$15+1,(MIN(0,-BQ202-BQ206))*'Project Assumptions'!$D$26/12,0),0),0)</f>
        <v/>
      </c>
      <c r="BS125" s="595">
        <f>IF(BS5&gt;'Project Assumptions'!$D$15+'Project Assumptions'!$D$16,IF(BS5&lt;='Project Returns'!$F$32,IF(BS5&gt;'Project Assumptions'!$D$15+1,(MIN(0,-BR213))*'Project Assumptions'!$D$26/12,0),0),0)+IF(BS5&gt;'Project Assumptions'!$D$15+'Project Assumptions'!$D$16,IF(BS5&lt;='Project Returns'!$F$32,IF(BS5='Project Assumptions'!$D$15+1,(MIN(0,-BR202-BR206))*'Project Assumptions'!$D$26/12,0),0),0)</f>
        <v/>
      </c>
      <c r="BT125" s="595">
        <f>IF(BT5&gt;'Project Assumptions'!$D$15+'Project Assumptions'!$D$16,IF(BT5&lt;='Project Returns'!$F$32,IF(BT5&gt;'Project Assumptions'!$D$15+1,(MIN(0,-BS213))*'Project Assumptions'!$D$26/12,0),0),0)+IF(BT5&gt;'Project Assumptions'!$D$15+'Project Assumptions'!$D$16,IF(BT5&lt;='Project Returns'!$F$32,IF(BT5='Project Assumptions'!$D$15+1,(MIN(0,-BS202-BS206))*'Project Assumptions'!$D$26/12,0),0),0)</f>
        <v/>
      </c>
      <c r="BU125" s="595">
        <f>IF(BU5&gt;'Project Assumptions'!$D$15+'Project Assumptions'!$D$16,IF(BU5&lt;='Project Returns'!$F$32,IF(BU5&gt;'Project Assumptions'!$D$15+1,(MIN(0,-BT213))*'Project Assumptions'!$D$26/12,0),0),0)+IF(BU5&gt;'Project Assumptions'!$D$15+'Project Assumptions'!$D$16,IF(BU5&lt;='Project Returns'!$F$32,IF(BU5='Project Assumptions'!$D$15+1,(MIN(0,-BT202-BT206))*'Project Assumptions'!$D$26/12,0),0),0)</f>
        <v/>
      </c>
      <c r="BV125" s="595">
        <f>IF(BV5&gt;'Project Assumptions'!$D$15+'Project Assumptions'!$D$16,IF(BV5&lt;='Project Returns'!$F$32,IF(BV5&gt;'Project Assumptions'!$D$15+1,(MIN(0,-BU213))*'Project Assumptions'!$D$26/12,0),0),0)+IF(BV5&gt;'Project Assumptions'!$D$15+'Project Assumptions'!$D$16,IF(BV5&lt;='Project Returns'!$F$32,IF(BV5='Project Assumptions'!$D$15+1,(MIN(0,-BU202-BU206))*'Project Assumptions'!$D$26/12,0),0),0)</f>
        <v/>
      </c>
      <c r="BW125" s="595">
        <f>IF(BW5&gt;'Project Assumptions'!$D$15+'Project Assumptions'!$D$16,IF(BW5&lt;='Project Returns'!$F$32,IF(BW5&gt;'Project Assumptions'!$D$15+1,(MIN(0,-BV213))*'Project Assumptions'!$D$26/12,0),0),0)+IF(BW5&gt;'Project Assumptions'!$D$15+'Project Assumptions'!$D$16,IF(BW5&lt;='Project Returns'!$F$32,IF(BW5='Project Assumptions'!$D$15+1,(MIN(0,-BV202-BV206))*'Project Assumptions'!$D$26/12,0),0),0)</f>
        <v/>
      </c>
      <c r="BX125" s="595">
        <f>IF(BX5&gt;'Project Assumptions'!$D$15+'Project Assumptions'!$D$16,IF(BX5&lt;='Project Returns'!$F$32,IF(BX5&gt;'Project Assumptions'!$D$15+1,(MIN(0,-BW213))*'Project Assumptions'!$D$26/12,0),0),0)+IF(BX5&gt;'Project Assumptions'!$D$15+'Project Assumptions'!$D$16,IF(BX5&lt;='Project Returns'!$F$32,IF(BX5='Project Assumptions'!$D$15+1,(MIN(0,-BW202-BW206))*'Project Assumptions'!$D$26/12,0),0),0)</f>
        <v/>
      </c>
      <c r="BY125" s="595">
        <f>IF(BY5&gt;'Project Assumptions'!$D$15+'Project Assumptions'!$D$16,IF(BY5&lt;='Project Returns'!$F$32,IF(BY5&gt;'Project Assumptions'!$D$15+1,(MIN(0,-BX213))*'Project Assumptions'!$D$26/12,0),0),0)+IF(BY5&gt;'Project Assumptions'!$D$15+'Project Assumptions'!$D$16,IF(BY5&lt;='Project Returns'!$F$32,IF(BY5='Project Assumptions'!$D$15+1,(MIN(0,-BX202-BX206))*'Project Assumptions'!$D$26/12,0),0),0)</f>
        <v/>
      </c>
      <c r="BZ125" s="595">
        <f>IF(BZ5&gt;'Project Assumptions'!$D$15+'Project Assumptions'!$D$16,IF(BZ5&lt;='Project Returns'!$F$32,IF(BZ5&gt;'Project Assumptions'!$D$15+1,(MIN(0,-BY213))*'Project Assumptions'!$D$26/12,0),0),0)+IF(BZ5&gt;'Project Assumptions'!$D$15+'Project Assumptions'!$D$16,IF(BZ5&lt;='Project Returns'!$F$32,IF(BZ5='Project Assumptions'!$D$15+1,(MIN(0,-BY202-BY206))*'Project Assumptions'!$D$26/12,0),0),0)</f>
        <v/>
      </c>
      <c r="CA125" s="595">
        <f>IF(CA5&gt;'Project Assumptions'!$D$15+'Project Assumptions'!$D$16,IF(CA5&lt;='Project Returns'!$F$32,IF(CA5&gt;'Project Assumptions'!$D$15+1,(MIN(0,-BZ213))*'Project Assumptions'!$D$26/12,0),0),0)+IF(CA5&gt;'Project Assumptions'!$D$15+'Project Assumptions'!$D$16,IF(CA5&lt;='Project Returns'!$F$32,IF(CA5='Project Assumptions'!$D$15+1,(MIN(0,-BZ202-BZ206))*'Project Assumptions'!$D$26/12,0),0),0)</f>
        <v/>
      </c>
      <c r="CB125" s="595">
        <f>IF(CB5&gt;'Project Assumptions'!$D$15+'Project Assumptions'!$D$16,IF(CB5&lt;='Project Returns'!$F$32,IF(CB5&gt;'Project Assumptions'!$D$15+1,(MIN(0,-CA213))*'Project Assumptions'!$D$26/12,0),0),0)+IF(CB5&gt;'Project Assumptions'!$D$15+'Project Assumptions'!$D$16,IF(CB5&lt;='Project Returns'!$F$32,IF(CB5='Project Assumptions'!$D$15+1,(MIN(0,-CA202-CA206))*'Project Assumptions'!$D$26/12,0),0),0)</f>
        <v/>
      </c>
      <c r="CC125" s="595">
        <f>IF(CC5&gt;'Project Assumptions'!$D$15+'Project Assumptions'!$D$16,IF(CC5&lt;='Project Returns'!$F$32,IF(CC5&gt;'Project Assumptions'!$D$15+1,(MIN(0,-CB213))*'Project Assumptions'!$D$26/12,0),0),0)+IF(CC5&gt;'Project Assumptions'!$D$15+'Project Assumptions'!$D$16,IF(CC5&lt;='Project Returns'!$F$32,IF(CC5='Project Assumptions'!$D$15+1,(MIN(0,-CB202-CB206))*'Project Assumptions'!$D$26/12,0),0),0)</f>
        <v/>
      </c>
      <c r="CD125" s="595">
        <f>IF(CD5&gt;'Project Assumptions'!$D$15+'Project Assumptions'!$D$16,IF(CD5&lt;='Project Returns'!$F$32,IF(CD5&gt;'Project Assumptions'!$D$15+1,(MIN(0,-CC213))*'Project Assumptions'!$D$26/12,0),0),0)+IF(CD5&gt;'Project Assumptions'!$D$15+'Project Assumptions'!$D$16,IF(CD5&lt;='Project Returns'!$F$32,IF(CD5='Project Assumptions'!$D$15+1,(MIN(0,-CC202-CC206))*'Project Assumptions'!$D$26/12,0),0),0)</f>
        <v/>
      </c>
      <c r="CE125" s="595">
        <f>IF(CE5&gt;'Project Assumptions'!$D$15+'Project Assumptions'!$D$16,IF(CE5&lt;='Project Returns'!$F$32,IF(CE5&gt;'Project Assumptions'!$D$15+1,(MIN(0,-CD213))*'Project Assumptions'!$D$26/12,0),0),0)+IF(CE5&gt;'Project Assumptions'!$D$15+'Project Assumptions'!$D$16,IF(CE5&lt;='Project Returns'!$F$32,IF(CE5='Project Assumptions'!$D$15+1,(MIN(0,-CD202-CD206))*'Project Assumptions'!$D$26/12,0),0),0)</f>
        <v/>
      </c>
      <c r="CF125" s="595">
        <f>IF(CF5&gt;'Project Assumptions'!$D$15+'Project Assumptions'!$D$16,IF(CF5&lt;='Project Returns'!$F$32,IF(CF5&gt;'Project Assumptions'!$D$15+1,(MIN(0,-CE213))*'Project Assumptions'!$D$26/12,0),0),0)+IF(CF5&gt;'Project Assumptions'!$D$15+'Project Assumptions'!$D$16,IF(CF5&lt;='Project Returns'!$F$32,IF(CF5='Project Assumptions'!$D$15+1,(MIN(0,-CE202-CE206))*'Project Assumptions'!$D$26/12,0),0),0)</f>
        <v/>
      </c>
      <c r="CG125" s="595">
        <f>IF(CG5&gt;'Project Assumptions'!$D$15+'Project Assumptions'!$D$16,IF(CG5&lt;='Project Returns'!$F$32,IF(CG5&gt;'Project Assumptions'!$D$15+1,(MIN(0,-CF213))*'Project Assumptions'!$D$26/12,0),0),0)+IF(CG5&gt;'Project Assumptions'!$D$15+'Project Assumptions'!$D$16,IF(CG5&lt;='Project Returns'!$F$32,IF(CG5='Project Assumptions'!$D$15+1,(MIN(0,-CF202-CF206))*'Project Assumptions'!$D$26/12,0),0),0)</f>
        <v/>
      </c>
      <c r="CH125" s="595">
        <f>IF(CH5&gt;'Project Assumptions'!$D$15+'Project Assumptions'!$D$16,IF(CH5&lt;='Project Returns'!$F$32,IF(CH5&gt;'Project Assumptions'!$D$15+1,(MIN(0,-CG213))*'Project Assumptions'!$D$26/12,0),0),0)+IF(CH5&gt;'Project Assumptions'!$D$15+'Project Assumptions'!$D$16,IF(CH5&lt;='Project Returns'!$F$32,IF(CH5='Project Assumptions'!$D$15+1,(MIN(0,-CG202-CG206))*'Project Assumptions'!$D$26/12,0),0),0)</f>
        <v/>
      </c>
      <c r="CI125" s="595">
        <f>IF(CI5&gt;'Project Assumptions'!$D$15+'Project Assumptions'!$D$16,IF(CI5&lt;='Project Returns'!$F$32,IF(CI5&gt;'Project Assumptions'!$D$15+1,(MIN(0,-CH213))*'Project Assumptions'!$D$26/12,0),0),0)+IF(CI5&gt;'Project Assumptions'!$D$15+'Project Assumptions'!$D$16,IF(CI5&lt;='Project Returns'!$F$32,IF(CI5='Project Assumptions'!$D$15+1,(MIN(0,-CH202-CH206))*'Project Assumptions'!$D$26/12,0),0),0)</f>
        <v/>
      </c>
      <c r="CJ125" s="595">
        <f>IF(CJ5&gt;'Project Assumptions'!$D$15+'Project Assumptions'!$D$16,IF(CJ5&lt;='Project Returns'!$F$32,IF(CJ5&gt;'Project Assumptions'!$D$15+1,(MIN(0,-CI213))*'Project Assumptions'!$D$26/12,0),0),0)+IF(CJ5&gt;'Project Assumptions'!$D$15+'Project Assumptions'!$D$16,IF(CJ5&lt;='Project Returns'!$F$32,IF(CJ5='Project Assumptions'!$D$15+1,(MIN(0,-CI202-CI206))*'Project Assumptions'!$D$26/12,0),0),0)</f>
        <v/>
      </c>
      <c r="CK125" s="595">
        <f>IF(CK5&gt;'Project Assumptions'!$D$15+'Project Assumptions'!$D$16,IF(CK5&lt;='Project Returns'!$F$32,IF(CK5&gt;'Project Assumptions'!$D$15+1,(MIN(0,-CJ213))*'Project Assumptions'!$D$26/12,0),0),0)+IF(CK5&gt;'Project Assumptions'!$D$15+'Project Assumptions'!$D$16,IF(CK5&lt;='Project Returns'!$F$32,IF(CK5='Project Assumptions'!$D$15+1,(MIN(0,-CJ202-CJ206))*'Project Assumptions'!$D$26/12,0),0),0)</f>
        <v/>
      </c>
      <c r="CL125" s="595">
        <f>IF(CL5&gt;'Project Assumptions'!$D$15+'Project Assumptions'!$D$16,IF(CL5&lt;='Project Returns'!$F$32,IF(CL5&gt;'Project Assumptions'!$D$15+1,(MIN(0,-CK213))*'Project Assumptions'!$D$26/12,0),0),0)+IF(CL5&gt;'Project Assumptions'!$D$15+'Project Assumptions'!$D$16,IF(CL5&lt;='Project Returns'!$F$32,IF(CL5='Project Assumptions'!$D$15+1,(MIN(0,-CK202-CK206))*'Project Assumptions'!$D$26/12,0),0),0)</f>
        <v/>
      </c>
      <c r="CM125" s="595">
        <f>IF(CM5&gt;'Project Assumptions'!$D$15+'Project Assumptions'!$D$16,IF(CM5&lt;='Project Returns'!$F$32,IF(CM5&gt;'Project Assumptions'!$D$15+1,(MIN(0,-CL213))*'Project Assumptions'!$D$26/12,0),0),0)+IF(CM5&gt;'Project Assumptions'!$D$15+'Project Assumptions'!$D$16,IF(CM5&lt;='Project Returns'!$F$32,IF(CM5='Project Assumptions'!$D$15+1,(MIN(0,-CL202-CL206))*'Project Assumptions'!$D$26/12,0),0),0)</f>
        <v/>
      </c>
      <c r="CN125" s="595">
        <f>IF(CN5&gt;'Project Assumptions'!$D$15+'Project Assumptions'!$D$16,IF(CN5&lt;='Project Returns'!$F$32,IF(CN5&gt;'Project Assumptions'!$D$15+1,(MIN(0,-CM213))*'Project Assumptions'!$D$26/12,0),0),0)+IF(CN5&gt;'Project Assumptions'!$D$15+'Project Assumptions'!$D$16,IF(CN5&lt;='Project Returns'!$F$32,IF(CN5='Project Assumptions'!$D$15+1,(MIN(0,-CM202-CM206))*'Project Assumptions'!$D$26/12,0),0),0)</f>
        <v/>
      </c>
      <c r="CO125" s="595">
        <f>IF(CO5&gt;'Project Assumptions'!$D$15+'Project Assumptions'!$D$16,IF(CO5&lt;='Project Returns'!$F$32,IF(CO5&gt;'Project Assumptions'!$D$15+1,(MIN(0,-CN213))*'Project Assumptions'!$D$26/12,0),0),0)+IF(CO5&gt;'Project Assumptions'!$D$15+'Project Assumptions'!$D$16,IF(CO5&lt;='Project Returns'!$F$32,IF(CO5='Project Assumptions'!$D$15+1,(MIN(0,-CN202-CN206))*'Project Assumptions'!$D$26/12,0),0),0)</f>
        <v/>
      </c>
      <c r="CP125" s="595">
        <f>IF(CP5&gt;'Project Assumptions'!$D$15+'Project Assumptions'!$D$16,IF(CP5&lt;='Project Returns'!$F$32,IF(CP5&gt;'Project Assumptions'!$D$15+1,(MIN(0,-CO213))*'Project Assumptions'!$D$26/12,0),0),0)+IF(CP5&gt;'Project Assumptions'!$D$15+'Project Assumptions'!$D$16,IF(CP5&lt;='Project Returns'!$F$32,IF(CP5='Project Assumptions'!$D$15+1,(MIN(0,-CO202-CO206))*'Project Assumptions'!$D$26/12,0),0),0)</f>
        <v/>
      </c>
      <c r="CQ125" s="595">
        <f>IF(CQ5&gt;'Project Assumptions'!$D$15+'Project Assumptions'!$D$16,IF(CQ5&lt;='Project Returns'!$F$32,IF(CQ5&gt;'Project Assumptions'!$D$15+1,(MIN(0,-CP213))*'Project Assumptions'!$D$26/12,0),0),0)+IF(CQ5&gt;'Project Assumptions'!$D$15+'Project Assumptions'!$D$16,IF(CQ5&lt;='Project Returns'!$F$32,IF(CQ5='Project Assumptions'!$D$15+1,(MIN(0,-CP202-CP206))*'Project Assumptions'!$D$26/12,0),0),0)</f>
        <v/>
      </c>
      <c r="CR125" s="595">
        <f>IF(CR5&gt;'Project Assumptions'!$D$15+'Project Assumptions'!$D$16,IF(CR5&lt;='Project Returns'!$F$32,IF(CR5&gt;'Project Assumptions'!$D$15+1,(MIN(0,-CQ213))*'Project Assumptions'!$D$26/12,0),0),0)+IF(CR5&gt;'Project Assumptions'!$D$15+'Project Assumptions'!$D$16,IF(CR5&lt;='Project Returns'!$F$32,IF(CR5='Project Assumptions'!$D$15+1,(MIN(0,-CQ202-CQ206))*'Project Assumptions'!$D$26/12,0),0),0)</f>
        <v/>
      </c>
      <c r="CS125" s="595">
        <f>IF(CS5&gt;'Project Assumptions'!$D$15+'Project Assumptions'!$D$16,IF(CS5&lt;='Project Returns'!$F$32,IF(CS5&gt;'Project Assumptions'!$D$15+1,(MIN(0,-CR213))*'Project Assumptions'!$D$26/12,0),0),0)+IF(CS5&gt;'Project Assumptions'!$D$15+'Project Assumptions'!$D$16,IF(CS5&lt;='Project Returns'!$F$32,IF(CS5='Project Assumptions'!$D$15+1,(MIN(0,-CR202-CR206))*'Project Assumptions'!$D$26/12,0),0),0)</f>
        <v/>
      </c>
      <c r="CT125" s="595">
        <f>IF(CT5&gt;'Project Assumptions'!$D$15+'Project Assumptions'!$D$16,IF(CT5&lt;='Project Returns'!$F$32,IF(CT5&gt;'Project Assumptions'!$D$15+1,(MIN(0,-CS213))*'Project Assumptions'!$D$26/12,0),0),0)+IF(CT5&gt;'Project Assumptions'!$D$15+'Project Assumptions'!$D$16,IF(CT5&lt;='Project Returns'!$F$32,IF(CT5='Project Assumptions'!$D$15+1,(MIN(0,-CS202-CS206))*'Project Assumptions'!$D$26/12,0),0),0)</f>
        <v/>
      </c>
      <c r="CU125" s="595">
        <f>IF(CU5&gt;'Project Assumptions'!$D$15+'Project Assumptions'!$D$16,IF(CU5&lt;='Project Returns'!$F$32,IF(CU5&gt;'Project Assumptions'!$D$15+1,(MIN(0,-CT213))*'Project Assumptions'!$D$26/12,0),0),0)+IF(CU5&gt;'Project Assumptions'!$D$15+'Project Assumptions'!$D$16,IF(CU5&lt;='Project Returns'!$F$32,IF(CU5='Project Assumptions'!$D$15+1,(MIN(0,-CT202-CT206))*'Project Assumptions'!$D$26/12,0),0),0)</f>
        <v/>
      </c>
      <c r="CV125" s="595">
        <f>IF(CV5&gt;'Project Assumptions'!$D$15+'Project Assumptions'!$D$16,IF(CV5&lt;='Project Returns'!$F$32,IF(CV5&gt;'Project Assumptions'!$D$15+1,(MIN(0,-CU213))*'Project Assumptions'!$D$26/12,0),0),0)+IF(CV5&gt;'Project Assumptions'!$D$15+'Project Assumptions'!$D$16,IF(CV5&lt;='Project Returns'!$F$32,IF(CV5='Project Assumptions'!$D$15+1,(MIN(0,-CU202-CU206))*'Project Assumptions'!$D$26/12,0),0),0)</f>
        <v/>
      </c>
      <c r="CW125" s="595">
        <f>IF(CW5&gt;'Project Assumptions'!$D$15+'Project Assumptions'!$D$16,IF(CW5&lt;='Project Returns'!$F$32,IF(CW5&gt;'Project Assumptions'!$D$15+1,(MIN(0,-CV213))*'Project Assumptions'!$D$26/12,0),0),0)+IF(CW5&gt;'Project Assumptions'!$D$15+'Project Assumptions'!$D$16,IF(CW5&lt;='Project Returns'!$F$32,IF(CW5='Project Assumptions'!$D$15+1,(MIN(0,-CV202-CV206))*'Project Assumptions'!$D$26/12,0),0),0)</f>
        <v/>
      </c>
      <c r="CX125" s="595">
        <f>IF(CX5&gt;'Project Assumptions'!$D$15+'Project Assumptions'!$D$16,IF(CX5&lt;='Project Returns'!$F$32,IF(CX5&gt;'Project Assumptions'!$D$15+1,(MIN(0,-CW213))*'Project Assumptions'!$D$26/12,0),0),0)+IF(CX5&gt;'Project Assumptions'!$D$15+'Project Assumptions'!$D$16,IF(CX5&lt;='Project Returns'!$F$32,IF(CX5='Project Assumptions'!$D$15+1,(MIN(0,-CW202-CW206))*'Project Assumptions'!$D$26/12,0),0),0)</f>
        <v/>
      </c>
      <c r="CY125" s="595">
        <f>IF(CY5&gt;'Project Assumptions'!$D$15+'Project Assumptions'!$D$16,IF(CY5&lt;='Project Returns'!$F$32,IF(CY5&gt;'Project Assumptions'!$D$15+1,(MIN(0,-CX213))*'Project Assumptions'!$D$26/12,0),0),0)+IF(CY5&gt;'Project Assumptions'!$D$15+'Project Assumptions'!$D$16,IF(CY5&lt;='Project Returns'!$F$32,IF(CY5='Project Assumptions'!$D$15+1,(MIN(0,-CX202-CX206))*'Project Assumptions'!$D$26/12,0),0),0)</f>
        <v/>
      </c>
      <c r="CZ125" s="595">
        <f>IF(CZ5&gt;'Project Assumptions'!$D$15+'Project Assumptions'!$D$16,IF(CZ5&lt;='Project Returns'!$F$32,IF(CZ5&gt;'Project Assumptions'!$D$15+1,(MIN(0,-CY213))*'Project Assumptions'!$D$26/12,0),0),0)+IF(CZ5&gt;'Project Assumptions'!$D$15+'Project Assumptions'!$D$16,IF(CZ5&lt;='Project Returns'!$F$32,IF(CZ5='Project Assumptions'!$D$15+1,(MIN(0,-CY202-CY206))*'Project Assumptions'!$D$26/12,0),0),0)</f>
        <v/>
      </c>
      <c r="DA125" s="595">
        <f>IF(DA5&gt;'Project Assumptions'!$D$15+'Project Assumptions'!$D$16,IF(DA5&lt;='Project Returns'!$F$32,IF(DA5&gt;'Project Assumptions'!$D$15+1,(MIN(0,-CZ213))*'Project Assumptions'!$D$26/12,0),0),0)+IF(DA5&gt;'Project Assumptions'!$D$15+'Project Assumptions'!$D$16,IF(DA5&lt;='Project Returns'!$F$32,IF(DA5='Project Assumptions'!$D$15+1,(MIN(0,-CZ202-CZ206))*'Project Assumptions'!$D$26/12,0),0),0)</f>
        <v/>
      </c>
      <c r="DB125" s="595">
        <f>IF(DB5&gt;'Project Assumptions'!$D$15+'Project Assumptions'!$D$16,IF(DB5&lt;='Project Returns'!$F$32,IF(DB5&gt;'Project Assumptions'!$D$15+1,(MIN(0,-DA213))*'Project Assumptions'!$D$26/12,0),0),0)+IF(DB5&gt;'Project Assumptions'!$D$15+'Project Assumptions'!$D$16,IF(DB5&lt;='Project Returns'!$F$32,IF(DB5='Project Assumptions'!$D$15+1,(MIN(0,-DA202-DA206))*'Project Assumptions'!$D$26/12,0),0),0)</f>
        <v/>
      </c>
      <c r="DC125" s="595" t="n"/>
      <c r="DD125" s="593">
        <f>SUM(F125:DB125)</f>
        <v/>
      </c>
    </row>
    <row r="126">
      <c r="A126" s="1000" t="n"/>
      <c r="B126" s="9" t="inlineStr">
        <is>
          <t xml:space="preserve">   Net Rental Income  (after free rent)</t>
        </is>
      </c>
      <c r="C126" s="294" t="n"/>
      <c r="D126" s="295">
        <f>DD126</f>
        <v/>
      </c>
      <c r="E126" s="274" t="n"/>
      <c r="F126" s="273" t="n"/>
      <c r="G126" s="273">
        <f>IF(G5&lt;='Project Returns'!$F$32,SUM(G127:G137),0)</f>
        <v/>
      </c>
      <c r="H126" s="273">
        <f>IF(H5&lt;='Project Returns'!$F$32,SUM(H127:H137),0)</f>
        <v/>
      </c>
      <c r="I126" s="273">
        <f>IF(I5&lt;='Project Returns'!$F$32,SUM(I127:I137),0)</f>
        <v/>
      </c>
      <c r="J126" s="273">
        <f>IF(J5&lt;='Project Returns'!$F$32,SUM(J127:J137),0)</f>
        <v/>
      </c>
      <c r="K126" s="273">
        <f>IF(K5&lt;='Project Returns'!$F$32,SUM(K127:K137),0)</f>
        <v/>
      </c>
      <c r="L126" s="273">
        <f>IF(L5&lt;='Project Returns'!$F$32,SUM(L127:L137),0)</f>
        <v/>
      </c>
      <c r="M126" s="273">
        <f>IF(M5&lt;='Project Returns'!$F$32,SUM(M127:M137),0)</f>
        <v/>
      </c>
      <c r="N126" s="273">
        <f>IF(N5&lt;='Project Returns'!$F$32,SUM(N127:N137),0)</f>
        <v/>
      </c>
      <c r="O126" s="273">
        <f>IF(O5&lt;='Project Returns'!$F$32,SUM(O127:O137),0)</f>
        <v/>
      </c>
      <c r="P126" s="273">
        <f>IF(P5&lt;='Project Returns'!$F$32,SUM(P127:P137),0)</f>
        <v/>
      </c>
      <c r="Q126" s="273">
        <f>IF(Q5&lt;='Project Returns'!$F$32,SUM(Q127:Q137),0)</f>
        <v/>
      </c>
      <c r="R126" s="273">
        <f>IF(R5&lt;='Project Returns'!$F$32,SUM(R127:R137),0)</f>
        <v/>
      </c>
      <c r="S126" s="273">
        <f>IF(S5&lt;='Project Returns'!$F$32,SUM(S127:S137),0)</f>
        <v/>
      </c>
      <c r="T126" s="273">
        <f>IF(T5&lt;='Project Returns'!$F$32,SUM(T127:T137),0)</f>
        <v/>
      </c>
      <c r="U126" s="273">
        <f>IF(U5&lt;='Project Returns'!$F$32,SUM(U127:U137),0)</f>
        <v/>
      </c>
      <c r="V126" s="273">
        <f>IF(V5&lt;='Project Returns'!$F$32,SUM(V127:V137),0)</f>
        <v/>
      </c>
      <c r="W126" s="273">
        <f>IF(W5&lt;='Project Returns'!$F$32,SUM(W127:W137),0)</f>
        <v/>
      </c>
      <c r="X126" s="273">
        <f>IF(X5&lt;='Project Returns'!$F$32,SUM(X127:X137),0)</f>
        <v/>
      </c>
      <c r="Y126" s="273">
        <f>IF(Y5&lt;='Project Returns'!$F$32,SUM(Y127:Y137),0)</f>
        <v/>
      </c>
      <c r="Z126" s="273">
        <f>IF(Z5&lt;='Project Returns'!$F$32,SUM(Z127:Z137),0)</f>
        <v/>
      </c>
      <c r="AA126" s="273">
        <f>IF(AA5&lt;='Project Returns'!$F$32,SUM(AA127:AA137),0)</f>
        <v/>
      </c>
      <c r="AB126" s="273">
        <f>IF(AB5&lt;='Project Returns'!$F$32,SUM(AB127:AB137),0)</f>
        <v/>
      </c>
      <c r="AC126" s="273">
        <f>IF(AC5&lt;='Project Returns'!$F$32,SUM(AC127:AC137),0)</f>
        <v/>
      </c>
      <c r="AD126" s="273">
        <f>IF(AD5&lt;='Project Returns'!$F$32,SUM(AD127:AD137),0)</f>
        <v/>
      </c>
      <c r="AE126" s="273">
        <f>IF(AE5&lt;='Project Returns'!$F$32,SUM(AE127:AE137),0)</f>
        <v/>
      </c>
      <c r="AF126" s="273">
        <f>IF(AF5&lt;='Project Returns'!$F$32,SUM(AF127:AF137),0)</f>
        <v/>
      </c>
      <c r="AG126" s="273">
        <f>IF(AG5&lt;='Project Returns'!$F$32,SUM(AG127:AG137),0)</f>
        <v/>
      </c>
      <c r="AH126" s="273">
        <f>IF(AH5&lt;='Project Returns'!$F$32,SUM(AH127:AH137),0)</f>
        <v/>
      </c>
      <c r="AI126" s="273">
        <f>IF(AI5&lt;='Project Returns'!$F$32,SUM(AI127:AI137),0)</f>
        <v/>
      </c>
      <c r="AJ126" s="273">
        <f>IF(AJ5&lt;='Project Returns'!$F$32,SUM(AJ127:AJ137),0)</f>
        <v/>
      </c>
      <c r="AK126" s="273">
        <f>IF(AK5&lt;='Project Returns'!$F$32,SUM(AK127:AK137),0)</f>
        <v/>
      </c>
      <c r="AL126" s="273">
        <f>IF(AL5&lt;='Project Returns'!$F$32,SUM(AL127:AL137),0)</f>
        <v/>
      </c>
      <c r="AM126" s="273">
        <f>IF(AM5&lt;='Project Returns'!$F$32,SUM(AM127:AM137),0)</f>
        <v/>
      </c>
      <c r="AN126" s="273">
        <f>IF(AN5&lt;='Project Returns'!$F$32,SUM(AN127:AN137),0)</f>
        <v/>
      </c>
      <c r="AO126" s="273">
        <f>IF(AO5&lt;='Project Returns'!$F$32,SUM(AO127:AO137),0)</f>
        <v/>
      </c>
      <c r="AP126" s="273">
        <f>IF(AP5&lt;='Project Returns'!$F$32,SUM(AP127:AP137),0)</f>
        <v/>
      </c>
      <c r="AQ126" s="273">
        <f>IF(AQ5&lt;='Project Returns'!$F$32,SUM(AQ127:AQ137),0)</f>
        <v/>
      </c>
      <c r="AR126" s="273">
        <f>IF(AR5&lt;='Project Returns'!$F$32,SUM(AR127:AR137),0)</f>
        <v/>
      </c>
      <c r="AS126" s="273">
        <f>IF(AS5&lt;='Project Returns'!$F$32,SUM(AS127:AS137),0)</f>
        <v/>
      </c>
      <c r="AT126" s="273">
        <f>IF(AT5&lt;='Project Returns'!$F$32,SUM(AT127:AT137),0)</f>
        <v/>
      </c>
      <c r="AU126" s="273">
        <f>IF(AU5&lt;='Project Returns'!$F$32,SUM(AU127:AU137),0)</f>
        <v/>
      </c>
      <c r="AV126" s="273">
        <f>IF(AV5&lt;='Project Returns'!$F$32,SUM(AV127:AV137),0)</f>
        <v/>
      </c>
      <c r="AW126" s="273">
        <f>IF(AW5&lt;='Project Returns'!$F$32,SUM(AW127:AW137),0)</f>
        <v/>
      </c>
      <c r="AX126" s="273">
        <f>IF(AX5&lt;='Project Returns'!$F$32,SUM(AX127:AX137),0)</f>
        <v/>
      </c>
      <c r="AY126" s="273">
        <f>IF(AY5&lt;='Project Returns'!$F$32,SUM(AY127:AY137),0)</f>
        <v/>
      </c>
      <c r="AZ126" s="273">
        <f>IF(AZ5&lt;='Project Returns'!$F$32,SUM(AZ127:AZ137),0)</f>
        <v/>
      </c>
      <c r="BA126" s="273">
        <f>IF(BA5&lt;='Project Returns'!$F$32,SUM(BA127:BA137),0)</f>
        <v/>
      </c>
      <c r="BB126" s="273">
        <f>IF(BB5&lt;='Project Returns'!$F$32,SUM(BB127:BB137),0)</f>
        <v/>
      </c>
      <c r="BC126" s="273">
        <f>IF(BC5&lt;='Project Returns'!$F$32,SUM(BC127:BC137),0)</f>
        <v/>
      </c>
      <c r="BD126" s="273">
        <f>IF(BD5&lt;='Project Returns'!$F$32,SUM(BD127:BD137),0)</f>
        <v/>
      </c>
      <c r="BE126" s="273">
        <f>IF(BE5&lt;='Project Returns'!$F$32,SUM(BE127:BE137),0)</f>
        <v/>
      </c>
      <c r="BF126" s="273">
        <f>IF(BF5&lt;='Project Returns'!$F$32,SUM(BF127:BF137),0)</f>
        <v/>
      </c>
      <c r="BG126" s="273">
        <f>IF(BG5&lt;='Project Returns'!$F$32,SUM(BG127:BG137),0)</f>
        <v/>
      </c>
      <c r="BH126" s="273">
        <f>IF(BH5&lt;='Project Returns'!$F$32,SUM(BH127:BH137),0)</f>
        <v/>
      </c>
      <c r="BI126" s="273">
        <f>IF(BI5&lt;='Project Returns'!$F$32,SUM(BI127:BI137),0)</f>
        <v/>
      </c>
      <c r="BJ126" s="273">
        <f>IF(BJ5&lt;='Project Returns'!$F$32,SUM(BJ127:BJ137),0)</f>
        <v/>
      </c>
      <c r="BK126" s="273">
        <f>IF(BK5&lt;='Project Returns'!$F$32,SUM(BK127:BK137),0)</f>
        <v/>
      </c>
      <c r="BL126" s="273">
        <f>IF(BL5&lt;='Project Returns'!$F$32,SUM(BL127:BL137),0)</f>
        <v/>
      </c>
      <c r="BM126" s="273">
        <f>IF(BM5&lt;='Project Returns'!$F$32,SUM(BM127:BM137),0)</f>
        <v/>
      </c>
      <c r="BN126" s="273">
        <f>IF(BN5&lt;='Project Returns'!$F$32,SUM(BN127:BN137),0)</f>
        <v/>
      </c>
      <c r="BO126" s="273">
        <f>IF(BO5&lt;='Project Returns'!$F$32,SUM(BO127:BO137),0)</f>
        <v/>
      </c>
      <c r="BP126" s="273">
        <f>IF(BP5&lt;='Project Returns'!$F$32,SUM(BP127:BP137),0)</f>
        <v/>
      </c>
      <c r="BQ126" s="273">
        <f>IF(BQ5&lt;='Project Returns'!$F$32,SUM(BQ127:BQ137),0)</f>
        <v/>
      </c>
      <c r="BR126" s="273">
        <f>IF(BR5&lt;='Project Returns'!$F$32,SUM(BR127:BR137),0)</f>
        <v/>
      </c>
      <c r="BS126" s="273">
        <f>IF(BS5&lt;='Project Returns'!$F$32,SUM(BS127:BS137),0)</f>
        <v/>
      </c>
      <c r="BT126" s="273">
        <f>IF(BT5&lt;='Project Returns'!$F$32,SUM(BT127:BT137),0)</f>
        <v/>
      </c>
      <c r="BU126" s="273">
        <f>IF(BU5&lt;='Project Returns'!$F$32,SUM(BU127:BU137),0)</f>
        <v/>
      </c>
      <c r="BV126" s="273">
        <f>IF(BV5&lt;='Project Returns'!$F$32,SUM(BV127:BV137),0)</f>
        <v/>
      </c>
      <c r="BW126" s="273">
        <f>IF(BW5&lt;='Project Returns'!$F$32,SUM(BW127:BW137),0)</f>
        <v/>
      </c>
      <c r="BX126" s="273">
        <f>IF(BX5&lt;='Project Returns'!$F$32,SUM(BX127:BX137),0)</f>
        <v/>
      </c>
      <c r="BY126" s="273">
        <f>IF(BY5&lt;='Project Returns'!$F$32,SUM(BY127:BY137),0)</f>
        <v/>
      </c>
      <c r="BZ126" s="273">
        <f>IF(BZ5&lt;='Project Returns'!$F$32,SUM(BZ127:BZ137),0)</f>
        <v/>
      </c>
      <c r="CA126" s="273">
        <f>IF(CA5&lt;='Project Returns'!$F$32,SUM(CA127:CA137),0)</f>
        <v/>
      </c>
      <c r="CB126" s="273">
        <f>IF(CB5&lt;='Project Returns'!$F$32,SUM(CB127:CB137),0)</f>
        <v/>
      </c>
      <c r="CC126" s="273">
        <f>IF(CC5&lt;='Project Returns'!$F$32,SUM(CC127:CC137),0)</f>
        <v/>
      </c>
      <c r="CD126" s="273">
        <f>IF(CD5&lt;='Project Returns'!$F$32,SUM(CD127:CD137),0)</f>
        <v/>
      </c>
      <c r="CE126" s="273">
        <f>IF(CE5&lt;='Project Returns'!$F$32,SUM(CE127:CE137),0)</f>
        <v/>
      </c>
      <c r="CF126" s="273">
        <f>IF(CF5&lt;='Project Returns'!$F$32,SUM(CF127:CF137),0)</f>
        <v/>
      </c>
      <c r="CG126" s="273">
        <f>IF(CG5&lt;='Project Returns'!$F$32,SUM(CG127:CG137),0)</f>
        <v/>
      </c>
      <c r="CH126" s="273">
        <f>IF(CH5&lt;='Project Returns'!$F$32,SUM(CH127:CH137),0)</f>
        <v/>
      </c>
      <c r="CI126" s="273">
        <f>IF(CI5&lt;='Project Returns'!$F$32,SUM(CI127:CI137),0)</f>
        <v/>
      </c>
      <c r="CJ126" s="273">
        <f>IF(CJ5&lt;='Project Returns'!$F$32,SUM(CJ127:CJ137),0)</f>
        <v/>
      </c>
      <c r="CK126" s="273">
        <f>IF(CK5&lt;='Project Returns'!$F$32,SUM(CK127:CK137),0)</f>
        <v/>
      </c>
      <c r="CL126" s="273">
        <f>IF(CL5&lt;='Project Returns'!$F$32,SUM(CL127:CL137),0)</f>
        <v/>
      </c>
      <c r="CM126" s="273">
        <f>IF(CM5&lt;='Project Returns'!$F$32,SUM(CM127:CM137),0)</f>
        <v/>
      </c>
      <c r="CN126" s="273">
        <f>IF(CN5&lt;='Project Returns'!$F$32,SUM(CN127:CN137),0)</f>
        <v/>
      </c>
      <c r="CO126" s="273">
        <f>IF(CO5&lt;='Project Returns'!$F$32,SUM(CO127:CO137),0)</f>
        <v/>
      </c>
      <c r="CP126" s="273">
        <f>IF(CP5&lt;='Project Returns'!$F$32,SUM(CP127:CP137),0)</f>
        <v/>
      </c>
      <c r="CQ126" s="273">
        <f>IF(CQ5&lt;='Project Returns'!$F$32,SUM(CQ127:CQ137),0)</f>
        <v/>
      </c>
      <c r="CR126" s="273">
        <f>IF(CR5&lt;='Project Returns'!$F$32,SUM(CR127:CR137),0)</f>
        <v/>
      </c>
      <c r="CS126" s="273">
        <f>IF(CS5&lt;='Project Returns'!$F$32,SUM(CS127:CS137),0)</f>
        <v/>
      </c>
      <c r="CT126" s="273">
        <f>IF(CT5&lt;='Project Returns'!$F$32,SUM(CT127:CT137),0)</f>
        <v/>
      </c>
      <c r="CU126" s="273">
        <f>IF(CU5&lt;='Project Returns'!$F$32,SUM(CU127:CU137),0)</f>
        <v/>
      </c>
      <c r="CV126" s="273">
        <f>IF(CV5&lt;='Project Returns'!$F$32,SUM(CV127:CV137),0)</f>
        <v/>
      </c>
      <c r="CW126" s="273">
        <f>IF(CW5&lt;='Project Returns'!$F$32,SUM(CW127:CW137),0)</f>
        <v/>
      </c>
      <c r="CX126" s="273">
        <f>IF(CX5&lt;='Project Returns'!$F$32,SUM(CX127:CX137),0)</f>
        <v/>
      </c>
      <c r="CY126" s="273">
        <f>IF(CY5&lt;='Project Returns'!$F$32,SUM(CY127:CY137),0)</f>
        <v/>
      </c>
      <c r="CZ126" s="273">
        <f>IF(CZ5&lt;='Project Returns'!$F$32,SUM(CZ127:CZ137),0)</f>
        <v/>
      </c>
      <c r="DA126" s="273">
        <f>IF(DA5&lt;='Project Returns'!$F$32,SUM(DA127:DA137),0)</f>
        <v/>
      </c>
      <c r="DB126" s="273">
        <f>IF(DB5&lt;='Project Returns'!$F$32,SUM(DB127:DB137),0)</f>
        <v/>
      </c>
      <c r="DC126" s="273" t="n"/>
      <c r="DD126" s="295">
        <f>SUM(F126:DB126)</f>
        <v/>
      </c>
    </row>
    <row r="127" hidden="1" outlineLevel="1">
      <c r="A127" s="1000" t="n"/>
      <c r="B127" s="315" t="inlineStr">
        <is>
          <t>Lease #1</t>
        </is>
      </c>
      <c r="C127" s="294" t="n"/>
      <c r="D127" s="299">
        <f>DD127</f>
        <v/>
      </c>
      <c r="E127" s="300" t="n"/>
      <c r="F127" s="301" t="n"/>
      <c r="G127" s="301">
        <f>IF(G$5&gt;='Economic Assumptions'!$B10+'Economic Assumptions'!$G10+'Project Assumptions'!$D$15+'Project Assumptions'!$D$16,'Economic Assumptions'!$C10*'Economic Assumptions'!$D10/12,0)</f>
        <v/>
      </c>
      <c r="H127" s="301">
        <f>IF(H$5&gt;='Economic Assumptions'!$B10+'Economic Assumptions'!$G10+'Project Assumptions'!$D$15+'Project Assumptions'!$D$16,'Economic Assumptions'!$C10*'Economic Assumptions'!$D10/12,0)</f>
        <v/>
      </c>
      <c r="I127" s="301">
        <f>IF(I$5&gt;='Economic Assumptions'!$B10+'Economic Assumptions'!$G10+'Project Assumptions'!$D$15+'Project Assumptions'!$D$16,'Economic Assumptions'!$C10*'Economic Assumptions'!$D10/12,0)</f>
        <v/>
      </c>
      <c r="J127" s="301">
        <f>IF(J$5&gt;='Economic Assumptions'!$B10+'Economic Assumptions'!$G10+'Project Assumptions'!$D$15+'Project Assumptions'!$D$16,'Economic Assumptions'!$C10*'Economic Assumptions'!$D10/12,0)</f>
        <v/>
      </c>
      <c r="K127" s="301">
        <f>IF(K$5&gt;='Economic Assumptions'!$B10+'Economic Assumptions'!$G10+'Project Assumptions'!$D$15+'Project Assumptions'!$D$16,'Economic Assumptions'!$C10*'Economic Assumptions'!$D10/12,0)</f>
        <v/>
      </c>
      <c r="L127" s="301">
        <f>IF(L$5&gt;='Economic Assumptions'!$B10+'Economic Assumptions'!$G10+'Project Assumptions'!$D$15+'Project Assumptions'!$D$16,'Economic Assumptions'!$C10*'Economic Assumptions'!$D10/12,0)</f>
        <v/>
      </c>
      <c r="M127" s="301">
        <f>IF(M$5&gt;='Economic Assumptions'!$B10+'Economic Assumptions'!$G10+'Project Assumptions'!$D$15+'Project Assumptions'!$D$16,'Economic Assumptions'!$C10*'Economic Assumptions'!$D10/12,0)</f>
        <v/>
      </c>
      <c r="N127" s="301">
        <f>IF(N$5&gt;='Economic Assumptions'!$B10+'Economic Assumptions'!$G10+'Project Assumptions'!$D$15+'Project Assumptions'!$D$16,'Economic Assumptions'!$C10*'Economic Assumptions'!$D10/12,0)</f>
        <v/>
      </c>
      <c r="O127" s="301">
        <f>IF(O$5&gt;='Economic Assumptions'!$B10+'Economic Assumptions'!$G10+'Project Assumptions'!$D$15+'Project Assumptions'!$D$16,'Economic Assumptions'!$C10*'Economic Assumptions'!$D10/12,0)</f>
        <v/>
      </c>
      <c r="P127" s="301">
        <f>IF(P$5&gt;='Economic Assumptions'!$B10+'Economic Assumptions'!$G10+'Project Assumptions'!$D$15+'Project Assumptions'!$D$16,'Economic Assumptions'!$C10*'Economic Assumptions'!$D10/12,0)</f>
        <v/>
      </c>
      <c r="Q127" s="301">
        <f>IF(Q$5&gt;='Economic Assumptions'!$B10+'Economic Assumptions'!$G10+'Project Assumptions'!$D$15+'Project Assumptions'!$D$16,'Economic Assumptions'!$C10*'Economic Assumptions'!$D10/12,0)</f>
        <v/>
      </c>
      <c r="R127" s="301">
        <f>IF(R$5&gt;='Economic Assumptions'!$B10+'Economic Assumptions'!$G10+'Project Assumptions'!$D$15+'Project Assumptions'!$D$16,'Economic Assumptions'!$C10*'Economic Assumptions'!$D10/12,0)</f>
        <v/>
      </c>
      <c r="S127" s="301">
        <f>IF(S$5&gt;='Economic Assumptions'!$B10+'Economic Assumptions'!$G10+'Project Assumptions'!$D$15+'Project Assumptions'!$D$16,'Economic Assumptions'!$C10*'Economic Assumptions'!$D10/12,0)</f>
        <v/>
      </c>
      <c r="T127" s="301">
        <f>IF(T$5&gt;='Economic Assumptions'!$B10+'Economic Assumptions'!$G10+'Project Assumptions'!$D$15+'Project Assumptions'!$D$16,'Economic Assumptions'!$C10*'Economic Assumptions'!$D10/12,0)</f>
        <v/>
      </c>
      <c r="U127" s="301">
        <f>IF(U$5&gt;='Economic Assumptions'!$B10+'Economic Assumptions'!$G10+'Project Assumptions'!$D$15+'Project Assumptions'!$D$16,'Economic Assumptions'!$C10*'Economic Assumptions'!$D10/12,0)</f>
        <v/>
      </c>
      <c r="V127" s="301">
        <f>IF(V$5&gt;='Economic Assumptions'!$B10+'Economic Assumptions'!$G10+'Project Assumptions'!$D$15+'Project Assumptions'!$D$16,'Economic Assumptions'!$C10*'Economic Assumptions'!$D10/12,0)</f>
        <v/>
      </c>
      <c r="W127" s="301">
        <f>IF(W$5&gt;='Economic Assumptions'!$B10+'Economic Assumptions'!$G10+'Project Assumptions'!$D$15+'Project Assumptions'!$D$16,'Economic Assumptions'!$C10*'Economic Assumptions'!$D10/12,0)</f>
        <v/>
      </c>
      <c r="X127" s="301">
        <f>IF(X$5&gt;='Economic Assumptions'!$B10+'Economic Assumptions'!$G10+'Project Assumptions'!$D$15+'Project Assumptions'!$D$16,'Economic Assumptions'!$C10*'Economic Assumptions'!$D10/12,0)</f>
        <v/>
      </c>
      <c r="Y127" s="301">
        <f>IF(Y$5&gt;='Economic Assumptions'!$B10+'Economic Assumptions'!$G10+'Project Assumptions'!$D$15+'Project Assumptions'!$D$16,'Economic Assumptions'!$C10*'Economic Assumptions'!$D10/12,0)</f>
        <v/>
      </c>
      <c r="Z127" s="301">
        <f>IF(Z$5&gt;='Economic Assumptions'!$B10+'Economic Assumptions'!$G10+'Project Assumptions'!$D$15+'Project Assumptions'!$D$16,'Economic Assumptions'!$C10*'Economic Assumptions'!$D10/12,0)</f>
        <v/>
      </c>
      <c r="AA127" s="301">
        <f>IF(AA$5&gt;='Economic Assumptions'!$B10+'Economic Assumptions'!$G10+'Project Assumptions'!$D$15+'Project Assumptions'!$D$16,'Economic Assumptions'!$C10*'Economic Assumptions'!$D10/12,0)</f>
        <v/>
      </c>
      <c r="AB127" s="301">
        <f>IF(AB$5&gt;='Economic Assumptions'!$B10+'Economic Assumptions'!$G10+'Project Assumptions'!$D$15+'Project Assumptions'!$D$16,'Economic Assumptions'!$C10*'Economic Assumptions'!$D10/12,0)</f>
        <v/>
      </c>
      <c r="AC127" s="301">
        <f>IF(AC$5&gt;='Economic Assumptions'!$B10+'Economic Assumptions'!$G10+'Project Assumptions'!$D$15+'Project Assumptions'!$D$16,'Economic Assumptions'!$C10*'Economic Assumptions'!$D10/12,0)</f>
        <v/>
      </c>
      <c r="AD127" s="301">
        <f>IF(AD$5&gt;='Economic Assumptions'!$B10+'Economic Assumptions'!$G10+'Project Assumptions'!$D$15+'Project Assumptions'!$D$16,'Economic Assumptions'!$C10*'Economic Assumptions'!$D10/12,0)</f>
        <v/>
      </c>
      <c r="AE127" s="301">
        <f>IF(AE$5&gt;='Economic Assumptions'!$B10+'Economic Assumptions'!$G10+'Project Assumptions'!$D$15+'Project Assumptions'!$D$16,'Economic Assumptions'!$C10*'Economic Assumptions'!$D10/12,0)</f>
        <v/>
      </c>
      <c r="AF127" s="301">
        <f>IF(AF$5&gt;='Economic Assumptions'!$B10+'Economic Assumptions'!$G10+'Project Assumptions'!$D$15+'Project Assumptions'!$D$16,'Economic Assumptions'!$C10*'Economic Assumptions'!$D10/12,0)</f>
        <v/>
      </c>
      <c r="AG127" s="301">
        <f>IF(AG$5&gt;='Economic Assumptions'!$B10+'Economic Assumptions'!$G10+'Project Assumptions'!$D$15+'Project Assumptions'!$D$16,'Economic Assumptions'!$C10*'Economic Assumptions'!$D10/12,0)</f>
        <v/>
      </c>
      <c r="AH127" s="301">
        <f>IF(AH$5&gt;='Economic Assumptions'!$B10+'Economic Assumptions'!$G10+'Project Assumptions'!$D$15+'Project Assumptions'!$D$16,'Economic Assumptions'!$C10*'Economic Assumptions'!$D10/12,0)</f>
        <v/>
      </c>
      <c r="AI127" s="301">
        <f>IF(AI$5&gt;='Economic Assumptions'!$B10+'Economic Assumptions'!$G10+'Project Assumptions'!$D$15+'Project Assumptions'!$D$16,'Economic Assumptions'!$C10*'Economic Assumptions'!$D10/12,0)</f>
        <v/>
      </c>
      <c r="AJ127" s="301">
        <f>IF(AJ$5&gt;='Economic Assumptions'!$B10+'Economic Assumptions'!$G10+'Project Assumptions'!$D$15+'Project Assumptions'!$D$16,'Economic Assumptions'!$C10*'Economic Assumptions'!$D10/12,0)</f>
        <v/>
      </c>
      <c r="AK127" s="301">
        <f>IF(AK$5&gt;='Economic Assumptions'!$B10+'Economic Assumptions'!$G10+'Project Assumptions'!$D$15+'Project Assumptions'!$D$16,'Economic Assumptions'!$C10*'Economic Assumptions'!$D10/12,0)</f>
        <v/>
      </c>
      <c r="AL127" s="301">
        <f>IF(AL$5&gt;='Economic Assumptions'!$B10+'Economic Assumptions'!$G10+'Project Assumptions'!$D$15+'Project Assumptions'!$D$16,'Economic Assumptions'!$C10*'Economic Assumptions'!$D10/12,0)</f>
        <v/>
      </c>
      <c r="AM127" s="301">
        <f>IF(AM$5&gt;='Economic Assumptions'!$B10+'Economic Assumptions'!$G10+'Project Assumptions'!$D$15+'Project Assumptions'!$D$16,'Economic Assumptions'!$C10*'Economic Assumptions'!$D10/12,0)</f>
        <v/>
      </c>
      <c r="AN127" s="301">
        <f>IF(AN$5&gt;='Economic Assumptions'!$B10+'Economic Assumptions'!$G10+'Project Assumptions'!$D$15+'Project Assumptions'!$D$16,'Economic Assumptions'!$C10*'Economic Assumptions'!$D10/12,0)</f>
        <v/>
      </c>
      <c r="AO127" s="301">
        <f>IF(AO$5&gt;='Economic Assumptions'!$B10+'Economic Assumptions'!$G10+'Project Assumptions'!$D$15+'Project Assumptions'!$D$16,'Economic Assumptions'!$C10*'Economic Assumptions'!$D10/12,0)</f>
        <v/>
      </c>
      <c r="AP127" s="301">
        <f>IF(AP$5&gt;='Economic Assumptions'!$B10+'Economic Assumptions'!$G10+'Project Assumptions'!$D$15+'Project Assumptions'!$D$16,'Economic Assumptions'!$C10*'Economic Assumptions'!$D10/12,0)</f>
        <v/>
      </c>
      <c r="AQ127" s="301">
        <f>IF(AQ$5&gt;='Economic Assumptions'!$B10+'Economic Assumptions'!$G10+'Project Assumptions'!$D$15+'Project Assumptions'!$D$16,'Economic Assumptions'!$C10*'Economic Assumptions'!$D10/12,0)</f>
        <v/>
      </c>
      <c r="AR127" s="301">
        <f>IF(AR$5&gt;='Economic Assumptions'!$B10+'Economic Assumptions'!$G10+'Project Assumptions'!$D$15+'Project Assumptions'!$D$16,'Economic Assumptions'!$C10*'Economic Assumptions'!$D10/12,0)</f>
        <v/>
      </c>
      <c r="AS127" s="301">
        <f>IF(AS$5&gt;='Economic Assumptions'!$B10+'Economic Assumptions'!$G10+'Project Assumptions'!$D$15+'Project Assumptions'!$D$16,'Economic Assumptions'!$C10*'Economic Assumptions'!$D10/12,0)</f>
        <v/>
      </c>
      <c r="AT127" s="301">
        <f>IF(AT$5&gt;='Economic Assumptions'!$B10+'Economic Assumptions'!$G10+'Project Assumptions'!$D$15+'Project Assumptions'!$D$16,'Economic Assumptions'!$C10*'Economic Assumptions'!$D10/12,0)</f>
        <v/>
      </c>
      <c r="AU127" s="301">
        <f>IF(AU$5&gt;='Economic Assumptions'!$B10+'Economic Assumptions'!$G10+'Project Assumptions'!$D$15+'Project Assumptions'!$D$16,'Economic Assumptions'!$C10*'Economic Assumptions'!$D10/12,0)</f>
        <v/>
      </c>
      <c r="AV127" s="301">
        <f>IF(AV$5&gt;='Economic Assumptions'!$B10+'Economic Assumptions'!$G10+'Project Assumptions'!$D$15+'Project Assumptions'!$D$16,'Economic Assumptions'!$C10*'Economic Assumptions'!$D10/12,0)</f>
        <v/>
      </c>
      <c r="AW127" s="301">
        <f>IF(AW$5&gt;='Economic Assumptions'!$B10+'Economic Assumptions'!$G10+'Project Assumptions'!$D$15+'Project Assumptions'!$D$16,'Economic Assumptions'!$C10*'Economic Assumptions'!$D10/12,0)</f>
        <v/>
      </c>
      <c r="AX127" s="301">
        <f>IF(AX$5&gt;='Economic Assumptions'!$B10+'Economic Assumptions'!$G10+'Project Assumptions'!$D$15+'Project Assumptions'!$D$16,'Economic Assumptions'!$C10*'Economic Assumptions'!$D10/12,0)</f>
        <v/>
      </c>
      <c r="AY127" s="301">
        <f>IF(AY$5&gt;='Economic Assumptions'!$B10+'Economic Assumptions'!$G10+'Project Assumptions'!$D$15+'Project Assumptions'!$D$16,'Economic Assumptions'!$C10*'Economic Assumptions'!$D10/12,0)</f>
        <v/>
      </c>
      <c r="AZ127" s="301">
        <f>IF(AZ$5&gt;='Economic Assumptions'!$B10+'Economic Assumptions'!$G10+'Project Assumptions'!$D$15+'Project Assumptions'!$D$16,'Economic Assumptions'!$C10*'Economic Assumptions'!$D10/12,0)</f>
        <v/>
      </c>
      <c r="BA127" s="301">
        <f>IF(BA$5&gt;='Economic Assumptions'!$B10+'Economic Assumptions'!$G10+'Project Assumptions'!$D$15+'Project Assumptions'!$D$16,'Economic Assumptions'!$C10*'Economic Assumptions'!$D10/12,0)</f>
        <v/>
      </c>
      <c r="BB127" s="301">
        <f>IF(BB$5&gt;='Economic Assumptions'!$B10+'Economic Assumptions'!$G10+'Project Assumptions'!$D$15+'Project Assumptions'!$D$16,'Economic Assumptions'!$C10*'Economic Assumptions'!$D10/12,0)</f>
        <v/>
      </c>
      <c r="BC127" s="301">
        <f>IF(BC$5&gt;='Economic Assumptions'!$B10+'Economic Assumptions'!$G10+'Project Assumptions'!$D$15+'Project Assumptions'!$D$16,'Economic Assumptions'!$C10*'Economic Assumptions'!$D10/12,0)</f>
        <v/>
      </c>
      <c r="BD127" s="301">
        <f>IF(BD$5&gt;='Economic Assumptions'!$B10+'Economic Assumptions'!$G10+'Project Assumptions'!$D$15+'Project Assumptions'!$D$16,'Economic Assumptions'!$C10*'Economic Assumptions'!$D10/12,0)</f>
        <v/>
      </c>
      <c r="BE127" s="301">
        <f>IF(BE$5&gt;='Economic Assumptions'!$B10+'Economic Assumptions'!$G10+'Project Assumptions'!$D$15+'Project Assumptions'!$D$16,'Economic Assumptions'!$C10*'Economic Assumptions'!$D10/12,0)</f>
        <v/>
      </c>
      <c r="BF127" s="301">
        <f>IF(BF$5&gt;='Economic Assumptions'!$B10+'Economic Assumptions'!$G10+'Project Assumptions'!$D$15+'Project Assumptions'!$D$16,'Economic Assumptions'!$C10*'Economic Assumptions'!$D10/12,0)</f>
        <v/>
      </c>
      <c r="BG127" s="301">
        <f>IF(BG$5&gt;='Economic Assumptions'!$B10+'Economic Assumptions'!$G10+'Project Assumptions'!$D$15+'Project Assumptions'!$D$16,'Economic Assumptions'!$C10*'Economic Assumptions'!$D10/12,0)</f>
        <v/>
      </c>
      <c r="BH127" s="301">
        <f>IF(BH$5&gt;='Economic Assumptions'!$B10+'Economic Assumptions'!$G10+'Project Assumptions'!$D$15+'Project Assumptions'!$D$16,'Economic Assumptions'!$C10*'Economic Assumptions'!$D10/12,0)</f>
        <v/>
      </c>
      <c r="BI127" s="301">
        <f>IF(BI$5&gt;='Economic Assumptions'!$B10+'Economic Assumptions'!$G10+'Project Assumptions'!$D$15+'Project Assumptions'!$D$16,'Economic Assumptions'!$C10*'Economic Assumptions'!$D10/12,0)</f>
        <v/>
      </c>
      <c r="BJ127" s="301">
        <f>IF(BJ$5&gt;='Economic Assumptions'!$B10+'Economic Assumptions'!$G10+'Project Assumptions'!$D$15+'Project Assumptions'!$D$16,'Economic Assumptions'!$C10*'Economic Assumptions'!$D10/12,0)</f>
        <v/>
      </c>
      <c r="BK127" s="301">
        <f>IF(BK$5&gt;='Economic Assumptions'!$B10+'Economic Assumptions'!$G10+'Project Assumptions'!$D$15+'Project Assumptions'!$D$16,'Economic Assumptions'!$C10*'Economic Assumptions'!$D10/12,0)</f>
        <v/>
      </c>
      <c r="BL127" s="301">
        <f>IF(BL$5&gt;='Economic Assumptions'!$B10+'Economic Assumptions'!$G10+'Project Assumptions'!$D$15+'Project Assumptions'!$D$16,'Economic Assumptions'!$C10*'Economic Assumptions'!$D10/12,0)</f>
        <v/>
      </c>
      <c r="BM127" s="301">
        <f>IF(BM$5&gt;='Economic Assumptions'!$B10+'Economic Assumptions'!$G10+'Project Assumptions'!$D$15+'Project Assumptions'!$D$16,'Economic Assumptions'!$C10*'Economic Assumptions'!$D10/12,0)</f>
        <v/>
      </c>
      <c r="BN127" s="301">
        <f>IF(BN$5&gt;='Economic Assumptions'!$B10+'Economic Assumptions'!$G10+'Project Assumptions'!$D$15+'Project Assumptions'!$D$16,'Economic Assumptions'!$C10*'Economic Assumptions'!$D10/12,0)</f>
        <v/>
      </c>
      <c r="BO127" s="301">
        <f>IF(BO$5&gt;='Economic Assumptions'!$B10+'Economic Assumptions'!$G10+'Project Assumptions'!$D$15+'Project Assumptions'!$D$16,'Economic Assumptions'!$C10*'Economic Assumptions'!$D10/12,0)</f>
        <v/>
      </c>
      <c r="BP127" s="301">
        <f>IF(BP$5&gt;='Economic Assumptions'!$B10+'Economic Assumptions'!$G10+'Project Assumptions'!$D$15+'Project Assumptions'!$D$16,'Economic Assumptions'!$C10*'Economic Assumptions'!$D10/12,0)</f>
        <v/>
      </c>
      <c r="BQ127" s="301">
        <f>IF(BQ$5&gt;='Economic Assumptions'!$B10+'Economic Assumptions'!$G10+'Project Assumptions'!$D$15+'Project Assumptions'!$D$16,'Economic Assumptions'!$C10*'Economic Assumptions'!$D10/12,0)</f>
        <v/>
      </c>
      <c r="BR127" s="301">
        <f>IF(BR$5&gt;='Economic Assumptions'!$B10+'Economic Assumptions'!$G10+'Project Assumptions'!$D$15+'Project Assumptions'!$D$16,'Economic Assumptions'!$C10*'Economic Assumptions'!$D10/12,0)</f>
        <v/>
      </c>
      <c r="BS127" s="301">
        <f>IF(BS$5&gt;='Economic Assumptions'!$B10+'Economic Assumptions'!$G10+'Project Assumptions'!$D$15+'Project Assumptions'!$D$16,'Economic Assumptions'!$C10*'Economic Assumptions'!$D10/12,0)</f>
        <v/>
      </c>
      <c r="BT127" s="301">
        <f>IF(BT$5&gt;='Economic Assumptions'!$B10+'Economic Assumptions'!$G10+'Project Assumptions'!$D$15+'Project Assumptions'!$D$16,'Economic Assumptions'!$C10*'Economic Assumptions'!$D10/12,0)</f>
        <v/>
      </c>
      <c r="BU127" s="301">
        <f>IF(BU$5&gt;='Economic Assumptions'!$B10+'Economic Assumptions'!$G10+'Project Assumptions'!$D$15+'Project Assumptions'!$D$16,'Economic Assumptions'!$C10*'Economic Assumptions'!$D10/12,0)</f>
        <v/>
      </c>
      <c r="BV127" s="301">
        <f>IF(BV$5&gt;='Economic Assumptions'!$B10+'Economic Assumptions'!$G10+'Project Assumptions'!$D$15+'Project Assumptions'!$D$16,'Economic Assumptions'!$C10*'Economic Assumptions'!$D10/12,0)</f>
        <v/>
      </c>
      <c r="BW127" s="301">
        <f>IF(BW$5&gt;='Economic Assumptions'!$B10+'Economic Assumptions'!$G10+'Project Assumptions'!$D$15+'Project Assumptions'!$D$16,'Economic Assumptions'!$C10*'Economic Assumptions'!$D10/12,0)</f>
        <v/>
      </c>
      <c r="BX127" s="301">
        <f>IF(BX$5&gt;='Economic Assumptions'!$B10+'Economic Assumptions'!$G10+'Project Assumptions'!$D$15+'Project Assumptions'!$D$16,'Economic Assumptions'!$C10*'Economic Assumptions'!$D10/12,0)</f>
        <v/>
      </c>
      <c r="BY127" s="301">
        <f>IF(BY$5&gt;='Economic Assumptions'!$B10+'Economic Assumptions'!$G10+'Project Assumptions'!$D$15+'Project Assumptions'!$D$16,'Economic Assumptions'!$C10*'Economic Assumptions'!$D10/12,0)</f>
        <v/>
      </c>
      <c r="BZ127" s="301">
        <f>IF(BZ$5&gt;='Economic Assumptions'!$B10+'Economic Assumptions'!$G10+'Project Assumptions'!$D$15+'Project Assumptions'!$D$16,'Economic Assumptions'!$C10*'Economic Assumptions'!$D10/12,0)</f>
        <v/>
      </c>
      <c r="CA127" s="301">
        <f>IF(CA$5&gt;='Economic Assumptions'!$B10+'Economic Assumptions'!$G10+'Project Assumptions'!$D$15+'Project Assumptions'!$D$16,'Economic Assumptions'!$C10*'Economic Assumptions'!$D10/12,0)</f>
        <v/>
      </c>
      <c r="CB127" s="301">
        <f>IF(CB$5&gt;='Economic Assumptions'!$B10+'Economic Assumptions'!$G10+'Project Assumptions'!$D$15+'Project Assumptions'!$D$16,'Economic Assumptions'!$C10*'Economic Assumptions'!$D10/12,0)</f>
        <v/>
      </c>
      <c r="CC127" s="301">
        <f>IF(CC$5&gt;='Economic Assumptions'!$B10+'Economic Assumptions'!$G10+'Project Assumptions'!$D$15+'Project Assumptions'!$D$16,'Economic Assumptions'!$C10*'Economic Assumptions'!$D10/12,0)</f>
        <v/>
      </c>
      <c r="CD127" s="301">
        <f>IF(CD$5&gt;='Economic Assumptions'!$B10+'Economic Assumptions'!$G10+'Project Assumptions'!$D$15+'Project Assumptions'!$D$16,'Economic Assumptions'!$C10*'Economic Assumptions'!$D10/12,0)</f>
        <v/>
      </c>
      <c r="CE127" s="301">
        <f>IF(CE$5&gt;='Economic Assumptions'!$B10+'Economic Assumptions'!$G10+'Project Assumptions'!$D$15+'Project Assumptions'!$D$16,'Economic Assumptions'!$C10*'Economic Assumptions'!$D10/12,0)</f>
        <v/>
      </c>
      <c r="CF127" s="301">
        <f>IF(CF$5&gt;='Economic Assumptions'!$B10+'Economic Assumptions'!$G10+'Project Assumptions'!$D$15+'Project Assumptions'!$D$16,'Economic Assumptions'!$C10*'Economic Assumptions'!$D10/12,0)</f>
        <v/>
      </c>
      <c r="CG127" s="301">
        <f>IF(CG$5&gt;='Economic Assumptions'!$B10+'Economic Assumptions'!$G10+'Project Assumptions'!$D$15+'Project Assumptions'!$D$16,'Economic Assumptions'!$C10*'Economic Assumptions'!$D10/12,0)</f>
        <v/>
      </c>
      <c r="CH127" s="301">
        <f>IF(CH$5&gt;='Economic Assumptions'!$B10+'Economic Assumptions'!$G10+'Project Assumptions'!$D$15+'Project Assumptions'!$D$16,'Economic Assumptions'!$C10*'Economic Assumptions'!$D10/12,0)</f>
        <v/>
      </c>
      <c r="CI127" s="301">
        <f>IF(CI$5&gt;='Economic Assumptions'!$B10+'Economic Assumptions'!$G10+'Project Assumptions'!$D$15+'Project Assumptions'!$D$16,'Economic Assumptions'!$C10*'Economic Assumptions'!$D10/12,0)</f>
        <v/>
      </c>
      <c r="CJ127" s="301">
        <f>IF(CJ$5&gt;='Economic Assumptions'!$B10+'Economic Assumptions'!$G10+'Project Assumptions'!$D$15+'Project Assumptions'!$D$16,'Economic Assumptions'!$C10*'Economic Assumptions'!$D10/12,0)</f>
        <v/>
      </c>
      <c r="CK127" s="301">
        <f>IF(CK$5&gt;='Economic Assumptions'!$B10+'Economic Assumptions'!$G10+'Project Assumptions'!$D$15+'Project Assumptions'!$D$16,'Economic Assumptions'!$C10*'Economic Assumptions'!$D10/12,0)</f>
        <v/>
      </c>
      <c r="CL127" s="301">
        <f>IF(CL$5&gt;='Economic Assumptions'!$B10+'Economic Assumptions'!$G10+'Project Assumptions'!$D$15+'Project Assumptions'!$D$16,'Economic Assumptions'!$C10*'Economic Assumptions'!$D10/12,0)</f>
        <v/>
      </c>
      <c r="CM127" s="301">
        <f>IF(CM$5&gt;='Economic Assumptions'!$B10+'Economic Assumptions'!$G10+'Project Assumptions'!$D$15+'Project Assumptions'!$D$16,'Economic Assumptions'!$C10*'Economic Assumptions'!$D10/12,0)</f>
        <v/>
      </c>
      <c r="CN127" s="301">
        <f>IF(CN$5&gt;='Economic Assumptions'!$B10+'Economic Assumptions'!$G10+'Project Assumptions'!$D$15+'Project Assumptions'!$D$16,'Economic Assumptions'!$C10*'Economic Assumptions'!$D10/12,0)</f>
        <v/>
      </c>
      <c r="CO127" s="301">
        <f>IF(CO$5&gt;='Economic Assumptions'!$B10+'Economic Assumptions'!$G10+'Project Assumptions'!$D$15+'Project Assumptions'!$D$16,'Economic Assumptions'!$C10*'Economic Assumptions'!$D10/12,0)</f>
        <v/>
      </c>
      <c r="CP127" s="301">
        <f>IF(CP$5&gt;='Economic Assumptions'!$B10+'Economic Assumptions'!$G10+'Project Assumptions'!$D$15+'Project Assumptions'!$D$16,'Economic Assumptions'!$C10*'Economic Assumptions'!$D10/12,0)</f>
        <v/>
      </c>
      <c r="CQ127" s="301">
        <f>IF(CQ$5&gt;='Economic Assumptions'!$B10+'Economic Assumptions'!$G10+'Project Assumptions'!$D$15+'Project Assumptions'!$D$16,'Economic Assumptions'!$C10*'Economic Assumptions'!$D10/12,0)</f>
        <v/>
      </c>
      <c r="CR127" s="301">
        <f>IF(CR$5&gt;='Economic Assumptions'!$B10+'Economic Assumptions'!$G10+'Project Assumptions'!$D$15+'Project Assumptions'!$D$16,'Economic Assumptions'!$C10*'Economic Assumptions'!$D10/12,0)</f>
        <v/>
      </c>
      <c r="CS127" s="301">
        <f>IF(CS$5&gt;='Economic Assumptions'!$B10+'Economic Assumptions'!$G10+'Project Assumptions'!$D$15+'Project Assumptions'!$D$16,'Economic Assumptions'!$C10*'Economic Assumptions'!$D10/12,0)</f>
        <v/>
      </c>
      <c r="CT127" s="301">
        <f>IF(CT$5&gt;='Economic Assumptions'!$B10+'Economic Assumptions'!$G10+'Project Assumptions'!$D$15+'Project Assumptions'!$D$16,'Economic Assumptions'!$C10*'Economic Assumptions'!$D10/12,0)</f>
        <v/>
      </c>
      <c r="CU127" s="301">
        <f>IF(CU$5&gt;='Economic Assumptions'!$B10+'Economic Assumptions'!$G10+'Project Assumptions'!$D$15+'Project Assumptions'!$D$16,'Economic Assumptions'!$C10*'Economic Assumptions'!$D10/12,0)</f>
        <v/>
      </c>
      <c r="CV127" s="301">
        <f>IF(CV$5&gt;='Economic Assumptions'!$B10+'Economic Assumptions'!$G10+'Project Assumptions'!$D$15+'Project Assumptions'!$D$16,'Economic Assumptions'!$C10*'Economic Assumptions'!$D10/12,0)</f>
        <v/>
      </c>
      <c r="CW127" s="301">
        <f>IF(CW$5&gt;='Economic Assumptions'!$B10+'Economic Assumptions'!$G10+'Project Assumptions'!$D$15+'Project Assumptions'!$D$16,'Economic Assumptions'!$C10*'Economic Assumptions'!$D10/12,0)</f>
        <v/>
      </c>
      <c r="CX127" s="301">
        <f>IF(CX$5&gt;='Economic Assumptions'!$B10+'Economic Assumptions'!$G10+'Project Assumptions'!$D$15+'Project Assumptions'!$D$16,'Economic Assumptions'!$C10*'Economic Assumptions'!$D10/12,0)</f>
        <v/>
      </c>
      <c r="CY127" s="301">
        <f>IF(CY$5&gt;='Economic Assumptions'!$B10+'Economic Assumptions'!$G10+'Project Assumptions'!$D$15+'Project Assumptions'!$D$16,'Economic Assumptions'!$C10*'Economic Assumptions'!$D10/12,0)</f>
        <v/>
      </c>
      <c r="CZ127" s="301">
        <f>IF(CZ$5&gt;='Economic Assumptions'!$B10+'Economic Assumptions'!$G10+'Project Assumptions'!$D$15+'Project Assumptions'!$D$16,'Economic Assumptions'!$C10*'Economic Assumptions'!$D10/12,0)</f>
        <v/>
      </c>
      <c r="DA127" s="301">
        <f>IF(DA$5&gt;='Economic Assumptions'!$B10+'Economic Assumptions'!$G10+'Project Assumptions'!$D$15+'Project Assumptions'!$D$16,'Economic Assumptions'!$C10*'Economic Assumptions'!$D10/12,0)</f>
        <v/>
      </c>
      <c r="DB127" s="301">
        <f>IF(DB$5&gt;='Economic Assumptions'!$B10+'Economic Assumptions'!$G10+'Project Assumptions'!$D$15+'Project Assumptions'!$D$16,'Economic Assumptions'!$C10*'Economic Assumptions'!$D10/12,0)</f>
        <v/>
      </c>
      <c r="DC127" s="301" t="n"/>
      <c r="DD127" s="299" t="n"/>
    </row>
    <row r="128" hidden="1" outlineLevel="1">
      <c r="A128" s="1000" t="n"/>
      <c r="B128" s="315" t="inlineStr">
        <is>
          <t>Lease #2</t>
        </is>
      </c>
      <c r="C128" s="294" t="n"/>
      <c r="D128" s="299">
        <f>DD128</f>
        <v/>
      </c>
      <c r="E128" s="300" t="n"/>
      <c r="F128" s="301" t="n"/>
      <c r="G128" s="301">
        <f>IF(G$5&gt;='Economic Assumptions'!$B11+'Economic Assumptions'!$G11+'Project Assumptions'!$D$15+'Project Assumptions'!$D$16,'Economic Assumptions'!$C11*'Economic Assumptions'!$D11/12,0)</f>
        <v/>
      </c>
      <c r="H128" s="301">
        <f>IF(H$5&gt;='Economic Assumptions'!$B11+'Economic Assumptions'!$G11+'Project Assumptions'!$D$15+'Project Assumptions'!$D$16,'Economic Assumptions'!$C11*'Economic Assumptions'!$D11/12,0)</f>
        <v/>
      </c>
      <c r="I128" s="301">
        <f>IF(I$5&gt;='Economic Assumptions'!$B11+'Economic Assumptions'!$G11+'Project Assumptions'!$D$15+'Project Assumptions'!$D$16,'Economic Assumptions'!$C11*'Economic Assumptions'!$D11/12,0)</f>
        <v/>
      </c>
      <c r="J128" s="301">
        <f>IF(J$5&gt;='Economic Assumptions'!$B11+'Economic Assumptions'!$G11+'Project Assumptions'!$D$15+'Project Assumptions'!$D$16,'Economic Assumptions'!$C11*'Economic Assumptions'!$D11/12,0)</f>
        <v/>
      </c>
      <c r="K128" s="301">
        <f>IF(K$5&gt;='Economic Assumptions'!$B11+'Economic Assumptions'!$G11+'Project Assumptions'!$D$15+'Project Assumptions'!$D$16,'Economic Assumptions'!$C11*'Economic Assumptions'!$D11/12,0)</f>
        <v/>
      </c>
      <c r="L128" s="301">
        <f>IF(L$5&gt;='Economic Assumptions'!$B11+'Economic Assumptions'!$G11+'Project Assumptions'!$D$15+'Project Assumptions'!$D$16,'Economic Assumptions'!$C11*'Economic Assumptions'!$D11/12,0)</f>
        <v/>
      </c>
      <c r="M128" s="301">
        <f>IF(M$5&gt;='Economic Assumptions'!$B11+'Economic Assumptions'!$G11+'Project Assumptions'!$D$15+'Project Assumptions'!$D$16,'Economic Assumptions'!$C11*'Economic Assumptions'!$D11/12,0)</f>
        <v/>
      </c>
      <c r="N128" s="301">
        <f>IF(N$5&gt;='Economic Assumptions'!$B11+'Economic Assumptions'!$G11+'Project Assumptions'!$D$15+'Project Assumptions'!$D$16,'Economic Assumptions'!$C11*'Economic Assumptions'!$D11/12,0)</f>
        <v/>
      </c>
      <c r="O128" s="301">
        <f>IF(O$5&gt;='Economic Assumptions'!$B11+'Economic Assumptions'!$G11+'Project Assumptions'!$D$15+'Project Assumptions'!$D$16,'Economic Assumptions'!$C11*'Economic Assumptions'!$D11/12,0)</f>
        <v/>
      </c>
      <c r="P128" s="301">
        <f>IF(P$5&gt;='Economic Assumptions'!$B11+'Economic Assumptions'!$G11+'Project Assumptions'!$D$15+'Project Assumptions'!$D$16,'Economic Assumptions'!$C11*'Economic Assumptions'!$D11/12,0)</f>
        <v/>
      </c>
      <c r="Q128" s="301">
        <f>IF(Q$5&gt;='Economic Assumptions'!$B11+'Economic Assumptions'!$G11+'Project Assumptions'!$D$15+'Project Assumptions'!$D$16,'Economic Assumptions'!$C11*'Economic Assumptions'!$D11/12,0)</f>
        <v/>
      </c>
      <c r="R128" s="301">
        <f>IF(R$5&gt;='Economic Assumptions'!$B11+'Economic Assumptions'!$G11+'Project Assumptions'!$D$15+'Project Assumptions'!$D$16,'Economic Assumptions'!$C11*'Economic Assumptions'!$D11/12,0)</f>
        <v/>
      </c>
      <c r="S128" s="301">
        <f>IF(S$5&gt;='Economic Assumptions'!$B11+'Economic Assumptions'!$G11+'Project Assumptions'!$D$15+'Project Assumptions'!$D$16,'Economic Assumptions'!$C11*'Economic Assumptions'!$D11/12,0)</f>
        <v/>
      </c>
      <c r="T128" s="301">
        <f>IF(T$5&gt;='Economic Assumptions'!$B11+'Economic Assumptions'!$G11+'Project Assumptions'!$D$15+'Project Assumptions'!$D$16,'Economic Assumptions'!$C11*'Economic Assumptions'!$D11/12,0)</f>
        <v/>
      </c>
      <c r="U128" s="301">
        <f>IF(U$5&gt;='Economic Assumptions'!$B11+'Economic Assumptions'!$G11+'Project Assumptions'!$D$15+'Project Assumptions'!$D$16,'Economic Assumptions'!$C11*'Economic Assumptions'!$D11/12,0)</f>
        <v/>
      </c>
      <c r="V128" s="301">
        <f>IF(V$5&gt;='Economic Assumptions'!$B11+'Economic Assumptions'!$G11+'Project Assumptions'!$D$15+'Project Assumptions'!$D$16,'Economic Assumptions'!$C11*'Economic Assumptions'!$D11/12,0)</f>
        <v/>
      </c>
      <c r="W128" s="301">
        <f>IF(W$5&gt;='Economic Assumptions'!$B11+'Economic Assumptions'!$G11+'Project Assumptions'!$D$15+'Project Assumptions'!$D$16,'Economic Assumptions'!$C11*'Economic Assumptions'!$D11/12,0)</f>
        <v/>
      </c>
      <c r="X128" s="301">
        <f>IF(X$5&gt;='Economic Assumptions'!$B11+'Economic Assumptions'!$G11+'Project Assumptions'!$D$15+'Project Assumptions'!$D$16,'Economic Assumptions'!$C11*'Economic Assumptions'!$D11/12,0)</f>
        <v/>
      </c>
      <c r="Y128" s="301">
        <f>IF(Y$5&gt;='Economic Assumptions'!$B11+'Economic Assumptions'!$G11+'Project Assumptions'!$D$15+'Project Assumptions'!$D$16,'Economic Assumptions'!$C11*'Economic Assumptions'!$D11/12,0)</f>
        <v/>
      </c>
      <c r="Z128" s="301">
        <f>IF(Z$5&gt;='Economic Assumptions'!$B11+'Economic Assumptions'!$G11+'Project Assumptions'!$D$15+'Project Assumptions'!$D$16,'Economic Assumptions'!$C11*'Economic Assumptions'!$D11/12,0)</f>
        <v/>
      </c>
      <c r="AA128" s="301">
        <f>IF(AA$5&gt;='Economic Assumptions'!$B11+'Economic Assumptions'!$G11+'Project Assumptions'!$D$15+'Project Assumptions'!$D$16,'Economic Assumptions'!$C11*'Economic Assumptions'!$D11/12,0)</f>
        <v/>
      </c>
      <c r="AB128" s="301">
        <f>IF(AB$5&gt;='Economic Assumptions'!$B11+'Economic Assumptions'!$G11+'Project Assumptions'!$D$15+'Project Assumptions'!$D$16,'Economic Assumptions'!$C11*'Economic Assumptions'!$D11/12,0)</f>
        <v/>
      </c>
      <c r="AC128" s="301">
        <f>IF(AC$5&gt;='Economic Assumptions'!$B11+'Economic Assumptions'!$G11+'Project Assumptions'!$D$15+'Project Assumptions'!$D$16,'Economic Assumptions'!$C11*'Economic Assumptions'!$D11/12,0)</f>
        <v/>
      </c>
      <c r="AD128" s="301">
        <f>IF(AD$5&gt;='Economic Assumptions'!$B11+'Economic Assumptions'!$G11+'Project Assumptions'!$D$15+'Project Assumptions'!$D$16,'Economic Assumptions'!$C11*'Economic Assumptions'!$D11/12,0)</f>
        <v/>
      </c>
      <c r="AE128" s="301">
        <f>IF(AE$5&gt;='Economic Assumptions'!$B11+'Economic Assumptions'!$G11+'Project Assumptions'!$D$15+'Project Assumptions'!$D$16,'Economic Assumptions'!$C11*'Economic Assumptions'!$D11/12,0)</f>
        <v/>
      </c>
      <c r="AF128" s="301">
        <f>IF(AF$5&gt;='Economic Assumptions'!$B11+'Economic Assumptions'!$G11+'Project Assumptions'!$D$15+'Project Assumptions'!$D$16,'Economic Assumptions'!$C11*'Economic Assumptions'!$D11/12,0)</f>
        <v/>
      </c>
      <c r="AG128" s="301">
        <f>IF(AG$5&gt;='Economic Assumptions'!$B11+'Economic Assumptions'!$G11+'Project Assumptions'!$D$15+'Project Assumptions'!$D$16,'Economic Assumptions'!$C11*'Economic Assumptions'!$D11/12,0)</f>
        <v/>
      </c>
      <c r="AH128" s="301">
        <f>IF(AH$5&gt;='Economic Assumptions'!$B11+'Economic Assumptions'!$G11+'Project Assumptions'!$D$15+'Project Assumptions'!$D$16,'Economic Assumptions'!$C11*'Economic Assumptions'!$D11/12,0)</f>
        <v/>
      </c>
      <c r="AI128" s="301">
        <f>IF(AI$5&gt;='Economic Assumptions'!$B11+'Economic Assumptions'!$G11+'Project Assumptions'!$D$15+'Project Assumptions'!$D$16,'Economic Assumptions'!$C11*'Economic Assumptions'!$D11/12,0)</f>
        <v/>
      </c>
      <c r="AJ128" s="301">
        <f>IF(AJ$5&gt;='Economic Assumptions'!$B11+'Economic Assumptions'!$G11+'Project Assumptions'!$D$15+'Project Assumptions'!$D$16,'Economic Assumptions'!$C11*'Economic Assumptions'!$D11/12,0)</f>
        <v/>
      </c>
      <c r="AK128" s="301">
        <f>IF(AK$5&gt;='Economic Assumptions'!$B11+'Economic Assumptions'!$G11+'Project Assumptions'!$D$15+'Project Assumptions'!$D$16,'Economic Assumptions'!$C11*'Economic Assumptions'!$D11/12,0)</f>
        <v/>
      </c>
      <c r="AL128" s="301">
        <f>IF(AL$5&gt;='Economic Assumptions'!$B11+'Economic Assumptions'!$G11+'Project Assumptions'!$D$15+'Project Assumptions'!$D$16,'Economic Assumptions'!$C11*'Economic Assumptions'!$D11/12,0)</f>
        <v/>
      </c>
      <c r="AM128" s="301">
        <f>IF(AM$5&gt;='Economic Assumptions'!$B11+'Economic Assumptions'!$G11+'Project Assumptions'!$D$15+'Project Assumptions'!$D$16,'Economic Assumptions'!$C11*'Economic Assumptions'!$D11/12,0)</f>
        <v/>
      </c>
      <c r="AN128" s="301">
        <f>IF(AN$5&gt;='Economic Assumptions'!$B11+'Economic Assumptions'!$G11+'Project Assumptions'!$D$15+'Project Assumptions'!$D$16,'Economic Assumptions'!$C11*'Economic Assumptions'!$D11/12,0)</f>
        <v/>
      </c>
      <c r="AO128" s="301">
        <f>IF(AO$5&gt;='Economic Assumptions'!$B11+'Economic Assumptions'!$G11+'Project Assumptions'!$D$15+'Project Assumptions'!$D$16,'Economic Assumptions'!$C11*'Economic Assumptions'!$D11/12,0)</f>
        <v/>
      </c>
      <c r="AP128" s="301">
        <f>IF(AP$5&gt;='Economic Assumptions'!$B11+'Economic Assumptions'!$G11+'Project Assumptions'!$D$15+'Project Assumptions'!$D$16,'Economic Assumptions'!$C11*'Economic Assumptions'!$D11/12,0)</f>
        <v/>
      </c>
      <c r="AQ128" s="301">
        <f>IF(AQ$5&gt;='Economic Assumptions'!$B11+'Economic Assumptions'!$G11+'Project Assumptions'!$D$15+'Project Assumptions'!$D$16,'Economic Assumptions'!$C11*'Economic Assumptions'!$D11/12,0)</f>
        <v/>
      </c>
      <c r="AR128" s="301">
        <f>IF(AR$5&gt;='Economic Assumptions'!$B11+'Economic Assumptions'!$G11+'Project Assumptions'!$D$15+'Project Assumptions'!$D$16,'Economic Assumptions'!$C11*'Economic Assumptions'!$D11/12,0)</f>
        <v/>
      </c>
      <c r="AS128" s="301">
        <f>IF(AS$5&gt;='Economic Assumptions'!$B11+'Economic Assumptions'!$G11+'Project Assumptions'!$D$15+'Project Assumptions'!$D$16,'Economic Assumptions'!$C11*'Economic Assumptions'!$D11/12,0)</f>
        <v/>
      </c>
      <c r="AT128" s="301">
        <f>IF(AT$5&gt;='Economic Assumptions'!$B11+'Economic Assumptions'!$G11+'Project Assumptions'!$D$15+'Project Assumptions'!$D$16,'Economic Assumptions'!$C11*'Economic Assumptions'!$D11/12,0)</f>
        <v/>
      </c>
      <c r="AU128" s="301">
        <f>IF(AU$5&gt;='Economic Assumptions'!$B11+'Economic Assumptions'!$G11+'Project Assumptions'!$D$15+'Project Assumptions'!$D$16,'Economic Assumptions'!$C11*'Economic Assumptions'!$D11/12,0)</f>
        <v/>
      </c>
      <c r="AV128" s="301">
        <f>IF(AV$5&gt;='Economic Assumptions'!$B11+'Economic Assumptions'!$G11+'Project Assumptions'!$D$15+'Project Assumptions'!$D$16,'Economic Assumptions'!$C11*'Economic Assumptions'!$D11/12,0)</f>
        <v/>
      </c>
      <c r="AW128" s="301">
        <f>IF(AW$5&gt;='Economic Assumptions'!$B11+'Economic Assumptions'!$G11+'Project Assumptions'!$D$15+'Project Assumptions'!$D$16,'Economic Assumptions'!$C11*'Economic Assumptions'!$D11/12,0)</f>
        <v/>
      </c>
      <c r="AX128" s="301">
        <f>IF(AX$5&gt;='Economic Assumptions'!$B11+'Economic Assumptions'!$G11+'Project Assumptions'!$D$15+'Project Assumptions'!$D$16,'Economic Assumptions'!$C11*'Economic Assumptions'!$D11/12,0)</f>
        <v/>
      </c>
      <c r="AY128" s="301">
        <f>IF(AY$5&gt;='Economic Assumptions'!$B11+'Economic Assumptions'!$G11+'Project Assumptions'!$D$15+'Project Assumptions'!$D$16,'Economic Assumptions'!$C11*'Economic Assumptions'!$D11/12,0)</f>
        <v/>
      </c>
      <c r="AZ128" s="301">
        <f>IF(AZ$5&gt;='Economic Assumptions'!$B11+'Economic Assumptions'!$G11+'Project Assumptions'!$D$15+'Project Assumptions'!$D$16,'Economic Assumptions'!$C11*'Economic Assumptions'!$D11/12,0)</f>
        <v/>
      </c>
      <c r="BA128" s="301">
        <f>IF(BA$5&gt;='Economic Assumptions'!$B11+'Economic Assumptions'!$G11+'Project Assumptions'!$D$15+'Project Assumptions'!$D$16,'Economic Assumptions'!$C11*'Economic Assumptions'!$D11/12,0)</f>
        <v/>
      </c>
      <c r="BB128" s="301">
        <f>IF(BB$5&gt;='Economic Assumptions'!$B11+'Economic Assumptions'!$G11+'Project Assumptions'!$D$15+'Project Assumptions'!$D$16,'Economic Assumptions'!$C11*'Economic Assumptions'!$D11/12,0)</f>
        <v/>
      </c>
      <c r="BC128" s="301">
        <f>IF(BC$5&gt;='Economic Assumptions'!$B11+'Economic Assumptions'!$G11+'Project Assumptions'!$D$15+'Project Assumptions'!$D$16,'Economic Assumptions'!$C11*'Economic Assumptions'!$D11/12,0)</f>
        <v/>
      </c>
      <c r="BD128" s="301">
        <f>IF(BD$5&gt;='Economic Assumptions'!$B11+'Economic Assumptions'!$G11+'Project Assumptions'!$D$15+'Project Assumptions'!$D$16,'Economic Assumptions'!$C11*'Economic Assumptions'!$D11/12,0)</f>
        <v/>
      </c>
      <c r="BE128" s="301">
        <f>IF(BE$5&gt;='Economic Assumptions'!$B11+'Economic Assumptions'!$G11+'Project Assumptions'!$D$15+'Project Assumptions'!$D$16,'Economic Assumptions'!$C11*'Economic Assumptions'!$D11/12,0)</f>
        <v/>
      </c>
      <c r="BF128" s="301">
        <f>IF(BF$5&gt;='Economic Assumptions'!$B11+'Economic Assumptions'!$G11+'Project Assumptions'!$D$15+'Project Assumptions'!$D$16,'Economic Assumptions'!$C11*'Economic Assumptions'!$D11/12,0)</f>
        <v/>
      </c>
      <c r="BG128" s="301">
        <f>IF(BG$5&gt;='Economic Assumptions'!$B11+'Economic Assumptions'!$G11+'Project Assumptions'!$D$15+'Project Assumptions'!$D$16,'Economic Assumptions'!$C11*'Economic Assumptions'!$D11/12,0)</f>
        <v/>
      </c>
      <c r="BH128" s="301">
        <f>IF(BH$5&gt;='Economic Assumptions'!$B11+'Economic Assumptions'!$G11+'Project Assumptions'!$D$15+'Project Assumptions'!$D$16,'Economic Assumptions'!$C11*'Economic Assumptions'!$D11/12,0)</f>
        <v/>
      </c>
      <c r="BI128" s="301">
        <f>IF(BI$5&gt;='Economic Assumptions'!$B11+'Economic Assumptions'!$G11+'Project Assumptions'!$D$15+'Project Assumptions'!$D$16,'Economic Assumptions'!$C11*'Economic Assumptions'!$D11/12,0)</f>
        <v/>
      </c>
      <c r="BJ128" s="301">
        <f>IF(BJ$5&gt;='Economic Assumptions'!$B11+'Economic Assumptions'!$G11+'Project Assumptions'!$D$15+'Project Assumptions'!$D$16,'Economic Assumptions'!$C11*'Economic Assumptions'!$D11/12,0)</f>
        <v/>
      </c>
      <c r="BK128" s="301">
        <f>IF(BK$5&gt;='Economic Assumptions'!$B11+'Economic Assumptions'!$G11+'Project Assumptions'!$D$15+'Project Assumptions'!$D$16,'Economic Assumptions'!$C11*'Economic Assumptions'!$D11/12,0)</f>
        <v/>
      </c>
      <c r="BL128" s="301">
        <f>IF(BL$5&gt;='Economic Assumptions'!$B11+'Economic Assumptions'!$G11+'Project Assumptions'!$D$15+'Project Assumptions'!$D$16,'Economic Assumptions'!$C11*'Economic Assumptions'!$D11/12,0)</f>
        <v/>
      </c>
      <c r="BM128" s="301">
        <f>IF(BM$5&gt;='Economic Assumptions'!$B11+'Economic Assumptions'!$G11+'Project Assumptions'!$D$15+'Project Assumptions'!$D$16,'Economic Assumptions'!$C11*'Economic Assumptions'!$D11/12,0)</f>
        <v/>
      </c>
      <c r="BN128" s="301">
        <f>IF(BN$5&gt;='Economic Assumptions'!$B11+'Economic Assumptions'!$G11+'Project Assumptions'!$D$15+'Project Assumptions'!$D$16,'Economic Assumptions'!$C11*'Economic Assumptions'!$D11/12,0)</f>
        <v/>
      </c>
      <c r="BO128" s="301">
        <f>IF(BO$5&gt;='Economic Assumptions'!$B11+'Economic Assumptions'!$G11+'Project Assumptions'!$D$15+'Project Assumptions'!$D$16,'Economic Assumptions'!$C11*'Economic Assumptions'!$D11/12,0)</f>
        <v/>
      </c>
      <c r="BP128" s="301">
        <f>IF(BP$5&gt;='Economic Assumptions'!$B11+'Economic Assumptions'!$G11+'Project Assumptions'!$D$15+'Project Assumptions'!$D$16,'Economic Assumptions'!$C11*'Economic Assumptions'!$D11/12,0)</f>
        <v/>
      </c>
      <c r="BQ128" s="301">
        <f>IF(BQ$5&gt;='Economic Assumptions'!$B11+'Economic Assumptions'!$G11+'Project Assumptions'!$D$15+'Project Assumptions'!$D$16,'Economic Assumptions'!$C11*'Economic Assumptions'!$D11/12,0)</f>
        <v/>
      </c>
      <c r="BR128" s="301">
        <f>IF(BR$5&gt;='Economic Assumptions'!$B11+'Economic Assumptions'!$G11+'Project Assumptions'!$D$15+'Project Assumptions'!$D$16,'Economic Assumptions'!$C11*'Economic Assumptions'!$D11/12,0)</f>
        <v/>
      </c>
      <c r="BS128" s="301">
        <f>IF(BS$5&gt;='Economic Assumptions'!$B11+'Economic Assumptions'!$G11+'Project Assumptions'!$D$15+'Project Assumptions'!$D$16,'Economic Assumptions'!$C11*'Economic Assumptions'!$D11/12,0)</f>
        <v/>
      </c>
      <c r="BT128" s="301">
        <f>IF(BT$5&gt;='Economic Assumptions'!$B11+'Economic Assumptions'!$G11+'Project Assumptions'!$D$15+'Project Assumptions'!$D$16,'Economic Assumptions'!$C11*'Economic Assumptions'!$D11/12,0)</f>
        <v/>
      </c>
      <c r="BU128" s="301">
        <f>IF(BU$5&gt;='Economic Assumptions'!$B11+'Economic Assumptions'!$G11+'Project Assumptions'!$D$15+'Project Assumptions'!$D$16,'Economic Assumptions'!$C11*'Economic Assumptions'!$D11/12,0)</f>
        <v/>
      </c>
      <c r="BV128" s="301">
        <f>IF(BV$5&gt;='Economic Assumptions'!$B11+'Economic Assumptions'!$G11+'Project Assumptions'!$D$15+'Project Assumptions'!$D$16,'Economic Assumptions'!$C11*'Economic Assumptions'!$D11/12,0)</f>
        <v/>
      </c>
      <c r="BW128" s="301">
        <f>IF(BW$5&gt;='Economic Assumptions'!$B11+'Economic Assumptions'!$G11+'Project Assumptions'!$D$15+'Project Assumptions'!$D$16,'Economic Assumptions'!$C11*'Economic Assumptions'!$D11/12,0)</f>
        <v/>
      </c>
      <c r="BX128" s="301">
        <f>IF(BX$5&gt;='Economic Assumptions'!$B11+'Economic Assumptions'!$G11+'Project Assumptions'!$D$15+'Project Assumptions'!$D$16,'Economic Assumptions'!$C11*'Economic Assumptions'!$D11/12,0)</f>
        <v/>
      </c>
      <c r="BY128" s="301">
        <f>IF(BY$5&gt;='Economic Assumptions'!$B11+'Economic Assumptions'!$G11+'Project Assumptions'!$D$15+'Project Assumptions'!$D$16,'Economic Assumptions'!$C11*'Economic Assumptions'!$D11/12,0)</f>
        <v/>
      </c>
      <c r="BZ128" s="301">
        <f>IF(BZ$5&gt;='Economic Assumptions'!$B11+'Economic Assumptions'!$G11+'Project Assumptions'!$D$15+'Project Assumptions'!$D$16,'Economic Assumptions'!$C11*'Economic Assumptions'!$D11/12,0)</f>
        <v/>
      </c>
      <c r="CA128" s="301">
        <f>IF(CA$5&gt;='Economic Assumptions'!$B11+'Economic Assumptions'!$G11+'Project Assumptions'!$D$15+'Project Assumptions'!$D$16,'Economic Assumptions'!$C11*'Economic Assumptions'!$D11/12,0)</f>
        <v/>
      </c>
      <c r="CB128" s="301">
        <f>IF(CB$5&gt;='Economic Assumptions'!$B11+'Economic Assumptions'!$G11+'Project Assumptions'!$D$15+'Project Assumptions'!$D$16,'Economic Assumptions'!$C11*'Economic Assumptions'!$D11/12,0)</f>
        <v/>
      </c>
      <c r="CC128" s="301">
        <f>IF(CC$5&gt;='Economic Assumptions'!$B11+'Economic Assumptions'!$G11+'Project Assumptions'!$D$15+'Project Assumptions'!$D$16,'Economic Assumptions'!$C11*'Economic Assumptions'!$D11/12,0)</f>
        <v/>
      </c>
      <c r="CD128" s="301">
        <f>IF(CD$5&gt;='Economic Assumptions'!$B11+'Economic Assumptions'!$G11+'Project Assumptions'!$D$15+'Project Assumptions'!$D$16,'Economic Assumptions'!$C11*'Economic Assumptions'!$D11/12,0)</f>
        <v/>
      </c>
      <c r="CE128" s="301">
        <f>IF(CE$5&gt;='Economic Assumptions'!$B11+'Economic Assumptions'!$G11+'Project Assumptions'!$D$15+'Project Assumptions'!$D$16,'Economic Assumptions'!$C11*'Economic Assumptions'!$D11/12,0)</f>
        <v/>
      </c>
      <c r="CF128" s="301">
        <f>IF(CF$5&gt;='Economic Assumptions'!$B11+'Economic Assumptions'!$G11+'Project Assumptions'!$D$15+'Project Assumptions'!$D$16,'Economic Assumptions'!$C11*'Economic Assumptions'!$D11/12,0)</f>
        <v/>
      </c>
      <c r="CG128" s="301">
        <f>IF(CG$5&gt;='Economic Assumptions'!$B11+'Economic Assumptions'!$G11+'Project Assumptions'!$D$15+'Project Assumptions'!$D$16,'Economic Assumptions'!$C11*'Economic Assumptions'!$D11/12,0)</f>
        <v/>
      </c>
      <c r="CH128" s="301">
        <f>IF(CH$5&gt;='Economic Assumptions'!$B11+'Economic Assumptions'!$G11+'Project Assumptions'!$D$15+'Project Assumptions'!$D$16,'Economic Assumptions'!$C11*'Economic Assumptions'!$D11/12,0)</f>
        <v/>
      </c>
      <c r="CI128" s="301">
        <f>IF(CI$5&gt;='Economic Assumptions'!$B11+'Economic Assumptions'!$G11+'Project Assumptions'!$D$15+'Project Assumptions'!$D$16,'Economic Assumptions'!$C11*'Economic Assumptions'!$D11/12,0)</f>
        <v/>
      </c>
      <c r="CJ128" s="301">
        <f>IF(CJ$5&gt;='Economic Assumptions'!$B11+'Economic Assumptions'!$G11+'Project Assumptions'!$D$15+'Project Assumptions'!$D$16,'Economic Assumptions'!$C11*'Economic Assumptions'!$D11/12,0)</f>
        <v/>
      </c>
      <c r="CK128" s="301">
        <f>IF(CK$5&gt;='Economic Assumptions'!$B11+'Economic Assumptions'!$G11+'Project Assumptions'!$D$15+'Project Assumptions'!$D$16,'Economic Assumptions'!$C11*'Economic Assumptions'!$D11/12,0)</f>
        <v/>
      </c>
      <c r="CL128" s="301">
        <f>IF(CL$5&gt;='Economic Assumptions'!$B11+'Economic Assumptions'!$G11+'Project Assumptions'!$D$15+'Project Assumptions'!$D$16,'Economic Assumptions'!$C11*'Economic Assumptions'!$D11/12,0)</f>
        <v/>
      </c>
      <c r="CM128" s="301">
        <f>IF(CM$5&gt;='Economic Assumptions'!$B11+'Economic Assumptions'!$G11+'Project Assumptions'!$D$15+'Project Assumptions'!$D$16,'Economic Assumptions'!$C11*'Economic Assumptions'!$D11/12,0)</f>
        <v/>
      </c>
      <c r="CN128" s="301">
        <f>IF(CN$5&gt;='Economic Assumptions'!$B11+'Economic Assumptions'!$G11+'Project Assumptions'!$D$15+'Project Assumptions'!$D$16,'Economic Assumptions'!$C11*'Economic Assumptions'!$D11/12,0)</f>
        <v/>
      </c>
      <c r="CO128" s="301">
        <f>IF(CO$5&gt;='Economic Assumptions'!$B11+'Economic Assumptions'!$G11+'Project Assumptions'!$D$15+'Project Assumptions'!$D$16,'Economic Assumptions'!$C11*'Economic Assumptions'!$D11/12,0)</f>
        <v/>
      </c>
      <c r="CP128" s="301">
        <f>IF(CP$5&gt;='Economic Assumptions'!$B11+'Economic Assumptions'!$G11+'Project Assumptions'!$D$15+'Project Assumptions'!$D$16,'Economic Assumptions'!$C11*'Economic Assumptions'!$D11/12,0)</f>
        <v/>
      </c>
      <c r="CQ128" s="301">
        <f>IF(CQ$5&gt;='Economic Assumptions'!$B11+'Economic Assumptions'!$G11+'Project Assumptions'!$D$15+'Project Assumptions'!$D$16,'Economic Assumptions'!$C11*'Economic Assumptions'!$D11/12,0)</f>
        <v/>
      </c>
      <c r="CR128" s="301">
        <f>IF(CR$5&gt;='Economic Assumptions'!$B11+'Economic Assumptions'!$G11+'Project Assumptions'!$D$15+'Project Assumptions'!$D$16,'Economic Assumptions'!$C11*'Economic Assumptions'!$D11/12,0)</f>
        <v/>
      </c>
      <c r="CS128" s="301">
        <f>IF(CS$5&gt;='Economic Assumptions'!$B11+'Economic Assumptions'!$G11+'Project Assumptions'!$D$15+'Project Assumptions'!$D$16,'Economic Assumptions'!$C11*'Economic Assumptions'!$D11/12,0)</f>
        <v/>
      </c>
      <c r="CT128" s="301">
        <f>IF(CT$5&gt;='Economic Assumptions'!$B11+'Economic Assumptions'!$G11+'Project Assumptions'!$D$15+'Project Assumptions'!$D$16,'Economic Assumptions'!$C11*'Economic Assumptions'!$D11/12,0)</f>
        <v/>
      </c>
      <c r="CU128" s="301">
        <f>IF(CU$5&gt;='Economic Assumptions'!$B11+'Economic Assumptions'!$G11+'Project Assumptions'!$D$15+'Project Assumptions'!$D$16,'Economic Assumptions'!$C11*'Economic Assumptions'!$D11/12,0)</f>
        <v/>
      </c>
      <c r="CV128" s="301">
        <f>IF(CV$5&gt;='Economic Assumptions'!$B11+'Economic Assumptions'!$G11+'Project Assumptions'!$D$15+'Project Assumptions'!$D$16,'Economic Assumptions'!$C11*'Economic Assumptions'!$D11/12,0)</f>
        <v/>
      </c>
      <c r="CW128" s="301">
        <f>IF(CW$5&gt;='Economic Assumptions'!$B11+'Economic Assumptions'!$G11+'Project Assumptions'!$D$15+'Project Assumptions'!$D$16,'Economic Assumptions'!$C11*'Economic Assumptions'!$D11/12,0)</f>
        <v/>
      </c>
      <c r="CX128" s="301">
        <f>IF(CX$5&gt;='Economic Assumptions'!$B11+'Economic Assumptions'!$G11+'Project Assumptions'!$D$15+'Project Assumptions'!$D$16,'Economic Assumptions'!$C11*'Economic Assumptions'!$D11/12,0)</f>
        <v/>
      </c>
      <c r="CY128" s="301">
        <f>IF(CY$5&gt;='Economic Assumptions'!$B11+'Economic Assumptions'!$G11+'Project Assumptions'!$D$15+'Project Assumptions'!$D$16,'Economic Assumptions'!$C11*'Economic Assumptions'!$D11/12,0)</f>
        <v/>
      </c>
      <c r="CZ128" s="301">
        <f>IF(CZ$5&gt;='Economic Assumptions'!$B11+'Economic Assumptions'!$G11+'Project Assumptions'!$D$15+'Project Assumptions'!$D$16,'Economic Assumptions'!$C11*'Economic Assumptions'!$D11/12,0)</f>
        <v/>
      </c>
      <c r="DA128" s="301">
        <f>IF(DA$5&gt;='Economic Assumptions'!$B11+'Economic Assumptions'!$G11+'Project Assumptions'!$D$15+'Project Assumptions'!$D$16,'Economic Assumptions'!$C11*'Economic Assumptions'!$D11/12,0)</f>
        <v/>
      </c>
      <c r="DB128" s="301">
        <f>IF(DB$5&gt;='Economic Assumptions'!$B11+'Economic Assumptions'!$G11+'Project Assumptions'!$D$15+'Project Assumptions'!$D$16,'Economic Assumptions'!$C11*'Economic Assumptions'!$D11/12,0)</f>
        <v/>
      </c>
      <c r="DC128" s="301" t="n"/>
      <c r="DD128" s="299" t="n"/>
    </row>
    <row r="129" hidden="1" outlineLevel="1">
      <c r="A129" s="1000" t="n"/>
      <c r="B129" s="315" t="inlineStr">
        <is>
          <t>Lease #3</t>
        </is>
      </c>
      <c r="C129" s="294" t="n"/>
      <c r="D129" s="299">
        <f>DD129</f>
        <v/>
      </c>
      <c r="E129" s="300" t="n"/>
      <c r="F129" s="301" t="n"/>
      <c r="G129" s="301">
        <f>IF(G$5&gt;='Economic Assumptions'!$B12+'Economic Assumptions'!$G12+'Project Assumptions'!$D$15+'Project Assumptions'!$D$16,'Economic Assumptions'!$C12*'Economic Assumptions'!$D12/12,0)</f>
        <v/>
      </c>
      <c r="H129" s="301">
        <f>IF(H$5&gt;='Economic Assumptions'!$B12+'Economic Assumptions'!$G12+'Project Assumptions'!$D$15+'Project Assumptions'!$D$16,'Economic Assumptions'!$C12*'Economic Assumptions'!$D12/12,0)</f>
        <v/>
      </c>
      <c r="I129" s="301">
        <f>IF(I$5&gt;='Economic Assumptions'!$B12+'Economic Assumptions'!$G12+'Project Assumptions'!$D$15+'Project Assumptions'!$D$16,'Economic Assumptions'!$C12*'Economic Assumptions'!$D12/12,0)</f>
        <v/>
      </c>
      <c r="J129" s="301">
        <f>IF(J$5&gt;='Economic Assumptions'!$B12+'Economic Assumptions'!$G12+'Project Assumptions'!$D$15+'Project Assumptions'!$D$16,'Economic Assumptions'!$C12*'Economic Assumptions'!$D12/12,0)</f>
        <v/>
      </c>
      <c r="K129" s="301">
        <f>IF(K$5&gt;='Economic Assumptions'!$B12+'Economic Assumptions'!$G12+'Project Assumptions'!$D$15+'Project Assumptions'!$D$16,'Economic Assumptions'!$C12*'Economic Assumptions'!$D12/12,0)</f>
        <v/>
      </c>
      <c r="L129" s="301">
        <f>IF(L$5&gt;='Economic Assumptions'!$B12+'Economic Assumptions'!$G12+'Project Assumptions'!$D$15+'Project Assumptions'!$D$16,'Economic Assumptions'!$C12*'Economic Assumptions'!$D12/12,0)</f>
        <v/>
      </c>
      <c r="M129" s="301">
        <f>IF(M$5&gt;='Economic Assumptions'!$B12+'Economic Assumptions'!$G12+'Project Assumptions'!$D$15+'Project Assumptions'!$D$16,'Economic Assumptions'!$C12*'Economic Assumptions'!$D12/12,0)</f>
        <v/>
      </c>
      <c r="N129" s="301">
        <f>IF(N$5&gt;='Economic Assumptions'!$B12+'Economic Assumptions'!$G12+'Project Assumptions'!$D$15+'Project Assumptions'!$D$16,'Economic Assumptions'!$C12*'Economic Assumptions'!$D12/12,0)</f>
        <v/>
      </c>
      <c r="O129" s="301">
        <f>IF(O$5&gt;='Economic Assumptions'!$B12+'Economic Assumptions'!$G12+'Project Assumptions'!$D$15+'Project Assumptions'!$D$16,'Economic Assumptions'!$C12*'Economic Assumptions'!$D12/12,0)</f>
        <v/>
      </c>
      <c r="P129" s="301">
        <f>IF(P$5&gt;='Economic Assumptions'!$B12+'Economic Assumptions'!$G12+'Project Assumptions'!$D$15+'Project Assumptions'!$D$16,'Economic Assumptions'!$C12*'Economic Assumptions'!$D12/12,0)</f>
        <v/>
      </c>
      <c r="Q129" s="301">
        <f>IF(Q$5&gt;='Economic Assumptions'!$B12+'Economic Assumptions'!$G12+'Project Assumptions'!$D$15+'Project Assumptions'!$D$16,'Economic Assumptions'!$C12*'Economic Assumptions'!$D12/12,0)</f>
        <v/>
      </c>
      <c r="R129" s="301">
        <f>IF(R$5&gt;='Economic Assumptions'!$B12+'Economic Assumptions'!$G12+'Project Assumptions'!$D$15+'Project Assumptions'!$D$16,'Economic Assumptions'!$C12*'Economic Assumptions'!$D12/12,0)</f>
        <v/>
      </c>
      <c r="S129" s="301">
        <f>IF(S$5&gt;='Economic Assumptions'!$B12+'Economic Assumptions'!$G12+'Project Assumptions'!$D$15+'Project Assumptions'!$D$16,'Economic Assumptions'!$C12*'Economic Assumptions'!$D12/12,0)</f>
        <v/>
      </c>
      <c r="T129" s="301">
        <f>IF(T$5&gt;='Economic Assumptions'!$B12+'Economic Assumptions'!$G12+'Project Assumptions'!$D$15+'Project Assumptions'!$D$16,'Economic Assumptions'!$C12*'Economic Assumptions'!$D12/12,0)</f>
        <v/>
      </c>
      <c r="U129" s="301">
        <f>IF(U$5&gt;='Economic Assumptions'!$B12+'Economic Assumptions'!$G12+'Project Assumptions'!$D$15+'Project Assumptions'!$D$16,'Economic Assumptions'!$C12*'Economic Assumptions'!$D12/12,0)</f>
        <v/>
      </c>
      <c r="V129" s="301">
        <f>IF(V$5&gt;='Economic Assumptions'!$B12+'Economic Assumptions'!$G12+'Project Assumptions'!$D$15+'Project Assumptions'!$D$16,'Economic Assumptions'!$C12*'Economic Assumptions'!$D12/12,0)</f>
        <v/>
      </c>
      <c r="W129" s="301">
        <f>IF(W$5&gt;='Economic Assumptions'!$B12+'Economic Assumptions'!$G12+'Project Assumptions'!$D$15+'Project Assumptions'!$D$16,'Economic Assumptions'!$C12*'Economic Assumptions'!$D12/12,0)</f>
        <v/>
      </c>
      <c r="X129" s="301">
        <f>IF(X$5&gt;='Economic Assumptions'!$B12+'Economic Assumptions'!$G12+'Project Assumptions'!$D$15+'Project Assumptions'!$D$16,'Economic Assumptions'!$C12*'Economic Assumptions'!$D12/12,0)</f>
        <v/>
      </c>
      <c r="Y129" s="301">
        <f>IF(Y$5&gt;='Economic Assumptions'!$B12+'Economic Assumptions'!$G12+'Project Assumptions'!$D$15+'Project Assumptions'!$D$16,'Economic Assumptions'!$C12*'Economic Assumptions'!$D12/12,0)</f>
        <v/>
      </c>
      <c r="Z129" s="301">
        <f>IF(Z$5&gt;='Economic Assumptions'!$B12+'Economic Assumptions'!$G12+'Project Assumptions'!$D$15+'Project Assumptions'!$D$16,'Economic Assumptions'!$C12*'Economic Assumptions'!$D12/12,0)</f>
        <v/>
      </c>
      <c r="AA129" s="301">
        <f>IF(AA$5&gt;='Economic Assumptions'!$B12+'Economic Assumptions'!$G12+'Project Assumptions'!$D$15+'Project Assumptions'!$D$16,'Economic Assumptions'!$C12*'Economic Assumptions'!$D12/12,0)</f>
        <v/>
      </c>
      <c r="AB129" s="301">
        <f>IF(AB$5&gt;='Economic Assumptions'!$B12+'Economic Assumptions'!$G12+'Project Assumptions'!$D$15+'Project Assumptions'!$D$16,'Economic Assumptions'!$C12*'Economic Assumptions'!$D12/12,0)</f>
        <v/>
      </c>
      <c r="AC129" s="301">
        <f>IF(AC$5&gt;='Economic Assumptions'!$B12+'Economic Assumptions'!$G12+'Project Assumptions'!$D$15+'Project Assumptions'!$D$16,'Economic Assumptions'!$C12*'Economic Assumptions'!$D12/12,0)</f>
        <v/>
      </c>
      <c r="AD129" s="301">
        <f>IF(AD$5&gt;='Economic Assumptions'!$B12+'Economic Assumptions'!$G12+'Project Assumptions'!$D$15+'Project Assumptions'!$D$16,'Economic Assumptions'!$C12*'Economic Assumptions'!$D12/12,0)</f>
        <v/>
      </c>
      <c r="AE129" s="301">
        <f>IF(AE$5&gt;='Economic Assumptions'!$B12+'Economic Assumptions'!$G12+'Project Assumptions'!$D$15+'Project Assumptions'!$D$16,'Economic Assumptions'!$C12*'Economic Assumptions'!$D12/12,0)</f>
        <v/>
      </c>
      <c r="AF129" s="301">
        <f>IF(AF$5&gt;='Economic Assumptions'!$B12+'Economic Assumptions'!$G12+'Project Assumptions'!$D$15+'Project Assumptions'!$D$16,'Economic Assumptions'!$C12*'Economic Assumptions'!$D12/12,0)</f>
        <v/>
      </c>
      <c r="AG129" s="301">
        <f>IF(AG$5&gt;='Economic Assumptions'!$B12+'Economic Assumptions'!$G12+'Project Assumptions'!$D$15+'Project Assumptions'!$D$16,'Economic Assumptions'!$C12*'Economic Assumptions'!$D12/12,0)</f>
        <v/>
      </c>
      <c r="AH129" s="301">
        <f>IF(AH$5&gt;='Economic Assumptions'!$B12+'Economic Assumptions'!$G12+'Project Assumptions'!$D$15+'Project Assumptions'!$D$16,'Economic Assumptions'!$C12*'Economic Assumptions'!$D12/12,0)</f>
        <v/>
      </c>
      <c r="AI129" s="301">
        <f>IF(AI$5&gt;='Economic Assumptions'!$B12+'Economic Assumptions'!$G12+'Project Assumptions'!$D$15+'Project Assumptions'!$D$16,'Economic Assumptions'!$C12*'Economic Assumptions'!$D12/12,0)</f>
        <v/>
      </c>
      <c r="AJ129" s="301">
        <f>IF(AJ$5&gt;='Economic Assumptions'!$B12+'Economic Assumptions'!$G12+'Project Assumptions'!$D$15+'Project Assumptions'!$D$16,'Economic Assumptions'!$C12*'Economic Assumptions'!$D12/12,0)</f>
        <v/>
      </c>
      <c r="AK129" s="301">
        <f>IF(AK$5&gt;='Economic Assumptions'!$B12+'Economic Assumptions'!$G12+'Project Assumptions'!$D$15+'Project Assumptions'!$D$16,'Economic Assumptions'!$C12*'Economic Assumptions'!$D12/12,0)</f>
        <v/>
      </c>
      <c r="AL129" s="301">
        <f>IF(AL$5&gt;='Economic Assumptions'!$B12+'Economic Assumptions'!$G12+'Project Assumptions'!$D$15+'Project Assumptions'!$D$16,'Economic Assumptions'!$C12*'Economic Assumptions'!$D12/12,0)</f>
        <v/>
      </c>
      <c r="AM129" s="301">
        <f>IF(AM$5&gt;='Economic Assumptions'!$B12+'Economic Assumptions'!$G12+'Project Assumptions'!$D$15+'Project Assumptions'!$D$16,'Economic Assumptions'!$C12*'Economic Assumptions'!$D12/12,0)</f>
        <v/>
      </c>
      <c r="AN129" s="301">
        <f>IF(AN$5&gt;='Economic Assumptions'!$B12+'Economic Assumptions'!$G12+'Project Assumptions'!$D$15+'Project Assumptions'!$D$16,'Economic Assumptions'!$C12*'Economic Assumptions'!$D12/12,0)</f>
        <v/>
      </c>
      <c r="AO129" s="301">
        <f>IF(AO$5&gt;='Economic Assumptions'!$B12+'Economic Assumptions'!$G12+'Project Assumptions'!$D$15+'Project Assumptions'!$D$16,'Economic Assumptions'!$C12*'Economic Assumptions'!$D12/12,0)</f>
        <v/>
      </c>
      <c r="AP129" s="301">
        <f>IF(AP$5&gt;='Economic Assumptions'!$B12+'Economic Assumptions'!$G12+'Project Assumptions'!$D$15+'Project Assumptions'!$D$16,'Economic Assumptions'!$C12*'Economic Assumptions'!$D12/12,0)</f>
        <v/>
      </c>
      <c r="AQ129" s="301">
        <f>IF(AQ$5&gt;='Economic Assumptions'!$B12+'Economic Assumptions'!$G12+'Project Assumptions'!$D$15+'Project Assumptions'!$D$16,'Economic Assumptions'!$C12*'Economic Assumptions'!$D12/12,0)</f>
        <v/>
      </c>
      <c r="AR129" s="301">
        <f>IF(AR$5&gt;='Economic Assumptions'!$B12+'Economic Assumptions'!$G12+'Project Assumptions'!$D$15+'Project Assumptions'!$D$16,'Economic Assumptions'!$C12*'Economic Assumptions'!$D12/12,0)</f>
        <v/>
      </c>
      <c r="AS129" s="301">
        <f>IF(AS$5&gt;='Economic Assumptions'!$B12+'Economic Assumptions'!$G12+'Project Assumptions'!$D$15+'Project Assumptions'!$D$16,'Economic Assumptions'!$C12*'Economic Assumptions'!$D12/12,0)</f>
        <v/>
      </c>
      <c r="AT129" s="301">
        <f>IF(AT$5&gt;='Economic Assumptions'!$B12+'Economic Assumptions'!$G12+'Project Assumptions'!$D$15+'Project Assumptions'!$D$16,'Economic Assumptions'!$C12*'Economic Assumptions'!$D12/12,0)</f>
        <v/>
      </c>
      <c r="AU129" s="301">
        <f>IF(AU$5&gt;='Economic Assumptions'!$B12+'Economic Assumptions'!$G12+'Project Assumptions'!$D$15+'Project Assumptions'!$D$16,'Economic Assumptions'!$C12*'Economic Assumptions'!$D12/12,0)</f>
        <v/>
      </c>
      <c r="AV129" s="301">
        <f>IF(AV$5&gt;='Economic Assumptions'!$B12+'Economic Assumptions'!$G12+'Project Assumptions'!$D$15+'Project Assumptions'!$D$16,'Economic Assumptions'!$C12*'Economic Assumptions'!$D12/12,0)</f>
        <v/>
      </c>
      <c r="AW129" s="301">
        <f>IF(AW$5&gt;='Economic Assumptions'!$B12+'Economic Assumptions'!$G12+'Project Assumptions'!$D$15+'Project Assumptions'!$D$16,'Economic Assumptions'!$C12*'Economic Assumptions'!$D12/12,0)</f>
        <v/>
      </c>
      <c r="AX129" s="301">
        <f>IF(AX$5&gt;='Economic Assumptions'!$B12+'Economic Assumptions'!$G12+'Project Assumptions'!$D$15+'Project Assumptions'!$D$16,'Economic Assumptions'!$C12*'Economic Assumptions'!$D12/12,0)</f>
        <v/>
      </c>
      <c r="AY129" s="301">
        <f>IF(AY$5&gt;='Economic Assumptions'!$B12+'Economic Assumptions'!$G12+'Project Assumptions'!$D$15+'Project Assumptions'!$D$16,'Economic Assumptions'!$C12*'Economic Assumptions'!$D12/12,0)</f>
        <v/>
      </c>
      <c r="AZ129" s="301">
        <f>IF(AZ$5&gt;='Economic Assumptions'!$B12+'Economic Assumptions'!$G12+'Project Assumptions'!$D$15+'Project Assumptions'!$D$16,'Economic Assumptions'!$C12*'Economic Assumptions'!$D12/12,0)</f>
        <v/>
      </c>
      <c r="BA129" s="301">
        <f>IF(BA$5&gt;='Economic Assumptions'!$B12+'Economic Assumptions'!$G12+'Project Assumptions'!$D$15+'Project Assumptions'!$D$16,'Economic Assumptions'!$C12*'Economic Assumptions'!$D12/12,0)</f>
        <v/>
      </c>
      <c r="BB129" s="301">
        <f>IF(BB$5&gt;='Economic Assumptions'!$B12+'Economic Assumptions'!$G12+'Project Assumptions'!$D$15+'Project Assumptions'!$D$16,'Economic Assumptions'!$C12*'Economic Assumptions'!$D12/12,0)</f>
        <v/>
      </c>
      <c r="BC129" s="301">
        <f>IF(BC$5&gt;='Economic Assumptions'!$B12+'Economic Assumptions'!$G12+'Project Assumptions'!$D$15+'Project Assumptions'!$D$16,'Economic Assumptions'!$C12*'Economic Assumptions'!$D12/12,0)</f>
        <v/>
      </c>
      <c r="BD129" s="301">
        <f>IF(BD$5&gt;='Economic Assumptions'!$B12+'Economic Assumptions'!$G12+'Project Assumptions'!$D$15+'Project Assumptions'!$D$16,'Economic Assumptions'!$C12*'Economic Assumptions'!$D12/12,0)</f>
        <v/>
      </c>
      <c r="BE129" s="301">
        <f>IF(BE$5&gt;='Economic Assumptions'!$B12+'Economic Assumptions'!$G12+'Project Assumptions'!$D$15+'Project Assumptions'!$D$16,'Economic Assumptions'!$C12*'Economic Assumptions'!$D12/12,0)</f>
        <v/>
      </c>
      <c r="BF129" s="301">
        <f>IF(BF$5&gt;='Economic Assumptions'!$B12+'Economic Assumptions'!$G12+'Project Assumptions'!$D$15+'Project Assumptions'!$D$16,'Economic Assumptions'!$C12*'Economic Assumptions'!$D12/12,0)</f>
        <v/>
      </c>
      <c r="BG129" s="301">
        <f>IF(BG$5&gt;='Economic Assumptions'!$B12+'Economic Assumptions'!$G12+'Project Assumptions'!$D$15+'Project Assumptions'!$D$16,'Economic Assumptions'!$C12*'Economic Assumptions'!$D12/12,0)</f>
        <v/>
      </c>
      <c r="BH129" s="301">
        <f>IF(BH$5&gt;='Economic Assumptions'!$B12+'Economic Assumptions'!$G12+'Project Assumptions'!$D$15+'Project Assumptions'!$D$16,'Economic Assumptions'!$C12*'Economic Assumptions'!$D12/12,0)</f>
        <v/>
      </c>
      <c r="BI129" s="301">
        <f>IF(BI$5&gt;='Economic Assumptions'!$B12+'Economic Assumptions'!$G12+'Project Assumptions'!$D$15+'Project Assumptions'!$D$16,'Economic Assumptions'!$C12*'Economic Assumptions'!$D12/12,0)</f>
        <v/>
      </c>
      <c r="BJ129" s="301">
        <f>IF(BJ$5&gt;='Economic Assumptions'!$B12+'Economic Assumptions'!$G12+'Project Assumptions'!$D$15+'Project Assumptions'!$D$16,'Economic Assumptions'!$C12*'Economic Assumptions'!$D12/12,0)</f>
        <v/>
      </c>
      <c r="BK129" s="301">
        <f>IF(BK$5&gt;='Economic Assumptions'!$B12+'Economic Assumptions'!$G12+'Project Assumptions'!$D$15+'Project Assumptions'!$D$16,'Economic Assumptions'!$C12*'Economic Assumptions'!$D12/12,0)</f>
        <v/>
      </c>
      <c r="BL129" s="301">
        <f>IF(BL$5&gt;='Economic Assumptions'!$B12+'Economic Assumptions'!$G12+'Project Assumptions'!$D$15+'Project Assumptions'!$D$16,'Economic Assumptions'!$C12*'Economic Assumptions'!$D12/12,0)</f>
        <v/>
      </c>
      <c r="BM129" s="301">
        <f>IF(BM$5&gt;='Economic Assumptions'!$B12+'Economic Assumptions'!$G12+'Project Assumptions'!$D$15+'Project Assumptions'!$D$16,'Economic Assumptions'!$C12*'Economic Assumptions'!$D12/12,0)</f>
        <v/>
      </c>
      <c r="BN129" s="301">
        <f>IF(BN$5&gt;='Economic Assumptions'!$B12+'Economic Assumptions'!$G12+'Project Assumptions'!$D$15+'Project Assumptions'!$D$16,'Economic Assumptions'!$C12*'Economic Assumptions'!$D12/12,0)</f>
        <v/>
      </c>
      <c r="BO129" s="301">
        <f>IF(BO$5&gt;='Economic Assumptions'!$B12+'Economic Assumptions'!$G12+'Project Assumptions'!$D$15+'Project Assumptions'!$D$16,'Economic Assumptions'!$C12*'Economic Assumptions'!$D12/12,0)</f>
        <v/>
      </c>
      <c r="BP129" s="301">
        <f>IF(BP$5&gt;='Economic Assumptions'!$B12+'Economic Assumptions'!$G12+'Project Assumptions'!$D$15+'Project Assumptions'!$D$16,'Economic Assumptions'!$C12*'Economic Assumptions'!$D12/12,0)</f>
        <v/>
      </c>
      <c r="BQ129" s="301">
        <f>IF(BQ$5&gt;='Economic Assumptions'!$B12+'Economic Assumptions'!$G12+'Project Assumptions'!$D$15+'Project Assumptions'!$D$16,'Economic Assumptions'!$C12*'Economic Assumptions'!$D12/12,0)</f>
        <v/>
      </c>
      <c r="BR129" s="301">
        <f>IF(BR$5&gt;='Economic Assumptions'!$B12+'Economic Assumptions'!$G12+'Project Assumptions'!$D$15+'Project Assumptions'!$D$16,'Economic Assumptions'!$C12*'Economic Assumptions'!$D12/12,0)</f>
        <v/>
      </c>
      <c r="BS129" s="301">
        <f>IF(BS$5&gt;='Economic Assumptions'!$B12+'Economic Assumptions'!$G12+'Project Assumptions'!$D$15+'Project Assumptions'!$D$16,'Economic Assumptions'!$C12*'Economic Assumptions'!$D12/12,0)</f>
        <v/>
      </c>
      <c r="BT129" s="301">
        <f>IF(BT$5&gt;='Economic Assumptions'!$B12+'Economic Assumptions'!$G12+'Project Assumptions'!$D$15+'Project Assumptions'!$D$16,'Economic Assumptions'!$C12*'Economic Assumptions'!$D12/12,0)</f>
        <v/>
      </c>
      <c r="BU129" s="301">
        <f>IF(BU$5&gt;='Economic Assumptions'!$B12+'Economic Assumptions'!$G12+'Project Assumptions'!$D$15+'Project Assumptions'!$D$16,'Economic Assumptions'!$C12*'Economic Assumptions'!$D12/12,0)</f>
        <v/>
      </c>
      <c r="BV129" s="301">
        <f>IF(BV$5&gt;='Economic Assumptions'!$B12+'Economic Assumptions'!$G12+'Project Assumptions'!$D$15+'Project Assumptions'!$D$16,'Economic Assumptions'!$C12*'Economic Assumptions'!$D12/12,0)</f>
        <v/>
      </c>
      <c r="BW129" s="301">
        <f>IF(BW$5&gt;='Economic Assumptions'!$B12+'Economic Assumptions'!$G12+'Project Assumptions'!$D$15+'Project Assumptions'!$D$16,'Economic Assumptions'!$C12*'Economic Assumptions'!$D12/12,0)</f>
        <v/>
      </c>
      <c r="BX129" s="301">
        <f>IF(BX$5&gt;='Economic Assumptions'!$B12+'Economic Assumptions'!$G12+'Project Assumptions'!$D$15+'Project Assumptions'!$D$16,'Economic Assumptions'!$C12*'Economic Assumptions'!$D12/12,0)</f>
        <v/>
      </c>
      <c r="BY129" s="301">
        <f>IF(BY$5&gt;='Economic Assumptions'!$B12+'Economic Assumptions'!$G12+'Project Assumptions'!$D$15+'Project Assumptions'!$D$16,'Economic Assumptions'!$C12*'Economic Assumptions'!$D12/12,0)</f>
        <v/>
      </c>
      <c r="BZ129" s="301">
        <f>IF(BZ$5&gt;='Economic Assumptions'!$B12+'Economic Assumptions'!$G12+'Project Assumptions'!$D$15+'Project Assumptions'!$D$16,'Economic Assumptions'!$C12*'Economic Assumptions'!$D12/12,0)</f>
        <v/>
      </c>
      <c r="CA129" s="301">
        <f>IF(CA$5&gt;='Economic Assumptions'!$B12+'Economic Assumptions'!$G12+'Project Assumptions'!$D$15+'Project Assumptions'!$D$16,'Economic Assumptions'!$C12*'Economic Assumptions'!$D12/12,0)</f>
        <v/>
      </c>
      <c r="CB129" s="301">
        <f>IF(CB$5&gt;='Economic Assumptions'!$B12+'Economic Assumptions'!$G12+'Project Assumptions'!$D$15+'Project Assumptions'!$D$16,'Economic Assumptions'!$C12*'Economic Assumptions'!$D12/12,0)</f>
        <v/>
      </c>
      <c r="CC129" s="301">
        <f>IF(CC$5&gt;='Economic Assumptions'!$B12+'Economic Assumptions'!$G12+'Project Assumptions'!$D$15+'Project Assumptions'!$D$16,'Economic Assumptions'!$C12*'Economic Assumptions'!$D12/12,0)</f>
        <v/>
      </c>
      <c r="CD129" s="301">
        <f>IF(CD$5&gt;='Economic Assumptions'!$B12+'Economic Assumptions'!$G12+'Project Assumptions'!$D$15+'Project Assumptions'!$D$16,'Economic Assumptions'!$C12*'Economic Assumptions'!$D12/12,0)</f>
        <v/>
      </c>
      <c r="CE129" s="301">
        <f>IF(CE$5&gt;='Economic Assumptions'!$B12+'Economic Assumptions'!$G12+'Project Assumptions'!$D$15+'Project Assumptions'!$D$16,'Economic Assumptions'!$C12*'Economic Assumptions'!$D12/12,0)</f>
        <v/>
      </c>
      <c r="CF129" s="301">
        <f>IF(CF$5&gt;='Economic Assumptions'!$B12+'Economic Assumptions'!$G12+'Project Assumptions'!$D$15+'Project Assumptions'!$D$16,'Economic Assumptions'!$C12*'Economic Assumptions'!$D12/12,0)</f>
        <v/>
      </c>
      <c r="CG129" s="301">
        <f>IF(CG$5&gt;='Economic Assumptions'!$B12+'Economic Assumptions'!$G12+'Project Assumptions'!$D$15+'Project Assumptions'!$D$16,'Economic Assumptions'!$C12*'Economic Assumptions'!$D12/12,0)</f>
        <v/>
      </c>
      <c r="CH129" s="301">
        <f>IF(CH$5&gt;='Economic Assumptions'!$B12+'Economic Assumptions'!$G12+'Project Assumptions'!$D$15+'Project Assumptions'!$D$16,'Economic Assumptions'!$C12*'Economic Assumptions'!$D12/12,0)</f>
        <v/>
      </c>
      <c r="CI129" s="301">
        <f>IF(CI$5&gt;='Economic Assumptions'!$B12+'Economic Assumptions'!$G12+'Project Assumptions'!$D$15+'Project Assumptions'!$D$16,'Economic Assumptions'!$C12*'Economic Assumptions'!$D12/12,0)</f>
        <v/>
      </c>
      <c r="CJ129" s="301">
        <f>IF(CJ$5&gt;='Economic Assumptions'!$B12+'Economic Assumptions'!$G12+'Project Assumptions'!$D$15+'Project Assumptions'!$D$16,'Economic Assumptions'!$C12*'Economic Assumptions'!$D12/12,0)</f>
        <v/>
      </c>
      <c r="CK129" s="301">
        <f>IF(CK$5&gt;='Economic Assumptions'!$B12+'Economic Assumptions'!$G12+'Project Assumptions'!$D$15+'Project Assumptions'!$D$16,'Economic Assumptions'!$C12*'Economic Assumptions'!$D12/12,0)</f>
        <v/>
      </c>
      <c r="CL129" s="301">
        <f>IF(CL$5&gt;='Economic Assumptions'!$B12+'Economic Assumptions'!$G12+'Project Assumptions'!$D$15+'Project Assumptions'!$D$16,'Economic Assumptions'!$C12*'Economic Assumptions'!$D12/12,0)</f>
        <v/>
      </c>
      <c r="CM129" s="301">
        <f>IF(CM$5&gt;='Economic Assumptions'!$B12+'Economic Assumptions'!$G12+'Project Assumptions'!$D$15+'Project Assumptions'!$D$16,'Economic Assumptions'!$C12*'Economic Assumptions'!$D12/12,0)</f>
        <v/>
      </c>
      <c r="CN129" s="301">
        <f>IF(CN$5&gt;='Economic Assumptions'!$B12+'Economic Assumptions'!$G12+'Project Assumptions'!$D$15+'Project Assumptions'!$D$16,'Economic Assumptions'!$C12*'Economic Assumptions'!$D12/12,0)</f>
        <v/>
      </c>
      <c r="CO129" s="301">
        <f>IF(CO$5&gt;='Economic Assumptions'!$B12+'Economic Assumptions'!$G12+'Project Assumptions'!$D$15+'Project Assumptions'!$D$16,'Economic Assumptions'!$C12*'Economic Assumptions'!$D12/12,0)</f>
        <v/>
      </c>
      <c r="CP129" s="301">
        <f>IF(CP$5&gt;='Economic Assumptions'!$B12+'Economic Assumptions'!$G12+'Project Assumptions'!$D$15+'Project Assumptions'!$D$16,'Economic Assumptions'!$C12*'Economic Assumptions'!$D12/12,0)</f>
        <v/>
      </c>
      <c r="CQ129" s="301">
        <f>IF(CQ$5&gt;='Economic Assumptions'!$B12+'Economic Assumptions'!$G12+'Project Assumptions'!$D$15+'Project Assumptions'!$D$16,'Economic Assumptions'!$C12*'Economic Assumptions'!$D12/12,0)</f>
        <v/>
      </c>
      <c r="CR129" s="301">
        <f>IF(CR$5&gt;='Economic Assumptions'!$B12+'Economic Assumptions'!$G12+'Project Assumptions'!$D$15+'Project Assumptions'!$D$16,'Economic Assumptions'!$C12*'Economic Assumptions'!$D12/12,0)</f>
        <v/>
      </c>
      <c r="CS129" s="301">
        <f>IF(CS$5&gt;='Economic Assumptions'!$B12+'Economic Assumptions'!$G12+'Project Assumptions'!$D$15+'Project Assumptions'!$D$16,'Economic Assumptions'!$C12*'Economic Assumptions'!$D12/12,0)</f>
        <v/>
      </c>
      <c r="CT129" s="301">
        <f>IF(CT$5&gt;='Economic Assumptions'!$B12+'Economic Assumptions'!$G12+'Project Assumptions'!$D$15+'Project Assumptions'!$D$16,'Economic Assumptions'!$C12*'Economic Assumptions'!$D12/12,0)</f>
        <v/>
      </c>
      <c r="CU129" s="301">
        <f>IF(CU$5&gt;='Economic Assumptions'!$B12+'Economic Assumptions'!$G12+'Project Assumptions'!$D$15+'Project Assumptions'!$D$16,'Economic Assumptions'!$C12*'Economic Assumptions'!$D12/12,0)</f>
        <v/>
      </c>
      <c r="CV129" s="301">
        <f>IF(CV$5&gt;='Economic Assumptions'!$B12+'Economic Assumptions'!$G12+'Project Assumptions'!$D$15+'Project Assumptions'!$D$16,'Economic Assumptions'!$C12*'Economic Assumptions'!$D12/12,0)</f>
        <v/>
      </c>
      <c r="CW129" s="301">
        <f>IF(CW$5&gt;='Economic Assumptions'!$B12+'Economic Assumptions'!$G12+'Project Assumptions'!$D$15+'Project Assumptions'!$D$16,'Economic Assumptions'!$C12*'Economic Assumptions'!$D12/12,0)</f>
        <v/>
      </c>
      <c r="CX129" s="301">
        <f>IF(CX$5&gt;='Economic Assumptions'!$B12+'Economic Assumptions'!$G12+'Project Assumptions'!$D$15+'Project Assumptions'!$D$16,'Economic Assumptions'!$C12*'Economic Assumptions'!$D12/12,0)</f>
        <v/>
      </c>
      <c r="CY129" s="301">
        <f>IF(CY$5&gt;='Economic Assumptions'!$B12+'Economic Assumptions'!$G12+'Project Assumptions'!$D$15+'Project Assumptions'!$D$16,'Economic Assumptions'!$C12*'Economic Assumptions'!$D12/12,0)</f>
        <v/>
      </c>
      <c r="CZ129" s="301">
        <f>IF(CZ$5&gt;='Economic Assumptions'!$B12+'Economic Assumptions'!$G12+'Project Assumptions'!$D$15+'Project Assumptions'!$D$16,'Economic Assumptions'!$C12*'Economic Assumptions'!$D12/12,0)</f>
        <v/>
      </c>
      <c r="DA129" s="301">
        <f>IF(DA$5&gt;='Economic Assumptions'!$B12+'Economic Assumptions'!$G12+'Project Assumptions'!$D$15+'Project Assumptions'!$D$16,'Economic Assumptions'!$C12*'Economic Assumptions'!$D12/12,0)</f>
        <v/>
      </c>
      <c r="DB129" s="301">
        <f>IF(DB$5&gt;='Economic Assumptions'!$B12+'Economic Assumptions'!$G12+'Project Assumptions'!$D$15+'Project Assumptions'!$D$16,'Economic Assumptions'!$C12*'Economic Assumptions'!$D12/12,0)</f>
        <v/>
      </c>
      <c r="DC129" s="301" t="n"/>
      <c r="DD129" s="299" t="n"/>
    </row>
    <row r="130" hidden="1" outlineLevel="1">
      <c r="A130" s="1000" t="n"/>
      <c r="B130" s="315" t="inlineStr">
        <is>
          <t>Lease #4</t>
        </is>
      </c>
      <c r="C130" s="294" t="n"/>
      <c r="D130" s="299">
        <f>DD130</f>
        <v/>
      </c>
      <c r="E130" s="300" t="n"/>
      <c r="F130" s="301" t="n"/>
      <c r="G130" s="301">
        <f>IF(G$5&gt;='Economic Assumptions'!$B13+'Economic Assumptions'!$G13+'Project Assumptions'!$D$15+'Project Assumptions'!$D$16,'Economic Assumptions'!$C13*'Economic Assumptions'!$D13/12,0)</f>
        <v/>
      </c>
      <c r="H130" s="301">
        <f>IF(H$5&gt;='Economic Assumptions'!$B13+'Economic Assumptions'!$G13+'Project Assumptions'!$D$15+'Project Assumptions'!$D$16,'Economic Assumptions'!$C13*'Economic Assumptions'!$D13/12,0)</f>
        <v/>
      </c>
      <c r="I130" s="301">
        <f>IF(I$5&gt;='Economic Assumptions'!$B13+'Economic Assumptions'!$G13+'Project Assumptions'!$D$15+'Project Assumptions'!$D$16,'Economic Assumptions'!$C13*'Economic Assumptions'!$D13/12,0)</f>
        <v/>
      </c>
      <c r="J130" s="301">
        <f>IF(J$5&gt;='Economic Assumptions'!$B13+'Economic Assumptions'!$G13+'Project Assumptions'!$D$15+'Project Assumptions'!$D$16,'Economic Assumptions'!$C13*'Economic Assumptions'!$D13/12,0)</f>
        <v/>
      </c>
      <c r="K130" s="301">
        <f>IF(K$5&gt;='Economic Assumptions'!$B13+'Economic Assumptions'!$G13+'Project Assumptions'!$D$15+'Project Assumptions'!$D$16,'Economic Assumptions'!$C13*'Economic Assumptions'!$D13/12,0)</f>
        <v/>
      </c>
      <c r="L130" s="301">
        <f>IF(L$5&gt;='Economic Assumptions'!$B13+'Economic Assumptions'!$G13+'Project Assumptions'!$D$15+'Project Assumptions'!$D$16,'Economic Assumptions'!$C13*'Economic Assumptions'!$D13/12,0)</f>
        <v/>
      </c>
      <c r="M130" s="301">
        <f>IF(M$5&gt;='Economic Assumptions'!$B13+'Economic Assumptions'!$G13+'Project Assumptions'!$D$15+'Project Assumptions'!$D$16,'Economic Assumptions'!$C13*'Economic Assumptions'!$D13/12,0)</f>
        <v/>
      </c>
      <c r="N130" s="301">
        <f>IF(N$5&gt;='Economic Assumptions'!$B13+'Economic Assumptions'!$G13+'Project Assumptions'!$D$15+'Project Assumptions'!$D$16,'Economic Assumptions'!$C13*'Economic Assumptions'!$D13/12,0)</f>
        <v/>
      </c>
      <c r="O130" s="301">
        <f>IF(O$5&gt;='Economic Assumptions'!$B13+'Economic Assumptions'!$G13+'Project Assumptions'!$D$15+'Project Assumptions'!$D$16,'Economic Assumptions'!$C13*'Economic Assumptions'!$D13/12,0)</f>
        <v/>
      </c>
      <c r="P130" s="301">
        <f>IF(P$5&gt;='Economic Assumptions'!$B13+'Economic Assumptions'!$G13+'Project Assumptions'!$D$15+'Project Assumptions'!$D$16,'Economic Assumptions'!$C13*'Economic Assumptions'!$D13/12,0)</f>
        <v/>
      </c>
      <c r="Q130" s="301">
        <f>IF(Q$5&gt;='Economic Assumptions'!$B13+'Economic Assumptions'!$G13+'Project Assumptions'!$D$15+'Project Assumptions'!$D$16,'Economic Assumptions'!$C13*'Economic Assumptions'!$D13/12,0)</f>
        <v/>
      </c>
      <c r="R130" s="301">
        <f>IF(R$5&gt;='Economic Assumptions'!$B13+'Economic Assumptions'!$G13+'Project Assumptions'!$D$15+'Project Assumptions'!$D$16,'Economic Assumptions'!$C13*'Economic Assumptions'!$D13/12,0)</f>
        <v/>
      </c>
      <c r="S130" s="301">
        <f>IF(S$5&gt;='Economic Assumptions'!$B13+'Economic Assumptions'!$G13+'Project Assumptions'!$D$15+'Project Assumptions'!$D$16,'Economic Assumptions'!$C13*'Economic Assumptions'!$D13/12,0)</f>
        <v/>
      </c>
      <c r="T130" s="301">
        <f>IF(T$5&gt;='Economic Assumptions'!$B13+'Economic Assumptions'!$G13+'Project Assumptions'!$D$15+'Project Assumptions'!$D$16,'Economic Assumptions'!$C13*'Economic Assumptions'!$D13/12,0)</f>
        <v/>
      </c>
      <c r="U130" s="301">
        <f>IF(U$5&gt;='Economic Assumptions'!$B13+'Economic Assumptions'!$G13+'Project Assumptions'!$D$15+'Project Assumptions'!$D$16,'Economic Assumptions'!$C13*'Economic Assumptions'!$D13/12,0)</f>
        <v/>
      </c>
      <c r="V130" s="301">
        <f>IF(V$5&gt;='Economic Assumptions'!$B13+'Economic Assumptions'!$G13+'Project Assumptions'!$D$15+'Project Assumptions'!$D$16,'Economic Assumptions'!$C13*'Economic Assumptions'!$D13/12,0)</f>
        <v/>
      </c>
      <c r="W130" s="301">
        <f>IF(W$5&gt;='Economic Assumptions'!$B13+'Economic Assumptions'!$G13+'Project Assumptions'!$D$15+'Project Assumptions'!$D$16,'Economic Assumptions'!$C13*'Economic Assumptions'!$D13/12,0)</f>
        <v/>
      </c>
      <c r="X130" s="301">
        <f>IF(X$5&gt;='Economic Assumptions'!$B13+'Economic Assumptions'!$G13+'Project Assumptions'!$D$15+'Project Assumptions'!$D$16,'Economic Assumptions'!$C13*'Economic Assumptions'!$D13/12,0)</f>
        <v/>
      </c>
      <c r="Y130" s="301">
        <f>IF(Y$5&gt;='Economic Assumptions'!$B13+'Economic Assumptions'!$G13+'Project Assumptions'!$D$15+'Project Assumptions'!$D$16,'Economic Assumptions'!$C13*'Economic Assumptions'!$D13/12,0)</f>
        <v/>
      </c>
      <c r="Z130" s="301">
        <f>IF(Z$5&gt;='Economic Assumptions'!$B13+'Economic Assumptions'!$G13+'Project Assumptions'!$D$15+'Project Assumptions'!$D$16,'Economic Assumptions'!$C13*'Economic Assumptions'!$D13/12,0)</f>
        <v/>
      </c>
      <c r="AA130" s="301">
        <f>IF(AA$5&gt;='Economic Assumptions'!$B13+'Economic Assumptions'!$G13+'Project Assumptions'!$D$15+'Project Assumptions'!$D$16,'Economic Assumptions'!$C13*'Economic Assumptions'!$D13/12,0)</f>
        <v/>
      </c>
      <c r="AB130" s="301">
        <f>IF(AB$5&gt;='Economic Assumptions'!$B13+'Economic Assumptions'!$G13+'Project Assumptions'!$D$15+'Project Assumptions'!$D$16,'Economic Assumptions'!$C13*'Economic Assumptions'!$D13/12,0)</f>
        <v/>
      </c>
      <c r="AC130" s="301">
        <f>IF(AC$5&gt;='Economic Assumptions'!$B13+'Economic Assumptions'!$G13+'Project Assumptions'!$D$15+'Project Assumptions'!$D$16,'Economic Assumptions'!$C13*'Economic Assumptions'!$D13/12,0)</f>
        <v/>
      </c>
      <c r="AD130" s="301">
        <f>IF(AD$5&gt;='Economic Assumptions'!$B13+'Economic Assumptions'!$G13+'Project Assumptions'!$D$15+'Project Assumptions'!$D$16,'Economic Assumptions'!$C13*'Economic Assumptions'!$D13/12,0)</f>
        <v/>
      </c>
      <c r="AE130" s="301">
        <f>IF(AE$5&gt;='Economic Assumptions'!$B13+'Economic Assumptions'!$G13+'Project Assumptions'!$D$15+'Project Assumptions'!$D$16,'Economic Assumptions'!$C13*'Economic Assumptions'!$D13/12,0)</f>
        <v/>
      </c>
      <c r="AF130" s="301">
        <f>IF(AF$5&gt;='Economic Assumptions'!$B13+'Economic Assumptions'!$G13+'Project Assumptions'!$D$15+'Project Assumptions'!$D$16,'Economic Assumptions'!$C13*'Economic Assumptions'!$D13/12,0)</f>
        <v/>
      </c>
      <c r="AG130" s="301">
        <f>IF(AG$5&gt;='Economic Assumptions'!$B13+'Economic Assumptions'!$G13+'Project Assumptions'!$D$15+'Project Assumptions'!$D$16,'Economic Assumptions'!$C13*'Economic Assumptions'!$D13/12,0)</f>
        <v/>
      </c>
      <c r="AH130" s="301">
        <f>IF(AH$5&gt;='Economic Assumptions'!$B13+'Economic Assumptions'!$G13+'Project Assumptions'!$D$15+'Project Assumptions'!$D$16,'Economic Assumptions'!$C13*'Economic Assumptions'!$D13/12,0)</f>
        <v/>
      </c>
      <c r="AI130" s="301">
        <f>IF(AI$5&gt;='Economic Assumptions'!$B13+'Economic Assumptions'!$G13+'Project Assumptions'!$D$15+'Project Assumptions'!$D$16,'Economic Assumptions'!$C13*'Economic Assumptions'!$D13/12,0)</f>
        <v/>
      </c>
      <c r="AJ130" s="301">
        <f>IF(AJ$5&gt;='Economic Assumptions'!$B13+'Economic Assumptions'!$G13+'Project Assumptions'!$D$15+'Project Assumptions'!$D$16,'Economic Assumptions'!$C13*'Economic Assumptions'!$D13/12,0)</f>
        <v/>
      </c>
      <c r="AK130" s="301">
        <f>IF(AK$5&gt;='Economic Assumptions'!$B13+'Economic Assumptions'!$G13+'Project Assumptions'!$D$15+'Project Assumptions'!$D$16,'Economic Assumptions'!$C13*'Economic Assumptions'!$D13/12,0)</f>
        <v/>
      </c>
      <c r="AL130" s="301">
        <f>IF(AL$5&gt;='Economic Assumptions'!$B13+'Economic Assumptions'!$G13+'Project Assumptions'!$D$15+'Project Assumptions'!$D$16,'Economic Assumptions'!$C13*'Economic Assumptions'!$D13/12,0)</f>
        <v/>
      </c>
      <c r="AM130" s="301">
        <f>IF(AM$5&gt;='Economic Assumptions'!$B13+'Economic Assumptions'!$G13+'Project Assumptions'!$D$15+'Project Assumptions'!$D$16,'Economic Assumptions'!$C13*'Economic Assumptions'!$D13/12,0)</f>
        <v/>
      </c>
      <c r="AN130" s="301">
        <f>IF(AN$5&gt;='Economic Assumptions'!$B13+'Economic Assumptions'!$G13+'Project Assumptions'!$D$15+'Project Assumptions'!$D$16,'Economic Assumptions'!$C13*'Economic Assumptions'!$D13/12,0)</f>
        <v/>
      </c>
      <c r="AO130" s="301">
        <f>IF(AO$5&gt;='Economic Assumptions'!$B13+'Economic Assumptions'!$G13+'Project Assumptions'!$D$15+'Project Assumptions'!$D$16,'Economic Assumptions'!$C13*'Economic Assumptions'!$D13/12,0)</f>
        <v/>
      </c>
      <c r="AP130" s="301">
        <f>IF(AP$5&gt;='Economic Assumptions'!$B13+'Economic Assumptions'!$G13+'Project Assumptions'!$D$15+'Project Assumptions'!$D$16,'Economic Assumptions'!$C13*'Economic Assumptions'!$D13/12,0)</f>
        <v/>
      </c>
      <c r="AQ130" s="301">
        <f>IF(AQ$5&gt;='Economic Assumptions'!$B13+'Economic Assumptions'!$G13+'Project Assumptions'!$D$15+'Project Assumptions'!$D$16,'Economic Assumptions'!$C13*'Economic Assumptions'!$D13/12,0)</f>
        <v/>
      </c>
      <c r="AR130" s="301">
        <f>IF(AR$5&gt;='Economic Assumptions'!$B13+'Economic Assumptions'!$G13+'Project Assumptions'!$D$15+'Project Assumptions'!$D$16,'Economic Assumptions'!$C13*'Economic Assumptions'!$D13/12,0)</f>
        <v/>
      </c>
      <c r="AS130" s="301">
        <f>IF(AS$5&gt;='Economic Assumptions'!$B13+'Economic Assumptions'!$G13+'Project Assumptions'!$D$15+'Project Assumptions'!$D$16,'Economic Assumptions'!$C13*'Economic Assumptions'!$D13/12,0)</f>
        <v/>
      </c>
      <c r="AT130" s="301">
        <f>IF(AT$5&gt;='Economic Assumptions'!$B13+'Economic Assumptions'!$G13+'Project Assumptions'!$D$15+'Project Assumptions'!$D$16,'Economic Assumptions'!$C13*'Economic Assumptions'!$D13/12,0)</f>
        <v/>
      </c>
      <c r="AU130" s="301">
        <f>IF(AU$5&gt;='Economic Assumptions'!$B13+'Economic Assumptions'!$G13+'Project Assumptions'!$D$15+'Project Assumptions'!$D$16,'Economic Assumptions'!$C13*'Economic Assumptions'!$D13/12,0)</f>
        <v/>
      </c>
      <c r="AV130" s="301">
        <f>IF(AV$5&gt;='Economic Assumptions'!$B13+'Economic Assumptions'!$G13+'Project Assumptions'!$D$15+'Project Assumptions'!$D$16,'Economic Assumptions'!$C13*'Economic Assumptions'!$D13/12,0)</f>
        <v/>
      </c>
      <c r="AW130" s="301">
        <f>IF(AW$5&gt;='Economic Assumptions'!$B13+'Economic Assumptions'!$G13+'Project Assumptions'!$D$15+'Project Assumptions'!$D$16,'Economic Assumptions'!$C13*'Economic Assumptions'!$D13/12,0)</f>
        <v/>
      </c>
      <c r="AX130" s="301">
        <f>IF(AX$5&gt;='Economic Assumptions'!$B13+'Economic Assumptions'!$G13+'Project Assumptions'!$D$15+'Project Assumptions'!$D$16,'Economic Assumptions'!$C13*'Economic Assumptions'!$D13/12,0)</f>
        <v/>
      </c>
      <c r="AY130" s="301">
        <f>IF(AY$5&gt;='Economic Assumptions'!$B13+'Economic Assumptions'!$G13+'Project Assumptions'!$D$15+'Project Assumptions'!$D$16,'Economic Assumptions'!$C13*'Economic Assumptions'!$D13/12,0)</f>
        <v/>
      </c>
      <c r="AZ130" s="301">
        <f>IF(AZ$5&gt;='Economic Assumptions'!$B13+'Economic Assumptions'!$G13+'Project Assumptions'!$D$15+'Project Assumptions'!$D$16,'Economic Assumptions'!$C13*'Economic Assumptions'!$D13/12,0)</f>
        <v/>
      </c>
      <c r="BA130" s="301">
        <f>IF(BA$5&gt;='Economic Assumptions'!$B13+'Economic Assumptions'!$G13+'Project Assumptions'!$D$15+'Project Assumptions'!$D$16,'Economic Assumptions'!$C13*'Economic Assumptions'!$D13/12,0)</f>
        <v/>
      </c>
      <c r="BB130" s="301">
        <f>IF(BB$5&gt;='Economic Assumptions'!$B13+'Economic Assumptions'!$G13+'Project Assumptions'!$D$15+'Project Assumptions'!$D$16,'Economic Assumptions'!$C13*'Economic Assumptions'!$D13/12,0)</f>
        <v/>
      </c>
      <c r="BC130" s="301">
        <f>IF(BC$5&gt;='Economic Assumptions'!$B13+'Economic Assumptions'!$G13+'Project Assumptions'!$D$15+'Project Assumptions'!$D$16,'Economic Assumptions'!$C13*'Economic Assumptions'!$D13/12,0)</f>
        <v/>
      </c>
      <c r="BD130" s="301">
        <f>IF(BD$5&gt;='Economic Assumptions'!$B13+'Economic Assumptions'!$G13+'Project Assumptions'!$D$15+'Project Assumptions'!$D$16,'Economic Assumptions'!$C13*'Economic Assumptions'!$D13/12,0)</f>
        <v/>
      </c>
      <c r="BE130" s="301">
        <f>IF(BE$5&gt;='Economic Assumptions'!$B13+'Economic Assumptions'!$G13+'Project Assumptions'!$D$15+'Project Assumptions'!$D$16,'Economic Assumptions'!$C13*'Economic Assumptions'!$D13/12,0)</f>
        <v/>
      </c>
      <c r="BF130" s="301">
        <f>IF(BF$5&gt;='Economic Assumptions'!$B13+'Economic Assumptions'!$G13+'Project Assumptions'!$D$15+'Project Assumptions'!$D$16,'Economic Assumptions'!$C13*'Economic Assumptions'!$D13/12,0)</f>
        <v/>
      </c>
      <c r="BG130" s="301">
        <f>IF(BG$5&gt;='Economic Assumptions'!$B13+'Economic Assumptions'!$G13+'Project Assumptions'!$D$15+'Project Assumptions'!$D$16,'Economic Assumptions'!$C13*'Economic Assumptions'!$D13/12,0)</f>
        <v/>
      </c>
      <c r="BH130" s="301">
        <f>IF(BH$5&gt;='Economic Assumptions'!$B13+'Economic Assumptions'!$G13+'Project Assumptions'!$D$15+'Project Assumptions'!$D$16,'Economic Assumptions'!$C13*'Economic Assumptions'!$D13/12,0)</f>
        <v/>
      </c>
      <c r="BI130" s="301">
        <f>IF(BI$5&gt;='Economic Assumptions'!$B13+'Economic Assumptions'!$G13+'Project Assumptions'!$D$15+'Project Assumptions'!$D$16,'Economic Assumptions'!$C13*'Economic Assumptions'!$D13/12,0)</f>
        <v/>
      </c>
      <c r="BJ130" s="301">
        <f>IF(BJ$5&gt;='Economic Assumptions'!$B13+'Economic Assumptions'!$G13+'Project Assumptions'!$D$15+'Project Assumptions'!$D$16,'Economic Assumptions'!$C13*'Economic Assumptions'!$D13/12,0)</f>
        <v/>
      </c>
      <c r="BK130" s="301">
        <f>IF(BK$5&gt;='Economic Assumptions'!$B13+'Economic Assumptions'!$G13+'Project Assumptions'!$D$15+'Project Assumptions'!$D$16,'Economic Assumptions'!$C13*'Economic Assumptions'!$D13/12,0)</f>
        <v/>
      </c>
      <c r="BL130" s="301">
        <f>IF(BL$5&gt;='Economic Assumptions'!$B13+'Economic Assumptions'!$G13+'Project Assumptions'!$D$15+'Project Assumptions'!$D$16,'Economic Assumptions'!$C13*'Economic Assumptions'!$D13/12,0)</f>
        <v/>
      </c>
      <c r="BM130" s="301">
        <f>IF(BM$5&gt;='Economic Assumptions'!$B13+'Economic Assumptions'!$G13+'Project Assumptions'!$D$15+'Project Assumptions'!$D$16,'Economic Assumptions'!$C13*'Economic Assumptions'!$D13/12,0)</f>
        <v/>
      </c>
      <c r="BN130" s="301">
        <f>IF(BN$5&gt;='Economic Assumptions'!$B13+'Economic Assumptions'!$G13+'Project Assumptions'!$D$15+'Project Assumptions'!$D$16,'Economic Assumptions'!$C13*'Economic Assumptions'!$D13/12,0)</f>
        <v/>
      </c>
      <c r="BO130" s="301">
        <f>IF(BO$5&gt;='Economic Assumptions'!$B13+'Economic Assumptions'!$G13+'Project Assumptions'!$D$15+'Project Assumptions'!$D$16,'Economic Assumptions'!$C13*'Economic Assumptions'!$D13/12,0)</f>
        <v/>
      </c>
      <c r="BP130" s="301">
        <f>IF(BP$5&gt;='Economic Assumptions'!$B13+'Economic Assumptions'!$G13+'Project Assumptions'!$D$15+'Project Assumptions'!$D$16,'Economic Assumptions'!$C13*'Economic Assumptions'!$D13/12,0)</f>
        <v/>
      </c>
      <c r="BQ130" s="301">
        <f>IF(BQ$5&gt;='Economic Assumptions'!$B13+'Economic Assumptions'!$G13+'Project Assumptions'!$D$15+'Project Assumptions'!$D$16,'Economic Assumptions'!$C13*'Economic Assumptions'!$D13/12,0)</f>
        <v/>
      </c>
      <c r="BR130" s="301">
        <f>IF(BR$5&gt;='Economic Assumptions'!$B13+'Economic Assumptions'!$G13+'Project Assumptions'!$D$15+'Project Assumptions'!$D$16,'Economic Assumptions'!$C13*'Economic Assumptions'!$D13/12,0)</f>
        <v/>
      </c>
      <c r="BS130" s="301">
        <f>IF(BS$5&gt;='Economic Assumptions'!$B13+'Economic Assumptions'!$G13+'Project Assumptions'!$D$15+'Project Assumptions'!$D$16,'Economic Assumptions'!$C13*'Economic Assumptions'!$D13/12,0)</f>
        <v/>
      </c>
      <c r="BT130" s="301">
        <f>IF(BT$5&gt;='Economic Assumptions'!$B13+'Economic Assumptions'!$G13+'Project Assumptions'!$D$15+'Project Assumptions'!$D$16,'Economic Assumptions'!$C13*'Economic Assumptions'!$D13/12,0)</f>
        <v/>
      </c>
      <c r="BU130" s="301">
        <f>IF(BU$5&gt;='Economic Assumptions'!$B13+'Economic Assumptions'!$G13+'Project Assumptions'!$D$15+'Project Assumptions'!$D$16,'Economic Assumptions'!$C13*'Economic Assumptions'!$D13/12,0)</f>
        <v/>
      </c>
      <c r="BV130" s="301">
        <f>IF(BV$5&gt;='Economic Assumptions'!$B13+'Economic Assumptions'!$G13+'Project Assumptions'!$D$15+'Project Assumptions'!$D$16,'Economic Assumptions'!$C13*'Economic Assumptions'!$D13/12,0)</f>
        <v/>
      </c>
      <c r="BW130" s="301">
        <f>IF(BW$5&gt;='Economic Assumptions'!$B13+'Economic Assumptions'!$G13+'Project Assumptions'!$D$15+'Project Assumptions'!$D$16,'Economic Assumptions'!$C13*'Economic Assumptions'!$D13/12,0)</f>
        <v/>
      </c>
      <c r="BX130" s="301">
        <f>IF(BX$5&gt;='Economic Assumptions'!$B13+'Economic Assumptions'!$G13+'Project Assumptions'!$D$15+'Project Assumptions'!$D$16,'Economic Assumptions'!$C13*'Economic Assumptions'!$D13/12,0)</f>
        <v/>
      </c>
      <c r="BY130" s="301">
        <f>IF(BY$5&gt;='Economic Assumptions'!$B13+'Economic Assumptions'!$G13+'Project Assumptions'!$D$15+'Project Assumptions'!$D$16,'Economic Assumptions'!$C13*'Economic Assumptions'!$D13/12,0)</f>
        <v/>
      </c>
      <c r="BZ130" s="301">
        <f>IF(BZ$5&gt;='Economic Assumptions'!$B13+'Economic Assumptions'!$G13+'Project Assumptions'!$D$15+'Project Assumptions'!$D$16,'Economic Assumptions'!$C13*'Economic Assumptions'!$D13/12,0)</f>
        <v/>
      </c>
      <c r="CA130" s="301">
        <f>IF(CA$5&gt;='Economic Assumptions'!$B13+'Economic Assumptions'!$G13+'Project Assumptions'!$D$15+'Project Assumptions'!$D$16,'Economic Assumptions'!$C13*'Economic Assumptions'!$D13/12,0)</f>
        <v/>
      </c>
      <c r="CB130" s="301">
        <f>IF(CB$5&gt;='Economic Assumptions'!$B13+'Economic Assumptions'!$G13+'Project Assumptions'!$D$15+'Project Assumptions'!$D$16,'Economic Assumptions'!$C13*'Economic Assumptions'!$D13/12,0)</f>
        <v/>
      </c>
      <c r="CC130" s="301">
        <f>IF(CC$5&gt;='Economic Assumptions'!$B13+'Economic Assumptions'!$G13+'Project Assumptions'!$D$15+'Project Assumptions'!$D$16,'Economic Assumptions'!$C13*'Economic Assumptions'!$D13/12,0)</f>
        <v/>
      </c>
      <c r="CD130" s="301">
        <f>IF(CD$5&gt;='Economic Assumptions'!$B13+'Economic Assumptions'!$G13+'Project Assumptions'!$D$15+'Project Assumptions'!$D$16,'Economic Assumptions'!$C13*'Economic Assumptions'!$D13/12,0)</f>
        <v/>
      </c>
      <c r="CE130" s="301">
        <f>IF(CE$5&gt;='Economic Assumptions'!$B13+'Economic Assumptions'!$G13+'Project Assumptions'!$D$15+'Project Assumptions'!$D$16,'Economic Assumptions'!$C13*'Economic Assumptions'!$D13/12,0)</f>
        <v/>
      </c>
      <c r="CF130" s="301">
        <f>IF(CF$5&gt;='Economic Assumptions'!$B13+'Economic Assumptions'!$G13+'Project Assumptions'!$D$15+'Project Assumptions'!$D$16,'Economic Assumptions'!$C13*'Economic Assumptions'!$D13/12,0)</f>
        <v/>
      </c>
      <c r="CG130" s="301">
        <f>IF(CG$5&gt;='Economic Assumptions'!$B13+'Economic Assumptions'!$G13+'Project Assumptions'!$D$15+'Project Assumptions'!$D$16,'Economic Assumptions'!$C13*'Economic Assumptions'!$D13/12,0)</f>
        <v/>
      </c>
      <c r="CH130" s="301">
        <f>IF(CH$5&gt;='Economic Assumptions'!$B13+'Economic Assumptions'!$G13+'Project Assumptions'!$D$15+'Project Assumptions'!$D$16,'Economic Assumptions'!$C13*'Economic Assumptions'!$D13/12,0)</f>
        <v/>
      </c>
      <c r="CI130" s="301">
        <f>IF(CI$5&gt;='Economic Assumptions'!$B13+'Economic Assumptions'!$G13+'Project Assumptions'!$D$15+'Project Assumptions'!$D$16,'Economic Assumptions'!$C13*'Economic Assumptions'!$D13/12,0)</f>
        <v/>
      </c>
      <c r="CJ130" s="301">
        <f>IF(CJ$5&gt;='Economic Assumptions'!$B13+'Economic Assumptions'!$G13+'Project Assumptions'!$D$15+'Project Assumptions'!$D$16,'Economic Assumptions'!$C13*'Economic Assumptions'!$D13/12,0)</f>
        <v/>
      </c>
      <c r="CK130" s="301">
        <f>IF(CK$5&gt;='Economic Assumptions'!$B13+'Economic Assumptions'!$G13+'Project Assumptions'!$D$15+'Project Assumptions'!$D$16,'Economic Assumptions'!$C13*'Economic Assumptions'!$D13/12,0)</f>
        <v/>
      </c>
      <c r="CL130" s="301">
        <f>IF(CL$5&gt;='Economic Assumptions'!$B13+'Economic Assumptions'!$G13+'Project Assumptions'!$D$15+'Project Assumptions'!$D$16,'Economic Assumptions'!$C13*'Economic Assumptions'!$D13/12,0)</f>
        <v/>
      </c>
      <c r="CM130" s="301">
        <f>IF(CM$5&gt;='Economic Assumptions'!$B13+'Economic Assumptions'!$G13+'Project Assumptions'!$D$15+'Project Assumptions'!$D$16,'Economic Assumptions'!$C13*'Economic Assumptions'!$D13/12,0)</f>
        <v/>
      </c>
      <c r="CN130" s="301">
        <f>IF(CN$5&gt;='Economic Assumptions'!$B13+'Economic Assumptions'!$G13+'Project Assumptions'!$D$15+'Project Assumptions'!$D$16,'Economic Assumptions'!$C13*'Economic Assumptions'!$D13/12,0)</f>
        <v/>
      </c>
      <c r="CO130" s="301">
        <f>IF(CO$5&gt;='Economic Assumptions'!$B13+'Economic Assumptions'!$G13+'Project Assumptions'!$D$15+'Project Assumptions'!$D$16,'Economic Assumptions'!$C13*'Economic Assumptions'!$D13/12,0)</f>
        <v/>
      </c>
      <c r="CP130" s="301">
        <f>IF(CP$5&gt;='Economic Assumptions'!$B13+'Economic Assumptions'!$G13+'Project Assumptions'!$D$15+'Project Assumptions'!$D$16,'Economic Assumptions'!$C13*'Economic Assumptions'!$D13/12,0)</f>
        <v/>
      </c>
      <c r="CQ130" s="301">
        <f>IF(CQ$5&gt;='Economic Assumptions'!$B13+'Economic Assumptions'!$G13+'Project Assumptions'!$D$15+'Project Assumptions'!$D$16,'Economic Assumptions'!$C13*'Economic Assumptions'!$D13/12,0)</f>
        <v/>
      </c>
      <c r="CR130" s="301">
        <f>IF(CR$5&gt;='Economic Assumptions'!$B13+'Economic Assumptions'!$G13+'Project Assumptions'!$D$15+'Project Assumptions'!$D$16,'Economic Assumptions'!$C13*'Economic Assumptions'!$D13/12,0)</f>
        <v/>
      </c>
      <c r="CS130" s="301">
        <f>IF(CS$5&gt;='Economic Assumptions'!$B13+'Economic Assumptions'!$G13+'Project Assumptions'!$D$15+'Project Assumptions'!$D$16,'Economic Assumptions'!$C13*'Economic Assumptions'!$D13/12,0)</f>
        <v/>
      </c>
      <c r="CT130" s="301">
        <f>IF(CT$5&gt;='Economic Assumptions'!$B13+'Economic Assumptions'!$G13+'Project Assumptions'!$D$15+'Project Assumptions'!$D$16,'Economic Assumptions'!$C13*'Economic Assumptions'!$D13/12,0)</f>
        <v/>
      </c>
      <c r="CU130" s="301">
        <f>IF(CU$5&gt;='Economic Assumptions'!$B13+'Economic Assumptions'!$G13+'Project Assumptions'!$D$15+'Project Assumptions'!$D$16,'Economic Assumptions'!$C13*'Economic Assumptions'!$D13/12,0)</f>
        <v/>
      </c>
      <c r="CV130" s="301">
        <f>IF(CV$5&gt;='Economic Assumptions'!$B13+'Economic Assumptions'!$G13+'Project Assumptions'!$D$15+'Project Assumptions'!$D$16,'Economic Assumptions'!$C13*'Economic Assumptions'!$D13/12,0)</f>
        <v/>
      </c>
      <c r="CW130" s="301">
        <f>IF(CW$5&gt;='Economic Assumptions'!$B13+'Economic Assumptions'!$G13+'Project Assumptions'!$D$15+'Project Assumptions'!$D$16,'Economic Assumptions'!$C13*'Economic Assumptions'!$D13/12,0)</f>
        <v/>
      </c>
      <c r="CX130" s="301">
        <f>IF(CX$5&gt;='Economic Assumptions'!$B13+'Economic Assumptions'!$G13+'Project Assumptions'!$D$15+'Project Assumptions'!$D$16,'Economic Assumptions'!$C13*'Economic Assumptions'!$D13/12,0)</f>
        <v/>
      </c>
      <c r="CY130" s="301">
        <f>IF(CY$5&gt;='Economic Assumptions'!$B13+'Economic Assumptions'!$G13+'Project Assumptions'!$D$15+'Project Assumptions'!$D$16,'Economic Assumptions'!$C13*'Economic Assumptions'!$D13/12,0)</f>
        <v/>
      </c>
      <c r="CZ130" s="301">
        <f>IF(CZ$5&gt;='Economic Assumptions'!$B13+'Economic Assumptions'!$G13+'Project Assumptions'!$D$15+'Project Assumptions'!$D$16,'Economic Assumptions'!$C13*'Economic Assumptions'!$D13/12,0)</f>
        <v/>
      </c>
      <c r="DA130" s="301">
        <f>IF(DA$5&gt;='Economic Assumptions'!$B13+'Economic Assumptions'!$G13+'Project Assumptions'!$D$15+'Project Assumptions'!$D$16,'Economic Assumptions'!$C13*'Economic Assumptions'!$D13/12,0)</f>
        <v/>
      </c>
      <c r="DB130" s="301">
        <f>IF(DB$5&gt;='Economic Assumptions'!$B13+'Economic Assumptions'!$G13+'Project Assumptions'!$D$15+'Project Assumptions'!$D$16,'Economic Assumptions'!$C13*'Economic Assumptions'!$D13/12,0)</f>
        <v/>
      </c>
      <c r="DC130" s="301" t="n"/>
      <c r="DD130" s="299" t="n"/>
    </row>
    <row r="131" hidden="1" outlineLevel="1">
      <c r="A131" s="1000" t="n"/>
      <c r="B131" s="315" t="inlineStr">
        <is>
          <t>Lease #5</t>
        </is>
      </c>
      <c r="C131" s="294" t="n"/>
      <c r="D131" s="299">
        <f>DD131</f>
        <v/>
      </c>
      <c r="E131" s="300" t="n"/>
      <c r="F131" s="301" t="n"/>
      <c r="G131" s="301">
        <f>IF(G$5&gt;='Economic Assumptions'!$B14+'Economic Assumptions'!$G14+'Project Assumptions'!$D$15+'Project Assumptions'!$D$16,'Economic Assumptions'!$C14*'Economic Assumptions'!$D14/12,0)</f>
        <v/>
      </c>
      <c r="H131" s="301">
        <f>IF(H$5&gt;='Economic Assumptions'!$B14+'Economic Assumptions'!$G14+'Project Assumptions'!$D$15+'Project Assumptions'!$D$16,'Economic Assumptions'!$C14*'Economic Assumptions'!$D14/12,0)</f>
        <v/>
      </c>
      <c r="I131" s="301">
        <f>IF(I$5&gt;='Economic Assumptions'!$B14+'Economic Assumptions'!$G14+'Project Assumptions'!$D$15+'Project Assumptions'!$D$16,'Economic Assumptions'!$C14*'Economic Assumptions'!$D14/12,0)</f>
        <v/>
      </c>
      <c r="J131" s="301">
        <f>IF(J$5&gt;='Economic Assumptions'!$B14+'Economic Assumptions'!$G14+'Project Assumptions'!$D$15+'Project Assumptions'!$D$16,'Economic Assumptions'!$C14*'Economic Assumptions'!$D14/12,0)</f>
        <v/>
      </c>
      <c r="K131" s="301">
        <f>IF(K$5&gt;='Economic Assumptions'!$B14+'Economic Assumptions'!$G14+'Project Assumptions'!$D$15+'Project Assumptions'!$D$16,'Economic Assumptions'!$C14*'Economic Assumptions'!$D14/12,0)</f>
        <v/>
      </c>
      <c r="L131" s="301">
        <f>IF(L$5&gt;='Economic Assumptions'!$B14+'Economic Assumptions'!$G14+'Project Assumptions'!$D$15+'Project Assumptions'!$D$16,'Economic Assumptions'!$C14*'Economic Assumptions'!$D14/12,0)</f>
        <v/>
      </c>
      <c r="M131" s="301">
        <f>IF(M$5&gt;='Economic Assumptions'!$B14+'Economic Assumptions'!$G14+'Project Assumptions'!$D$15+'Project Assumptions'!$D$16,'Economic Assumptions'!$C14*'Economic Assumptions'!$D14/12,0)</f>
        <v/>
      </c>
      <c r="N131" s="301">
        <f>IF(N$5&gt;='Economic Assumptions'!$B14+'Economic Assumptions'!$G14+'Project Assumptions'!$D$15+'Project Assumptions'!$D$16,'Economic Assumptions'!$C14*'Economic Assumptions'!$D14/12,0)</f>
        <v/>
      </c>
      <c r="O131" s="301">
        <f>IF(O$5&gt;='Economic Assumptions'!$B14+'Economic Assumptions'!$G14+'Project Assumptions'!$D$15+'Project Assumptions'!$D$16,'Economic Assumptions'!$C14*'Economic Assumptions'!$D14/12,0)</f>
        <v/>
      </c>
      <c r="P131" s="301">
        <f>IF(P$5&gt;='Economic Assumptions'!$B14+'Economic Assumptions'!$G14+'Project Assumptions'!$D$15+'Project Assumptions'!$D$16,'Economic Assumptions'!$C14*'Economic Assumptions'!$D14/12,0)</f>
        <v/>
      </c>
      <c r="Q131" s="301">
        <f>IF(Q$5&gt;='Economic Assumptions'!$B14+'Economic Assumptions'!$G14+'Project Assumptions'!$D$15+'Project Assumptions'!$D$16,'Economic Assumptions'!$C14*'Economic Assumptions'!$D14/12,0)</f>
        <v/>
      </c>
      <c r="R131" s="301">
        <f>IF(R$5&gt;='Economic Assumptions'!$B14+'Economic Assumptions'!$G14+'Project Assumptions'!$D$15+'Project Assumptions'!$D$16,'Economic Assumptions'!$C14*'Economic Assumptions'!$D14/12,0)</f>
        <v/>
      </c>
      <c r="S131" s="301">
        <f>IF(S$5&gt;='Economic Assumptions'!$B14+'Economic Assumptions'!$G14+'Project Assumptions'!$D$15+'Project Assumptions'!$D$16,'Economic Assumptions'!$C14*'Economic Assumptions'!$D14/12,0)</f>
        <v/>
      </c>
      <c r="T131" s="301">
        <f>IF(T$5&gt;='Economic Assumptions'!$B14+'Economic Assumptions'!$G14+'Project Assumptions'!$D$15+'Project Assumptions'!$D$16,'Economic Assumptions'!$C14*'Economic Assumptions'!$D14/12,0)</f>
        <v/>
      </c>
      <c r="U131" s="301">
        <f>IF(U$5&gt;='Economic Assumptions'!$B14+'Economic Assumptions'!$G14+'Project Assumptions'!$D$15+'Project Assumptions'!$D$16,'Economic Assumptions'!$C14*'Economic Assumptions'!$D14/12,0)</f>
        <v/>
      </c>
      <c r="V131" s="301">
        <f>IF(V$5&gt;='Economic Assumptions'!$B14+'Economic Assumptions'!$G14+'Project Assumptions'!$D$15+'Project Assumptions'!$D$16,'Economic Assumptions'!$C14*'Economic Assumptions'!$D14/12,0)</f>
        <v/>
      </c>
      <c r="W131" s="301">
        <f>IF(W$5&gt;='Economic Assumptions'!$B14+'Economic Assumptions'!$G14+'Project Assumptions'!$D$15+'Project Assumptions'!$D$16,'Economic Assumptions'!$C14*'Economic Assumptions'!$D14/12,0)</f>
        <v/>
      </c>
      <c r="X131" s="301">
        <f>IF(X$5&gt;='Economic Assumptions'!$B14+'Economic Assumptions'!$G14+'Project Assumptions'!$D$15+'Project Assumptions'!$D$16,'Economic Assumptions'!$C14*'Economic Assumptions'!$D14/12,0)</f>
        <v/>
      </c>
      <c r="Y131" s="301">
        <f>IF(Y$5&gt;='Economic Assumptions'!$B14+'Economic Assumptions'!$G14+'Project Assumptions'!$D$15+'Project Assumptions'!$D$16,'Economic Assumptions'!$C14*'Economic Assumptions'!$D14/12,0)</f>
        <v/>
      </c>
      <c r="Z131" s="301">
        <f>IF(Z$5&gt;='Economic Assumptions'!$B14+'Economic Assumptions'!$G14+'Project Assumptions'!$D$15+'Project Assumptions'!$D$16,'Economic Assumptions'!$C14*'Economic Assumptions'!$D14/12,0)</f>
        <v/>
      </c>
      <c r="AA131" s="301">
        <f>IF(AA$5&gt;='Economic Assumptions'!$B14+'Economic Assumptions'!$G14+'Project Assumptions'!$D$15+'Project Assumptions'!$D$16,'Economic Assumptions'!$C14*'Economic Assumptions'!$D14/12,0)</f>
        <v/>
      </c>
      <c r="AB131" s="301">
        <f>IF(AB$5&gt;='Economic Assumptions'!$B14+'Economic Assumptions'!$G14+'Project Assumptions'!$D$15+'Project Assumptions'!$D$16,'Economic Assumptions'!$C14*'Economic Assumptions'!$D14/12,0)</f>
        <v/>
      </c>
      <c r="AC131" s="301">
        <f>IF(AC$5&gt;='Economic Assumptions'!$B14+'Economic Assumptions'!$G14+'Project Assumptions'!$D$15+'Project Assumptions'!$D$16,'Economic Assumptions'!$C14*'Economic Assumptions'!$D14/12,0)</f>
        <v/>
      </c>
      <c r="AD131" s="301">
        <f>IF(AD$5&gt;='Economic Assumptions'!$B14+'Economic Assumptions'!$G14+'Project Assumptions'!$D$15+'Project Assumptions'!$D$16,'Economic Assumptions'!$C14*'Economic Assumptions'!$D14/12,0)</f>
        <v/>
      </c>
      <c r="AE131" s="301">
        <f>IF(AE$5&gt;='Economic Assumptions'!$B14+'Economic Assumptions'!$G14+'Project Assumptions'!$D$15+'Project Assumptions'!$D$16,'Economic Assumptions'!$C14*'Economic Assumptions'!$D14/12,0)</f>
        <v/>
      </c>
      <c r="AF131" s="301">
        <f>IF(AF$5&gt;='Economic Assumptions'!$B14+'Economic Assumptions'!$G14+'Project Assumptions'!$D$15+'Project Assumptions'!$D$16,'Economic Assumptions'!$C14*'Economic Assumptions'!$D14/12,0)</f>
        <v/>
      </c>
      <c r="AG131" s="301">
        <f>IF(AG$5&gt;='Economic Assumptions'!$B14+'Economic Assumptions'!$G14+'Project Assumptions'!$D$15+'Project Assumptions'!$D$16,'Economic Assumptions'!$C14*'Economic Assumptions'!$D14/12,0)</f>
        <v/>
      </c>
      <c r="AH131" s="301">
        <f>IF(AH$5&gt;='Economic Assumptions'!$B14+'Economic Assumptions'!$G14+'Project Assumptions'!$D$15+'Project Assumptions'!$D$16,'Economic Assumptions'!$C14*'Economic Assumptions'!$D14/12,0)</f>
        <v/>
      </c>
      <c r="AI131" s="301">
        <f>IF(AI$5&gt;='Economic Assumptions'!$B14+'Economic Assumptions'!$G14+'Project Assumptions'!$D$15+'Project Assumptions'!$D$16,'Economic Assumptions'!$C14*'Economic Assumptions'!$D14/12,0)</f>
        <v/>
      </c>
      <c r="AJ131" s="301">
        <f>IF(AJ$5&gt;='Economic Assumptions'!$B14+'Economic Assumptions'!$G14+'Project Assumptions'!$D$15+'Project Assumptions'!$D$16,'Economic Assumptions'!$C14*'Economic Assumptions'!$D14/12,0)</f>
        <v/>
      </c>
      <c r="AK131" s="301">
        <f>IF(AK$5&gt;='Economic Assumptions'!$B14+'Economic Assumptions'!$G14+'Project Assumptions'!$D$15+'Project Assumptions'!$D$16,'Economic Assumptions'!$C14*'Economic Assumptions'!$D14/12,0)</f>
        <v/>
      </c>
      <c r="AL131" s="301">
        <f>IF(AL$5&gt;='Economic Assumptions'!$B14+'Economic Assumptions'!$G14+'Project Assumptions'!$D$15+'Project Assumptions'!$D$16,'Economic Assumptions'!$C14*'Economic Assumptions'!$D14/12,0)</f>
        <v/>
      </c>
      <c r="AM131" s="301">
        <f>IF(AM$5&gt;='Economic Assumptions'!$B14+'Economic Assumptions'!$G14+'Project Assumptions'!$D$15+'Project Assumptions'!$D$16,'Economic Assumptions'!$C14*'Economic Assumptions'!$D14/12,0)</f>
        <v/>
      </c>
      <c r="AN131" s="301">
        <f>IF(AN$5&gt;='Economic Assumptions'!$B14+'Economic Assumptions'!$G14+'Project Assumptions'!$D$15+'Project Assumptions'!$D$16,'Economic Assumptions'!$C14*'Economic Assumptions'!$D14/12,0)</f>
        <v/>
      </c>
      <c r="AO131" s="301">
        <f>IF(AO$5&gt;='Economic Assumptions'!$B14+'Economic Assumptions'!$G14+'Project Assumptions'!$D$15+'Project Assumptions'!$D$16,'Economic Assumptions'!$C14*'Economic Assumptions'!$D14/12,0)</f>
        <v/>
      </c>
      <c r="AP131" s="301">
        <f>IF(AP$5&gt;='Economic Assumptions'!$B14+'Economic Assumptions'!$G14+'Project Assumptions'!$D$15+'Project Assumptions'!$D$16,'Economic Assumptions'!$C14*'Economic Assumptions'!$D14/12,0)</f>
        <v/>
      </c>
      <c r="AQ131" s="301">
        <f>IF(AQ$5&gt;='Economic Assumptions'!$B14+'Economic Assumptions'!$G14+'Project Assumptions'!$D$15+'Project Assumptions'!$D$16,'Economic Assumptions'!$C14*'Economic Assumptions'!$D14/12,0)</f>
        <v/>
      </c>
      <c r="AR131" s="301">
        <f>IF(AR$5&gt;='Economic Assumptions'!$B14+'Economic Assumptions'!$G14+'Project Assumptions'!$D$15+'Project Assumptions'!$D$16,'Economic Assumptions'!$C14*'Economic Assumptions'!$D14/12,0)</f>
        <v/>
      </c>
      <c r="AS131" s="301">
        <f>IF(AS$5&gt;='Economic Assumptions'!$B14+'Economic Assumptions'!$G14+'Project Assumptions'!$D$15+'Project Assumptions'!$D$16,'Economic Assumptions'!$C14*'Economic Assumptions'!$D14/12,0)</f>
        <v/>
      </c>
      <c r="AT131" s="301">
        <f>IF(AT$5&gt;='Economic Assumptions'!$B14+'Economic Assumptions'!$G14+'Project Assumptions'!$D$15+'Project Assumptions'!$D$16,'Economic Assumptions'!$C14*'Economic Assumptions'!$D14/12,0)</f>
        <v/>
      </c>
      <c r="AU131" s="301">
        <f>IF(AU$5&gt;='Economic Assumptions'!$B14+'Economic Assumptions'!$G14+'Project Assumptions'!$D$15+'Project Assumptions'!$D$16,'Economic Assumptions'!$C14*'Economic Assumptions'!$D14/12,0)</f>
        <v/>
      </c>
      <c r="AV131" s="301">
        <f>IF(AV$5&gt;='Economic Assumptions'!$B14+'Economic Assumptions'!$G14+'Project Assumptions'!$D$15+'Project Assumptions'!$D$16,'Economic Assumptions'!$C14*'Economic Assumptions'!$D14/12,0)</f>
        <v/>
      </c>
      <c r="AW131" s="301">
        <f>IF(AW$5&gt;='Economic Assumptions'!$B14+'Economic Assumptions'!$G14+'Project Assumptions'!$D$15+'Project Assumptions'!$D$16,'Economic Assumptions'!$C14*'Economic Assumptions'!$D14/12,0)</f>
        <v/>
      </c>
      <c r="AX131" s="301">
        <f>IF(AX$5&gt;='Economic Assumptions'!$B14+'Economic Assumptions'!$G14+'Project Assumptions'!$D$15+'Project Assumptions'!$D$16,'Economic Assumptions'!$C14*'Economic Assumptions'!$D14/12,0)</f>
        <v/>
      </c>
      <c r="AY131" s="301">
        <f>IF(AY$5&gt;='Economic Assumptions'!$B14+'Economic Assumptions'!$G14+'Project Assumptions'!$D$15+'Project Assumptions'!$D$16,'Economic Assumptions'!$C14*'Economic Assumptions'!$D14/12,0)</f>
        <v/>
      </c>
      <c r="AZ131" s="301">
        <f>IF(AZ$5&gt;='Economic Assumptions'!$B14+'Economic Assumptions'!$G14+'Project Assumptions'!$D$15+'Project Assumptions'!$D$16,'Economic Assumptions'!$C14*'Economic Assumptions'!$D14/12,0)</f>
        <v/>
      </c>
      <c r="BA131" s="301">
        <f>IF(BA$5&gt;='Economic Assumptions'!$B14+'Economic Assumptions'!$G14+'Project Assumptions'!$D$15+'Project Assumptions'!$D$16,'Economic Assumptions'!$C14*'Economic Assumptions'!$D14/12,0)</f>
        <v/>
      </c>
      <c r="BB131" s="301">
        <f>IF(BB$5&gt;='Economic Assumptions'!$B14+'Economic Assumptions'!$G14+'Project Assumptions'!$D$15+'Project Assumptions'!$D$16,'Economic Assumptions'!$C14*'Economic Assumptions'!$D14/12,0)</f>
        <v/>
      </c>
      <c r="BC131" s="301">
        <f>IF(BC$5&gt;='Economic Assumptions'!$B14+'Economic Assumptions'!$G14+'Project Assumptions'!$D$15+'Project Assumptions'!$D$16,'Economic Assumptions'!$C14*'Economic Assumptions'!$D14/12,0)</f>
        <v/>
      </c>
      <c r="BD131" s="301">
        <f>IF(BD$5&gt;='Economic Assumptions'!$B14+'Economic Assumptions'!$G14+'Project Assumptions'!$D$15+'Project Assumptions'!$D$16,'Economic Assumptions'!$C14*'Economic Assumptions'!$D14/12,0)</f>
        <v/>
      </c>
      <c r="BE131" s="301">
        <f>IF(BE$5&gt;='Economic Assumptions'!$B14+'Economic Assumptions'!$G14+'Project Assumptions'!$D$15+'Project Assumptions'!$D$16,'Economic Assumptions'!$C14*'Economic Assumptions'!$D14/12,0)</f>
        <v/>
      </c>
      <c r="BF131" s="301">
        <f>IF(BF$5&gt;='Economic Assumptions'!$B14+'Economic Assumptions'!$G14+'Project Assumptions'!$D$15+'Project Assumptions'!$D$16,'Economic Assumptions'!$C14*'Economic Assumptions'!$D14/12,0)</f>
        <v/>
      </c>
      <c r="BG131" s="301">
        <f>IF(BG$5&gt;='Economic Assumptions'!$B14+'Economic Assumptions'!$G14+'Project Assumptions'!$D$15+'Project Assumptions'!$D$16,'Economic Assumptions'!$C14*'Economic Assumptions'!$D14/12,0)</f>
        <v/>
      </c>
      <c r="BH131" s="301">
        <f>IF(BH$5&gt;='Economic Assumptions'!$B14+'Economic Assumptions'!$G14+'Project Assumptions'!$D$15+'Project Assumptions'!$D$16,'Economic Assumptions'!$C14*'Economic Assumptions'!$D14/12,0)</f>
        <v/>
      </c>
      <c r="BI131" s="301">
        <f>IF(BI$5&gt;='Economic Assumptions'!$B14+'Economic Assumptions'!$G14+'Project Assumptions'!$D$15+'Project Assumptions'!$D$16,'Economic Assumptions'!$C14*'Economic Assumptions'!$D14/12,0)</f>
        <v/>
      </c>
      <c r="BJ131" s="301">
        <f>IF(BJ$5&gt;='Economic Assumptions'!$B14+'Economic Assumptions'!$G14+'Project Assumptions'!$D$15+'Project Assumptions'!$D$16,'Economic Assumptions'!$C14*'Economic Assumptions'!$D14/12,0)</f>
        <v/>
      </c>
      <c r="BK131" s="301">
        <f>IF(BK$5&gt;='Economic Assumptions'!$B14+'Economic Assumptions'!$G14+'Project Assumptions'!$D$15+'Project Assumptions'!$D$16,'Economic Assumptions'!$C14*'Economic Assumptions'!$D14/12,0)</f>
        <v/>
      </c>
      <c r="BL131" s="301">
        <f>IF(BL$5&gt;='Economic Assumptions'!$B14+'Economic Assumptions'!$G14+'Project Assumptions'!$D$15+'Project Assumptions'!$D$16,'Economic Assumptions'!$C14*'Economic Assumptions'!$D14/12,0)</f>
        <v/>
      </c>
      <c r="BM131" s="301">
        <f>IF(BM$5&gt;='Economic Assumptions'!$B14+'Economic Assumptions'!$G14+'Project Assumptions'!$D$15+'Project Assumptions'!$D$16,'Economic Assumptions'!$C14*'Economic Assumptions'!$D14/12,0)</f>
        <v/>
      </c>
      <c r="BN131" s="301">
        <f>IF(BN$5&gt;='Economic Assumptions'!$B14+'Economic Assumptions'!$G14+'Project Assumptions'!$D$15+'Project Assumptions'!$D$16,'Economic Assumptions'!$C14*'Economic Assumptions'!$D14/12,0)</f>
        <v/>
      </c>
      <c r="BO131" s="301">
        <f>IF(BO$5&gt;='Economic Assumptions'!$B14+'Economic Assumptions'!$G14+'Project Assumptions'!$D$15+'Project Assumptions'!$D$16,'Economic Assumptions'!$C14*'Economic Assumptions'!$D14/12,0)</f>
        <v/>
      </c>
      <c r="BP131" s="301">
        <f>IF(BP$5&gt;='Economic Assumptions'!$B14+'Economic Assumptions'!$G14+'Project Assumptions'!$D$15+'Project Assumptions'!$D$16,'Economic Assumptions'!$C14*'Economic Assumptions'!$D14/12,0)</f>
        <v/>
      </c>
      <c r="BQ131" s="301">
        <f>IF(BQ$5&gt;='Economic Assumptions'!$B14+'Economic Assumptions'!$G14+'Project Assumptions'!$D$15+'Project Assumptions'!$D$16,'Economic Assumptions'!$C14*'Economic Assumptions'!$D14/12,0)</f>
        <v/>
      </c>
      <c r="BR131" s="301">
        <f>IF(BR$5&gt;='Economic Assumptions'!$B14+'Economic Assumptions'!$G14+'Project Assumptions'!$D$15+'Project Assumptions'!$D$16,'Economic Assumptions'!$C14*'Economic Assumptions'!$D14/12,0)</f>
        <v/>
      </c>
      <c r="BS131" s="301">
        <f>IF(BS$5&gt;='Economic Assumptions'!$B14+'Economic Assumptions'!$G14+'Project Assumptions'!$D$15+'Project Assumptions'!$D$16,'Economic Assumptions'!$C14*'Economic Assumptions'!$D14/12,0)</f>
        <v/>
      </c>
      <c r="BT131" s="301">
        <f>IF(BT$5&gt;='Economic Assumptions'!$B14+'Economic Assumptions'!$G14+'Project Assumptions'!$D$15+'Project Assumptions'!$D$16,'Economic Assumptions'!$C14*'Economic Assumptions'!$D14/12,0)</f>
        <v/>
      </c>
      <c r="BU131" s="301">
        <f>IF(BU$5&gt;='Economic Assumptions'!$B14+'Economic Assumptions'!$G14+'Project Assumptions'!$D$15+'Project Assumptions'!$D$16,'Economic Assumptions'!$C14*'Economic Assumptions'!$D14/12,0)</f>
        <v/>
      </c>
      <c r="BV131" s="301">
        <f>IF(BV$5&gt;='Economic Assumptions'!$B14+'Economic Assumptions'!$G14+'Project Assumptions'!$D$15+'Project Assumptions'!$D$16,'Economic Assumptions'!$C14*'Economic Assumptions'!$D14/12,0)</f>
        <v/>
      </c>
      <c r="BW131" s="301">
        <f>IF(BW$5&gt;='Economic Assumptions'!$B14+'Economic Assumptions'!$G14+'Project Assumptions'!$D$15+'Project Assumptions'!$D$16,'Economic Assumptions'!$C14*'Economic Assumptions'!$D14/12,0)</f>
        <v/>
      </c>
      <c r="BX131" s="301">
        <f>IF(BX$5&gt;='Economic Assumptions'!$B14+'Economic Assumptions'!$G14+'Project Assumptions'!$D$15+'Project Assumptions'!$D$16,'Economic Assumptions'!$C14*'Economic Assumptions'!$D14/12,0)</f>
        <v/>
      </c>
      <c r="BY131" s="301">
        <f>IF(BY$5&gt;='Economic Assumptions'!$B14+'Economic Assumptions'!$G14+'Project Assumptions'!$D$15+'Project Assumptions'!$D$16,'Economic Assumptions'!$C14*'Economic Assumptions'!$D14/12,0)</f>
        <v/>
      </c>
      <c r="BZ131" s="301">
        <f>IF(BZ$5&gt;='Economic Assumptions'!$B14+'Economic Assumptions'!$G14+'Project Assumptions'!$D$15+'Project Assumptions'!$D$16,'Economic Assumptions'!$C14*'Economic Assumptions'!$D14/12,0)</f>
        <v/>
      </c>
      <c r="CA131" s="301">
        <f>IF(CA$5&gt;='Economic Assumptions'!$B14+'Economic Assumptions'!$G14+'Project Assumptions'!$D$15+'Project Assumptions'!$D$16,'Economic Assumptions'!$C14*'Economic Assumptions'!$D14/12,0)</f>
        <v/>
      </c>
      <c r="CB131" s="301">
        <f>IF(CB$5&gt;='Economic Assumptions'!$B14+'Economic Assumptions'!$G14+'Project Assumptions'!$D$15+'Project Assumptions'!$D$16,'Economic Assumptions'!$C14*'Economic Assumptions'!$D14/12,0)</f>
        <v/>
      </c>
      <c r="CC131" s="301">
        <f>IF(CC$5&gt;='Economic Assumptions'!$B14+'Economic Assumptions'!$G14+'Project Assumptions'!$D$15+'Project Assumptions'!$D$16,'Economic Assumptions'!$C14*'Economic Assumptions'!$D14/12,0)</f>
        <v/>
      </c>
      <c r="CD131" s="301">
        <f>IF(CD$5&gt;='Economic Assumptions'!$B14+'Economic Assumptions'!$G14+'Project Assumptions'!$D$15+'Project Assumptions'!$D$16,'Economic Assumptions'!$C14*'Economic Assumptions'!$D14/12,0)</f>
        <v/>
      </c>
      <c r="CE131" s="301">
        <f>IF(CE$5&gt;='Economic Assumptions'!$B14+'Economic Assumptions'!$G14+'Project Assumptions'!$D$15+'Project Assumptions'!$D$16,'Economic Assumptions'!$C14*'Economic Assumptions'!$D14/12,0)</f>
        <v/>
      </c>
      <c r="CF131" s="301">
        <f>IF(CF$5&gt;='Economic Assumptions'!$B14+'Economic Assumptions'!$G14+'Project Assumptions'!$D$15+'Project Assumptions'!$D$16,'Economic Assumptions'!$C14*'Economic Assumptions'!$D14/12,0)</f>
        <v/>
      </c>
      <c r="CG131" s="301">
        <f>IF(CG$5&gt;='Economic Assumptions'!$B14+'Economic Assumptions'!$G14+'Project Assumptions'!$D$15+'Project Assumptions'!$D$16,'Economic Assumptions'!$C14*'Economic Assumptions'!$D14/12,0)</f>
        <v/>
      </c>
      <c r="CH131" s="301">
        <f>IF(CH$5&gt;='Economic Assumptions'!$B14+'Economic Assumptions'!$G14+'Project Assumptions'!$D$15+'Project Assumptions'!$D$16,'Economic Assumptions'!$C14*'Economic Assumptions'!$D14/12,0)</f>
        <v/>
      </c>
      <c r="CI131" s="301">
        <f>IF(CI$5&gt;='Economic Assumptions'!$B14+'Economic Assumptions'!$G14+'Project Assumptions'!$D$15+'Project Assumptions'!$D$16,'Economic Assumptions'!$C14*'Economic Assumptions'!$D14/12,0)</f>
        <v/>
      </c>
      <c r="CJ131" s="301">
        <f>IF(CJ$5&gt;='Economic Assumptions'!$B14+'Economic Assumptions'!$G14+'Project Assumptions'!$D$15+'Project Assumptions'!$D$16,'Economic Assumptions'!$C14*'Economic Assumptions'!$D14/12,0)</f>
        <v/>
      </c>
      <c r="CK131" s="301">
        <f>IF(CK$5&gt;='Economic Assumptions'!$B14+'Economic Assumptions'!$G14+'Project Assumptions'!$D$15+'Project Assumptions'!$D$16,'Economic Assumptions'!$C14*'Economic Assumptions'!$D14/12,0)</f>
        <v/>
      </c>
      <c r="CL131" s="301">
        <f>IF(CL$5&gt;='Economic Assumptions'!$B14+'Economic Assumptions'!$G14+'Project Assumptions'!$D$15+'Project Assumptions'!$D$16,'Economic Assumptions'!$C14*'Economic Assumptions'!$D14/12,0)</f>
        <v/>
      </c>
      <c r="CM131" s="301">
        <f>IF(CM$5&gt;='Economic Assumptions'!$B14+'Economic Assumptions'!$G14+'Project Assumptions'!$D$15+'Project Assumptions'!$D$16,'Economic Assumptions'!$C14*'Economic Assumptions'!$D14/12,0)</f>
        <v/>
      </c>
      <c r="CN131" s="301">
        <f>IF(CN$5&gt;='Economic Assumptions'!$B14+'Economic Assumptions'!$G14+'Project Assumptions'!$D$15+'Project Assumptions'!$D$16,'Economic Assumptions'!$C14*'Economic Assumptions'!$D14/12,0)</f>
        <v/>
      </c>
      <c r="CO131" s="301">
        <f>IF(CO$5&gt;='Economic Assumptions'!$B14+'Economic Assumptions'!$G14+'Project Assumptions'!$D$15+'Project Assumptions'!$D$16,'Economic Assumptions'!$C14*'Economic Assumptions'!$D14/12,0)</f>
        <v/>
      </c>
      <c r="CP131" s="301">
        <f>IF(CP$5&gt;='Economic Assumptions'!$B14+'Economic Assumptions'!$G14+'Project Assumptions'!$D$15+'Project Assumptions'!$D$16,'Economic Assumptions'!$C14*'Economic Assumptions'!$D14/12,0)</f>
        <v/>
      </c>
      <c r="CQ131" s="301">
        <f>IF(CQ$5&gt;='Economic Assumptions'!$B14+'Economic Assumptions'!$G14+'Project Assumptions'!$D$15+'Project Assumptions'!$D$16,'Economic Assumptions'!$C14*'Economic Assumptions'!$D14/12,0)</f>
        <v/>
      </c>
      <c r="CR131" s="301">
        <f>IF(CR$5&gt;='Economic Assumptions'!$B14+'Economic Assumptions'!$G14+'Project Assumptions'!$D$15+'Project Assumptions'!$D$16,'Economic Assumptions'!$C14*'Economic Assumptions'!$D14/12,0)</f>
        <v/>
      </c>
      <c r="CS131" s="301">
        <f>IF(CS$5&gt;='Economic Assumptions'!$B14+'Economic Assumptions'!$G14+'Project Assumptions'!$D$15+'Project Assumptions'!$D$16,'Economic Assumptions'!$C14*'Economic Assumptions'!$D14/12,0)</f>
        <v/>
      </c>
      <c r="CT131" s="301">
        <f>IF(CT$5&gt;='Economic Assumptions'!$B14+'Economic Assumptions'!$G14+'Project Assumptions'!$D$15+'Project Assumptions'!$D$16,'Economic Assumptions'!$C14*'Economic Assumptions'!$D14/12,0)</f>
        <v/>
      </c>
      <c r="CU131" s="301">
        <f>IF(CU$5&gt;='Economic Assumptions'!$B14+'Economic Assumptions'!$G14+'Project Assumptions'!$D$15+'Project Assumptions'!$D$16,'Economic Assumptions'!$C14*'Economic Assumptions'!$D14/12,0)</f>
        <v/>
      </c>
      <c r="CV131" s="301">
        <f>IF(CV$5&gt;='Economic Assumptions'!$B14+'Economic Assumptions'!$G14+'Project Assumptions'!$D$15+'Project Assumptions'!$D$16,'Economic Assumptions'!$C14*'Economic Assumptions'!$D14/12,0)</f>
        <v/>
      </c>
      <c r="CW131" s="301">
        <f>IF(CW$5&gt;='Economic Assumptions'!$B14+'Economic Assumptions'!$G14+'Project Assumptions'!$D$15+'Project Assumptions'!$D$16,'Economic Assumptions'!$C14*'Economic Assumptions'!$D14/12,0)</f>
        <v/>
      </c>
      <c r="CX131" s="301">
        <f>IF(CX$5&gt;='Economic Assumptions'!$B14+'Economic Assumptions'!$G14+'Project Assumptions'!$D$15+'Project Assumptions'!$D$16,'Economic Assumptions'!$C14*'Economic Assumptions'!$D14/12,0)</f>
        <v/>
      </c>
      <c r="CY131" s="301">
        <f>IF(CY$5&gt;='Economic Assumptions'!$B14+'Economic Assumptions'!$G14+'Project Assumptions'!$D$15+'Project Assumptions'!$D$16,'Economic Assumptions'!$C14*'Economic Assumptions'!$D14/12,0)</f>
        <v/>
      </c>
      <c r="CZ131" s="301">
        <f>IF(CZ$5&gt;='Economic Assumptions'!$B14+'Economic Assumptions'!$G14+'Project Assumptions'!$D$15+'Project Assumptions'!$D$16,'Economic Assumptions'!$C14*'Economic Assumptions'!$D14/12,0)</f>
        <v/>
      </c>
      <c r="DA131" s="301">
        <f>IF(DA$5&gt;='Economic Assumptions'!$B14+'Economic Assumptions'!$G14+'Project Assumptions'!$D$15+'Project Assumptions'!$D$16,'Economic Assumptions'!$C14*'Economic Assumptions'!$D14/12,0)</f>
        <v/>
      </c>
      <c r="DB131" s="301">
        <f>IF(DB$5&gt;='Economic Assumptions'!$B14+'Economic Assumptions'!$G14+'Project Assumptions'!$D$15+'Project Assumptions'!$D$16,'Economic Assumptions'!$C14*'Economic Assumptions'!$D14/12,0)</f>
        <v/>
      </c>
      <c r="DC131" s="301" t="n"/>
      <c r="DD131" s="299" t="n"/>
    </row>
    <row r="132" hidden="1" outlineLevel="1">
      <c r="A132" s="1000" t="n"/>
      <c r="B132" s="315" t="inlineStr">
        <is>
          <t>Lease #6</t>
        </is>
      </c>
      <c r="C132" s="294" t="n"/>
      <c r="D132" s="299">
        <f>DD132</f>
        <v/>
      </c>
      <c r="E132" s="300" t="n"/>
      <c r="F132" s="301" t="n"/>
      <c r="G132" s="301">
        <f>IF(G$5&gt;='Economic Assumptions'!$B15+'Economic Assumptions'!$G15+'Project Assumptions'!$D$15+'Project Assumptions'!$D$16,'Economic Assumptions'!$C15*'Economic Assumptions'!$D15/12,0)</f>
        <v/>
      </c>
      <c r="H132" s="301">
        <f>IF(H$5&gt;='Economic Assumptions'!$B15+'Economic Assumptions'!$G15+'Project Assumptions'!$D$15+'Project Assumptions'!$D$16,'Economic Assumptions'!$C15*'Economic Assumptions'!$D15/12,0)</f>
        <v/>
      </c>
      <c r="I132" s="301">
        <f>IF(I$5&gt;='Economic Assumptions'!$B15+'Economic Assumptions'!$G15+'Project Assumptions'!$D$15+'Project Assumptions'!$D$16,'Economic Assumptions'!$C15*'Economic Assumptions'!$D15/12,0)</f>
        <v/>
      </c>
      <c r="J132" s="301">
        <f>IF(J$5&gt;='Economic Assumptions'!$B15+'Economic Assumptions'!$G15+'Project Assumptions'!$D$15+'Project Assumptions'!$D$16,'Economic Assumptions'!$C15*'Economic Assumptions'!$D15/12,0)</f>
        <v/>
      </c>
      <c r="K132" s="301">
        <f>IF(K$5&gt;='Economic Assumptions'!$B15+'Economic Assumptions'!$G15+'Project Assumptions'!$D$15+'Project Assumptions'!$D$16,'Economic Assumptions'!$C15*'Economic Assumptions'!$D15/12,0)</f>
        <v/>
      </c>
      <c r="L132" s="301">
        <f>IF(L$5&gt;='Economic Assumptions'!$B15+'Economic Assumptions'!$G15+'Project Assumptions'!$D$15+'Project Assumptions'!$D$16,'Economic Assumptions'!$C15*'Economic Assumptions'!$D15/12,0)</f>
        <v/>
      </c>
      <c r="M132" s="301">
        <f>IF(M$5&gt;='Economic Assumptions'!$B15+'Economic Assumptions'!$G15+'Project Assumptions'!$D$15+'Project Assumptions'!$D$16,'Economic Assumptions'!$C15*'Economic Assumptions'!$D15/12,0)</f>
        <v/>
      </c>
      <c r="N132" s="301">
        <f>IF(N$5&gt;='Economic Assumptions'!$B15+'Economic Assumptions'!$G15+'Project Assumptions'!$D$15+'Project Assumptions'!$D$16,'Economic Assumptions'!$C15*'Economic Assumptions'!$D15/12,0)</f>
        <v/>
      </c>
      <c r="O132" s="301">
        <f>IF(O$5&gt;='Economic Assumptions'!$B15+'Economic Assumptions'!$G15+'Project Assumptions'!$D$15+'Project Assumptions'!$D$16,'Economic Assumptions'!$C15*'Economic Assumptions'!$D15/12,0)</f>
        <v/>
      </c>
      <c r="P132" s="301">
        <f>IF(P$5&gt;='Economic Assumptions'!$B15+'Economic Assumptions'!$G15+'Project Assumptions'!$D$15+'Project Assumptions'!$D$16,'Economic Assumptions'!$C15*'Economic Assumptions'!$D15/12,0)</f>
        <v/>
      </c>
      <c r="Q132" s="301">
        <f>IF(Q$5&gt;='Economic Assumptions'!$B15+'Economic Assumptions'!$G15+'Project Assumptions'!$D$15+'Project Assumptions'!$D$16,'Economic Assumptions'!$C15*'Economic Assumptions'!$D15/12,0)</f>
        <v/>
      </c>
      <c r="R132" s="301">
        <f>IF(R$5&gt;='Economic Assumptions'!$B15+'Economic Assumptions'!$G15+'Project Assumptions'!$D$15+'Project Assumptions'!$D$16,'Economic Assumptions'!$C15*'Economic Assumptions'!$D15/12,0)</f>
        <v/>
      </c>
      <c r="S132" s="301">
        <f>IF(S$5&gt;='Economic Assumptions'!$B15+'Economic Assumptions'!$G15+'Project Assumptions'!$D$15+'Project Assumptions'!$D$16,'Economic Assumptions'!$C15*'Economic Assumptions'!$D15/12,0)</f>
        <v/>
      </c>
      <c r="T132" s="301">
        <f>IF(T$5&gt;='Economic Assumptions'!$B15+'Economic Assumptions'!$G15+'Project Assumptions'!$D$15+'Project Assumptions'!$D$16,'Economic Assumptions'!$C15*'Economic Assumptions'!$D15/12,0)</f>
        <v/>
      </c>
      <c r="U132" s="301">
        <f>IF(U$5&gt;='Economic Assumptions'!$B15+'Economic Assumptions'!$G15+'Project Assumptions'!$D$15+'Project Assumptions'!$D$16,'Economic Assumptions'!$C15*'Economic Assumptions'!$D15/12,0)</f>
        <v/>
      </c>
      <c r="V132" s="301">
        <f>IF(V$5&gt;='Economic Assumptions'!$B15+'Economic Assumptions'!$G15+'Project Assumptions'!$D$15+'Project Assumptions'!$D$16,'Economic Assumptions'!$C15*'Economic Assumptions'!$D15/12,0)</f>
        <v/>
      </c>
      <c r="W132" s="301">
        <f>IF(W$5&gt;='Economic Assumptions'!$B15+'Economic Assumptions'!$G15+'Project Assumptions'!$D$15+'Project Assumptions'!$D$16,'Economic Assumptions'!$C15*'Economic Assumptions'!$D15/12,0)</f>
        <v/>
      </c>
      <c r="X132" s="301">
        <f>IF(X$5&gt;='Economic Assumptions'!$B15+'Economic Assumptions'!$G15+'Project Assumptions'!$D$15+'Project Assumptions'!$D$16,'Economic Assumptions'!$C15*'Economic Assumptions'!$D15/12,0)</f>
        <v/>
      </c>
      <c r="Y132" s="301">
        <f>IF(Y$5&gt;='Economic Assumptions'!$B15+'Economic Assumptions'!$G15+'Project Assumptions'!$D$15+'Project Assumptions'!$D$16,'Economic Assumptions'!$C15*'Economic Assumptions'!$D15/12,0)</f>
        <v/>
      </c>
      <c r="Z132" s="301">
        <f>IF(Z$5&gt;='Economic Assumptions'!$B15+'Economic Assumptions'!$G15+'Project Assumptions'!$D$15+'Project Assumptions'!$D$16,'Economic Assumptions'!$C15*'Economic Assumptions'!$D15/12,0)</f>
        <v/>
      </c>
      <c r="AA132" s="301">
        <f>IF(AA$5&gt;='Economic Assumptions'!$B15+'Economic Assumptions'!$G15+'Project Assumptions'!$D$15+'Project Assumptions'!$D$16,'Economic Assumptions'!$C15*'Economic Assumptions'!$D15/12,0)</f>
        <v/>
      </c>
      <c r="AB132" s="301">
        <f>IF(AB$5&gt;='Economic Assumptions'!$B15+'Economic Assumptions'!$G15+'Project Assumptions'!$D$15+'Project Assumptions'!$D$16,'Economic Assumptions'!$C15*'Economic Assumptions'!$D15/12,0)</f>
        <v/>
      </c>
      <c r="AC132" s="301">
        <f>IF(AC$5&gt;='Economic Assumptions'!$B15+'Economic Assumptions'!$G15+'Project Assumptions'!$D$15+'Project Assumptions'!$D$16,'Economic Assumptions'!$C15*'Economic Assumptions'!$D15/12,0)</f>
        <v/>
      </c>
      <c r="AD132" s="301">
        <f>IF(AD$5&gt;='Economic Assumptions'!$B15+'Economic Assumptions'!$G15+'Project Assumptions'!$D$15+'Project Assumptions'!$D$16,'Economic Assumptions'!$C15*'Economic Assumptions'!$D15/12,0)</f>
        <v/>
      </c>
      <c r="AE132" s="301">
        <f>IF(AE$5&gt;='Economic Assumptions'!$B15+'Economic Assumptions'!$G15+'Project Assumptions'!$D$15+'Project Assumptions'!$D$16,'Economic Assumptions'!$C15*'Economic Assumptions'!$D15/12,0)</f>
        <v/>
      </c>
      <c r="AF132" s="301">
        <f>IF(AF$5&gt;='Economic Assumptions'!$B15+'Economic Assumptions'!$G15+'Project Assumptions'!$D$15+'Project Assumptions'!$D$16,'Economic Assumptions'!$C15*'Economic Assumptions'!$D15/12,0)</f>
        <v/>
      </c>
      <c r="AG132" s="301">
        <f>IF(AG$5&gt;='Economic Assumptions'!$B15+'Economic Assumptions'!$G15+'Project Assumptions'!$D$15+'Project Assumptions'!$D$16,'Economic Assumptions'!$C15*'Economic Assumptions'!$D15/12,0)</f>
        <v/>
      </c>
      <c r="AH132" s="301">
        <f>IF(AH$5&gt;='Economic Assumptions'!$B15+'Economic Assumptions'!$G15+'Project Assumptions'!$D$15+'Project Assumptions'!$D$16,'Economic Assumptions'!$C15*'Economic Assumptions'!$D15/12,0)</f>
        <v/>
      </c>
      <c r="AI132" s="301">
        <f>IF(AI$5&gt;='Economic Assumptions'!$B15+'Economic Assumptions'!$G15+'Project Assumptions'!$D$15+'Project Assumptions'!$D$16,'Economic Assumptions'!$C15*'Economic Assumptions'!$D15/12,0)</f>
        <v/>
      </c>
      <c r="AJ132" s="301">
        <f>IF(AJ$5&gt;='Economic Assumptions'!$B15+'Economic Assumptions'!$G15+'Project Assumptions'!$D$15+'Project Assumptions'!$D$16,'Economic Assumptions'!$C15*'Economic Assumptions'!$D15/12,0)</f>
        <v/>
      </c>
      <c r="AK132" s="301">
        <f>IF(AK$5&gt;='Economic Assumptions'!$B15+'Economic Assumptions'!$G15+'Project Assumptions'!$D$15+'Project Assumptions'!$D$16,'Economic Assumptions'!$C15*'Economic Assumptions'!$D15/12,0)</f>
        <v/>
      </c>
      <c r="AL132" s="301">
        <f>IF(AL$5&gt;='Economic Assumptions'!$B15+'Economic Assumptions'!$G15+'Project Assumptions'!$D$15+'Project Assumptions'!$D$16,'Economic Assumptions'!$C15*'Economic Assumptions'!$D15/12,0)</f>
        <v/>
      </c>
      <c r="AM132" s="301">
        <f>IF(AM$5&gt;='Economic Assumptions'!$B15+'Economic Assumptions'!$G15+'Project Assumptions'!$D$15+'Project Assumptions'!$D$16,'Economic Assumptions'!$C15*'Economic Assumptions'!$D15/12,0)</f>
        <v/>
      </c>
      <c r="AN132" s="301">
        <f>IF(AN$5&gt;='Economic Assumptions'!$B15+'Economic Assumptions'!$G15+'Project Assumptions'!$D$15+'Project Assumptions'!$D$16,'Economic Assumptions'!$C15*'Economic Assumptions'!$D15/12,0)</f>
        <v/>
      </c>
      <c r="AO132" s="301">
        <f>IF(AO$5&gt;='Economic Assumptions'!$B15+'Economic Assumptions'!$G15+'Project Assumptions'!$D$15+'Project Assumptions'!$D$16,'Economic Assumptions'!$C15*'Economic Assumptions'!$D15/12,0)</f>
        <v/>
      </c>
      <c r="AP132" s="301">
        <f>IF(AP$5&gt;='Economic Assumptions'!$B15+'Economic Assumptions'!$G15+'Project Assumptions'!$D$15+'Project Assumptions'!$D$16,'Economic Assumptions'!$C15*'Economic Assumptions'!$D15/12,0)</f>
        <v/>
      </c>
      <c r="AQ132" s="301">
        <f>IF(AQ$5&gt;='Economic Assumptions'!$B15+'Economic Assumptions'!$G15+'Project Assumptions'!$D$15+'Project Assumptions'!$D$16,'Economic Assumptions'!$C15*'Economic Assumptions'!$D15/12,0)</f>
        <v/>
      </c>
      <c r="AR132" s="301">
        <f>IF(AR$5&gt;='Economic Assumptions'!$B15+'Economic Assumptions'!$G15+'Project Assumptions'!$D$15+'Project Assumptions'!$D$16,'Economic Assumptions'!$C15*'Economic Assumptions'!$D15/12,0)</f>
        <v/>
      </c>
      <c r="AS132" s="301">
        <f>IF(AS$5&gt;='Economic Assumptions'!$B15+'Economic Assumptions'!$G15+'Project Assumptions'!$D$15+'Project Assumptions'!$D$16,'Economic Assumptions'!$C15*'Economic Assumptions'!$D15/12,0)</f>
        <v/>
      </c>
      <c r="AT132" s="301">
        <f>IF(AT$5&gt;='Economic Assumptions'!$B15+'Economic Assumptions'!$G15+'Project Assumptions'!$D$15+'Project Assumptions'!$D$16,'Economic Assumptions'!$C15*'Economic Assumptions'!$D15/12,0)</f>
        <v/>
      </c>
      <c r="AU132" s="301">
        <f>IF(AU$5&gt;='Economic Assumptions'!$B15+'Economic Assumptions'!$G15+'Project Assumptions'!$D$15+'Project Assumptions'!$D$16,'Economic Assumptions'!$C15*'Economic Assumptions'!$D15/12,0)</f>
        <v/>
      </c>
      <c r="AV132" s="301">
        <f>IF(AV$5&gt;='Economic Assumptions'!$B15+'Economic Assumptions'!$G15+'Project Assumptions'!$D$15+'Project Assumptions'!$D$16,'Economic Assumptions'!$C15*'Economic Assumptions'!$D15/12,0)</f>
        <v/>
      </c>
      <c r="AW132" s="301">
        <f>IF(AW$5&gt;='Economic Assumptions'!$B15+'Economic Assumptions'!$G15+'Project Assumptions'!$D$15+'Project Assumptions'!$D$16,'Economic Assumptions'!$C15*'Economic Assumptions'!$D15/12,0)</f>
        <v/>
      </c>
      <c r="AX132" s="301">
        <f>IF(AX$5&gt;='Economic Assumptions'!$B15+'Economic Assumptions'!$G15+'Project Assumptions'!$D$15+'Project Assumptions'!$D$16,'Economic Assumptions'!$C15*'Economic Assumptions'!$D15/12,0)</f>
        <v/>
      </c>
      <c r="AY132" s="301">
        <f>IF(AY$5&gt;='Economic Assumptions'!$B15+'Economic Assumptions'!$G15+'Project Assumptions'!$D$15+'Project Assumptions'!$D$16,'Economic Assumptions'!$C15*'Economic Assumptions'!$D15/12,0)</f>
        <v/>
      </c>
      <c r="AZ132" s="301">
        <f>IF(AZ$5&gt;='Economic Assumptions'!$B15+'Economic Assumptions'!$G15+'Project Assumptions'!$D$15+'Project Assumptions'!$D$16,'Economic Assumptions'!$C15*'Economic Assumptions'!$D15/12,0)</f>
        <v/>
      </c>
      <c r="BA132" s="301">
        <f>IF(BA$5&gt;='Economic Assumptions'!$B15+'Economic Assumptions'!$G15+'Project Assumptions'!$D$15+'Project Assumptions'!$D$16,'Economic Assumptions'!$C15*'Economic Assumptions'!$D15/12,0)</f>
        <v/>
      </c>
      <c r="BB132" s="301">
        <f>IF(BB$5&gt;='Economic Assumptions'!$B15+'Economic Assumptions'!$G15+'Project Assumptions'!$D$15+'Project Assumptions'!$D$16,'Economic Assumptions'!$C15*'Economic Assumptions'!$D15/12,0)</f>
        <v/>
      </c>
      <c r="BC132" s="301">
        <f>IF(BC$5&gt;='Economic Assumptions'!$B15+'Economic Assumptions'!$G15+'Project Assumptions'!$D$15+'Project Assumptions'!$D$16,'Economic Assumptions'!$C15*'Economic Assumptions'!$D15/12,0)</f>
        <v/>
      </c>
      <c r="BD132" s="301">
        <f>IF(BD$5&gt;='Economic Assumptions'!$B15+'Economic Assumptions'!$G15+'Project Assumptions'!$D$15+'Project Assumptions'!$D$16,'Economic Assumptions'!$C15*'Economic Assumptions'!$D15/12,0)</f>
        <v/>
      </c>
      <c r="BE132" s="301">
        <f>IF(BE$5&gt;='Economic Assumptions'!$B15+'Economic Assumptions'!$G15+'Project Assumptions'!$D$15+'Project Assumptions'!$D$16,'Economic Assumptions'!$C15*'Economic Assumptions'!$D15/12,0)</f>
        <v/>
      </c>
      <c r="BF132" s="301">
        <f>IF(BF$5&gt;='Economic Assumptions'!$B15+'Economic Assumptions'!$G15+'Project Assumptions'!$D$15+'Project Assumptions'!$D$16,'Economic Assumptions'!$C15*'Economic Assumptions'!$D15/12,0)</f>
        <v/>
      </c>
      <c r="BG132" s="301">
        <f>IF(BG$5&gt;='Economic Assumptions'!$B15+'Economic Assumptions'!$G15+'Project Assumptions'!$D$15+'Project Assumptions'!$D$16,'Economic Assumptions'!$C15*'Economic Assumptions'!$D15/12,0)</f>
        <v/>
      </c>
      <c r="BH132" s="301">
        <f>IF(BH$5&gt;='Economic Assumptions'!$B15+'Economic Assumptions'!$G15+'Project Assumptions'!$D$15+'Project Assumptions'!$D$16,'Economic Assumptions'!$C15*'Economic Assumptions'!$D15/12,0)</f>
        <v/>
      </c>
      <c r="BI132" s="301">
        <f>IF(BI$5&gt;='Economic Assumptions'!$B15+'Economic Assumptions'!$G15+'Project Assumptions'!$D$15+'Project Assumptions'!$D$16,'Economic Assumptions'!$C15*'Economic Assumptions'!$D15/12,0)</f>
        <v/>
      </c>
      <c r="BJ132" s="301">
        <f>IF(BJ$5&gt;='Economic Assumptions'!$B15+'Economic Assumptions'!$G15+'Project Assumptions'!$D$15+'Project Assumptions'!$D$16,'Economic Assumptions'!$C15*'Economic Assumptions'!$D15/12,0)</f>
        <v/>
      </c>
      <c r="BK132" s="301">
        <f>IF(BK$5&gt;='Economic Assumptions'!$B15+'Economic Assumptions'!$G15+'Project Assumptions'!$D$15+'Project Assumptions'!$D$16,'Economic Assumptions'!$C15*'Economic Assumptions'!$D15/12,0)</f>
        <v/>
      </c>
      <c r="BL132" s="301">
        <f>IF(BL$5&gt;='Economic Assumptions'!$B15+'Economic Assumptions'!$G15+'Project Assumptions'!$D$15+'Project Assumptions'!$D$16,'Economic Assumptions'!$C15*'Economic Assumptions'!$D15/12,0)</f>
        <v/>
      </c>
      <c r="BM132" s="301">
        <f>IF(BM$5&gt;='Economic Assumptions'!$B15+'Economic Assumptions'!$G15+'Project Assumptions'!$D$15+'Project Assumptions'!$D$16,'Economic Assumptions'!$C15*'Economic Assumptions'!$D15/12,0)</f>
        <v/>
      </c>
      <c r="BN132" s="301">
        <f>IF(BN$5&gt;='Economic Assumptions'!$B15+'Economic Assumptions'!$G15+'Project Assumptions'!$D$15+'Project Assumptions'!$D$16,'Economic Assumptions'!$C15*'Economic Assumptions'!$D15/12,0)</f>
        <v/>
      </c>
      <c r="BO132" s="301">
        <f>IF(BO$5&gt;='Economic Assumptions'!$B15+'Economic Assumptions'!$G15+'Project Assumptions'!$D$15+'Project Assumptions'!$D$16,'Economic Assumptions'!$C15*'Economic Assumptions'!$D15/12,0)</f>
        <v/>
      </c>
      <c r="BP132" s="301">
        <f>IF(BP$5&gt;='Economic Assumptions'!$B15+'Economic Assumptions'!$G15+'Project Assumptions'!$D$15+'Project Assumptions'!$D$16,'Economic Assumptions'!$C15*'Economic Assumptions'!$D15/12,0)</f>
        <v/>
      </c>
      <c r="BQ132" s="301">
        <f>IF(BQ$5&gt;='Economic Assumptions'!$B15+'Economic Assumptions'!$G15+'Project Assumptions'!$D$15+'Project Assumptions'!$D$16,'Economic Assumptions'!$C15*'Economic Assumptions'!$D15/12,0)</f>
        <v/>
      </c>
      <c r="BR132" s="301">
        <f>IF(BR$5&gt;='Economic Assumptions'!$B15+'Economic Assumptions'!$G15+'Project Assumptions'!$D$15+'Project Assumptions'!$D$16,'Economic Assumptions'!$C15*'Economic Assumptions'!$D15/12,0)</f>
        <v/>
      </c>
      <c r="BS132" s="301">
        <f>IF(BS$5&gt;='Economic Assumptions'!$B15+'Economic Assumptions'!$G15+'Project Assumptions'!$D$15+'Project Assumptions'!$D$16,'Economic Assumptions'!$C15*'Economic Assumptions'!$D15/12,0)</f>
        <v/>
      </c>
      <c r="BT132" s="301">
        <f>IF(BT$5&gt;='Economic Assumptions'!$B15+'Economic Assumptions'!$G15+'Project Assumptions'!$D$15+'Project Assumptions'!$D$16,'Economic Assumptions'!$C15*'Economic Assumptions'!$D15/12,0)</f>
        <v/>
      </c>
      <c r="BU132" s="301">
        <f>IF(BU$5&gt;='Economic Assumptions'!$B15+'Economic Assumptions'!$G15+'Project Assumptions'!$D$15+'Project Assumptions'!$D$16,'Economic Assumptions'!$C15*'Economic Assumptions'!$D15/12,0)</f>
        <v/>
      </c>
      <c r="BV132" s="301">
        <f>IF(BV$5&gt;='Economic Assumptions'!$B15+'Economic Assumptions'!$G15+'Project Assumptions'!$D$15+'Project Assumptions'!$D$16,'Economic Assumptions'!$C15*'Economic Assumptions'!$D15/12,0)</f>
        <v/>
      </c>
      <c r="BW132" s="301">
        <f>IF(BW$5&gt;='Economic Assumptions'!$B15+'Economic Assumptions'!$G15+'Project Assumptions'!$D$15+'Project Assumptions'!$D$16,'Economic Assumptions'!$C15*'Economic Assumptions'!$D15/12,0)</f>
        <v/>
      </c>
      <c r="BX132" s="301">
        <f>IF(BX$5&gt;='Economic Assumptions'!$B15+'Economic Assumptions'!$G15+'Project Assumptions'!$D$15+'Project Assumptions'!$D$16,'Economic Assumptions'!$C15*'Economic Assumptions'!$D15/12,0)</f>
        <v/>
      </c>
      <c r="BY132" s="301">
        <f>IF(BY$5&gt;='Economic Assumptions'!$B15+'Economic Assumptions'!$G15+'Project Assumptions'!$D$15+'Project Assumptions'!$D$16,'Economic Assumptions'!$C15*'Economic Assumptions'!$D15/12,0)</f>
        <v/>
      </c>
      <c r="BZ132" s="301">
        <f>IF(BZ$5&gt;='Economic Assumptions'!$B15+'Economic Assumptions'!$G15+'Project Assumptions'!$D$15+'Project Assumptions'!$D$16,'Economic Assumptions'!$C15*'Economic Assumptions'!$D15/12,0)</f>
        <v/>
      </c>
      <c r="CA132" s="301">
        <f>IF(CA$5&gt;='Economic Assumptions'!$B15+'Economic Assumptions'!$G15+'Project Assumptions'!$D$15+'Project Assumptions'!$D$16,'Economic Assumptions'!$C15*'Economic Assumptions'!$D15/12,0)</f>
        <v/>
      </c>
      <c r="CB132" s="301">
        <f>IF(CB$5&gt;='Economic Assumptions'!$B15+'Economic Assumptions'!$G15+'Project Assumptions'!$D$15+'Project Assumptions'!$D$16,'Economic Assumptions'!$C15*'Economic Assumptions'!$D15/12,0)</f>
        <v/>
      </c>
      <c r="CC132" s="301">
        <f>IF(CC$5&gt;='Economic Assumptions'!$B15+'Economic Assumptions'!$G15+'Project Assumptions'!$D$15+'Project Assumptions'!$D$16,'Economic Assumptions'!$C15*'Economic Assumptions'!$D15/12,0)</f>
        <v/>
      </c>
      <c r="CD132" s="301">
        <f>IF(CD$5&gt;='Economic Assumptions'!$B15+'Economic Assumptions'!$G15+'Project Assumptions'!$D$15+'Project Assumptions'!$D$16,'Economic Assumptions'!$C15*'Economic Assumptions'!$D15/12,0)</f>
        <v/>
      </c>
      <c r="CE132" s="301">
        <f>IF(CE$5&gt;='Economic Assumptions'!$B15+'Economic Assumptions'!$G15+'Project Assumptions'!$D$15+'Project Assumptions'!$D$16,'Economic Assumptions'!$C15*'Economic Assumptions'!$D15/12,0)</f>
        <v/>
      </c>
      <c r="CF132" s="301">
        <f>IF(CF$5&gt;='Economic Assumptions'!$B15+'Economic Assumptions'!$G15+'Project Assumptions'!$D$15+'Project Assumptions'!$D$16,'Economic Assumptions'!$C15*'Economic Assumptions'!$D15/12,0)</f>
        <v/>
      </c>
      <c r="CG132" s="301">
        <f>IF(CG$5&gt;='Economic Assumptions'!$B15+'Economic Assumptions'!$G15+'Project Assumptions'!$D$15+'Project Assumptions'!$D$16,'Economic Assumptions'!$C15*'Economic Assumptions'!$D15/12,0)</f>
        <v/>
      </c>
      <c r="CH132" s="301">
        <f>IF(CH$5&gt;='Economic Assumptions'!$B15+'Economic Assumptions'!$G15+'Project Assumptions'!$D$15+'Project Assumptions'!$D$16,'Economic Assumptions'!$C15*'Economic Assumptions'!$D15/12,0)</f>
        <v/>
      </c>
      <c r="CI132" s="301">
        <f>IF(CI$5&gt;='Economic Assumptions'!$B15+'Economic Assumptions'!$G15+'Project Assumptions'!$D$15+'Project Assumptions'!$D$16,'Economic Assumptions'!$C15*'Economic Assumptions'!$D15/12,0)</f>
        <v/>
      </c>
      <c r="CJ132" s="301">
        <f>IF(CJ$5&gt;='Economic Assumptions'!$B15+'Economic Assumptions'!$G15+'Project Assumptions'!$D$15+'Project Assumptions'!$D$16,'Economic Assumptions'!$C15*'Economic Assumptions'!$D15/12,0)</f>
        <v/>
      </c>
      <c r="CK132" s="301">
        <f>IF(CK$5&gt;='Economic Assumptions'!$B15+'Economic Assumptions'!$G15+'Project Assumptions'!$D$15+'Project Assumptions'!$D$16,'Economic Assumptions'!$C15*'Economic Assumptions'!$D15/12,0)</f>
        <v/>
      </c>
      <c r="CL132" s="301">
        <f>IF(CL$5&gt;='Economic Assumptions'!$B15+'Economic Assumptions'!$G15+'Project Assumptions'!$D$15+'Project Assumptions'!$D$16,'Economic Assumptions'!$C15*'Economic Assumptions'!$D15/12,0)</f>
        <v/>
      </c>
      <c r="CM132" s="301">
        <f>IF(CM$5&gt;='Economic Assumptions'!$B15+'Economic Assumptions'!$G15+'Project Assumptions'!$D$15+'Project Assumptions'!$D$16,'Economic Assumptions'!$C15*'Economic Assumptions'!$D15/12,0)</f>
        <v/>
      </c>
      <c r="CN132" s="301">
        <f>IF(CN$5&gt;='Economic Assumptions'!$B15+'Economic Assumptions'!$G15+'Project Assumptions'!$D$15+'Project Assumptions'!$D$16,'Economic Assumptions'!$C15*'Economic Assumptions'!$D15/12,0)</f>
        <v/>
      </c>
      <c r="CO132" s="301">
        <f>IF(CO$5&gt;='Economic Assumptions'!$B15+'Economic Assumptions'!$G15+'Project Assumptions'!$D$15+'Project Assumptions'!$D$16,'Economic Assumptions'!$C15*'Economic Assumptions'!$D15/12,0)</f>
        <v/>
      </c>
      <c r="CP132" s="301">
        <f>IF(CP$5&gt;='Economic Assumptions'!$B15+'Economic Assumptions'!$G15+'Project Assumptions'!$D$15+'Project Assumptions'!$D$16,'Economic Assumptions'!$C15*'Economic Assumptions'!$D15/12,0)</f>
        <v/>
      </c>
      <c r="CQ132" s="301">
        <f>IF(CQ$5&gt;='Economic Assumptions'!$B15+'Economic Assumptions'!$G15+'Project Assumptions'!$D$15+'Project Assumptions'!$D$16,'Economic Assumptions'!$C15*'Economic Assumptions'!$D15/12,0)</f>
        <v/>
      </c>
      <c r="CR132" s="301">
        <f>IF(CR$5&gt;='Economic Assumptions'!$B15+'Economic Assumptions'!$G15+'Project Assumptions'!$D$15+'Project Assumptions'!$D$16,'Economic Assumptions'!$C15*'Economic Assumptions'!$D15/12,0)</f>
        <v/>
      </c>
      <c r="CS132" s="301">
        <f>IF(CS$5&gt;='Economic Assumptions'!$B15+'Economic Assumptions'!$G15+'Project Assumptions'!$D$15+'Project Assumptions'!$D$16,'Economic Assumptions'!$C15*'Economic Assumptions'!$D15/12,0)</f>
        <v/>
      </c>
      <c r="CT132" s="301">
        <f>IF(CT$5&gt;='Economic Assumptions'!$B15+'Economic Assumptions'!$G15+'Project Assumptions'!$D$15+'Project Assumptions'!$D$16,'Economic Assumptions'!$C15*'Economic Assumptions'!$D15/12,0)</f>
        <v/>
      </c>
      <c r="CU132" s="301">
        <f>IF(CU$5&gt;='Economic Assumptions'!$B15+'Economic Assumptions'!$G15+'Project Assumptions'!$D$15+'Project Assumptions'!$D$16,'Economic Assumptions'!$C15*'Economic Assumptions'!$D15/12,0)</f>
        <v/>
      </c>
      <c r="CV132" s="301">
        <f>IF(CV$5&gt;='Economic Assumptions'!$B15+'Economic Assumptions'!$G15+'Project Assumptions'!$D$15+'Project Assumptions'!$D$16,'Economic Assumptions'!$C15*'Economic Assumptions'!$D15/12,0)</f>
        <v/>
      </c>
      <c r="CW132" s="301">
        <f>IF(CW$5&gt;='Economic Assumptions'!$B15+'Economic Assumptions'!$G15+'Project Assumptions'!$D$15+'Project Assumptions'!$D$16,'Economic Assumptions'!$C15*'Economic Assumptions'!$D15/12,0)</f>
        <v/>
      </c>
      <c r="CX132" s="301">
        <f>IF(CX$5&gt;='Economic Assumptions'!$B15+'Economic Assumptions'!$G15+'Project Assumptions'!$D$15+'Project Assumptions'!$D$16,'Economic Assumptions'!$C15*'Economic Assumptions'!$D15/12,0)</f>
        <v/>
      </c>
      <c r="CY132" s="301">
        <f>IF(CY$5&gt;='Economic Assumptions'!$B15+'Economic Assumptions'!$G15+'Project Assumptions'!$D$15+'Project Assumptions'!$D$16,'Economic Assumptions'!$C15*'Economic Assumptions'!$D15/12,0)</f>
        <v/>
      </c>
      <c r="CZ132" s="301">
        <f>IF(CZ$5&gt;='Economic Assumptions'!$B15+'Economic Assumptions'!$G15+'Project Assumptions'!$D$15+'Project Assumptions'!$D$16,'Economic Assumptions'!$C15*'Economic Assumptions'!$D15/12,0)</f>
        <v/>
      </c>
      <c r="DA132" s="301">
        <f>IF(DA$5&gt;='Economic Assumptions'!$B15+'Economic Assumptions'!$G15+'Project Assumptions'!$D$15+'Project Assumptions'!$D$16,'Economic Assumptions'!$C15*'Economic Assumptions'!$D15/12,0)</f>
        <v/>
      </c>
      <c r="DB132" s="301">
        <f>IF(DB$5&gt;='Economic Assumptions'!$B15+'Economic Assumptions'!$G15+'Project Assumptions'!$D$15+'Project Assumptions'!$D$16,'Economic Assumptions'!$C15*'Economic Assumptions'!$D15/12,0)</f>
        <v/>
      </c>
      <c r="DC132" s="301" t="n"/>
      <c r="DD132" s="299" t="n"/>
    </row>
    <row r="133" hidden="1" outlineLevel="1">
      <c r="A133" s="1000" t="n"/>
      <c r="B133" s="315" t="inlineStr">
        <is>
          <t>Lease #7</t>
        </is>
      </c>
      <c r="C133" s="294" t="n"/>
      <c r="D133" s="299">
        <f>DD133</f>
        <v/>
      </c>
      <c r="E133" s="300" t="n"/>
      <c r="F133" s="301" t="n"/>
      <c r="G133" s="301">
        <f>IF(G$5&gt;='Economic Assumptions'!$B16+'Economic Assumptions'!$G16+'Project Assumptions'!$D$15+'Project Assumptions'!$D$16,'Economic Assumptions'!$C16*'Economic Assumptions'!$D16/12,0)</f>
        <v/>
      </c>
      <c r="H133" s="301">
        <f>IF(H$5&gt;='Economic Assumptions'!$B16+'Economic Assumptions'!$G16+'Project Assumptions'!$D$15+'Project Assumptions'!$D$16,'Economic Assumptions'!$C16*'Economic Assumptions'!$D16/12,0)</f>
        <v/>
      </c>
      <c r="I133" s="301">
        <f>IF(I$5&gt;='Economic Assumptions'!$B16+'Economic Assumptions'!$G16+'Project Assumptions'!$D$15+'Project Assumptions'!$D$16,'Economic Assumptions'!$C16*'Economic Assumptions'!$D16/12,0)</f>
        <v/>
      </c>
      <c r="J133" s="301">
        <f>IF(J$5&gt;='Economic Assumptions'!$B16+'Economic Assumptions'!$G16+'Project Assumptions'!$D$15+'Project Assumptions'!$D$16,'Economic Assumptions'!$C16*'Economic Assumptions'!$D16/12,0)</f>
        <v/>
      </c>
      <c r="K133" s="301">
        <f>IF(K$5&gt;='Economic Assumptions'!$B16+'Economic Assumptions'!$G16+'Project Assumptions'!$D$15+'Project Assumptions'!$D$16,'Economic Assumptions'!$C16*'Economic Assumptions'!$D16/12,0)</f>
        <v/>
      </c>
      <c r="L133" s="301">
        <f>IF(L$5&gt;='Economic Assumptions'!$B16+'Economic Assumptions'!$G16+'Project Assumptions'!$D$15+'Project Assumptions'!$D$16,'Economic Assumptions'!$C16*'Economic Assumptions'!$D16/12,0)</f>
        <v/>
      </c>
      <c r="M133" s="301">
        <f>IF(M$5&gt;='Economic Assumptions'!$B16+'Economic Assumptions'!$G16+'Project Assumptions'!$D$15+'Project Assumptions'!$D$16,'Economic Assumptions'!$C16*'Economic Assumptions'!$D16/12,0)</f>
        <v/>
      </c>
      <c r="N133" s="301">
        <f>IF(N$5&gt;='Economic Assumptions'!$B16+'Economic Assumptions'!$G16+'Project Assumptions'!$D$15+'Project Assumptions'!$D$16,'Economic Assumptions'!$C16*'Economic Assumptions'!$D16/12,0)</f>
        <v/>
      </c>
      <c r="O133" s="301">
        <f>IF(O$5&gt;='Economic Assumptions'!$B16+'Economic Assumptions'!$G16+'Project Assumptions'!$D$15+'Project Assumptions'!$D$16,'Economic Assumptions'!$C16*'Economic Assumptions'!$D16/12,0)</f>
        <v/>
      </c>
      <c r="P133" s="301">
        <f>IF(P$5&gt;='Economic Assumptions'!$B16+'Economic Assumptions'!$G16+'Project Assumptions'!$D$15+'Project Assumptions'!$D$16,'Economic Assumptions'!$C16*'Economic Assumptions'!$D16/12,0)</f>
        <v/>
      </c>
      <c r="Q133" s="301">
        <f>IF(Q$5&gt;='Economic Assumptions'!$B16+'Economic Assumptions'!$G16+'Project Assumptions'!$D$15+'Project Assumptions'!$D$16,'Economic Assumptions'!$C16*'Economic Assumptions'!$D16/12,0)</f>
        <v/>
      </c>
      <c r="R133" s="301">
        <f>IF(R$5&gt;='Economic Assumptions'!$B16+'Economic Assumptions'!$G16+'Project Assumptions'!$D$15+'Project Assumptions'!$D$16,'Economic Assumptions'!$C16*'Economic Assumptions'!$D16/12,0)</f>
        <v/>
      </c>
      <c r="S133" s="301">
        <f>IF(S$5&gt;='Economic Assumptions'!$B16+'Economic Assumptions'!$G16+'Project Assumptions'!$D$15+'Project Assumptions'!$D$16,'Economic Assumptions'!$C16*'Economic Assumptions'!$D16/12,0)</f>
        <v/>
      </c>
      <c r="T133" s="301">
        <f>IF(T$5&gt;='Economic Assumptions'!$B16+'Economic Assumptions'!$G16+'Project Assumptions'!$D$15+'Project Assumptions'!$D$16,'Economic Assumptions'!$C16*'Economic Assumptions'!$D16/12,0)</f>
        <v/>
      </c>
      <c r="U133" s="301">
        <f>IF(U$5&gt;='Economic Assumptions'!$B16+'Economic Assumptions'!$G16+'Project Assumptions'!$D$15+'Project Assumptions'!$D$16,'Economic Assumptions'!$C16*'Economic Assumptions'!$D16/12,0)</f>
        <v/>
      </c>
      <c r="V133" s="301">
        <f>IF(V$5&gt;='Economic Assumptions'!$B16+'Economic Assumptions'!$G16+'Project Assumptions'!$D$15+'Project Assumptions'!$D$16,'Economic Assumptions'!$C16*'Economic Assumptions'!$D16/12,0)</f>
        <v/>
      </c>
      <c r="W133" s="301">
        <f>IF(W$5&gt;='Economic Assumptions'!$B16+'Economic Assumptions'!$G16+'Project Assumptions'!$D$15+'Project Assumptions'!$D$16,'Economic Assumptions'!$C16*'Economic Assumptions'!$D16/12,0)</f>
        <v/>
      </c>
      <c r="X133" s="301">
        <f>IF(X$5&gt;='Economic Assumptions'!$B16+'Economic Assumptions'!$G16+'Project Assumptions'!$D$15+'Project Assumptions'!$D$16,'Economic Assumptions'!$C16*'Economic Assumptions'!$D16/12,0)</f>
        <v/>
      </c>
      <c r="Y133" s="301">
        <f>IF(Y$5&gt;='Economic Assumptions'!$B16+'Economic Assumptions'!$G16+'Project Assumptions'!$D$15+'Project Assumptions'!$D$16,'Economic Assumptions'!$C16*'Economic Assumptions'!$D16/12,0)</f>
        <v/>
      </c>
      <c r="Z133" s="301">
        <f>IF(Z$5&gt;='Economic Assumptions'!$B16+'Economic Assumptions'!$G16+'Project Assumptions'!$D$15+'Project Assumptions'!$D$16,'Economic Assumptions'!$C16*'Economic Assumptions'!$D16/12,0)</f>
        <v/>
      </c>
      <c r="AA133" s="301">
        <f>IF(AA$5&gt;='Economic Assumptions'!$B16+'Economic Assumptions'!$G16+'Project Assumptions'!$D$15+'Project Assumptions'!$D$16,'Economic Assumptions'!$C16*'Economic Assumptions'!$D16/12,0)</f>
        <v/>
      </c>
      <c r="AB133" s="301">
        <f>IF(AB$5&gt;='Economic Assumptions'!$B16+'Economic Assumptions'!$G16+'Project Assumptions'!$D$15+'Project Assumptions'!$D$16,'Economic Assumptions'!$C16*'Economic Assumptions'!$D16/12,0)</f>
        <v/>
      </c>
      <c r="AC133" s="301">
        <f>IF(AC$5&gt;='Economic Assumptions'!$B16+'Economic Assumptions'!$G16+'Project Assumptions'!$D$15+'Project Assumptions'!$D$16,'Economic Assumptions'!$C16*'Economic Assumptions'!$D16/12,0)</f>
        <v/>
      </c>
      <c r="AD133" s="301">
        <f>IF(AD$5&gt;='Economic Assumptions'!$B16+'Economic Assumptions'!$G16+'Project Assumptions'!$D$15+'Project Assumptions'!$D$16,'Economic Assumptions'!$C16*'Economic Assumptions'!$D16/12,0)</f>
        <v/>
      </c>
      <c r="AE133" s="301">
        <f>IF(AE$5&gt;='Economic Assumptions'!$B16+'Economic Assumptions'!$G16+'Project Assumptions'!$D$15+'Project Assumptions'!$D$16,'Economic Assumptions'!$C16*'Economic Assumptions'!$D16/12,0)</f>
        <v/>
      </c>
      <c r="AF133" s="301">
        <f>IF(AF$5&gt;='Economic Assumptions'!$B16+'Economic Assumptions'!$G16+'Project Assumptions'!$D$15+'Project Assumptions'!$D$16,'Economic Assumptions'!$C16*'Economic Assumptions'!$D16/12,0)</f>
        <v/>
      </c>
      <c r="AG133" s="301">
        <f>IF(AG$5&gt;='Economic Assumptions'!$B16+'Economic Assumptions'!$G16+'Project Assumptions'!$D$15+'Project Assumptions'!$D$16,'Economic Assumptions'!$C16*'Economic Assumptions'!$D16/12,0)</f>
        <v/>
      </c>
      <c r="AH133" s="301">
        <f>IF(AH$5&gt;='Economic Assumptions'!$B16+'Economic Assumptions'!$G16+'Project Assumptions'!$D$15+'Project Assumptions'!$D$16,'Economic Assumptions'!$C16*'Economic Assumptions'!$D16/12,0)</f>
        <v/>
      </c>
      <c r="AI133" s="301">
        <f>IF(AI$5&gt;='Economic Assumptions'!$B16+'Economic Assumptions'!$G16+'Project Assumptions'!$D$15+'Project Assumptions'!$D$16,'Economic Assumptions'!$C16*'Economic Assumptions'!$D16/12,0)</f>
        <v/>
      </c>
      <c r="AJ133" s="301">
        <f>IF(AJ$5&gt;='Economic Assumptions'!$B16+'Economic Assumptions'!$G16+'Project Assumptions'!$D$15+'Project Assumptions'!$D$16,'Economic Assumptions'!$C16*'Economic Assumptions'!$D16/12,0)</f>
        <v/>
      </c>
      <c r="AK133" s="301">
        <f>IF(AK$5&gt;='Economic Assumptions'!$B16+'Economic Assumptions'!$G16+'Project Assumptions'!$D$15+'Project Assumptions'!$D$16,'Economic Assumptions'!$C16*'Economic Assumptions'!$D16/12,0)</f>
        <v/>
      </c>
      <c r="AL133" s="301">
        <f>IF(AL$5&gt;='Economic Assumptions'!$B16+'Economic Assumptions'!$G16+'Project Assumptions'!$D$15+'Project Assumptions'!$D$16,'Economic Assumptions'!$C16*'Economic Assumptions'!$D16/12,0)</f>
        <v/>
      </c>
      <c r="AM133" s="301">
        <f>IF(AM$5&gt;='Economic Assumptions'!$B16+'Economic Assumptions'!$G16+'Project Assumptions'!$D$15+'Project Assumptions'!$D$16,'Economic Assumptions'!$C16*'Economic Assumptions'!$D16/12,0)</f>
        <v/>
      </c>
      <c r="AN133" s="301">
        <f>IF(AN$5&gt;='Economic Assumptions'!$B16+'Economic Assumptions'!$G16+'Project Assumptions'!$D$15+'Project Assumptions'!$D$16,'Economic Assumptions'!$C16*'Economic Assumptions'!$D16/12,0)</f>
        <v/>
      </c>
      <c r="AO133" s="301">
        <f>IF(AO$5&gt;='Economic Assumptions'!$B16+'Economic Assumptions'!$G16+'Project Assumptions'!$D$15+'Project Assumptions'!$D$16,'Economic Assumptions'!$C16*'Economic Assumptions'!$D16/12,0)</f>
        <v/>
      </c>
      <c r="AP133" s="301">
        <f>IF(AP$5&gt;='Economic Assumptions'!$B16+'Economic Assumptions'!$G16+'Project Assumptions'!$D$15+'Project Assumptions'!$D$16,'Economic Assumptions'!$C16*'Economic Assumptions'!$D16/12,0)</f>
        <v/>
      </c>
      <c r="AQ133" s="301">
        <f>IF(AQ$5&gt;='Economic Assumptions'!$B16+'Economic Assumptions'!$G16+'Project Assumptions'!$D$15+'Project Assumptions'!$D$16,'Economic Assumptions'!$C16*'Economic Assumptions'!$D16/12,0)</f>
        <v/>
      </c>
      <c r="AR133" s="301">
        <f>IF(AR$5&gt;='Economic Assumptions'!$B16+'Economic Assumptions'!$G16+'Project Assumptions'!$D$15+'Project Assumptions'!$D$16,'Economic Assumptions'!$C16*'Economic Assumptions'!$D16/12,0)</f>
        <v/>
      </c>
      <c r="AS133" s="301">
        <f>IF(AS$5&gt;='Economic Assumptions'!$B16+'Economic Assumptions'!$G16+'Project Assumptions'!$D$15+'Project Assumptions'!$D$16,'Economic Assumptions'!$C16*'Economic Assumptions'!$D16/12,0)</f>
        <v/>
      </c>
      <c r="AT133" s="301">
        <f>IF(AT$5&gt;='Economic Assumptions'!$B16+'Economic Assumptions'!$G16+'Project Assumptions'!$D$15+'Project Assumptions'!$D$16,'Economic Assumptions'!$C16*'Economic Assumptions'!$D16/12,0)</f>
        <v/>
      </c>
      <c r="AU133" s="301">
        <f>IF(AU$5&gt;='Economic Assumptions'!$B16+'Economic Assumptions'!$G16+'Project Assumptions'!$D$15+'Project Assumptions'!$D$16,'Economic Assumptions'!$C16*'Economic Assumptions'!$D16/12,0)</f>
        <v/>
      </c>
      <c r="AV133" s="301">
        <f>IF(AV$5&gt;='Economic Assumptions'!$B16+'Economic Assumptions'!$G16+'Project Assumptions'!$D$15+'Project Assumptions'!$D$16,'Economic Assumptions'!$C16*'Economic Assumptions'!$D16/12,0)</f>
        <v/>
      </c>
      <c r="AW133" s="301">
        <f>IF(AW$5&gt;='Economic Assumptions'!$B16+'Economic Assumptions'!$G16+'Project Assumptions'!$D$15+'Project Assumptions'!$D$16,'Economic Assumptions'!$C16*'Economic Assumptions'!$D16/12,0)</f>
        <v/>
      </c>
      <c r="AX133" s="301">
        <f>IF(AX$5&gt;='Economic Assumptions'!$B16+'Economic Assumptions'!$G16+'Project Assumptions'!$D$15+'Project Assumptions'!$D$16,'Economic Assumptions'!$C16*'Economic Assumptions'!$D16/12,0)</f>
        <v/>
      </c>
      <c r="AY133" s="301">
        <f>IF(AY$5&gt;='Economic Assumptions'!$B16+'Economic Assumptions'!$G16+'Project Assumptions'!$D$15+'Project Assumptions'!$D$16,'Economic Assumptions'!$C16*'Economic Assumptions'!$D16/12,0)</f>
        <v/>
      </c>
      <c r="AZ133" s="301">
        <f>IF(AZ$5&gt;='Economic Assumptions'!$B16+'Economic Assumptions'!$G16+'Project Assumptions'!$D$15+'Project Assumptions'!$D$16,'Economic Assumptions'!$C16*'Economic Assumptions'!$D16/12,0)</f>
        <v/>
      </c>
      <c r="BA133" s="301">
        <f>IF(BA$5&gt;='Economic Assumptions'!$B16+'Economic Assumptions'!$G16+'Project Assumptions'!$D$15+'Project Assumptions'!$D$16,'Economic Assumptions'!$C16*'Economic Assumptions'!$D16/12,0)</f>
        <v/>
      </c>
      <c r="BB133" s="301">
        <f>IF(BB$5&gt;='Economic Assumptions'!$B16+'Economic Assumptions'!$G16+'Project Assumptions'!$D$15+'Project Assumptions'!$D$16,'Economic Assumptions'!$C16*'Economic Assumptions'!$D16/12,0)</f>
        <v/>
      </c>
      <c r="BC133" s="301">
        <f>IF(BC$5&gt;='Economic Assumptions'!$B16+'Economic Assumptions'!$G16+'Project Assumptions'!$D$15+'Project Assumptions'!$D$16,'Economic Assumptions'!$C16*'Economic Assumptions'!$D16/12,0)</f>
        <v/>
      </c>
      <c r="BD133" s="301">
        <f>IF(BD$5&gt;='Economic Assumptions'!$B16+'Economic Assumptions'!$G16+'Project Assumptions'!$D$15+'Project Assumptions'!$D$16,'Economic Assumptions'!$C16*'Economic Assumptions'!$D16/12,0)</f>
        <v/>
      </c>
      <c r="BE133" s="301">
        <f>IF(BE$5&gt;='Economic Assumptions'!$B16+'Economic Assumptions'!$G16+'Project Assumptions'!$D$15+'Project Assumptions'!$D$16,'Economic Assumptions'!$C16*'Economic Assumptions'!$D16/12,0)</f>
        <v/>
      </c>
      <c r="BF133" s="301">
        <f>IF(BF$5&gt;='Economic Assumptions'!$B16+'Economic Assumptions'!$G16+'Project Assumptions'!$D$15+'Project Assumptions'!$D$16,'Economic Assumptions'!$C16*'Economic Assumptions'!$D16/12,0)</f>
        <v/>
      </c>
      <c r="BG133" s="301">
        <f>IF(BG$5&gt;='Economic Assumptions'!$B16+'Economic Assumptions'!$G16+'Project Assumptions'!$D$15+'Project Assumptions'!$D$16,'Economic Assumptions'!$C16*'Economic Assumptions'!$D16/12,0)</f>
        <v/>
      </c>
      <c r="BH133" s="301">
        <f>IF(BH$5&gt;='Economic Assumptions'!$B16+'Economic Assumptions'!$G16+'Project Assumptions'!$D$15+'Project Assumptions'!$D$16,'Economic Assumptions'!$C16*'Economic Assumptions'!$D16/12,0)</f>
        <v/>
      </c>
      <c r="BI133" s="301">
        <f>IF(BI$5&gt;='Economic Assumptions'!$B16+'Economic Assumptions'!$G16+'Project Assumptions'!$D$15+'Project Assumptions'!$D$16,'Economic Assumptions'!$C16*'Economic Assumptions'!$D16/12,0)</f>
        <v/>
      </c>
      <c r="BJ133" s="301">
        <f>IF(BJ$5&gt;='Economic Assumptions'!$B16+'Economic Assumptions'!$G16+'Project Assumptions'!$D$15+'Project Assumptions'!$D$16,'Economic Assumptions'!$C16*'Economic Assumptions'!$D16/12,0)</f>
        <v/>
      </c>
      <c r="BK133" s="301">
        <f>IF(BK$5&gt;='Economic Assumptions'!$B16+'Economic Assumptions'!$G16+'Project Assumptions'!$D$15+'Project Assumptions'!$D$16,'Economic Assumptions'!$C16*'Economic Assumptions'!$D16/12,0)</f>
        <v/>
      </c>
      <c r="BL133" s="301">
        <f>IF(BL$5&gt;='Economic Assumptions'!$B16+'Economic Assumptions'!$G16+'Project Assumptions'!$D$15+'Project Assumptions'!$D$16,'Economic Assumptions'!$C16*'Economic Assumptions'!$D16/12,0)</f>
        <v/>
      </c>
      <c r="BM133" s="301">
        <f>IF(BM$5&gt;='Economic Assumptions'!$B16+'Economic Assumptions'!$G16+'Project Assumptions'!$D$15+'Project Assumptions'!$D$16,'Economic Assumptions'!$C16*'Economic Assumptions'!$D16/12,0)</f>
        <v/>
      </c>
      <c r="BN133" s="301">
        <f>IF(BN$5&gt;='Economic Assumptions'!$B16+'Economic Assumptions'!$G16+'Project Assumptions'!$D$15+'Project Assumptions'!$D$16,'Economic Assumptions'!$C16*'Economic Assumptions'!$D16/12,0)</f>
        <v/>
      </c>
      <c r="BO133" s="301">
        <f>IF(BO$5&gt;='Economic Assumptions'!$B16+'Economic Assumptions'!$G16+'Project Assumptions'!$D$15+'Project Assumptions'!$D$16,'Economic Assumptions'!$C16*'Economic Assumptions'!$D16/12,0)</f>
        <v/>
      </c>
      <c r="BP133" s="301">
        <f>IF(BP$5&gt;='Economic Assumptions'!$B16+'Economic Assumptions'!$G16+'Project Assumptions'!$D$15+'Project Assumptions'!$D$16,'Economic Assumptions'!$C16*'Economic Assumptions'!$D16/12,0)</f>
        <v/>
      </c>
      <c r="BQ133" s="301">
        <f>IF(BQ$5&gt;='Economic Assumptions'!$B16+'Economic Assumptions'!$G16+'Project Assumptions'!$D$15+'Project Assumptions'!$D$16,'Economic Assumptions'!$C16*'Economic Assumptions'!$D16/12,0)</f>
        <v/>
      </c>
      <c r="BR133" s="301">
        <f>IF(BR$5&gt;='Economic Assumptions'!$B16+'Economic Assumptions'!$G16+'Project Assumptions'!$D$15+'Project Assumptions'!$D$16,'Economic Assumptions'!$C16*'Economic Assumptions'!$D16/12,0)</f>
        <v/>
      </c>
      <c r="BS133" s="301">
        <f>IF(BS$5&gt;='Economic Assumptions'!$B16+'Economic Assumptions'!$G16+'Project Assumptions'!$D$15+'Project Assumptions'!$D$16,'Economic Assumptions'!$C16*'Economic Assumptions'!$D16/12,0)</f>
        <v/>
      </c>
      <c r="BT133" s="301">
        <f>IF(BT$5&gt;='Economic Assumptions'!$B16+'Economic Assumptions'!$G16+'Project Assumptions'!$D$15+'Project Assumptions'!$D$16,'Economic Assumptions'!$C16*'Economic Assumptions'!$D16/12,0)</f>
        <v/>
      </c>
      <c r="BU133" s="301">
        <f>IF(BU$5&gt;='Economic Assumptions'!$B16+'Economic Assumptions'!$G16+'Project Assumptions'!$D$15+'Project Assumptions'!$D$16,'Economic Assumptions'!$C16*'Economic Assumptions'!$D16/12,0)</f>
        <v/>
      </c>
      <c r="BV133" s="301">
        <f>IF(BV$5&gt;='Economic Assumptions'!$B16+'Economic Assumptions'!$G16+'Project Assumptions'!$D$15+'Project Assumptions'!$D$16,'Economic Assumptions'!$C16*'Economic Assumptions'!$D16/12,0)</f>
        <v/>
      </c>
      <c r="BW133" s="301">
        <f>IF(BW$5&gt;='Economic Assumptions'!$B16+'Economic Assumptions'!$G16+'Project Assumptions'!$D$15+'Project Assumptions'!$D$16,'Economic Assumptions'!$C16*'Economic Assumptions'!$D16/12,0)</f>
        <v/>
      </c>
      <c r="BX133" s="301">
        <f>IF(BX$5&gt;='Economic Assumptions'!$B16+'Economic Assumptions'!$G16+'Project Assumptions'!$D$15+'Project Assumptions'!$D$16,'Economic Assumptions'!$C16*'Economic Assumptions'!$D16/12,0)</f>
        <v/>
      </c>
      <c r="BY133" s="301">
        <f>IF(BY$5&gt;='Economic Assumptions'!$B16+'Economic Assumptions'!$G16+'Project Assumptions'!$D$15+'Project Assumptions'!$D$16,'Economic Assumptions'!$C16*'Economic Assumptions'!$D16/12,0)</f>
        <v/>
      </c>
      <c r="BZ133" s="301">
        <f>IF(BZ$5&gt;='Economic Assumptions'!$B16+'Economic Assumptions'!$G16+'Project Assumptions'!$D$15+'Project Assumptions'!$D$16,'Economic Assumptions'!$C16*'Economic Assumptions'!$D16/12,0)</f>
        <v/>
      </c>
      <c r="CA133" s="301">
        <f>IF(CA$5&gt;='Economic Assumptions'!$B16+'Economic Assumptions'!$G16+'Project Assumptions'!$D$15+'Project Assumptions'!$D$16,'Economic Assumptions'!$C16*'Economic Assumptions'!$D16/12,0)</f>
        <v/>
      </c>
      <c r="CB133" s="301">
        <f>IF(CB$5&gt;='Economic Assumptions'!$B16+'Economic Assumptions'!$G16+'Project Assumptions'!$D$15+'Project Assumptions'!$D$16,'Economic Assumptions'!$C16*'Economic Assumptions'!$D16/12,0)</f>
        <v/>
      </c>
      <c r="CC133" s="301">
        <f>IF(CC$5&gt;='Economic Assumptions'!$B16+'Economic Assumptions'!$G16+'Project Assumptions'!$D$15+'Project Assumptions'!$D$16,'Economic Assumptions'!$C16*'Economic Assumptions'!$D16/12,0)</f>
        <v/>
      </c>
      <c r="CD133" s="301">
        <f>IF(CD$5&gt;='Economic Assumptions'!$B16+'Economic Assumptions'!$G16+'Project Assumptions'!$D$15+'Project Assumptions'!$D$16,'Economic Assumptions'!$C16*'Economic Assumptions'!$D16/12,0)</f>
        <v/>
      </c>
      <c r="CE133" s="301">
        <f>IF(CE$5&gt;='Economic Assumptions'!$B16+'Economic Assumptions'!$G16+'Project Assumptions'!$D$15+'Project Assumptions'!$D$16,'Economic Assumptions'!$C16*'Economic Assumptions'!$D16/12,0)</f>
        <v/>
      </c>
      <c r="CF133" s="301">
        <f>IF(CF$5&gt;='Economic Assumptions'!$B16+'Economic Assumptions'!$G16+'Project Assumptions'!$D$15+'Project Assumptions'!$D$16,'Economic Assumptions'!$C16*'Economic Assumptions'!$D16/12,0)</f>
        <v/>
      </c>
      <c r="CG133" s="301">
        <f>IF(CG$5&gt;='Economic Assumptions'!$B16+'Economic Assumptions'!$G16+'Project Assumptions'!$D$15+'Project Assumptions'!$D$16,'Economic Assumptions'!$C16*'Economic Assumptions'!$D16/12,0)</f>
        <v/>
      </c>
      <c r="CH133" s="301">
        <f>IF(CH$5&gt;='Economic Assumptions'!$B16+'Economic Assumptions'!$G16+'Project Assumptions'!$D$15+'Project Assumptions'!$D$16,'Economic Assumptions'!$C16*'Economic Assumptions'!$D16/12,0)</f>
        <v/>
      </c>
      <c r="CI133" s="301">
        <f>IF(CI$5&gt;='Economic Assumptions'!$B16+'Economic Assumptions'!$G16+'Project Assumptions'!$D$15+'Project Assumptions'!$D$16,'Economic Assumptions'!$C16*'Economic Assumptions'!$D16/12,0)</f>
        <v/>
      </c>
      <c r="CJ133" s="301">
        <f>IF(CJ$5&gt;='Economic Assumptions'!$B16+'Economic Assumptions'!$G16+'Project Assumptions'!$D$15+'Project Assumptions'!$D$16,'Economic Assumptions'!$C16*'Economic Assumptions'!$D16/12,0)</f>
        <v/>
      </c>
      <c r="CK133" s="301">
        <f>IF(CK$5&gt;='Economic Assumptions'!$B16+'Economic Assumptions'!$G16+'Project Assumptions'!$D$15+'Project Assumptions'!$D$16,'Economic Assumptions'!$C16*'Economic Assumptions'!$D16/12,0)</f>
        <v/>
      </c>
      <c r="CL133" s="301">
        <f>IF(CL$5&gt;='Economic Assumptions'!$B16+'Economic Assumptions'!$G16+'Project Assumptions'!$D$15+'Project Assumptions'!$D$16,'Economic Assumptions'!$C16*'Economic Assumptions'!$D16/12,0)</f>
        <v/>
      </c>
      <c r="CM133" s="301">
        <f>IF(CM$5&gt;='Economic Assumptions'!$B16+'Economic Assumptions'!$G16+'Project Assumptions'!$D$15+'Project Assumptions'!$D$16,'Economic Assumptions'!$C16*'Economic Assumptions'!$D16/12,0)</f>
        <v/>
      </c>
      <c r="CN133" s="301">
        <f>IF(CN$5&gt;='Economic Assumptions'!$B16+'Economic Assumptions'!$G16+'Project Assumptions'!$D$15+'Project Assumptions'!$D$16,'Economic Assumptions'!$C16*'Economic Assumptions'!$D16/12,0)</f>
        <v/>
      </c>
      <c r="CO133" s="301">
        <f>IF(CO$5&gt;='Economic Assumptions'!$B16+'Economic Assumptions'!$G16+'Project Assumptions'!$D$15+'Project Assumptions'!$D$16,'Economic Assumptions'!$C16*'Economic Assumptions'!$D16/12,0)</f>
        <v/>
      </c>
      <c r="CP133" s="301">
        <f>IF(CP$5&gt;='Economic Assumptions'!$B16+'Economic Assumptions'!$G16+'Project Assumptions'!$D$15+'Project Assumptions'!$D$16,'Economic Assumptions'!$C16*'Economic Assumptions'!$D16/12,0)</f>
        <v/>
      </c>
      <c r="CQ133" s="301">
        <f>IF(CQ$5&gt;='Economic Assumptions'!$B16+'Economic Assumptions'!$G16+'Project Assumptions'!$D$15+'Project Assumptions'!$D$16,'Economic Assumptions'!$C16*'Economic Assumptions'!$D16/12,0)</f>
        <v/>
      </c>
      <c r="CR133" s="301">
        <f>IF(CR$5&gt;='Economic Assumptions'!$B16+'Economic Assumptions'!$G16+'Project Assumptions'!$D$15+'Project Assumptions'!$D$16,'Economic Assumptions'!$C16*'Economic Assumptions'!$D16/12,0)</f>
        <v/>
      </c>
      <c r="CS133" s="301">
        <f>IF(CS$5&gt;='Economic Assumptions'!$B16+'Economic Assumptions'!$G16+'Project Assumptions'!$D$15+'Project Assumptions'!$D$16,'Economic Assumptions'!$C16*'Economic Assumptions'!$D16/12,0)</f>
        <v/>
      </c>
      <c r="CT133" s="301">
        <f>IF(CT$5&gt;='Economic Assumptions'!$B16+'Economic Assumptions'!$G16+'Project Assumptions'!$D$15+'Project Assumptions'!$D$16,'Economic Assumptions'!$C16*'Economic Assumptions'!$D16/12,0)</f>
        <v/>
      </c>
      <c r="CU133" s="301">
        <f>IF(CU$5&gt;='Economic Assumptions'!$B16+'Economic Assumptions'!$G16+'Project Assumptions'!$D$15+'Project Assumptions'!$D$16,'Economic Assumptions'!$C16*'Economic Assumptions'!$D16/12,0)</f>
        <v/>
      </c>
      <c r="CV133" s="301">
        <f>IF(CV$5&gt;='Economic Assumptions'!$B16+'Economic Assumptions'!$G16+'Project Assumptions'!$D$15+'Project Assumptions'!$D$16,'Economic Assumptions'!$C16*'Economic Assumptions'!$D16/12,0)</f>
        <v/>
      </c>
      <c r="CW133" s="301">
        <f>IF(CW$5&gt;='Economic Assumptions'!$B16+'Economic Assumptions'!$G16+'Project Assumptions'!$D$15+'Project Assumptions'!$D$16,'Economic Assumptions'!$C16*'Economic Assumptions'!$D16/12,0)</f>
        <v/>
      </c>
      <c r="CX133" s="301">
        <f>IF(CX$5&gt;='Economic Assumptions'!$B16+'Economic Assumptions'!$G16+'Project Assumptions'!$D$15+'Project Assumptions'!$D$16,'Economic Assumptions'!$C16*'Economic Assumptions'!$D16/12,0)</f>
        <v/>
      </c>
      <c r="CY133" s="301">
        <f>IF(CY$5&gt;='Economic Assumptions'!$B16+'Economic Assumptions'!$G16+'Project Assumptions'!$D$15+'Project Assumptions'!$D$16,'Economic Assumptions'!$C16*'Economic Assumptions'!$D16/12,0)</f>
        <v/>
      </c>
      <c r="CZ133" s="301">
        <f>IF(CZ$5&gt;='Economic Assumptions'!$B16+'Economic Assumptions'!$G16+'Project Assumptions'!$D$15+'Project Assumptions'!$D$16,'Economic Assumptions'!$C16*'Economic Assumptions'!$D16/12,0)</f>
        <v/>
      </c>
      <c r="DA133" s="301">
        <f>IF(DA$5&gt;='Economic Assumptions'!$B16+'Economic Assumptions'!$G16+'Project Assumptions'!$D$15+'Project Assumptions'!$D$16,'Economic Assumptions'!$C16*'Economic Assumptions'!$D16/12,0)</f>
        <v/>
      </c>
      <c r="DB133" s="301">
        <f>IF(DB$5&gt;='Economic Assumptions'!$B16+'Economic Assumptions'!$G16+'Project Assumptions'!$D$15+'Project Assumptions'!$D$16,'Economic Assumptions'!$C16*'Economic Assumptions'!$D16/12,0)</f>
        <v/>
      </c>
      <c r="DC133" s="301" t="n"/>
      <c r="DD133" s="299" t="n"/>
    </row>
    <row r="134" hidden="1" outlineLevel="1">
      <c r="A134" s="1000" t="n"/>
      <c r="B134" s="315" t="inlineStr">
        <is>
          <t>Lease #8</t>
        </is>
      </c>
      <c r="C134" s="294" t="n"/>
      <c r="D134" s="299">
        <f>DD134</f>
        <v/>
      </c>
      <c r="E134" s="300" t="n"/>
      <c r="F134" s="301" t="n"/>
      <c r="G134" s="301">
        <f>IF(G$5&gt;='Economic Assumptions'!$B17+'Economic Assumptions'!$G17+'Project Assumptions'!$D$15+'Project Assumptions'!$D$16,'Economic Assumptions'!$C17*'Economic Assumptions'!$D17/12,0)</f>
        <v/>
      </c>
      <c r="H134" s="301">
        <f>IF(H$5&gt;='Economic Assumptions'!$B17+'Economic Assumptions'!$G17+'Project Assumptions'!$D$15+'Project Assumptions'!$D$16,'Economic Assumptions'!$C17*'Economic Assumptions'!$D17/12,0)</f>
        <v/>
      </c>
      <c r="I134" s="301">
        <f>IF(I$5&gt;='Economic Assumptions'!$B17+'Economic Assumptions'!$G17+'Project Assumptions'!$D$15+'Project Assumptions'!$D$16,'Economic Assumptions'!$C17*'Economic Assumptions'!$D17/12,0)</f>
        <v/>
      </c>
      <c r="J134" s="301">
        <f>IF(J$5&gt;='Economic Assumptions'!$B17+'Economic Assumptions'!$G17+'Project Assumptions'!$D$15+'Project Assumptions'!$D$16,'Economic Assumptions'!$C17*'Economic Assumptions'!$D17/12,0)</f>
        <v/>
      </c>
      <c r="K134" s="301">
        <f>IF(K$5&gt;='Economic Assumptions'!$B17+'Economic Assumptions'!$G17+'Project Assumptions'!$D$15+'Project Assumptions'!$D$16,'Economic Assumptions'!$C17*'Economic Assumptions'!$D17/12,0)</f>
        <v/>
      </c>
      <c r="L134" s="301">
        <f>IF(L$5&gt;='Economic Assumptions'!$B17+'Economic Assumptions'!$G17+'Project Assumptions'!$D$15+'Project Assumptions'!$D$16,'Economic Assumptions'!$C17*'Economic Assumptions'!$D17/12,0)</f>
        <v/>
      </c>
      <c r="M134" s="301">
        <f>IF(M$5&gt;='Economic Assumptions'!$B17+'Economic Assumptions'!$G17+'Project Assumptions'!$D$15+'Project Assumptions'!$D$16,'Economic Assumptions'!$C17*'Economic Assumptions'!$D17/12,0)</f>
        <v/>
      </c>
      <c r="N134" s="301">
        <f>IF(N$5&gt;='Economic Assumptions'!$B17+'Economic Assumptions'!$G17+'Project Assumptions'!$D$15+'Project Assumptions'!$D$16,'Economic Assumptions'!$C17*'Economic Assumptions'!$D17/12,0)</f>
        <v/>
      </c>
      <c r="O134" s="301">
        <f>IF(O$5&gt;='Economic Assumptions'!$B17+'Economic Assumptions'!$G17+'Project Assumptions'!$D$15+'Project Assumptions'!$D$16,'Economic Assumptions'!$C17*'Economic Assumptions'!$D17/12,0)</f>
        <v/>
      </c>
      <c r="P134" s="301">
        <f>IF(P$5&gt;='Economic Assumptions'!$B17+'Economic Assumptions'!$G17+'Project Assumptions'!$D$15+'Project Assumptions'!$D$16,'Economic Assumptions'!$C17*'Economic Assumptions'!$D17/12,0)</f>
        <v/>
      </c>
      <c r="Q134" s="301">
        <f>IF(Q$5&gt;='Economic Assumptions'!$B17+'Economic Assumptions'!$G17+'Project Assumptions'!$D$15+'Project Assumptions'!$D$16,'Economic Assumptions'!$C17*'Economic Assumptions'!$D17/12,0)</f>
        <v/>
      </c>
      <c r="R134" s="301">
        <f>IF(R$5&gt;='Economic Assumptions'!$B17+'Economic Assumptions'!$G17+'Project Assumptions'!$D$15+'Project Assumptions'!$D$16,'Economic Assumptions'!$C17*'Economic Assumptions'!$D17/12,0)</f>
        <v/>
      </c>
      <c r="S134" s="301">
        <f>IF(S$5&gt;='Economic Assumptions'!$B17+'Economic Assumptions'!$G17+'Project Assumptions'!$D$15+'Project Assumptions'!$D$16,'Economic Assumptions'!$C17*'Economic Assumptions'!$D17/12,0)</f>
        <v/>
      </c>
      <c r="T134" s="301">
        <f>IF(T$5&gt;='Economic Assumptions'!$B17+'Economic Assumptions'!$G17+'Project Assumptions'!$D$15+'Project Assumptions'!$D$16,'Economic Assumptions'!$C17*'Economic Assumptions'!$D17/12,0)</f>
        <v/>
      </c>
      <c r="U134" s="301">
        <f>IF(U$5&gt;='Economic Assumptions'!$B17+'Economic Assumptions'!$G17+'Project Assumptions'!$D$15+'Project Assumptions'!$D$16,'Economic Assumptions'!$C17*'Economic Assumptions'!$D17/12,0)</f>
        <v/>
      </c>
      <c r="V134" s="301">
        <f>IF(V$5&gt;='Economic Assumptions'!$B17+'Economic Assumptions'!$G17+'Project Assumptions'!$D$15+'Project Assumptions'!$D$16,'Economic Assumptions'!$C17*'Economic Assumptions'!$D17/12,0)</f>
        <v/>
      </c>
      <c r="W134" s="301">
        <f>IF(W$5&gt;='Economic Assumptions'!$B17+'Economic Assumptions'!$G17+'Project Assumptions'!$D$15+'Project Assumptions'!$D$16,'Economic Assumptions'!$C17*'Economic Assumptions'!$D17/12,0)</f>
        <v/>
      </c>
      <c r="X134" s="301">
        <f>IF(X$5&gt;='Economic Assumptions'!$B17+'Economic Assumptions'!$G17+'Project Assumptions'!$D$15+'Project Assumptions'!$D$16,'Economic Assumptions'!$C17*'Economic Assumptions'!$D17/12,0)</f>
        <v/>
      </c>
      <c r="Y134" s="301">
        <f>IF(Y$5&gt;='Economic Assumptions'!$B17+'Economic Assumptions'!$G17+'Project Assumptions'!$D$15+'Project Assumptions'!$D$16,'Economic Assumptions'!$C17*'Economic Assumptions'!$D17/12,0)</f>
        <v/>
      </c>
      <c r="Z134" s="301">
        <f>IF(Z$5&gt;='Economic Assumptions'!$B17+'Economic Assumptions'!$G17+'Project Assumptions'!$D$15+'Project Assumptions'!$D$16,'Economic Assumptions'!$C17*'Economic Assumptions'!$D17/12,0)</f>
        <v/>
      </c>
      <c r="AA134" s="301">
        <f>IF(AA$5&gt;='Economic Assumptions'!$B17+'Economic Assumptions'!$G17+'Project Assumptions'!$D$15+'Project Assumptions'!$D$16,'Economic Assumptions'!$C17*'Economic Assumptions'!$D17/12,0)</f>
        <v/>
      </c>
      <c r="AB134" s="301">
        <f>IF(AB$5&gt;='Economic Assumptions'!$B17+'Economic Assumptions'!$G17+'Project Assumptions'!$D$15+'Project Assumptions'!$D$16,'Economic Assumptions'!$C17*'Economic Assumptions'!$D17/12,0)</f>
        <v/>
      </c>
      <c r="AC134" s="301">
        <f>IF(AC$5&gt;='Economic Assumptions'!$B17+'Economic Assumptions'!$G17+'Project Assumptions'!$D$15+'Project Assumptions'!$D$16,'Economic Assumptions'!$C17*'Economic Assumptions'!$D17/12,0)</f>
        <v/>
      </c>
      <c r="AD134" s="301">
        <f>IF(AD$5&gt;='Economic Assumptions'!$B17+'Economic Assumptions'!$G17+'Project Assumptions'!$D$15+'Project Assumptions'!$D$16,'Economic Assumptions'!$C17*'Economic Assumptions'!$D17/12,0)</f>
        <v/>
      </c>
      <c r="AE134" s="301">
        <f>IF(AE$5&gt;='Economic Assumptions'!$B17+'Economic Assumptions'!$G17+'Project Assumptions'!$D$15+'Project Assumptions'!$D$16,'Economic Assumptions'!$C17*'Economic Assumptions'!$D17/12,0)</f>
        <v/>
      </c>
      <c r="AF134" s="301">
        <f>IF(AF$5&gt;='Economic Assumptions'!$B17+'Economic Assumptions'!$G17+'Project Assumptions'!$D$15+'Project Assumptions'!$D$16,'Economic Assumptions'!$C17*'Economic Assumptions'!$D17/12,0)</f>
        <v/>
      </c>
      <c r="AG134" s="301">
        <f>IF(AG$5&gt;='Economic Assumptions'!$B17+'Economic Assumptions'!$G17+'Project Assumptions'!$D$15+'Project Assumptions'!$D$16,'Economic Assumptions'!$C17*'Economic Assumptions'!$D17/12,0)</f>
        <v/>
      </c>
      <c r="AH134" s="301">
        <f>IF(AH$5&gt;='Economic Assumptions'!$B17+'Economic Assumptions'!$G17+'Project Assumptions'!$D$15+'Project Assumptions'!$D$16,'Economic Assumptions'!$C17*'Economic Assumptions'!$D17/12,0)</f>
        <v/>
      </c>
      <c r="AI134" s="301">
        <f>IF(AI$5&gt;='Economic Assumptions'!$B17+'Economic Assumptions'!$G17+'Project Assumptions'!$D$15+'Project Assumptions'!$D$16,'Economic Assumptions'!$C17*'Economic Assumptions'!$D17/12,0)</f>
        <v/>
      </c>
      <c r="AJ134" s="301">
        <f>IF(AJ$5&gt;='Economic Assumptions'!$B17+'Economic Assumptions'!$G17+'Project Assumptions'!$D$15+'Project Assumptions'!$D$16,'Economic Assumptions'!$C17*'Economic Assumptions'!$D17/12,0)</f>
        <v/>
      </c>
      <c r="AK134" s="301">
        <f>IF(AK$5&gt;='Economic Assumptions'!$B17+'Economic Assumptions'!$G17+'Project Assumptions'!$D$15+'Project Assumptions'!$D$16,'Economic Assumptions'!$C17*'Economic Assumptions'!$D17/12,0)</f>
        <v/>
      </c>
      <c r="AL134" s="301">
        <f>IF(AL$5&gt;='Economic Assumptions'!$B17+'Economic Assumptions'!$G17+'Project Assumptions'!$D$15+'Project Assumptions'!$D$16,'Economic Assumptions'!$C17*'Economic Assumptions'!$D17/12,0)</f>
        <v/>
      </c>
      <c r="AM134" s="301">
        <f>IF(AM$5&gt;='Economic Assumptions'!$B17+'Economic Assumptions'!$G17+'Project Assumptions'!$D$15+'Project Assumptions'!$D$16,'Economic Assumptions'!$C17*'Economic Assumptions'!$D17/12,0)</f>
        <v/>
      </c>
      <c r="AN134" s="301">
        <f>IF(AN$5&gt;='Economic Assumptions'!$B17+'Economic Assumptions'!$G17+'Project Assumptions'!$D$15+'Project Assumptions'!$D$16,'Economic Assumptions'!$C17*'Economic Assumptions'!$D17/12,0)</f>
        <v/>
      </c>
      <c r="AO134" s="301">
        <f>IF(AO$5&gt;='Economic Assumptions'!$B17+'Economic Assumptions'!$G17+'Project Assumptions'!$D$15+'Project Assumptions'!$D$16,'Economic Assumptions'!$C17*'Economic Assumptions'!$D17/12,0)</f>
        <v/>
      </c>
      <c r="AP134" s="301">
        <f>IF(AP$5&gt;='Economic Assumptions'!$B17+'Economic Assumptions'!$G17+'Project Assumptions'!$D$15+'Project Assumptions'!$D$16,'Economic Assumptions'!$C17*'Economic Assumptions'!$D17/12,0)</f>
        <v/>
      </c>
      <c r="AQ134" s="301">
        <f>IF(AQ$5&gt;='Economic Assumptions'!$B17+'Economic Assumptions'!$G17+'Project Assumptions'!$D$15+'Project Assumptions'!$D$16,'Economic Assumptions'!$C17*'Economic Assumptions'!$D17/12,0)</f>
        <v/>
      </c>
      <c r="AR134" s="301">
        <f>IF(AR$5&gt;='Economic Assumptions'!$B17+'Economic Assumptions'!$G17+'Project Assumptions'!$D$15+'Project Assumptions'!$D$16,'Economic Assumptions'!$C17*'Economic Assumptions'!$D17/12,0)</f>
        <v/>
      </c>
      <c r="AS134" s="301">
        <f>IF(AS$5&gt;='Economic Assumptions'!$B17+'Economic Assumptions'!$G17+'Project Assumptions'!$D$15+'Project Assumptions'!$D$16,'Economic Assumptions'!$C17*'Economic Assumptions'!$D17/12,0)</f>
        <v/>
      </c>
      <c r="AT134" s="301">
        <f>IF(AT$5&gt;='Economic Assumptions'!$B17+'Economic Assumptions'!$G17+'Project Assumptions'!$D$15+'Project Assumptions'!$D$16,'Economic Assumptions'!$C17*'Economic Assumptions'!$D17/12,0)</f>
        <v/>
      </c>
      <c r="AU134" s="301">
        <f>IF(AU$5&gt;='Economic Assumptions'!$B17+'Economic Assumptions'!$G17+'Project Assumptions'!$D$15+'Project Assumptions'!$D$16,'Economic Assumptions'!$C17*'Economic Assumptions'!$D17/12,0)</f>
        <v/>
      </c>
      <c r="AV134" s="301">
        <f>IF(AV$5&gt;='Economic Assumptions'!$B17+'Economic Assumptions'!$G17+'Project Assumptions'!$D$15+'Project Assumptions'!$D$16,'Economic Assumptions'!$C17*'Economic Assumptions'!$D17/12,0)</f>
        <v/>
      </c>
      <c r="AW134" s="301">
        <f>IF(AW$5&gt;='Economic Assumptions'!$B17+'Economic Assumptions'!$G17+'Project Assumptions'!$D$15+'Project Assumptions'!$D$16,'Economic Assumptions'!$C17*'Economic Assumptions'!$D17/12,0)</f>
        <v/>
      </c>
      <c r="AX134" s="301">
        <f>IF(AX$5&gt;='Economic Assumptions'!$B17+'Economic Assumptions'!$G17+'Project Assumptions'!$D$15+'Project Assumptions'!$D$16,'Economic Assumptions'!$C17*'Economic Assumptions'!$D17/12,0)</f>
        <v/>
      </c>
      <c r="AY134" s="301">
        <f>IF(AY$5&gt;='Economic Assumptions'!$B17+'Economic Assumptions'!$G17+'Project Assumptions'!$D$15+'Project Assumptions'!$D$16,'Economic Assumptions'!$C17*'Economic Assumptions'!$D17/12,0)</f>
        <v/>
      </c>
      <c r="AZ134" s="301">
        <f>IF(AZ$5&gt;='Economic Assumptions'!$B17+'Economic Assumptions'!$G17+'Project Assumptions'!$D$15+'Project Assumptions'!$D$16,'Economic Assumptions'!$C17*'Economic Assumptions'!$D17/12,0)</f>
        <v/>
      </c>
      <c r="BA134" s="301">
        <f>IF(BA$5&gt;='Economic Assumptions'!$B17+'Economic Assumptions'!$G17+'Project Assumptions'!$D$15+'Project Assumptions'!$D$16,'Economic Assumptions'!$C17*'Economic Assumptions'!$D17/12,0)</f>
        <v/>
      </c>
      <c r="BB134" s="301">
        <f>IF(BB$5&gt;='Economic Assumptions'!$B17+'Economic Assumptions'!$G17+'Project Assumptions'!$D$15+'Project Assumptions'!$D$16,'Economic Assumptions'!$C17*'Economic Assumptions'!$D17/12,0)</f>
        <v/>
      </c>
      <c r="BC134" s="301">
        <f>IF(BC$5&gt;='Economic Assumptions'!$B17+'Economic Assumptions'!$G17+'Project Assumptions'!$D$15+'Project Assumptions'!$D$16,'Economic Assumptions'!$C17*'Economic Assumptions'!$D17/12,0)</f>
        <v/>
      </c>
      <c r="BD134" s="301">
        <f>IF(BD$5&gt;='Economic Assumptions'!$B17+'Economic Assumptions'!$G17+'Project Assumptions'!$D$15+'Project Assumptions'!$D$16,'Economic Assumptions'!$C17*'Economic Assumptions'!$D17/12,0)</f>
        <v/>
      </c>
      <c r="BE134" s="301">
        <f>IF(BE$5&gt;='Economic Assumptions'!$B17+'Economic Assumptions'!$G17+'Project Assumptions'!$D$15+'Project Assumptions'!$D$16,'Economic Assumptions'!$C17*'Economic Assumptions'!$D17/12,0)</f>
        <v/>
      </c>
      <c r="BF134" s="301">
        <f>IF(BF$5&gt;='Economic Assumptions'!$B17+'Economic Assumptions'!$G17+'Project Assumptions'!$D$15+'Project Assumptions'!$D$16,'Economic Assumptions'!$C17*'Economic Assumptions'!$D17/12,0)</f>
        <v/>
      </c>
      <c r="BG134" s="301">
        <f>IF(BG$5&gt;='Economic Assumptions'!$B17+'Economic Assumptions'!$G17+'Project Assumptions'!$D$15+'Project Assumptions'!$D$16,'Economic Assumptions'!$C17*'Economic Assumptions'!$D17/12,0)</f>
        <v/>
      </c>
      <c r="BH134" s="301">
        <f>IF(BH$5&gt;='Economic Assumptions'!$B17+'Economic Assumptions'!$G17+'Project Assumptions'!$D$15+'Project Assumptions'!$D$16,'Economic Assumptions'!$C17*'Economic Assumptions'!$D17/12,0)</f>
        <v/>
      </c>
      <c r="BI134" s="301">
        <f>IF(BI$5&gt;='Economic Assumptions'!$B17+'Economic Assumptions'!$G17+'Project Assumptions'!$D$15+'Project Assumptions'!$D$16,'Economic Assumptions'!$C17*'Economic Assumptions'!$D17/12,0)</f>
        <v/>
      </c>
      <c r="BJ134" s="301">
        <f>IF(BJ$5&gt;='Economic Assumptions'!$B17+'Economic Assumptions'!$G17+'Project Assumptions'!$D$15+'Project Assumptions'!$D$16,'Economic Assumptions'!$C17*'Economic Assumptions'!$D17/12,0)</f>
        <v/>
      </c>
      <c r="BK134" s="301">
        <f>IF(BK$5&gt;='Economic Assumptions'!$B17+'Economic Assumptions'!$G17+'Project Assumptions'!$D$15+'Project Assumptions'!$D$16,'Economic Assumptions'!$C17*'Economic Assumptions'!$D17/12,0)</f>
        <v/>
      </c>
      <c r="BL134" s="301">
        <f>IF(BL$5&gt;='Economic Assumptions'!$B17+'Economic Assumptions'!$G17+'Project Assumptions'!$D$15+'Project Assumptions'!$D$16,'Economic Assumptions'!$C17*'Economic Assumptions'!$D17/12,0)</f>
        <v/>
      </c>
      <c r="BM134" s="301">
        <f>IF(BM$5&gt;='Economic Assumptions'!$B17+'Economic Assumptions'!$G17+'Project Assumptions'!$D$15+'Project Assumptions'!$D$16,'Economic Assumptions'!$C17*'Economic Assumptions'!$D17/12,0)</f>
        <v/>
      </c>
      <c r="BN134" s="301">
        <f>IF(BN$5&gt;='Economic Assumptions'!$B17+'Economic Assumptions'!$G17+'Project Assumptions'!$D$15+'Project Assumptions'!$D$16,'Economic Assumptions'!$C17*'Economic Assumptions'!$D17/12,0)</f>
        <v/>
      </c>
      <c r="BO134" s="301">
        <f>IF(BO$5&gt;='Economic Assumptions'!$B17+'Economic Assumptions'!$G17+'Project Assumptions'!$D$15+'Project Assumptions'!$D$16,'Economic Assumptions'!$C17*'Economic Assumptions'!$D17/12,0)</f>
        <v/>
      </c>
      <c r="BP134" s="301">
        <f>IF(BP$5&gt;='Economic Assumptions'!$B17+'Economic Assumptions'!$G17+'Project Assumptions'!$D$15+'Project Assumptions'!$D$16,'Economic Assumptions'!$C17*'Economic Assumptions'!$D17/12,0)</f>
        <v/>
      </c>
      <c r="BQ134" s="301">
        <f>IF(BQ$5&gt;='Economic Assumptions'!$B17+'Economic Assumptions'!$G17+'Project Assumptions'!$D$15+'Project Assumptions'!$D$16,'Economic Assumptions'!$C17*'Economic Assumptions'!$D17/12,0)</f>
        <v/>
      </c>
      <c r="BR134" s="301">
        <f>IF(BR$5&gt;='Economic Assumptions'!$B17+'Economic Assumptions'!$G17+'Project Assumptions'!$D$15+'Project Assumptions'!$D$16,'Economic Assumptions'!$C17*'Economic Assumptions'!$D17/12,0)</f>
        <v/>
      </c>
      <c r="BS134" s="301">
        <f>IF(BS$5&gt;='Economic Assumptions'!$B17+'Economic Assumptions'!$G17+'Project Assumptions'!$D$15+'Project Assumptions'!$D$16,'Economic Assumptions'!$C17*'Economic Assumptions'!$D17/12,0)</f>
        <v/>
      </c>
      <c r="BT134" s="301">
        <f>IF(BT$5&gt;='Economic Assumptions'!$B17+'Economic Assumptions'!$G17+'Project Assumptions'!$D$15+'Project Assumptions'!$D$16,'Economic Assumptions'!$C17*'Economic Assumptions'!$D17/12,0)</f>
        <v/>
      </c>
      <c r="BU134" s="301">
        <f>IF(BU$5&gt;='Economic Assumptions'!$B17+'Economic Assumptions'!$G17+'Project Assumptions'!$D$15+'Project Assumptions'!$D$16,'Economic Assumptions'!$C17*'Economic Assumptions'!$D17/12,0)</f>
        <v/>
      </c>
      <c r="BV134" s="301">
        <f>IF(BV$5&gt;='Economic Assumptions'!$B17+'Economic Assumptions'!$G17+'Project Assumptions'!$D$15+'Project Assumptions'!$D$16,'Economic Assumptions'!$C17*'Economic Assumptions'!$D17/12,0)</f>
        <v/>
      </c>
      <c r="BW134" s="301">
        <f>IF(BW$5&gt;='Economic Assumptions'!$B17+'Economic Assumptions'!$G17+'Project Assumptions'!$D$15+'Project Assumptions'!$D$16,'Economic Assumptions'!$C17*'Economic Assumptions'!$D17/12,0)</f>
        <v/>
      </c>
      <c r="BX134" s="301">
        <f>IF(BX$5&gt;='Economic Assumptions'!$B17+'Economic Assumptions'!$G17+'Project Assumptions'!$D$15+'Project Assumptions'!$D$16,'Economic Assumptions'!$C17*'Economic Assumptions'!$D17/12,0)</f>
        <v/>
      </c>
      <c r="BY134" s="301">
        <f>IF(BY$5&gt;='Economic Assumptions'!$B17+'Economic Assumptions'!$G17+'Project Assumptions'!$D$15+'Project Assumptions'!$D$16,'Economic Assumptions'!$C17*'Economic Assumptions'!$D17/12,0)</f>
        <v/>
      </c>
      <c r="BZ134" s="301">
        <f>IF(BZ$5&gt;='Economic Assumptions'!$B17+'Economic Assumptions'!$G17+'Project Assumptions'!$D$15+'Project Assumptions'!$D$16,'Economic Assumptions'!$C17*'Economic Assumptions'!$D17/12,0)</f>
        <v/>
      </c>
      <c r="CA134" s="301">
        <f>IF(CA$5&gt;='Economic Assumptions'!$B17+'Economic Assumptions'!$G17+'Project Assumptions'!$D$15+'Project Assumptions'!$D$16,'Economic Assumptions'!$C17*'Economic Assumptions'!$D17/12,0)</f>
        <v/>
      </c>
      <c r="CB134" s="301">
        <f>IF(CB$5&gt;='Economic Assumptions'!$B17+'Economic Assumptions'!$G17+'Project Assumptions'!$D$15+'Project Assumptions'!$D$16,'Economic Assumptions'!$C17*'Economic Assumptions'!$D17/12,0)</f>
        <v/>
      </c>
      <c r="CC134" s="301">
        <f>IF(CC$5&gt;='Economic Assumptions'!$B17+'Economic Assumptions'!$G17+'Project Assumptions'!$D$15+'Project Assumptions'!$D$16,'Economic Assumptions'!$C17*'Economic Assumptions'!$D17/12,0)</f>
        <v/>
      </c>
      <c r="CD134" s="301">
        <f>IF(CD$5&gt;='Economic Assumptions'!$B17+'Economic Assumptions'!$G17+'Project Assumptions'!$D$15+'Project Assumptions'!$D$16,'Economic Assumptions'!$C17*'Economic Assumptions'!$D17/12,0)</f>
        <v/>
      </c>
      <c r="CE134" s="301">
        <f>IF(CE$5&gt;='Economic Assumptions'!$B17+'Economic Assumptions'!$G17+'Project Assumptions'!$D$15+'Project Assumptions'!$D$16,'Economic Assumptions'!$C17*'Economic Assumptions'!$D17/12,0)</f>
        <v/>
      </c>
      <c r="CF134" s="301">
        <f>IF(CF$5&gt;='Economic Assumptions'!$B17+'Economic Assumptions'!$G17+'Project Assumptions'!$D$15+'Project Assumptions'!$D$16,'Economic Assumptions'!$C17*'Economic Assumptions'!$D17/12,0)</f>
        <v/>
      </c>
      <c r="CG134" s="301">
        <f>IF(CG$5&gt;='Economic Assumptions'!$B17+'Economic Assumptions'!$G17+'Project Assumptions'!$D$15+'Project Assumptions'!$D$16,'Economic Assumptions'!$C17*'Economic Assumptions'!$D17/12,0)</f>
        <v/>
      </c>
      <c r="CH134" s="301">
        <f>IF(CH$5&gt;='Economic Assumptions'!$B17+'Economic Assumptions'!$G17+'Project Assumptions'!$D$15+'Project Assumptions'!$D$16,'Economic Assumptions'!$C17*'Economic Assumptions'!$D17/12,0)</f>
        <v/>
      </c>
      <c r="CI134" s="301">
        <f>IF(CI$5&gt;='Economic Assumptions'!$B17+'Economic Assumptions'!$G17+'Project Assumptions'!$D$15+'Project Assumptions'!$D$16,'Economic Assumptions'!$C17*'Economic Assumptions'!$D17/12,0)</f>
        <v/>
      </c>
      <c r="CJ134" s="301">
        <f>IF(CJ$5&gt;='Economic Assumptions'!$B17+'Economic Assumptions'!$G17+'Project Assumptions'!$D$15+'Project Assumptions'!$D$16,'Economic Assumptions'!$C17*'Economic Assumptions'!$D17/12,0)</f>
        <v/>
      </c>
      <c r="CK134" s="301">
        <f>IF(CK$5&gt;='Economic Assumptions'!$B17+'Economic Assumptions'!$G17+'Project Assumptions'!$D$15+'Project Assumptions'!$D$16,'Economic Assumptions'!$C17*'Economic Assumptions'!$D17/12,0)</f>
        <v/>
      </c>
      <c r="CL134" s="301">
        <f>IF(CL$5&gt;='Economic Assumptions'!$B17+'Economic Assumptions'!$G17+'Project Assumptions'!$D$15+'Project Assumptions'!$D$16,'Economic Assumptions'!$C17*'Economic Assumptions'!$D17/12,0)</f>
        <v/>
      </c>
      <c r="CM134" s="301">
        <f>IF(CM$5&gt;='Economic Assumptions'!$B17+'Economic Assumptions'!$G17+'Project Assumptions'!$D$15+'Project Assumptions'!$D$16,'Economic Assumptions'!$C17*'Economic Assumptions'!$D17/12,0)</f>
        <v/>
      </c>
      <c r="CN134" s="301">
        <f>IF(CN$5&gt;='Economic Assumptions'!$B17+'Economic Assumptions'!$G17+'Project Assumptions'!$D$15+'Project Assumptions'!$D$16,'Economic Assumptions'!$C17*'Economic Assumptions'!$D17/12,0)</f>
        <v/>
      </c>
      <c r="CO134" s="301">
        <f>IF(CO$5&gt;='Economic Assumptions'!$B17+'Economic Assumptions'!$G17+'Project Assumptions'!$D$15+'Project Assumptions'!$D$16,'Economic Assumptions'!$C17*'Economic Assumptions'!$D17/12,0)</f>
        <v/>
      </c>
      <c r="CP134" s="301">
        <f>IF(CP$5&gt;='Economic Assumptions'!$B17+'Economic Assumptions'!$G17+'Project Assumptions'!$D$15+'Project Assumptions'!$D$16,'Economic Assumptions'!$C17*'Economic Assumptions'!$D17/12,0)</f>
        <v/>
      </c>
      <c r="CQ134" s="301">
        <f>IF(CQ$5&gt;='Economic Assumptions'!$B17+'Economic Assumptions'!$G17+'Project Assumptions'!$D$15+'Project Assumptions'!$D$16,'Economic Assumptions'!$C17*'Economic Assumptions'!$D17/12,0)</f>
        <v/>
      </c>
      <c r="CR134" s="301">
        <f>IF(CR$5&gt;='Economic Assumptions'!$B17+'Economic Assumptions'!$G17+'Project Assumptions'!$D$15+'Project Assumptions'!$D$16,'Economic Assumptions'!$C17*'Economic Assumptions'!$D17/12,0)</f>
        <v/>
      </c>
      <c r="CS134" s="301">
        <f>IF(CS$5&gt;='Economic Assumptions'!$B17+'Economic Assumptions'!$G17+'Project Assumptions'!$D$15+'Project Assumptions'!$D$16,'Economic Assumptions'!$C17*'Economic Assumptions'!$D17/12,0)</f>
        <v/>
      </c>
      <c r="CT134" s="301">
        <f>IF(CT$5&gt;='Economic Assumptions'!$B17+'Economic Assumptions'!$G17+'Project Assumptions'!$D$15+'Project Assumptions'!$D$16,'Economic Assumptions'!$C17*'Economic Assumptions'!$D17/12,0)</f>
        <v/>
      </c>
      <c r="CU134" s="301">
        <f>IF(CU$5&gt;='Economic Assumptions'!$B17+'Economic Assumptions'!$G17+'Project Assumptions'!$D$15+'Project Assumptions'!$D$16,'Economic Assumptions'!$C17*'Economic Assumptions'!$D17/12,0)</f>
        <v/>
      </c>
      <c r="CV134" s="301">
        <f>IF(CV$5&gt;='Economic Assumptions'!$B17+'Economic Assumptions'!$G17+'Project Assumptions'!$D$15+'Project Assumptions'!$D$16,'Economic Assumptions'!$C17*'Economic Assumptions'!$D17/12,0)</f>
        <v/>
      </c>
      <c r="CW134" s="301">
        <f>IF(CW$5&gt;='Economic Assumptions'!$B17+'Economic Assumptions'!$G17+'Project Assumptions'!$D$15+'Project Assumptions'!$D$16,'Economic Assumptions'!$C17*'Economic Assumptions'!$D17/12,0)</f>
        <v/>
      </c>
      <c r="CX134" s="301">
        <f>IF(CX$5&gt;='Economic Assumptions'!$B17+'Economic Assumptions'!$G17+'Project Assumptions'!$D$15+'Project Assumptions'!$D$16,'Economic Assumptions'!$C17*'Economic Assumptions'!$D17/12,0)</f>
        <v/>
      </c>
      <c r="CY134" s="301">
        <f>IF(CY$5&gt;='Economic Assumptions'!$B17+'Economic Assumptions'!$G17+'Project Assumptions'!$D$15+'Project Assumptions'!$D$16,'Economic Assumptions'!$C17*'Economic Assumptions'!$D17/12,0)</f>
        <v/>
      </c>
      <c r="CZ134" s="301">
        <f>IF(CZ$5&gt;='Economic Assumptions'!$B17+'Economic Assumptions'!$G17+'Project Assumptions'!$D$15+'Project Assumptions'!$D$16,'Economic Assumptions'!$C17*'Economic Assumptions'!$D17/12,0)</f>
        <v/>
      </c>
      <c r="DA134" s="301">
        <f>IF(DA$5&gt;='Economic Assumptions'!$B17+'Economic Assumptions'!$G17+'Project Assumptions'!$D$15+'Project Assumptions'!$D$16,'Economic Assumptions'!$C17*'Economic Assumptions'!$D17/12,0)</f>
        <v/>
      </c>
      <c r="DB134" s="301">
        <f>IF(DB$5&gt;='Economic Assumptions'!$B17+'Economic Assumptions'!$G17+'Project Assumptions'!$D$15+'Project Assumptions'!$D$16,'Economic Assumptions'!$C17*'Economic Assumptions'!$D17/12,0)</f>
        <v/>
      </c>
      <c r="DC134" s="301" t="n"/>
      <c r="DD134" s="299" t="n"/>
    </row>
    <row r="135" hidden="1" outlineLevel="1">
      <c r="A135" s="1000" t="n"/>
      <c r="B135" s="315" t="inlineStr">
        <is>
          <t>Lease #9</t>
        </is>
      </c>
      <c r="C135" s="294" t="n"/>
      <c r="D135" s="299">
        <f>DD135</f>
        <v/>
      </c>
      <c r="E135" s="300" t="n"/>
      <c r="F135" s="301" t="n"/>
      <c r="G135" s="301">
        <f>IF(G$5&gt;='Economic Assumptions'!$B18+'Economic Assumptions'!$G18+'Project Assumptions'!$D$15+'Project Assumptions'!$D$16,'Economic Assumptions'!$C18*'Economic Assumptions'!$D18/12,0)</f>
        <v/>
      </c>
      <c r="H135" s="301">
        <f>IF(H$5&gt;='Economic Assumptions'!$B18+'Economic Assumptions'!$G18+'Project Assumptions'!$D$15+'Project Assumptions'!$D$16,'Economic Assumptions'!$C18*'Economic Assumptions'!$D18/12,0)</f>
        <v/>
      </c>
      <c r="I135" s="301">
        <f>IF(I$5&gt;='Economic Assumptions'!$B18+'Economic Assumptions'!$G18+'Project Assumptions'!$D$15+'Project Assumptions'!$D$16,'Economic Assumptions'!$C18*'Economic Assumptions'!$D18/12,0)</f>
        <v/>
      </c>
      <c r="J135" s="301">
        <f>IF(J$5&gt;='Economic Assumptions'!$B18+'Economic Assumptions'!$G18+'Project Assumptions'!$D$15+'Project Assumptions'!$D$16,'Economic Assumptions'!$C18*'Economic Assumptions'!$D18/12,0)</f>
        <v/>
      </c>
      <c r="K135" s="301">
        <f>IF(K$5&gt;='Economic Assumptions'!$B18+'Economic Assumptions'!$G18+'Project Assumptions'!$D$15+'Project Assumptions'!$D$16,'Economic Assumptions'!$C18*'Economic Assumptions'!$D18/12,0)</f>
        <v/>
      </c>
      <c r="L135" s="301">
        <f>IF(L$5&gt;='Economic Assumptions'!$B18+'Economic Assumptions'!$G18+'Project Assumptions'!$D$15+'Project Assumptions'!$D$16,'Economic Assumptions'!$C18*'Economic Assumptions'!$D18/12,0)</f>
        <v/>
      </c>
      <c r="M135" s="301">
        <f>IF(M$5&gt;='Economic Assumptions'!$B18+'Economic Assumptions'!$G18+'Project Assumptions'!$D$15+'Project Assumptions'!$D$16,'Economic Assumptions'!$C18*'Economic Assumptions'!$D18/12,0)</f>
        <v/>
      </c>
      <c r="N135" s="301">
        <f>IF(N$5&gt;='Economic Assumptions'!$B18+'Economic Assumptions'!$G18+'Project Assumptions'!$D$15+'Project Assumptions'!$D$16,'Economic Assumptions'!$C18*'Economic Assumptions'!$D18/12,0)</f>
        <v/>
      </c>
      <c r="O135" s="301">
        <f>IF(O$5&gt;='Economic Assumptions'!$B18+'Economic Assumptions'!$G18+'Project Assumptions'!$D$15+'Project Assumptions'!$D$16,'Economic Assumptions'!$C18*'Economic Assumptions'!$D18/12,0)</f>
        <v/>
      </c>
      <c r="P135" s="301">
        <f>IF(P$5&gt;='Economic Assumptions'!$B18+'Economic Assumptions'!$G18+'Project Assumptions'!$D$15+'Project Assumptions'!$D$16,'Economic Assumptions'!$C18*'Economic Assumptions'!$D18/12,0)</f>
        <v/>
      </c>
      <c r="Q135" s="301">
        <f>IF(Q$5&gt;='Economic Assumptions'!$B18+'Economic Assumptions'!$G18+'Project Assumptions'!$D$15+'Project Assumptions'!$D$16,'Economic Assumptions'!$C18*'Economic Assumptions'!$D18/12,0)</f>
        <v/>
      </c>
      <c r="R135" s="301">
        <f>IF(R$5&gt;='Economic Assumptions'!$B18+'Economic Assumptions'!$G18+'Project Assumptions'!$D$15+'Project Assumptions'!$D$16,'Economic Assumptions'!$C18*'Economic Assumptions'!$D18/12,0)</f>
        <v/>
      </c>
      <c r="S135" s="301">
        <f>IF(S$5&gt;='Economic Assumptions'!$B18+'Economic Assumptions'!$G18+'Project Assumptions'!$D$15+'Project Assumptions'!$D$16,'Economic Assumptions'!$C18*'Economic Assumptions'!$D18/12,0)</f>
        <v/>
      </c>
      <c r="T135" s="301">
        <f>IF(T$5&gt;='Economic Assumptions'!$B18+'Economic Assumptions'!$G18+'Project Assumptions'!$D$15+'Project Assumptions'!$D$16,'Economic Assumptions'!$C18*'Economic Assumptions'!$D18/12,0)</f>
        <v/>
      </c>
      <c r="U135" s="301">
        <f>IF(U$5&gt;='Economic Assumptions'!$B18+'Economic Assumptions'!$G18+'Project Assumptions'!$D$15+'Project Assumptions'!$D$16,'Economic Assumptions'!$C18*'Economic Assumptions'!$D18/12,0)</f>
        <v/>
      </c>
      <c r="V135" s="301">
        <f>IF(V$5&gt;='Economic Assumptions'!$B18+'Economic Assumptions'!$G18+'Project Assumptions'!$D$15+'Project Assumptions'!$D$16,'Economic Assumptions'!$C18*'Economic Assumptions'!$D18/12,0)</f>
        <v/>
      </c>
      <c r="W135" s="301">
        <f>IF(W$5&gt;='Economic Assumptions'!$B18+'Economic Assumptions'!$G18+'Project Assumptions'!$D$15+'Project Assumptions'!$D$16,'Economic Assumptions'!$C18*'Economic Assumptions'!$D18/12,0)</f>
        <v/>
      </c>
      <c r="X135" s="301">
        <f>IF(X$5&gt;='Economic Assumptions'!$B18+'Economic Assumptions'!$G18+'Project Assumptions'!$D$15+'Project Assumptions'!$D$16,'Economic Assumptions'!$C18*'Economic Assumptions'!$D18/12,0)</f>
        <v/>
      </c>
      <c r="Y135" s="301">
        <f>IF(Y$5&gt;='Economic Assumptions'!$B18+'Economic Assumptions'!$G18+'Project Assumptions'!$D$15+'Project Assumptions'!$D$16,'Economic Assumptions'!$C18*'Economic Assumptions'!$D18/12,0)</f>
        <v/>
      </c>
      <c r="Z135" s="301">
        <f>IF(Z$5&gt;='Economic Assumptions'!$B18+'Economic Assumptions'!$G18+'Project Assumptions'!$D$15+'Project Assumptions'!$D$16,'Economic Assumptions'!$C18*'Economic Assumptions'!$D18/12,0)</f>
        <v/>
      </c>
      <c r="AA135" s="301">
        <f>IF(AA$5&gt;='Economic Assumptions'!$B18+'Economic Assumptions'!$G18+'Project Assumptions'!$D$15+'Project Assumptions'!$D$16,'Economic Assumptions'!$C18*'Economic Assumptions'!$D18/12,0)</f>
        <v/>
      </c>
      <c r="AB135" s="301">
        <f>IF(AB$5&gt;='Economic Assumptions'!$B18+'Economic Assumptions'!$G18+'Project Assumptions'!$D$15+'Project Assumptions'!$D$16,'Economic Assumptions'!$C18*'Economic Assumptions'!$D18/12,0)</f>
        <v/>
      </c>
      <c r="AC135" s="301">
        <f>IF(AC$5&gt;='Economic Assumptions'!$B18+'Economic Assumptions'!$G18+'Project Assumptions'!$D$15+'Project Assumptions'!$D$16,'Economic Assumptions'!$C18*'Economic Assumptions'!$D18/12,0)</f>
        <v/>
      </c>
      <c r="AD135" s="301">
        <f>IF(AD$5&gt;='Economic Assumptions'!$B18+'Economic Assumptions'!$G18+'Project Assumptions'!$D$15+'Project Assumptions'!$D$16,'Economic Assumptions'!$C18*'Economic Assumptions'!$D18/12,0)</f>
        <v/>
      </c>
      <c r="AE135" s="301">
        <f>IF(AE$5&gt;='Economic Assumptions'!$B18+'Economic Assumptions'!$G18+'Project Assumptions'!$D$15+'Project Assumptions'!$D$16,'Economic Assumptions'!$C18*'Economic Assumptions'!$D18/12,0)</f>
        <v/>
      </c>
      <c r="AF135" s="301">
        <f>IF(AF$5&gt;='Economic Assumptions'!$B18+'Economic Assumptions'!$G18+'Project Assumptions'!$D$15+'Project Assumptions'!$D$16,'Economic Assumptions'!$C18*'Economic Assumptions'!$D18/12,0)</f>
        <v/>
      </c>
      <c r="AG135" s="301">
        <f>IF(AG$5&gt;='Economic Assumptions'!$B18+'Economic Assumptions'!$G18+'Project Assumptions'!$D$15+'Project Assumptions'!$D$16,'Economic Assumptions'!$C18*'Economic Assumptions'!$D18/12,0)</f>
        <v/>
      </c>
      <c r="AH135" s="301">
        <f>IF(AH$5&gt;='Economic Assumptions'!$B18+'Economic Assumptions'!$G18+'Project Assumptions'!$D$15+'Project Assumptions'!$D$16,'Economic Assumptions'!$C18*'Economic Assumptions'!$D18/12,0)</f>
        <v/>
      </c>
      <c r="AI135" s="301">
        <f>IF(AI$5&gt;='Economic Assumptions'!$B18+'Economic Assumptions'!$G18+'Project Assumptions'!$D$15+'Project Assumptions'!$D$16,'Economic Assumptions'!$C18*'Economic Assumptions'!$D18/12,0)</f>
        <v/>
      </c>
      <c r="AJ135" s="301">
        <f>IF(AJ$5&gt;='Economic Assumptions'!$B18+'Economic Assumptions'!$G18+'Project Assumptions'!$D$15+'Project Assumptions'!$D$16,'Economic Assumptions'!$C18*'Economic Assumptions'!$D18/12,0)</f>
        <v/>
      </c>
      <c r="AK135" s="301">
        <f>IF(AK$5&gt;='Economic Assumptions'!$B18+'Economic Assumptions'!$G18+'Project Assumptions'!$D$15+'Project Assumptions'!$D$16,'Economic Assumptions'!$C18*'Economic Assumptions'!$D18/12,0)</f>
        <v/>
      </c>
      <c r="AL135" s="301">
        <f>IF(AL$5&gt;='Economic Assumptions'!$B18+'Economic Assumptions'!$G18+'Project Assumptions'!$D$15+'Project Assumptions'!$D$16,'Economic Assumptions'!$C18*'Economic Assumptions'!$D18/12,0)</f>
        <v/>
      </c>
      <c r="AM135" s="301">
        <f>IF(AM$5&gt;='Economic Assumptions'!$B18+'Economic Assumptions'!$G18+'Project Assumptions'!$D$15+'Project Assumptions'!$D$16,'Economic Assumptions'!$C18*'Economic Assumptions'!$D18/12,0)</f>
        <v/>
      </c>
      <c r="AN135" s="301">
        <f>IF(AN$5&gt;='Economic Assumptions'!$B18+'Economic Assumptions'!$G18+'Project Assumptions'!$D$15+'Project Assumptions'!$D$16,'Economic Assumptions'!$C18*'Economic Assumptions'!$D18/12,0)</f>
        <v/>
      </c>
      <c r="AO135" s="301">
        <f>IF(AO$5&gt;='Economic Assumptions'!$B18+'Economic Assumptions'!$G18+'Project Assumptions'!$D$15+'Project Assumptions'!$D$16,'Economic Assumptions'!$C18*'Economic Assumptions'!$D18/12,0)</f>
        <v/>
      </c>
      <c r="AP135" s="301">
        <f>IF(AP$5&gt;='Economic Assumptions'!$B18+'Economic Assumptions'!$G18+'Project Assumptions'!$D$15+'Project Assumptions'!$D$16,'Economic Assumptions'!$C18*'Economic Assumptions'!$D18/12,0)</f>
        <v/>
      </c>
      <c r="AQ135" s="301">
        <f>IF(AQ$5&gt;='Economic Assumptions'!$B18+'Economic Assumptions'!$G18+'Project Assumptions'!$D$15+'Project Assumptions'!$D$16,'Economic Assumptions'!$C18*'Economic Assumptions'!$D18/12,0)</f>
        <v/>
      </c>
      <c r="AR135" s="301">
        <f>IF(AR$5&gt;='Economic Assumptions'!$B18+'Economic Assumptions'!$G18+'Project Assumptions'!$D$15+'Project Assumptions'!$D$16,'Economic Assumptions'!$C18*'Economic Assumptions'!$D18/12,0)</f>
        <v/>
      </c>
      <c r="AS135" s="301">
        <f>IF(AS$5&gt;='Economic Assumptions'!$B18+'Economic Assumptions'!$G18+'Project Assumptions'!$D$15+'Project Assumptions'!$D$16,'Economic Assumptions'!$C18*'Economic Assumptions'!$D18/12,0)</f>
        <v/>
      </c>
      <c r="AT135" s="301">
        <f>IF(AT$5&gt;='Economic Assumptions'!$B18+'Economic Assumptions'!$G18+'Project Assumptions'!$D$15+'Project Assumptions'!$D$16,'Economic Assumptions'!$C18*'Economic Assumptions'!$D18/12,0)</f>
        <v/>
      </c>
      <c r="AU135" s="301">
        <f>IF(AU$5&gt;='Economic Assumptions'!$B18+'Economic Assumptions'!$G18+'Project Assumptions'!$D$15+'Project Assumptions'!$D$16,'Economic Assumptions'!$C18*'Economic Assumptions'!$D18/12,0)</f>
        <v/>
      </c>
      <c r="AV135" s="301">
        <f>IF(AV$5&gt;='Economic Assumptions'!$B18+'Economic Assumptions'!$G18+'Project Assumptions'!$D$15+'Project Assumptions'!$D$16,'Economic Assumptions'!$C18*'Economic Assumptions'!$D18/12,0)</f>
        <v/>
      </c>
      <c r="AW135" s="301">
        <f>IF(AW$5&gt;='Economic Assumptions'!$B18+'Economic Assumptions'!$G18+'Project Assumptions'!$D$15+'Project Assumptions'!$D$16,'Economic Assumptions'!$C18*'Economic Assumptions'!$D18/12,0)</f>
        <v/>
      </c>
      <c r="AX135" s="301">
        <f>IF(AX$5&gt;='Economic Assumptions'!$B18+'Economic Assumptions'!$G18+'Project Assumptions'!$D$15+'Project Assumptions'!$D$16,'Economic Assumptions'!$C18*'Economic Assumptions'!$D18/12,0)</f>
        <v/>
      </c>
      <c r="AY135" s="301">
        <f>IF(AY$5&gt;='Economic Assumptions'!$B18+'Economic Assumptions'!$G18+'Project Assumptions'!$D$15+'Project Assumptions'!$D$16,'Economic Assumptions'!$C18*'Economic Assumptions'!$D18/12,0)</f>
        <v/>
      </c>
      <c r="AZ135" s="301">
        <f>IF(AZ$5&gt;='Economic Assumptions'!$B18+'Economic Assumptions'!$G18+'Project Assumptions'!$D$15+'Project Assumptions'!$D$16,'Economic Assumptions'!$C18*'Economic Assumptions'!$D18/12,0)</f>
        <v/>
      </c>
      <c r="BA135" s="301">
        <f>IF(BA$5&gt;='Economic Assumptions'!$B18+'Economic Assumptions'!$G18+'Project Assumptions'!$D$15+'Project Assumptions'!$D$16,'Economic Assumptions'!$C18*'Economic Assumptions'!$D18/12,0)</f>
        <v/>
      </c>
      <c r="BB135" s="301">
        <f>IF(BB$5&gt;='Economic Assumptions'!$B18+'Economic Assumptions'!$G18+'Project Assumptions'!$D$15+'Project Assumptions'!$D$16,'Economic Assumptions'!$C18*'Economic Assumptions'!$D18/12,0)</f>
        <v/>
      </c>
      <c r="BC135" s="301">
        <f>IF(BC$5&gt;='Economic Assumptions'!$B18+'Economic Assumptions'!$G18+'Project Assumptions'!$D$15+'Project Assumptions'!$D$16,'Economic Assumptions'!$C18*'Economic Assumptions'!$D18/12,0)</f>
        <v/>
      </c>
      <c r="BD135" s="301">
        <f>IF(BD$5&gt;='Economic Assumptions'!$B18+'Economic Assumptions'!$G18+'Project Assumptions'!$D$15+'Project Assumptions'!$D$16,'Economic Assumptions'!$C18*'Economic Assumptions'!$D18/12,0)</f>
        <v/>
      </c>
      <c r="BE135" s="301">
        <f>IF(BE$5&gt;='Economic Assumptions'!$B18+'Economic Assumptions'!$G18+'Project Assumptions'!$D$15+'Project Assumptions'!$D$16,'Economic Assumptions'!$C18*'Economic Assumptions'!$D18/12,0)</f>
        <v/>
      </c>
      <c r="BF135" s="301">
        <f>IF(BF$5&gt;='Economic Assumptions'!$B18+'Economic Assumptions'!$G18+'Project Assumptions'!$D$15+'Project Assumptions'!$D$16,'Economic Assumptions'!$C18*'Economic Assumptions'!$D18/12,0)</f>
        <v/>
      </c>
      <c r="BG135" s="301">
        <f>IF(BG$5&gt;='Economic Assumptions'!$B18+'Economic Assumptions'!$G18+'Project Assumptions'!$D$15+'Project Assumptions'!$D$16,'Economic Assumptions'!$C18*'Economic Assumptions'!$D18/12,0)</f>
        <v/>
      </c>
      <c r="BH135" s="301">
        <f>IF(BH$5&gt;='Economic Assumptions'!$B18+'Economic Assumptions'!$G18+'Project Assumptions'!$D$15+'Project Assumptions'!$D$16,'Economic Assumptions'!$C18*'Economic Assumptions'!$D18/12,0)</f>
        <v/>
      </c>
      <c r="BI135" s="301">
        <f>IF(BI$5&gt;='Economic Assumptions'!$B18+'Economic Assumptions'!$G18+'Project Assumptions'!$D$15+'Project Assumptions'!$D$16,'Economic Assumptions'!$C18*'Economic Assumptions'!$D18/12,0)</f>
        <v/>
      </c>
      <c r="BJ135" s="301">
        <f>IF(BJ$5&gt;='Economic Assumptions'!$B18+'Economic Assumptions'!$G18+'Project Assumptions'!$D$15+'Project Assumptions'!$D$16,'Economic Assumptions'!$C18*'Economic Assumptions'!$D18/12,0)</f>
        <v/>
      </c>
      <c r="BK135" s="301">
        <f>IF(BK$5&gt;='Economic Assumptions'!$B18+'Economic Assumptions'!$G18+'Project Assumptions'!$D$15+'Project Assumptions'!$D$16,'Economic Assumptions'!$C18*'Economic Assumptions'!$D18/12,0)</f>
        <v/>
      </c>
      <c r="BL135" s="301">
        <f>IF(BL$5&gt;='Economic Assumptions'!$B18+'Economic Assumptions'!$G18+'Project Assumptions'!$D$15+'Project Assumptions'!$D$16,'Economic Assumptions'!$C18*'Economic Assumptions'!$D18/12,0)</f>
        <v/>
      </c>
      <c r="BM135" s="301">
        <f>IF(BM$5&gt;='Economic Assumptions'!$B18+'Economic Assumptions'!$G18+'Project Assumptions'!$D$15+'Project Assumptions'!$D$16,'Economic Assumptions'!$C18*'Economic Assumptions'!$D18/12,0)</f>
        <v/>
      </c>
      <c r="BN135" s="301">
        <f>IF(BN$5&gt;='Economic Assumptions'!$B18+'Economic Assumptions'!$G18+'Project Assumptions'!$D$15+'Project Assumptions'!$D$16,'Economic Assumptions'!$C18*'Economic Assumptions'!$D18/12,0)</f>
        <v/>
      </c>
      <c r="BO135" s="301">
        <f>IF(BO$5&gt;='Economic Assumptions'!$B18+'Economic Assumptions'!$G18+'Project Assumptions'!$D$15+'Project Assumptions'!$D$16,'Economic Assumptions'!$C18*'Economic Assumptions'!$D18/12,0)</f>
        <v/>
      </c>
      <c r="BP135" s="301">
        <f>IF(BP$5&gt;='Economic Assumptions'!$B18+'Economic Assumptions'!$G18+'Project Assumptions'!$D$15+'Project Assumptions'!$D$16,'Economic Assumptions'!$C18*'Economic Assumptions'!$D18/12,0)</f>
        <v/>
      </c>
      <c r="BQ135" s="301">
        <f>IF(BQ$5&gt;='Economic Assumptions'!$B18+'Economic Assumptions'!$G18+'Project Assumptions'!$D$15+'Project Assumptions'!$D$16,'Economic Assumptions'!$C18*'Economic Assumptions'!$D18/12,0)</f>
        <v/>
      </c>
      <c r="BR135" s="301">
        <f>IF(BR$5&gt;='Economic Assumptions'!$B18+'Economic Assumptions'!$G18+'Project Assumptions'!$D$15+'Project Assumptions'!$D$16,'Economic Assumptions'!$C18*'Economic Assumptions'!$D18/12,0)</f>
        <v/>
      </c>
      <c r="BS135" s="301">
        <f>IF(BS$5&gt;='Economic Assumptions'!$B18+'Economic Assumptions'!$G18+'Project Assumptions'!$D$15+'Project Assumptions'!$D$16,'Economic Assumptions'!$C18*'Economic Assumptions'!$D18/12,0)</f>
        <v/>
      </c>
      <c r="BT135" s="301">
        <f>IF(BT$5&gt;='Economic Assumptions'!$B18+'Economic Assumptions'!$G18+'Project Assumptions'!$D$15+'Project Assumptions'!$D$16,'Economic Assumptions'!$C18*'Economic Assumptions'!$D18/12,0)</f>
        <v/>
      </c>
      <c r="BU135" s="301">
        <f>IF(BU$5&gt;='Economic Assumptions'!$B18+'Economic Assumptions'!$G18+'Project Assumptions'!$D$15+'Project Assumptions'!$D$16,'Economic Assumptions'!$C18*'Economic Assumptions'!$D18/12,0)</f>
        <v/>
      </c>
      <c r="BV135" s="301">
        <f>IF(BV$5&gt;='Economic Assumptions'!$B18+'Economic Assumptions'!$G18+'Project Assumptions'!$D$15+'Project Assumptions'!$D$16,'Economic Assumptions'!$C18*'Economic Assumptions'!$D18/12,0)</f>
        <v/>
      </c>
      <c r="BW135" s="301">
        <f>IF(BW$5&gt;='Economic Assumptions'!$B18+'Economic Assumptions'!$G18+'Project Assumptions'!$D$15+'Project Assumptions'!$D$16,'Economic Assumptions'!$C18*'Economic Assumptions'!$D18/12,0)</f>
        <v/>
      </c>
      <c r="BX135" s="301">
        <f>IF(BX$5&gt;='Economic Assumptions'!$B18+'Economic Assumptions'!$G18+'Project Assumptions'!$D$15+'Project Assumptions'!$D$16,'Economic Assumptions'!$C18*'Economic Assumptions'!$D18/12,0)</f>
        <v/>
      </c>
      <c r="BY135" s="301">
        <f>IF(BY$5&gt;='Economic Assumptions'!$B18+'Economic Assumptions'!$G18+'Project Assumptions'!$D$15+'Project Assumptions'!$D$16,'Economic Assumptions'!$C18*'Economic Assumptions'!$D18/12,0)</f>
        <v/>
      </c>
      <c r="BZ135" s="301">
        <f>IF(BZ$5&gt;='Economic Assumptions'!$B18+'Economic Assumptions'!$G18+'Project Assumptions'!$D$15+'Project Assumptions'!$D$16,'Economic Assumptions'!$C18*'Economic Assumptions'!$D18/12,0)</f>
        <v/>
      </c>
      <c r="CA135" s="301">
        <f>IF(CA$5&gt;='Economic Assumptions'!$B18+'Economic Assumptions'!$G18+'Project Assumptions'!$D$15+'Project Assumptions'!$D$16,'Economic Assumptions'!$C18*'Economic Assumptions'!$D18/12,0)</f>
        <v/>
      </c>
      <c r="CB135" s="301">
        <f>IF(CB$5&gt;='Economic Assumptions'!$B18+'Economic Assumptions'!$G18+'Project Assumptions'!$D$15+'Project Assumptions'!$D$16,'Economic Assumptions'!$C18*'Economic Assumptions'!$D18/12,0)</f>
        <v/>
      </c>
      <c r="CC135" s="301">
        <f>IF(CC$5&gt;='Economic Assumptions'!$B18+'Economic Assumptions'!$G18+'Project Assumptions'!$D$15+'Project Assumptions'!$D$16,'Economic Assumptions'!$C18*'Economic Assumptions'!$D18/12,0)</f>
        <v/>
      </c>
      <c r="CD135" s="301">
        <f>IF(CD$5&gt;='Economic Assumptions'!$B18+'Economic Assumptions'!$G18+'Project Assumptions'!$D$15+'Project Assumptions'!$D$16,'Economic Assumptions'!$C18*'Economic Assumptions'!$D18/12,0)</f>
        <v/>
      </c>
      <c r="CE135" s="301">
        <f>IF(CE$5&gt;='Economic Assumptions'!$B18+'Economic Assumptions'!$G18+'Project Assumptions'!$D$15+'Project Assumptions'!$D$16,'Economic Assumptions'!$C18*'Economic Assumptions'!$D18/12,0)</f>
        <v/>
      </c>
      <c r="CF135" s="301">
        <f>IF(CF$5&gt;='Economic Assumptions'!$B18+'Economic Assumptions'!$G18+'Project Assumptions'!$D$15+'Project Assumptions'!$D$16,'Economic Assumptions'!$C18*'Economic Assumptions'!$D18/12,0)</f>
        <v/>
      </c>
      <c r="CG135" s="301">
        <f>IF(CG$5&gt;='Economic Assumptions'!$B18+'Economic Assumptions'!$G18+'Project Assumptions'!$D$15+'Project Assumptions'!$D$16,'Economic Assumptions'!$C18*'Economic Assumptions'!$D18/12,0)</f>
        <v/>
      </c>
      <c r="CH135" s="301">
        <f>IF(CH$5&gt;='Economic Assumptions'!$B18+'Economic Assumptions'!$G18+'Project Assumptions'!$D$15+'Project Assumptions'!$D$16,'Economic Assumptions'!$C18*'Economic Assumptions'!$D18/12,0)</f>
        <v/>
      </c>
      <c r="CI135" s="301">
        <f>IF(CI$5&gt;='Economic Assumptions'!$B18+'Economic Assumptions'!$G18+'Project Assumptions'!$D$15+'Project Assumptions'!$D$16,'Economic Assumptions'!$C18*'Economic Assumptions'!$D18/12,0)</f>
        <v/>
      </c>
      <c r="CJ135" s="301">
        <f>IF(CJ$5&gt;='Economic Assumptions'!$B18+'Economic Assumptions'!$G18+'Project Assumptions'!$D$15+'Project Assumptions'!$D$16,'Economic Assumptions'!$C18*'Economic Assumptions'!$D18/12,0)</f>
        <v/>
      </c>
      <c r="CK135" s="301">
        <f>IF(CK$5&gt;='Economic Assumptions'!$B18+'Economic Assumptions'!$G18+'Project Assumptions'!$D$15+'Project Assumptions'!$D$16,'Economic Assumptions'!$C18*'Economic Assumptions'!$D18/12,0)</f>
        <v/>
      </c>
      <c r="CL135" s="301">
        <f>IF(CL$5&gt;='Economic Assumptions'!$B18+'Economic Assumptions'!$G18+'Project Assumptions'!$D$15+'Project Assumptions'!$D$16,'Economic Assumptions'!$C18*'Economic Assumptions'!$D18/12,0)</f>
        <v/>
      </c>
      <c r="CM135" s="301">
        <f>IF(CM$5&gt;='Economic Assumptions'!$B18+'Economic Assumptions'!$G18+'Project Assumptions'!$D$15+'Project Assumptions'!$D$16,'Economic Assumptions'!$C18*'Economic Assumptions'!$D18/12,0)</f>
        <v/>
      </c>
      <c r="CN135" s="301">
        <f>IF(CN$5&gt;='Economic Assumptions'!$B18+'Economic Assumptions'!$G18+'Project Assumptions'!$D$15+'Project Assumptions'!$D$16,'Economic Assumptions'!$C18*'Economic Assumptions'!$D18/12,0)</f>
        <v/>
      </c>
      <c r="CO135" s="301">
        <f>IF(CO$5&gt;='Economic Assumptions'!$B18+'Economic Assumptions'!$G18+'Project Assumptions'!$D$15+'Project Assumptions'!$D$16,'Economic Assumptions'!$C18*'Economic Assumptions'!$D18/12,0)</f>
        <v/>
      </c>
      <c r="CP135" s="301">
        <f>IF(CP$5&gt;='Economic Assumptions'!$B18+'Economic Assumptions'!$G18+'Project Assumptions'!$D$15+'Project Assumptions'!$D$16,'Economic Assumptions'!$C18*'Economic Assumptions'!$D18/12,0)</f>
        <v/>
      </c>
      <c r="CQ135" s="301">
        <f>IF(CQ$5&gt;='Economic Assumptions'!$B18+'Economic Assumptions'!$G18+'Project Assumptions'!$D$15+'Project Assumptions'!$D$16,'Economic Assumptions'!$C18*'Economic Assumptions'!$D18/12,0)</f>
        <v/>
      </c>
      <c r="CR135" s="301">
        <f>IF(CR$5&gt;='Economic Assumptions'!$B18+'Economic Assumptions'!$G18+'Project Assumptions'!$D$15+'Project Assumptions'!$D$16,'Economic Assumptions'!$C18*'Economic Assumptions'!$D18/12,0)</f>
        <v/>
      </c>
      <c r="CS135" s="301">
        <f>IF(CS$5&gt;='Economic Assumptions'!$B18+'Economic Assumptions'!$G18+'Project Assumptions'!$D$15+'Project Assumptions'!$D$16,'Economic Assumptions'!$C18*'Economic Assumptions'!$D18/12,0)</f>
        <v/>
      </c>
      <c r="CT135" s="301">
        <f>IF(CT$5&gt;='Economic Assumptions'!$B18+'Economic Assumptions'!$G18+'Project Assumptions'!$D$15+'Project Assumptions'!$D$16,'Economic Assumptions'!$C18*'Economic Assumptions'!$D18/12,0)</f>
        <v/>
      </c>
      <c r="CU135" s="301">
        <f>IF(CU$5&gt;='Economic Assumptions'!$B18+'Economic Assumptions'!$G18+'Project Assumptions'!$D$15+'Project Assumptions'!$D$16,'Economic Assumptions'!$C18*'Economic Assumptions'!$D18/12,0)</f>
        <v/>
      </c>
      <c r="CV135" s="301">
        <f>IF(CV$5&gt;='Economic Assumptions'!$B18+'Economic Assumptions'!$G18+'Project Assumptions'!$D$15+'Project Assumptions'!$D$16,'Economic Assumptions'!$C18*'Economic Assumptions'!$D18/12,0)</f>
        <v/>
      </c>
      <c r="CW135" s="301">
        <f>IF(CW$5&gt;='Economic Assumptions'!$B18+'Economic Assumptions'!$G18+'Project Assumptions'!$D$15+'Project Assumptions'!$D$16,'Economic Assumptions'!$C18*'Economic Assumptions'!$D18/12,0)</f>
        <v/>
      </c>
      <c r="CX135" s="301">
        <f>IF(CX$5&gt;='Economic Assumptions'!$B18+'Economic Assumptions'!$G18+'Project Assumptions'!$D$15+'Project Assumptions'!$D$16,'Economic Assumptions'!$C18*'Economic Assumptions'!$D18/12,0)</f>
        <v/>
      </c>
      <c r="CY135" s="301">
        <f>IF(CY$5&gt;='Economic Assumptions'!$B18+'Economic Assumptions'!$G18+'Project Assumptions'!$D$15+'Project Assumptions'!$D$16,'Economic Assumptions'!$C18*'Economic Assumptions'!$D18/12,0)</f>
        <v/>
      </c>
      <c r="CZ135" s="301">
        <f>IF(CZ$5&gt;='Economic Assumptions'!$B18+'Economic Assumptions'!$G18+'Project Assumptions'!$D$15+'Project Assumptions'!$D$16,'Economic Assumptions'!$C18*'Economic Assumptions'!$D18/12,0)</f>
        <v/>
      </c>
      <c r="DA135" s="301">
        <f>IF(DA$5&gt;='Economic Assumptions'!$B18+'Economic Assumptions'!$G18+'Project Assumptions'!$D$15+'Project Assumptions'!$D$16,'Economic Assumptions'!$C18*'Economic Assumptions'!$D18/12,0)</f>
        <v/>
      </c>
      <c r="DB135" s="301">
        <f>IF(DB$5&gt;='Economic Assumptions'!$B18+'Economic Assumptions'!$G18+'Project Assumptions'!$D$15+'Project Assumptions'!$D$16,'Economic Assumptions'!$C18*'Economic Assumptions'!$D18/12,0)</f>
        <v/>
      </c>
      <c r="DC135" s="301" t="n"/>
      <c r="DD135" s="299" t="n"/>
    </row>
    <row r="136" hidden="1" outlineLevel="1">
      <c r="A136" s="1000" t="n"/>
      <c r="B136" s="315" t="inlineStr">
        <is>
          <t>Lease #10</t>
        </is>
      </c>
      <c r="C136" s="294" t="n"/>
      <c r="D136" s="299">
        <f>DD136</f>
        <v/>
      </c>
      <c r="E136" s="300" t="n"/>
      <c r="F136" s="301" t="n"/>
      <c r="G136" s="301">
        <f>IF(G$5&gt;='Economic Assumptions'!$B19+'Economic Assumptions'!$G19+'Project Assumptions'!$D$15+'Project Assumptions'!$D$16,'Economic Assumptions'!$C19*'Economic Assumptions'!$D19/12,0)</f>
        <v/>
      </c>
      <c r="H136" s="301">
        <f>IF(H$5&gt;='Economic Assumptions'!$B19+'Economic Assumptions'!$G19+'Project Assumptions'!$D$15+'Project Assumptions'!$D$16,'Economic Assumptions'!$C19*'Economic Assumptions'!$D19/12,0)</f>
        <v/>
      </c>
      <c r="I136" s="301">
        <f>IF(I$5&gt;='Economic Assumptions'!$B19+'Economic Assumptions'!$G19+'Project Assumptions'!$D$15+'Project Assumptions'!$D$16,'Economic Assumptions'!$C19*'Economic Assumptions'!$D19/12,0)</f>
        <v/>
      </c>
      <c r="J136" s="301">
        <f>IF(J$5&gt;='Economic Assumptions'!$B19+'Economic Assumptions'!$G19+'Project Assumptions'!$D$15+'Project Assumptions'!$D$16,'Economic Assumptions'!$C19*'Economic Assumptions'!$D19/12,0)</f>
        <v/>
      </c>
      <c r="K136" s="301">
        <f>IF(K$5&gt;='Economic Assumptions'!$B19+'Economic Assumptions'!$G19+'Project Assumptions'!$D$15+'Project Assumptions'!$D$16,'Economic Assumptions'!$C19*'Economic Assumptions'!$D19/12,0)</f>
        <v/>
      </c>
      <c r="L136" s="301">
        <f>IF(L$5&gt;='Economic Assumptions'!$B19+'Economic Assumptions'!$G19+'Project Assumptions'!$D$15+'Project Assumptions'!$D$16,'Economic Assumptions'!$C19*'Economic Assumptions'!$D19/12,0)</f>
        <v/>
      </c>
      <c r="M136" s="301">
        <f>IF(M$5&gt;='Economic Assumptions'!$B19+'Economic Assumptions'!$G19+'Project Assumptions'!$D$15+'Project Assumptions'!$D$16,'Economic Assumptions'!$C19*'Economic Assumptions'!$D19/12,0)</f>
        <v/>
      </c>
      <c r="N136" s="301">
        <f>IF(N$5&gt;='Economic Assumptions'!$B19+'Economic Assumptions'!$G19+'Project Assumptions'!$D$15+'Project Assumptions'!$D$16,'Economic Assumptions'!$C19*'Economic Assumptions'!$D19/12,0)</f>
        <v/>
      </c>
      <c r="O136" s="301">
        <f>IF(O$5&gt;='Economic Assumptions'!$B19+'Economic Assumptions'!$G19+'Project Assumptions'!$D$15+'Project Assumptions'!$D$16,'Economic Assumptions'!$C19*'Economic Assumptions'!$D19/12,0)</f>
        <v/>
      </c>
      <c r="P136" s="301">
        <f>IF(P$5&gt;='Economic Assumptions'!$B19+'Economic Assumptions'!$G19+'Project Assumptions'!$D$15+'Project Assumptions'!$D$16,'Economic Assumptions'!$C19*'Economic Assumptions'!$D19/12,0)</f>
        <v/>
      </c>
      <c r="Q136" s="301">
        <f>IF(Q$5&gt;='Economic Assumptions'!$B19+'Economic Assumptions'!$G19+'Project Assumptions'!$D$15+'Project Assumptions'!$D$16,'Economic Assumptions'!$C19*'Economic Assumptions'!$D19/12,0)</f>
        <v/>
      </c>
      <c r="R136" s="301">
        <f>IF(R$5&gt;='Economic Assumptions'!$B19+'Economic Assumptions'!$G19+'Project Assumptions'!$D$15+'Project Assumptions'!$D$16,'Economic Assumptions'!$C19*'Economic Assumptions'!$D19/12,0)</f>
        <v/>
      </c>
      <c r="S136" s="301">
        <f>IF(S$5&gt;='Economic Assumptions'!$B19+'Economic Assumptions'!$G19+'Project Assumptions'!$D$15+'Project Assumptions'!$D$16,'Economic Assumptions'!$C19*'Economic Assumptions'!$D19/12,0)</f>
        <v/>
      </c>
      <c r="T136" s="301">
        <f>IF(T$5&gt;='Economic Assumptions'!$B19+'Economic Assumptions'!$G19+'Project Assumptions'!$D$15+'Project Assumptions'!$D$16,'Economic Assumptions'!$C19*'Economic Assumptions'!$D19/12,0)</f>
        <v/>
      </c>
      <c r="U136" s="301">
        <f>IF(U$5&gt;='Economic Assumptions'!$B19+'Economic Assumptions'!$G19+'Project Assumptions'!$D$15+'Project Assumptions'!$D$16,'Economic Assumptions'!$C19*'Economic Assumptions'!$D19/12,0)</f>
        <v/>
      </c>
      <c r="V136" s="301">
        <f>IF(V$5&gt;='Economic Assumptions'!$B19+'Economic Assumptions'!$G19+'Project Assumptions'!$D$15+'Project Assumptions'!$D$16,'Economic Assumptions'!$C19*'Economic Assumptions'!$D19/12,0)</f>
        <v/>
      </c>
      <c r="W136" s="301">
        <f>IF(W$5&gt;='Economic Assumptions'!$B19+'Economic Assumptions'!$G19+'Project Assumptions'!$D$15+'Project Assumptions'!$D$16,'Economic Assumptions'!$C19*'Economic Assumptions'!$D19/12,0)</f>
        <v/>
      </c>
      <c r="X136" s="301">
        <f>IF(X$5&gt;='Economic Assumptions'!$B19+'Economic Assumptions'!$G19+'Project Assumptions'!$D$15+'Project Assumptions'!$D$16,'Economic Assumptions'!$C19*'Economic Assumptions'!$D19/12,0)</f>
        <v/>
      </c>
      <c r="Y136" s="301">
        <f>IF(Y$5&gt;='Economic Assumptions'!$B19+'Economic Assumptions'!$G19+'Project Assumptions'!$D$15+'Project Assumptions'!$D$16,'Economic Assumptions'!$C19*'Economic Assumptions'!$D19/12,0)</f>
        <v/>
      </c>
      <c r="Z136" s="301">
        <f>IF(Z$5&gt;='Economic Assumptions'!$B19+'Economic Assumptions'!$G19+'Project Assumptions'!$D$15+'Project Assumptions'!$D$16,'Economic Assumptions'!$C19*'Economic Assumptions'!$D19/12,0)</f>
        <v/>
      </c>
      <c r="AA136" s="301">
        <f>IF(AA$5&gt;='Economic Assumptions'!$B19+'Economic Assumptions'!$G19+'Project Assumptions'!$D$15+'Project Assumptions'!$D$16,'Economic Assumptions'!$C19*'Economic Assumptions'!$D19/12,0)</f>
        <v/>
      </c>
      <c r="AB136" s="301">
        <f>IF(AB$5&gt;='Economic Assumptions'!$B19+'Economic Assumptions'!$G19+'Project Assumptions'!$D$15+'Project Assumptions'!$D$16,'Economic Assumptions'!$C19*'Economic Assumptions'!$D19/12,0)</f>
        <v/>
      </c>
      <c r="AC136" s="301">
        <f>IF(AC$5&gt;='Economic Assumptions'!$B19+'Economic Assumptions'!$G19+'Project Assumptions'!$D$15+'Project Assumptions'!$D$16,'Economic Assumptions'!$C19*'Economic Assumptions'!$D19/12,0)</f>
        <v/>
      </c>
      <c r="AD136" s="301">
        <f>IF(AD$5&gt;='Economic Assumptions'!$B19+'Economic Assumptions'!$G19+'Project Assumptions'!$D$15+'Project Assumptions'!$D$16,'Economic Assumptions'!$C19*'Economic Assumptions'!$D19/12,0)</f>
        <v/>
      </c>
      <c r="AE136" s="301">
        <f>IF(AE$5&gt;='Economic Assumptions'!$B19+'Economic Assumptions'!$G19+'Project Assumptions'!$D$15+'Project Assumptions'!$D$16,'Economic Assumptions'!$C19*'Economic Assumptions'!$D19/12,0)</f>
        <v/>
      </c>
      <c r="AF136" s="301">
        <f>IF(AF$5&gt;='Economic Assumptions'!$B19+'Economic Assumptions'!$G19+'Project Assumptions'!$D$15+'Project Assumptions'!$D$16,'Economic Assumptions'!$C19*'Economic Assumptions'!$D19/12,0)</f>
        <v/>
      </c>
      <c r="AG136" s="301">
        <f>IF(AG$5&gt;='Economic Assumptions'!$B19+'Economic Assumptions'!$G19+'Project Assumptions'!$D$15+'Project Assumptions'!$D$16,'Economic Assumptions'!$C19*'Economic Assumptions'!$D19/12,0)</f>
        <v/>
      </c>
      <c r="AH136" s="301">
        <f>IF(AH$5&gt;='Economic Assumptions'!$B19+'Economic Assumptions'!$G19+'Project Assumptions'!$D$15+'Project Assumptions'!$D$16,'Economic Assumptions'!$C19*'Economic Assumptions'!$D19/12,0)</f>
        <v/>
      </c>
      <c r="AI136" s="301">
        <f>IF(AI$5&gt;='Economic Assumptions'!$B19+'Economic Assumptions'!$G19+'Project Assumptions'!$D$15+'Project Assumptions'!$D$16,'Economic Assumptions'!$C19*'Economic Assumptions'!$D19/12,0)</f>
        <v/>
      </c>
      <c r="AJ136" s="301">
        <f>IF(AJ$5&gt;='Economic Assumptions'!$B19+'Economic Assumptions'!$G19+'Project Assumptions'!$D$15+'Project Assumptions'!$D$16,'Economic Assumptions'!$C19*'Economic Assumptions'!$D19/12,0)</f>
        <v/>
      </c>
      <c r="AK136" s="301">
        <f>IF(AK$5&gt;='Economic Assumptions'!$B19+'Economic Assumptions'!$G19+'Project Assumptions'!$D$15+'Project Assumptions'!$D$16,'Economic Assumptions'!$C19*'Economic Assumptions'!$D19/12,0)</f>
        <v/>
      </c>
      <c r="AL136" s="301">
        <f>IF(AL$5&gt;='Economic Assumptions'!$B19+'Economic Assumptions'!$G19+'Project Assumptions'!$D$15+'Project Assumptions'!$D$16,'Economic Assumptions'!$C19*'Economic Assumptions'!$D19/12,0)</f>
        <v/>
      </c>
      <c r="AM136" s="301">
        <f>IF(AM$5&gt;='Economic Assumptions'!$B19+'Economic Assumptions'!$G19+'Project Assumptions'!$D$15+'Project Assumptions'!$D$16,'Economic Assumptions'!$C19*'Economic Assumptions'!$D19/12,0)</f>
        <v/>
      </c>
      <c r="AN136" s="301">
        <f>IF(AN$5&gt;='Economic Assumptions'!$B19+'Economic Assumptions'!$G19+'Project Assumptions'!$D$15+'Project Assumptions'!$D$16,'Economic Assumptions'!$C19*'Economic Assumptions'!$D19/12,0)</f>
        <v/>
      </c>
      <c r="AO136" s="301">
        <f>IF(AO$5&gt;='Economic Assumptions'!$B19+'Economic Assumptions'!$G19+'Project Assumptions'!$D$15+'Project Assumptions'!$D$16,'Economic Assumptions'!$C19*'Economic Assumptions'!$D19/12,0)</f>
        <v/>
      </c>
      <c r="AP136" s="301">
        <f>IF(AP$5&gt;='Economic Assumptions'!$B19+'Economic Assumptions'!$G19+'Project Assumptions'!$D$15+'Project Assumptions'!$D$16,'Economic Assumptions'!$C19*'Economic Assumptions'!$D19/12,0)</f>
        <v/>
      </c>
      <c r="AQ136" s="301">
        <f>IF(AQ$5&gt;='Economic Assumptions'!$B19+'Economic Assumptions'!$G19+'Project Assumptions'!$D$15+'Project Assumptions'!$D$16,'Economic Assumptions'!$C19*'Economic Assumptions'!$D19/12,0)</f>
        <v/>
      </c>
      <c r="AR136" s="301">
        <f>IF(AR$5&gt;='Economic Assumptions'!$B19+'Economic Assumptions'!$G19+'Project Assumptions'!$D$15+'Project Assumptions'!$D$16,'Economic Assumptions'!$C19*'Economic Assumptions'!$D19/12,0)</f>
        <v/>
      </c>
      <c r="AS136" s="301">
        <f>IF(AS$5&gt;='Economic Assumptions'!$B19+'Economic Assumptions'!$G19+'Project Assumptions'!$D$15+'Project Assumptions'!$D$16,'Economic Assumptions'!$C19*'Economic Assumptions'!$D19/12,0)</f>
        <v/>
      </c>
      <c r="AT136" s="301">
        <f>IF(AT$5&gt;='Economic Assumptions'!$B19+'Economic Assumptions'!$G19+'Project Assumptions'!$D$15+'Project Assumptions'!$D$16,'Economic Assumptions'!$C19*'Economic Assumptions'!$D19/12,0)</f>
        <v/>
      </c>
      <c r="AU136" s="301">
        <f>IF(AU$5&gt;='Economic Assumptions'!$B19+'Economic Assumptions'!$G19+'Project Assumptions'!$D$15+'Project Assumptions'!$D$16,'Economic Assumptions'!$C19*'Economic Assumptions'!$D19/12,0)</f>
        <v/>
      </c>
      <c r="AV136" s="301">
        <f>IF(AV$5&gt;='Economic Assumptions'!$B19+'Economic Assumptions'!$G19+'Project Assumptions'!$D$15+'Project Assumptions'!$D$16,'Economic Assumptions'!$C19*'Economic Assumptions'!$D19/12,0)</f>
        <v/>
      </c>
      <c r="AW136" s="301">
        <f>IF(AW$5&gt;='Economic Assumptions'!$B19+'Economic Assumptions'!$G19+'Project Assumptions'!$D$15+'Project Assumptions'!$D$16,'Economic Assumptions'!$C19*'Economic Assumptions'!$D19/12,0)</f>
        <v/>
      </c>
      <c r="AX136" s="301">
        <f>IF(AX$5&gt;='Economic Assumptions'!$B19+'Economic Assumptions'!$G19+'Project Assumptions'!$D$15+'Project Assumptions'!$D$16,'Economic Assumptions'!$C19*'Economic Assumptions'!$D19/12,0)</f>
        <v/>
      </c>
      <c r="AY136" s="301">
        <f>IF(AY$5&gt;='Economic Assumptions'!$B19+'Economic Assumptions'!$G19+'Project Assumptions'!$D$15+'Project Assumptions'!$D$16,'Economic Assumptions'!$C19*'Economic Assumptions'!$D19/12,0)</f>
        <v/>
      </c>
      <c r="AZ136" s="301">
        <f>IF(AZ$5&gt;='Economic Assumptions'!$B19+'Economic Assumptions'!$G19+'Project Assumptions'!$D$15+'Project Assumptions'!$D$16,'Economic Assumptions'!$C19*'Economic Assumptions'!$D19/12,0)</f>
        <v/>
      </c>
      <c r="BA136" s="301">
        <f>IF(BA$5&gt;='Economic Assumptions'!$B19+'Economic Assumptions'!$G19+'Project Assumptions'!$D$15+'Project Assumptions'!$D$16,'Economic Assumptions'!$C19*'Economic Assumptions'!$D19/12,0)</f>
        <v/>
      </c>
      <c r="BB136" s="301">
        <f>IF(BB$5&gt;='Economic Assumptions'!$B19+'Economic Assumptions'!$G19+'Project Assumptions'!$D$15+'Project Assumptions'!$D$16,'Economic Assumptions'!$C19*'Economic Assumptions'!$D19/12,0)</f>
        <v/>
      </c>
      <c r="BC136" s="301">
        <f>IF(BC$5&gt;='Economic Assumptions'!$B19+'Economic Assumptions'!$G19+'Project Assumptions'!$D$15+'Project Assumptions'!$D$16,'Economic Assumptions'!$C19*'Economic Assumptions'!$D19/12,0)</f>
        <v/>
      </c>
      <c r="BD136" s="301">
        <f>IF(BD$5&gt;='Economic Assumptions'!$B19+'Economic Assumptions'!$G19+'Project Assumptions'!$D$15+'Project Assumptions'!$D$16,'Economic Assumptions'!$C19*'Economic Assumptions'!$D19/12,0)</f>
        <v/>
      </c>
      <c r="BE136" s="301">
        <f>IF(BE$5&gt;='Economic Assumptions'!$B19+'Economic Assumptions'!$G19+'Project Assumptions'!$D$15+'Project Assumptions'!$D$16,'Economic Assumptions'!$C19*'Economic Assumptions'!$D19/12,0)</f>
        <v/>
      </c>
      <c r="BF136" s="301">
        <f>IF(BF$5&gt;='Economic Assumptions'!$B19+'Economic Assumptions'!$G19+'Project Assumptions'!$D$15+'Project Assumptions'!$D$16,'Economic Assumptions'!$C19*'Economic Assumptions'!$D19/12,0)</f>
        <v/>
      </c>
      <c r="BG136" s="301">
        <f>IF(BG$5&gt;='Economic Assumptions'!$B19+'Economic Assumptions'!$G19+'Project Assumptions'!$D$15+'Project Assumptions'!$D$16,'Economic Assumptions'!$C19*'Economic Assumptions'!$D19/12,0)</f>
        <v/>
      </c>
      <c r="BH136" s="301">
        <f>IF(BH$5&gt;='Economic Assumptions'!$B19+'Economic Assumptions'!$G19+'Project Assumptions'!$D$15+'Project Assumptions'!$D$16,'Economic Assumptions'!$C19*'Economic Assumptions'!$D19/12,0)</f>
        <v/>
      </c>
      <c r="BI136" s="301">
        <f>IF(BI$5&gt;='Economic Assumptions'!$B19+'Economic Assumptions'!$G19+'Project Assumptions'!$D$15+'Project Assumptions'!$D$16,'Economic Assumptions'!$C19*'Economic Assumptions'!$D19/12,0)</f>
        <v/>
      </c>
      <c r="BJ136" s="301">
        <f>IF(BJ$5&gt;='Economic Assumptions'!$B19+'Economic Assumptions'!$G19+'Project Assumptions'!$D$15+'Project Assumptions'!$D$16,'Economic Assumptions'!$C19*'Economic Assumptions'!$D19/12,0)</f>
        <v/>
      </c>
      <c r="BK136" s="301">
        <f>IF(BK$5&gt;='Economic Assumptions'!$B19+'Economic Assumptions'!$G19+'Project Assumptions'!$D$15+'Project Assumptions'!$D$16,'Economic Assumptions'!$C19*'Economic Assumptions'!$D19/12,0)</f>
        <v/>
      </c>
      <c r="BL136" s="301">
        <f>IF(BL$5&gt;='Economic Assumptions'!$B19+'Economic Assumptions'!$G19+'Project Assumptions'!$D$15+'Project Assumptions'!$D$16,'Economic Assumptions'!$C19*'Economic Assumptions'!$D19/12,0)</f>
        <v/>
      </c>
      <c r="BM136" s="301">
        <f>IF(BM$5&gt;='Economic Assumptions'!$B19+'Economic Assumptions'!$G19+'Project Assumptions'!$D$15+'Project Assumptions'!$D$16,'Economic Assumptions'!$C19*'Economic Assumptions'!$D19/12,0)</f>
        <v/>
      </c>
      <c r="BN136" s="301">
        <f>IF(BN$5&gt;='Economic Assumptions'!$B19+'Economic Assumptions'!$G19+'Project Assumptions'!$D$15+'Project Assumptions'!$D$16,'Economic Assumptions'!$C19*'Economic Assumptions'!$D19/12,0)</f>
        <v/>
      </c>
      <c r="BO136" s="301">
        <f>IF(BO$5&gt;='Economic Assumptions'!$B19+'Economic Assumptions'!$G19+'Project Assumptions'!$D$15+'Project Assumptions'!$D$16,'Economic Assumptions'!$C19*'Economic Assumptions'!$D19/12,0)</f>
        <v/>
      </c>
      <c r="BP136" s="301">
        <f>IF(BP$5&gt;='Economic Assumptions'!$B19+'Economic Assumptions'!$G19+'Project Assumptions'!$D$15+'Project Assumptions'!$D$16,'Economic Assumptions'!$C19*'Economic Assumptions'!$D19/12,0)</f>
        <v/>
      </c>
      <c r="BQ136" s="301">
        <f>IF(BQ$5&gt;='Economic Assumptions'!$B19+'Economic Assumptions'!$G19+'Project Assumptions'!$D$15+'Project Assumptions'!$D$16,'Economic Assumptions'!$C19*'Economic Assumptions'!$D19/12,0)</f>
        <v/>
      </c>
      <c r="BR136" s="301">
        <f>IF(BR$5&gt;='Economic Assumptions'!$B19+'Economic Assumptions'!$G19+'Project Assumptions'!$D$15+'Project Assumptions'!$D$16,'Economic Assumptions'!$C19*'Economic Assumptions'!$D19/12,0)</f>
        <v/>
      </c>
      <c r="BS136" s="301">
        <f>IF(BS$5&gt;='Economic Assumptions'!$B19+'Economic Assumptions'!$G19+'Project Assumptions'!$D$15+'Project Assumptions'!$D$16,'Economic Assumptions'!$C19*'Economic Assumptions'!$D19/12,0)</f>
        <v/>
      </c>
      <c r="BT136" s="301">
        <f>IF(BT$5&gt;='Economic Assumptions'!$B19+'Economic Assumptions'!$G19+'Project Assumptions'!$D$15+'Project Assumptions'!$D$16,'Economic Assumptions'!$C19*'Economic Assumptions'!$D19/12,0)</f>
        <v/>
      </c>
      <c r="BU136" s="301">
        <f>IF(BU$5&gt;='Economic Assumptions'!$B19+'Economic Assumptions'!$G19+'Project Assumptions'!$D$15+'Project Assumptions'!$D$16,'Economic Assumptions'!$C19*'Economic Assumptions'!$D19/12,0)</f>
        <v/>
      </c>
      <c r="BV136" s="301">
        <f>IF(BV$5&gt;='Economic Assumptions'!$B19+'Economic Assumptions'!$G19+'Project Assumptions'!$D$15+'Project Assumptions'!$D$16,'Economic Assumptions'!$C19*'Economic Assumptions'!$D19/12,0)</f>
        <v/>
      </c>
      <c r="BW136" s="301">
        <f>IF(BW$5&gt;='Economic Assumptions'!$B19+'Economic Assumptions'!$G19+'Project Assumptions'!$D$15+'Project Assumptions'!$D$16,'Economic Assumptions'!$C19*'Economic Assumptions'!$D19/12,0)</f>
        <v/>
      </c>
      <c r="BX136" s="301">
        <f>IF(BX$5&gt;='Economic Assumptions'!$B19+'Economic Assumptions'!$G19+'Project Assumptions'!$D$15+'Project Assumptions'!$D$16,'Economic Assumptions'!$C19*'Economic Assumptions'!$D19/12,0)</f>
        <v/>
      </c>
      <c r="BY136" s="301">
        <f>IF(BY$5&gt;='Economic Assumptions'!$B19+'Economic Assumptions'!$G19+'Project Assumptions'!$D$15+'Project Assumptions'!$D$16,'Economic Assumptions'!$C19*'Economic Assumptions'!$D19/12,0)</f>
        <v/>
      </c>
      <c r="BZ136" s="301">
        <f>IF(BZ$5&gt;='Economic Assumptions'!$B19+'Economic Assumptions'!$G19+'Project Assumptions'!$D$15+'Project Assumptions'!$D$16,'Economic Assumptions'!$C19*'Economic Assumptions'!$D19/12,0)</f>
        <v/>
      </c>
      <c r="CA136" s="301">
        <f>IF(CA$5&gt;='Economic Assumptions'!$B19+'Economic Assumptions'!$G19+'Project Assumptions'!$D$15+'Project Assumptions'!$D$16,'Economic Assumptions'!$C19*'Economic Assumptions'!$D19/12,0)</f>
        <v/>
      </c>
      <c r="CB136" s="301">
        <f>IF(CB$5&gt;='Economic Assumptions'!$B19+'Economic Assumptions'!$G19+'Project Assumptions'!$D$15+'Project Assumptions'!$D$16,'Economic Assumptions'!$C19*'Economic Assumptions'!$D19/12,0)</f>
        <v/>
      </c>
      <c r="CC136" s="301">
        <f>IF(CC$5&gt;='Economic Assumptions'!$B19+'Economic Assumptions'!$G19+'Project Assumptions'!$D$15+'Project Assumptions'!$D$16,'Economic Assumptions'!$C19*'Economic Assumptions'!$D19/12,0)</f>
        <v/>
      </c>
      <c r="CD136" s="301">
        <f>IF(CD$5&gt;='Economic Assumptions'!$B19+'Economic Assumptions'!$G19+'Project Assumptions'!$D$15+'Project Assumptions'!$D$16,'Economic Assumptions'!$C19*'Economic Assumptions'!$D19/12,0)</f>
        <v/>
      </c>
      <c r="CE136" s="301">
        <f>IF(CE$5&gt;='Economic Assumptions'!$B19+'Economic Assumptions'!$G19+'Project Assumptions'!$D$15+'Project Assumptions'!$D$16,'Economic Assumptions'!$C19*'Economic Assumptions'!$D19/12,0)</f>
        <v/>
      </c>
      <c r="CF136" s="301">
        <f>IF(CF$5&gt;='Economic Assumptions'!$B19+'Economic Assumptions'!$G19+'Project Assumptions'!$D$15+'Project Assumptions'!$D$16,'Economic Assumptions'!$C19*'Economic Assumptions'!$D19/12,0)</f>
        <v/>
      </c>
      <c r="CG136" s="301">
        <f>IF(CG$5&gt;='Economic Assumptions'!$B19+'Economic Assumptions'!$G19+'Project Assumptions'!$D$15+'Project Assumptions'!$D$16,'Economic Assumptions'!$C19*'Economic Assumptions'!$D19/12,0)</f>
        <v/>
      </c>
      <c r="CH136" s="301">
        <f>IF(CH$5&gt;='Economic Assumptions'!$B19+'Economic Assumptions'!$G19+'Project Assumptions'!$D$15+'Project Assumptions'!$D$16,'Economic Assumptions'!$C19*'Economic Assumptions'!$D19/12,0)</f>
        <v/>
      </c>
      <c r="CI136" s="301">
        <f>IF(CI$5&gt;='Economic Assumptions'!$B19+'Economic Assumptions'!$G19+'Project Assumptions'!$D$15+'Project Assumptions'!$D$16,'Economic Assumptions'!$C19*'Economic Assumptions'!$D19/12,0)</f>
        <v/>
      </c>
      <c r="CJ136" s="301">
        <f>IF(CJ$5&gt;='Economic Assumptions'!$B19+'Economic Assumptions'!$G19+'Project Assumptions'!$D$15+'Project Assumptions'!$D$16,'Economic Assumptions'!$C19*'Economic Assumptions'!$D19/12,0)</f>
        <v/>
      </c>
      <c r="CK136" s="301">
        <f>IF(CK$5&gt;='Economic Assumptions'!$B19+'Economic Assumptions'!$G19+'Project Assumptions'!$D$15+'Project Assumptions'!$D$16,'Economic Assumptions'!$C19*'Economic Assumptions'!$D19/12,0)</f>
        <v/>
      </c>
      <c r="CL136" s="301">
        <f>IF(CL$5&gt;='Economic Assumptions'!$B19+'Economic Assumptions'!$G19+'Project Assumptions'!$D$15+'Project Assumptions'!$D$16,'Economic Assumptions'!$C19*'Economic Assumptions'!$D19/12,0)</f>
        <v/>
      </c>
      <c r="CM136" s="301">
        <f>IF(CM$5&gt;='Economic Assumptions'!$B19+'Economic Assumptions'!$G19+'Project Assumptions'!$D$15+'Project Assumptions'!$D$16,'Economic Assumptions'!$C19*'Economic Assumptions'!$D19/12,0)</f>
        <v/>
      </c>
      <c r="CN136" s="301">
        <f>IF(CN$5&gt;='Economic Assumptions'!$B19+'Economic Assumptions'!$G19+'Project Assumptions'!$D$15+'Project Assumptions'!$D$16,'Economic Assumptions'!$C19*'Economic Assumptions'!$D19/12,0)</f>
        <v/>
      </c>
      <c r="CO136" s="301">
        <f>IF(CO$5&gt;='Economic Assumptions'!$B19+'Economic Assumptions'!$G19+'Project Assumptions'!$D$15+'Project Assumptions'!$D$16,'Economic Assumptions'!$C19*'Economic Assumptions'!$D19/12,0)</f>
        <v/>
      </c>
      <c r="CP136" s="301">
        <f>IF(CP$5&gt;='Economic Assumptions'!$B19+'Economic Assumptions'!$G19+'Project Assumptions'!$D$15+'Project Assumptions'!$D$16,'Economic Assumptions'!$C19*'Economic Assumptions'!$D19/12,0)</f>
        <v/>
      </c>
      <c r="CQ136" s="301">
        <f>IF(CQ$5&gt;='Economic Assumptions'!$B19+'Economic Assumptions'!$G19+'Project Assumptions'!$D$15+'Project Assumptions'!$D$16,'Economic Assumptions'!$C19*'Economic Assumptions'!$D19/12,0)</f>
        <v/>
      </c>
      <c r="CR136" s="301">
        <f>IF(CR$5&gt;='Economic Assumptions'!$B19+'Economic Assumptions'!$G19+'Project Assumptions'!$D$15+'Project Assumptions'!$D$16,'Economic Assumptions'!$C19*'Economic Assumptions'!$D19/12,0)</f>
        <v/>
      </c>
      <c r="CS136" s="301">
        <f>IF(CS$5&gt;='Economic Assumptions'!$B19+'Economic Assumptions'!$G19+'Project Assumptions'!$D$15+'Project Assumptions'!$D$16,'Economic Assumptions'!$C19*'Economic Assumptions'!$D19/12,0)</f>
        <v/>
      </c>
      <c r="CT136" s="301">
        <f>IF(CT$5&gt;='Economic Assumptions'!$B19+'Economic Assumptions'!$G19+'Project Assumptions'!$D$15+'Project Assumptions'!$D$16,'Economic Assumptions'!$C19*'Economic Assumptions'!$D19/12,0)</f>
        <v/>
      </c>
      <c r="CU136" s="301">
        <f>IF(CU$5&gt;='Economic Assumptions'!$B19+'Economic Assumptions'!$G19+'Project Assumptions'!$D$15+'Project Assumptions'!$D$16,'Economic Assumptions'!$C19*'Economic Assumptions'!$D19/12,0)</f>
        <v/>
      </c>
      <c r="CV136" s="301">
        <f>IF(CV$5&gt;='Economic Assumptions'!$B19+'Economic Assumptions'!$G19+'Project Assumptions'!$D$15+'Project Assumptions'!$D$16,'Economic Assumptions'!$C19*'Economic Assumptions'!$D19/12,0)</f>
        <v/>
      </c>
      <c r="CW136" s="301">
        <f>IF(CW$5&gt;='Economic Assumptions'!$B19+'Economic Assumptions'!$G19+'Project Assumptions'!$D$15+'Project Assumptions'!$D$16,'Economic Assumptions'!$C19*'Economic Assumptions'!$D19/12,0)</f>
        <v/>
      </c>
      <c r="CX136" s="301">
        <f>IF(CX$5&gt;='Economic Assumptions'!$B19+'Economic Assumptions'!$G19+'Project Assumptions'!$D$15+'Project Assumptions'!$D$16,'Economic Assumptions'!$C19*'Economic Assumptions'!$D19/12,0)</f>
        <v/>
      </c>
      <c r="CY136" s="301">
        <f>IF(CY$5&gt;='Economic Assumptions'!$B19+'Economic Assumptions'!$G19+'Project Assumptions'!$D$15+'Project Assumptions'!$D$16,'Economic Assumptions'!$C19*'Economic Assumptions'!$D19/12,0)</f>
        <v/>
      </c>
      <c r="CZ136" s="301">
        <f>IF(CZ$5&gt;='Economic Assumptions'!$B19+'Economic Assumptions'!$G19+'Project Assumptions'!$D$15+'Project Assumptions'!$D$16,'Economic Assumptions'!$C19*'Economic Assumptions'!$D19/12,0)</f>
        <v/>
      </c>
      <c r="DA136" s="301">
        <f>IF(DA$5&gt;='Economic Assumptions'!$B19+'Economic Assumptions'!$G19+'Project Assumptions'!$D$15+'Project Assumptions'!$D$16,'Economic Assumptions'!$C19*'Economic Assumptions'!$D19/12,0)</f>
        <v/>
      </c>
      <c r="DB136" s="301">
        <f>IF(DB$5&gt;='Economic Assumptions'!$B19+'Economic Assumptions'!$G19+'Project Assumptions'!$D$15+'Project Assumptions'!$D$16,'Economic Assumptions'!$C19*'Economic Assumptions'!$D19/12,0)</f>
        <v/>
      </c>
      <c r="DC136" s="301" t="n"/>
      <c r="DD136" s="299" t="n"/>
    </row>
    <row r="137" hidden="1" outlineLevel="1">
      <c r="A137" s="1000" t="n"/>
      <c r="B137" s="315" t="inlineStr">
        <is>
          <t>Lease #11</t>
        </is>
      </c>
      <c r="C137" s="294" t="n"/>
      <c r="D137" s="299">
        <f>DD137</f>
        <v/>
      </c>
      <c r="E137" s="300" t="n"/>
      <c r="F137" s="301" t="n"/>
      <c r="G137" s="301">
        <f>IF(G$5&gt;='Economic Assumptions'!$B20+'Economic Assumptions'!$G20+'Project Assumptions'!$D$15+'Project Assumptions'!$D$16,'Economic Assumptions'!$C20*'Economic Assumptions'!$D20/12,0)</f>
        <v/>
      </c>
      <c r="H137" s="301">
        <f>IF(H$5&gt;='Economic Assumptions'!$B20+'Economic Assumptions'!$G20+'Project Assumptions'!$D$15+'Project Assumptions'!$D$16,'Economic Assumptions'!$C20*'Economic Assumptions'!$D20/12,0)</f>
        <v/>
      </c>
      <c r="I137" s="301">
        <f>IF(I$5&gt;='Economic Assumptions'!$B20+'Economic Assumptions'!$G20+'Project Assumptions'!$D$15+'Project Assumptions'!$D$16,'Economic Assumptions'!$C20*'Economic Assumptions'!$D20/12,0)</f>
        <v/>
      </c>
      <c r="J137" s="301">
        <f>IF(J$5&gt;='Economic Assumptions'!$B20+'Economic Assumptions'!$G20+'Project Assumptions'!$D$15+'Project Assumptions'!$D$16,'Economic Assumptions'!$C20*'Economic Assumptions'!$D20/12,0)</f>
        <v/>
      </c>
      <c r="K137" s="301">
        <f>IF(K$5&gt;='Economic Assumptions'!$B20+'Economic Assumptions'!$G20+'Project Assumptions'!$D$15+'Project Assumptions'!$D$16,'Economic Assumptions'!$C20*'Economic Assumptions'!$D20/12,0)</f>
        <v/>
      </c>
      <c r="L137" s="301">
        <f>IF(L$5&gt;='Economic Assumptions'!$B20+'Economic Assumptions'!$G20+'Project Assumptions'!$D$15+'Project Assumptions'!$D$16,'Economic Assumptions'!$C20*'Economic Assumptions'!$D20/12,0)</f>
        <v/>
      </c>
      <c r="M137" s="301">
        <f>IF(M$5&gt;='Economic Assumptions'!$B20+'Economic Assumptions'!$G20+'Project Assumptions'!$D$15+'Project Assumptions'!$D$16,'Economic Assumptions'!$C20*'Economic Assumptions'!$D20/12,0)</f>
        <v/>
      </c>
      <c r="N137" s="301">
        <f>IF(N$5&gt;='Economic Assumptions'!$B20+'Economic Assumptions'!$G20+'Project Assumptions'!$D$15+'Project Assumptions'!$D$16,'Economic Assumptions'!$C20*'Economic Assumptions'!$D20/12,0)</f>
        <v/>
      </c>
      <c r="O137" s="301">
        <f>IF(O$5&gt;='Economic Assumptions'!$B20+'Economic Assumptions'!$G20+'Project Assumptions'!$D$15+'Project Assumptions'!$D$16,'Economic Assumptions'!$C20*'Economic Assumptions'!$D20/12,0)</f>
        <v/>
      </c>
      <c r="P137" s="301">
        <f>IF(P$5&gt;='Economic Assumptions'!$B20+'Economic Assumptions'!$G20+'Project Assumptions'!$D$15+'Project Assumptions'!$D$16,'Economic Assumptions'!$C20*'Economic Assumptions'!$D20/12,0)</f>
        <v/>
      </c>
      <c r="Q137" s="301">
        <f>IF(Q$5&gt;='Economic Assumptions'!$B20+'Economic Assumptions'!$G20+'Project Assumptions'!$D$15+'Project Assumptions'!$D$16,'Economic Assumptions'!$C20*'Economic Assumptions'!$D20/12,0)</f>
        <v/>
      </c>
      <c r="R137" s="301">
        <f>IF(R$5&gt;='Economic Assumptions'!$B20+'Economic Assumptions'!$G20+'Project Assumptions'!$D$15+'Project Assumptions'!$D$16,'Economic Assumptions'!$C20*'Economic Assumptions'!$D20/12,0)</f>
        <v/>
      </c>
      <c r="S137" s="301">
        <f>IF(S$5&gt;='Economic Assumptions'!$B20+'Economic Assumptions'!$G20+'Project Assumptions'!$D$15+'Project Assumptions'!$D$16,'Economic Assumptions'!$C20*'Economic Assumptions'!$D20/12,0)</f>
        <v/>
      </c>
      <c r="T137" s="301">
        <f>IF(T$5&gt;='Economic Assumptions'!$B20+'Economic Assumptions'!$G20+'Project Assumptions'!$D$15+'Project Assumptions'!$D$16,'Economic Assumptions'!$C20*'Economic Assumptions'!$D20/12,0)</f>
        <v/>
      </c>
      <c r="U137" s="301">
        <f>IF(U$5&gt;='Economic Assumptions'!$B20+'Economic Assumptions'!$G20+'Project Assumptions'!$D$15+'Project Assumptions'!$D$16,'Economic Assumptions'!$C20*'Economic Assumptions'!$D20/12,0)</f>
        <v/>
      </c>
      <c r="V137" s="301">
        <f>IF(V$5&gt;='Economic Assumptions'!$B20+'Economic Assumptions'!$G20+'Project Assumptions'!$D$15+'Project Assumptions'!$D$16,'Economic Assumptions'!$C20*'Economic Assumptions'!$D20/12,0)</f>
        <v/>
      </c>
      <c r="W137" s="301">
        <f>IF(W$5&gt;='Economic Assumptions'!$B20+'Economic Assumptions'!$G20+'Project Assumptions'!$D$15+'Project Assumptions'!$D$16,'Economic Assumptions'!$C20*'Economic Assumptions'!$D20/12,0)</f>
        <v/>
      </c>
      <c r="X137" s="301">
        <f>IF(X$5&gt;='Economic Assumptions'!$B20+'Economic Assumptions'!$G20+'Project Assumptions'!$D$15+'Project Assumptions'!$D$16,'Economic Assumptions'!$C20*'Economic Assumptions'!$D20/12,0)</f>
        <v/>
      </c>
      <c r="Y137" s="301">
        <f>IF(Y$5&gt;='Economic Assumptions'!$B20+'Economic Assumptions'!$G20+'Project Assumptions'!$D$15+'Project Assumptions'!$D$16,'Economic Assumptions'!$C20*'Economic Assumptions'!$D20/12,0)</f>
        <v/>
      </c>
      <c r="Z137" s="301">
        <f>IF(Z$5&gt;='Economic Assumptions'!$B20+'Economic Assumptions'!$G20+'Project Assumptions'!$D$15+'Project Assumptions'!$D$16,'Economic Assumptions'!$C20*'Economic Assumptions'!$D20/12,0)</f>
        <v/>
      </c>
      <c r="AA137" s="301">
        <f>IF(AA$5&gt;='Economic Assumptions'!$B20+'Economic Assumptions'!$G20+'Project Assumptions'!$D$15+'Project Assumptions'!$D$16,'Economic Assumptions'!$C20*'Economic Assumptions'!$D20/12,0)</f>
        <v/>
      </c>
      <c r="AB137" s="301">
        <f>IF(AB$5&gt;='Economic Assumptions'!$B20+'Economic Assumptions'!$G20+'Project Assumptions'!$D$15+'Project Assumptions'!$D$16,'Economic Assumptions'!$C20*'Economic Assumptions'!$D20/12,0)</f>
        <v/>
      </c>
      <c r="AC137" s="301">
        <f>IF(AC$5&gt;='Economic Assumptions'!$B20+'Economic Assumptions'!$G20+'Project Assumptions'!$D$15+'Project Assumptions'!$D$16,'Economic Assumptions'!$C20*'Economic Assumptions'!$D20/12,0)</f>
        <v/>
      </c>
      <c r="AD137" s="301">
        <f>IF(AD$5&gt;='Economic Assumptions'!$B20+'Economic Assumptions'!$G20+'Project Assumptions'!$D$15+'Project Assumptions'!$D$16,'Economic Assumptions'!$C20*'Economic Assumptions'!$D20/12,0)</f>
        <v/>
      </c>
      <c r="AE137" s="301">
        <f>IF(AE$5&gt;='Economic Assumptions'!$B20+'Economic Assumptions'!$G20+'Project Assumptions'!$D$15+'Project Assumptions'!$D$16,'Economic Assumptions'!$C20*'Economic Assumptions'!$D20/12,0)</f>
        <v/>
      </c>
      <c r="AF137" s="301">
        <f>IF(AF$5&gt;='Economic Assumptions'!$B20+'Economic Assumptions'!$G20+'Project Assumptions'!$D$15+'Project Assumptions'!$D$16,'Economic Assumptions'!$C20*'Economic Assumptions'!$D20/12,0)</f>
        <v/>
      </c>
      <c r="AG137" s="301">
        <f>IF(AG$5&gt;='Economic Assumptions'!$B20+'Economic Assumptions'!$G20+'Project Assumptions'!$D$15+'Project Assumptions'!$D$16,'Economic Assumptions'!$C20*'Economic Assumptions'!$D20/12,0)</f>
        <v/>
      </c>
      <c r="AH137" s="301">
        <f>IF(AH$5&gt;='Economic Assumptions'!$B20+'Economic Assumptions'!$G20+'Project Assumptions'!$D$15+'Project Assumptions'!$D$16,'Economic Assumptions'!$C20*'Economic Assumptions'!$D20/12,0)</f>
        <v/>
      </c>
      <c r="AI137" s="301">
        <f>IF(AI$5&gt;='Economic Assumptions'!$B20+'Economic Assumptions'!$G20+'Project Assumptions'!$D$15+'Project Assumptions'!$D$16,'Economic Assumptions'!$C20*'Economic Assumptions'!$D20/12,0)</f>
        <v/>
      </c>
      <c r="AJ137" s="301">
        <f>IF(AJ$5&gt;='Economic Assumptions'!$B20+'Economic Assumptions'!$G20+'Project Assumptions'!$D$15+'Project Assumptions'!$D$16,'Economic Assumptions'!$C20*'Economic Assumptions'!$D20/12,0)</f>
        <v/>
      </c>
      <c r="AK137" s="301">
        <f>IF(AK$5&gt;='Economic Assumptions'!$B20+'Economic Assumptions'!$G20+'Project Assumptions'!$D$15+'Project Assumptions'!$D$16,'Economic Assumptions'!$C20*'Economic Assumptions'!$D20/12,0)</f>
        <v/>
      </c>
      <c r="AL137" s="301">
        <f>IF(AL$5&gt;='Economic Assumptions'!$B20+'Economic Assumptions'!$G20+'Project Assumptions'!$D$15+'Project Assumptions'!$D$16,'Economic Assumptions'!$C20*'Economic Assumptions'!$D20/12,0)</f>
        <v/>
      </c>
      <c r="AM137" s="301">
        <f>IF(AM$5&gt;='Economic Assumptions'!$B20+'Economic Assumptions'!$G20+'Project Assumptions'!$D$15+'Project Assumptions'!$D$16,'Economic Assumptions'!$C20*'Economic Assumptions'!$D20/12,0)</f>
        <v/>
      </c>
      <c r="AN137" s="301">
        <f>IF(AN$5&gt;='Economic Assumptions'!$B20+'Economic Assumptions'!$G20+'Project Assumptions'!$D$15+'Project Assumptions'!$D$16,'Economic Assumptions'!$C20*'Economic Assumptions'!$D20/12,0)</f>
        <v/>
      </c>
      <c r="AO137" s="301">
        <f>IF(AO$5&gt;='Economic Assumptions'!$B20+'Economic Assumptions'!$G20+'Project Assumptions'!$D$15+'Project Assumptions'!$D$16,'Economic Assumptions'!$C20*'Economic Assumptions'!$D20/12,0)</f>
        <v/>
      </c>
      <c r="AP137" s="301">
        <f>IF(AP$5&gt;='Economic Assumptions'!$B20+'Economic Assumptions'!$G20+'Project Assumptions'!$D$15+'Project Assumptions'!$D$16,'Economic Assumptions'!$C20*'Economic Assumptions'!$D20/12,0)</f>
        <v/>
      </c>
      <c r="AQ137" s="301">
        <f>IF(AQ$5&gt;='Economic Assumptions'!$B20+'Economic Assumptions'!$G20+'Project Assumptions'!$D$15+'Project Assumptions'!$D$16,'Economic Assumptions'!$C20*'Economic Assumptions'!$D20/12,0)</f>
        <v/>
      </c>
      <c r="AR137" s="301">
        <f>IF(AR$5&gt;='Economic Assumptions'!$B20+'Economic Assumptions'!$G20+'Project Assumptions'!$D$15+'Project Assumptions'!$D$16,'Economic Assumptions'!$C20*'Economic Assumptions'!$D20/12,0)</f>
        <v/>
      </c>
      <c r="AS137" s="301">
        <f>IF(AS$5&gt;='Economic Assumptions'!$B20+'Economic Assumptions'!$G20+'Project Assumptions'!$D$15+'Project Assumptions'!$D$16,'Economic Assumptions'!$C20*'Economic Assumptions'!$D20/12,0)</f>
        <v/>
      </c>
      <c r="AT137" s="301">
        <f>IF(AT$5&gt;='Economic Assumptions'!$B20+'Economic Assumptions'!$G20+'Project Assumptions'!$D$15+'Project Assumptions'!$D$16,'Economic Assumptions'!$C20*'Economic Assumptions'!$D20/12,0)</f>
        <v/>
      </c>
      <c r="AU137" s="301">
        <f>IF(AU$5&gt;='Economic Assumptions'!$B20+'Economic Assumptions'!$G20+'Project Assumptions'!$D$15+'Project Assumptions'!$D$16,'Economic Assumptions'!$C20*'Economic Assumptions'!$D20/12,0)</f>
        <v/>
      </c>
      <c r="AV137" s="301">
        <f>IF(AV$5&gt;='Economic Assumptions'!$B20+'Economic Assumptions'!$G20+'Project Assumptions'!$D$15+'Project Assumptions'!$D$16,'Economic Assumptions'!$C20*'Economic Assumptions'!$D20/12,0)</f>
        <v/>
      </c>
      <c r="AW137" s="301">
        <f>IF(AW$5&gt;='Economic Assumptions'!$B20+'Economic Assumptions'!$G20+'Project Assumptions'!$D$15+'Project Assumptions'!$D$16,'Economic Assumptions'!$C20*'Economic Assumptions'!$D20/12,0)</f>
        <v/>
      </c>
      <c r="AX137" s="301">
        <f>IF(AX$5&gt;='Economic Assumptions'!$B20+'Economic Assumptions'!$G20+'Project Assumptions'!$D$15+'Project Assumptions'!$D$16,'Economic Assumptions'!$C20*'Economic Assumptions'!$D20/12,0)</f>
        <v/>
      </c>
      <c r="AY137" s="301">
        <f>IF(AY$5&gt;='Economic Assumptions'!$B20+'Economic Assumptions'!$G20+'Project Assumptions'!$D$15+'Project Assumptions'!$D$16,'Economic Assumptions'!$C20*'Economic Assumptions'!$D20/12,0)</f>
        <v/>
      </c>
      <c r="AZ137" s="301">
        <f>IF(AZ$5&gt;='Economic Assumptions'!$B20+'Economic Assumptions'!$G20+'Project Assumptions'!$D$15+'Project Assumptions'!$D$16,'Economic Assumptions'!$C20*'Economic Assumptions'!$D20/12,0)</f>
        <v/>
      </c>
      <c r="BA137" s="301">
        <f>IF(BA$5&gt;='Economic Assumptions'!$B20+'Economic Assumptions'!$G20+'Project Assumptions'!$D$15+'Project Assumptions'!$D$16,'Economic Assumptions'!$C20*'Economic Assumptions'!$D20/12,0)</f>
        <v/>
      </c>
      <c r="BB137" s="301">
        <f>IF(BB$5&gt;='Economic Assumptions'!$B20+'Economic Assumptions'!$G20+'Project Assumptions'!$D$15+'Project Assumptions'!$D$16,'Economic Assumptions'!$C20*'Economic Assumptions'!$D20/12,0)</f>
        <v/>
      </c>
      <c r="BC137" s="301">
        <f>IF(BC$5&gt;='Economic Assumptions'!$B20+'Economic Assumptions'!$G20+'Project Assumptions'!$D$15+'Project Assumptions'!$D$16,'Economic Assumptions'!$C20*'Economic Assumptions'!$D20/12,0)</f>
        <v/>
      </c>
      <c r="BD137" s="301">
        <f>IF(BD$5&gt;='Economic Assumptions'!$B20+'Economic Assumptions'!$G20+'Project Assumptions'!$D$15+'Project Assumptions'!$D$16,'Economic Assumptions'!$C20*'Economic Assumptions'!$D20/12,0)</f>
        <v/>
      </c>
      <c r="BE137" s="301">
        <f>IF(BE$5&gt;='Economic Assumptions'!$B20+'Economic Assumptions'!$G20+'Project Assumptions'!$D$15+'Project Assumptions'!$D$16,'Economic Assumptions'!$C20*'Economic Assumptions'!$D20/12,0)</f>
        <v/>
      </c>
      <c r="BF137" s="301">
        <f>IF(BF$5&gt;='Economic Assumptions'!$B20+'Economic Assumptions'!$G20+'Project Assumptions'!$D$15+'Project Assumptions'!$D$16,'Economic Assumptions'!$C20*'Economic Assumptions'!$D20/12,0)</f>
        <v/>
      </c>
      <c r="BG137" s="301">
        <f>IF(BG$5&gt;='Economic Assumptions'!$B20+'Economic Assumptions'!$G20+'Project Assumptions'!$D$15+'Project Assumptions'!$D$16,'Economic Assumptions'!$C20*'Economic Assumptions'!$D20/12,0)</f>
        <v/>
      </c>
      <c r="BH137" s="301">
        <f>IF(BH$5&gt;='Economic Assumptions'!$B20+'Economic Assumptions'!$G20+'Project Assumptions'!$D$15+'Project Assumptions'!$D$16,'Economic Assumptions'!$C20*'Economic Assumptions'!$D20/12,0)</f>
        <v/>
      </c>
      <c r="BI137" s="301">
        <f>IF(BI$5&gt;='Economic Assumptions'!$B20+'Economic Assumptions'!$G20+'Project Assumptions'!$D$15+'Project Assumptions'!$D$16,'Economic Assumptions'!$C20*'Economic Assumptions'!$D20/12,0)</f>
        <v/>
      </c>
      <c r="BJ137" s="301">
        <f>IF(BJ$5&gt;='Economic Assumptions'!$B20+'Economic Assumptions'!$G20+'Project Assumptions'!$D$15+'Project Assumptions'!$D$16,'Economic Assumptions'!$C20*'Economic Assumptions'!$D20/12,0)</f>
        <v/>
      </c>
      <c r="BK137" s="301">
        <f>IF(BK$5&gt;='Economic Assumptions'!$B20+'Economic Assumptions'!$G20+'Project Assumptions'!$D$15+'Project Assumptions'!$D$16,'Economic Assumptions'!$C20*'Economic Assumptions'!$D20/12,0)</f>
        <v/>
      </c>
      <c r="BL137" s="301">
        <f>IF(BL$5&gt;='Economic Assumptions'!$B20+'Economic Assumptions'!$G20+'Project Assumptions'!$D$15+'Project Assumptions'!$D$16,'Economic Assumptions'!$C20*'Economic Assumptions'!$D20/12,0)</f>
        <v/>
      </c>
      <c r="BM137" s="301">
        <f>IF(BM$5&gt;='Economic Assumptions'!$B20+'Economic Assumptions'!$G20+'Project Assumptions'!$D$15+'Project Assumptions'!$D$16,'Economic Assumptions'!$C20*'Economic Assumptions'!$D20/12,0)</f>
        <v/>
      </c>
      <c r="BN137" s="301">
        <f>IF(BN$5&gt;='Economic Assumptions'!$B20+'Economic Assumptions'!$G20+'Project Assumptions'!$D$15+'Project Assumptions'!$D$16,'Economic Assumptions'!$C20*'Economic Assumptions'!$D20/12,0)</f>
        <v/>
      </c>
      <c r="BO137" s="301">
        <f>IF(BO$5&gt;='Economic Assumptions'!$B20+'Economic Assumptions'!$G20+'Project Assumptions'!$D$15+'Project Assumptions'!$D$16,'Economic Assumptions'!$C20*'Economic Assumptions'!$D20/12,0)</f>
        <v/>
      </c>
      <c r="BP137" s="301">
        <f>IF(BP$5&gt;='Economic Assumptions'!$B20+'Economic Assumptions'!$G20+'Project Assumptions'!$D$15+'Project Assumptions'!$D$16,'Economic Assumptions'!$C20*'Economic Assumptions'!$D20/12,0)</f>
        <v/>
      </c>
      <c r="BQ137" s="301">
        <f>IF(BQ$5&gt;='Economic Assumptions'!$B20+'Economic Assumptions'!$G20+'Project Assumptions'!$D$15+'Project Assumptions'!$D$16,'Economic Assumptions'!$C20*'Economic Assumptions'!$D20/12,0)</f>
        <v/>
      </c>
      <c r="BR137" s="301">
        <f>IF(BR$5&gt;='Economic Assumptions'!$B20+'Economic Assumptions'!$G20+'Project Assumptions'!$D$15+'Project Assumptions'!$D$16,'Economic Assumptions'!$C20*'Economic Assumptions'!$D20/12,0)</f>
        <v/>
      </c>
      <c r="BS137" s="301">
        <f>IF(BS$5&gt;='Economic Assumptions'!$B20+'Economic Assumptions'!$G20+'Project Assumptions'!$D$15+'Project Assumptions'!$D$16,'Economic Assumptions'!$C20*'Economic Assumptions'!$D20/12,0)</f>
        <v/>
      </c>
      <c r="BT137" s="301">
        <f>IF(BT$5&gt;='Economic Assumptions'!$B20+'Economic Assumptions'!$G20+'Project Assumptions'!$D$15+'Project Assumptions'!$D$16,'Economic Assumptions'!$C20*'Economic Assumptions'!$D20/12,0)</f>
        <v/>
      </c>
      <c r="BU137" s="301">
        <f>IF(BU$5&gt;='Economic Assumptions'!$B20+'Economic Assumptions'!$G20+'Project Assumptions'!$D$15+'Project Assumptions'!$D$16,'Economic Assumptions'!$C20*'Economic Assumptions'!$D20/12,0)</f>
        <v/>
      </c>
      <c r="BV137" s="301">
        <f>IF(BV$5&gt;='Economic Assumptions'!$B20+'Economic Assumptions'!$G20+'Project Assumptions'!$D$15+'Project Assumptions'!$D$16,'Economic Assumptions'!$C20*'Economic Assumptions'!$D20/12,0)</f>
        <v/>
      </c>
      <c r="BW137" s="301">
        <f>IF(BW$5&gt;='Economic Assumptions'!$B20+'Economic Assumptions'!$G20+'Project Assumptions'!$D$15+'Project Assumptions'!$D$16,'Economic Assumptions'!$C20*'Economic Assumptions'!$D20/12,0)</f>
        <v/>
      </c>
      <c r="BX137" s="301">
        <f>IF(BX$5&gt;='Economic Assumptions'!$B20+'Economic Assumptions'!$G20+'Project Assumptions'!$D$15+'Project Assumptions'!$D$16,'Economic Assumptions'!$C20*'Economic Assumptions'!$D20/12,0)</f>
        <v/>
      </c>
      <c r="BY137" s="301">
        <f>IF(BY$5&gt;='Economic Assumptions'!$B20+'Economic Assumptions'!$G20+'Project Assumptions'!$D$15+'Project Assumptions'!$D$16,'Economic Assumptions'!$C20*'Economic Assumptions'!$D20/12,0)</f>
        <v/>
      </c>
      <c r="BZ137" s="301">
        <f>IF(BZ$5&gt;='Economic Assumptions'!$B20+'Economic Assumptions'!$G20+'Project Assumptions'!$D$15+'Project Assumptions'!$D$16,'Economic Assumptions'!$C20*'Economic Assumptions'!$D20/12,0)</f>
        <v/>
      </c>
      <c r="CA137" s="301">
        <f>IF(CA$5&gt;='Economic Assumptions'!$B20+'Economic Assumptions'!$G20+'Project Assumptions'!$D$15+'Project Assumptions'!$D$16,'Economic Assumptions'!$C20*'Economic Assumptions'!$D20/12,0)</f>
        <v/>
      </c>
      <c r="CB137" s="301">
        <f>IF(CB$5&gt;='Economic Assumptions'!$B20+'Economic Assumptions'!$G20+'Project Assumptions'!$D$15+'Project Assumptions'!$D$16,'Economic Assumptions'!$C20*'Economic Assumptions'!$D20/12,0)</f>
        <v/>
      </c>
      <c r="CC137" s="301">
        <f>IF(CC$5&gt;='Economic Assumptions'!$B20+'Economic Assumptions'!$G20+'Project Assumptions'!$D$15+'Project Assumptions'!$D$16,'Economic Assumptions'!$C20*'Economic Assumptions'!$D20/12,0)</f>
        <v/>
      </c>
      <c r="CD137" s="301">
        <f>IF(CD$5&gt;='Economic Assumptions'!$B20+'Economic Assumptions'!$G20+'Project Assumptions'!$D$15+'Project Assumptions'!$D$16,'Economic Assumptions'!$C20*'Economic Assumptions'!$D20/12,0)</f>
        <v/>
      </c>
      <c r="CE137" s="301">
        <f>IF(CE$5&gt;='Economic Assumptions'!$B20+'Economic Assumptions'!$G20+'Project Assumptions'!$D$15+'Project Assumptions'!$D$16,'Economic Assumptions'!$C20*'Economic Assumptions'!$D20/12,0)</f>
        <v/>
      </c>
      <c r="CF137" s="301">
        <f>IF(CF$5&gt;='Economic Assumptions'!$B20+'Economic Assumptions'!$G20+'Project Assumptions'!$D$15+'Project Assumptions'!$D$16,'Economic Assumptions'!$C20*'Economic Assumptions'!$D20/12,0)</f>
        <v/>
      </c>
      <c r="CG137" s="301">
        <f>IF(CG$5&gt;='Economic Assumptions'!$B20+'Economic Assumptions'!$G20+'Project Assumptions'!$D$15+'Project Assumptions'!$D$16,'Economic Assumptions'!$C20*'Economic Assumptions'!$D20/12,0)</f>
        <v/>
      </c>
      <c r="CH137" s="301">
        <f>IF(CH$5&gt;='Economic Assumptions'!$B20+'Economic Assumptions'!$G20+'Project Assumptions'!$D$15+'Project Assumptions'!$D$16,'Economic Assumptions'!$C20*'Economic Assumptions'!$D20/12,0)</f>
        <v/>
      </c>
      <c r="CI137" s="301">
        <f>IF(CI$5&gt;='Economic Assumptions'!$B20+'Economic Assumptions'!$G20+'Project Assumptions'!$D$15+'Project Assumptions'!$D$16,'Economic Assumptions'!$C20*'Economic Assumptions'!$D20/12,0)</f>
        <v/>
      </c>
      <c r="CJ137" s="301">
        <f>IF(CJ$5&gt;='Economic Assumptions'!$B20+'Economic Assumptions'!$G20+'Project Assumptions'!$D$15+'Project Assumptions'!$D$16,'Economic Assumptions'!$C20*'Economic Assumptions'!$D20/12,0)</f>
        <v/>
      </c>
      <c r="CK137" s="301">
        <f>IF(CK$5&gt;='Economic Assumptions'!$B20+'Economic Assumptions'!$G20+'Project Assumptions'!$D$15+'Project Assumptions'!$D$16,'Economic Assumptions'!$C20*'Economic Assumptions'!$D20/12,0)</f>
        <v/>
      </c>
      <c r="CL137" s="301">
        <f>IF(CL$5&gt;='Economic Assumptions'!$B20+'Economic Assumptions'!$G20+'Project Assumptions'!$D$15+'Project Assumptions'!$D$16,'Economic Assumptions'!$C20*'Economic Assumptions'!$D20/12,0)</f>
        <v/>
      </c>
      <c r="CM137" s="301">
        <f>IF(CM$5&gt;='Economic Assumptions'!$B20+'Economic Assumptions'!$G20+'Project Assumptions'!$D$15+'Project Assumptions'!$D$16,'Economic Assumptions'!$C20*'Economic Assumptions'!$D20/12,0)</f>
        <v/>
      </c>
      <c r="CN137" s="301">
        <f>IF(CN$5&gt;='Economic Assumptions'!$B20+'Economic Assumptions'!$G20+'Project Assumptions'!$D$15+'Project Assumptions'!$D$16,'Economic Assumptions'!$C20*'Economic Assumptions'!$D20/12,0)</f>
        <v/>
      </c>
      <c r="CO137" s="301">
        <f>IF(CO$5&gt;='Economic Assumptions'!$B20+'Economic Assumptions'!$G20+'Project Assumptions'!$D$15+'Project Assumptions'!$D$16,'Economic Assumptions'!$C20*'Economic Assumptions'!$D20/12,0)</f>
        <v/>
      </c>
      <c r="CP137" s="301">
        <f>IF(CP$5&gt;='Economic Assumptions'!$B20+'Economic Assumptions'!$G20+'Project Assumptions'!$D$15+'Project Assumptions'!$D$16,'Economic Assumptions'!$C20*'Economic Assumptions'!$D20/12,0)</f>
        <v/>
      </c>
      <c r="CQ137" s="301">
        <f>IF(CQ$5&gt;='Economic Assumptions'!$B20+'Economic Assumptions'!$G20+'Project Assumptions'!$D$15+'Project Assumptions'!$D$16,'Economic Assumptions'!$C20*'Economic Assumptions'!$D20/12,0)</f>
        <v/>
      </c>
      <c r="CR137" s="301">
        <f>IF(CR$5&gt;='Economic Assumptions'!$B20+'Economic Assumptions'!$G20+'Project Assumptions'!$D$15+'Project Assumptions'!$D$16,'Economic Assumptions'!$C20*'Economic Assumptions'!$D20/12,0)</f>
        <v/>
      </c>
      <c r="CS137" s="301">
        <f>IF(CS$5&gt;='Economic Assumptions'!$B20+'Economic Assumptions'!$G20+'Project Assumptions'!$D$15+'Project Assumptions'!$D$16,'Economic Assumptions'!$C20*'Economic Assumptions'!$D20/12,0)</f>
        <v/>
      </c>
      <c r="CT137" s="301">
        <f>IF(CT$5&gt;='Economic Assumptions'!$B20+'Economic Assumptions'!$G20+'Project Assumptions'!$D$15+'Project Assumptions'!$D$16,'Economic Assumptions'!$C20*'Economic Assumptions'!$D20/12,0)</f>
        <v/>
      </c>
      <c r="CU137" s="301">
        <f>IF(CU$5&gt;='Economic Assumptions'!$B20+'Economic Assumptions'!$G20+'Project Assumptions'!$D$15+'Project Assumptions'!$D$16,'Economic Assumptions'!$C20*'Economic Assumptions'!$D20/12,0)</f>
        <v/>
      </c>
      <c r="CV137" s="301">
        <f>IF(CV$5&gt;='Economic Assumptions'!$B20+'Economic Assumptions'!$G20+'Project Assumptions'!$D$15+'Project Assumptions'!$D$16,'Economic Assumptions'!$C20*'Economic Assumptions'!$D20/12,0)</f>
        <v/>
      </c>
      <c r="CW137" s="301">
        <f>IF(CW$5&gt;='Economic Assumptions'!$B20+'Economic Assumptions'!$G20+'Project Assumptions'!$D$15+'Project Assumptions'!$D$16,'Economic Assumptions'!$C20*'Economic Assumptions'!$D20/12,0)</f>
        <v/>
      </c>
      <c r="CX137" s="301">
        <f>IF(CX$5&gt;='Economic Assumptions'!$B20+'Economic Assumptions'!$G20+'Project Assumptions'!$D$15+'Project Assumptions'!$D$16,'Economic Assumptions'!$C20*'Economic Assumptions'!$D20/12,0)</f>
        <v/>
      </c>
      <c r="CY137" s="301">
        <f>IF(CY$5&gt;='Economic Assumptions'!$B20+'Economic Assumptions'!$G20+'Project Assumptions'!$D$15+'Project Assumptions'!$D$16,'Economic Assumptions'!$C20*'Economic Assumptions'!$D20/12,0)</f>
        <v/>
      </c>
      <c r="CZ137" s="301">
        <f>IF(CZ$5&gt;='Economic Assumptions'!$B20+'Economic Assumptions'!$G20+'Project Assumptions'!$D$15+'Project Assumptions'!$D$16,'Economic Assumptions'!$C20*'Economic Assumptions'!$D20/12,0)</f>
        <v/>
      </c>
      <c r="DA137" s="301">
        <f>IF(DA$5&gt;='Economic Assumptions'!$B20+'Economic Assumptions'!$G20+'Project Assumptions'!$D$15+'Project Assumptions'!$D$16,'Economic Assumptions'!$C20*'Economic Assumptions'!$D20/12,0)</f>
        <v/>
      </c>
      <c r="DB137" s="301">
        <f>IF(DB$5&gt;='Economic Assumptions'!$B20+'Economic Assumptions'!$G20+'Project Assumptions'!$D$15+'Project Assumptions'!$D$16,'Economic Assumptions'!$C20*'Economic Assumptions'!$D20/12,0)</f>
        <v/>
      </c>
      <c r="DC137" s="301" t="n"/>
      <c r="DD137" s="299" t="n"/>
    </row>
    <row r="138" collapsed="1">
      <c r="A138" s="1000" t="n"/>
      <c r="B138" s="711" t="inlineStr">
        <is>
          <t>Parking Income</t>
        </is>
      </c>
      <c r="C138" s="700" t="n"/>
      <c r="D138" s="292">
        <f>DD138</f>
        <v/>
      </c>
      <c r="E138" s="641" t="n"/>
      <c r="F138" s="293" t="n"/>
      <c r="G138" s="293">
        <f>IF(G5&lt;='Project Returns'!$F$32,SUM(G139),0)</f>
        <v/>
      </c>
      <c r="H138" s="293">
        <f>IF(H5&lt;='Project Returns'!$F$32,SUM(H139),0)</f>
        <v/>
      </c>
      <c r="I138" s="293">
        <f>IF(I5&lt;='Project Returns'!$F$32,SUM(I139),0)</f>
        <v/>
      </c>
      <c r="J138" s="293">
        <f>IF(J5&lt;='Project Returns'!$F$32,SUM(J139),0)</f>
        <v/>
      </c>
      <c r="K138" s="293">
        <f>IF(K5&lt;='Project Returns'!$F$32,SUM(K139),0)</f>
        <v/>
      </c>
      <c r="L138" s="293">
        <f>IF(L5&lt;='Project Returns'!$F$32,SUM(L139),0)</f>
        <v/>
      </c>
      <c r="M138" s="293">
        <f>IF(M5&lt;='Project Returns'!$F$32,SUM(M139),0)</f>
        <v/>
      </c>
      <c r="N138" s="293">
        <f>IF(N5&lt;='Project Returns'!$F$32,SUM(N139),0)</f>
        <v/>
      </c>
      <c r="O138" s="293">
        <f>IF(O5&lt;='Project Returns'!$F$32,SUM(O139),0)</f>
        <v/>
      </c>
      <c r="P138" s="293">
        <f>IF(P5&lt;='Project Returns'!$F$32,SUM(P139),0)</f>
        <v/>
      </c>
      <c r="Q138" s="293">
        <f>IF(Q5&lt;='Project Returns'!$F$32,SUM(Q139),0)</f>
        <v/>
      </c>
      <c r="R138" s="293">
        <f>IF(R5&lt;='Project Returns'!$F$32,SUM(R139),0)</f>
        <v/>
      </c>
      <c r="S138" s="293">
        <f>IF(S5&lt;='Project Returns'!$F$32,SUM(S139),0)</f>
        <v/>
      </c>
      <c r="T138" s="293">
        <f>IF(T5&lt;='Project Returns'!$F$32,SUM(T139),0)</f>
        <v/>
      </c>
      <c r="U138" s="293">
        <f>IF(U5&lt;='Project Returns'!$F$32,SUM(U139),0)</f>
        <v/>
      </c>
      <c r="V138" s="293">
        <f>IF(V5&lt;='Project Returns'!$F$32,SUM(V139),0)</f>
        <v/>
      </c>
      <c r="W138" s="293">
        <f>IF(W5&lt;='Project Returns'!$F$32,SUM(W139),0)</f>
        <v/>
      </c>
      <c r="X138" s="293">
        <f>IF(X5&lt;='Project Returns'!$F$32,SUM(X139),0)</f>
        <v/>
      </c>
      <c r="Y138" s="293">
        <f>IF(Y5&lt;='Project Returns'!$F$32,SUM(Y139),0)</f>
        <v/>
      </c>
      <c r="Z138" s="293">
        <f>IF(Z5&lt;='Project Returns'!$F$32,SUM(Z139),0)</f>
        <v/>
      </c>
      <c r="AA138" s="293">
        <f>IF(AA5&lt;='Project Returns'!$F$32,SUM(AA139),0)</f>
        <v/>
      </c>
      <c r="AB138" s="293">
        <f>IF(AB5&lt;='Project Returns'!$F$32,SUM(AB139),0)</f>
        <v/>
      </c>
      <c r="AC138" s="293">
        <f>IF(AC5&lt;='Project Returns'!$F$32,SUM(AC139),0)</f>
        <v/>
      </c>
      <c r="AD138" s="293">
        <f>IF(AD5&lt;='Project Returns'!$F$32,SUM(AD139),0)</f>
        <v/>
      </c>
      <c r="AE138" s="293">
        <f>IF(AE5&lt;='Project Returns'!$F$32,SUM(AE139),0)</f>
        <v/>
      </c>
      <c r="AF138" s="293">
        <f>IF(AF5&lt;='Project Returns'!$F$32,SUM(AF139),0)</f>
        <v/>
      </c>
      <c r="AG138" s="293">
        <f>IF(AG5&lt;='Project Returns'!$F$32,SUM(AG139),0)</f>
        <v/>
      </c>
      <c r="AH138" s="293">
        <f>IF(AH5&lt;='Project Returns'!$F$32,SUM(AH139),0)</f>
        <v/>
      </c>
      <c r="AI138" s="293">
        <f>IF(AI5&lt;='Project Returns'!$F$32,SUM(AI139),0)</f>
        <v/>
      </c>
      <c r="AJ138" s="293">
        <f>IF(AJ5&lt;='Project Returns'!$F$32,SUM(AJ139),0)</f>
        <v/>
      </c>
      <c r="AK138" s="293">
        <f>IF(AK5&lt;='Project Returns'!$F$32,SUM(AK139),0)</f>
        <v/>
      </c>
      <c r="AL138" s="293">
        <f>IF(AL5&lt;='Project Returns'!$F$32,SUM(AL139),0)</f>
        <v/>
      </c>
      <c r="AM138" s="293">
        <f>IF(AM5&lt;='Project Returns'!$F$32,SUM(AM139),0)</f>
        <v/>
      </c>
      <c r="AN138" s="293">
        <f>IF(AN5&lt;='Project Returns'!$F$32,SUM(AN139),0)</f>
        <v/>
      </c>
      <c r="AO138" s="293">
        <f>IF(AO5&lt;='Project Returns'!$F$32,SUM(AO139),0)</f>
        <v/>
      </c>
      <c r="AP138" s="293">
        <f>IF(AP5&lt;='Project Returns'!$F$32,SUM(AP139),0)</f>
        <v/>
      </c>
      <c r="AQ138" s="293">
        <f>IF(AQ5&lt;='Project Returns'!$F$32,SUM(AQ139),0)</f>
        <v/>
      </c>
      <c r="AR138" s="293">
        <f>IF(AR5&lt;='Project Returns'!$F$32,SUM(AR139),0)</f>
        <v/>
      </c>
      <c r="AS138" s="293">
        <f>IF(AS5&lt;='Project Returns'!$F$32,SUM(AS139),0)</f>
        <v/>
      </c>
      <c r="AT138" s="293">
        <f>IF(AT5&lt;='Project Returns'!$F$32,SUM(AT139),0)</f>
        <v/>
      </c>
      <c r="AU138" s="293">
        <f>IF(AU5&lt;='Project Returns'!$F$32,SUM(AU139),0)</f>
        <v/>
      </c>
      <c r="AV138" s="293">
        <f>IF(AV5&lt;='Project Returns'!$F$32,SUM(AV139),0)</f>
        <v/>
      </c>
      <c r="AW138" s="293">
        <f>IF(AW5&lt;='Project Returns'!$F$32,SUM(AW139),0)</f>
        <v/>
      </c>
      <c r="AX138" s="293">
        <f>IF(AX5&lt;='Project Returns'!$F$32,SUM(AX139),0)</f>
        <v/>
      </c>
      <c r="AY138" s="293">
        <f>IF(AY5&lt;='Project Returns'!$F$32,SUM(AY139),0)</f>
        <v/>
      </c>
      <c r="AZ138" s="293">
        <f>IF(AZ5&lt;='Project Returns'!$F$32,SUM(AZ139),0)</f>
        <v/>
      </c>
      <c r="BA138" s="293">
        <f>IF(BA5&lt;='Project Returns'!$F$32,SUM(BA139),0)</f>
        <v/>
      </c>
      <c r="BB138" s="293">
        <f>IF(BB5&lt;='Project Returns'!$F$32,SUM(BB139),0)</f>
        <v/>
      </c>
      <c r="BC138" s="293">
        <f>IF(BC5&lt;='Project Returns'!$F$32,SUM(BC139),0)</f>
        <v/>
      </c>
      <c r="BD138" s="293">
        <f>IF(BD5&lt;='Project Returns'!$F$32,SUM(BD139),0)</f>
        <v/>
      </c>
      <c r="BE138" s="293">
        <f>IF(BE5&lt;='Project Returns'!$F$32,SUM(BE139),0)</f>
        <v/>
      </c>
      <c r="BF138" s="293">
        <f>IF(BF5&lt;='Project Returns'!$F$32,SUM(BF139),0)</f>
        <v/>
      </c>
      <c r="BG138" s="293">
        <f>IF(BG5&lt;='Project Returns'!$F$32,SUM(BG139),0)</f>
        <v/>
      </c>
      <c r="BH138" s="293">
        <f>IF(BH5&lt;='Project Returns'!$F$32,SUM(BH139),0)</f>
        <v/>
      </c>
      <c r="BI138" s="293">
        <f>IF(BI5&lt;='Project Returns'!$F$32,SUM(BI139),0)</f>
        <v/>
      </c>
      <c r="BJ138" s="293">
        <f>IF(BJ5&lt;='Project Returns'!$F$32,SUM(BJ139),0)</f>
        <v/>
      </c>
      <c r="BK138" s="293">
        <f>IF(BK5&lt;='Project Returns'!$F$32,SUM(BK139),0)</f>
        <v/>
      </c>
      <c r="BL138" s="293">
        <f>IF(BL5&lt;='Project Returns'!$F$32,SUM(BL139),0)</f>
        <v/>
      </c>
      <c r="BM138" s="293">
        <f>IF(BM5&lt;='Project Returns'!$F$32,SUM(BM139),0)</f>
        <v/>
      </c>
      <c r="BN138" s="293">
        <f>IF(BN5&lt;='Project Returns'!$F$32,SUM(BN139),0)</f>
        <v/>
      </c>
      <c r="BO138" s="293">
        <f>IF(BO5&lt;='Project Returns'!$F$32,SUM(BO139),0)</f>
        <v/>
      </c>
      <c r="BP138" s="293">
        <f>IF(BP5&lt;='Project Returns'!$F$32,SUM(BP139),0)</f>
        <v/>
      </c>
      <c r="BQ138" s="293">
        <f>IF(BQ5&lt;='Project Returns'!$F$32,SUM(BQ139),0)</f>
        <v/>
      </c>
      <c r="BR138" s="293">
        <f>IF(BR5&lt;='Project Returns'!$F$32,SUM(BR139),0)</f>
        <v/>
      </c>
      <c r="BS138" s="293">
        <f>IF(BS5&lt;='Project Returns'!$F$32,SUM(BS139),0)</f>
        <v/>
      </c>
      <c r="BT138" s="293">
        <f>IF(BT5&lt;='Project Returns'!$F$32,SUM(BT139),0)</f>
        <v/>
      </c>
      <c r="BU138" s="293">
        <f>IF(BU5&lt;='Project Returns'!$F$32,SUM(BU139),0)</f>
        <v/>
      </c>
      <c r="BV138" s="293">
        <f>IF(BV5&lt;='Project Returns'!$F$32,SUM(BV139),0)</f>
        <v/>
      </c>
      <c r="BW138" s="293">
        <f>IF(BW5&lt;='Project Returns'!$F$32,SUM(BW139),0)</f>
        <v/>
      </c>
      <c r="BX138" s="293">
        <f>IF(BX5&lt;='Project Returns'!$F$32,SUM(BX139),0)</f>
        <v/>
      </c>
      <c r="BY138" s="293">
        <f>IF(BY5&lt;='Project Returns'!$F$32,SUM(BY139),0)</f>
        <v/>
      </c>
      <c r="BZ138" s="293">
        <f>IF(BZ5&lt;='Project Returns'!$F$32,SUM(BZ139),0)</f>
        <v/>
      </c>
      <c r="CA138" s="293">
        <f>IF(CA5&lt;='Project Returns'!$F$32,SUM(CA139),0)</f>
        <v/>
      </c>
      <c r="CB138" s="293">
        <f>IF(CB5&lt;='Project Returns'!$F$32,SUM(CB139),0)</f>
        <v/>
      </c>
      <c r="CC138" s="293">
        <f>IF(CC5&lt;='Project Returns'!$F$32,SUM(CC139),0)</f>
        <v/>
      </c>
      <c r="CD138" s="293">
        <f>IF(CD5&lt;='Project Returns'!$F$32,SUM(CD139),0)</f>
        <v/>
      </c>
      <c r="CE138" s="293">
        <f>IF(CE5&lt;='Project Returns'!$F$32,SUM(CE139),0)</f>
        <v/>
      </c>
      <c r="CF138" s="293">
        <f>IF(CF5&lt;='Project Returns'!$F$32,SUM(CF139),0)</f>
        <v/>
      </c>
      <c r="CG138" s="293">
        <f>IF(CG5&lt;='Project Returns'!$F$32,SUM(CG139),0)</f>
        <v/>
      </c>
      <c r="CH138" s="293">
        <f>IF(CH5&lt;='Project Returns'!$F$32,SUM(CH139),0)</f>
        <v/>
      </c>
      <c r="CI138" s="293">
        <f>IF(CI5&lt;='Project Returns'!$F$32,SUM(CI139),0)</f>
        <v/>
      </c>
      <c r="CJ138" s="293">
        <f>IF(CJ5&lt;='Project Returns'!$F$32,SUM(CJ139),0)</f>
        <v/>
      </c>
      <c r="CK138" s="293">
        <f>IF(CK5&lt;='Project Returns'!$F$32,SUM(CK139),0)</f>
        <v/>
      </c>
      <c r="CL138" s="293">
        <f>IF(CL5&lt;='Project Returns'!$F$32,SUM(CL139),0)</f>
        <v/>
      </c>
      <c r="CM138" s="293">
        <f>IF(CM5&lt;='Project Returns'!$F$32,SUM(CM139),0)</f>
        <v/>
      </c>
      <c r="CN138" s="293">
        <f>IF(CN5&lt;='Project Returns'!$F$32,SUM(CN139),0)</f>
        <v/>
      </c>
      <c r="CO138" s="293">
        <f>IF(CO5&lt;='Project Returns'!$F$32,SUM(CO139),0)</f>
        <v/>
      </c>
      <c r="CP138" s="293">
        <f>IF(CP5&lt;='Project Returns'!$F$32,SUM(CP139),0)</f>
        <v/>
      </c>
      <c r="CQ138" s="293">
        <f>IF(CQ5&lt;='Project Returns'!$F$32,SUM(CQ139),0)</f>
        <v/>
      </c>
      <c r="CR138" s="293">
        <f>IF(CR5&lt;='Project Returns'!$F$32,SUM(CR139),0)</f>
        <v/>
      </c>
      <c r="CS138" s="293">
        <f>IF(CS5&lt;='Project Returns'!$F$32,SUM(CS139),0)</f>
        <v/>
      </c>
      <c r="CT138" s="293">
        <f>IF(CT5&lt;='Project Returns'!$F$32,SUM(CT139),0)</f>
        <v/>
      </c>
      <c r="CU138" s="293">
        <f>IF(CU5&lt;='Project Returns'!$F$32,SUM(CU139),0)</f>
        <v/>
      </c>
      <c r="CV138" s="293">
        <f>IF(CV5&lt;='Project Returns'!$F$32,SUM(CV139),0)</f>
        <v/>
      </c>
      <c r="CW138" s="293">
        <f>IF(CW5&lt;='Project Returns'!$F$32,SUM(CW139),0)</f>
        <v/>
      </c>
      <c r="CX138" s="293">
        <f>IF(CX5&lt;='Project Returns'!$F$32,SUM(CX139),0)</f>
        <v/>
      </c>
      <c r="CY138" s="293">
        <f>IF(CY5&lt;='Project Returns'!$F$32,SUM(CY139),0)</f>
        <v/>
      </c>
      <c r="CZ138" s="293">
        <f>IF(CZ5&lt;='Project Returns'!$F$32,SUM(CZ139),0)</f>
        <v/>
      </c>
      <c r="DA138" s="293">
        <f>IF(DA5&lt;='Project Returns'!$F$32,SUM(DA139),0)</f>
        <v/>
      </c>
      <c r="DB138" s="293">
        <f>IF(DB5&lt;='Project Returns'!$F$32,SUM(DB139),0)</f>
        <v/>
      </c>
      <c r="DC138" s="293" t="n"/>
      <c r="DD138" s="292">
        <f>SUM(F138:DB138)</f>
        <v/>
      </c>
    </row>
    <row r="139">
      <c r="A139" s="1000" t="n"/>
      <c r="B139" s="710" t="inlineStr">
        <is>
          <t>Parking Income</t>
        </is>
      </c>
      <c r="C139" s="337" t="n"/>
      <c r="D139" s="305" t="n"/>
      <c r="E139" s="306" t="n"/>
      <c r="F139" s="891" t="n"/>
      <c r="G139" s="891">
        <f>IF(G5&gt;'Project Assumptions'!$D$15+'Project Assumptions'!$D$16,G112/MAX('Project Assumptions'!$E$11,1)*'Economic Assumptions'!$G$36/12,0)</f>
        <v/>
      </c>
      <c r="H139" s="891">
        <f>IF(H5&gt;'Project Assumptions'!$D$15+'Project Assumptions'!$D$16,H112/MAX('Project Assumptions'!$E$11,1)*'Economic Assumptions'!$G$36/12,0)</f>
        <v/>
      </c>
      <c r="I139" s="891">
        <f>IF(I5&gt;'Project Assumptions'!$D$15+'Project Assumptions'!$D$16,I112/MAX('Project Assumptions'!$E$11,1)*'Economic Assumptions'!$G$36/12,0)</f>
        <v/>
      </c>
      <c r="J139" s="891">
        <f>IF(J5&gt;'Project Assumptions'!$D$15+'Project Assumptions'!$D$16,J112/MAX('Project Assumptions'!$E$11,1)*'Economic Assumptions'!$G$36/12,0)</f>
        <v/>
      </c>
      <c r="K139" s="891">
        <f>IF(K5&gt;'Project Assumptions'!$D$15+'Project Assumptions'!$D$16,K112/MAX('Project Assumptions'!$E$11,1)*'Economic Assumptions'!$G$36/12,0)</f>
        <v/>
      </c>
      <c r="L139" s="891">
        <f>IF(L5&gt;'Project Assumptions'!$D$15+'Project Assumptions'!$D$16,L112/MAX('Project Assumptions'!$E$11,1)*'Economic Assumptions'!$G$36/12,0)</f>
        <v/>
      </c>
      <c r="M139" s="891">
        <f>IF(M5&gt;'Project Assumptions'!$D$15+'Project Assumptions'!$D$16,M112/MAX('Project Assumptions'!$E$11,1)*'Economic Assumptions'!$G$36/12,0)</f>
        <v/>
      </c>
      <c r="N139" s="891">
        <f>IF(N5&gt;'Project Assumptions'!$D$15+'Project Assumptions'!$D$16,N112/MAX('Project Assumptions'!$E$11,1)*'Economic Assumptions'!$G$36/12,0)</f>
        <v/>
      </c>
      <c r="O139" s="891">
        <f>IF(O5&gt;'Project Assumptions'!$D$15+'Project Assumptions'!$D$16,O112/MAX('Project Assumptions'!$E$11,1)*'Economic Assumptions'!$G$36/12,0)</f>
        <v/>
      </c>
      <c r="P139" s="891">
        <f>IF(P5&gt;'Project Assumptions'!$D$15+'Project Assumptions'!$D$16,P112/MAX('Project Assumptions'!$E$11,1)*'Economic Assumptions'!$G$36/12,0)</f>
        <v/>
      </c>
      <c r="Q139" s="891">
        <f>IF(Q5&gt;'Project Assumptions'!$D$15+'Project Assumptions'!$D$16,Q112/MAX('Project Assumptions'!$E$11,1)*'Economic Assumptions'!$G$36/12,0)</f>
        <v/>
      </c>
      <c r="R139" s="891">
        <f>IF(R5&gt;'Project Assumptions'!$D$15+'Project Assumptions'!$D$16,R112/MAX('Project Assumptions'!$E$11,1)*'Economic Assumptions'!$G$36/12,0)</f>
        <v/>
      </c>
      <c r="S139" s="891">
        <f>IF(S5&gt;'Project Assumptions'!$D$15+'Project Assumptions'!$D$16,S112/MAX('Project Assumptions'!$E$11,1)*'Economic Assumptions'!$G$36/12,0)</f>
        <v/>
      </c>
      <c r="T139" s="891">
        <f>IF(T5&gt;'Project Assumptions'!$D$15+'Project Assumptions'!$D$16,T112/MAX('Project Assumptions'!$E$11,1)*'Economic Assumptions'!$G$36/12,0)</f>
        <v/>
      </c>
      <c r="U139" s="891">
        <f>IF(U5&gt;'Project Assumptions'!$D$15+'Project Assumptions'!$D$16,U112/MAX('Project Assumptions'!$E$11,1)*'Economic Assumptions'!$G$36/12,0)</f>
        <v/>
      </c>
      <c r="V139" s="891">
        <f>IF(V5&gt;'Project Assumptions'!$D$15+'Project Assumptions'!$D$16,V112/MAX('Project Assumptions'!$E$11,1)*'Economic Assumptions'!$G$36/12,0)</f>
        <v/>
      </c>
      <c r="W139" s="891">
        <f>IF(W5&gt;'Project Assumptions'!$D$15+'Project Assumptions'!$D$16,W112/MAX('Project Assumptions'!$E$11,1)*'Economic Assumptions'!$G$36/12,0)</f>
        <v/>
      </c>
      <c r="X139" s="891">
        <f>IF(X5&gt;'Project Assumptions'!$D$15+'Project Assumptions'!$D$16,X112/MAX('Project Assumptions'!$E$11,1)*'Economic Assumptions'!$G$36/12,0)</f>
        <v/>
      </c>
      <c r="Y139" s="891">
        <f>IF(Y5&gt;'Project Assumptions'!$D$15+'Project Assumptions'!$D$16,Y112/MAX('Project Assumptions'!$E$11,1)*'Economic Assumptions'!$G$36/12,0)</f>
        <v/>
      </c>
      <c r="Z139" s="891">
        <f>IF(Z5&gt;'Project Assumptions'!$D$15+'Project Assumptions'!$D$16,Z112/MAX('Project Assumptions'!$E$11,1)*'Economic Assumptions'!$G$36/12,0)</f>
        <v/>
      </c>
      <c r="AA139" s="891">
        <f>IF(AA5&gt;'Project Assumptions'!$D$15+'Project Assumptions'!$D$16,AA112/MAX('Project Assumptions'!$E$11,1)*'Economic Assumptions'!$G$36/12,0)</f>
        <v/>
      </c>
      <c r="AB139" s="891">
        <f>IF(AB5&gt;'Project Assumptions'!$D$15+'Project Assumptions'!$D$16,AB112/MAX('Project Assumptions'!$E$11,1)*'Economic Assumptions'!$G$36/12,0)</f>
        <v/>
      </c>
      <c r="AC139" s="891">
        <f>IF(AC5&gt;'Project Assumptions'!$D$15+'Project Assumptions'!$D$16,AC112/MAX('Project Assumptions'!$E$11,1)*'Economic Assumptions'!$G$36/12,0)</f>
        <v/>
      </c>
      <c r="AD139" s="891">
        <f>IF(AD5&gt;'Project Assumptions'!$D$15+'Project Assumptions'!$D$16,AD112/MAX('Project Assumptions'!$E$11,1)*'Economic Assumptions'!$G$36/12,0)</f>
        <v/>
      </c>
      <c r="AE139" s="891">
        <f>IF(AE5&gt;'Project Assumptions'!$D$15+'Project Assumptions'!$D$16,AE112/MAX('Project Assumptions'!$E$11,1)*'Economic Assumptions'!$G$36/12,0)</f>
        <v/>
      </c>
      <c r="AF139" s="891">
        <f>IF(AF5&gt;'Project Assumptions'!$D$15+'Project Assumptions'!$D$16,AF112/MAX('Project Assumptions'!$E$11,1)*'Economic Assumptions'!$G$36/12,0)</f>
        <v/>
      </c>
      <c r="AG139" s="891">
        <f>IF(AG5&gt;'Project Assumptions'!$D$15+'Project Assumptions'!$D$16,AG112/MAX('Project Assumptions'!$E$11,1)*'Economic Assumptions'!$G$36/12,0)</f>
        <v/>
      </c>
      <c r="AH139" s="891">
        <f>IF(AH5&gt;'Project Assumptions'!$D$15+'Project Assumptions'!$D$16,AH112/MAX('Project Assumptions'!$E$11,1)*'Economic Assumptions'!$G$36/12,0)</f>
        <v/>
      </c>
      <c r="AI139" s="891">
        <f>IF(AI5&gt;'Project Assumptions'!$D$15+'Project Assumptions'!$D$16,AI112/MAX('Project Assumptions'!$E$11,1)*'Economic Assumptions'!$G$36/12,0)</f>
        <v/>
      </c>
      <c r="AJ139" s="891">
        <f>IF(AJ5&gt;'Project Assumptions'!$D$15+'Project Assumptions'!$D$16,AJ112/MAX('Project Assumptions'!$E$11,1)*'Economic Assumptions'!$G$36/12,0)</f>
        <v/>
      </c>
      <c r="AK139" s="891">
        <f>IF(AK5&gt;'Project Assumptions'!$D$15+'Project Assumptions'!$D$16,AK112/MAX('Project Assumptions'!$E$11,1)*'Economic Assumptions'!$G$36/12,0)</f>
        <v/>
      </c>
      <c r="AL139" s="891">
        <f>IF(AL5&gt;'Project Assumptions'!$D$15+'Project Assumptions'!$D$16,AL112/MAX('Project Assumptions'!$E$11,1)*'Economic Assumptions'!$G$36/12,0)</f>
        <v/>
      </c>
      <c r="AM139" s="891">
        <f>IF(AM5&gt;'Project Assumptions'!$D$15+'Project Assumptions'!$D$16,AM112/MAX('Project Assumptions'!$E$11,1)*'Economic Assumptions'!$G$36/12,0)</f>
        <v/>
      </c>
      <c r="AN139" s="891">
        <f>IF(AN5&gt;'Project Assumptions'!$D$15+'Project Assumptions'!$D$16,AN112/MAX('Project Assumptions'!$E$11,1)*'Economic Assumptions'!$G$36/12,0)</f>
        <v/>
      </c>
      <c r="AO139" s="891">
        <f>IF(AO5&gt;'Project Assumptions'!$D$15+'Project Assumptions'!$D$16,AO112/MAX('Project Assumptions'!$E$11,1)*'Economic Assumptions'!$G$36/12,0)</f>
        <v/>
      </c>
      <c r="AP139" s="891">
        <f>IF(AP5&gt;'Project Assumptions'!$D$15+'Project Assumptions'!$D$16,AP112/MAX('Project Assumptions'!$E$11,1)*'Economic Assumptions'!$G$36/12,0)</f>
        <v/>
      </c>
      <c r="AQ139" s="891">
        <f>IF(AQ5&gt;'Project Assumptions'!$D$15+'Project Assumptions'!$D$16,AQ112/MAX('Project Assumptions'!$E$11,1)*'Economic Assumptions'!$G$36/12,0)</f>
        <v/>
      </c>
      <c r="AR139" s="891">
        <f>IF(AR5&gt;'Project Assumptions'!$D$15+'Project Assumptions'!$D$16,AR112/MAX('Project Assumptions'!$E$11,1)*'Economic Assumptions'!$G$36/12,0)</f>
        <v/>
      </c>
      <c r="AS139" s="891">
        <f>IF(AS5&gt;'Project Assumptions'!$D$15+'Project Assumptions'!$D$16,AS112/MAX('Project Assumptions'!$E$11,1)*'Economic Assumptions'!$G$36/12,0)</f>
        <v/>
      </c>
      <c r="AT139" s="891">
        <f>IF(AT5&gt;'Project Assumptions'!$D$15+'Project Assumptions'!$D$16,AT112/MAX('Project Assumptions'!$E$11,1)*'Economic Assumptions'!$G$36/12,0)</f>
        <v/>
      </c>
      <c r="AU139" s="891">
        <f>IF(AU5&gt;'Project Assumptions'!$D$15+'Project Assumptions'!$D$16,AU112/MAX('Project Assumptions'!$E$11,1)*'Economic Assumptions'!$G$36/12,0)</f>
        <v/>
      </c>
      <c r="AV139" s="891">
        <f>IF(AV5&gt;'Project Assumptions'!$D$15+'Project Assumptions'!$D$16,AV112/MAX('Project Assumptions'!$E$11,1)*'Economic Assumptions'!$G$36/12,0)</f>
        <v/>
      </c>
      <c r="AW139" s="891">
        <f>IF(AW5&gt;'Project Assumptions'!$D$15+'Project Assumptions'!$D$16,AW112/MAX('Project Assumptions'!$E$11,1)*'Economic Assumptions'!$G$36/12,0)</f>
        <v/>
      </c>
      <c r="AX139" s="891">
        <f>IF(AX5&gt;'Project Assumptions'!$D$15+'Project Assumptions'!$D$16,AX112/MAX('Project Assumptions'!$E$11,1)*'Economic Assumptions'!$G$36/12,0)</f>
        <v/>
      </c>
      <c r="AY139" s="891">
        <f>IF(AY5&gt;'Project Assumptions'!$D$15+'Project Assumptions'!$D$16,AY112/MAX('Project Assumptions'!$E$11,1)*'Economic Assumptions'!$G$36/12,0)</f>
        <v/>
      </c>
      <c r="AZ139" s="891">
        <f>IF(AZ5&gt;'Project Assumptions'!$D$15+'Project Assumptions'!$D$16,AZ112/MAX('Project Assumptions'!$E$11,1)*'Economic Assumptions'!$G$36/12,0)</f>
        <v/>
      </c>
      <c r="BA139" s="891">
        <f>IF(BA5&gt;'Project Assumptions'!$D$15+'Project Assumptions'!$D$16,BA112/MAX('Project Assumptions'!$E$11,1)*'Economic Assumptions'!$G$36/12,0)</f>
        <v/>
      </c>
      <c r="BB139" s="891">
        <f>IF(BB5&gt;'Project Assumptions'!$D$15+'Project Assumptions'!$D$16,BB112/MAX('Project Assumptions'!$E$11,1)*'Economic Assumptions'!$G$36/12,0)</f>
        <v/>
      </c>
      <c r="BC139" s="891">
        <f>IF(BC5&gt;'Project Assumptions'!$D$15+'Project Assumptions'!$D$16,BC112/MAX('Project Assumptions'!$E$11,1)*'Economic Assumptions'!$G$36/12,0)</f>
        <v/>
      </c>
      <c r="BD139" s="891">
        <f>IF(BD5&gt;'Project Assumptions'!$D$15+'Project Assumptions'!$D$16,BD112/MAX('Project Assumptions'!$E$11,1)*'Economic Assumptions'!$G$36/12,0)</f>
        <v/>
      </c>
      <c r="BE139" s="891">
        <f>IF(BE5&gt;'Project Assumptions'!$D$15+'Project Assumptions'!$D$16,BE112/MAX('Project Assumptions'!$E$11,1)*'Economic Assumptions'!$G$36/12,0)</f>
        <v/>
      </c>
      <c r="BF139" s="891">
        <f>IF(BF5&gt;'Project Assumptions'!$D$15+'Project Assumptions'!$D$16,BF112/MAX('Project Assumptions'!$E$11,1)*'Economic Assumptions'!$G$36/12,0)</f>
        <v/>
      </c>
      <c r="BG139" s="891">
        <f>IF(BG5&gt;'Project Assumptions'!$D$15+'Project Assumptions'!$D$16,BG112/MAX('Project Assumptions'!$E$11,1)*'Economic Assumptions'!$G$36/12,0)</f>
        <v/>
      </c>
      <c r="BH139" s="891">
        <f>IF(BH5&gt;'Project Assumptions'!$D$15+'Project Assumptions'!$D$16,BH112/MAX('Project Assumptions'!$E$11,1)*'Economic Assumptions'!$G$36/12,0)</f>
        <v/>
      </c>
      <c r="BI139" s="891">
        <f>IF(BI5&gt;'Project Assumptions'!$D$15+'Project Assumptions'!$D$16,BI112/MAX('Project Assumptions'!$E$11,1)*'Economic Assumptions'!$G$36/12,0)</f>
        <v/>
      </c>
      <c r="BJ139" s="891">
        <f>IF(BJ5&gt;'Project Assumptions'!$D$15+'Project Assumptions'!$D$16,BJ112/MAX('Project Assumptions'!$E$11,1)*'Economic Assumptions'!$G$36/12,0)</f>
        <v/>
      </c>
      <c r="BK139" s="891">
        <f>IF(BK5&gt;'Project Assumptions'!$D$15+'Project Assumptions'!$D$16,BK112/MAX('Project Assumptions'!$E$11,1)*'Economic Assumptions'!$G$36/12,0)</f>
        <v/>
      </c>
      <c r="BL139" s="891">
        <f>IF(BL5&gt;'Project Assumptions'!$D$15+'Project Assumptions'!$D$16,BL112/MAX('Project Assumptions'!$E$11,1)*'Economic Assumptions'!$G$36/12,0)</f>
        <v/>
      </c>
      <c r="BM139" s="891">
        <f>IF(BM5&gt;'Project Assumptions'!$D$15+'Project Assumptions'!$D$16,BM112/MAX('Project Assumptions'!$E$11,1)*'Economic Assumptions'!$G$36/12,0)</f>
        <v/>
      </c>
      <c r="BN139" s="891">
        <f>IF(BN5&gt;'Project Assumptions'!$D$15+'Project Assumptions'!$D$16,BN112/MAX('Project Assumptions'!$E$11,1)*'Economic Assumptions'!$G$36/12,0)</f>
        <v/>
      </c>
      <c r="BO139" s="891">
        <f>IF(BO5&gt;'Project Assumptions'!$D$15+'Project Assumptions'!$D$16,BO112/MAX('Project Assumptions'!$E$11,1)*'Economic Assumptions'!$G$36/12,0)</f>
        <v/>
      </c>
      <c r="BP139" s="891">
        <f>IF(BP5&gt;'Project Assumptions'!$D$15+'Project Assumptions'!$D$16,BP112/MAX('Project Assumptions'!$E$11,1)*'Economic Assumptions'!$G$36/12,0)</f>
        <v/>
      </c>
      <c r="BQ139" s="891">
        <f>IF(BQ5&gt;'Project Assumptions'!$D$15+'Project Assumptions'!$D$16,BQ112/MAX('Project Assumptions'!$E$11,1)*'Economic Assumptions'!$G$36/12,0)</f>
        <v/>
      </c>
      <c r="BR139" s="891">
        <f>IF(BR5&gt;'Project Assumptions'!$D$15+'Project Assumptions'!$D$16,BR112/MAX('Project Assumptions'!$E$11,1)*'Economic Assumptions'!$G$36/12,0)</f>
        <v/>
      </c>
      <c r="BS139" s="891">
        <f>IF(BS5&gt;'Project Assumptions'!$D$15+'Project Assumptions'!$D$16,BS112/MAX('Project Assumptions'!$E$11,1)*'Economic Assumptions'!$G$36/12,0)</f>
        <v/>
      </c>
      <c r="BT139" s="891">
        <f>IF(BT5&gt;'Project Assumptions'!$D$15+'Project Assumptions'!$D$16,BT112/MAX('Project Assumptions'!$E$11,1)*'Economic Assumptions'!$G$36/12,0)</f>
        <v/>
      </c>
      <c r="BU139" s="891">
        <f>IF(BU5&gt;'Project Assumptions'!$D$15+'Project Assumptions'!$D$16,BU112/MAX('Project Assumptions'!$E$11,1)*'Economic Assumptions'!$G$36/12,0)</f>
        <v/>
      </c>
      <c r="BV139" s="891">
        <f>IF(BV5&gt;'Project Assumptions'!$D$15+'Project Assumptions'!$D$16,BV112/MAX('Project Assumptions'!$E$11,1)*'Economic Assumptions'!$G$36/12,0)</f>
        <v/>
      </c>
      <c r="BW139" s="891">
        <f>IF(BW5&gt;'Project Assumptions'!$D$15+'Project Assumptions'!$D$16,BW112/MAX('Project Assumptions'!$E$11,1)*'Economic Assumptions'!$G$36/12,0)</f>
        <v/>
      </c>
      <c r="BX139" s="891">
        <f>IF(BX5&gt;'Project Assumptions'!$D$15+'Project Assumptions'!$D$16,BX112/MAX('Project Assumptions'!$E$11,1)*'Economic Assumptions'!$G$36/12,0)</f>
        <v/>
      </c>
      <c r="BY139" s="891">
        <f>IF(BY5&gt;'Project Assumptions'!$D$15+'Project Assumptions'!$D$16,BY112/MAX('Project Assumptions'!$E$11,1)*'Economic Assumptions'!$G$36/12,0)</f>
        <v/>
      </c>
      <c r="BZ139" s="891">
        <f>IF(BZ5&gt;'Project Assumptions'!$D$15+'Project Assumptions'!$D$16,BZ112/MAX('Project Assumptions'!$E$11,1)*'Economic Assumptions'!$G$36/12,0)</f>
        <v/>
      </c>
      <c r="CA139" s="891">
        <f>IF(CA5&gt;'Project Assumptions'!$D$15+'Project Assumptions'!$D$16,CA112/MAX('Project Assumptions'!$E$11,1)*'Economic Assumptions'!$G$36/12,0)</f>
        <v/>
      </c>
      <c r="CB139" s="891">
        <f>IF(CB5&gt;'Project Assumptions'!$D$15+'Project Assumptions'!$D$16,CB112/MAX('Project Assumptions'!$E$11,1)*'Economic Assumptions'!$G$36/12,0)</f>
        <v/>
      </c>
      <c r="CC139" s="891">
        <f>IF(CC5&gt;'Project Assumptions'!$D$15+'Project Assumptions'!$D$16,CC112/MAX('Project Assumptions'!$E$11,1)*'Economic Assumptions'!$G$36/12,0)</f>
        <v/>
      </c>
      <c r="CD139" s="891">
        <f>IF(CD5&gt;'Project Assumptions'!$D$15+'Project Assumptions'!$D$16,CD112/MAX('Project Assumptions'!$E$11,1)*'Economic Assumptions'!$G$36/12,0)</f>
        <v/>
      </c>
      <c r="CE139" s="891">
        <f>IF(CE5&gt;'Project Assumptions'!$D$15+'Project Assumptions'!$D$16,CE112/MAX('Project Assumptions'!$E$11,1)*'Economic Assumptions'!$G$36/12,0)</f>
        <v/>
      </c>
      <c r="CF139" s="891">
        <f>IF(CF5&gt;'Project Assumptions'!$D$15+'Project Assumptions'!$D$16,CF112/MAX('Project Assumptions'!$E$11,1)*'Economic Assumptions'!$G$36/12,0)</f>
        <v/>
      </c>
      <c r="CG139" s="891">
        <f>IF(CG5&gt;'Project Assumptions'!$D$15+'Project Assumptions'!$D$16,CG112/MAX('Project Assumptions'!$E$11,1)*'Economic Assumptions'!$G$36/12,0)</f>
        <v/>
      </c>
      <c r="CH139" s="891">
        <f>IF(CH5&gt;'Project Assumptions'!$D$15+'Project Assumptions'!$D$16,CH112/MAX('Project Assumptions'!$E$11,1)*'Economic Assumptions'!$G$36/12,0)</f>
        <v/>
      </c>
      <c r="CI139" s="891">
        <f>IF(CI5&gt;'Project Assumptions'!$D$15+'Project Assumptions'!$D$16,CI112/MAX('Project Assumptions'!$E$11,1)*'Economic Assumptions'!$G$36/12,0)</f>
        <v/>
      </c>
      <c r="CJ139" s="891">
        <f>IF(CJ5&gt;'Project Assumptions'!$D$15+'Project Assumptions'!$D$16,CJ112/MAX('Project Assumptions'!$E$11,1)*'Economic Assumptions'!$G$36/12,0)</f>
        <v/>
      </c>
      <c r="CK139" s="891">
        <f>IF(CK5&gt;'Project Assumptions'!$D$15+'Project Assumptions'!$D$16,CK112/MAX('Project Assumptions'!$E$11,1)*'Economic Assumptions'!$G$36/12,0)</f>
        <v/>
      </c>
      <c r="CL139" s="891">
        <f>IF(CL5&gt;'Project Assumptions'!$D$15+'Project Assumptions'!$D$16,CL112/MAX('Project Assumptions'!$E$11,1)*'Economic Assumptions'!$G$36/12,0)</f>
        <v/>
      </c>
      <c r="CM139" s="891">
        <f>IF(CM5&gt;'Project Assumptions'!$D$15+'Project Assumptions'!$D$16,CM112/MAX('Project Assumptions'!$E$11,1)*'Economic Assumptions'!$G$36/12,0)</f>
        <v/>
      </c>
      <c r="CN139" s="891">
        <f>IF(CN5&gt;'Project Assumptions'!$D$15+'Project Assumptions'!$D$16,CN112/MAX('Project Assumptions'!$E$11,1)*'Economic Assumptions'!$G$36/12,0)</f>
        <v/>
      </c>
      <c r="CO139" s="891">
        <f>IF(CO5&gt;'Project Assumptions'!$D$15+'Project Assumptions'!$D$16,CO112/MAX('Project Assumptions'!$E$11,1)*'Economic Assumptions'!$G$36/12,0)</f>
        <v/>
      </c>
      <c r="CP139" s="891">
        <f>IF(CP5&gt;'Project Assumptions'!$D$15+'Project Assumptions'!$D$16,CP112/MAX('Project Assumptions'!$E$11,1)*'Economic Assumptions'!$G$36/12,0)</f>
        <v/>
      </c>
      <c r="CQ139" s="891">
        <f>IF(CQ5&gt;'Project Assumptions'!$D$15+'Project Assumptions'!$D$16,CQ112/MAX('Project Assumptions'!$E$11,1)*'Economic Assumptions'!$G$36/12,0)</f>
        <v/>
      </c>
      <c r="CR139" s="891">
        <f>IF(CR5&gt;'Project Assumptions'!$D$15+'Project Assumptions'!$D$16,CR112/MAX('Project Assumptions'!$E$11,1)*'Economic Assumptions'!$G$36/12,0)</f>
        <v/>
      </c>
      <c r="CS139" s="891">
        <f>IF(CS5&gt;'Project Assumptions'!$D$15+'Project Assumptions'!$D$16,CS112/MAX('Project Assumptions'!$E$11,1)*'Economic Assumptions'!$G$36/12,0)</f>
        <v/>
      </c>
      <c r="CT139" s="891">
        <f>IF(CT5&gt;'Project Assumptions'!$D$15+'Project Assumptions'!$D$16,CT112/MAX('Project Assumptions'!$E$11,1)*'Economic Assumptions'!$G$36/12,0)</f>
        <v/>
      </c>
      <c r="CU139" s="891">
        <f>IF(CU5&gt;'Project Assumptions'!$D$15+'Project Assumptions'!$D$16,CU112/MAX('Project Assumptions'!$E$11,1)*'Economic Assumptions'!$G$36/12,0)</f>
        <v/>
      </c>
      <c r="CV139" s="891">
        <f>IF(CV5&gt;'Project Assumptions'!$D$15+'Project Assumptions'!$D$16,CV112/MAX('Project Assumptions'!$E$11,1)*'Economic Assumptions'!$G$36/12,0)</f>
        <v/>
      </c>
      <c r="CW139" s="891">
        <f>IF(CW5&gt;'Project Assumptions'!$D$15+'Project Assumptions'!$D$16,CW112/MAX('Project Assumptions'!$E$11,1)*'Economic Assumptions'!$G$36/12,0)</f>
        <v/>
      </c>
      <c r="CX139" s="891">
        <f>IF(CX5&gt;'Project Assumptions'!$D$15+'Project Assumptions'!$D$16,CX112/MAX('Project Assumptions'!$E$11,1)*'Economic Assumptions'!$G$36/12,0)</f>
        <v/>
      </c>
      <c r="CY139" s="891">
        <f>IF(CY5&gt;'Project Assumptions'!$D$15+'Project Assumptions'!$D$16,CY112/MAX('Project Assumptions'!$E$11,1)*'Economic Assumptions'!$G$36/12,0)</f>
        <v/>
      </c>
      <c r="CZ139" s="891">
        <f>IF(CZ5&gt;'Project Assumptions'!$D$15+'Project Assumptions'!$D$16,CZ112/MAX('Project Assumptions'!$E$11,1)*'Economic Assumptions'!$G$36/12,0)</f>
        <v/>
      </c>
      <c r="DA139" s="891">
        <f>IF(DA5&gt;'Project Assumptions'!$D$15+'Project Assumptions'!$D$16,DA112/MAX('Project Assumptions'!$E$11,1)*'Economic Assumptions'!$G$36/12,0)</f>
        <v/>
      </c>
      <c r="DB139" s="891">
        <f>IF(DB5&gt;'Project Assumptions'!$D$15+'Project Assumptions'!$D$16,DB112/MAX('Project Assumptions'!$E$11,1)*'Economic Assumptions'!$G$36/12,0)</f>
        <v/>
      </c>
      <c r="DC139" s="891" t="n"/>
      <c r="DD139" s="305" t="n"/>
    </row>
    <row r="140">
      <c r="A140" s="1000" t="n"/>
      <c r="B140" s="9" t="inlineStr">
        <is>
          <t xml:space="preserve">   Operating Expenses during Free Rent</t>
        </is>
      </c>
      <c r="C140" s="294" t="n"/>
      <c r="D140" s="295">
        <f>DD140</f>
        <v/>
      </c>
      <c r="E140" s="274" t="n"/>
      <c r="F140" s="273" t="n"/>
      <c r="G140" s="273">
        <f>IF(G5&lt;='Project Returns'!$G$32,SUM(G141:G151),0)</f>
        <v/>
      </c>
      <c r="H140" s="273">
        <f>IF(H5&lt;='Project Returns'!$G$32,SUM(H141:H151),0)</f>
        <v/>
      </c>
      <c r="I140" s="273">
        <f>IF(I5&lt;='Project Returns'!$G$32,SUM(I141:I151),0)</f>
        <v/>
      </c>
      <c r="J140" s="273">
        <f>IF(J5&lt;='Project Returns'!$G$32,SUM(J141:J151),0)</f>
        <v/>
      </c>
      <c r="K140" s="273">
        <f>IF(K5&lt;='Project Returns'!$G$32,SUM(K141:K151),0)</f>
        <v/>
      </c>
      <c r="L140" s="273">
        <f>IF(L5&lt;='Project Returns'!$G$32,SUM(L141:L151),0)</f>
        <v/>
      </c>
      <c r="M140" s="273">
        <f>IF(M5&lt;='Project Returns'!$G$32,SUM(M141:M151),0)</f>
        <v/>
      </c>
      <c r="N140" s="273">
        <f>IF(N5&lt;='Project Returns'!$G$32,SUM(N141:N151),0)</f>
        <v/>
      </c>
      <c r="O140" s="273">
        <f>IF(O5&lt;='Project Returns'!$G$32,SUM(O141:O151),0)</f>
        <v/>
      </c>
      <c r="P140" s="273">
        <f>IF(P5&lt;='Project Returns'!$G$32,SUM(P141:P151),0)</f>
        <v/>
      </c>
      <c r="Q140" s="273">
        <f>IF(Q5&lt;='Project Returns'!$G$32,SUM(Q141:Q151),0)</f>
        <v/>
      </c>
      <c r="R140" s="273">
        <f>IF(R5&lt;='Project Returns'!$G$32,SUM(R141:R151),0)</f>
        <v/>
      </c>
      <c r="S140" s="273">
        <f>IF(S5&lt;='Project Returns'!$G$32,SUM(S141:S151),0)</f>
        <v/>
      </c>
      <c r="T140" s="273">
        <f>IF(T5&lt;='Project Returns'!$G$32,SUM(T141:T151),0)</f>
        <v/>
      </c>
      <c r="U140" s="273">
        <f>IF(U5&lt;='Project Returns'!$G$32,SUM(U141:U151),0)</f>
        <v/>
      </c>
      <c r="V140" s="273">
        <f>IF(V5&lt;='Project Returns'!$G$32,SUM(V141:V151),0)</f>
        <v/>
      </c>
      <c r="W140" s="273">
        <f>IF(W5&lt;='Project Returns'!$G$32,SUM(W141:W151),0)</f>
        <v/>
      </c>
      <c r="X140" s="273">
        <f>IF(X5&lt;='Project Returns'!$G$32,SUM(X141:X151),0)</f>
        <v/>
      </c>
      <c r="Y140" s="273">
        <f>IF(Y5&lt;='Project Returns'!$G$32,SUM(Y141:Y151),0)</f>
        <v/>
      </c>
      <c r="Z140" s="273">
        <f>IF(Z5&lt;='Project Returns'!$G$32,SUM(Z141:Z151),0)</f>
        <v/>
      </c>
      <c r="AA140" s="273">
        <f>IF(AA5&lt;='Project Returns'!$G$32,SUM(AA141:AA151),0)</f>
        <v/>
      </c>
      <c r="AB140" s="273">
        <f>IF(AB5&lt;='Project Returns'!$G$32,SUM(AB141:AB151),0)</f>
        <v/>
      </c>
      <c r="AC140" s="273">
        <f>IF(AC5&lt;='Project Returns'!$G$32,SUM(AC141:AC151),0)</f>
        <v/>
      </c>
      <c r="AD140" s="273">
        <f>IF(AD5&lt;='Project Returns'!$G$32,SUM(AD141:AD151),0)</f>
        <v/>
      </c>
      <c r="AE140" s="273">
        <f>IF(AE5&lt;='Project Returns'!$G$32,SUM(AE141:AE151),0)</f>
        <v/>
      </c>
      <c r="AF140" s="273">
        <f>IF(AF5&lt;='Project Returns'!$G$32,SUM(AF141:AF151),0)</f>
        <v/>
      </c>
      <c r="AG140" s="273">
        <f>IF(AG5&lt;='Project Returns'!$G$32,SUM(AG141:AG151),0)</f>
        <v/>
      </c>
      <c r="AH140" s="273">
        <f>IF(AH5&lt;='Project Returns'!$G$32,SUM(AH141:AH151),0)</f>
        <v/>
      </c>
      <c r="AI140" s="273">
        <f>IF(AI5&lt;='Project Returns'!$G$32,SUM(AI141:AI151),0)</f>
        <v/>
      </c>
      <c r="AJ140" s="273">
        <f>IF(AJ5&lt;='Project Returns'!$G$32,SUM(AJ141:AJ151),0)</f>
        <v/>
      </c>
      <c r="AK140" s="273">
        <f>IF(AK5&lt;='Project Returns'!$G$32,SUM(AK141:AK151),0)</f>
        <v/>
      </c>
      <c r="AL140" s="273">
        <f>IF(AL5&lt;='Project Returns'!$G$32,SUM(AL141:AL151),0)</f>
        <v/>
      </c>
      <c r="AM140" s="273">
        <f>IF(AM5&lt;='Project Returns'!$G$32,SUM(AM141:AM151),0)</f>
        <v/>
      </c>
      <c r="AN140" s="273">
        <f>IF(AN5&lt;='Project Returns'!$G$32,SUM(AN141:AN151),0)</f>
        <v/>
      </c>
      <c r="AO140" s="273">
        <f>IF(AO5&lt;='Project Returns'!$G$32,SUM(AO141:AO151),0)</f>
        <v/>
      </c>
      <c r="AP140" s="273">
        <f>IF(AP5&lt;='Project Returns'!$G$32,SUM(AP141:AP151),0)</f>
        <v/>
      </c>
      <c r="AQ140" s="273">
        <f>IF(AQ5&lt;='Project Returns'!$G$32,SUM(AQ141:AQ151),0)</f>
        <v/>
      </c>
      <c r="AR140" s="273">
        <f>IF(AR5&lt;='Project Returns'!$G$32,SUM(AR141:AR151),0)</f>
        <v/>
      </c>
      <c r="AS140" s="273">
        <f>IF(AS5&lt;='Project Returns'!$G$32,SUM(AS141:AS151),0)</f>
        <v/>
      </c>
      <c r="AT140" s="273">
        <f>IF(AT5&lt;='Project Returns'!$G$32,SUM(AT141:AT151),0)</f>
        <v/>
      </c>
      <c r="AU140" s="273">
        <f>IF(AU5&lt;='Project Returns'!$G$32,SUM(AU141:AU151),0)</f>
        <v/>
      </c>
      <c r="AV140" s="273">
        <f>IF(AV5&lt;='Project Returns'!$G$32,SUM(AV141:AV151),0)</f>
        <v/>
      </c>
      <c r="AW140" s="273">
        <f>IF(AW5&lt;='Project Returns'!$G$32,SUM(AW141:AW151),0)</f>
        <v/>
      </c>
      <c r="AX140" s="273">
        <f>IF(AX5&lt;='Project Returns'!$G$32,SUM(AX141:AX151),0)</f>
        <v/>
      </c>
      <c r="AY140" s="273">
        <f>IF(AY5&lt;='Project Returns'!$G$32,SUM(AY141:AY151),0)</f>
        <v/>
      </c>
      <c r="AZ140" s="273">
        <f>IF(AZ5&lt;='Project Returns'!$G$32,SUM(AZ141:AZ151),0)</f>
        <v/>
      </c>
      <c r="BA140" s="273">
        <f>IF(BA5&lt;='Project Returns'!$G$32,SUM(BA141:BA151),0)</f>
        <v/>
      </c>
      <c r="BB140" s="273">
        <f>IF(BB5&lt;='Project Returns'!$G$32,SUM(BB141:BB151),0)</f>
        <v/>
      </c>
      <c r="BC140" s="273">
        <f>IF(BC5&lt;='Project Returns'!$G$32,SUM(BC141:BC151),0)</f>
        <v/>
      </c>
      <c r="BD140" s="273">
        <f>IF(BD5&lt;='Project Returns'!$G$32,SUM(BD141:BD151),0)</f>
        <v/>
      </c>
      <c r="BE140" s="273">
        <f>IF(BE5&lt;='Project Returns'!$G$32,SUM(BE141:BE151),0)</f>
        <v/>
      </c>
      <c r="BF140" s="273">
        <f>IF(BF5&lt;='Project Returns'!$G$32,SUM(BF141:BF151),0)</f>
        <v/>
      </c>
      <c r="BG140" s="273">
        <f>IF(BG5&lt;='Project Returns'!$G$32,SUM(BG141:BG151),0)</f>
        <v/>
      </c>
      <c r="BH140" s="273">
        <f>IF(BH5&lt;='Project Returns'!$G$32,SUM(BH141:BH151),0)</f>
        <v/>
      </c>
      <c r="BI140" s="273">
        <f>IF(BI5&lt;='Project Returns'!$G$32,SUM(BI141:BI151),0)</f>
        <v/>
      </c>
      <c r="BJ140" s="273">
        <f>IF(BJ5&lt;='Project Returns'!$G$32,SUM(BJ141:BJ151),0)</f>
        <v/>
      </c>
      <c r="BK140" s="273">
        <f>IF(BK5&lt;='Project Returns'!$G$32,SUM(BK141:BK151),0)</f>
        <v/>
      </c>
      <c r="BL140" s="273">
        <f>IF(BL5&lt;='Project Returns'!$G$32,SUM(BL141:BL151),0)</f>
        <v/>
      </c>
      <c r="BM140" s="273">
        <f>IF(BM5&lt;='Project Returns'!$G$32,SUM(BM141:BM151),0)</f>
        <v/>
      </c>
      <c r="BN140" s="273">
        <f>IF(BN5&lt;='Project Returns'!$G$32,SUM(BN141:BN151),0)</f>
        <v/>
      </c>
      <c r="BO140" s="273">
        <f>IF(BO5&lt;='Project Returns'!$G$32,SUM(BO141:BO151),0)</f>
        <v/>
      </c>
      <c r="BP140" s="273">
        <f>IF(BP5&lt;='Project Returns'!$G$32,SUM(BP141:BP151),0)</f>
        <v/>
      </c>
      <c r="BQ140" s="273">
        <f>IF(BQ5&lt;='Project Returns'!$G$32,SUM(BQ141:BQ151),0)</f>
        <v/>
      </c>
      <c r="BR140" s="273">
        <f>IF(BR5&lt;='Project Returns'!$G$32,SUM(BR141:BR151),0)</f>
        <v/>
      </c>
      <c r="BS140" s="273">
        <f>IF(BS5&lt;='Project Returns'!$G$32,SUM(BS141:BS151),0)</f>
        <v/>
      </c>
      <c r="BT140" s="273">
        <f>IF(BT5&lt;='Project Returns'!$G$32,SUM(BT141:BT151),0)</f>
        <v/>
      </c>
      <c r="BU140" s="273">
        <f>IF(BU5&lt;='Project Returns'!$G$32,SUM(BU141:BU151),0)</f>
        <v/>
      </c>
      <c r="BV140" s="273">
        <f>IF(BV5&lt;='Project Returns'!$G$32,SUM(BV141:BV151),0)</f>
        <v/>
      </c>
      <c r="BW140" s="273">
        <f>IF(BW5&lt;='Project Returns'!$G$32,SUM(BW141:BW151),0)</f>
        <v/>
      </c>
      <c r="BX140" s="273">
        <f>IF(BX5&lt;='Project Returns'!$G$32,SUM(BX141:BX151),0)</f>
        <v/>
      </c>
      <c r="BY140" s="273">
        <f>IF(BY5&lt;='Project Returns'!$G$32,SUM(BY141:BY151),0)</f>
        <v/>
      </c>
      <c r="BZ140" s="273">
        <f>IF(BZ5&lt;='Project Returns'!$G$32,SUM(BZ141:BZ151),0)</f>
        <v/>
      </c>
      <c r="CA140" s="273">
        <f>IF(CA5&lt;='Project Returns'!$G$32,SUM(CA141:CA151),0)</f>
        <v/>
      </c>
      <c r="CB140" s="273">
        <f>IF(CB5&lt;='Project Returns'!$G$32,SUM(CB141:CB151),0)</f>
        <v/>
      </c>
      <c r="CC140" s="273">
        <f>IF(CC5&lt;='Project Returns'!$G$32,SUM(CC141:CC151),0)</f>
        <v/>
      </c>
      <c r="CD140" s="273">
        <f>IF(CD5&lt;='Project Returns'!$G$32,SUM(CD141:CD151),0)</f>
        <v/>
      </c>
      <c r="CE140" s="273">
        <f>IF(CE5&lt;='Project Returns'!$G$32,SUM(CE141:CE151),0)</f>
        <v/>
      </c>
      <c r="CF140" s="273">
        <f>IF(CF5&lt;='Project Returns'!$G$32,SUM(CF141:CF151),0)</f>
        <v/>
      </c>
      <c r="CG140" s="273">
        <f>IF(CG5&lt;='Project Returns'!$G$32,SUM(CG141:CG151),0)</f>
        <v/>
      </c>
      <c r="CH140" s="273">
        <f>IF(CH5&lt;='Project Returns'!$G$32,SUM(CH141:CH151),0)</f>
        <v/>
      </c>
      <c r="CI140" s="273">
        <f>IF(CI5&lt;='Project Returns'!$G$32,SUM(CI141:CI151),0)</f>
        <v/>
      </c>
      <c r="CJ140" s="273">
        <f>IF(CJ5&lt;='Project Returns'!$G$32,SUM(CJ141:CJ151),0)</f>
        <v/>
      </c>
      <c r="CK140" s="273">
        <f>IF(CK5&lt;='Project Returns'!$G$32,SUM(CK141:CK151),0)</f>
        <v/>
      </c>
      <c r="CL140" s="273">
        <f>IF(CL5&lt;='Project Returns'!$G$32,SUM(CL141:CL151),0)</f>
        <v/>
      </c>
      <c r="CM140" s="273">
        <f>IF(CM5&lt;='Project Returns'!$G$32,SUM(CM141:CM151),0)</f>
        <v/>
      </c>
      <c r="CN140" s="273">
        <f>IF(CN5&lt;='Project Returns'!$G$32,SUM(CN141:CN151),0)</f>
        <v/>
      </c>
      <c r="CO140" s="273">
        <f>IF(CO5&lt;='Project Returns'!$G$32,SUM(CO141:CO151),0)</f>
        <v/>
      </c>
      <c r="CP140" s="273">
        <f>IF(CP5&lt;='Project Returns'!$G$32,SUM(CP141:CP151),0)</f>
        <v/>
      </c>
      <c r="CQ140" s="273">
        <f>IF(CQ5&lt;='Project Returns'!$G$32,SUM(CQ141:CQ151),0)</f>
        <v/>
      </c>
      <c r="CR140" s="273">
        <f>IF(CR5&lt;='Project Returns'!$G$32,SUM(CR141:CR151),0)</f>
        <v/>
      </c>
      <c r="CS140" s="273">
        <f>IF(CS5&lt;='Project Returns'!$G$32,SUM(CS141:CS151),0)</f>
        <v/>
      </c>
      <c r="CT140" s="273">
        <f>IF(CT5&lt;='Project Returns'!$G$32,SUM(CT141:CT151),0)</f>
        <v/>
      </c>
      <c r="CU140" s="273">
        <f>IF(CU5&lt;='Project Returns'!$G$32,SUM(CU141:CU151),0)</f>
        <v/>
      </c>
      <c r="CV140" s="273">
        <f>IF(CV5&lt;='Project Returns'!$G$32,SUM(CV141:CV151),0)</f>
        <v/>
      </c>
      <c r="CW140" s="273">
        <f>IF(CW5&lt;='Project Returns'!$G$32,SUM(CW141:CW151),0)</f>
        <v/>
      </c>
      <c r="CX140" s="273">
        <f>IF(CX5&lt;='Project Returns'!$G$32,SUM(CX141:CX151),0)</f>
        <v/>
      </c>
      <c r="CY140" s="273">
        <f>IF(CY5&lt;='Project Returns'!$G$32,SUM(CY141:CY151),0)</f>
        <v/>
      </c>
      <c r="CZ140" s="273">
        <f>IF(CZ5&lt;='Project Returns'!$G$32,SUM(CZ141:CZ151),0)</f>
        <v/>
      </c>
      <c r="DA140" s="273">
        <f>IF(DA5&lt;='Project Returns'!$G$32,SUM(DA141:DA151),0)</f>
        <v/>
      </c>
      <c r="DB140" s="273">
        <f>IF(DB5&lt;='Project Returns'!$G$32,SUM(DB141:DB151),0)</f>
        <v/>
      </c>
      <c r="DC140" s="273" t="n"/>
      <c r="DD140" s="295">
        <f>SUM(F140:DB140)</f>
        <v/>
      </c>
    </row>
    <row r="141" hidden="1" outlineLevel="1">
      <c r="A141" s="1000" t="n"/>
      <c r="B141" s="315" t="inlineStr">
        <is>
          <t>Lease #1</t>
        </is>
      </c>
      <c r="C141" s="294" t="n"/>
      <c r="D141" s="299">
        <f>DD141</f>
        <v/>
      </c>
      <c r="E141" s="300" t="n"/>
      <c r="F141" s="301" t="n"/>
      <c r="G141" s="301">
        <f>IF('Economic Assumptions'!$H10="Landlord",IF(G$5&gt;'Project Assumptions'!$D$15+'Project Assumptions'!$D$16+'Economic Assumptions'!$B10-1,IF(G$5&lt;='Project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H141" s="301">
        <f>IF('Economic Assumptions'!$H10="Landlord",IF(H$5&gt;'Project Assumptions'!$D$15+'Project Assumptions'!$D$16+'Economic Assumptions'!$B10-1,IF(H$5&lt;='Project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I141" s="301">
        <f>IF('Economic Assumptions'!$H10="Landlord",IF(I$5&gt;'Project Assumptions'!$D$15+'Project Assumptions'!$D$16+'Economic Assumptions'!$B10-1,IF(I$5&lt;='Project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J141" s="301">
        <f>IF('Economic Assumptions'!$H10="Landlord",IF(J$5&gt;'Project Assumptions'!$D$15+'Project Assumptions'!$D$16+'Economic Assumptions'!$B10-1,IF(J$5&lt;='Project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K141" s="301">
        <f>IF('Economic Assumptions'!$H10="Landlord",IF(K$5&gt;'Project Assumptions'!$D$15+'Project Assumptions'!$D$16+'Economic Assumptions'!$B10-1,IF(K$5&lt;='Project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L141" s="301">
        <f>IF('Economic Assumptions'!$H10="Landlord",IF(L$5&gt;'Project Assumptions'!$D$15+'Project Assumptions'!$D$16+'Economic Assumptions'!$B10-1,IF(L$5&lt;='Project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M141" s="301">
        <f>IF('Economic Assumptions'!$H10="Landlord",IF(M$5&gt;'Project Assumptions'!$D$15+'Project Assumptions'!$D$16+'Economic Assumptions'!$B10-1,IF(M$5&lt;='Project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N141" s="301">
        <f>IF('Economic Assumptions'!$H10="Landlord",IF(N$5&gt;'Project Assumptions'!$D$15+'Project Assumptions'!$D$16+'Economic Assumptions'!$B10-1,IF(N$5&lt;='Project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O141" s="301">
        <f>IF('Economic Assumptions'!$H10="Landlord",IF(O$5&gt;'Project Assumptions'!$D$15+'Project Assumptions'!$D$16+'Economic Assumptions'!$B10-1,IF(O$5&lt;='Project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P141" s="301">
        <f>IF('Economic Assumptions'!$H10="Landlord",IF(P$5&gt;'Project Assumptions'!$D$15+'Project Assumptions'!$D$16+'Economic Assumptions'!$B10-1,IF(P$5&lt;='Project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Q141" s="301">
        <f>IF('Economic Assumptions'!$H10="Landlord",IF(Q$5&gt;'Project Assumptions'!$D$15+'Project Assumptions'!$D$16+'Economic Assumptions'!$B10-1,IF(Q$5&lt;='Project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R141" s="301">
        <f>IF('Economic Assumptions'!$H10="Landlord",IF(R$5&gt;'Project Assumptions'!$D$15+'Project Assumptions'!$D$16+'Economic Assumptions'!$B10-1,IF(R$5&lt;='Project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S141" s="301">
        <f>IF('Economic Assumptions'!$H10="Landlord",IF(S$5&gt;'Project Assumptions'!$D$15+'Project Assumptions'!$D$16+'Economic Assumptions'!$B10-1,IF(S$5&lt;='Project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T141" s="301">
        <f>IF('Economic Assumptions'!$H10="Landlord",IF(T$5&gt;'Project Assumptions'!$D$15+'Project Assumptions'!$D$16+'Economic Assumptions'!$B10-1,IF(T$5&lt;='Project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U141" s="301">
        <f>IF('Economic Assumptions'!$H10="Landlord",IF(U$5&gt;'Project Assumptions'!$D$15+'Project Assumptions'!$D$16+'Economic Assumptions'!$B10-1,IF(U$5&lt;='Project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V141" s="301">
        <f>IF('Economic Assumptions'!$H10="Landlord",IF(V$5&gt;'Project Assumptions'!$D$15+'Project Assumptions'!$D$16+'Economic Assumptions'!$B10-1,IF(V$5&lt;='Project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W141" s="301">
        <f>IF('Economic Assumptions'!$H10="Landlord",IF(W$5&gt;'Project Assumptions'!$D$15+'Project Assumptions'!$D$16+'Economic Assumptions'!$B10-1,IF(W$5&lt;='Project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X141" s="301">
        <f>IF('Economic Assumptions'!$H10="Landlord",IF(X$5&gt;'Project Assumptions'!$D$15+'Project Assumptions'!$D$16+'Economic Assumptions'!$B10-1,IF(X$5&lt;='Project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Y141" s="301">
        <f>IF('Economic Assumptions'!$H10="Landlord",IF(Y$5&gt;'Project Assumptions'!$D$15+'Project Assumptions'!$D$16+'Economic Assumptions'!$B10-1,IF(Y$5&lt;='Project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Z141" s="301">
        <f>IF('Economic Assumptions'!$H10="Landlord",IF(Z$5&gt;'Project Assumptions'!$D$15+'Project Assumptions'!$D$16+'Economic Assumptions'!$B10-1,IF(Z$5&lt;='Project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A141" s="301">
        <f>IF('Economic Assumptions'!$H10="Landlord",IF(AA$5&gt;'Project Assumptions'!$D$15+'Project Assumptions'!$D$16+'Economic Assumptions'!$B10-1,IF(AA$5&lt;='Project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B141" s="301">
        <f>IF('Economic Assumptions'!$H10="Landlord",IF(AB$5&gt;'Project Assumptions'!$D$15+'Project Assumptions'!$D$16+'Economic Assumptions'!$B10-1,IF(AB$5&lt;='Project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C141" s="301">
        <f>IF('Economic Assumptions'!$H10="Landlord",IF(AC$5&gt;'Project Assumptions'!$D$15+'Project Assumptions'!$D$16+'Economic Assumptions'!$B10-1,IF(AC$5&lt;='Project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D141" s="301">
        <f>IF('Economic Assumptions'!$H10="Landlord",IF(AD$5&gt;'Project Assumptions'!$D$15+'Project Assumptions'!$D$16+'Economic Assumptions'!$B10-1,IF(AD$5&lt;='Project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E141" s="301">
        <f>IF('Economic Assumptions'!$H10="Landlord",IF(AE$5&gt;'Project Assumptions'!$D$15+'Project Assumptions'!$D$16+'Economic Assumptions'!$B10-1,IF(AE$5&lt;='Project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F141" s="301">
        <f>IF('Economic Assumptions'!$H10="Landlord",IF(AF$5&gt;'Project Assumptions'!$D$15+'Project Assumptions'!$D$16+'Economic Assumptions'!$B10-1,IF(AF$5&lt;='Project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G141" s="301">
        <f>IF('Economic Assumptions'!$H10="Landlord",IF(AG$5&gt;'Project Assumptions'!$D$15+'Project Assumptions'!$D$16+'Economic Assumptions'!$B10-1,IF(AG$5&lt;='Project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H141" s="301">
        <f>IF('Economic Assumptions'!$H10="Landlord",IF(AH$5&gt;'Project Assumptions'!$D$15+'Project Assumptions'!$D$16+'Economic Assumptions'!$B10-1,IF(AH$5&lt;='Project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I141" s="301">
        <f>IF('Economic Assumptions'!$H10="Landlord",IF(AI$5&gt;'Project Assumptions'!$D$15+'Project Assumptions'!$D$16+'Economic Assumptions'!$B10-1,IF(AI$5&lt;='Project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J141" s="301">
        <f>IF('Economic Assumptions'!$H10="Landlord",IF(AJ$5&gt;'Project Assumptions'!$D$15+'Project Assumptions'!$D$16+'Economic Assumptions'!$B10-1,IF(AJ$5&lt;='Project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K141" s="301">
        <f>IF('Economic Assumptions'!$H10="Landlord",IF(AK$5&gt;'Project Assumptions'!$D$15+'Project Assumptions'!$D$16+'Economic Assumptions'!$B10-1,IF(AK$5&lt;='Project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L141" s="301">
        <f>IF('Economic Assumptions'!$H10="Landlord",IF(AL$5&gt;'Project Assumptions'!$D$15+'Project Assumptions'!$D$16+'Economic Assumptions'!$B10-1,IF(AL$5&lt;='Project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M141" s="301">
        <f>IF('Economic Assumptions'!$H10="Landlord",IF(AM$5&gt;'Project Assumptions'!$D$15+'Project Assumptions'!$D$16+'Economic Assumptions'!$B10-1,IF(AM$5&lt;='Project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N141" s="301">
        <f>IF('Economic Assumptions'!$H10="Landlord",IF(AN$5&gt;'Project Assumptions'!$D$15+'Project Assumptions'!$D$16+'Economic Assumptions'!$B10-1,IF(AN$5&lt;='Project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O141" s="301">
        <f>IF('Economic Assumptions'!$H10="Landlord",IF(AO$5&gt;'Project Assumptions'!$D$15+'Project Assumptions'!$D$16+'Economic Assumptions'!$B10-1,IF(AO$5&lt;='Project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P141" s="301">
        <f>IF('Economic Assumptions'!$H10="Landlord",IF(AP$5&gt;'Project Assumptions'!$D$15+'Project Assumptions'!$D$16+'Economic Assumptions'!$B10-1,IF(AP$5&lt;='Project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Q141" s="301">
        <f>IF('Economic Assumptions'!$H10="Landlord",IF(AQ$5&gt;'Project Assumptions'!$D$15+'Project Assumptions'!$D$16+'Economic Assumptions'!$B10-1,IF(AQ$5&lt;='Project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R141" s="301">
        <f>IF('Economic Assumptions'!$H10="Landlord",IF(AR$5&gt;'Project Assumptions'!$D$15+'Project Assumptions'!$D$16+'Economic Assumptions'!$B10-1,IF(AR$5&lt;='Project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S141" s="301">
        <f>IF('Economic Assumptions'!$H10="Landlord",IF(AS$5&gt;'Project Assumptions'!$D$15+'Project Assumptions'!$D$16+'Economic Assumptions'!$B10-1,IF(AS$5&lt;='Project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T141" s="301">
        <f>IF('Economic Assumptions'!$H10="Landlord",IF(AT$5&gt;'Project Assumptions'!$D$15+'Project Assumptions'!$D$16+'Economic Assumptions'!$B10-1,IF(AT$5&lt;='Project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U141" s="301">
        <f>IF('Economic Assumptions'!$H10="Landlord",IF(AU$5&gt;'Project Assumptions'!$D$15+'Project Assumptions'!$D$16+'Economic Assumptions'!$B10-1,IF(AU$5&lt;='Project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V141" s="301">
        <f>IF('Economic Assumptions'!$H10="Landlord",IF(AV$5&gt;'Project Assumptions'!$D$15+'Project Assumptions'!$D$16+'Economic Assumptions'!$B10-1,IF(AV$5&lt;='Project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W141" s="301">
        <f>IF('Economic Assumptions'!$H10="Landlord",IF(AW$5&gt;'Project Assumptions'!$D$15+'Project Assumptions'!$D$16+'Economic Assumptions'!$B10-1,IF(AW$5&lt;='Project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X141" s="301">
        <f>IF('Economic Assumptions'!$H10="Landlord",IF(AX$5&gt;'Project Assumptions'!$D$15+'Project Assumptions'!$D$16+'Economic Assumptions'!$B10-1,IF(AX$5&lt;='Project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Y141" s="301">
        <f>IF('Economic Assumptions'!$H10="Landlord",IF(AY$5&gt;'Project Assumptions'!$D$15+'Project Assumptions'!$D$16+'Economic Assumptions'!$B10-1,IF(AY$5&lt;='Project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AZ141" s="301">
        <f>IF('Economic Assumptions'!$H10="Landlord",IF(AZ$5&gt;'Project Assumptions'!$D$15+'Project Assumptions'!$D$16+'Economic Assumptions'!$B10-1,IF(AZ$5&lt;='Project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A141" s="301">
        <f>IF('Economic Assumptions'!$H10="Landlord",IF(BA$5&gt;'Project Assumptions'!$D$15+'Project Assumptions'!$D$16+'Economic Assumptions'!$B10-1,IF(BA$5&lt;='Project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B141" s="301">
        <f>IF('Economic Assumptions'!$H10="Landlord",IF(BB$5&gt;'Project Assumptions'!$D$15+'Project Assumptions'!$D$16+'Economic Assumptions'!$B10-1,IF(BB$5&lt;='Project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C141" s="301">
        <f>IF('Economic Assumptions'!$H10="Landlord",IF(BC$5&gt;'Project Assumptions'!$D$15+'Project Assumptions'!$D$16+'Economic Assumptions'!$B10-1,IF(BC$5&lt;='Project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D141" s="301">
        <f>IF('Economic Assumptions'!$H10="Landlord",IF(BD$5&gt;'Project Assumptions'!$D$15+'Project Assumptions'!$D$16+'Economic Assumptions'!$B10-1,IF(BD$5&lt;='Project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E141" s="301">
        <f>IF('Economic Assumptions'!$H10="Landlord",IF(BE$5&gt;'Project Assumptions'!$D$15+'Project Assumptions'!$D$16+'Economic Assumptions'!$B10-1,IF(BE$5&lt;='Project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F141" s="301">
        <f>IF('Economic Assumptions'!$H10="Landlord",IF(BF$5&gt;'Project Assumptions'!$D$15+'Project Assumptions'!$D$16+'Economic Assumptions'!$B10-1,IF(BF$5&lt;='Project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G141" s="301">
        <f>IF('Economic Assumptions'!$H10="Landlord",IF(BG$5&gt;'Project Assumptions'!$D$15+'Project Assumptions'!$D$16+'Economic Assumptions'!$B10-1,IF(BG$5&lt;='Project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H141" s="301">
        <f>IF('Economic Assumptions'!$H10="Landlord",IF(BH$5&gt;'Project Assumptions'!$D$15+'Project Assumptions'!$D$16+'Economic Assumptions'!$B10-1,IF(BH$5&lt;='Project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I141" s="301">
        <f>IF('Economic Assumptions'!$H10="Landlord",IF(BI$5&gt;'Project Assumptions'!$D$15+'Project Assumptions'!$D$16+'Economic Assumptions'!$B10-1,IF(BI$5&lt;='Project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J141" s="301">
        <f>IF('Economic Assumptions'!$H10="Landlord",IF(BJ$5&gt;'Project Assumptions'!$D$15+'Project Assumptions'!$D$16+'Economic Assumptions'!$B10-1,IF(BJ$5&lt;='Project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K141" s="301">
        <f>IF('Economic Assumptions'!$H10="Landlord",IF(BK$5&gt;'Project Assumptions'!$D$15+'Project Assumptions'!$D$16+'Economic Assumptions'!$B10-1,IF(BK$5&lt;='Project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L141" s="301">
        <f>IF('Economic Assumptions'!$H10="Landlord",IF(BL$5&gt;'Project Assumptions'!$D$15+'Project Assumptions'!$D$16+'Economic Assumptions'!$B10-1,IF(BL$5&lt;='Project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M141" s="301">
        <f>IF('Economic Assumptions'!$H10="Landlord",IF(BM$5&gt;'Project Assumptions'!$D$15+'Project Assumptions'!$D$16+'Economic Assumptions'!$B10-1,IF(BM$5&lt;='Project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N141" s="301">
        <f>IF('Economic Assumptions'!$H10="Landlord",IF(BN$5&gt;'Project Assumptions'!$D$15+'Project Assumptions'!$D$16+'Economic Assumptions'!$B10-1,IF(BN$5&lt;='Project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O141" s="301">
        <f>IF('Economic Assumptions'!$H10="Landlord",IF(BO$5&gt;'Project Assumptions'!$D$15+'Project Assumptions'!$D$16+'Economic Assumptions'!$B10-1,IF(BO$5&lt;='Project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P141" s="301">
        <f>IF('Economic Assumptions'!$H10="Landlord",IF(BP$5&gt;'Project Assumptions'!$D$15+'Project Assumptions'!$D$16+'Economic Assumptions'!$B10-1,IF(BP$5&lt;='Project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Q141" s="301">
        <f>IF('Economic Assumptions'!$H10="Landlord",IF(BQ$5&gt;'Project Assumptions'!$D$15+'Project Assumptions'!$D$16+'Economic Assumptions'!$B10-1,IF(BQ$5&lt;='Project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R141" s="301">
        <f>IF('Economic Assumptions'!$H10="Landlord",IF(BR$5&gt;'Project Assumptions'!$D$15+'Project Assumptions'!$D$16+'Economic Assumptions'!$B10-1,IF(BR$5&lt;='Project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S141" s="301">
        <f>IF('Economic Assumptions'!$H10="Landlord",IF(BS$5&gt;'Project Assumptions'!$D$15+'Project Assumptions'!$D$16+'Economic Assumptions'!$B10-1,IF(BS$5&lt;='Project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T141" s="301">
        <f>IF('Economic Assumptions'!$H10="Landlord",IF(BT$5&gt;'Project Assumptions'!$D$15+'Project Assumptions'!$D$16+'Economic Assumptions'!$B10-1,IF(BT$5&lt;='Project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U141" s="301">
        <f>IF('Economic Assumptions'!$H10="Landlord",IF(BU$5&gt;'Project Assumptions'!$D$15+'Project Assumptions'!$D$16+'Economic Assumptions'!$B10-1,IF(BU$5&lt;='Project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V141" s="301">
        <f>IF('Economic Assumptions'!$H10="Landlord",IF(BV$5&gt;'Project Assumptions'!$D$15+'Project Assumptions'!$D$16+'Economic Assumptions'!$B10-1,IF(BV$5&lt;='Project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W141" s="301">
        <f>IF('Economic Assumptions'!$H10="Landlord",IF(BW$5&gt;'Project Assumptions'!$D$15+'Project Assumptions'!$D$16+'Economic Assumptions'!$B10-1,IF(BW$5&lt;='Project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X141" s="301">
        <f>IF('Economic Assumptions'!$H10="Landlord",IF(BX$5&gt;'Project Assumptions'!$D$15+'Project Assumptions'!$D$16+'Economic Assumptions'!$B10-1,IF(BX$5&lt;='Project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Y141" s="301">
        <f>IF('Economic Assumptions'!$H10="Landlord",IF(BY$5&gt;'Project Assumptions'!$D$15+'Project Assumptions'!$D$16+'Economic Assumptions'!$B10-1,IF(BY$5&lt;='Project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BZ141" s="301">
        <f>IF('Economic Assumptions'!$H10="Landlord",IF(BZ$5&gt;'Project Assumptions'!$D$15+'Project Assumptions'!$D$16+'Economic Assumptions'!$B10-1,IF(BZ$5&lt;='Project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A141" s="301">
        <f>IF('Economic Assumptions'!$H10="Landlord",IF(CA$5&gt;'Project Assumptions'!$D$15+'Project Assumptions'!$D$16+'Economic Assumptions'!$B10-1,IF(CA$5&lt;='Project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B141" s="301">
        <f>IF('Economic Assumptions'!$H10="Landlord",IF(CB$5&gt;'Project Assumptions'!$D$15+'Project Assumptions'!$D$16+'Economic Assumptions'!$B10-1,IF(CB$5&lt;='Project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C141" s="301">
        <f>IF('Economic Assumptions'!$H10="Landlord",IF(CC$5&gt;'Project Assumptions'!$D$15+'Project Assumptions'!$D$16+'Economic Assumptions'!$B10-1,IF(CC$5&lt;='Project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D141" s="301">
        <f>IF('Economic Assumptions'!$H10="Landlord",IF(CD$5&gt;'Project Assumptions'!$D$15+'Project Assumptions'!$D$16+'Economic Assumptions'!$B10-1,IF(CD$5&lt;='Project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E141" s="301">
        <f>IF('Economic Assumptions'!$H10="Landlord",IF(CE$5&gt;'Project Assumptions'!$D$15+'Project Assumptions'!$D$16+'Economic Assumptions'!$B10-1,IF(CE$5&lt;='Project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F141" s="301">
        <f>IF('Economic Assumptions'!$H10="Landlord",IF(CF$5&gt;'Project Assumptions'!$D$15+'Project Assumptions'!$D$16+'Economic Assumptions'!$B10-1,IF(CF$5&lt;='Project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G141" s="301">
        <f>IF('Economic Assumptions'!$H10="Landlord",IF(CG$5&gt;'Project Assumptions'!$D$15+'Project Assumptions'!$D$16+'Economic Assumptions'!$B10-1,IF(CG$5&lt;='Project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H141" s="301">
        <f>IF('Economic Assumptions'!$H10="Landlord",IF(CH$5&gt;'Project Assumptions'!$D$15+'Project Assumptions'!$D$16+'Economic Assumptions'!$B10-1,IF(CH$5&lt;='Project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I141" s="301">
        <f>IF('Economic Assumptions'!$H10="Landlord",IF(CI$5&gt;'Project Assumptions'!$D$15+'Project Assumptions'!$D$16+'Economic Assumptions'!$B10-1,IF(CI$5&lt;='Project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J141" s="301">
        <f>IF('Economic Assumptions'!$H10="Landlord",IF(CJ$5&gt;'Project Assumptions'!$D$15+'Project Assumptions'!$D$16+'Economic Assumptions'!$B10-1,IF(CJ$5&lt;='Project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K141" s="301">
        <f>IF('Economic Assumptions'!$H10="Landlord",IF(CK$5&gt;'Project Assumptions'!$D$15+'Project Assumptions'!$D$16+'Economic Assumptions'!$B10-1,IF(CK$5&lt;='Project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L141" s="301">
        <f>IF('Economic Assumptions'!$H10="Landlord",IF(CL$5&gt;'Project Assumptions'!$D$15+'Project Assumptions'!$D$16+'Economic Assumptions'!$B10-1,IF(CL$5&lt;='Project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M141" s="301">
        <f>IF('Economic Assumptions'!$H10="Landlord",IF(CM$5&gt;'Project Assumptions'!$D$15+'Project Assumptions'!$D$16+'Economic Assumptions'!$B10-1,IF(CM$5&lt;='Project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N141" s="301">
        <f>IF('Economic Assumptions'!$H10="Landlord",IF(CN$5&gt;'Project Assumptions'!$D$15+'Project Assumptions'!$D$16+'Economic Assumptions'!$B10-1,IF(CN$5&lt;='Project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O141" s="301">
        <f>IF('Economic Assumptions'!$H10="Landlord",IF(CO$5&gt;'Project Assumptions'!$D$15+'Project Assumptions'!$D$16+'Economic Assumptions'!$B10-1,IF(CO$5&lt;='Project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P141" s="301">
        <f>IF('Economic Assumptions'!$H10="Landlord",IF(CP$5&gt;'Project Assumptions'!$D$15+'Project Assumptions'!$D$16+'Economic Assumptions'!$B10-1,IF(CP$5&lt;='Project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Q141" s="301">
        <f>IF('Economic Assumptions'!$H10="Landlord",IF(CQ$5&gt;'Project Assumptions'!$D$15+'Project Assumptions'!$D$16+'Economic Assumptions'!$B10-1,IF(CQ$5&lt;='Project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R141" s="301">
        <f>IF('Economic Assumptions'!$H10="Landlord",IF(CR$5&gt;'Project Assumptions'!$D$15+'Project Assumptions'!$D$16+'Economic Assumptions'!$B10-1,IF(CR$5&lt;='Project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S141" s="301">
        <f>IF('Economic Assumptions'!$H10="Landlord",IF(CS$5&gt;'Project Assumptions'!$D$15+'Project Assumptions'!$D$16+'Economic Assumptions'!$B10-1,IF(CS$5&lt;='Project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T141" s="301">
        <f>IF('Economic Assumptions'!$H10="Landlord",IF(CT$5&gt;'Project Assumptions'!$D$15+'Project Assumptions'!$D$16+'Economic Assumptions'!$B10-1,IF(CT$5&lt;='Project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U141" s="301">
        <f>IF('Economic Assumptions'!$H10="Landlord",IF(CU$5&gt;'Project Assumptions'!$D$15+'Project Assumptions'!$D$16+'Economic Assumptions'!$B10-1,IF(CU$5&lt;='Project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V141" s="301">
        <f>IF('Economic Assumptions'!$H10="Landlord",IF(CV$5&gt;'Project Assumptions'!$D$15+'Project Assumptions'!$D$16+'Economic Assumptions'!$B10-1,IF(CV$5&lt;='Project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W141" s="301">
        <f>IF('Economic Assumptions'!$H10="Landlord",IF(CW$5&gt;'Project Assumptions'!$D$15+'Project Assumptions'!$D$16+'Economic Assumptions'!$B10-1,IF(CW$5&lt;='Project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X141" s="301">
        <f>IF('Economic Assumptions'!$H10="Landlord",IF(CX$5&gt;'Project Assumptions'!$D$15+'Project Assumptions'!$D$16+'Economic Assumptions'!$B10-1,IF(CX$5&lt;='Project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Y141" s="301">
        <f>IF('Economic Assumptions'!$H10="Landlord",IF(CY$5&gt;'Project Assumptions'!$D$15+'Project Assumptions'!$D$16+'Economic Assumptions'!$B10-1,IF(CY$5&lt;='Project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CZ141" s="301">
        <f>IF('Economic Assumptions'!$H10="Landlord",IF(CZ$5&gt;'Project Assumptions'!$D$15+'Project Assumptions'!$D$16+'Economic Assumptions'!$B10-1,IF(CZ$5&lt;='Project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DA141" s="301">
        <f>IF('Economic Assumptions'!$H10="Landlord",IF(DA$5&gt;'Project Assumptions'!$D$15+'Project Assumptions'!$D$16+'Economic Assumptions'!$B10-1,IF(DA$5&lt;='Project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DB141" s="301">
        <f>IF('Economic Assumptions'!$H10="Landlord",IF(DB$5&gt;'Project Assumptions'!$D$15+'Project Assumptions'!$D$16+'Economic Assumptions'!$B10-1,IF(DB$5&lt;='Project Assumptions'!$D$15+'Project Assumptions'!$D$16+'Economic Assumptions'!$B10+'Economic Assumptions'!$G10-1,IF('Economic Assumptions'!$E10=0,-'Economic Assumptions'!$G$32,-'Economic Assumptions'!$E10)*'Economic Assumptions'!$C10/12,0),0),0)</f>
        <v/>
      </c>
      <c r="DC141" s="301" t="n"/>
      <c r="DD141" s="299" t="n"/>
    </row>
    <row r="142" hidden="1" outlineLevel="1">
      <c r="A142" s="1000" t="n"/>
      <c r="B142" s="315" t="inlineStr">
        <is>
          <t>Lease #2</t>
        </is>
      </c>
      <c r="C142" s="294" t="n"/>
      <c r="D142" s="299">
        <f>DD142</f>
        <v/>
      </c>
      <c r="E142" s="300" t="n"/>
      <c r="F142" s="301" t="n"/>
      <c r="G142" s="301">
        <f>IF('Economic Assumptions'!$H11="Landlord",IF(G$5&gt;'Project Assumptions'!$D$15+'Project Assumptions'!$D$16+'Economic Assumptions'!$B11-1,IF(G$5&lt;='Project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H142" s="301">
        <f>IF('Economic Assumptions'!$H11="Landlord",IF(H$5&gt;'Project Assumptions'!$D$15+'Project Assumptions'!$D$16+'Economic Assumptions'!$B11-1,IF(H$5&lt;='Project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I142" s="301">
        <f>IF('Economic Assumptions'!$H11="Landlord",IF(I$5&gt;'Project Assumptions'!$D$15+'Project Assumptions'!$D$16+'Economic Assumptions'!$B11-1,IF(I$5&lt;='Project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J142" s="301">
        <f>IF('Economic Assumptions'!$H11="Landlord",IF(J$5&gt;'Project Assumptions'!$D$15+'Project Assumptions'!$D$16+'Economic Assumptions'!$B11-1,IF(J$5&lt;='Project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K142" s="301">
        <f>IF('Economic Assumptions'!$H11="Landlord",IF(K$5&gt;'Project Assumptions'!$D$15+'Project Assumptions'!$D$16+'Economic Assumptions'!$B11-1,IF(K$5&lt;='Project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L142" s="301">
        <f>IF('Economic Assumptions'!$H11="Landlord",IF(L$5&gt;'Project Assumptions'!$D$15+'Project Assumptions'!$D$16+'Economic Assumptions'!$B11-1,IF(L$5&lt;='Project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M142" s="301">
        <f>IF('Economic Assumptions'!$H11="Landlord",IF(M$5&gt;'Project Assumptions'!$D$15+'Project Assumptions'!$D$16+'Economic Assumptions'!$B11-1,IF(M$5&lt;='Project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N142" s="301">
        <f>IF('Economic Assumptions'!$H11="Landlord",IF(N$5&gt;'Project Assumptions'!$D$15+'Project Assumptions'!$D$16+'Economic Assumptions'!$B11-1,IF(N$5&lt;='Project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O142" s="301">
        <f>IF('Economic Assumptions'!$H11="Landlord",IF(O$5&gt;'Project Assumptions'!$D$15+'Project Assumptions'!$D$16+'Economic Assumptions'!$B11-1,IF(O$5&lt;='Project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P142" s="301">
        <f>IF('Economic Assumptions'!$H11="Landlord",IF(P$5&gt;'Project Assumptions'!$D$15+'Project Assumptions'!$D$16+'Economic Assumptions'!$B11-1,IF(P$5&lt;='Project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Q142" s="301">
        <f>IF('Economic Assumptions'!$H11="Landlord",IF(Q$5&gt;'Project Assumptions'!$D$15+'Project Assumptions'!$D$16+'Economic Assumptions'!$B11-1,IF(Q$5&lt;='Project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R142" s="301">
        <f>IF('Economic Assumptions'!$H11="Landlord",IF(R$5&gt;'Project Assumptions'!$D$15+'Project Assumptions'!$D$16+'Economic Assumptions'!$B11-1,IF(R$5&lt;='Project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S142" s="301">
        <f>IF('Economic Assumptions'!$H11="Landlord",IF(S$5&gt;'Project Assumptions'!$D$15+'Project Assumptions'!$D$16+'Economic Assumptions'!$B11-1,IF(S$5&lt;='Project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T142" s="301">
        <f>IF('Economic Assumptions'!$H11="Landlord",IF(T$5&gt;'Project Assumptions'!$D$15+'Project Assumptions'!$D$16+'Economic Assumptions'!$B11-1,IF(T$5&lt;='Project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U142" s="301">
        <f>IF('Economic Assumptions'!$H11="Landlord",IF(U$5&gt;'Project Assumptions'!$D$15+'Project Assumptions'!$D$16+'Economic Assumptions'!$B11-1,IF(U$5&lt;='Project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V142" s="301">
        <f>IF('Economic Assumptions'!$H11="Landlord",IF(V$5&gt;'Project Assumptions'!$D$15+'Project Assumptions'!$D$16+'Economic Assumptions'!$B11-1,IF(V$5&lt;='Project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W142" s="301">
        <f>IF('Economic Assumptions'!$H11="Landlord",IF(W$5&gt;'Project Assumptions'!$D$15+'Project Assumptions'!$D$16+'Economic Assumptions'!$B11-1,IF(W$5&lt;='Project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X142" s="301">
        <f>IF('Economic Assumptions'!$H11="Landlord",IF(X$5&gt;'Project Assumptions'!$D$15+'Project Assumptions'!$D$16+'Economic Assumptions'!$B11-1,IF(X$5&lt;='Project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Y142" s="301">
        <f>IF('Economic Assumptions'!$H11="Landlord",IF(Y$5&gt;'Project Assumptions'!$D$15+'Project Assumptions'!$D$16+'Economic Assumptions'!$B11-1,IF(Y$5&lt;='Project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Z142" s="301">
        <f>IF('Economic Assumptions'!$H11="Landlord",IF(Z$5&gt;'Project Assumptions'!$D$15+'Project Assumptions'!$D$16+'Economic Assumptions'!$B11-1,IF(Z$5&lt;='Project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A142" s="301">
        <f>IF('Economic Assumptions'!$H11="Landlord",IF(AA$5&gt;'Project Assumptions'!$D$15+'Project Assumptions'!$D$16+'Economic Assumptions'!$B11-1,IF(AA$5&lt;='Project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B142" s="301">
        <f>IF('Economic Assumptions'!$H11="Landlord",IF(AB$5&gt;'Project Assumptions'!$D$15+'Project Assumptions'!$D$16+'Economic Assumptions'!$B11-1,IF(AB$5&lt;='Project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C142" s="301">
        <f>IF('Economic Assumptions'!$H11="Landlord",IF(AC$5&gt;'Project Assumptions'!$D$15+'Project Assumptions'!$D$16+'Economic Assumptions'!$B11-1,IF(AC$5&lt;='Project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D142" s="301">
        <f>IF('Economic Assumptions'!$H11="Landlord",IF(AD$5&gt;'Project Assumptions'!$D$15+'Project Assumptions'!$D$16+'Economic Assumptions'!$B11-1,IF(AD$5&lt;='Project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E142" s="301">
        <f>IF('Economic Assumptions'!$H11="Landlord",IF(AE$5&gt;'Project Assumptions'!$D$15+'Project Assumptions'!$D$16+'Economic Assumptions'!$B11-1,IF(AE$5&lt;='Project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F142" s="301">
        <f>IF('Economic Assumptions'!$H11="Landlord",IF(AF$5&gt;'Project Assumptions'!$D$15+'Project Assumptions'!$D$16+'Economic Assumptions'!$B11-1,IF(AF$5&lt;='Project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G142" s="301">
        <f>IF('Economic Assumptions'!$H11="Landlord",IF(AG$5&gt;'Project Assumptions'!$D$15+'Project Assumptions'!$D$16+'Economic Assumptions'!$B11-1,IF(AG$5&lt;='Project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H142" s="301">
        <f>IF('Economic Assumptions'!$H11="Landlord",IF(AH$5&gt;'Project Assumptions'!$D$15+'Project Assumptions'!$D$16+'Economic Assumptions'!$B11-1,IF(AH$5&lt;='Project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I142" s="301">
        <f>IF('Economic Assumptions'!$H11="Landlord",IF(AI$5&gt;'Project Assumptions'!$D$15+'Project Assumptions'!$D$16+'Economic Assumptions'!$B11-1,IF(AI$5&lt;='Project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J142" s="301">
        <f>IF('Economic Assumptions'!$H11="Landlord",IF(AJ$5&gt;'Project Assumptions'!$D$15+'Project Assumptions'!$D$16+'Economic Assumptions'!$B11-1,IF(AJ$5&lt;='Project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K142" s="301">
        <f>IF('Economic Assumptions'!$H11="Landlord",IF(AK$5&gt;'Project Assumptions'!$D$15+'Project Assumptions'!$D$16+'Economic Assumptions'!$B11-1,IF(AK$5&lt;='Project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L142" s="301">
        <f>IF('Economic Assumptions'!$H11="Landlord",IF(AL$5&gt;'Project Assumptions'!$D$15+'Project Assumptions'!$D$16+'Economic Assumptions'!$B11-1,IF(AL$5&lt;='Project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M142" s="301">
        <f>IF('Economic Assumptions'!$H11="Landlord",IF(AM$5&gt;'Project Assumptions'!$D$15+'Project Assumptions'!$D$16+'Economic Assumptions'!$B11-1,IF(AM$5&lt;='Project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N142" s="301">
        <f>IF('Economic Assumptions'!$H11="Landlord",IF(AN$5&gt;'Project Assumptions'!$D$15+'Project Assumptions'!$D$16+'Economic Assumptions'!$B11-1,IF(AN$5&lt;='Project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O142" s="301">
        <f>IF('Economic Assumptions'!$H11="Landlord",IF(AO$5&gt;'Project Assumptions'!$D$15+'Project Assumptions'!$D$16+'Economic Assumptions'!$B11-1,IF(AO$5&lt;='Project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P142" s="301">
        <f>IF('Economic Assumptions'!$H11="Landlord",IF(AP$5&gt;'Project Assumptions'!$D$15+'Project Assumptions'!$D$16+'Economic Assumptions'!$B11-1,IF(AP$5&lt;='Project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Q142" s="301">
        <f>IF('Economic Assumptions'!$H11="Landlord",IF(AQ$5&gt;'Project Assumptions'!$D$15+'Project Assumptions'!$D$16+'Economic Assumptions'!$B11-1,IF(AQ$5&lt;='Project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R142" s="301">
        <f>IF('Economic Assumptions'!$H11="Landlord",IF(AR$5&gt;'Project Assumptions'!$D$15+'Project Assumptions'!$D$16+'Economic Assumptions'!$B11-1,IF(AR$5&lt;='Project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S142" s="301">
        <f>IF('Economic Assumptions'!$H11="Landlord",IF(AS$5&gt;'Project Assumptions'!$D$15+'Project Assumptions'!$D$16+'Economic Assumptions'!$B11-1,IF(AS$5&lt;='Project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T142" s="301">
        <f>IF('Economic Assumptions'!$H11="Landlord",IF(AT$5&gt;'Project Assumptions'!$D$15+'Project Assumptions'!$D$16+'Economic Assumptions'!$B11-1,IF(AT$5&lt;='Project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U142" s="301">
        <f>IF('Economic Assumptions'!$H11="Landlord",IF(AU$5&gt;'Project Assumptions'!$D$15+'Project Assumptions'!$D$16+'Economic Assumptions'!$B11-1,IF(AU$5&lt;='Project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V142" s="301">
        <f>IF('Economic Assumptions'!$H11="Landlord",IF(AV$5&gt;'Project Assumptions'!$D$15+'Project Assumptions'!$D$16+'Economic Assumptions'!$B11-1,IF(AV$5&lt;='Project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W142" s="301">
        <f>IF('Economic Assumptions'!$H11="Landlord",IF(AW$5&gt;'Project Assumptions'!$D$15+'Project Assumptions'!$D$16+'Economic Assumptions'!$B11-1,IF(AW$5&lt;='Project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X142" s="301">
        <f>IF('Economic Assumptions'!$H11="Landlord",IF(AX$5&gt;'Project Assumptions'!$D$15+'Project Assumptions'!$D$16+'Economic Assumptions'!$B11-1,IF(AX$5&lt;='Project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Y142" s="301">
        <f>IF('Economic Assumptions'!$H11="Landlord",IF(AY$5&gt;'Project Assumptions'!$D$15+'Project Assumptions'!$D$16+'Economic Assumptions'!$B11-1,IF(AY$5&lt;='Project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AZ142" s="301">
        <f>IF('Economic Assumptions'!$H11="Landlord",IF(AZ$5&gt;'Project Assumptions'!$D$15+'Project Assumptions'!$D$16+'Economic Assumptions'!$B11-1,IF(AZ$5&lt;='Project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A142" s="301">
        <f>IF('Economic Assumptions'!$H11="Landlord",IF(BA$5&gt;'Project Assumptions'!$D$15+'Project Assumptions'!$D$16+'Economic Assumptions'!$B11-1,IF(BA$5&lt;='Project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B142" s="301">
        <f>IF('Economic Assumptions'!$H11="Landlord",IF(BB$5&gt;'Project Assumptions'!$D$15+'Project Assumptions'!$D$16+'Economic Assumptions'!$B11-1,IF(BB$5&lt;='Project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C142" s="301">
        <f>IF('Economic Assumptions'!$H11="Landlord",IF(BC$5&gt;'Project Assumptions'!$D$15+'Project Assumptions'!$D$16+'Economic Assumptions'!$B11-1,IF(BC$5&lt;='Project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D142" s="301">
        <f>IF('Economic Assumptions'!$H11="Landlord",IF(BD$5&gt;'Project Assumptions'!$D$15+'Project Assumptions'!$D$16+'Economic Assumptions'!$B11-1,IF(BD$5&lt;='Project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E142" s="301">
        <f>IF('Economic Assumptions'!$H11="Landlord",IF(BE$5&gt;'Project Assumptions'!$D$15+'Project Assumptions'!$D$16+'Economic Assumptions'!$B11-1,IF(BE$5&lt;='Project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F142" s="301">
        <f>IF('Economic Assumptions'!$H11="Landlord",IF(BF$5&gt;'Project Assumptions'!$D$15+'Project Assumptions'!$D$16+'Economic Assumptions'!$B11-1,IF(BF$5&lt;='Project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G142" s="301">
        <f>IF('Economic Assumptions'!$H11="Landlord",IF(BG$5&gt;'Project Assumptions'!$D$15+'Project Assumptions'!$D$16+'Economic Assumptions'!$B11-1,IF(BG$5&lt;='Project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H142" s="301">
        <f>IF('Economic Assumptions'!$H11="Landlord",IF(BH$5&gt;'Project Assumptions'!$D$15+'Project Assumptions'!$D$16+'Economic Assumptions'!$B11-1,IF(BH$5&lt;='Project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I142" s="301">
        <f>IF('Economic Assumptions'!$H11="Landlord",IF(BI$5&gt;'Project Assumptions'!$D$15+'Project Assumptions'!$D$16+'Economic Assumptions'!$B11-1,IF(BI$5&lt;='Project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J142" s="301">
        <f>IF('Economic Assumptions'!$H11="Landlord",IF(BJ$5&gt;'Project Assumptions'!$D$15+'Project Assumptions'!$D$16+'Economic Assumptions'!$B11-1,IF(BJ$5&lt;='Project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K142" s="301">
        <f>IF('Economic Assumptions'!$H11="Landlord",IF(BK$5&gt;'Project Assumptions'!$D$15+'Project Assumptions'!$D$16+'Economic Assumptions'!$B11-1,IF(BK$5&lt;='Project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L142" s="301">
        <f>IF('Economic Assumptions'!$H11="Landlord",IF(BL$5&gt;'Project Assumptions'!$D$15+'Project Assumptions'!$D$16+'Economic Assumptions'!$B11-1,IF(BL$5&lt;='Project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M142" s="301">
        <f>IF('Economic Assumptions'!$H11="Landlord",IF(BM$5&gt;'Project Assumptions'!$D$15+'Project Assumptions'!$D$16+'Economic Assumptions'!$B11-1,IF(BM$5&lt;='Project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N142" s="301">
        <f>IF('Economic Assumptions'!$H11="Landlord",IF(BN$5&gt;'Project Assumptions'!$D$15+'Project Assumptions'!$D$16+'Economic Assumptions'!$B11-1,IF(BN$5&lt;='Project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O142" s="301">
        <f>IF('Economic Assumptions'!$H11="Landlord",IF(BO$5&gt;'Project Assumptions'!$D$15+'Project Assumptions'!$D$16+'Economic Assumptions'!$B11-1,IF(BO$5&lt;='Project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P142" s="301">
        <f>IF('Economic Assumptions'!$H11="Landlord",IF(BP$5&gt;'Project Assumptions'!$D$15+'Project Assumptions'!$D$16+'Economic Assumptions'!$B11-1,IF(BP$5&lt;='Project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Q142" s="301">
        <f>IF('Economic Assumptions'!$H11="Landlord",IF(BQ$5&gt;'Project Assumptions'!$D$15+'Project Assumptions'!$D$16+'Economic Assumptions'!$B11-1,IF(BQ$5&lt;='Project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R142" s="301">
        <f>IF('Economic Assumptions'!$H11="Landlord",IF(BR$5&gt;'Project Assumptions'!$D$15+'Project Assumptions'!$D$16+'Economic Assumptions'!$B11-1,IF(BR$5&lt;='Project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S142" s="301">
        <f>IF('Economic Assumptions'!$H11="Landlord",IF(BS$5&gt;'Project Assumptions'!$D$15+'Project Assumptions'!$D$16+'Economic Assumptions'!$B11-1,IF(BS$5&lt;='Project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T142" s="301">
        <f>IF('Economic Assumptions'!$H11="Landlord",IF(BT$5&gt;'Project Assumptions'!$D$15+'Project Assumptions'!$D$16+'Economic Assumptions'!$B11-1,IF(BT$5&lt;='Project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U142" s="301">
        <f>IF('Economic Assumptions'!$H11="Landlord",IF(BU$5&gt;'Project Assumptions'!$D$15+'Project Assumptions'!$D$16+'Economic Assumptions'!$B11-1,IF(BU$5&lt;='Project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V142" s="301">
        <f>IF('Economic Assumptions'!$H11="Landlord",IF(BV$5&gt;'Project Assumptions'!$D$15+'Project Assumptions'!$D$16+'Economic Assumptions'!$B11-1,IF(BV$5&lt;='Project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W142" s="301">
        <f>IF('Economic Assumptions'!$H11="Landlord",IF(BW$5&gt;'Project Assumptions'!$D$15+'Project Assumptions'!$D$16+'Economic Assumptions'!$B11-1,IF(BW$5&lt;='Project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X142" s="301">
        <f>IF('Economic Assumptions'!$H11="Landlord",IF(BX$5&gt;'Project Assumptions'!$D$15+'Project Assumptions'!$D$16+'Economic Assumptions'!$B11-1,IF(BX$5&lt;='Project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Y142" s="301">
        <f>IF('Economic Assumptions'!$H11="Landlord",IF(BY$5&gt;'Project Assumptions'!$D$15+'Project Assumptions'!$D$16+'Economic Assumptions'!$B11-1,IF(BY$5&lt;='Project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BZ142" s="301">
        <f>IF('Economic Assumptions'!$H11="Landlord",IF(BZ$5&gt;'Project Assumptions'!$D$15+'Project Assumptions'!$D$16+'Economic Assumptions'!$B11-1,IF(BZ$5&lt;='Project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A142" s="301">
        <f>IF('Economic Assumptions'!$H11="Landlord",IF(CA$5&gt;'Project Assumptions'!$D$15+'Project Assumptions'!$D$16+'Economic Assumptions'!$B11-1,IF(CA$5&lt;='Project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B142" s="301">
        <f>IF('Economic Assumptions'!$H11="Landlord",IF(CB$5&gt;'Project Assumptions'!$D$15+'Project Assumptions'!$D$16+'Economic Assumptions'!$B11-1,IF(CB$5&lt;='Project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C142" s="301">
        <f>IF('Economic Assumptions'!$H11="Landlord",IF(CC$5&gt;'Project Assumptions'!$D$15+'Project Assumptions'!$D$16+'Economic Assumptions'!$B11-1,IF(CC$5&lt;='Project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D142" s="301">
        <f>IF('Economic Assumptions'!$H11="Landlord",IF(CD$5&gt;'Project Assumptions'!$D$15+'Project Assumptions'!$D$16+'Economic Assumptions'!$B11-1,IF(CD$5&lt;='Project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E142" s="301">
        <f>IF('Economic Assumptions'!$H11="Landlord",IF(CE$5&gt;'Project Assumptions'!$D$15+'Project Assumptions'!$D$16+'Economic Assumptions'!$B11-1,IF(CE$5&lt;='Project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F142" s="301">
        <f>IF('Economic Assumptions'!$H11="Landlord",IF(CF$5&gt;'Project Assumptions'!$D$15+'Project Assumptions'!$D$16+'Economic Assumptions'!$B11-1,IF(CF$5&lt;='Project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G142" s="301">
        <f>IF('Economic Assumptions'!$H11="Landlord",IF(CG$5&gt;'Project Assumptions'!$D$15+'Project Assumptions'!$D$16+'Economic Assumptions'!$B11-1,IF(CG$5&lt;='Project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H142" s="301">
        <f>IF('Economic Assumptions'!$H11="Landlord",IF(CH$5&gt;'Project Assumptions'!$D$15+'Project Assumptions'!$D$16+'Economic Assumptions'!$B11-1,IF(CH$5&lt;='Project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I142" s="301">
        <f>IF('Economic Assumptions'!$H11="Landlord",IF(CI$5&gt;'Project Assumptions'!$D$15+'Project Assumptions'!$D$16+'Economic Assumptions'!$B11-1,IF(CI$5&lt;='Project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J142" s="301">
        <f>IF('Economic Assumptions'!$H11="Landlord",IF(CJ$5&gt;'Project Assumptions'!$D$15+'Project Assumptions'!$D$16+'Economic Assumptions'!$B11-1,IF(CJ$5&lt;='Project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K142" s="301">
        <f>IF('Economic Assumptions'!$H11="Landlord",IF(CK$5&gt;'Project Assumptions'!$D$15+'Project Assumptions'!$D$16+'Economic Assumptions'!$B11-1,IF(CK$5&lt;='Project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L142" s="301">
        <f>IF('Economic Assumptions'!$H11="Landlord",IF(CL$5&gt;'Project Assumptions'!$D$15+'Project Assumptions'!$D$16+'Economic Assumptions'!$B11-1,IF(CL$5&lt;='Project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M142" s="301">
        <f>IF('Economic Assumptions'!$H11="Landlord",IF(CM$5&gt;'Project Assumptions'!$D$15+'Project Assumptions'!$D$16+'Economic Assumptions'!$B11-1,IF(CM$5&lt;='Project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N142" s="301">
        <f>IF('Economic Assumptions'!$H11="Landlord",IF(CN$5&gt;'Project Assumptions'!$D$15+'Project Assumptions'!$D$16+'Economic Assumptions'!$B11-1,IF(CN$5&lt;='Project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O142" s="301">
        <f>IF('Economic Assumptions'!$H11="Landlord",IF(CO$5&gt;'Project Assumptions'!$D$15+'Project Assumptions'!$D$16+'Economic Assumptions'!$B11-1,IF(CO$5&lt;='Project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P142" s="301">
        <f>IF('Economic Assumptions'!$H11="Landlord",IF(CP$5&gt;'Project Assumptions'!$D$15+'Project Assumptions'!$D$16+'Economic Assumptions'!$B11-1,IF(CP$5&lt;='Project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Q142" s="301">
        <f>IF('Economic Assumptions'!$H11="Landlord",IF(CQ$5&gt;'Project Assumptions'!$D$15+'Project Assumptions'!$D$16+'Economic Assumptions'!$B11-1,IF(CQ$5&lt;='Project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R142" s="301">
        <f>IF('Economic Assumptions'!$H11="Landlord",IF(CR$5&gt;'Project Assumptions'!$D$15+'Project Assumptions'!$D$16+'Economic Assumptions'!$B11-1,IF(CR$5&lt;='Project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S142" s="301">
        <f>IF('Economic Assumptions'!$H11="Landlord",IF(CS$5&gt;'Project Assumptions'!$D$15+'Project Assumptions'!$D$16+'Economic Assumptions'!$B11-1,IF(CS$5&lt;='Project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T142" s="301">
        <f>IF('Economic Assumptions'!$H11="Landlord",IF(CT$5&gt;'Project Assumptions'!$D$15+'Project Assumptions'!$D$16+'Economic Assumptions'!$B11-1,IF(CT$5&lt;='Project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U142" s="301">
        <f>IF('Economic Assumptions'!$H11="Landlord",IF(CU$5&gt;'Project Assumptions'!$D$15+'Project Assumptions'!$D$16+'Economic Assumptions'!$B11-1,IF(CU$5&lt;='Project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V142" s="301">
        <f>IF('Economic Assumptions'!$H11="Landlord",IF(CV$5&gt;'Project Assumptions'!$D$15+'Project Assumptions'!$D$16+'Economic Assumptions'!$B11-1,IF(CV$5&lt;='Project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W142" s="301">
        <f>IF('Economic Assumptions'!$H11="Landlord",IF(CW$5&gt;'Project Assumptions'!$D$15+'Project Assumptions'!$D$16+'Economic Assumptions'!$B11-1,IF(CW$5&lt;='Project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X142" s="301">
        <f>IF('Economic Assumptions'!$H11="Landlord",IF(CX$5&gt;'Project Assumptions'!$D$15+'Project Assumptions'!$D$16+'Economic Assumptions'!$B11-1,IF(CX$5&lt;='Project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Y142" s="301">
        <f>IF('Economic Assumptions'!$H11="Landlord",IF(CY$5&gt;'Project Assumptions'!$D$15+'Project Assumptions'!$D$16+'Economic Assumptions'!$B11-1,IF(CY$5&lt;='Project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CZ142" s="301">
        <f>IF('Economic Assumptions'!$H11="Landlord",IF(CZ$5&gt;'Project Assumptions'!$D$15+'Project Assumptions'!$D$16+'Economic Assumptions'!$B11-1,IF(CZ$5&lt;='Project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DA142" s="301">
        <f>IF('Economic Assumptions'!$H11="Landlord",IF(DA$5&gt;'Project Assumptions'!$D$15+'Project Assumptions'!$D$16+'Economic Assumptions'!$B11-1,IF(DA$5&lt;='Project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DB142" s="301">
        <f>IF('Economic Assumptions'!$H11="Landlord",IF(DB$5&gt;'Project Assumptions'!$D$15+'Project Assumptions'!$D$16+'Economic Assumptions'!$B11-1,IF(DB$5&lt;='Project Assumptions'!$D$15+'Project Assumptions'!$D$16+'Economic Assumptions'!$B11+'Economic Assumptions'!$G11-1,IF('Economic Assumptions'!$E11=0,-'Economic Assumptions'!$G$32,-'Economic Assumptions'!$E11)*'Economic Assumptions'!$C11/12,0),0),0)</f>
        <v/>
      </c>
      <c r="DC142" s="301" t="n"/>
      <c r="DD142" s="299" t="n"/>
    </row>
    <row r="143" hidden="1" outlineLevel="1">
      <c r="A143" s="1000" t="n"/>
      <c r="B143" s="315" t="inlineStr">
        <is>
          <t>Lease #3</t>
        </is>
      </c>
      <c r="C143" s="294" t="n"/>
      <c r="D143" s="299">
        <f>DD143</f>
        <v/>
      </c>
      <c r="E143" s="300" t="n"/>
      <c r="F143" s="301" t="n"/>
      <c r="G143" s="301">
        <f>IF('Economic Assumptions'!$H12="Landlord",IF(G$5&gt;'Project Assumptions'!$D$15+'Project Assumptions'!$D$16+'Economic Assumptions'!$B12-1,IF(G$5&lt;='Project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H143" s="301">
        <f>IF('Economic Assumptions'!$H12="Landlord",IF(H$5&gt;'Project Assumptions'!$D$15+'Project Assumptions'!$D$16+'Economic Assumptions'!$B12-1,IF(H$5&lt;='Project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I143" s="301">
        <f>IF('Economic Assumptions'!$H12="Landlord",IF(I$5&gt;'Project Assumptions'!$D$15+'Project Assumptions'!$D$16+'Economic Assumptions'!$B12-1,IF(I$5&lt;='Project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J143" s="301">
        <f>IF('Economic Assumptions'!$H12="Landlord",IF(J$5&gt;'Project Assumptions'!$D$15+'Project Assumptions'!$D$16+'Economic Assumptions'!$B12-1,IF(J$5&lt;='Project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K143" s="301">
        <f>IF('Economic Assumptions'!$H12="Landlord",IF(K$5&gt;'Project Assumptions'!$D$15+'Project Assumptions'!$D$16+'Economic Assumptions'!$B12-1,IF(K$5&lt;='Project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L143" s="301">
        <f>IF('Economic Assumptions'!$H12="Landlord",IF(L$5&gt;'Project Assumptions'!$D$15+'Project Assumptions'!$D$16+'Economic Assumptions'!$B12-1,IF(L$5&lt;='Project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M143" s="301">
        <f>IF('Economic Assumptions'!$H12="Landlord",IF(M$5&gt;'Project Assumptions'!$D$15+'Project Assumptions'!$D$16+'Economic Assumptions'!$B12-1,IF(M$5&lt;='Project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N143" s="301">
        <f>IF('Economic Assumptions'!$H12="Landlord",IF(N$5&gt;'Project Assumptions'!$D$15+'Project Assumptions'!$D$16+'Economic Assumptions'!$B12-1,IF(N$5&lt;='Project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O143" s="301">
        <f>IF('Economic Assumptions'!$H12="Landlord",IF(O$5&gt;'Project Assumptions'!$D$15+'Project Assumptions'!$D$16+'Economic Assumptions'!$B12-1,IF(O$5&lt;='Project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P143" s="301">
        <f>IF('Economic Assumptions'!$H12="Landlord",IF(P$5&gt;'Project Assumptions'!$D$15+'Project Assumptions'!$D$16+'Economic Assumptions'!$B12-1,IF(P$5&lt;='Project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Q143" s="301">
        <f>IF('Economic Assumptions'!$H12="Landlord",IF(Q$5&gt;'Project Assumptions'!$D$15+'Project Assumptions'!$D$16+'Economic Assumptions'!$B12-1,IF(Q$5&lt;='Project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R143" s="301">
        <f>IF('Economic Assumptions'!$H12="Landlord",IF(R$5&gt;'Project Assumptions'!$D$15+'Project Assumptions'!$D$16+'Economic Assumptions'!$B12-1,IF(R$5&lt;='Project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S143" s="301">
        <f>IF('Economic Assumptions'!$H12="Landlord",IF(S$5&gt;'Project Assumptions'!$D$15+'Project Assumptions'!$D$16+'Economic Assumptions'!$B12-1,IF(S$5&lt;='Project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T143" s="301">
        <f>IF('Economic Assumptions'!$H12="Landlord",IF(T$5&gt;'Project Assumptions'!$D$15+'Project Assumptions'!$D$16+'Economic Assumptions'!$B12-1,IF(T$5&lt;='Project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U143" s="301">
        <f>IF('Economic Assumptions'!$H12="Landlord",IF(U$5&gt;'Project Assumptions'!$D$15+'Project Assumptions'!$D$16+'Economic Assumptions'!$B12-1,IF(U$5&lt;='Project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V143" s="301">
        <f>IF('Economic Assumptions'!$H12="Landlord",IF(V$5&gt;'Project Assumptions'!$D$15+'Project Assumptions'!$D$16+'Economic Assumptions'!$B12-1,IF(V$5&lt;='Project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W143" s="301">
        <f>IF('Economic Assumptions'!$H12="Landlord",IF(W$5&gt;'Project Assumptions'!$D$15+'Project Assumptions'!$D$16+'Economic Assumptions'!$B12-1,IF(W$5&lt;='Project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X143" s="301">
        <f>IF('Economic Assumptions'!$H12="Landlord",IF(X$5&gt;'Project Assumptions'!$D$15+'Project Assumptions'!$D$16+'Economic Assumptions'!$B12-1,IF(X$5&lt;='Project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Y143" s="301">
        <f>IF('Economic Assumptions'!$H12="Landlord",IF(Y$5&gt;'Project Assumptions'!$D$15+'Project Assumptions'!$D$16+'Economic Assumptions'!$B12-1,IF(Y$5&lt;='Project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Z143" s="301">
        <f>IF('Economic Assumptions'!$H12="Landlord",IF(Z$5&gt;'Project Assumptions'!$D$15+'Project Assumptions'!$D$16+'Economic Assumptions'!$B12-1,IF(Z$5&lt;='Project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A143" s="301">
        <f>IF('Economic Assumptions'!$H12="Landlord",IF(AA$5&gt;'Project Assumptions'!$D$15+'Project Assumptions'!$D$16+'Economic Assumptions'!$B12-1,IF(AA$5&lt;='Project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B143" s="301">
        <f>IF('Economic Assumptions'!$H12="Landlord",IF(AB$5&gt;'Project Assumptions'!$D$15+'Project Assumptions'!$D$16+'Economic Assumptions'!$B12-1,IF(AB$5&lt;='Project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C143" s="301">
        <f>IF('Economic Assumptions'!$H12="Landlord",IF(AC$5&gt;'Project Assumptions'!$D$15+'Project Assumptions'!$D$16+'Economic Assumptions'!$B12-1,IF(AC$5&lt;='Project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D143" s="301">
        <f>IF('Economic Assumptions'!$H12="Landlord",IF(AD$5&gt;'Project Assumptions'!$D$15+'Project Assumptions'!$D$16+'Economic Assumptions'!$B12-1,IF(AD$5&lt;='Project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E143" s="301">
        <f>IF('Economic Assumptions'!$H12="Landlord",IF(AE$5&gt;'Project Assumptions'!$D$15+'Project Assumptions'!$D$16+'Economic Assumptions'!$B12-1,IF(AE$5&lt;='Project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F143" s="301">
        <f>IF('Economic Assumptions'!$H12="Landlord",IF(AF$5&gt;'Project Assumptions'!$D$15+'Project Assumptions'!$D$16+'Economic Assumptions'!$B12-1,IF(AF$5&lt;='Project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G143" s="301">
        <f>IF('Economic Assumptions'!$H12="Landlord",IF(AG$5&gt;'Project Assumptions'!$D$15+'Project Assumptions'!$D$16+'Economic Assumptions'!$B12-1,IF(AG$5&lt;='Project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H143" s="301">
        <f>IF('Economic Assumptions'!$H12="Landlord",IF(AH$5&gt;'Project Assumptions'!$D$15+'Project Assumptions'!$D$16+'Economic Assumptions'!$B12-1,IF(AH$5&lt;='Project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I143" s="301">
        <f>IF('Economic Assumptions'!$H12="Landlord",IF(AI$5&gt;'Project Assumptions'!$D$15+'Project Assumptions'!$D$16+'Economic Assumptions'!$B12-1,IF(AI$5&lt;='Project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J143" s="301">
        <f>IF('Economic Assumptions'!$H12="Landlord",IF(AJ$5&gt;'Project Assumptions'!$D$15+'Project Assumptions'!$D$16+'Economic Assumptions'!$B12-1,IF(AJ$5&lt;='Project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K143" s="301">
        <f>IF('Economic Assumptions'!$H12="Landlord",IF(AK$5&gt;'Project Assumptions'!$D$15+'Project Assumptions'!$D$16+'Economic Assumptions'!$B12-1,IF(AK$5&lt;='Project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L143" s="301">
        <f>IF('Economic Assumptions'!$H12="Landlord",IF(AL$5&gt;'Project Assumptions'!$D$15+'Project Assumptions'!$D$16+'Economic Assumptions'!$B12-1,IF(AL$5&lt;='Project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M143" s="301">
        <f>IF('Economic Assumptions'!$H12="Landlord",IF(AM$5&gt;'Project Assumptions'!$D$15+'Project Assumptions'!$D$16+'Economic Assumptions'!$B12-1,IF(AM$5&lt;='Project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N143" s="301">
        <f>IF('Economic Assumptions'!$H12="Landlord",IF(AN$5&gt;'Project Assumptions'!$D$15+'Project Assumptions'!$D$16+'Economic Assumptions'!$B12-1,IF(AN$5&lt;='Project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O143" s="301">
        <f>IF('Economic Assumptions'!$H12="Landlord",IF(AO$5&gt;'Project Assumptions'!$D$15+'Project Assumptions'!$D$16+'Economic Assumptions'!$B12-1,IF(AO$5&lt;='Project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P143" s="301">
        <f>IF('Economic Assumptions'!$H12="Landlord",IF(AP$5&gt;'Project Assumptions'!$D$15+'Project Assumptions'!$D$16+'Economic Assumptions'!$B12-1,IF(AP$5&lt;='Project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Q143" s="301">
        <f>IF('Economic Assumptions'!$H12="Landlord",IF(AQ$5&gt;'Project Assumptions'!$D$15+'Project Assumptions'!$D$16+'Economic Assumptions'!$B12-1,IF(AQ$5&lt;='Project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R143" s="301">
        <f>IF('Economic Assumptions'!$H12="Landlord",IF(AR$5&gt;'Project Assumptions'!$D$15+'Project Assumptions'!$D$16+'Economic Assumptions'!$B12-1,IF(AR$5&lt;='Project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S143" s="301">
        <f>IF('Economic Assumptions'!$H12="Landlord",IF(AS$5&gt;'Project Assumptions'!$D$15+'Project Assumptions'!$D$16+'Economic Assumptions'!$B12-1,IF(AS$5&lt;='Project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T143" s="301">
        <f>IF('Economic Assumptions'!$H12="Landlord",IF(AT$5&gt;'Project Assumptions'!$D$15+'Project Assumptions'!$D$16+'Economic Assumptions'!$B12-1,IF(AT$5&lt;='Project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U143" s="301">
        <f>IF('Economic Assumptions'!$H12="Landlord",IF(AU$5&gt;'Project Assumptions'!$D$15+'Project Assumptions'!$D$16+'Economic Assumptions'!$B12-1,IF(AU$5&lt;='Project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V143" s="301">
        <f>IF('Economic Assumptions'!$H12="Landlord",IF(AV$5&gt;'Project Assumptions'!$D$15+'Project Assumptions'!$D$16+'Economic Assumptions'!$B12-1,IF(AV$5&lt;='Project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W143" s="301">
        <f>IF('Economic Assumptions'!$H12="Landlord",IF(AW$5&gt;'Project Assumptions'!$D$15+'Project Assumptions'!$D$16+'Economic Assumptions'!$B12-1,IF(AW$5&lt;='Project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X143" s="301">
        <f>IF('Economic Assumptions'!$H12="Landlord",IF(AX$5&gt;'Project Assumptions'!$D$15+'Project Assumptions'!$D$16+'Economic Assumptions'!$B12-1,IF(AX$5&lt;='Project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Y143" s="301">
        <f>IF('Economic Assumptions'!$H12="Landlord",IF(AY$5&gt;'Project Assumptions'!$D$15+'Project Assumptions'!$D$16+'Economic Assumptions'!$B12-1,IF(AY$5&lt;='Project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AZ143" s="301">
        <f>IF('Economic Assumptions'!$H12="Landlord",IF(AZ$5&gt;'Project Assumptions'!$D$15+'Project Assumptions'!$D$16+'Economic Assumptions'!$B12-1,IF(AZ$5&lt;='Project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A143" s="301">
        <f>IF('Economic Assumptions'!$H12="Landlord",IF(BA$5&gt;'Project Assumptions'!$D$15+'Project Assumptions'!$D$16+'Economic Assumptions'!$B12-1,IF(BA$5&lt;='Project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B143" s="301">
        <f>IF('Economic Assumptions'!$H12="Landlord",IF(BB$5&gt;'Project Assumptions'!$D$15+'Project Assumptions'!$D$16+'Economic Assumptions'!$B12-1,IF(BB$5&lt;='Project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C143" s="301">
        <f>IF('Economic Assumptions'!$H12="Landlord",IF(BC$5&gt;'Project Assumptions'!$D$15+'Project Assumptions'!$D$16+'Economic Assumptions'!$B12-1,IF(BC$5&lt;='Project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D143" s="301">
        <f>IF('Economic Assumptions'!$H12="Landlord",IF(BD$5&gt;'Project Assumptions'!$D$15+'Project Assumptions'!$D$16+'Economic Assumptions'!$B12-1,IF(BD$5&lt;='Project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E143" s="301">
        <f>IF('Economic Assumptions'!$H12="Landlord",IF(BE$5&gt;'Project Assumptions'!$D$15+'Project Assumptions'!$D$16+'Economic Assumptions'!$B12-1,IF(BE$5&lt;='Project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F143" s="301">
        <f>IF('Economic Assumptions'!$H12="Landlord",IF(BF$5&gt;'Project Assumptions'!$D$15+'Project Assumptions'!$D$16+'Economic Assumptions'!$B12-1,IF(BF$5&lt;='Project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G143" s="301">
        <f>IF('Economic Assumptions'!$H12="Landlord",IF(BG$5&gt;'Project Assumptions'!$D$15+'Project Assumptions'!$D$16+'Economic Assumptions'!$B12-1,IF(BG$5&lt;='Project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H143" s="301">
        <f>IF('Economic Assumptions'!$H12="Landlord",IF(BH$5&gt;'Project Assumptions'!$D$15+'Project Assumptions'!$D$16+'Economic Assumptions'!$B12-1,IF(BH$5&lt;='Project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I143" s="301">
        <f>IF('Economic Assumptions'!$H12="Landlord",IF(BI$5&gt;'Project Assumptions'!$D$15+'Project Assumptions'!$D$16+'Economic Assumptions'!$B12-1,IF(BI$5&lt;='Project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J143" s="301">
        <f>IF('Economic Assumptions'!$H12="Landlord",IF(BJ$5&gt;'Project Assumptions'!$D$15+'Project Assumptions'!$D$16+'Economic Assumptions'!$B12-1,IF(BJ$5&lt;='Project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K143" s="301">
        <f>IF('Economic Assumptions'!$H12="Landlord",IF(BK$5&gt;'Project Assumptions'!$D$15+'Project Assumptions'!$D$16+'Economic Assumptions'!$B12-1,IF(BK$5&lt;='Project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L143" s="301">
        <f>IF('Economic Assumptions'!$H12="Landlord",IF(BL$5&gt;'Project Assumptions'!$D$15+'Project Assumptions'!$D$16+'Economic Assumptions'!$B12-1,IF(BL$5&lt;='Project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M143" s="301">
        <f>IF('Economic Assumptions'!$H12="Landlord",IF(BM$5&gt;'Project Assumptions'!$D$15+'Project Assumptions'!$D$16+'Economic Assumptions'!$B12-1,IF(BM$5&lt;='Project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N143" s="301">
        <f>IF('Economic Assumptions'!$H12="Landlord",IF(BN$5&gt;'Project Assumptions'!$D$15+'Project Assumptions'!$D$16+'Economic Assumptions'!$B12-1,IF(BN$5&lt;='Project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O143" s="301">
        <f>IF('Economic Assumptions'!$H12="Landlord",IF(BO$5&gt;'Project Assumptions'!$D$15+'Project Assumptions'!$D$16+'Economic Assumptions'!$B12-1,IF(BO$5&lt;='Project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P143" s="301">
        <f>IF('Economic Assumptions'!$H12="Landlord",IF(BP$5&gt;'Project Assumptions'!$D$15+'Project Assumptions'!$D$16+'Economic Assumptions'!$B12-1,IF(BP$5&lt;='Project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Q143" s="301">
        <f>IF('Economic Assumptions'!$H12="Landlord",IF(BQ$5&gt;'Project Assumptions'!$D$15+'Project Assumptions'!$D$16+'Economic Assumptions'!$B12-1,IF(BQ$5&lt;='Project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R143" s="301">
        <f>IF('Economic Assumptions'!$H12="Landlord",IF(BR$5&gt;'Project Assumptions'!$D$15+'Project Assumptions'!$D$16+'Economic Assumptions'!$B12-1,IF(BR$5&lt;='Project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S143" s="301">
        <f>IF('Economic Assumptions'!$H12="Landlord",IF(BS$5&gt;'Project Assumptions'!$D$15+'Project Assumptions'!$D$16+'Economic Assumptions'!$B12-1,IF(BS$5&lt;='Project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T143" s="301">
        <f>IF('Economic Assumptions'!$H12="Landlord",IF(BT$5&gt;'Project Assumptions'!$D$15+'Project Assumptions'!$D$16+'Economic Assumptions'!$B12-1,IF(BT$5&lt;='Project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U143" s="301">
        <f>IF('Economic Assumptions'!$H12="Landlord",IF(BU$5&gt;'Project Assumptions'!$D$15+'Project Assumptions'!$D$16+'Economic Assumptions'!$B12-1,IF(BU$5&lt;='Project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V143" s="301">
        <f>IF('Economic Assumptions'!$H12="Landlord",IF(BV$5&gt;'Project Assumptions'!$D$15+'Project Assumptions'!$D$16+'Economic Assumptions'!$B12-1,IF(BV$5&lt;='Project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W143" s="301">
        <f>IF('Economic Assumptions'!$H12="Landlord",IF(BW$5&gt;'Project Assumptions'!$D$15+'Project Assumptions'!$D$16+'Economic Assumptions'!$B12-1,IF(BW$5&lt;='Project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X143" s="301">
        <f>IF('Economic Assumptions'!$H12="Landlord",IF(BX$5&gt;'Project Assumptions'!$D$15+'Project Assumptions'!$D$16+'Economic Assumptions'!$B12-1,IF(BX$5&lt;='Project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Y143" s="301">
        <f>IF('Economic Assumptions'!$H12="Landlord",IF(BY$5&gt;'Project Assumptions'!$D$15+'Project Assumptions'!$D$16+'Economic Assumptions'!$B12-1,IF(BY$5&lt;='Project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BZ143" s="301">
        <f>IF('Economic Assumptions'!$H12="Landlord",IF(BZ$5&gt;'Project Assumptions'!$D$15+'Project Assumptions'!$D$16+'Economic Assumptions'!$B12-1,IF(BZ$5&lt;='Project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A143" s="301">
        <f>IF('Economic Assumptions'!$H12="Landlord",IF(CA$5&gt;'Project Assumptions'!$D$15+'Project Assumptions'!$D$16+'Economic Assumptions'!$B12-1,IF(CA$5&lt;='Project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B143" s="301">
        <f>IF('Economic Assumptions'!$H12="Landlord",IF(CB$5&gt;'Project Assumptions'!$D$15+'Project Assumptions'!$D$16+'Economic Assumptions'!$B12-1,IF(CB$5&lt;='Project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C143" s="301">
        <f>IF('Economic Assumptions'!$H12="Landlord",IF(CC$5&gt;'Project Assumptions'!$D$15+'Project Assumptions'!$D$16+'Economic Assumptions'!$B12-1,IF(CC$5&lt;='Project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D143" s="301">
        <f>IF('Economic Assumptions'!$H12="Landlord",IF(CD$5&gt;'Project Assumptions'!$D$15+'Project Assumptions'!$D$16+'Economic Assumptions'!$B12-1,IF(CD$5&lt;='Project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E143" s="301">
        <f>IF('Economic Assumptions'!$H12="Landlord",IF(CE$5&gt;'Project Assumptions'!$D$15+'Project Assumptions'!$D$16+'Economic Assumptions'!$B12-1,IF(CE$5&lt;='Project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F143" s="301">
        <f>IF('Economic Assumptions'!$H12="Landlord",IF(CF$5&gt;'Project Assumptions'!$D$15+'Project Assumptions'!$D$16+'Economic Assumptions'!$B12-1,IF(CF$5&lt;='Project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G143" s="301">
        <f>IF('Economic Assumptions'!$H12="Landlord",IF(CG$5&gt;'Project Assumptions'!$D$15+'Project Assumptions'!$D$16+'Economic Assumptions'!$B12-1,IF(CG$5&lt;='Project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H143" s="301">
        <f>IF('Economic Assumptions'!$H12="Landlord",IF(CH$5&gt;'Project Assumptions'!$D$15+'Project Assumptions'!$D$16+'Economic Assumptions'!$B12-1,IF(CH$5&lt;='Project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I143" s="301">
        <f>IF('Economic Assumptions'!$H12="Landlord",IF(CI$5&gt;'Project Assumptions'!$D$15+'Project Assumptions'!$D$16+'Economic Assumptions'!$B12-1,IF(CI$5&lt;='Project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J143" s="301">
        <f>IF('Economic Assumptions'!$H12="Landlord",IF(CJ$5&gt;'Project Assumptions'!$D$15+'Project Assumptions'!$D$16+'Economic Assumptions'!$B12-1,IF(CJ$5&lt;='Project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K143" s="301">
        <f>IF('Economic Assumptions'!$H12="Landlord",IF(CK$5&gt;'Project Assumptions'!$D$15+'Project Assumptions'!$D$16+'Economic Assumptions'!$B12-1,IF(CK$5&lt;='Project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L143" s="301">
        <f>IF('Economic Assumptions'!$H12="Landlord",IF(CL$5&gt;'Project Assumptions'!$D$15+'Project Assumptions'!$D$16+'Economic Assumptions'!$B12-1,IF(CL$5&lt;='Project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M143" s="301">
        <f>IF('Economic Assumptions'!$H12="Landlord",IF(CM$5&gt;'Project Assumptions'!$D$15+'Project Assumptions'!$D$16+'Economic Assumptions'!$B12-1,IF(CM$5&lt;='Project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N143" s="301">
        <f>IF('Economic Assumptions'!$H12="Landlord",IF(CN$5&gt;'Project Assumptions'!$D$15+'Project Assumptions'!$D$16+'Economic Assumptions'!$B12-1,IF(CN$5&lt;='Project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O143" s="301">
        <f>IF('Economic Assumptions'!$H12="Landlord",IF(CO$5&gt;'Project Assumptions'!$D$15+'Project Assumptions'!$D$16+'Economic Assumptions'!$B12-1,IF(CO$5&lt;='Project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P143" s="301">
        <f>IF('Economic Assumptions'!$H12="Landlord",IF(CP$5&gt;'Project Assumptions'!$D$15+'Project Assumptions'!$D$16+'Economic Assumptions'!$B12-1,IF(CP$5&lt;='Project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Q143" s="301">
        <f>IF('Economic Assumptions'!$H12="Landlord",IF(CQ$5&gt;'Project Assumptions'!$D$15+'Project Assumptions'!$D$16+'Economic Assumptions'!$B12-1,IF(CQ$5&lt;='Project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R143" s="301">
        <f>IF('Economic Assumptions'!$H12="Landlord",IF(CR$5&gt;'Project Assumptions'!$D$15+'Project Assumptions'!$D$16+'Economic Assumptions'!$B12-1,IF(CR$5&lt;='Project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S143" s="301">
        <f>IF('Economic Assumptions'!$H12="Landlord",IF(CS$5&gt;'Project Assumptions'!$D$15+'Project Assumptions'!$D$16+'Economic Assumptions'!$B12-1,IF(CS$5&lt;='Project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T143" s="301">
        <f>IF('Economic Assumptions'!$H12="Landlord",IF(CT$5&gt;'Project Assumptions'!$D$15+'Project Assumptions'!$D$16+'Economic Assumptions'!$B12-1,IF(CT$5&lt;='Project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U143" s="301">
        <f>IF('Economic Assumptions'!$H12="Landlord",IF(CU$5&gt;'Project Assumptions'!$D$15+'Project Assumptions'!$D$16+'Economic Assumptions'!$B12-1,IF(CU$5&lt;='Project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V143" s="301">
        <f>IF('Economic Assumptions'!$H12="Landlord",IF(CV$5&gt;'Project Assumptions'!$D$15+'Project Assumptions'!$D$16+'Economic Assumptions'!$B12-1,IF(CV$5&lt;='Project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W143" s="301">
        <f>IF('Economic Assumptions'!$H12="Landlord",IF(CW$5&gt;'Project Assumptions'!$D$15+'Project Assumptions'!$D$16+'Economic Assumptions'!$B12-1,IF(CW$5&lt;='Project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X143" s="301">
        <f>IF('Economic Assumptions'!$H12="Landlord",IF(CX$5&gt;'Project Assumptions'!$D$15+'Project Assumptions'!$D$16+'Economic Assumptions'!$B12-1,IF(CX$5&lt;='Project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Y143" s="301">
        <f>IF('Economic Assumptions'!$H12="Landlord",IF(CY$5&gt;'Project Assumptions'!$D$15+'Project Assumptions'!$D$16+'Economic Assumptions'!$B12-1,IF(CY$5&lt;='Project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CZ143" s="301">
        <f>IF('Economic Assumptions'!$H12="Landlord",IF(CZ$5&gt;'Project Assumptions'!$D$15+'Project Assumptions'!$D$16+'Economic Assumptions'!$B12-1,IF(CZ$5&lt;='Project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DA143" s="301">
        <f>IF('Economic Assumptions'!$H12="Landlord",IF(DA$5&gt;'Project Assumptions'!$D$15+'Project Assumptions'!$D$16+'Economic Assumptions'!$B12-1,IF(DA$5&lt;='Project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DB143" s="301">
        <f>IF('Economic Assumptions'!$H12="Landlord",IF(DB$5&gt;'Project Assumptions'!$D$15+'Project Assumptions'!$D$16+'Economic Assumptions'!$B12-1,IF(DB$5&lt;='Project Assumptions'!$D$15+'Project Assumptions'!$D$16+'Economic Assumptions'!$B12+'Economic Assumptions'!$G12-1,IF('Economic Assumptions'!$E12=0,-'Economic Assumptions'!$G$32,-'Economic Assumptions'!$E12)*'Economic Assumptions'!$C12/12,0),0),0)</f>
        <v/>
      </c>
      <c r="DC143" s="301" t="n"/>
      <c r="DD143" s="299" t="n"/>
    </row>
    <row r="144" hidden="1" outlineLevel="1">
      <c r="A144" s="1000" t="n"/>
      <c r="B144" s="315" t="inlineStr">
        <is>
          <t>Lease #4</t>
        </is>
      </c>
      <c r="C144" s="294" t="n"/>
      <c r="D144" s="299">
        <f>DD144</f>
        <v/>
      </c>
      <c r="E144" s="300" t="n"/>
      <c r="F144" s="301" t="n"/>
      <c r="G144" s="301">
        <f>IF('Economic Assumptions'!$H13="Landlord",IF(G$5&gt;'Project Assumptions'!$D$15+'Project Assumptions'!$D$16+'Economic Assumptions'!$B13-1,IF(G$5&lt;='Project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H144" s="301">
        <f>IF('Economic Assumptions'!$H13="Landlord",IF(H$5&gt;'Project Assumptions'!$D$15+'Project Assumptions'!$D$16+'Economic Assumptions'!$B13-1,IF(H$5&lt;='Project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I144" s="301">
        <f>IF('Economic Assumptions'!$H13="Landlord",IF(I$5&gt;'Project Assumptions'!$D$15+'Project Assumptions'!$D$16+'Economic Assumptions'!$B13-1,IF(I$5&lt;='Project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J144" s="301">
        <f>IF('Economic Assumptions'!$H13="Landlord",IF(J$5&gt;'Project Assumptions'!$D$15+'Project Assumptions'!$D$16+'Economic Assumptions'!$B13-1,IF(J$5&lt;='Project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K144" s="301">
        <f>IF('Economic Assumptions'!$H13="Landlord",IF(K$5&gt;'Project Assumptions'!$D$15+'Project Assumptions'!$D$16+'Economic Assumptions'!$B13-1,IF(K$5&lt;='Project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L144" s="301">
        <f>IF('Economic Assumptions'!$H13="Landlord",IF(L$5&gt;'Project Assumptions'!$D$15+'Project Assumptions'!$D$16+'Economic Assumptions'!$B13-1,IF(L$5&lt;='Project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M144" s="301">
        <f>IF('Economic Assumptions'!$H13="Landlord",IF(M$5&gt;'Project Assumptions'!$D$15+'Project Assumptions'!$D$16+'Economic Assumptions'!$B13-1,IF(M$5&lt;='Project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N144" s="301">
        <f>IF('Economic Assumptions'!$H13="Landlord",IF(N$5&gt;'Project Assumptions'!$D$15+'Project Assumptions'!$D$16+'Economic Assumptions'!$B13-1,IF(N$5&lt;='Project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O144" s="301">
        <f>IF('Economic Assumptions'!$H13="Landlord",IF(O$5&gt;'Project Assumptions'!$D$15+'Project Assumptions'!$D$16+'Economic Assumptions'!$B13-1,IF(O$5&lt;='Project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P144" s="301">
        <f>IF('Economic Assumptions'!$H13="Landlord",IF(P$5&gt;'Project Assumptions'!$D$15+'Project Assumptions'!$D$16+'Economic Assumptions'!$B13-1,IF(P$5&lt;='Project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Q144" s="301">
        <f>IF('Economic Assumptions'!$H13="Landlord",IF(Q$5&gt;'Project Assumptions'!$D$15+'Project Assumptions'!$D$16+'Economic Assumptions'!$B13-1,IF(Q$5&lt;='Project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R144" s="301">
        <f>IF('Economic Assumptions'!$H13="Landlord",IF(R$5&gt;'Project Assumptions'!$D$15+'Project Assumptions'!$D$16+'Economic Assumptions'!$B13-1,IF(R$5&lt;='Project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S144" s="301">
        <f>IF('Economic Assumptions'!$H13="Landlord",IF(S$5&gt;'Project Assumptions'!$D$15+'Project Assumptions'!$D$16+'Economic Assumptions'!$B13-1,IF(S$5&lt;='Project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T144" s="301">
        <f>IF('Economic Assumptions'!$H13="Landlord",IF(T$5&gt;'Project Assumptions'!$D$15+'Project Assumptions'!$D$16+'Economic Assumptions'!$B13-1,IF(T$5&lt;='Project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U144" s="301">
        <f>IF('Economic Assumptions'!$H13="Landlord",IF(U$5&gt;'Project Assumptions'!$D$15+'Project Assumptions'!$D$16+'Economic Assumptions'!$B13-1,IF(U$5&lt;='Project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V144" s="301">
        <f>IF('Economic Assumptions'!$H13="Landlord",IF(V$5&gt;'Project Assumptions'!$D$15+'Project Assumptions'!$D$16+'Economic Assumptions'!$B13-1,IF(V$5&lt;='Project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W144" s="301">
        <f>IF('Economic Assumptions'!$H13="Landlord",IF(W$5&gt;'Project Assumptions'!$D$15+'Project Assumptions'!$D$16+'Economic Assumptions'!$B13-1,IF(W$5&lt;='Project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X144" s="301">
        <f>IF('Economic Assumptions'!$H13="Landlord",IF(X$5&gt;'Project Assumptions'!$D$15+'Project Assumptions'!$D$16+'Economic Assumptions'!$B13-1,IF(X$5&lt;='Project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Y144" s="301">
        <f>IF('Economic Assumptions'!$H13="Landlord",IF(Y$5&gt;'Project Assumptions'!$D$15+'Project Assumptions'!$D$16+'Economic Assumptions'!$B13-1,IF(Y$5&lt;='Project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Z144" s="301">
        <f>IF('Economic Assumptions'!$H13="Landlord",IF(Z$5&gt;'Project Assumptions'!$D$15+'Project Assumptions'!$D$16+'Economic Assumptions'!$B13-1,IF(Z$5&lt;='Project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A144" s="301">
        <f>IF('Economic Assumptions'!$H13="Landlord",IF(AA$5&gt;'Project Assumptions'!$D$15+'Project Assumptions'!$D$16+'Economic Assumptions'!$B13-1,IF(AA$5&lt;='Project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B144" s="301">
        <f>IF('Economic Assumptions'!$H13="Landlord",IF(AB$5&gt;'Project Assumptions'!$D$15+'Project Assumptions'!$D$16+'Economic Assumptions'!$B13-1,IF(AB$5&lt;='Project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C144" s="301">
        <f>IF('Economic Assumptions'!$H13="Landlord",IF(AC$5&gt;'Project Assumptions'!$D$15+'Project Assumptions'!$D$16+'Economic Assumptions'!$B13-1,IF(AC$5&lt;='Project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D144" s="301">
        <f>IF('Economic Assumptions'!$H13="Landlord",IF(AD$5&gt;'Project Assumptions'!$D$15+'Project Assumptions'!$D$16+'Economic Assumptions'!$B13-1,IF(AD$5&lt;='Project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E144" s="301">
        <f>IF('Economic Assumptions'!$H13="Landlord",IF(AE$5&gt;'Project Assumptions'!$D$15+'Project Assumptions'!$D$16+'Economic Assumptions'!$B13-1,IF(AE$5&lt;='Project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F144" s="301">
        <f>IF('Economic Assumptions'!$H13="Landlord",IF(AF$5&gt;'Project Assumptions'!$D$15+'Project Assumptions'!$D$16+'Economic Assumptions'!$B13-1,IF(AF$5&lt;='Project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G144" s="301">
        <f>IF('Economic Assumptions'!$H13="Landlord",IF(AG$5&gt;'Project Assumptions'!$D$15+'Project Assumptions'!$D$16+'Economic Assumptions'!$B13-1,IF(AG$5&lt;='Project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H144" s="301">
        <f>IF('Economic Assumptions'!$H13="Landlord",IF(AH$5&gt;'Project Assumptions'!$D$15+'Project Assumptions'!$D$16+'Economic Assumptions'!$B13-1,IF(AH$5&lt;='Project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I144" s="301">
        <f>IF('Economic Assumptions'!$H13="Landlord",IF(AI$5&gt;'Project Assumptions'!$D$15+'Project Assumptions'!$D$16+'Economic Assumptions'!$B13-1,IF(AI$5&lt;='Project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J144" s="301">
        <f>IF('Economic Assumptions'!$H13="Landlord",IF(AJ$5&gt;'Project Assumptions'!$D$15+'Project Assumptions'!$D$16+'Economic Assumptions'!$B13-1,IF(AJ$5&lt;='Project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K144" s="301">
        <f>IF('Economic Assumptions'!$H13="Landlord",IF(AK$5&gt;'Project Assumptions'!$D$15+'Project Assumptions'!$D$16+'Economic Assumptions'!$B13-1,IF(AK$5&lt;='Project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L144" s="301">
        <f>IF('Economic Assumptions'!$H13="Landlord",IF(AL$5&gt;'Project Assumptions'!$D$15+'Project Assumptions'!$D$16+'Economic Assumptions'!$B13-1,IF(AL$5&lt;='Project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M144" s="301">
        <f>IF('Economic Assumptions'!$H13="Landlord",IF(AM$5&gt;'Project Assumptions'!$D$15+'Project Assumptions'!$D$16+'Economic Assumptions'!$B13-1,IF(AM$5&lt;='Project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N144" s="301">
        <f>IF('Economic Assumptions'!$H13="Landlord",IF(AN$5&gt;'Project Assumptions'!$D$15+'Project Assumptions'!$D$16+'Economic Assumptions'!$B13-1,IF(AN$5&lt;='Project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O144" s="301">
        <f>IF('Economic Assumptions'!$H13="Landlord",IF(AO$5&gt;'Project Assumptions'!$D$15+'Project Assumptions'!$D$16+'Economic Assumptions'!$B13-1,IF(AO$5&lt;='Project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P144" s="301">
        <f>IF('Economic Assumptions'!$H13="Landlord",IF(AP$5&gt;'Project Assumptions'!$D$15+'Project Assumptions'!$D$16+'Economic Assumptions'!$B13-1,IF(AP$5&lt;='Project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Q144" s="301">
        <f>IF('Economic Assumptions'!$H13="Landlord",IF(AQ$5&gt;'Project Assumptions'!$D$15+'Project Assumptions'!$D$16+'Economic Assumptions'!$B13-1,IF(AQ$5&lt;='Project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R144" s="301">
        <f>IF('Economic Assumptions'!$H13="Landlord",IF(AR$5&gt;'Project Assumptions'!$D$15+'Project Assumptions'!$D$16+'Economic Assumptions'!$B13-1,IF(AR$5&lt;='Project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S144" s="301">
        <f>IF('Economic Assumptions'!$H13="Landlord",IF(AS$5&gt;'Project Assumptions'!$D$15+'Project Assumptions'!$D$16+'Economic Assumptions'!$B13-1,IF(AS$5&lt;='Project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T144" s="301">
        <f>IF('Economic Assumptions'!$H13="Landlord",IF(AT$5&gt;'Project Assumptions'!$D$15+'Project Assumptions'!$D$16+'Economic Assumptions'!$B13-1,IF(AT$5&lt;='Project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U144" s="301">
        <f>IF('Economic Assumptions'!$H13="Landlord",IF(AU$5&gt;'Project Assumptions'!$D$15+'Project Assumptions'!$D$16+'Economic Assumptions'!$B13-1,IF(AU$5&lt;='Project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V144" s="301">
        <f>IF('Economic Assumptions'!$H13="Landlord",IF(AV$5&gt;'Project Assumptions'!$D$15+'Project Assumptions'!$D$16+'Economic Assumptions'!$B13-1,IF(AV$5&lt;='Project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W144" s="301">
        <f>IF('Economic Assumptions'!$H13="Landlord",IF(AW$5&gt;'Project Assumptions'!$D$15+'Project Assumptions'!$D$16+'Economic Assumptions'!$B13-1,IF(AW$5&lt;='Project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X144" s="301">
        <f>IF('Economic Assumptions'!$H13="Landlord",IF(AX$5&gt;'Project Assumptions'!$D$15+'Project Assumptions'!$D$16+'Economic Assumptions'!$B13-1,IF(AX$5&lt;='Project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Y144" s="301">
        <f>IF('Economic Assumptions'!$H13="Landlord",IF(AY$5&gt;'Project Assumptions'!$D$15+'Project Assumptions'!$D$16+'Economic Assumptions'!$B13-1,IF(AY$5&lt;='Project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AZ144" s="301">
        <f>IF('Economic Assumptions'!$H13="Landlord",IF(AZ$5&gt;'Project Assumptions'!$D$15+'Project Assumptions'!$D$16+'Economic Assumptions'!$B13-1,IF(AZ$5&lt;='Project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A144" s="301">
        <f>IF('Economic Assumptions'!$H13="Landlord",IF(BA$5&gt;'Project Assumptions'!$D$15+'Project Assumptions'!$D$16+'Economic Assumptions'!$B13-1,IF(BA$5&lt;='Project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B144" s="301">
        <f>IF('Economic Assumptions'!$H13="Landlord",IF(BB$5&gt;'Project Assumptions'!$D$15+'Project Assumptions'!$D$16+'Economic Assumptions'!$B13-1,IF(BB$5&lt;='Project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C144" s="301">
        <f>IF('Economic Assumptions'!$H13="Landlord",IF(BC$5&gt;'Project Assumptions'!$D$15+'Project Assumptions'!$D$16+'Economic Assumptions'!$B13-1,IF(BC$5&lt;='Project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D144" s="301">
        <f>IF('Economic Assumptions'!$H13="Landlord",IF(BD$5&gt;'Project Assumptions'!$D$15+'Project Assumptions'!$D$16+'Economic Assumptions'!$B13-1,IF(BD$5&lt;='Project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E144" s="301">
        <f>IF('Economic Assumptions'!$H13="Landlord",IF(BE$5&gt;'Project Assumptions'!$D$15+'Project Assumptions'!$D$16+'Economic Assumptions'!$B13-1,IF(BE$5&lt;='Project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F144" s="301">
        <f>IF('Economic Assumptions'!$H13="Landlord",IF(BF$5&gt;'Project Assumptions'!$D$15+'Project Assumptions'!$D$16+'Economic Assumptions'!$B13-1,IF(BF$5&lt;='Project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G144" s="301">
        <f>IF('Economic Assumptions'!$H13="Landlord",IF(BG$5&gt;'Project Assumptions'!$D$15+'Project Assumptions'!$D$16+'Economic Assumptions'!$B13-1,IF(BG$5&lt;='Project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H144" s="301">
        <f>IF('Economic Assumptions'!$H13="Landlord",IF(BH$5&gt;'Project Assumptions'!$D$15+'Project Assumptions'!$D$16+'Economic Assumptions'!$B13-1,IF(BH$5&lt;='Project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I144" s="301">
        <f>IF('Economic Assumptions'!$H13="Landlord",IF(BI$5&gt;'Project Assumptions'!$D$15+'Project Assumptions'!$D$16+'Economic Assumptions'!$B13-1,IF(BI$5&lt;='Project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J144" s="301">
        <f>IF('Economic Assumptions'!$H13="Landlord",IF(BJ$5&gt;'Project Assumptions'!$D$15+'Project Assumptions'!$D$16+'Economic Assumptions'!$B13-1,IF(BJ$5&lt;='Project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K144" s="301">
        <f>IF('Economic Assumptions'!$H13="Landlord",IF(BK$5&gt;'Project Assumptions'!$D$15+'Project Assumptions'!$D$16+'Economic Assumptions'!$B13-1,IF(BK$5&lt;='Project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L144" s="301">
        <f>IF('Economic Assumptions'!$H13="Landlord",IF(BL$5&gt;'Project Assumptions'!$D$15+'Project Assumptions'!$D$16+'Economic Assumptions'!$B13-1,IF(BL$5&lt;='Project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M144" s="301">
        <f>IF('Economic Assumptions'!$H13="Landlord",IF(BM$5&gt;'Project Assumptions'!$D$15+'Project Assumptions'!$D$16+'Economic Assumptions'!$B13-1,IF(BM$5&lt;='Project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N144" s="301">
        <f>IF('Economic Assumptions'!$H13="Landlord",IF(BN$5&gt;'Project Assumptions'!$D$15+'Project Assumptions'!$D$16+'Economic Assumptions'!$B13-1,IF(BN$5&lt;='Project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O144" s="301">
        <f>IF('Economic Assumptions'!$H13="Landlord",IF(BO$5&gt;'Project Assumptions'!$D$15+'Project Assumptions'!$D$16+'Economic Assumptions'!$B13-1,IF(BO$5&lt;='Project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P144" s="301">
        <f>IF('Economic Assumptions'!$H13="Landlord",IF(BP$5&gt;'Project Assumptions'!$D$15+'Project Assumptions'!$D$16+'Economic Assumptions'!$B13-1,IF(BP$5&lt;='Project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Q144" s="301">
        <f>IF('Economic Assumptions'!$H13="Landlord",IF(BQ$5&gt;'Project Assumptions'!$D$15+'Project Assumptions'!$D$16+'Economic Assumptions'!$B13-1,IF(BQ$5&lt;='Project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R144" s="301">
        <f>IF('Economic Assumptions'!$H13="Landlord",IF(BR$5&gt;'Project Assumptions'!$D$15+'Project Assumptions'!$D$16+'Economic Assumptions'!$B13-1,IF(BR$5&lt;='Project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S144" s="301">
        <f>IF('Economic Assumptions'!$H13="Landlord",IF(BS$5&gt;'Project Assumptions'!$D$15+'Project Assumptions'!$D$16+'Economic Assumptions'!$B13-1,IF(BS$5&lt;='Project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T144" s="301">
        <f>IF('Economic Assumptions'!$H13="Landlord",IF(BT$5&gt;'Project Assumptions'!$D$15+'Project Assumptions'!$D$16+'Economic Assumptions'!$B13-1,IF(BT$5&lt;='Project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U144" s="301">
        <f>IF('Economic Assumptions'!$H13="Landlord",IF(BU$5&gt;'Project Assumptions'!$D$15+'Project Assumptions'!$D$16+'Economic Assumptions'!$B13-1,IF(BU$5&lt;='Project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V144" s="301">
        <f>IF('Economic Assumptions'!$H13="Landlord",IF(BV$5&gt;'Project Assumptions'!$D$15+'Project Assumptions'!$D$16+'Economic Assumptions'!$B13-1,IF(BV$5&lt;='Project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W144" s="301">
        <f>IF('Economic Assumptions'!$H13="Landlord",IF(BW$5&gt;'Project Assumptions'!$D$15+'Project Assumptions'!$D$16+'Economic Assumptions'!$B13-1,IF(BW$5&lt;='Project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X144" s="301">
        <f>IF('Economic Assumptions'!$H13="Landlord",IF(BX$5&gt;'Project Assumptions'!$D$15+'Project Assumptions'!$D$16+'Economic Assumptions'!$B13-1,IF(BX$5&lt;='Project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Y144" s="301">
        <f>IF('Economic Assumptions'!$H13="Landlord",IF(BY$5&gt;'Project Assumptions'!$D$15+'Project Assumptions'!$D$16+'Economic Assumptions'!$B13-1,IF(BY$5&lt;='Project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BZ144" s="301">
        <f>IF('Economic Assumptions'!$H13="Landlord",IF(BZ$5&gt;'Project Assumptions'!$D$15+'Project Assumptions'!$D$16+'Economic Assumptions'!$B13-1,IF(BZ$5&lt;='Project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A144" s="301">
        <f>IF('Economic Assumptions'!$H13="Landlord",IF(CA$5&gt;'Project Assumptions'!$D$15+'Project Assumptions'!$D$16+'Economic Assumptions'!$B13-1,IF(CA$5&lt;='Project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B144" s="301">
        <f>IF('Economic Assumptions'!$H13="Landlord",IF(CB$5&gt;'Project Assumptions'!$D$15+'Project Assumptions'!$D$16+'Economic Assumptions'!$B13-1,IF(CB$5&lt;='Project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C144" s="301">
        <f>IF('Economic Assumptions'!$H13="Landlord",IF(CC$5&gt;'Project Assumptions'!$D$15+'Project Assumptions'!$D$16+'Economic Assumptions'!$B13-1,IF(CC$5&lt;='Project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D144" s="301">
        <f>IF('Economic Assumptions'!$H13="Landlord",IF(CD$5&gt;'Project Assumptions'!$D$15+'Project Assumptions'!$D$16+'Economic Assumptions'!$B13-1,IF(CD$5&lt;='Project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E144" s="301">
        <f>IF('Economic Assumptions'!$H13="Landlord",IF(CE$5&gt;'Project Assumptions'!$D$15+'Project Assumptions'!$D$16+'Economic Assumptions'!$B13-1,IF(CE$5&lt;='Project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F144" s="301">
        <f>IF('Economic Assumptions'!$H13="Landlord",IF(CF$5&gt;'Project Assumptions'!$D$15+'Project Assumptions'!$D$16+'Economic Assumptions'!$B13-1,IF(CF$5&lt;='Project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G144" s="301">
        <f>IF('Economic Assumptions'!$H13="Landlord",IF(CG$5&gt;'Project Assumptions'!$D$15+'Project Assumptions'!$D$16+'Economic Assumptions'!$B13-1,IF(CG$5&lt;='Project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H144" s="301">
        <f>IF('Economic Assumptions'!$H13="Landlord",IF(CH$5&gt;'Project Assumptions'!$D$15+'Project Assumptions'!$D$16+'Economic Assumptions'!$B13-1,IF(CH$5&lt;='Project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I144" s="301">
        <f>IF('Economic Assumptions'!$H13="Landlord",IF(CI$5&gt;'Project Assumptions'!$D$15+'Project Assumptions'!$D$16+'Economic Assumptions'!$B13-1,IF(CI$5&lt;='Project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J144" s="301">
        <f>IF('Economic Assumptions'!$H13="Landlord",IF(CJ$5&gt;'Project Assumptions'!$D$15+'Project Assumptions'!$D$16+'Economic Assumptions'!$B13-1,IF(CJ$5&lt;='Project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K144" s="301">
        <f>IF('Economic Assumptions'!$H13="Landlord",IF(CK$5&gt;'Project Assumptions'!$D$15+'Project Assumptions'!$D$16+'Economic Assumptions'!$B13-1,IF(CK$5&lt;='Project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L144" s="301">
        <f>IF('Economic Assumptions'!$H13="Landlord",IF(CL$5&gt;'Project Assumptions'!$D$15+'Project Assumptions'!$D$16+'Economic Assumptions'!$B13-1,IF(CL$5&lt;='Project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M144" s="301">
        <f>IF('Economic Assumptions'!$H13="Landlord",IF(CM$5&gt;'Project Assumptions'!$D$15+'Project Assumptions'!$D$16+'Economic Assumptions'!$B13-1,IF(CM$5&lt;='Project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N144" s="301">
        <f>IF('Economic Assumptions'!$H13="Landlord",IF(CN$5&gt;'Project Assumptions'!$D$15+'Project Assumptions'!$D$16+'Economic Assumptions'!$B13-1,IF(CN$5&lt;='Project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O144" s="301">
        <f>IF('Economic Assumptions'!$H13="Landlord",IF(CO$5&gt;'Project Assumptions'!$D$15+'Project Assumptions'!$D$16+'Economic Assumptions'!$B13-1,IF(CO$5&lt;='Project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P144" s="301">
        <f>IF('Economic Assumptions'!$H13="Landlord",IF(CP$5&gt;'Project Assumptions'!$D$15+'Project Assumptions'!$D$16+'Economic Assumptions'!$B13-1,IF(CP$5&lt;='Project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Q144" s="301">
        <f>IF('Economic Assumptions'!$H13="Landlord",IF(CQ$5&gt;'Project Assumptions'!$D$15+'Project Assumptions'!$D$16+'Economic Assumptions'!$B13-1,IF(CQ$5&lt;='Project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R144" s="301">
        <f>IF('Economic Assumptions'!$H13="Landlord",IF(CR$5&gt;'Project Assumptions'!$D$15+'Project Assumptions'!$D$16+'Economic Assumptions'!$B13-1,IF(CR$5&lt;='Project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S144" s="301">
        <f>IF('Economic Assumptions'!$H13="Landlord",IF(CS$5&gt;'Project Assumptions'!$D$15+'Project Assumptions'!$D$16+'Economic Assumptions'!$B13-1,IF(CS$5&lt;='Project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T144" s="301">
        <f>IF('Economic Assumptions'!$H13="Landlord",IF(CT$5&gt;'Project Assumptions'!$D$15+'Project Assumptions'!$D$16+'Economic Assumptions'!$B13-1,IF(CT$5&lt;='Project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U144" s="301">
        <f>IF('Economic Assumptions'!$H13="Landlord",IF(CU$5&gt;'Project Assumptions'!$D$15+'Project Assumptions'!$D$16+'Economic Assumptions'!$B13-1,IF(CU$5&lt;='Project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V144" s="301">
        <f>IF('Economic Assumptions'!$H13="Landlord",IF(CV$5&gt;'Project Assumptions'!$D$15+'Project Assumptions'!$D$16+'Economic Assumptions'!$B13-1,IF(CV$5&lt;='Project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W144" s="301">
        <f>IF('Economic Assumptions'!$H13="Landlord",IF(CW$5&gt;'Project Assumptions'!$D$15+'Project Assumptions'!$D$16+'Economic Assumptions'!$B13-1,IF(CW$5&lt;='Project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X144" s="301">
        <f>IF('Economic Assumptions'!$H13="Landlord",IF(CX$5&gt;'Project Assumptions'!$D$15+'Project Assumptions'!$D$16+'Economic Assumptions'!$B13-1,IF(CX$5&lt;='Project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Y144" s="301">
        <f>IF('Economic Assumptions'!$H13="Landlord",IF(CY$5&gt;'Project Assumptions'!$D$15+'Project Assumptions'!$D$16+'Economic Assumptions'!$B13-1,IF(CY$5&lt;='Project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CZ144" s="301">
        <f>IF('Economic Assumptions'!$H13="Landlord",IF(CZ$5&gt;'Project Assumptions'!$D$15+'Project Assumptions'!$D$16+'Economic Assumptions'!$B13-1,IF(CZ$5&lt;='Project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DA144" s="301">
        <f>IF('Economic Assumptions'!$H13="Landlord",IF(DA$5&gt;'Project Assumptions'!$D$15+'Project Assumptions'!$D$16+'Economic Assumptions'!$B13-1,IF(DA$5&lt;='Project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DB144" s="301">
        <f>IF('Economic Assumptions'!$H13="Landlord",IF(DB$5&gt;'Project Assumptions'!$D$15+'Project Assumptions'!$D$16+'Economic Assumptions'!$B13-1,IF(DB$5&lt;='Project Assumptions'!$D$15+'Project Assumptions'!$D$16+'Economic Assumptions'!$B13+'Economic Assumptions'!$G13-1,IF('Economic Assumptions'!$E13=0,-'Economic Assumptions'!$G$32,-'Economic Assumptions'!$E13)*'Economic Assumptions'!$C13/12,0),0),0)</f>
        <v/>
      </c>
      <c r="DC144" s="301" t="n"/>
      <c r="DD144" s="299" t="n"/>
    </row>
    <row r="145" hidden="1" outlineLevel="1">
      <c r="A145" s="1000" t="n"/>
      <c r="B145" s="315" t="inlineStr">
        <is>
          <t>Lease #5</t>
        </is>
      </c>
      <c r="C145" s="294" t="n"/>
      <c r="D145" s="299">
        <f>DD145</f>
        <v/>
      </c>
      <c r="E145" s="300" t="n"/>
      <c r="F145" s="301" t="n"/>
      <c r="G145" s="301">
        <f>IF('Economic Assumptions'!$H14="Landlord",IF(G$5&gt;'Project Assumptions'!$D$15+'Project Assumptions'!$D$16+'Economic Assumptions'!$B14-1,IF(G$5&lt;='Project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H145" s="301">
        <f>IF('Economic Assumptions'!$H14="Landlord",IF(H$5&gt;'Project Assumptions'!$D$15+'Project Assumptions'!$D$16+'Economic Assumptions'!$B14-1,IF(H$5&lt;='Project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I145" s="301">
        <f>IF('Economic Assumptions'!$H14="Landlord",IF(I$5&gt;'Project Assumptions'!$D$15+'Project Assumptions'!$D$16+'Economic Assumptions'!$B14-1,IF(I$5&lt;='Project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J145" s="301">
        <f>IF('Economic Assumptions'!$H14="Landlord",IF(J$5&gt;'Project Assumptions'!$D$15+'Project Assumptions'!$D$16+'Economic Assumptions'!$B14-1,IF(J$5&lt;='Project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K145" s="301">
        <f>IF('Economic Assumptions'!$H14="Landlord",IF(K$5&gt;'Project Assumptions'!$D$15+'Project Assumptions'!$D$16+'Economic Assumptions'!$B14-1,IF(K$5&lt;='Project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L145" s="301">
        <f>IF('Economic Assumptions'!$H14="Landlord",IF(L$5&gt;'Project Assumptions'!$D$15+'Project Assumptions'!$D$16+'Economic Assumptions'!$B14-1,IF(L$5&lt;='Project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M145" s="301">
        <f>IF('Economic Assumptions'!$H14="Landlord",IF(M$5&gt;'Project Assumptions'!$D$15+'Project Assumptions'!$D$16+'Economic Assumptions'!$B14-1,IF(M$5&lt;='Project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N145" s="301">
        <f>IF('Economic Assumptions'!$H14="Landlord",IF(N$5&gt;'Project Assumptions'!$D$15+'Project Assumptions'!$D$16+'Economic Assumptions'!$B14-1,IF(N$5&lt;='Project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O145" s="301">
        <f>IF('Economic Assumptions'!$H14="Landlord",IF(O$5&gt;'Project Assumptions'!$D$15+'Project Assumptions'!$D$16+'Economic Assumptions'!$B14-1,IF(O$5&lt;='Project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P145" s="301">
        <f>IF('Economic Assumptions'!$H14="Landlord",IF(P$5&gt;'Project Assumptions'!$D$15+'Project Assumptions'!$D$16+'Economic Assumptions'!$B14-1,IF(P$5&lt;='Project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Q145" s="301">
        <f>IF('Economic Assumptions'!$H14="Landlord",IF(Q$5&gt;'Project Assumptions'!$D$15+'Project Assumptions'!$D$16+'Economic Assumptions'!$B14-1,IF(Q$5&lt;='Project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R145" s="301">
        <f>IF('Economic Assumptions'!$H14="Landlord",IF(R$5&gt;'Project Assumptions'!$D$15+'Project Assumptions'!$D$16+'Economic Assumptions'!$B14-1,IF(R$5&lt;='Project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S145" s="301">
        <f>IF('Economic Assumptions'!$H14="Landlord",IF(S$5&gt;'Project Assumptions'!$D$15+'Project Assumptions'!$D$16+'Economic Assumptions'!$B14-1,IF(S$5&lt;='Project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T145" s="301">
        <f>IF('Economic Assumptions'!$H14="Landlord",IF(T$5&gt;'Project Assumptions'!$D$15+'Project Assumptions'!$D$16+'Economic Assumptions'!$B14-1,IF(T$5&lt;='Project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U145" s="301">
        <f>IF('Economic Assumptions'!$H14="Landlord",IF(U$5&gt;'Project Assumptions'!$D$15+'Project Assumptions'!$D$16+'Economic Assumptions'!$B14-1,IF(U$5&lt;='Project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V145" s="301">
        <f>IF('Economic Assumptions'!$H14="Landlord",IF(V$5&gt;'Project Assumptions'!$D$15+'Project Assumptions'!$D$16+'Economic Assumptions'!$B14-1,IF(V$5&lt;='Project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W145" s="301">
        <f>IF('Economic Assumptions'!$H14="Landlord",IF(W$5&gt;'Project Assumptions'!$D$15+'Project Assumptions'!$D$16+'Economic Assumptions'!$B14-1,IF(W$5&lt;='Project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X145" s="301">
        <f>IF('Economic Assumptions'!$H14="Landlord",IF(X$5&gt;'Project Assumptions'!$D$15+'Project Assumptions'!$D$16+'Economic Assumptions'!$B14-1,IF(X$5&lt;='Project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Y145" s="301">
        <f>IF('Economic Assumptions'!$H14="Landlord",IF(Y$5&gt;'Project Assumptions'!$D$15+'Project Assumptions'!$D$16+'Economic Assumptions'!$B14-1,IF(Y$5&lt;='Project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Z145" s="301">
        <f>IF('Economic Assumptions'!$H14="Landlord",IF(Z$5&gt;'Project Assumptions'!$D$15+'Project Assumptions'!$D$16+'Economic Assumptions'!$B14-1,IF(Z$5&lt;='Project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A145" s="301">
        <f>IF('Economic Assumptions'!$H14="Landlord",IF(AA$5&gt;'Project Assumptions'!$D$15+'Project Assumptions'!$D$16+'Economic Assumptions'!$B14-1,IF(AA$5&lt;='Project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B145" s="301">
        <f>IF('Economic Assumptions'!$H14="Landlord",IF(AB$5&gt;'Project Assumptions'!$D$15+'Project Assumptions'!$D$16+'Economic Assumptions'!$B14-1,IF(AB$5&lt;='Project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C145" s="301">
        <f>IF('Economic Assumptions'!$H14="Landlord",IF(AC$5&gt;'Project Assumptions'!$D$15+'Project Assumptions'!$D$16+'Economic Assumptions'!$B14-1,IF(AC$5&lt;='Project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D145" s="301">
        <f>IF('Economic Assumptions'!$H14="Landlord",IF(AD$5&gt;'Project Assumptions'!$D$15+'Project Assumptions'!$D$16+'Economic Assumptions'!$B14-1,IF(AD$5&lt;='Project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E145" s="301">
        <f>IF('Economic Assumptions'!$H14="Landlord",IF(AE$5&gt;'Project Assumptions'!$D$15+'Project Assumptions'!$D$16+'Economic Assumptions'!$B14-1,IF(AE$5&lt;='Project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F145" s="301">
        <f>IF('Economic Assumptions'!$H14="Landlord",IF(AF$5&gt;'Project Assumptions'!$D$15+'Project Assumptions'!$D$16+'Economic Assumptions'!$B14-1,IF(AF$5&lt;='Project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G145" s="301">
        <f>IF('Economic Assumptions'!$H14="Landlord",IF(AG$5&gt;'Project Assumptions'!$D$15+'Project Assumptions'!$D$16+'Economic Assumptions'!$B14-1,IF(AG$5&lt;='Project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H145" s="301">
        <f>IF('Economic Assumptions'!$H14="Landlord",IF(AH$5&gt;'Project Assumptions'!$D$15+'Project Assumptions'!$D$16+'Economic Assumptions'!$B14-1,IF(AH$5&lt;='Project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I145" s="301">
        <f>IF('Economic Assumptions'!$H14="Landlord",IF(AI$5&gt;'Project Assumptions'!$D$15+'Project Assumptions'!$D$16+'Economic Assumptions'!$B14-1,IF(AI$5&lt;='Project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J145" s="301">
        <f>IF('Economic Assumptions'!$H14="Landlord",IF(AJ$5&gt;'Project Assumptions'!$D$15+'Project Assumptions'!$D$16+'Economic Assumptions'!$B14-1,IF(AJ$5&lt;='Project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K145" s="301">
        <f>IF('Economic Assumptions'!$H14="Landlord",IF(AK$5&gt;'Project Assumptions'!$D$15+'Project Assumptions'!$D$16+'Economic Assumptions'!$B14-1,IF(AK$5&lt;='Project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L145" s="301">
        <f>IF('Economic Assumptions'!$H14="Landlord",IF(AL$5&gt;'Project Assumptions'!$D$15+'Project Assumptions'!$D$16+'Economic Assumptions'!$B14-1,IF(AL$5&lt;='Project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M145" s="301">
        <f>IF('Economic Assumptions'!$H14="Landlord",IF(AM$5&gt;'Project Assumptions'!$D$15+'Project Assumptions'!$D$16+'Economic Assumptions'!$B14-1,IF(AM$5&lt;='Project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N145" s="301">
        <f>IF('Economic Assumptions'!$H14="Landlord",IF(AN$5&gt;'Project Assumptions'!$D$15+'Project Assumptions'!$D$16+'Economic Assumptions'!$B14-1,IF(AN$5&lt;='Project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O145" s="301">
        <f>IF('Economic Assumptions'!$H14="Landlord",IF(AO$5&gt;'Project Assumptions'!$D$15+'Project Assumptions'!$D$16+'Economic Assumptions'!$B14-1,IF(AO$5&lt;='Project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P145" s="301">
        <f>IF('Economic Assumptions'!$H14="Landlord",IF(AP$5&gt;'Project Assumptions'!$D$15+'Project Assumptions'!$D$16+'Economic Assumptions'!$B14-1,IF(AP$5&lt;='Project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Q145" s="301">
        <f>IF('Economic Assumptions'!$H14="Landlord",IF(AQ$5&gt;'Project Assumptions'!$D$15+'Project Assumptions'!$D$16+'Economic Assumptions'!$B14-1,IF(AQ$5&lt;='Project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R145" s="301">
        <f>IF('Economic Assumptions'!$H14="Landlord",IF(AR$5&gt;'Project Assumptions'!$D$15+'Project Assumptions'!$D$16+'Economic Assumptions'!$B14-1,IF(AR$5&lt;='Project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S145" s="301">
        <f>IF('Economic Assumptions'!$H14="Landlord",IF(AS$5&gt;'Project Assumptions'!$D$15+'Project Assumptions'!$D$16+'Economic Assumptions'!$B14-1,IF(AS$5&lt;='Project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T145" s="301">
        <f>IF('Economic Assumptions'!$H14="Landlord",IF(AT$5&gt;'Project Assumptions'!$D$15+'Project Assumptions'!$D$16+'Economic Assumptions'!$B14-1,IF(AT$5&lt;='Project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U145" s="301">
        <f>IF('Economic Assumptions'!$H14="Landlord",IF(AU$5&gt;'Project Assumptions'!$D$15+'Project Assumptions'!$D$16+'Economic Assumptions'!$B14-1,IF(AU$5&lt;='Project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V145" s="301">
        <f>IF('Economic Assumptions'!$H14="Landlord",IF(AV$5&gt;'Project Assumptions'!$D$15+'Project Assumptions'!$D$16+'Economic Assumptions'!$B14-1,IF(AV$5&lt;='Project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W145" s="301">
        <f>IF('Economic Assumptions'!$H14="Landlord",IF(AW$5&gt;'Project Assumptions'!$D$15+'Project Assumptions'!$D$16+'Economic Assumptions'!$B14-1,IF(AW$5&lt;='Project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X145" s="301">
        <f>IF('Economic Assumptions'!$H14="Landlord",IF(AX$5&gt;'Project Assumptions'!$D$15+'Project Assumptions'!$D$16+'Economic Assumptions'!$B14-1,IF(AX$5&lt;='Project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Y145" s="301">
        <f>IF('Economic Assumptions'!$H14="Landlord",IF(AY$5&gt;'Project Assumptions'!$D$15+'Project Assumptions'!$D$16+'Economic Assumptions'!$B14-1,IF(AY$5&lt;='Project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AZ145" s="301">
        <f>IF('Economic Assumptions'!$H14="Landlord",IF(AZ$5&gt;'Project Assumptions'!$D$15+'Project Assumptions'!$D$16+'Economic Assumptions'!$B14-1,IF(AZ$5&lt;='Project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A145" s="301">
        <f>IF('Economic Assumptions'!$H14="Landlord",IF(BA$5&gt;'Project Assumptions'!$D$15+'Project Assumptions'!$D$16+'Economic Assumptions'!$B14-1,IF(BA$5&lt;='Project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B145" s="301">
        <f>IF('Economic Assumptions'!$H14="Landlord",IF(BB$5&gt;'Project Assumptions'!$D$15+'Project Assumptions'!$D$16+'Economic Assumptions'!$B14-1,IF(BB$5&lt;='Project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C145" s="301">
        <f>IF('Economic Assumptions'!$H14="Landlord",IF(BC$5&gt;'Project Assumptions'!$D$15+'Project Assumptions'!$D$16+'Economic Assumptions'!$B14-1,IF(BC$5&lt;='Project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D145" s="301">
        <f>IF('Economic Assumptions'!$H14="Landlord",IF(BD$5&gt;'Project Assumptions'!$D$15+'Project Assumptions'!$D$16+'Economic Assumptions'!$B14-1,IF(BD$5&lt;='Project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E145" s="301">
        <f>IF('Economic Assumptions'!$H14="Landlord",IF(BE$5&gt;'Project Assumptions'!$D$15+'Project Assumptions'!$D$16+'Economic Assumptions'!$B14-1,IF(BE$5&lt;='Project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F145" s="301">
        <f>IF('Economic Assumptions'!$H14="Landlord",IF(BF$5&gt;'Project Assumptions'!$D$15+'Project Assumptions'!$D$16+'Economic Assumptions'!$B14-1,IF(BF$5&lt;='Project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G145" s="301">
        <f>IF('Economic Assumptions'!$H14="Landlord",IF(BG$5&gt;'Project Assumptions'!$D$15+'Project Assumptions'!$D$16+'Economic Assumptions'!$B14-1,IF(BG$5&lt;='Project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H145" s="301">
        <f>IF('Economic Assumptions'!$H14="Landlord",IF(BH$5&gt;'Project Assumptions'!$D$15+'Project Assumptions'!$D$16+'Economic Assumptions'!$B14-1,IF(BH$5&lt;='Project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I145" s="301">
        <f>IF('Economic Assumptions'!$H14="Landlord",IF(BI$5&gt;'Project Assumptions'!$D$15+'Project Assumptions'!$D$16+'Economic Assumptions'!$B14-1,IF(BI$5&lt;='Project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J145" s="301">
        <f>IF('Economic Assumptions'!$H14="Landlord",IF(BJ$5&gt;'Project Assumptions'!$D$15+'Project Assumptions'!$D$16+'Economic Assumptions'!$B14-1,IF(BJ$5&lt;='Project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K145" s="301">
        <f>IF('Economic Assumptions'!$H14="Landlord",IF(BK$5&gt;'Project Assumptions'!$D$15+'Project Assumptions'!$D$16+'Economic Assumptions'!$B14-1,IF(BK$5&lt;='Project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L145" s="301">
        <f>IF('Economic Assumptions'!$H14="Landlord",IF(BL$5&gt;'Project Assumptions'!$D$15+'Project Assumptions'!$D$16+'Economic Assumptions'!$B14-1,IF(BL$5&lt;='Project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M145" s="301">
        <f>IF('Economic Assumptions'!$H14="Landlord",IF(BM$5&gt;'Project Assumptions'!$D$15+'Project Assumptions'!$D$16+'Economic Assumptions'!$B14-1,IF(BM$5&lt;='Project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N145" s="301">
        <f>IF('Economic Assumptions'!$H14="Landlord",IF(BN$5&gt;'Project Assumptions'!$D$15+'Project Assumptions'!$D$16+'Economic Assumptions'!$B14-1,IF(BN$5&lt;='Project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O145" s="301">
        <f>IF('Economic Assumptions'!$H14="Landlord",IF(BO$5&gt;'Project Assumptions'!$D$15+'Project Assumptions'!$D$16+'Economic Assumptions'!$B14-1,IF(BO$5&lt;='Project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P145" s="301">
        <f>IF('Economic Assumptions'!$H14="Landlord",IF(BP$5&gt;'Project Assumptions'!$D$15+'Project Assumptions'!$D$16+'Economic Assumptions'!$B14-1,IF(BP$5&lt;='Project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Q145" s="301">
        <f>IF('Economic Assumptions'!$H14="Landlord",IF(BQ$5&gt;'Project Assumptions'!$D$15+'Project Assumptions'!$D$16+'Economic Assumptions'!$B14-1,IF(BQ$5&lt;='Project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R145" s="301">
        <f>IF('Economic Assumptions'!$H14="Landlord",IF(BR$5&gt;'Project Assumptions'!$D$15+'Project Assumptions'!$D$16+'Economic Assumptions'!$B14-1,IF(BR$5&lt;='Project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S145" s="301">
        <f>IF('Economic Assumptions'!$H14="Landlord",IF(BS$5&gt;'Project Assumptions'!$D$15+'Project Assumptions'!$D$16+'Economic Assumptions'!$B14-1,IF(BS$5&lt;='Project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T145" s="301">
        <f>IF('Economic Assumptions'!$H14="Landlord",IF(BT$5&gt;'Project Assumptions'!$D$15+'Project Assumptions'!$D$16+'Economic Assumptions'!$B14-1,IF(BT$5&lt;='Project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U145" s="301">
        <f>IF('Economic Assumptions'!$H14="Landlord",IF(BU$5&gt;'Project Assumptions'!$D$15+'Project Assumptions'!$D$16+'Economic Assumptions'!$B14-1,IF(BU$5&lt;='Project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V145" s="301">
        <f>IF('Economic Assumptions'!$H14="Landlord",IF(BV$5&gt;'Project Assumptions'!$D$15+'Project Assumptions'!$D$16+'Economic Assumptions'!$B14-1,IF(BV$5&lt;='Project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W145" s="301">
        <f>IF('Economic Assumptions'!$H14="Landlord",IF(BW$5&gt;'Project Assumptions'!$D$15+'Project Assumptions'!$D$16+'Economic Assumptions'!$B14-1,IF(BW$5&lt;='Project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X145" s="301">
        <f>IF('Economic Assumptions'!$H14="Landlord",IF(BX$5&gt;'Project Assumptions'!$D$15+'Project Assumptions'!$D$16+'Economic Assumptions'!$B14-1,IF(BX$5&lt;='Project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Y145" s="301">
        <f>IF('Economic Assumptions'!$H14="Landlord",IF(BY$5&gt;'Project Assumptions'!$D$15+'Project Assumptions'!$D$16+'Economic Assumptions'!$B14-1,IF(BY$5&lt;='Project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BZ145" s="301">
        <f>IF('Economic Assumptions'!$H14="Landlord",IF(BZ$5&gt;'Project Assumptions'!$D$15+'Project Assumptions'!$D$16+'Economic Assumptions'!$B14-1,IF(BZ$5&lt;='Project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A145" s="301">
        <f>IF('Economic Assumptions'!$H14="Landlord",IF(CA$5&gt;'Project Assumptions'!$D$15+'Project Assumptions'!$D$16+'Economic Assumptions'!$B14-1,IF(CA$5&lt;='Project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B145" s="301">
        <f>IF('Economic Assumptions'!$H14="Landlord",IF(CB$5&gt;'Project Assumptions'!$D$15+'Project Assumptions'!$D$16+'Economic Assumptions'!$B14-1,IF(CB$5&lt;='Project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C145" s="301">
        <f>IF('Economic Assumptions'!$H14="Landlord",IF(CC$5&gt;'Project Assumptions'!$D$15+'Project Assumptions'!$D$16+'Economic Assumptions'!$B14-1,IF(CC$5&lt;='Project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D145" s="301">
        <f>IF('Economic Assumptions'!$H14="Landlord",IF(CD$5&gt;'Project Assumptions'!$D$15+'Project Assumptions'!$D$16+'Economic Assumptions'!$B14-1,IF(CD$5&lt;='Project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E145" s="301">
        <f>IF('Economic Assumptions'!$H14="Landlord",IF(CE$5&gt;'Project Assumptions'!$D$15+'Project Assumptions'!$D$16+'Economic Assumptions'!$B14-1,IF(CE$5&lt;='Project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F145" s="301">
        <f>IF('Economic Assumptions'!$H14="Landlord",IF(CF$5&gt;'Project Assumptions'!$D$15+'Project Assumptions'!$D$16+'Economic Assumptions'!$B14-1,IF(CF$5&lt;='Project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G145" s="301">
        <f>IF('Economic Assumptions'!$H14="Landlord",IF(CG$5&gt;'Project Assumptions'!$D$15+'Project Assumptions'!$D$16+'Economic Assumptions'!$B14-1,IF(CG$5&lt;='Project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H145" s="301">
        <f>IF('Economic Assumptions'!$H14="Landlord",IF(CH$5&gt;'Project Assumptions'!$D$15+'Project Assumptions'!$D$16+'Economic Assumptions'!$B14-1,IF(CH$5&lt;='Project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I145" s="301">
        <f>IF('Economic Assumptions'!$H14="Landlord",IF(CI$5&gt;'Project Assumptions'!$D$15+'Project Assumptions'!$D$16+'Economic Assumptions'!$B14-1,IF(CI$5&lt;='Project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J145" s="301">
        <f>IF('Economic Assumptions'!$H14="Landlord",IF(CJ$5&gt;'Project Assumptions'!$D$15+'Project Assumptions'!$D$16+'Economic Assumptions'!$B14-1,IF(CJ$5&lt;='Project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K145" s="301">
        <f>IF('Economic Assumptions'!$H14="Landlord",IF(CK$5&gt;'Project Assumptions'!$D$15+'Project Assumptions'!$D$16+'Economic Assumptions'!$B14-1,IF(CK$5&lt;='Project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L145" s="301">
        <f>IF('Economic Assumptions'!$H14="Landlord",IF(CL$5&gt;'Project Assumptions'!$D$15+'Project Assumptions'!$D$16+'Economic Assumptions'!$B14-1,IF(CL$5&lt;='Project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M145" s="301">
        <f>IF('Economic Assumptions'!$H14="Landlord",IF(CM$5&gt;'Project Assumptions'!$D$15+'Project Assumptions'!$D$16+'Economic Assumptions'!$B14-1,IF(CM$5&lt;='Project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N145" s="301">
        <f>IF('Economic Assumptions'!$H14="Landlord",IF(CN$5&gt;'Project Assumptions'!$D$15+'Project Assumptions'!$D$16+'Economic Assumptions'!$B14-1,IF(CN$5&lt;='Project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O145" s="301">
        <f>IF('Economic Assumptions'!$H14="Landlord",IF(CO$5&gt;'Project Assumptions'!$D$15+'Project Assumptions'!$D$16+'Economic Assumptions'!$B14-1,IF(CO$5&lt;='Project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P145" s="301">
        <f>IF('Economic Assumptions'!$H14="Landlord",IF(CP$5&gt;'Project Assumptions'!$D$15+'Project Assumptions'!$D$16+'Economic Assumptions'!$B14-1,IF(CP$5&lt;='Project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Q145" s="301">
        <f>IF('Economic Assumptions'!$H14="Landlord",IF(CQ$5&gt;'Project Assumptions'!$D$15+'Project Assumptions'!$D$16+'Economic Assumptions'!$B14-1,IF(CQ$5&lt;='Project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R145" s="301">
        <f>IF('Economic Assumptions'!$H14="Landlord",IF(CR$5&gt;'Project Assumptions'!$D$15+'Project Assumptions'!$D$16+'Economic Assumptions'!$B14-1,IF(CR$5&lt;='Project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S145" s="301">
        <f>IF('Economic Assumptions'!$H14="Landlord",IF(CS$5&gt;'Project Assumptions'!$D$15+'Project Assumptions'!$D$16+'Economic Assumptions'!$B14-1,IF(CS$5&lt;='Project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T145" s="301">
        <f>IF('Economic Assumptions'!$H14="Landlord",IF(CT$5&gt;'Project Assumptions'!$D$15+'Project Assumptions'!$D$16+'Economic Assumptions'!$B14-1,IF(CT$5&lt;='Project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U145" s="301">
        <f>IF('Economic Assumptions'!$H14="Landlord",IF(CU$5&gt;'Project Assumptions'!$D$15+'Project Assumptions'!$D$16+'Economic Assumptions'!$B14-1,IF(CU$5&lt;='Project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V145" s="301">
        <f>IF('Economic Assumptions'!$H14="Landlord",IF(CV$5&gt;'Project Assumptions'!$D$15+'Project Assumptions'!$D$16+'Economic Assumptions'!$B14-1,IF(CV$5&lt;='Project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W145" s="301">
        <f>IF('Economic Assumptions'!$H14="Landlord",IF(CW$5&gt;'Project Assumptions'!$D$15+'Project Assumptions'!$D$16+'Economic Assumptions'!$B14-1,IF(CW$5&lt;='Project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X145" s="301">
        <f>IF('Economic Assumptions'!$H14="Landlord",IF(CX$5&gt;'Project Assumptions'!$D$15+'Project Assumptions'!$D$16+'Economic Assumptions'!$B14-1,IF(CX$5&lt;='Project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Y145" s="301">
        <f>IF('Economic Assumptions'!$H14="Landlord",IF(CY$5&gt;'Project Assumptions'!$D$15+'Project Assumptions'!$D$16+'Economic Assumptions'!$B14-1,IF(CY$5&lt;='Project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CZ145" s="301">
        <f>IF('Economic Assumptions'!$H14="Landlord",IF(CZ$5&gt;'Project Assumptions'!$D$15+'Project Assumptions'!$D$16+'Economic Assumptions'!$B14-1,IF(CZ$5&lt;='Project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DA145" s="301">
        <f>IF('Economic Assumptions'!$H14="Landlord",IF(DA$5&gt;'Project Assumptions'!$D$15+'Project Assumptions'!$D$16+'Economic Assumptions'!$B14-1,IF(DA$5&lt;='Project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DB145" s="301">
        <f>IF('Economic Assumptions'!$H14="Landlord",IF(DB$5&gt;'Project Assumptions'!$D$15+'Project Assumptions'!$D$16+'Economic Assumptions'!$B14-1,IF(DB$5&lt;='Project Assumptions'!$D$15+'Project Assumptions'!$D$16+'Economic Assumptions'!$B14+'Economic Assumptions'!$G14-1,IF('Economic Assumptions'!$E14=0,-'Economic Assumptions'!$G$32,-'Economic Assumptions'!$E14)*'Economic Assumptions'!$C14/12,0),0),0)</f>
        <v/>
      </c>
      <c r="DC145" s="301" t="n"/>
      <c r="DD145" s="299" t="n"/>
    </row>
    <row r="146" hidden="1" outlineLevel="1">
      <c r="A146" s="1000" t="n"/>
      <c r="B146" s="315" t="inlineStr">
        <is>
          <t>Lease #6</t>
        </is>
      </c>
      <c r="C146" s="294" t="n"/>
      <c r="D146" s="299">
        <f>DD146</f>
        <v/>
      </c>
      <c r="E146" s="300" t="n"/>
      <c r="F146" s="301" t="n"/>
      <c r="G146" s="301">
        <f>IF('Economic Assumptions'!$H15="Landlord",IF(G$5&gt;'Project Assumptions'!$D$15+'Project Assumptions'!$D$16+'Economic Assumptions'!$B15-1,IF(G$5&lt;='Project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H146" s="301">
        <f>IF('Economic Assumptions'!$H15="Landlord",IF(H$5&gt;'Project Assumptions'!$D$15+'Project Assumptions'!$D$16+'Economic Assumptions'!$B15-1,IF(H$5&lt;='Project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I146" s="301">
        <f>IF('Economic Assumptions'!$H15="Landlord",IF(I$5&gt;'Project Assumptions'!$D$15+'Project Assumptions'!$D$16+'Economic Assumptions'!$B15-1,IF(I$5&lt;='Project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J146" s="301">
        <f>IF('Economic Assumptions'!$H15="Landlord",IF(J$5&gt;'Project Assumptions'!$D$15+'Project Assumptions'!$D$16+'Economic Assumptions'!$B15-1,IF(J$5&lt;='Project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K146" s="301">
        <f>IF('Economic Assumptions'!$H15="Landlord",IF(K$5&gt;'Project Assumptions'!$D$15+'Project Assumptions'!$D$16+'Economic Assumptions'!$B15-1,IF(K$5&lt;='Project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L146" s="301">
        <f>IF('Economic Assumptions'!$H15="Landlord",IF(L$5&gt;'Project Assumptions'!$D$15+'Project Assumptions'!$D$16+'Economic Assumptions'!$B15-1,IF(L$5&lt;='Project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M146" s="301">
        <f>IF('Economic Assumptions'!$H15="Landlord",IF(M$5&gt;'Project Assumptions'!$D$15+'Project Assumptions'!$D$16+'Economic Assumptions'!$B15-1,IF(M$5&lt;='Project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N146" s="301">
        <f>IF('Economic Assumptions'!$H15="Landlord",IF(N$5&gt;'Project Assumptions'!$D$15+'Project Assumptions'!$D$16+'Economic Assumptions'!$B15-1,IF(N$5&lt;='Project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O146" s="301">
        <f>IF('Economic Assumptions'!$H15="Landlord",IF(O$5&gt;'Project Assumptions'!$D$15+'Project Assumptions'!$D$16+'Economic Assumptions'!$B15-1,IF(O$5&lt;='Project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P146" s="301">
        <f>IF('Economic Assumptions'!$H15="Landlord",IF(P$5&gt;'Project Assumptions'!$D$15+'Project Assumptions'!$D$16+'Economic Assumptions'!$B15-1,IF(P$5&lt;='Project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Q146" s="301">
        <f>IF('Economic Assumptions'!$H15="Landlord",IF(Q$5&gt;'Project Assumptions'!$D$15+'Project Assumptions'!$D$16+'Economic Assumptions'!$B15-1,IF(Q$5&lt;='Project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R146" s="301">
        <f>IF('Economic Assumptions'!$H15="Landlord",IF(R$5&gt;'Project Assumptions'!$D$15+'Project Assumptions'!$D$16+'Economic Assumptions'!$B15-1,IF(R$5&lt;='Project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S146" s="301">
        <f>IF('Economic Assumptions'!$H15="Landlord",IF(S$5&gt;'Project Assumptions'!$D$15+'Project Assumptions'!$D$16+'Economic Assumptions'!$B15-1,IF(S$5&lt;='Project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T146" s="301">
        <f>IF('Economic Assumptions'!$H15="Landlord",IF(T$5&gt;'Project Assumptions'!$D$15+'Project Assumptions'!$D$16+'Economic Assumptions'!$B15-1,IF(T$5&lt;='Project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U146" s="301">
        <f>IF('Economic Assumptions'!$H15="Landlord",IF(U$5&gt;'Project Assumptions'!$D$15+'Project Assumptions'!$D$16+'Economic Assumptions'!$B15-1,IF(U$5&lt;='Project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V146" s="301">
        <f>IF('Economic Assumptions'!$H15="Landlord",IF(V$5&gt;'Project Assumptions'!$D$15+'Project Assumptions'!$D$16+'Economic Assumptions'!$B15-1,IF(V$5&lt;='Project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W146" s="301">
        <f>IF('Economic Assumptions'!$H15="Landlord",IF(W$5&gt;'Project Assumptions'!$D$15+'Project Assumptions'!$D$16+'Economic Assumptions'!$B15-1,IF(W$5&lt;='Project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X146" s="301">
        <f>IF('Economic Assumptions'!$H15="Landlord",IF(X$5&gt;'Project Assumptions'!$D$15+'Project Assumptions'!$D$16+'Economic Assumptions'!$B15-1,IF(X$5&lt;='Project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Y146" s="301">
        <f>IF('Economic Assumptions'!$H15="Landlord",IF(Y$5&gt;'Project Assumptions'!$D$15+'Project Assumptions'!$D$16+'Economic Assumptions'!$B15-1,IF(Y$5&lt;='Project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Z146" s="301">
        <f>IF('Economic Assumptions'!$H15="Landlord",IF(Z$5&gt;'Project Assumptions'!$D$15+'Project Assumptions'!$D$16+'Economic Assumptions'!$B15-1,IF(Z$5&lt;='Project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A146" s="301">
        <f>IF('Economic Assumptions'!$H15="Landlord",IF(AA$5&gt;'Project Assumptions'!$D$15+'Project Assumptions'!$D$16+'Economic Assumptions'!$B15-1,IF(AA$5&lt;='Project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B146" s="301">
        <f>IF('Economic Assumptions'!$H15="Landlord",IF(AB$5&gt;'Project Assumptions'!$D$15+'Project Assumptions'!$D$16+'Economic Assumptions'!$B15-1,IF(AB$5&lt;='Project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C146" s="301">
        <f>IF('Economic Assumptions'!$H15="Landlord",IF(AC$5&gt;'Project Assumptions'!$D$15+'Project Assumptions'!$D$16+'Economic Assumptions'!$B15-1,IF(AC$5&lt;='Project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D146" s="301">
        <f>IF('Economic Assumptions'!$H15="Landlord",IF(AD$5&gt;'Project Assumptions'!$D$15+'Project Assumptions'!$D$16+'Economic Assumptions'!$B15-1,IF(AD$5&lt;='Project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E146" s="301">
        <f>IF('Economic Assumptions'!$H15="Landlord",IF(AE$5&gt;'Project Assumptions'!$D$15+'Project Assumptions'!$D$16+'Economic Assumptions'!$B15-1,IF(AE$5&lt;='Project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F146" s="301">
        <f>IF('Economic Assumptions'!$H15="Landlord",IF(AF$5&gt;'Project Assumptions'!$D$15+'Project Assumptions'!$D$16+'Economic Assumptions'!$B15-1,IF(AF$5&lt;='Project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G146" s="301">
        <f>IF('Economic Assumptions'!$H15="Landlord",IF(AG$5&gt;'Project Assumptions'!$D$15+'Project Assumptions'!$D$16+'Economic Assumptions'!$B15-1,IF(AG$5&lt;='Project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H146" s="301">
        <f>IF('Economic Assumptions'!$H15="Landlord",IF(AH$5&gt;'Project Assumptions'!$D$15+'Project Assumptions'!$D$16+'Economic Assumptions'!$B15-1,IF(AH$5&lt;='Project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I146" s="301">
        <f>IF('Economic Assumptions'!$H15="Landlord",IF(AI$5&gt;'Project Assumptions'!$D$15+'Project Assumptions'!$D$16+'Economic Assumptions'!$B15-1,IF(AI$5&lt;='Project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J146" s="301">
        <f>IF('Economic Assumptions'!$H15="Landlord",IF(AJ$5&gt;'Project Assumptions'!$D$15+'Project Assumptions'!$D$16+'Economic Assumptions'!$B15-1,IF(AJ$5&lt;='Project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K146" s="301">
        <f>IF('Economic Assumptions'!$H15="Landlord",IF(AK$5&gt;'Project Assumptions'!$D$15+'Project Assumptions'!$D$16+'Economic Assumptions'!$B15-1,IF(AK$5&lt;='Project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L146" s="301">
        <f>IF('Economic Assumptions'!$H15="Landlord",IF(AL$5&gt;'Project Assumptions'!$D$15+'Project Assumptions'!$D$16+'Economic Assumptions'!$B15-1,IF(AL$5&lt;='Project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M146" s="301">
        <f>IF('Economic Assumptions'!$H15="Landlord",IF(AM$5&gt;'Project Assumptions'!$D$15+'Project Assumptions'!$D$16+'Economic Assumptions'!$B15-1,IF(AM$5&lt;='Project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N146" s="301">
        <f>IF('Economic Assumptions'!$H15="Landlord",IF(AN$5&gt;'Project Assumptions'!$D$15+'Project Assumptions'!$D$16+'Economic Assumptions'!$B15-1,IF(AN$5&lt;='Project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O146" s="301">
        <f>IF('Economic Assumptions'!$H15="Landlord",IF(AO$5&gt;'Project Assumptions'!$D$15+'Project Assumptions'!$D$16+'Economic Assumptions'!$B15-1,IF(AO$5&lt;='Project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P146" s="301">
        <f>IF('Economic Assumptions'!$H15="Landlord",IF(AP$5&gt;'Project Assumptions'!$D$15+'Project Assumptions'!$D$16+'Economic Assumptions'!$B15-1,IF(AP$5&lt;='Project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Q146" s="301">
        <f>IF('Economic Assumptions'!$H15="Landlord",IF(AQ$5&gt;'Project Assumptions'!$D$15+'Project Assumptions'!$D$16+'Economic Assumptions'!$B15-1,IF(AQ$5&lt;='Project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R146" s="301">
        <f>IF('Economic Assumptions'!$H15="Landlord",IF(AR$5&gt;'Project Assumptions'!$D$15+'Project Assumptions'!$D$16+'Economic Assumptions'!$B15-1,IF(AR$5&lt;='Project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S146" s="301">
        <f>IF('Economic Assumptions'!$H15="Landlord",IF(AS$5&gt;'Project Assumptions'!$D$15+'Project Assumptions'!$D$16+'Economic Assumptions'!$B15-1,IF(AS$5&lt;='Project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T146" s="301">
        <f>IF('Economic Assumptions'!$H15="Landlord",IF(AT$5&gt;'Project Assumptions'!$D$15+'Project Assumptions'!$D$16+'Economic Assumptions'!$B15-1,IF(AT$5&lt;='Project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U146" s="301">
        <f>IF('Economic Assumptions'!$H15="Landlord",IF(AU$5&gt;'Project Assumptions'!$D$15+'Project Assumptions'!$D$16+'Economic Assumptions'!$B15-1,IF(AU$5&lt;='Project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V146" s="301">
        <f>IF('Economic Assumptions'!$H15="Landlord",IF(AV$5&gt;'Project Assumptions'!$D$15+'Project Assumptions'!$D$16+'Economic Assumptions'!$B15-1,IF(AV$5&lt;='Project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W146" s="301">
        <f>IF('Economic Assumptions'!$H15="Landlord",IF(AW$5&gt;'Project Assumptions'!$D$15+'Project Assumptions'!$D$16+'Economic Assumptions'!$B15-1,IF(AW$5&lt;='Project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X146" s="301">
        <f>IF('Economic Assumptions'!$H15="Landlord",IF(AX$5&gt;'Project Assumptions'!$D$15+'Project Assumptions'!$D$16+'Economic Assumptions'!$B15-1,IF(AX$5&lt;='Project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Y146" s="301">
        <f>IF('Economic Assumptions'!$H15="Landlord",IF(AY$5&gt;'Project Assumptions'!$D$15+'Project Assumptions'!$D$16+'Economic Assumptions'!$B15-1,IF(AY$5&lt;='Project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AZ146" s="301">
        <f>IF('Economic Assumptions'!$H15="Landlord",IF(AZ$5&gt;'Project Assumptions'!$D$15+'Project Assumptions'!$D$16+'Economic Assumptions'!$B15-1,IF(AZ$5&lt;='Project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A146" s="301">
        <f>IF('Economic Assumptions'!$H15="Landlord",IF(BA$5&gt;'Project Assumptions'!$D$15+'Project Assumptions'!$D$16+'Economic Assumptions'!$B15-1,IF(BA$5&lt;='Project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B146" s="301">
        <f>IF('Economic Assumptions'!$H15="Landlord",IF(BB$5&gt;'Project Assumptions'!$D$15+'Project Assumptions'!$D$16+'Economic Assumptions'!$B15-1,IF(BB$5&lt;='Project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C146" s="301">
        <f>IF('Economic Assumptions'!$H15="Landlord",IF(BC$5&gt;'Project Assumptions'!$D$15+'Project Assumptions'!$D$16+'Economic Assumptions'!$B15-1,IF(BC$5&lt;='Project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D146" s="301">
        <f>IF('Economic Assumptions'!$H15="Landlord",IF(BD$5&gt;'Project Assumptions'!$D$15+'Project Assumptions'!$D$16+'Economic Assumptions'!$B15-1,IF(BD$5&lt;='Project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E146" s="301">
        <f>IF('Economic Assumptions'!$H15="Landlord",IF(BE$5&gt;'Project Assumptions'!$D$15+'Project Assumptions'!$D$16+'Economic Assumptions'!$B15-1,IF(BE$5&lt;='Project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F146" s="301">
        <f>IF('Economic Assumptions'!$H15="Landlord",IF(BF$5&gt;'Project Assumptions'!$D$15+'Project Assumptions'!$D$16+'Economic Assumptions'!$B15-1,IF(BF$5&lt;='Project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G146" s="301">
        <f>IF('Economic Assumptions'!$H15="Landlord",IF(BG$5&gt;'Project Assumptions'!$D$15+'Project Assumptions'!$D$16+'Economic Assumptions'!$B15-1,IF(BG$5&lt;='Project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H146" s="301">
        <f>IF('Economic Assumptions'!$H15="Landlord",IF(BH$5&gt;'Project Assumptions'!$D$15+'Project Assumptions'!$D$16+'Economic Assumptions'!$B15-1,IF(BH$5&lt;='Project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I146" s="301">
        <f>IF('Economic Assumptions'!$H15="Landlord",IF(BI$5&gt;'Project Assumptions'!$D$15+'Project Assumptions'!$D$16+'Economic Assumptions'!$B15-1,IF(BI$5&lt;='Project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J146" s="301">
        <f>IF('Economic Assumptions'!$H15="Landlord",IF(BJ$5&gt;'Project Assumptions'!$D$15+'Project Assumptions'!$D$16+'Economic Assumptions'!$B15-1,IF(BJ$5&lt;='Project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K146" s="301">
        <f>IF('Economic Assumptions'!$H15="Landlord",IF(BK$5&gt;'Project Assumptions'!$D$15+'Project Assumptions'!$D$16+'Economic Assumptions'!$B15-1,IF(BK$5&lt;='Project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L146" s="301">
        <f>IF('Economic Assumptions'!$H15="Landlord",IF(BL$5&gt;'Project Assumptions'!$D$15+'Project Assumptions'!$D$16+'Economic Assumptions'!$B15-1,IF(BL$5&lt;='Project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M146" s="301">
        <f>IF('Economic Assumptions'!$H15="Landlord",IF(BM$5&gt;'Project Assumptions'!$D$15+'Project Assumptions'!$D$16+'Economic Assumptions'!$B15-1,IF(BM$5&lt;='Project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N146" s="301">
        <f>IF('Economic Assumptions'!$H15="Landlord",IF(BN$5&gt;'Project Assumptions'!$D$15+'Project Assumptions'!$D$16+'Economic Assumptions'!$B15-1,IF(BN$5&lt;='Project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O146" s="301">
        <f>IF('Economic Assumptions'!$H15="Landlord",IF(BO$5&gt;'Project Assumptions'!$D$15+'Project Assumptions'!$D$16+'Economic Assumptions'!$B15-1,IF(BO$5&lt;='Project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P146" s="301">
        <f>IF('Economic Assumptions'!$H15="Landlord",IF(BP$5&gt;'Project Assumptions'!$D$15+'Project Assumptions'!$D$16+'Economic Assumptions'!$B15-1,IF(BP$5&lt;='Project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Q146" s="301">
        <f>IF('Economic Assumptions'!$H15="Landlord",IF(BQ$5&gt;'Project Assumptions'!$D$15+'Project Assumptions'!$D$16+'Economic Assumptions'!$B15-1,IF(BQ$5&lt;='Project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R146" s="301">
        <f>IF('Economic Assumptions'!$H15="Landlord",IF(BR$5&gt;'Project Assumptions'!$D$15+'Project Assumptions'!$D$16+'Economic Assumptions'!$B15-1,IF(BR$5&lt;='Project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S146" s="301">
        <f>IF('Economic Assumptions'!$H15="Landlord",IF(BS$5&gt;'Project Assumptions'!$D$15+'Project Assumptions'!$D$16+'Economic Assumptions'!$B15-1,IF(BS$5&lt;='Project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T146" s="301">
        <f>IF('Economic Assumptions'!$H15="Landlord",IF(BT$5&gt;'Project Assumptions'!$D$15+'Project Assumptions'!$D$16+'Economic Assumptions'!$B15-1,IF(BT$5&lt;='Project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U146" s="301">
        <f>IF('Economic Assumptions'!$H15="Landlord",IF(BU$5&gt;'Project Assumptions'!$D$15+'Project Assumptions'!$D$16+'Economic Assumptions'!$B15-1,IF(BU$5&lt;='Project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V146" s="301">
        <f>IF('Economic Assumptions'!$H15="Landlord",IF(BV$5&gt;'Project Assumptions'!$D$15+'Project Assumptions'!$D$16+'Economic Assumptions'!$B15-1,IF(BV$5&lt;='Project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W146" s="301">
        <f>IF('Economic Assumptions'!$H15="Landlord",IF(BW$5&gt;'Project Assumptions'!$D$15+'Project Assumptions'!$D$16+'Economic Assumptions'!$B15-1,IF(BW$5&lt;='Project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X146" s="301">
        <f>IF('Economic Assumptions'!$H15="Landlord",IF(BX$5&gt;'Project Assumptions'!$D$15+'Project Assumptions'!$D$16+'Economic Assumptions'!$B15-1,IF(BX$5&lt;='Project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Y146" s="301">
        <f>IF('Economic Assumptions'!$H15="Landlord",IF(BY$5&gt;'Project Assumptions'!$D$15+'Project Assumptions'!$D$16+'Economic Assumptions'!$B15-1,IF(BY$5&lt;='Project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BZ146" s="301">
        <f>IF('Economic Assumptions'!$H15="Landlord",IF(BZ$5&gt;'Project Assumptions'!$D$15+'Project Assumptions'!$D$16+'Economic Assumptions'!$B15-1,IF(BZ$5&lt;='Project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A146" s="301">
        <f>IF('Economic Assumptions'!$H15="Landlord",IF(CA$5&gt;'Project Assumptions'!$D$15+'Project Assumptions'!$D$16+'Economic Assumptions'!$B15-1,IF(CA$5&lt;='Project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B146" s="301">
        <f>IF('Economic Assumptions'!$H15="Landlord",IF(CB$5&gt;'Project Assumptions'!$D$15+'Project Assumptions'!$D$16+'Economic Assumptions'!$B15-1,IF(CB$5&lt;='Project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C146" s="301">
        <f>IF('Economic Assumptions'!$H15="Landlord",IF(CC$5&gt;'Project Assumptions'!$D$15+'Project Assumptions'!$D$16+'Economic Assumptions'!$B15-1,IF(CC$5&lt;='Project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D146" s="301">
        <f>IF('Economic Assumptions'!$H15="Landlord",IF(CD$5&gt;'Project Assumptions'!$D$15+'Project Assumptions'!$D$16+'Economic Assumptions'!$B15-1,IF(CD$5&lt;='Project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E146" s="301">
        <f>IF('Economic Assumptions'!$H15="Landlord",IF(CE$5&gt;'Project Assumptions'!$D$15+'Project Assumptions'!$D$16+'Economic Assumptions'!$B15-1,IF(CE$5&lt;='Project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F146" s="301">
        <f>IF('Economic Assumptions'!$H15="Landlord",IF(CF$5&gt;'Project Assumptions'!$D$15+'Project Assumptions'!$D$16+'Economic Assumptions'!$B15-1,IF(CF$5&lt;='Project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G146" s="301">
        <f>IF('Economic Assumptions'!$H15="Landlord",IF(CG$5&gt;'Project Assumptions'!$D$15+'Project Assumptions'!$D$16+'Economic Assumptions'!$B15-1,IF(CG$5&lt;='Project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H146" s="301">
        <f>IF('Economic Assumptions'!$H15="Landlord",IF(CH$5&gt;'Project Assumptions'!$D$15+'Project Assumptions'!$D$16+'Economic Assumptions'!$B15-1,IF(CH$5&lt;='Project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I146" s="301">
        <f>IF('Economic Assumptions'!$H15="Landlord",IF(CI$5&gt;'Project Assumptions'!$D$15+'Project Assumptions'!$D$16+'Economic Assumptions'!$B15-1,IF(CI$5&lt;='Project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J146" s="301">
        <f>IF('Economic Assumptions'!$H15="Landlord",IF(CJ$5&gt;'Project Assumptions'!$D$15+'Project Assumptions'!$D$16+'Economic Assumptions'!$B15-1,IF(CJ$5&lt;='Project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K146" s="301">
        <f>IF('Economic Assumptions'!$H15="Landlord",IF(CK$5&gt;'Project Assumptions'!$D$15+'Project Assumptions'!$D$16+'Economic Assumptions'!$B15-1,IF(CK$5&lt;='Project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L146" s="301">
        <f>IF('Economic Assumptions'!$H15="Landlord",IF(CL$5&gt;'Project Assumptions'!$D$15+'Project Assumptions'!$D$16+'Economic Assumptions'!$B15-1,IF(CL$5&lt;='Project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M146" s="301">
        <f>IF('Economic Assumptions'!$H15="Landlord",IF(CM$5&gt;'Project Assumptions'!$D$15+'Project Assumptions'!$D$16+'Economic Assumptions'!$B15-1,IF(CM$5&lt;='Project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N146" s="301">
        <f>IF('Economic Assumptions'!$H15="Landlord",IF(CN$5&gt;'Project Assumptions'!$D$15+'Project Assumptions'!$D$16+'Economic Assumptions'!$B15-1,IF(CN$5&lt;='Project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O146" s="301">
        <f>IF('Economic Assumptions'!$H15="Landlord",IF(CO$5&gt;'Project Assumptions'!$D$15+'Project Assumptions'!$D$16+'Economic Assumptions'!$B15-1,IF(CO$5&lt;='Project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P146" s="301">
        <f>IF('Economic Assumptions'!$H15="Landlord",IF(CP$5&gt;'Project Assumptions'!$D$15+'Project Assumptions'!$D$16+'Economic Assumptions'!$B15-1,IF(CP$5&lt;='Project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Q146" s="301">
        <f>IF('Economic Assumptions'!$H15="Landlord",IF(CQ$5&gt;'Project Assumptions'!$D$15+'Project Assumptions'!$D$16+'Economic Assumptions'!$B15-1,IF(CQ$5&lt;='Project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R146" s="301">
        <f>IF('Economic Assumptions'!$H15="Landlord",IF(CR$5&gt;'Project Assumptions'!$D$15+'Project Assumptions'!$D$16+'Economic Assumptions'!$B15-1,IF(CR$5&lt;='Project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S146" s="301">
        <f>IF('Economic Assumptions'!$H15="Landlord",IF(CS$5&gt;'Project Assumptions'!$D$15+'Project Assumptions'!$D$16+'Economic Assumptions'!$B15-1,IF(CS$5&lt;='Project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T146" s="301">
        <f>IF('Economic Assumptions'!$H15="Landlord",IF(CT$5&gt;'Project Assumptions'!$D$15+'Project Assumptions'!$D$16+'Economic Assumptions'!$B15-1,IF(CT$5&lt;='Project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U146" s="301">
        <f>IF('Economic Assumptions'!$H15="Landlord",IF(CU$5&gt;'Project Assumptions'!$D$15+'Project Assumptions'!$D$16+'Economic Assumptions'!$B15-1,IF(CU$5&lt;='Project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V146" s="301">
        <f>IF('Economic Assumptions'!$H15="Landlord",IF(CV$5&gt;'Project Assumptions'!$D$15+'Project Assumptions'!$D$16+'Economic Assumptions'!$B15-1,IF(CV$5&lt;='Project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W146" s="301">
        <f>IF('Economic Assumptions'!$H15="Landlord",IF(CW$5&gt;'Project Assumptions'!$D$15+'Project Assumptions'!$D$16+'Economic Assumptions'!$B15-1,IF(CW$5&lt;='Project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X146" s="301">
        <f>IF('Economic Assumptions'!$H15="Landlord",IF(CX$5&gt;'Project Assumptions'!$D$15+'Project Assumptions'!$D$16+'Economic Assumptions'!$B15-1,IF(CX$5&lt;='Project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Y146" s="301">
        <f>IF('Economic Assumptions'!$H15="Landlord",IF(CY$5&gt;'Project Assumptions'!$D$15+'Project Assumptions'!$D$16+'Economic Assumptions'!$B15-1,IF(CY$5&lt;='Project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CZ146" s="301">
        <f>IF('Economic Assumptions'!$H15="Landlord",IF(CZ$5&gt;'Project Assumptions'!$D$15+'Project Assumptions'!$D$16+'Economic Assumptions'!$B15-1,IF(CZ$5&lt;='Project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DA146" s="301">
        <f>IF('Economic Assumptions'!$H15="Landlord",IF(DA$5&gt;'Project Assumptions'!$D$15+'Project Assumptions'!$D$16+'Economic Assumptions'!$B15-1,IF(DA$5&lt;='Project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DB146" s="301">
        <f>IF('Economic Assumptions'!$H15="Landlord",IF(DB$5&gt;'Project Assumptions'!$D$15+'Project Assumptions'!$D$16+'Economic Assumptions'!$B15-1,IF(DB$5&lt;='Project Assumptions'!$D$15+'Project Assumptions'!$D$16+'Economic Assumptions'!$B15+'Economic Assumptions'!$G15-1,IF('Economic Assumptions'!$E15=0,-'Economic Assumptions'!$G$32,-'Economic Assumptions'!$E15)*'Economic Assumptions'!$C15/12,0),0),0)</f>
        <v/>
      </c>
      <c r="DC146" s="301" t="n"/>
      <c r="DD146" s="299" t="n"/>
    </row>
    <row r="147" hidden="1" outlineLevel="1">
      <c r="A147" s="1000" t="n"/>
      <c r="B147" s="315" t="inlineStr">
        <is>
          <t>Lease #7</t>
        </is>
      </c>
      <c r="C147" s="294" t="n"/>
      <c r="D147" s="299">
        <f>DD147</f>
        <v/>
      </c>
      <c r="E147" s="300" t="n"/>
      <c r="F147" s="301" t="n"/>
      <c r="G147" s="301">
        <f>IF('Economic Assumptions'!$H16="Landlord",IF(G$5&gt;'Project Assumptions'!$D$15+'Project Assumptions'!$D$16+'Economic Assumptions'!$B16-1,IF(G$5&lt;='Project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H147" s="301">
        <f>IF('Economic Assumptions'!$H16="Landlord",IF(H$5&gt;'Project Assumptions'!$D$15+'Project Assumptions'!$D$16+'Economic Assumptions'!$B16-1,IF(H$5&lt;='Project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I147" s="301">
        <f>IF('Economic Assumptions'!$H16="Landlord",IF(I$5&gt;'Project Assumptions'!$D$15+'Project Assumptions'!$D$16+'Economic Assumptions'!$B16-1,IF(I$5&lt;='Project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J147" s="301">
        <f>IF('Economic Assumptions'!$H16="Landlord",IF(J$5&gt;'Project Assumptions'!$D$15+'Project Assumptions'!$D$16+'Economic Assumptions'!$B16-1,IF(J$5&lt;='Project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K147" s="301">
        <f>IF('Economic Assumptions'!$H16="Landlord",IF(K$5&gt;'Project Assumptions'!$D$15+'Project Assumptions'!$D$16+'Economic Assumptions'!$B16-1,IF(K$5&lt;='Project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L147" s="301">
        <f>IF('Economic Assumptions'!$H16="Landlord",IF(L$5&gt;'Project Assumptions'!$D$15+'Project Assumptions'!$D$16+'Economic Assumptions'!$B16-1,IF(L$5&lt;='Project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M147" s="301">
        <f>IF('Economic Assumptions'!$H16="Landlord",IF(M$5&gt;'Project Assumptions'!$D$15+'Project Assumptions'!$D$16+'Economic Assumptions'!$B16-1,IF(M$5&lt;='Project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N147" s="301">
        <f>IF('Economic Assumptions'!$H16="Landlord",IF(N$5&gt;'Project Assumptions'!$D$15+'Project Assumptions'!$D$16+'Economic Assumptions'!$B16-1,IF(N$5&lt;='Project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O147" s="301">
        <f>IF('Economic Assumptions'!$H16="Landlord",IF(O$5&gt;'Project Assumptions'!$D$15+'Project Assumptions'!$D$16+'Economic Assumptions'!$B16-1,IF(O$5&lt;='Project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P147" s="301">
        <f>IF('Economic Assumptions'!$H16="Landlord",IF(P$5&gt;'Project Assumptions'!$D$15+'Project Assumptions'!$D$16+'Economic Assumptions'!$B16-1,IF(P$5&lt;='Project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Q147" s="301">
        <f>IF('Economic Assumptions'!$H16="Landlord",IF(Q$5&gt;'Project Assumptions'!$D$15+'Project Assumptions'!$D$16+'Economic Assumptions'!$B16-1,IF(Q$5&lt;='Project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R147" s="301">
        <f>IF('Economic Assumptions'!$H16="Landlord",IF(R$5&gt;'Project Assumptions'!$D$15+'Project Assumptions'!$D$16+'Economic Assumptions'!$B16-1,IF(R$5&lt;='Project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S147" s="301">
        <f>IF('Economic Assumptions'!$H16="Landlord",IF(S$5&gt;'Project Assumptions'!$D$15+'Project Assumptions'!$D$16+'Economic Assumptions'!$B16-1,IF(S$5&lt;='Project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T147" s="301">
        <f>IF('Economic Assumptions'!$H16="Landlord",IF(T$5&gt;'Project Assumptions'!$D$15+'Project Assumptions'!$D$16+'Economic Assumptions'!$B16-1,IF(T$5&lt;='Project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U147" s="301">
        <f>IF('Economic Assumptions'!$H16="Landlord",IF(U$5&gt;'Project Assumptions'!$D$15+'Project Assumptions'!$D$16+'Economic Assumptions'!$B16-1,IF(U$5&lt;='Project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V147" s="301">
        <f>IF('Economic Assumptions'!$H16="Landlord",IF(V$5&gt;'Project Assumptions'!$D$15+'Project Assumptions'!$D$16+'Economic Assumptions'!$B16-1,IF(V$5&lt;='Project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W147" s="301">
        <f>IF('Economic Assumptions'!$H16="Landlord",IF(W$5&gt;'Project Assumptions'!$D$15+'Project Assumptions'!$D$16+'Economic Assumptions'!$B16-1,IF(W$5&lt;='Project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X147" s="301">
        <f>IF('Economic Assumptions'!$H16="Landlord",IF(X$5&gt;'Project Assumptions'!$D$15+'Project Assumptions'!$D$16+'Economic Assumptions'!$B16-1,IF(X$5&lt;='Project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Y147" s="301">
        <f>IF('Economic Assumptions'!$H16="Landlord",IF(Y$5&gt;'Project Assumptions'!$D$15+'Project Assumptions'!$D$16+'Economic Assumptions'!$B16-1,IF(Y$5&lt;='Project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Z147" s="301">
        <f>IF('Economic Assumptions'!$H16="Landlord",IF(Z$5&gt;'Project Assumptions'!$D$15+'Project Assumptions'!$D$16+'Economic Assumptions'!$B16-1,IF(Z$5&lt;='Project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A147" s="301">
        <f>IF('Economic Assumptions'!$H16="Landlord",IF(AA$5&gt;'Project Assumptions'!$D$15+'Project Assumptions'!$D$16+'Economic Assumptions'!$B16-1,IF(AA$5&lt;='Project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B147" s="301">
        <f>IF('Economic Assumptions'!$H16="Landlord",IF(AB$5&gt;'Project Assumptions'!$D$15+'Project Assumptions'!$D$16+'Economic Assumptions'!$B16-1,IF(AB$5&lt;='Project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C147" s="301">
        <f>IF('Economic Assumptions'!$H16="Landlord",IF(AC$5&gt;'Project Assumptions'!$D$15+'Project Assumptions'!$D$16+'Economic Assumptions'!$B16-1,IF(AC$5&lt;='Project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D147" s="301">
        <f>IF('Economic Assumptions'!$H16="Landlord",IF(AD$5&gt;'Project Assumptions'!$D$15+'Project Assumptions'!$D$16+'Economic Assumptions'!$B16-1,IF(AD$5&lt;='Project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E147" s="301">
        <f>IF('Economic Assumptions'!$H16="Landlord",IF(AE$5&gt;'Project Assumptions'!$D$15+'Project Assumptions'!$D$16+'Economic Assumptions'!$B16-1,IF(AE$5&lt;='Project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F147" s="301">
        <f>IF('Economic Assumptions'!$H16="Landlord",IF(AF$5&gt;'Project Assumptions'!$D$15+'Project Assumptions'!$D$16+'Economic Assumptions'!$B16-1,IF(AF$5&lt;='Project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G147" s="301">
        <f>IF('Economic Assumptions'!$H16="Landlord",IF(AG$5&gt;'Project Assumptions'!$D$15+'Project Assumptions'!$D$16+'Economic Assumptions'!$B16-1,IF(AG$5&lt;='Project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H147" s="301">
        <f>IF('Economic Assumptions'!$H16="Landlord",IF(AH$5&gt;'Project Assumptions'!$D$15+'Project Assumptions'!$D$16+'Economic Assumptions'!$B16-1,IF(AH$5&lt;='Project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I147" s="301">
        <f>IF('Economic Assumptions'!$H16="Landlord",IF(AI$5&gt;'Project Assumptions'!$D$15+'Project Assumptions'!$D$16+'Economic Assumptions'!$B16-1,IF(AI$5&lt;='Project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J147" s="301">
        <f>IF('Economic Assumptions'!$H16="Landlord",IF(AJ$5&gt;'Project Assumptions'!$D$15+'Project Assumptions'!$D$16+'Economic Assumptions'!$B16-1,IF(AJ$5&lt;='Project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K147" s="301">
        <f>IF('Economic Assumptions'!$H16="Landlord",IF(AK$5&gt;'Project Assumptions'!$D$15+'Project Assumptions'!$D$16+'Economic Assumptions'!$B16-1,IF(AK$5&lt;='Project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L147" s="301">
        <f>IF('Economic Assumptions'!$H16="Landlord",IF(AL$5&gt;'Project Assumptions'!$D$15+'Project Assumptions'!$D$16+'Economic Assumptions'!$B16-1,IF(AL$5&lt;='Project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M147" s="301">
        <f>IF('Economic Assumptions'!$H16="Landlord",IF(AM$5&gt;'Project Assumptions'!$D$15+'Project Assumptions'!$D$16+'Economic Assumptions'!$B16-1,IF(AM$5&lt;='Project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N147" s="301">
        <f>IF('Economic Assumptions'!$H16="Landlord",IF(AN$5&gt;'Project Assumptions'!$D$15+'Project Assumptions'!$D$16+'Economic Assumptions'!$B16-1,IF(AN$5&lt;='Project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O147" s="301">
        <f>IF('Economic Assumptions'!$H16="Landlord",IF(AO$5&gt;'Project Assumptions'!$D$15+'Project Assumptions'!$D$16+'Economic Assumptions'!$B16-1,IF(AO$5&lt;='Project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P147" s="301">
        <f>IF('Economic Assumptions'!$H16="Landlord",IF(AP$5&gt;'Project Assumptions'!$D$15+'Project Assumptions'!$D$16+'Economic Assumptions'!$B16-1,IF(AP$5&lt;='Project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Q147" s="301">
        <f>IF('Economic Assumptions'!$H16="Landlord",IF(AQ$5&gt;'Project Assumptions'!$D$15+'Project Assumptions'!$D$16+'Economic Assumptions'!$B16-1,IF(AQ$5&lt;='Project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R147" s="301">
        <f>IF('Economic Assumptions'!$H16="Landlord",IF(AR$5&gt;'Project Assumptions'!$D$15+'Project Assumptions'!$D$16+'Economic Assumptions'!$B16-1,IF(AR$5&lt;='Project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S147" s="301">
        <f>IF('Economic Assumptions'!$H16="Landlord",IF(AS$5&gt;'Project Assumptions'!$D$15+'Project Assumptions'!$D$16+'Economic Assumptions'!$B16-1,IF(AS$5&lt;='Project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T147" s="301">
        <f>IF('Economic Assumptions'!$H16="Landlord",IF(AT$5&gt;'Project Assumptions'!$D$15+'Project Assumptions'!$D$16+'Economic Assumptions'!$B16-1,IF(AT$5&lt;='Project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U147" s="301">
        <f>IF('Economic Assumptions'!$H16="Landlord",IF(AU$5&gt;'Project Assumptions'!$D$15+'Project Assumptions'!$D$16+'Economic Assumptions'!$B16-1,IF(AU$5&lt;='Project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V147" s="301">
        <f>IF('Economic Assumptions'!$H16="Landlord",IF(AV$5&gt;'Project Assumptions'!$D$15+'Project Assumptions'!$D$16+'Economic Assumptions'!$B16-1,IF(AV$5&lt;='Project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W147" s="301">
        <f>IF('Economic Assumptions'!$H16="Landlord",IF(AW$5&gt;'Project Assumptions'!$D$15+'Project Assumptions'!$D$16+'Economic Assumptions'!$B16-1,IF(AW$5&lt;='Project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X147" s="301">
        <f>IF('Economic Assumptions'!$H16="Landlord",IF(AX$5&gt;'Project Assumptions'!$D$15+'Project Assumptions'!$D$16+'Economic Assumptions'!$B16-1,IF(AX$5&lt;='Project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Y147" s="301">
        <f>IF('Economic Assumptions'!$H16="Landlord",IF(AY$5&gt;'Project Assumptions'!$D$15+'Project Assumptions'!$D$16+'Economic Assumptions'!$B16-1,IF(AY$5&lt;='Project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AZ147" s="301">
        <f>IF('Economic Assumptions'!$H16="Landlord",IF(AZ$5&gt;'Project Assumptions'!$D$15+'Project Assumptions'!$D$16+'Economic Assumptions'!$B16-1,IF(AZ$5&lt;='Project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A147" s="301">
        <f>IF('Economic Assumptions'!$H16="Landlord",IF(BA$5&gt;'Project Assumptions'!$D$15+'Project Assumptions'!$D$16+'Economic Assumptions'!$B16-1,IF(BA$5&lt;='Project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B147" s="301">
        <f>IF('Economic Assumptions'!$H16="Landlord",IF(BB$5&gt;'Project Assumptions'!$D$15+'Project Assumptions'!$D$16+'Economic Assumptions'!$B16-1,IF(BB$5&lt;='Project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C147" s="301">
        <f>IF('Economic Assumptions'!$H16="Landlord",IF(BC$5&gt;'Project Assumptions'!$D$15+'Project Assumptions'!$D$16+'Economic Assumptions'!$B16-1,IF(BC$5&lt;='Project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D147" s="301">
        <f>IF('Economic Assumptions'!$H16="Landlord",IF(BD$5&gt;'Project Assumptions'!$D$15+'Project Assumptions'!$D$16+'Economic Assumptions'!$B16-1,IF(BD$5&lt;='Project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E147" s="301">
        <f>IF('Economic Assumptions'!$H16="Landlord",IF(BE$5&gt;'Project Assumptions'!$D$15+'Project Assumptions'!$D$16+'Economic Assumptions'!$B16-1,IF(BE$5&lt;='Project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F147" s="301">
        <f>IF('Economic Assumptions'!$H16="Landlord",IF(BF$5&gt;'Project Assumptions'!$D$15+'Project Assumptions'!$D$16+'Economic Assumptions'!$B16-1,IF(BF$5&lt;='Project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G147" s="301">
        <f>IF('Economic Assumptions'!$H16="Landlord",IF(BG$5&gt;'Project Assumptions'!$D$15+'Project Assumptions'!$D$16+'Economic Assumptions'!$B16-1,IF(BG$5&lt;='Project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H147" s="301">
        <f>IF('Economic Assumptions'!$H16="Landlord",IF(BH$5&gt;'Project Assumptions'!$D$15+'Project Assumptions'!$D$16+'Economic Assumptions'!$B16-1,IF(BH$5&lt;='Project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I147" s="301">
        <f>IF('Economic Assumptions'!$H16="Landlord",IF(BI$5&gt;'Project Assumptions'!$D$15+'Project Assumptions'!$D$16+'Economic Assumptions'!$B16-1,IF(BI$5&lt;='Project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J147" s="301">
        <f>IF('Economic Assumptions'!$H16="Landlord",IF(BJ$5&gt;'Project Assumptions'!$D$15+'Project Assumptions'!$D$16+'Economic Assumptions'!$B16-1,IF(BJ$5&lt;='Project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K147" s="301">
        <f>IF('Economic Assumptions'!$H16="Landlord",IF(BK$5&gt;'Project Assumptions'!$D$15+'Project Assumptions'!$D$16+'Economic Assumptions'!$B16-1,IF(BK$5&lt;='Project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L147" s="301">
        <f>IF('Economic Assumptions'!$H16="Landlord",IF(BL$5&gt;'Project Assumptions'!$D$15+'Project Assumptions'!$D$16+'Economic Assumptions'!$B16-1,IF(BL$5&lt;='Project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M147" s="301">
        <f>IF('Economic Assumptions'!$H16="Landlord",IF(BM$5&gt;'Project Assumptions'!$D$15+'Project Assumptions'!$D$16+'Economic Assumptions'!$B16-1,IF(BM$5&lt;='Project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N147" s="301">
        <f>IF('Economic Assumptions'!$H16="Landlord",IF(BN$5&gt;'Project Assumptions'!$D$15+'Project Assumptions'!$D$16+'Economic Assumptions'!$B16-1,IF(BN$5&lt;='Project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O147" s="301">
        <f>IF('Economic Assumptions'!$H16="Landlord",IF(BO$5&gt;'Project Assumptions'!$D$15+'Project Assumptions'!$D$16+'Economic Assumptions'!$B16-1,IF(BO$5&lt;='Project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P147" s="301">
        <f>IF('Economic Assumptions'!$H16="Landlord",IF(BP$5&gt;'Project Assumptions'!$D$15+'Project Assumptions'!$D$16+'Economic Assumptions'!$B16-1,IF(BP$5&lt;='Project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Q147" s="301">
        <f>IF('Economic Assumptions'!$H16="Landlord",IF(BQ$5&gt;'Project Assumptions'!$D$15+'Project Assumptions'!$D$16+'Economic Assumptions'!$B16-1,IF(BQ$5&lt;='Project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R147" s="301">
        <f>IF('Economic Assumptions'!$H16="Landlord",IF(BR$5&gt;'Project Assumptions'!$D$15+'Project Assumptions'!$D$16+'Economic Assumptions'!$B16-1,IF(BR$5&lt;='Project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S147" s="301">
        <f>IF('Economic Assumptions'!$H16="Landlord",IF(BS$5&gt;'Project Assumptions'!$D$15+'Project Assumptions'!$D$16+'Economic Assumptions'!$B16-1,IF(BS$5&lt;='Project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T147" s="301">
        <f>IF('Economic Assumptions'!$H16="Landlord",IF(BT$5&gt;'Project Assumptions'!$D$15+'Project Assumptions'!$D$16+'Economic Assumptions'!$B16-1,IF(BT$5&lt;='Project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U147" s="301">
        <f>IF('Economic Assumptions'!$H16="Landlord",IF(BU$5&gt;'Project Assumptions'!$D$15+'Project Assumptions'!$D$16+'Economic Assumptions'!$B16-1,IF(BU$5&lt;='Project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V147" s="301">
        <f>IF('Economic Assumptions'!$H16="Landlord",IF(BV$5&gt;'Project Assumptions'!$D$15+'Project Assumptions'!$D$16+'Economic Assumptions'!$B16-1,IF(BV$5&lt;='Project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W147" s="301">
        <f>IF('Economic Assumptions'!$H16="Landlord",IF(BW$5&gt;'Project Assumptions'!$D$15+'Project Assumptions'!$D$16+'Economic Assumptions'!$B16-1,IF(BW$5&lt;='Project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X147" s="301">
        <f>IF('Economic Assumptions'!$H16="Landlord",IF(BX$5&gt;'Project Assumptions'!$D$15+'Project Assumptions'!$D$16+'Economic Assumptions'!$B16-1,IF(BX$5&lt;='Project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Y147" s="301">
        <f>IF('Economic Assumptions'!$H16="Landlord",IF(BY$5&gt;'Project Assumptions'!$D$15+'Project Assumptions'!$D$16+'Economic Assumptions'!$B16-1,IF(BY$5&lt;='Project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BZ147" s="301">
        <f>IF('Economic Assumptions'!$H16="Landlord",IF(BZ$5&gt;'Project Assumptions'!$D$15+'Project Assumptions'!$D$16+'Economic Assumptions'!$B16-1,IF(BZ$5&lt;='Project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A147" s="301">
        <f>IF('Economic Assumptions'!$H16="Landlord",IF(CA$5&gt;'Project Assumptions'!$D$15+'Project Assumptions'!$D$16+'Economic Assumptions'!$B16-1,IF(CA$5&lt;='Project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B147" s="301">
        <f>IF('Economic Assumptions'!$H16="Landlord",IF(CB$5&gt;'Project Assumptions'!$D$15+'Project Assumptions'!$D$16+'Economic Assumptions'!$B16-1,IF(CB$5&lt;='Project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C147" s="301">
        <f>IF('Economic Assumptions'!$H16="Landlord",IF(CC$5&gt;'Project Assumptions'!$D$15+'Project Assumptions'!$D$16+'Economic Assumptions'!$B16-1,IF(CC$5&lt;='Project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D147" s="301">
        <f>IF('Economic Assumptions'!$H16="Landlord",IF(CD$5&gt;'Project Assumptions'!$D$15+'Project Assumptions'!$D$16+'Economic Assumptions'!$B16-1,IF(CD$5&lt;='Project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E147" s="301">
        <f>IF('Economic Assumptions'!$H16="Landlord",IF(CE$5&gt;'Project Assumptions'!$D$15+'Project Assumptions'!$D$16+'Economic Assumptions'!$B16-1,IF(CE$5&lt;='Project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F147" s="301">
        <f>IF('Economic Assumptions'!$H16="Landlord",IF(CF$5&gt;'Project Assumptions'!$D$15+'Project Assumptions'!$D$16+'Economic Assumptions'!$B16-1,IF(CF$5&lt;='Project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G147" s="301">
        <f>IF('Economic Assumptions'!$H16="Landlord",IF(CG$5&gt;'Project Assumptions'!$D$15+'Project Assumptions'!$D$16+'Economic Assumptions'!$B16-1,IF(CG$5&lt;='Project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H147" s="301">
        <f>IF('Economic Assumptions'!$H16="Landlord",IF(CH$5&gt;'Project Assumptions'!$D$15+'Project Assumptions'!$D$16+'Economic Assumptions'!$B16-1,IF(CH$5&lt;='Project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I147" s="301">
        <f>IF('Economic Assumptions'!$H16="Landlord",IF(CI$5&gt;'Project Assumptions'!$D$15+'Project Assumptions'!$D$16+'Economic Assumptions'!$B16-1,IF(CI$5&lt;='Project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J147" s="301">
        <f>IF('Economic Assumptions'!$H16="Landlord",IF(CJ$5&gt;'Project Assumptions'!$D$15+'Project Assumptions'!$D$16+'Economic Assumptions'!$B16-1,IF(CJ$5&lt;='Project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K147" s="301">
        <f>IF('Economic Assumptions'!$H16="Landlord",IF(CK$5&gt;'Project Assumptions'!$D$15+'Project Assumptions'!$D$16+'Economic Assumptions'!$B16-1,IF(CK$5&lt;='Project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L147" s="301">
        <f>IF('Economic Assumptions'!$H16="Landlord",IF(CL$5&gt;'Project Assumptions'!$D$15+'Project Assumptions'!$D$16+'Economic Assumptions'!$B16-1,IF(CL$5&lt;='Project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M147" s="301">
        <f>IF('Economic Assumptions'!$H16="Landlord",IF(CM$5&gt;'Project Assumptions'!$D$15+'Project Assumptions'!$D$16+'Economic Assumptions'!$B16-1,IF(CM$5&lt;='Project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N147" s="301">
        <f>IF('Economic Assumptions'!$H16="Landlord",IF(CN$5&gt;'Project Assumptions'!$D$15+'Project Assumptions'!$D$16+'Economic Assumptions'!$B16-1,IF(CN$5&lt;='Project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O147" s="301">
        <f>IF('Economic Assumptions'!$H16="Landlord",IF(CO$5&gt;'Project Assumptions'!$D$15+'Project Assumptions'!$D$16+'Economic Assumptions'!$B16-1,IF(CO$5&lt;='Project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P147" s="301">
        <f>IF('Economic Assumptions'!$H16="Landlord",IF(CP$5&gt;'Project Assumptions'!$D$15+'Project Assumptions'!$D$16+'Economic Assumptions'!$B16-1,IF(CP$5&lt;='Project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Q147" s="301">
        <f>IF('Economic Assumptions'!$H16="Landlord",IF(CQ$5&gt;'Project Assumptions'!$D$15+'Project Assumptions'!$D$16+'Economic Assumptions'!$B16-1,IF(CQ$5&lt;='Project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R147" s="301">
        <f>IF('Economic Assumptions'!$H16="Landlord",IF(CR$5&gt;'Project Assumptions'!$D$15+'Project Assumptions'!$D$16+'Economic Assumptions'!$B16-1,IF(CR$5&lt;='Project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S147" s="301">
        <f>IF('Economic Assumptions'!$H16="Landlord",IF(CS$5&gt;'Project Assumptions'!$D$15+'Project Assumptions'!$D$16+'Economic Assumptions'!$B16-1,IF(CS$5&lt;='Project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T147" s="301">
        <f>IF('Economic Assumptions'!$H16="Landlord",IF(CT$5&gt;'Project Assumptions'!$D$15+'Project Assumptions'!$D$16+'Economic Assumptions'!$B16-1,IF(CT$5&lt;='Project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U147" s="301">
        <f>IF('Economic Assumptions'!$H16="Landlord",IF(CU$5&gt;'Project Assumptions'!$D$15+'Project Assumptions'!$D$16+'Economic Assumptions'!$B16-1,IF(CU$5&lt;='Project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V147" s="301">
        <f>IF('Economic Assumptions'!$H16="Landlord",IF(CV$5&gt;'Project Assumptions'!$D$15+'Project Assumptions'!$D$16+'Economic Assumptions'!$B16-1,IF(CV$5&lt;='Project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W147" s="301">
        <f>IF('Economic Assumptions'!$H16="Landlord",IF(CW$5&gt;'Project Assumptions'!$D$15+'Project Assumptions'!$D$16+'Economic Assumptions'!$B16-1,IF(CW$5&lt;='Project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X147" s="301">
        <f>IF('Economic Assumptions'!$H16="Landlord",IF(CX$5&gt;'Project Assumptions'!$D$15+'Project Assumptions'!$D$16+'Economic Assumptions'!$B16-1,IF(CX$5&lt;='Project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Y147" s="301">
        <f>IF('Economic Assumptions'!$H16="Landlord",IF(CY$5&gt;'Project Assumptions'!$D$15+'Project Assumptions'!$D$16+'Economic Assumptions'!$B16-1,IF(CY$5&lt;='Project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CZ147" s="301">
        <f>IF('Economic Assumptions'!$H16="Landlord",IF(CZ$5&gt;'Project Assumptions'!$D$15+'Project Assumptions'!$D$16+'Economic Assumptions'!$B16-1,IF(CZ$5&lt;='Project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DA147" s="301">
        <f>IF('Economic Assumptions'!$H16="Landlord",IF(DA$5&gt;'Project Assumptions'!$D$15+'Project Assumptions'!$D$16+'Economic Assumptions'!$B16-1,IF(DA$5&lt;='Project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DB147" s="301">
        <f>IF('Economic Assumptions'!$H16="Landlord",IF(DB$5&gt;'Project Assumptions'!$D$15+'Project Assumptions'!$D$16+'Economic Assumptions'!$B16-1,IF(DB$5&lt;='Project Assumptions'!$D$15+'Project Assumptions'!$D$16+'Economic Assumptions'!$B16+'Economic Assumptions'!$G16-1,IF('Economic Assumptions'!$E16=0,-'Economic Assumptions'!$G$32,-'Economic Assumptions'!$E16)*'Economic Assumptions'!$C16/12,0),0),0)</f>
        <v/>
      </c>
      <c r="DC147" s="301" t="n"/>
      <c r="DD147" s="299" t="n"/>
    </row>
    <row r="148" hidden="1" outlineLevel="1">
      <c r="A148" s="1000" t="n"/>
      <c r="B148" s="315" t="inlineStr">
        <is>
          <t>Lease #8</t>
        </is>
      </c>
      <c r="C148" s="294" t="n"/>
      <c r="D148" s="299">
        <f>DD148</f>
        <v/>
      </c>
      <c r="E148" s="300" t="n"/>
      <c r="F148" s="301" t="n"/>
      <c r="G148" s="301">
        <f>IF('Economic Assumptions'!$H17="Landlord",IF(G$5&gt;'Project Assumptions'!$D$15+'Project Assumptions'!$D$16+'Economic Assumptions'!$B17-1,IF(G$5&lt;='Project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H148" s="301">
        <f>IF('Economic Assumptions'!$H17="Landlord",IF(H$5&gt;'Project Assumptions'!$D$15+'Project Assumptions'!$D$16+'Economic Assumptions'!$B17-1,IF(H$5&lt;='Project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I148" s="301">
        <f>IF('Economic Assumptions'!$H17="Landlord",IF(I$5&gt;'Project Assumptions'!$D$15+'Project Assumptions'!$D$16+'Economic Assumptions'!$B17-1,IF(I$5&lt;='Project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J148" s="301">
        <f>IF('Economic Assumptions'!$H17="Landlord",IF(J$5&gt;'Project Assumptions'!$D$15+'Project Assumptions'!$D$16+'Economic Assumptions'!$B17-1,IF(J$5&lt;='Project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K148" s="301">
        <f>IF('Economic Assumptions'!$H17="Landlord",IF(K$5&gt;'Project Assumptions'!$D$15+'Project Assumptions'!$D$16+'Economic Assumptions'!$B17-1,IF(K$5&lt;='Project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L148" s="301">
        <f>IF('Economic Assumptions'!$H17="Landlord",IF(L$5&gt;'Project Assumptions'!$D$15+'Project Assumptions'!$D$16+'Economic Assumptions'!$B17-1,IF(L$5&lt;='Project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M148" s="301">
        <f>IF('Economic Assumptions'!$H17="Landlord",IF(M$5&gt;'Project Assumptions'!$D$15+'Project Assumptions'!$D$16+'Economic Assumptions'!$B17-1,IF(M$5&lt;='Project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N148" s="301">
        <f>IF('Economic Assumptions'!$H17="Landlord",IF(N$5&gt;'Project Assumptions'!$D$15+'Project Assumptions'!$D$16+'Economic Assumptions'!$B17-1,IF(N$5&lt;='Project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O148" s="301">
        <f>IF('Economic Assumptions'!$H17="Landlord",IF(O$5&gt;'Project Assumptions'!$D$15+'Project Assumptions'!$D$16+'Economic Assumptions'!$B17-1,IF(O$5&lt;='Project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P148" s="301">
        <f>IF('Economic Assumptions'!$H17="Landlord",IF(P$5&gt;'Project Assumptions'!$D$15+'Project Assumptions'!$D$16+'Economic Assumptions'!$B17-1,IF(P$5&lt;='Project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Q148" s="301">
        <f>IF('Economic Assumptions'!$H17="Landlord",IF(Q$5&gt;'Project Assumptions'!$D$15+'Project Assumptions'!$D$16+'Economic Assumptions'!$B17-1,IF(Q$5&lt;='Project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R148" s="301">
        <f>IF('Economic Assumptions'!$H17="Landlord",IF(R$5&gt;'Project Assumptions'!$D$15+'Project Assumptions'!$D$16+'Economic Assumptions'!$B17-1,IF(R$5&lt;='Project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S148" s="301">
        <f>IF('Economic Assumptions'!$H17="Landlord",IF(S$5&gt;'Project Assumptions'!$D$15+'Project Assumptions'!$D$16+'Economic Assumptions'!$B17-1,IF(S$5&lt;='Project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T148" s="301">
        <f>IF('Economic Assumptions'!$H17="Landlord",IF(T$5&gt;'Project Assumptions'!$D$15+'Project Assumptions'!$D$16+'Economic Assumptions'!$B17-1,IF(T$5&lt;='Project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U148" s="301">
        <f>IF('Economic Assumptions'!$H17="Landlord",IF(U$5&gt;'Project Assumptions'!$D$15+'Project Assumptions'!$D$16+'Economic Assumptions'!$B17-1,IF(U$5&lt;='Project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V148" s="301">
        <f>IF('Economic Assumptions'!$H17="Landlord",IF(V$5&gt;'Project Assumptions'!$D$15+'Project Assumptions'!$D$16+'Economic Assumptions'!$B17-1,IF(V$5&lt;='Project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W148" s="301">
        <f>IF('Economic Assumptions'!$H17="Landlord",IF(W$5&gt;'Project Assumptions'!$D$15+'Project Assumptions'!$D$16+'Economic Assumptions'!$B17-1,IF(W$5&lt;='Project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X148" s="301">
        <f>IF('Economic Assumptions'!$H17="Landlord",IF(X$5&gt;'Project Assumptions'!$D$15+'Project Assumptions'!$D$16+'Economic Assumptions'!$B17-1,IF(X$5&lt;='Project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Y148" s="301">
        <f>IF('Economic Assumptions'!$H17="Landlord",IF(Y$5&gt;'Project Assumptions'!$D$15+'Project Assumptions'!$D$16+'Economic Assumptions'!$B17-1,IF(Y$5&lt;='Project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Z148" s="301">
        <f>IF('Economic Assumptions'!$H17="Landlord",IF(Z$5&gt;'Project Assumptions'!$D$15+'Project Assumptions'!$D$16+'Economic Assumptions'!$B17-1,IF(Z$5&lt;='Project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A148" s="301">
        <f>IF('Economic Assumptions'!$H17="Landlord",IF(AA$5&gt;'Project Assumptions'!$D$15+'Project Assumptions'!$D$16+'Economic Assumptions'!$B17-1,IF(AA$5&lt;='Project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B148" s="301">
        <f>IF('Economic Assumptions'!$H17="Landlord",IF(AB$5&gt;'Project Assumptions'!$D$15+'Project Assumptions'!$D$16+'Economic Assumptions'!$B17-1,IF(AB$5&lt;='Project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C148" s="301">
        <f>IF('Economic Assumptions'!$H17="Landlord",IF(AC$5&gt;'Project Assumptions'!$D$15+'Project Assumptions'!$D$16+'Economic Assumptions'!$B17-1,IF(AC$5&lt;='Project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D148" s="301">
        <f>IF('Economic Assumptions'!$H17="Landlord",IF(AD$5&gt;'Project Assumptions'!$D$15+'Project Assumptions'!$D$16+'Economic Assumptions'!$B17-1,IF(AD$5&lt;='Project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E148" s="301">
        <f>IF('Economic Assumptions'!$H17="Landlord",IF(AE$5&gt;'Project Assumptions'!$D$15+'Project Assumptions'!$D$16+'Economic Assumptions'!$B17-1,IF(AE$5&lt;='Project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F148" s="301">
        <f>IF('Economic Assumptions'!$H17="Landlord",IF(AF$5&gt;'Project Assumptions'!$D$15+'Project Assumptions'!$D$16+'Economic Assumptions'!$B17-1,IF(AF$5&lt;='Project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G148" s="301">
        <f>IF('Economic Assumptions'!$H17="Landlord",IF(AG$5&gt;'Project Assumptions'!$D$15+'Project Assumptions'!$D$16+'Economic Assumptions'!$B17-1,IF(AG$5&lt;='Project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H148" s="301">
        <f>IF('Economic Assumptions'!$H17="Landlord",IF(AH$5&gt;'Project Assumptions'!$D$15+'Project Assumptions'!$D$16+'Economic Assumptions'!$B17-1,IF(AH$5&lt;='Project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I148" s="301">
        <f>IF('Economic Assumptions'!$H17="Landlord",IF(AI$5&gt;'Project Assumptions'!$D$15+'Project Assumptions'!$D$16+'Economic Assumptions'!$B17-1,IF(AI$5&lt;='Project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J148" s="301">
        <f>IF('Economic Assumptions'!$H17="Landlord",IF(AJ$5&gt;'Project Assumptions'!$D$15+'Project Assumptions'!$D$16+'Economic Assumptions'!$B17-1,IF(AJ$5&lt;='Project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K148" s="301">
        <f>IF('Economic Assumptions'!$H17="Landlord",IF(AK$5&gt;'Project Assumptions'!$D$15+'Project Assumptions'!$D$16+'Economic Assumptions'!$B17-1,IF(AK$5&lt;='Project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L148" s="301">
        <f>IF('Economic Assumptions'!$H17="Landlord",IF(AL$5&gt;'Project Assumptions'!$D$15+'Project Assumptions'!$D$16+'Economic Assumptions'!$B17-1,IF(AL$5&lt;='Project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M148" s="301">
        <f>IF('Economic Assumptions'!$H17="Landlord",IF(AM$5&gt;'Project Assumptions'!$D$15+'Project Assumptions'!$D$16+'Economic Assumptions'!$B17-1,IF(AM$5&lt;='Project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N148" s="301">
        <f>IF('Economic Assumptions'!$H17="Landlord",IF(AN$5&gt;'Project Assumptions'!$D$15+'Project Assumptions'!$D$16+'Economic Assumptions'!$B17-1,IF(AN$5&lt;='Project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O148" s="301">
        <f>IF('Economic Assumptions'!$H17="Landlord",IF(AO$5&gt;'Project Assumptions'!$D$15+'Project Assumptions'!$D$16+'Economic Assumptions'!$B17-1,IF(AO$5&lt;='Project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P148" s="301">
        <f>IF('Economic Assumptions'!$H17="Landlord",IF(AP$5&gt;'Project Assumptions'!$D$15+'Project Assumptions'!$D$16+'Economic Assumptions'!$B17-1,IF(AP$5&lt;='Project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Q148" s="301">
        <f>IF('Economic Assumptions'!$H17="Landlord",IF(AQ$5&gt;'Project Assumptions'!$D$15+'Project Assumptions'!$D$16+'Economic Assumptions'!$B17-1,IF(AQ$5&lt;='Project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R148" s="301">
        <f>IF('Economic Assumptions'!$H17="Landlord",IF(AR$5&gt;'Project Assumptions'!$D$15+'Project Assumptions'!$D$16+'Economic Assumptions'!$B17-1,IF(AR$5&lt;='Project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S148" s="301">
        <f>IF('Economic Assumptions'!$H17="Landlord",IF(AS$5&gt;'Project Assumptions'!$D$15+'Project Assumptions'!$D$16+'Economic Assumptions'!$B17-1,IF(AS$5&lt;='Project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T148" s="301">
        <f>IF('Economic Assumptions'!$H17="Landlord",IF(AT$5&gt;'Project Assumptions'!$D$15+'Project Assumptions'!$D$16+'Economic Assumptions'!$B17-1,IF(AT$5&lt;='Project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U148" s="301">
        <f>IF('Economic Assumptions'!$H17="Landlord",IF(AU$5&gt;'Project Assumptions'!$D$15+'Project Assumptions'!$D$16+'Economic Assumptions'!$B17-1,IF(AU$5&lt;='Project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V148" s="301">
        <f>IF('Economic Assumptions'!$H17="Landlord",IF(AV$5&gt;'Project Assumptions'!$D$15+'Project Assumptions'!$D$16+'Economic Assumptions'!$B17-1,IF(AV$5&lt;='Project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W148" s="301">
        <f>IF('Economic Assumptions'!$H17="Landlord",IF(AW$5&gt;'Project Assumptions'!$D$15+'Project Assumptions'!$D$16+'Economic Assumptions'!$B17-1,IF(AW$5&lt;='Project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X148" s="301">
        <f>IF('Economic Assumptions'!$H17="Landlord",IF(AX$5&gt;'Project Assumptions'!$D$15+'Project Assumptions'!$D$16+'Economic Assumptions'!$B17-1,IF(AX$5&lt;='Project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Y148" s="301">
        <f>IF('Economic Assumptions'!$H17="Landlord",IF(AY$5&gt;'Project Assumptions'!$D$15+'Project Assumptions'!$D$16+'Economic Assumptions'!$B17-1,IF(AY$5&lt;='Project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AZ148" s="301">
        <f>IF('Economic Assumptions'!$H17="Landlord",IF(AZ$5&gt;'Project Assumptions'!$D$15+'Project Assumptions'!$D$16+'Economic Assumptions'!$B17-1,IF(AZ$5&lt;='Project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A148" s="301">
        <f>IF('Economic Assumptions'!$H17="Landlord",IF(BA$5&gt;'Project Assumptions'!$D$15+'Project Assumptions'!$D$16+'Economic Assumptions'!$B17-1,IF(BA$5&lt;='Project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B148" s="301">
        <f>IF('Economic Assumptions'!$H17="Landlord",IF(BB$5&gt;'Project Assumptions'!$D$15+'Project Assumptions'!$D$16+'Economic Assumptions'!$B17-1,IF(BB$5&lt;='Project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C148" s="301">
        <f>IF('Economic Assumptions'!$H17="Landlord",IF(BC$5&gt;'Project Assumptions'!$D$15+'Project Assumptions'!$D$16+'Economic Assumptions'!$B17-1,IF(BC$5&lt;='Project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D148" s="301">
        <f>IF('Economic Assumptions'!$H17="Landlord",IF(BD$5&gt;'Project Assumptions'!$D$15+'Project Assumptions'!$D$16+'Economic Assumptions'!$B17-1,IF(BD$5&lt;='Project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E148" s="301">
        <f>IF('Economic Assumptions'!$H17="Landlord",IF(BE$5&gt;'Project Assumptions'!$D$15+'Project Assumptions'!$D$16+'Economic Assumptions'!$B17-1,IF(BE$5&lt;='Project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F148" s="301">
        <f>IF('Economic Assumptions'!$H17="Landlord",IF(BF$5&gt;'Project Assumptions'!$D$15+'Project Assumptions'!$D$16+'Economic Assumptions'!$B17-1,IF(BF$5&lt;='Project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G148" s="301">
        <f>IF('Economic Assumptions'!$H17="Landlord",IF(BG$5&gt;'Project Assumptions'!$D$15+'Project Assumptions'!$D$16+'Economic Assumptions'!$B17-1,IF(BG$5&lt;='Project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H148" s="301">
        <f>IF('Economic Assumptions'!$H17="Landlord",IF(BH$5&gt;'Project Assumptions'!$D$15+'Project Assumptions'!$D$16+'Economic Assumptions'!$B17-1,IF(BH$5&lt;='Project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I148" s="301">
        <f>IF('Economic Assumptions'!$H17="Landlord",IF(BI$5&gt;'Project Assumptions'!$D$15+'Project Assumptions'!$D$16+'Economic Assumptions'!$B17-1,IF(BI$5&lt;='Project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J148" s="301">
        <f>IF('Economic Assumptions'!$H17="Landlord",IF(BJ$5&gt;'Project Assumptions'!$D$15+'Project Assumptions'!$D$16+'Economic Assumptions'!$B17-1,IF(BJ$5&lt;='Project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K148" s="301">
        <f>IF('Economic Assumptions'!$H17="Landlord",IF(BK$5&gt;'Project Assumptions'!$D$15+'Project Assumptions'!$D$16+'Economic Assumptions'!$B17-1,IF(BK$5&lt;='Project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L148" s="301">
        <f>IF('Economic Assumptions'!$H17="Landlord",IF(BL$5&gt;'Project Assumptions'!$D$15+'Project Assumptions'!$D$16+'Economic Assumptions'!$B17-1,IF(BL$5&lt;='Project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M148" s="301">
        <f>IF('Economic Assumptions'!$H17="Landlord",IF(BM$5&gt;'Project Assumptions'!$D$15+'Project Assumptions'!$D$16+'Economic Assumptions'!$B17-1,IF(BM$5&lt;='Project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N148" s="301">
        <f>IF('Economic Assumptions'!$H17="Landlord",IF(BN$5&gt;'Project Assumptions'!$D$15+'Project Assumptions'!$D$16+'Economic Assumptions'!$B17-1,IF(BN$5&lt;='Project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O148" s="301">
        <f>IF('Economic Assumptions'!$H17="Landlord",IF(BO$5&gt;'Project Assumptions'!$D$15+'Project Assumptions'!$D$16+'Economic Assumptions'!$B17-1,IF(BO$5&lt;='Project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P148" s="301">
        <f>IF('Economic Assumptions'!$H17="Landlord",IF(BP$5&gt;'Project Assumptions'!$D$15+'Project Assumptions'!$D$16+'Economic Assumptions'!$B17-1,IF(BP$5&lt;='Project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Q148" s="301">
        <f>IF('Economic Assumptions'!$H17="Landlord",IF(BQ$5&gt;'Project Assumptions'!$D$15+'Project Assumptions'!$D$16+'Economic Assumptions'!$B17-1,IF(BQ$5&lt;='Project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R148" s="301">
        <f>IF('Economic Assumptions'!$H17="Landlord",IF(BR$5&gt;'Project Assumptions'!$D$15+'Project Assumptions'!$D$16+'Economic Assumptions'!$B17-1,IF(BR$5&lt;='Project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S148" s="301">
        <f>IF('Economic Assumptions'!$H17="Landlord",IF(BS$5&gt;'Project Assumptions'!$D$15+'Project Assumptions'!$D$16+'Economic Assumptions'!$B17-1,IF(BS$5&lt;='Project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T148" s="301">
        <f>IF('Economic Assumptions'!$H17="Landlord",IF(BT$5&gt;'Project Assumptions'!$D$15+'Project Assumptions'!$D$16+'Economic Assumptions'!$B17-1,IF(BT$5&lt;='Project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U148" s="301">
        <f>IF('Economic Assumptions'!$H17="Landlord",IF(BU$5&gt;'Project Assumptions'!$D$15+'Project Assumptions'!$D$16+'Economic Assumptions'!$B17-1,IF(BU$5&lt;='Project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V148" s="301">
        <f>IF('Economic Assumptions'!$H17="Landlord",IF(BV$5&gt;'Project Assumptions'!$D$15+'Project Assumptions'!$D$16+'Economic Assumptions'!$B17-1,IF(BV$5&lt;='Project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W148" s="301">
        <f>IF('Economic Assumptions'!$H17="Landlord",IF(BW$5&gt;'Project Assumptions'!$D$15+'Project Assumptions'!$D$16+'Economic Assumptions'!$B17-1,IF(BW$5&lt;='Project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X148" s="301">
        <f>IF('Economic Assumptions'!$H17="Landlord",IF(BX$5&gt;'Project Assumptions'!$D$15+'Project Assumptions'!$D$16+'Economic Assumptions'!$B17-1,IF(BX$5&lt;='Project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Y148" s="301">
        <f>IF('Economic Assumptions'!$H17="Landlord",IF(BY$5&gt;'Project Assumptions'!$D$15+'Project Assumptions'!$D$16+'Economic Assumptions'!$B17-1,IF(BY$5&lt;='Project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BZ148" s="301">
        <f>IF('Economic Assumptions'!$H17="Landlord",IF(BZ$5&gt;'Project Assumptions'!$D$15+'Project Assumptions'!$D$16+'Economic Assumptions'!$B17-1,IF(BZ$5&lt;='Project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A148" s="301">
        <f>IF('Economic Assumptions'!$H17="Landlord",IF(CA$5&gt;'Project Assumptions'!$D$15+'Project Assumptions'!$D$16+'Economic Assumptions'!$B17-1,IF(CA$5&lt;='Project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B148" s="301">
        <f>IF('Economic Assumptions'!$H17="Landlord",IF(CB$5&gt;'Project Assumptions'!$D$15+'Project Assumptions'!$D$16+'Economic Assumptions'!$B17-1,IF(CB$5&lt;='Project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C148" s="301">
        <f>IF('Economic Assumptions'!$H17="Landlord",IF(CC$5&gt;'Project Assumptions'!$D$15+'Project Assumptions'!$D$16+'Economic Assumptions'!$B17-1,IF(CC$5&lt;='Project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D148" s="301">
        <f>IF('Economic Assumptions'!$H17="Landlord",IF(CD$5&gt;'Project Assumptions'!$D$15+'Project Assumptions'!$D$16+'Economic Assumptions'!$B17-1,IF(CD$5&lt;='Project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E148" s="301">
        <f>IF('Economic Assumptions'!$H17="Landlord",IF(CE$5&gt;'Project Assumptions'!$D$15+'Project Assumptions'!$D$16+'Economic Assumptions'!$B17-1,IF(CE$5&lt;='Project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F148" s="301">
        <f>IF('Economic Assumptions'!$H17="Landlord",IF(CF$5&gt;'Project Assumptions'!$D$15+'Project Assumptions'!$D$16+'Economic Assumptions'!$B17-1,IF(CF$5&lt;='Project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G148" s="301">
        <f>IF('Economic Assumptions'!$H17="Landlord",IF(CG$5&gt;'Project Assumptions'!$D$15+'Project Assumptions'!$D$16+'Economic Assumptions'!$B17-1,IF(CG$5&lt;='Project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H148" s="301">
        <f>IF('Economic Assumptions'!$H17="Landlord",IF(CH$5&gt;'Project Assumptions'!$D$15+'Project Assumptions'!$D$16+'Economic Assumptions'!$B17-1,IF(CH$5&lt;='Project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I148" s="301">
        <f>IF('Economic Assumptions'!$H17="Landlord",IF(CI$5&gt;'Project Assumptions'!$D$15+'Project Assumptions'!$D$16+'Economic Assumptions'!$B17-1,IF(CI$5&lt;='Project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J148" s="301">
        <f>IF('Economic Assumptions'!$H17="Landlord",IF(CJ$5&gt;'Project Assumptions'!$D$15+'Project Assumptions'!$D$16+'Economic Assumptions'!$B17-1,IF(CJ$5&lt;='Project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K148" s="301">
        <f>IF('Economic Assumptions'!$H17="Landlord",IF(CK$5&gt;'Project Assumptions'!$D$15+'Project Assumptions'!$D$16+'Economic Assumptions'!$B17-1,IF(CK$5&lt;='Project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L148" s="301">
        <f>IF('Economic Assumptions'!$H17="Landlord",IF(CL$5&gt;'Project Assumptions'!$D$15+'Project Assumptions'!$D$16+'Economic Assumptions'!$B17-1,IF(CL$5&lt;='Project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M148" s="301">
        <f>IF('Economic Assumptions'!$H17="Landlord",IF(CM$5&gt;'Project Assumptions'!$D$15+'Project Assumptions'!$D$16+'Economic Assumptions'!$B17-1,IF(CM$5&lt;='Project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N148" s="301">
        <f>IF('Economic Assumptions'!$H17="Landlord",IF(CN$5&gt;'Project Assumptions'!$D$15+'Project Assumptions'!$D$16+'Economic Assumptions'!$B17-1,IF(CN$5&lt;='Project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O148" s="301">
        <f>IF('Economic Assumptions'!$H17="Landlord",IF(CO$5&gt;'Project Assumptions'!$D$15+'Project Assumptions'!$D$16+'Economic Assumptions'!$B17-1,IF(CO$5&lt;='Project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P148" s="301">
        <f>IF('Economic Assumptions'!$H17="Landlord",IF(CP$5&gt;'Project Assumptions'!$D$15+'Project Assumptions'!$D$16+'Economic Assumptions'!$B17-1,IF(CP$5&lt;='Project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Q148" s="301">
        <f>IF('Economic Assumptions'!$H17="Landlord",IF(CQ$5&gt;'Project Assumptions'!$D$15+'Project Assumptions'!$D$16+'Economic Assumptions'!$B17-1,IF(CQ$5&lt;='Project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R148" s="301">
        <f>IF('Economic Assumptions'!$H17="Landlord",IF(CR$5&gt;'Project Assumptions'!$D$15+'Project Assumptions'!$D$16+'Economic Assumptions'!$B17-1,IF(CR$5&lt;='Project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S148" s="301">
        <f>IF('Economic Assumptions'!$H17="Landlord",IF(CS$5&gt;'Project Assumptions'!$D$15+'Project Assumptions'!$D$16+'Economic Assumptions'!$B17-1,IF(CS$5&lt;='Project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T148" s="301">
        <f>IF('Economic Assumptions'!$H17="Landlord",IF(CT$5&gt;'Project Assumptions'!$D$15+'Project Assumptions'!$D$16+'Economic Assumptions'!$B17-1,IF(CT$5&lt;='Project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U148" s="301">
        <f>IF('Economic Assumptions'!$H17="Landlord",IF(CU$5&gt;'Project Assumptions'!$D$15+'Project Assumptions'!$D$16+'Economic Assumptions'!$B17-1,IF(CU$5&lt;='Project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V148" s="301">
        <f>IF('Economic Assumptions'!$H17="Landlord",IF(CV$5&gt;'Project Assumptions'!$D$15+'Project Assumptions'!$D$16+'Economic Assumptions'!$B17-1,IF(CV$5&lt;='Project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W148" s="301">
        <f>IF('Economic Assumptions'!$H17="Landlord",IF(CW$5&gt;'Project Assumptions'!$D$15+'Project Assumptions'!$D$16+'Economic Assumptions'!$B17-1,IF(CW$5&lt;='Project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X148" s="301">
        <f>IF('Economic Assumptions'!$H17="Landlord",IF(CX$5&gt;'Project Assumptions'!$D$15+'Project Assumptions'!$D$16+'Economic Assumptions'!$B17-1,IF(CX$5&lt;='Project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Y148" s="301">
        <f>IF('Economic Assumptions'!$H17="Landlord",IF(CY$5&gt;'Project Assumptions'!$D$15+'Project Assumptions'!$D$16+'Economic Assumptions'!$B17-1,IF(CY$5&lt;='Project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CZ148" s="301">
        <f>IF('Economic Assumptions'!$H17="Landlord",IF(CZ$5&gt;'Project Assumptions'!$D$15+'Project Assumptions'!$D$16+'Economic Assumptions'!$B17-1,IF(CZ$5&lt;='Project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DA148" s="301">
        <f>IF('Economic Assumptions'!$H17="Landlord",IF(DA$5&gt;'Project Assumptions'!$D$15+'Project Assumptions'!$D$16+'Economic Assumptions'!$B17-1,IF(DA$5&lt;='Project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DB148" s="301">
        <f>IF('Economic Assumptions'!$H17="Landlord",IF(DB$5&gt;'Project Assumptions'!$D$15+'Project Assumptions'!$D$16+'Economic Assumptions'!$B17-1,IF(DB$5&lt;='Project Assumptions'!$D$15+'Project Assumptions'!$D$16+'Economic Assumptions'!$B17+'Economic Assumptions'!$G17-1,IF('Economic Assumptions'!$E17=0,-'Economic Assumptions'!$G$32,-'Economic Assumptions'!$E17)*'Economic Assumptions'!$C17/12,0),0),0)</f>
        <v/>
      </c>
      <c r="DC148" s="301" t="n"/>
      <c r="DD148" s="299" t="n"/>
    </row>
    <row r="149" hidden="1" outlineLevel="1">
      <c r="A149" s="1000" t="n"/>
      <c r="B149" s="315" t="inlineStr">
        <is>
          <t>Lease #9</t>
        </is>
      </c>
      <c r="C149" s="294" t="n"/>
      <c r="D149" s="299">
        <f>DD149</f>
        <v/>
      </c>
      <c r="E149" s="300" t="n"/>
      <c r="F149" s="301" t="n"/>
      <c r="G149" s="301">
        <f>IF('Economic Assumptions'!$H18="Landlord",IF(G$5&gt;'Project Assumptions'!$D$15+'Project Assumptions'!$D$16+'Economic Assumptions'!$B18-1,IF(G$5&lt;='Project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H149" s="301">
        <f>IF('Economic Assumptions'!$H18="Landlord",IF(H$5&gt;'Project Assumptions'!$D$15+'Project Assumptions'!$D$16+'Economic Assumptions'!$B18-1,IF(H$5&lt;='Project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I149" s="301">
        <f>IF('Economic Assumptions'!$H18="Landlord",IF(I$5&gt;'Project Assumptions'!$D$15+'Project Assumptions'!$D$16+'Economic Assumptions'!$B18-1,IF(I$5&lt;='Project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J149" s="301">
        <f>IF('Economic Assumptions'!$H18="Landlord",IF(J$5&gt;'Project Assumptions'!$D$15+'Project Assumptions'!$D$16+'Economic Assumptions'!$B18-1,IF(J$5&lt;='Project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K149" s="301">
        <f>IF('Economic Assumptions'!$H18="Landlord",IF(K$5&gt;'Project Assumptions'!$D$15+'Project Assumptions'!$D$16+'Economic Assumptions'!$B18-1,IF(K$5&lt;='Project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L149" s="301">
        <f>IF('Economic Assumptions'!$H18="Landlord",IF(L$5&gt;'Project Assumptions'!$D$15+'Project Assumptions'!$D$16+'Economic Assumptions'!$B18-1,IF(L$5&lt;='Project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M149" s="301">
        <f>IF('Economic Assumptions'!$H18="Landlord",IF(M$5&gt;'Project Assumptions'!$D$15+'Project Assumptions'!$D$16+'Economic Assumptions'!$B18-1,IF(M$5&lt;='Project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N149" s="301">
        <f>IF('Economic Assumptions'!$H18="Landlord",IF(N$5&gt;'Project Assumptions'!$D$15+'Project Assumptions'!$D$16+'Economic Assumptions'!$B18-1,IF(N$5&lt;='Project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O149" s="301">
        <f>IF('Economic Assumptions'!$H18="Landlord",IF(O$5&gt;'Project Assumptions'!$D$15+'Project Assumptions'!$D$16+'Economic Assumptions'!$B18-1,IF(O$5&lt;='Project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P149" s="301">
        <f>IF('Economic Assumptions'!$H18="Landlord",IF(P$5&gt;'Project Assumptions'!$D$15+'Project Assumptions'!$D$16+'Economic Assumptions'!$B18-1,IF(P$5&lt;='Project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Q149" s="301">
        <f>IF('Economic Assumptions'!$H18="Landlord",IF(Q$5&gt;'Project Assumptions'!$D$15+'Project Assumptions'!$D$16+'Economic Assumptions'!$B18-1,IF(Q$5&lt;='Project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R149" s="301">
        <f>IF('Economic Assumptions'!$H18="Landlord",IF(R$5&gt;'Project Assumptions'!$D$15+'Project Assumptions'!$D$16+'Economic Assumptions'!$B18-1,IF(R$5&lt;='Project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S149" s="301">
        <f>IF('Economic Assumptions'!$H18="Landlord",IF(S$5&gt;'Project Assumptions'!$D$15+'Project Assumptions'!$D$16+'Economic Assumptions'!$B18-1,IF(S$5&lt;='Project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T149" s="301">
        <f>IF('Economic Assumptions'!$H18="Landlord",IF(T$5&gt;'Project Assumptions'!$D$15+'Project Assumptions'!$D$16+'Economic Assumptions'!$B18-1,IF(T$5&lt;='Project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U149" s="301">
        <f>IF('Economic Assumptions'!$H18="Landlord",IF(U$5&gt;'Project Assumptions'!$D$15+'Project Assumptions'!$D$16+'Economic Assumptions'!$B18-1,IF(U$5&lt;='Project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V149" s="301">
        <f>IF('Economic Assumptions'!$H18="Landlord",IF(V$5&gt;'Project Assumptions'!$D$15+'Project Assumptions'!$D$16+'Economic Assumptions'!$B18-1,IF(V$5&lt;='Project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W149" s="301">
        <f>IF('Economic Assumptions'!$H18="Landlord",IF(W$5&gt;'Project Assumptions'!$D$15+'Project Assumptions'!$D$16+'Economic Assumptions'!$B18-1,IF(W$5&lt;='Project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X149" s="301">
        <f>IF('Economic Assumptions'!$H18="Landlord",IF(X$5&gt;'Project Assumptions'!$D$15+'Project Assumptions'!$D$16+'Economic Assumptions'!$B18-1,IF(X$5&lt;='Project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Y149" s="301">
        <f>IF('Economic Assumptions'!$H18="Landlord",IF(Y$5&gt;'Project Assumptions'!$D$15+'Project Assumptions'!$D$16+'Economic Assumptions'!$B18-1,IF(Y$5&lt;='Project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Z149" s="301">
        <f>IF('Economic Assumptions'!$H18="Landlord",IF(Z$5&gt;'Project Assumptions'!$D$15+'Project Assumptions'!$D$16+'Economic Assumptions'!$B18-1,IF(Z$5&lt;='Project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A149" s="301">
        <f>IF('Economic Assumptions'!$H18="Landlord",IF(AA$5&gt;'Project Assumptions'!$D$15+'Project Assumptions'!$D$16+'Economic Assumptions'!$B18-1,IF(AA$5&lt;='Project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B149" s="301">
        <f>IF('Economic Assumptions'!$H18="Landlord",IF(AB$5&gt;'Project Assumptions'!$D$15+'Project Assumptions'!$D$16+'Economic Assumptions'!$B18-1,IF(AB$5&lt;='Project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C149" s="301">
        <f>IF('Economic Assumptions'!$H18="Landlord",IF(AC$5&gt;'Project Assumptions'!$D$15+'Project Assumptions'!$D$16+'Economic Assumptions'!$B18-1,IF(AC$5&lt;='Project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D149" s="301">
        <f>IF('Economic Assumptions'!$H18="Landlord",IF(AD$5&gt;'Project Assumptions'!$D$15+'Project Assumptions'!$D$16+'Economic Assumptions'!$B18-1,IF(AD$5&lt;='Project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E149" s="301">
        <f>IF('Economic Assumptions'!$H18="Landlord",IF(AE$5&gt;'Project Assumptions'!$D$15+'Project Assumptions'!$D$16+'Economic Assumptions'!$B18-1,IF(AE$5&lt;='Project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F149" s="301">
        <f>IF('Economic Assumptions'!$H18="Landlord",IF(AF$5&gt;'Project Assumptions'!$D$15+'Project Assumptions'!$D$16+'Economic Assumptions'!$B18-1,IF(AF$5&lt;='Project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G149" s="301">
        <f>IF('Economic Assumptions'!$H18="Landlord",IF(AG$5&gt;'Project Assumptions'!$D$15+'Project Assumptions'!$D$16+'Economic Assumptions'!$B18-1,IF(AG$5&lt;='Project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H149" s="301">
        <f>IF('Economic Assumptions'!$H18="Landlord",IF(AH$5&gt;'Project Assumptions'!$D$15+'Project Assumptions'!$D$16+'Economic Assumptions'!$B18-1,IF(AH$5&lt;='Project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I149" s="301">
        <f>IF('Economic Assumptions'!$H18="Landlord",IF(AI$5&gt;'Project Assumptions'!$D$15+'Project Assumptions'!$D$16+'Economic Assumptions'!$B18-1,IF(AI$5&lt;='Project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J149" s="301">
        <f>IF('Economic Assumptions'!$H18="Landlord",IF(AJ$5&gt;'Project Assumptions'!$D$15+'Project Assumptions'!$D$16+'Economic Assumptions'!$B18-1,IF(AJ$5&lt;='Project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K149" s="301">
        <f>IF('Economic Assumptions'!$H18="Landlord",IF(AK$5&gt;'Project Assumptions'!$D$15+'Project Assumptions'!$D$16+'Economic Assumptions'!$B18-1,IF(AK$5&lt;='Project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L149" s="301">
        <f>IF('Economic Assumptions'!$H18="Landlord",IF(AL$5&gt;'Project Assumptions'!$D$15+'Project Assumptions'!$D$16+'Economic Assumptions'!$B18-1,IF(AL$5&lt;='Project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M149" s="301">
        <f>IF('Economic Assumptions'!$H18="Landlord",IF(AM$5&gt;'Project Assumptions'!$D$15+'Project Assumptions'!$D$16+'Economic Assumptions'!$B18-1,IF(AM$5&lt;='Project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N149" s="301">
        <f>IF('Economic Assumptions'!$H18="Landlord",IF(AN$5&gt;'Project Assumptions'!$D$15+'Project Assumptions'!$D$16+'Economic Assumptions'!$B18-1,IF(AN$5&lt;='Project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O149" s="301">
        <f>IF('Economic Assumptions'!$H18="Landlord",IF(AO$5&gt;'Project Assumptions'!$D$15+'Project Assumptions'!$D$16+'Economic Assumptions'!$B18-1,IF(AO$5&lt;='Project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P149" s="301">
        <f>IF('Economic Assumptions'!$H18="Landlord",IF(AP$5&gt;'Project Assumptions'!$D$15+'Project Assumptions'!$D$16+'Economic Assumptions'!$B18-1,IF(AP$5&lt;='Project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Q149" s="301">
        <f>IF('Economic Assumptions'!$H18="Landlord",IF(AQ$5&gt;'Project Assumptions'!$D$15+'Project Assumptions'!$D$16+'Economic Assumptions'!$B18-1,IF(AQ$5&lt;='Project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R149" s="301">
        <f>IF('Economic Assumptions'!$H18="Landlord",IF(AR$5&gt;'Project Assumptions'!$D$15+'Project Assumptions'!$D$16+'Economic Assumptions'!$B18-1,IF(AR$5&lt;='Project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S149" s="301">
        <f>IF('Economic Assumptions'!$H18="Landlord",IF(AS$5&gt;'Project Assumptions'!$D$15+'Project Assumptions'!$D$16+'Economic Assumptions'!$B18-1,IF(AS$5&lt;='Project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T149" s="301">
        <f>IF('Economic Assumptions'!$H18="Landlord",IF(AT$5&gt;'Project Assumptions'!$D$15+'Project Assumptions'!$D$16+'Economic Assumptions'!$B18-1,IF(AT$5&lt;='Project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U149" s="301">
        <f>IF('Economic Assumptions'!$H18="Landlord",IF(AU$5&gt;'Project Assumptions'!$D$15+'Project Assumptions'!$D$16+'Economic Assumptions'!$B18-1,IF(AU$5&lt;='Project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V149" s="301">
        <f>IF('Economic Assumptions'!$H18="Landlord",IF(AV$5&gt;'Project Assumptions'!$D$15+'Project Assumptions'!$D$16+'Economic Assumptions'!$B18-1,IF(AV$5&lt;='Project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W149" s="301">
        <f>IF('Economic Assumptions'!$H18="Landlord",IF(AW$5&gt;'Project Assumptions'!$D$15+'Project Assumptions'!$D$16+'Economic Assumptions'!$B18-1,IF(AW$5&lt;='Project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X149" s="301">
        <f>IF('Economic Assumptions'!$H18="Landlord",IF(AX$5&gt;'Project Assumptions'!$D$15+'Project Assumptions'!$D$16+'Economic Assumptions'!$B18-1,IF(AX$5&lt;='Project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Y149" s="301">
        <f>IF('Economic Assumptions'!$H18="Landlord",IF(AY$5&gt;'Project Assumptions'!$D$15+'Project Assumptions'!$D$16+'Economic Assumptions'!$B18-1,IF(AY$5&lt;='Project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AZ149" s="301">
        <f>IF('Economic Assumptions'!$H18="Landlord",IF(AZ$5&gt;'Project Assumptions'!$D$15+'Project Assumptions'!$D$16+'Economic Assumptions'!$B18-1,IF(AZ$5&lt;='Project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A149" s="301">
        <f>IF('Economic Assumptions'!$H18="Landlord",IF(BA$5&gt;'Project Assumptions'!$D$15+'Project Assumptions'!$D$16+'Economic Assumptions'!$B18-1,IF(BA$5&lt;='Project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B149" s="301">
        <f>IF('Economic Assumptions'!$H18="Landlord",IF(BB$5&gt;'Project Assumptions'!$D$15+'Project Assumptions'!$D$16+'Economic Assumptions'!$B18-1,IF(BB$5&lt;='Project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C149" s="301">
        <f>IF('Economic Assumptions'!$H18="Landlord",IF(BC$5&gt;'Project Assumptions'!$D$15+'Project Assumptions'!$D$16+'Economic Assumptions'!$B18-1,IF(BC$5&lt;='Project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D149" s="301">
        <f>IF('Economic Assumptions'!$H18="Landlord",IF(BD$5&gt;'Project Assumptions'!$D$15+'Project Assumptions'!$D$16+'Economic Assumptions'!$B18-1,IF(BD$5&lt;='Project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E149" s="301">
        <f>IF('Economic Assumptions'!$H18="Landlord",IF(BE$5&gt;'Project Assumptions'!$D$15+'Project Assumptions'!$D$16+'Economic Assumptions'!$B18-1,IF(BE$5&lt;='Project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F149" s="301">
        <f>IF('Economic Assumptions'!$H18="Landlord",IF(BF$5&gt;'Project Assumptions'!$D$15+'Project Assumptions'!$D$16+'Economic Assumptions'!$B18-1,IF(BF$5&lt;='Project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G149" s="301">
        <f>IF('Economic Assumptions'!$H18="Landlord",IF(BG$5&gt;'Project Assumptions'!$D$15+'Project Assumptions'!$D$16+'Economic Assumptions'!$B18-1,IF(BG$5&lt;='Project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H149" s="301">
        <f>IF('Economic Assumptions'!$H18="Landlord",IF(BH$5&gt;'Project Assumptions'!$D$15+'Project Assumptions'!$D$16+'Economic Assumptions'!$B18-1,IF(BH$5&lt;='Project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I149" s="301">
        <f>IF('Economic Assumptions'!$H18="Landlord",IF(BI$5&gt;'Project Assumptions'!$D$15+'Project Assumptions'!$D$16+'Economic Assumptions'!$B18-1,IF(BI$5&lt;='Project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J149" s="301">
        <f>IF('Economic Assumptions'!$H18="Landlord",IF(BJ$5&gt;'Project Assumptions'!$D$15+'Project Assumptions'!$D$16+'Economic Assumptions'!$B18-1,IF(BJ$5&lt;='Project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K149" s="301">
        <f>IF('Economic Assumptions'!$H18="Landlord",IF(BK$5&gt;'Project Assumptions'!$D$15+'Project Assumptions'!$D$16+'Economic Assumptions'!$B18-1,IF(BK$5&lt;='Project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L149" s="301">
        <f>IF('Economic Assumptions'!$H18="Landlord",IF(BL$5&gt;'Project Assumptions'!$D$15+'Project Assumptions'!$D$16+'Economic Assumptions'!$B18-1,IF(BL$5&lt;='Project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M149" s="301">
        <f>IF('Economic Assumptions'!$H18="Landlord",IF(BM$5&gt;'Project Assumptions'!$D$15+'Project Assumptions'!$D$16+'Economic Assumptions'!$B18-1,IF(BM$5&lt;='Project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N149" s="301">
        <f>IF('Economic Assumptions'!$H18="Landlord",IF(BN$5&gt;'Project Assumptions'!$D$15+'Project Assumptions'!$D$16+'Economic Assumptions'!$B18-1,IF(BN$5&lt;='Project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O149" s="301">
        <f>IF('Economic Assumptions'!$H18="Landlord",IF(BO$5&gt;'Project Assumptions'!$D$15+'Project Assumptions'!$D$16+'Economic Assumptions'!$B18-1,IF(BO$5&lt;='Project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P149" s="301">
        <f>IF('Economic Assumptions'!$H18="Landlord",IF(BP$5&gt;'Project Assumptions'!$D$15+'Project Assumptions'!$D$16+'Economic Assumptions'!$B18-1,IF(BP$5&lt;='Project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Q149" s="301">
        <f>IF('Economic Assumptions'!$H18="Landlord",IF(BQ$5&gt;'Project Assumptions'!$D$15+'Project Assumptions'!$D$16+'Economic Assumptions'!$B18-1,IF(BQ$5&lt;='Project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R149" s="301">
        <f>IF('Economic Assumptions'!$H18="Landlord",IF(BR$5&gt;'Project Assumptions'!$D$15+'Project Assumptions'!$D$16+'Economic Assumptions'!$B18-1,IF(BR$5&lt;='Project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S149" s="301">
        <f>IF('Economic Assumptions'!$H18="Landlord",IF(BS$5&gt;'Project Assumptions'!$D$15+'Project Assumptions'!$D$16+'Economic Assumptions'!$B18-1,IF(BS$5&lt;='Project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T149" s="301">
        <f>IF('Economic Assumptions'!$H18="Landlord",IF(BT$5&gt;'Project Assumptions'!$D$15+'Project Assumptions'!$D$16+'Economic Assumptions'!$B18-1,IF(BT$5&lt;='Project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U149" s="301">
        <f>IF('Economic Assumptions'!$H18="Landlord",IF(BU$5&gt;'Project Assumptions'!$D$15+'Project Assumptions'!$D$16+'Economic Assumptions'!$B18-1,IF(BU$5&lt;='Project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V149" s="301">
        <f>IF('Economic Assumptions'!$H18="Landlord",IF(BV$5&gt;'Project Assumptions'!$D$15+'Project Assumptions'!$D$16+'Economic Assumptions'!$B18-1,IF(BV$5&lt;='Project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W149" s="301">
        <f>IF('Economic Assumptions'!$H18="Landlord",IF(BW$5&gt;'Project Assumptions'!$D$15+'Project Assumptions'!$D$16+'Economic Assumptions'!$B18-1,IF(BW$5&lt;='Project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X149" s="301">
        <f>IF('Economic Assumptions'!$H18="Landlord",IF(BX$5&gt;'Project Assumptions'!$D$15+'Project Assumptions'!$D$16+'Economic Assumptions'!$B18-1,IF(BX$5&lt;='Project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Y149" s="301">
        <f>IF('Economic Assumptions'!$H18="Landlord",IF(BY$5&gt;'Project Assumptions'!$D$15+'Project Assumptions'!$D$16+'Economic Assumptions'!$B18-1,IF(BY$5&lt;='Project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BZ149" s="301">
        <f>IF('Economic Assumptions'!$H18="Landlord",IF(BZ$5&gt;'Project Assumptions'!$D$15+'Project Assumptions'!$D$16+'Economic Assumptions'!$B18-1,IF(BZ$5&lt;='Project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A149" s="301">
        <f>IF('Economic Assumptions'!$H18="Landlord",IF(CA$5&gt;'Project Assumptions'!$D$15+'Project Assumptions'!$D$16+'Economic Assumptions'!$B18-1,IF(CA$5&lt;='Project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B149" s="301">
        <f>IF('Economic Assumptions'!$H18="Landlord",IF(CB$5&gt;'Project Assumptions'!$D$15+'Project Assumptions'!$D$16+'Economic Assumptions'!$B18-1,IF(CB$5&lt;='Project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C149" s="301">
        <f>IF('Economic Assumptions'!$H18="Landlord",IF(CC$5&gt;'Project Assumptions'!$D$15+'Project Assumptions'!$D$16+'Economic Assumptions'!$B18-1,IF(CC$5&lt;='Project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D149" s="301">
        <f>IF('Economic Assumptions'!$H18="Landlord",IF(CD$5&gt;'Project Assumptions'!$D$15+'Project Assumptions'!$D$16+'Economic Assumptions'!$B18-1,IF(CD$5&lt;='Project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E149" s="301">
        <f>IF('Economic Assumptions'!$H18="Landlord",IF(CE$5&gt;'Project Assumptions'!$D$15+'Project Assumptions'!$D$16+'Economic Assumptions'!$B18-1,IF(CE$5&lt;='Project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F149" s="301">
        <f>IF('Economic Assumptions'!$H18="Landlord",IF(CF$5&gt;'Project Assumptions'!$D$15+'Project Assumptions'!$D$16+'Economic Assumptions'!$B18-1,IF(CF$5&lt;='Project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G149" s="301">
        <f>IF('Economic Assumptions'!$H18="Landlord",IF(CG$5&gt;'Project Assumptions'!$D$15+'Project Assumptions'!$D$16+'Economic Assumptions'!$B18-1,IF(CG$5&lt;='Project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H149" s="301">
        <f>IF('Economic Assumptions'!$H18="Landlord",IF(CH$5&gt;'Project Assumptions'!$D$15+'Project Assumptions'!$D$16+'Economic Assumptions'!$B18-1,IF(CH$5&lt;='Project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I149" s="301">
        <f>IF('Economic Assumptions'!$H18="Landlord",IF(CI$5&gt;'Project Assumptions'!$D$15+'Project Assumptions'!$D$16+'Economic Assumptions'!$B18-1,IF(CI$5&lt;='Project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J149" s="301">
        <f>IF('Economic Assumptions'!$H18="Landlord",IF(CJ$5&gt;'Project Assumptions'!$D$15+'Project Assumptions'!$D$16+'Economic Assumptions'!$B18-1,IF(CJ$5&lt;='Project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K149" s="301">
        <f>IF('Economic Assumptions'!$H18="Landlord",IF(CK$5&gt;'Project Assumptions'!$D$15+'Project Assumptions'!$D$16+'Economic Assumptions'!$B18-1,IF(CK$5&lt;='Project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L149" s="301">
        <f>IF('Economic Assumptions'!$H18="Landlord",IF(CL$5&gt;'Project Assumptions'!$D$15+'Project Assumptions'!$D$16+'Economic Assumptions'!$B18-1,IF(CL$5&lt;='Project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M149" s="301">
        <f>IF('Economic Assumptions'!$H18="Landlord",IF(CM$5&gt;'Project Assumptions'!$D$15+'Project Assumptions'!$D$16+'Economic Assumptions'!$B18-1,IF(CM$5&lt;='Project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N149" s="301">
        <f>IF('Economic Assumptions'!$H18="Landlord",IF(CN$5&gt;'Project Assumptions'!$D$15+'Project Assumptions'!$D$16+'Economic Assumptions'!$B18-1,IF(CN$5&lt;='Project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O149" s="301">
        <f>IF('Economic Assumptions'!$H18="Landlord",IF(CO$5&gt;'Project Assumptions'!$D$15+'Project Assumptions'!$D$16+'Economic Assumptions'!$B18-1,IF(CO$5&lt;='Project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P149" s="301">
        <f>IF('Economic Assumptions'!$H18="Landlord",IF(CP$5&gt;'Project Assumptions'!$D$15+'Project Assumptions'!$D$16+'Economic Assumptions'!$B18-1,IF(CP$5&lt;='Project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Q149" s="301">
        <f>IF('Economic Assumptions'!$H18="Landlord",IF(CQ$5&gt;'Project Assumptions'!$D$15+'Project Assumptions'!$D$16+'Economic Assumptions'!$B18-1,IF(CQ$5&lt;='Project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R149" s="301">
        <f>IF('Economic Assumptions'!$H18="Landlord",IF(CR$5&gt;'Project Assumptions'!$D$15+'Project Assumptions'!$D$16+'Economic Assumptions'!$B18-1,IF(CR$5&lt;='Project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S149" s="301">
        <f>IF('Economic Assumptions'!$H18="Landlord",IF(CS$5&gt;'Project Assumptions'!$D$15+'Project Assumptions'!$D$16+'Economic Assumptions'!$B18-1,IF(CS$5&lt;='Project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T149" s="301">
        <f>IF('Economic Assumptions'!$H18="Landlord",IF(CT$5&gt;'Project Assumptions'!$D$15+'Project Assumptions'!$D$16+'Economic Assumptions'!$B18-1,IF(CT$5&lt;='Project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U149" s="301">
        <f>IF('Economic Assumptions'!$H18="Landlord",IF(CU$5&gt;'Project Assumptions'!$D$15+'Project Assumptions'!$D$16+'Economic Assumptions'!$B18-1,IF(CU$5&lt;='Project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V149" s="301">
        <f>IF('Economic Assumptions'!$H18="Landlord",IF(CV$5&gt;'Project Assumptions'!$D$15+'Project Assumptions'!$D$16+'Economic Assumptions'!$B18-1,IF(CV$5&lt;='Project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W149" s="301">
        <f>IF('Economic Assumptions'!$H18="Landlord",IF(CW$5&gt;'Project Assumptions'!$D$15+'Project Assumptions'!$D$16+'Economic Assumptions'!$B18-1,IF(CW$5&lt;='Project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X149" s="301">
        <f>IF('Economic Assumptions'!$H18="Landlord",IF(CX$5&gt;'Project Assumptions'!$D$15+'Project Assumptions'!$D$16+'Economic Assumptions'!$B18-1,IF(CX$5&lt;='Project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Y149" s="301">
        <f>IF('Economic Assumptions'!$H18="Landlord",IF(CY$5&gt;'Project Assumptions'!$D$15+'Project Assumptions'!$D$16+'Economic Assumptions'!$B18-1,IF(CY$5&lt;='Project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CZ149" s="301">
        <f>IF('Economic Assumptions'!$H18="Landlord",IF(CZ$5&gt;'Project Assumptions'!$D$15+'Project Assumptions'!$D$16+'Economic Assumptions'!$B18-1,IF(CZ$5&lt;='Project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DA149" s="301">
        <f>IF('Economic Assumptions'!$H18="Landlord",IF(DA$5&gt;'Project Assumptions'!$D$15+'Project Assumptions'!$D$16+'Economic Assumptions'!$B18-1,IF(DA$5&lt;='Project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DB149" s="301">
        <f>IF('Economic Assumptions'!$H18="Landlord",IF(DB$5&gt;'Project Assumptions'!$D$15+'Project Assumptions'!$D$16+'Economic Assumptions'!$B18-1,IF(DB$5&lt;='Project Assumptions'!$D$15+'Project Assumptions'!$D$16+'Economic Assumptions'!$B18+'Economic Assumptions'!$G18-1,IF('Economic Assumptions'!$E18=0,-'Economic Assumptions'!$G$32,-'Economic Assumptions'!$E18)*'Economic Assumptions'!$C18/12,0),0),0)</f>
        <v/>
      </c>
      <c r="DC149" s="301" t="n"/>
      <c r="DD149" s="299" t="n"/>
    </row>
    <row r="150" hidden="1" outlineLevel="1">
      <c r="A150" s="1000" t="n"/>
      <c r="B150" s="315" t="inlineStr">
        <is>
          <t>Lease #10</t>
        </is>
      </c>
      <c r="C150" s="294" t="n"/>
      <c r="D150" s="299">
        <f>DD150</f>
        <v/>
      </c>
      <c r="E150" s="300" t="n"/>
      <c r="F150" s="301" t="n"/>
      <c r="G150" s="301">
        <f>IF('Economic Assumptions'!$H19="Landlord",IF(G$5&gt;'Project Assumptions'!$D$15+'Project Assumptions'!$D$16+'Economic Assumptions'!$B19-1,IF(G$5&lt;='Project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H150" s="301">
        <f>IF('Economic Assumptions'!$H19="Landlord",IF(H$5&gt;'Project Assumptions'!$D$15+'Project Assumptions'!$D$16+'Economic Assumptions'!$B19-1,IF(H$5&lt;='Project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I150" s="301">
        <f>IF('Economic Assumptions'!$H19="Landlord",IF(I$5&gt;'Project Assumptions'!$D$15+'Project Assumptions'!$D$16+'Economic Assumptions'!$B19-1,IF(I$5&lt;='Project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J150" s="301">
        <f>IF('Economic Assumptions'!$H19="Landlord",IF(J$5&gt;'Project Assumptions'!$D$15+'Project Assumptions'!$D$16+'Economic Assumptions'!$B19-1,IF(J$5&lt;='Project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K150" s="301">
        <f>IF('Economic Assumptions'!$H19="Landlord",IF(K$5&gt;'Project Assumptions'!$D$15+'Project Assumptions'!$D$16+'Economic Assumptions'!$B19-1,IF(K$5&lt;='Project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L150" s="301">
        <f>IF('Economic Assumptions'!$H19="Landlord",IF(L$5&gt;'Project Assumptions'!$D$15+'Project Assumptions'!$D$16+'Economic Assumptions'!$B19-1,IF(L$5&lt;='Project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M150" s="301">
        <f>IF('Economic Assumptions'!$H19="Landlord",IF(M$5&gt;'Project Assumptions'!$D$15+'Project Assumptions'!$D$16+'Economic Assumptions'!$B19-1,IF(M$5&lt;='Project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N150" s="301">
        <f>IF('Economic Assumptions'!$H19="Landlord",IF(N$5&gt;'Project Assumptions'!$D$15+'Project Assumptions'!$D$16+'Economic Assumptions'!$B19-1,IF(N$5&lt;='Project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O150" s="301">
        <f>IF('Economic Assumptions'!$H19="Landlord",IF(O$5&gt;'Project Assumptions'!$D$15+'Project Assumptions'!$D$16+'Economic Assumptions'!$B19-1,IF(O$5&lt;='Project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P150" s="301">
        <f>IF('Economic Assumptions'!$H19="Landlord",IF(P$5&gt;'Project Assumptions'!$D$15+'Project Assumptions'!$D$16+'Economic Assumptions'!$B19-1,IF(P$5&lt;='Project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Q150" s="301">
        <f>IF('Economic Assumptions'!$H19="Landlord",IF(Q$5&gt;'Project Assumptions'!$D$15+'Project Assumptions'!$D$16+'Economic Assumptions'!$B19-1,IF(Q$5&lt;='Project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R150" s="301">
        <f>IF('Economic Assumptions'!$H19="Landlord",IF(R$5&gt;'Project Assumptions'!$D$15+'Project Assumptions'!$D$16+'Economic Assumptions'!$B19-1,IF(R$5&lt;='Project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S150" s="301">
        <f>IF('Economic Assumptions'!$H19="Landlord",IF(S$5&gt;'Project Assumptions'!$D$15+'Project Assumptions'!$D$16+'Economic Assumptions'!$B19-1,IF(S$5&lt;='Project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T150" s="301">
        <f>IF('Economic Assumptions'!$H19="Landlord",IF(T$5&gt;'Project Assumptions'!$D$15+'Project Assumptions'!$D$16+'Economic Assumptions'!$B19-1,IF(T$5&lt;='Project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U150" s="301">
        <f>IF('Economic Assumptions'!$H19="Landlord",IF(U$5&gt;'Project Assumptions'!$D$15+'Project Assumptions'!$D$16+'Economic Assumptions'!$B19-1,IF(U$5&lt;='Project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V150" s="301">
        <f>IF('Economic Assumptions'!$H19="Landlord",IF(V$5&gt;'Project Assumptions'!$D$15+'Project Assumptions'!$D$16+'Economic Assumptions'!$B19-1,IF(V$5&lt;='Project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W150" s="301">
        <f>IF('Economic Assumptions'!$H19="Landlord",IF(W$5&gt;'Project Assumptions'!$D$15+'Project Assumptions'!$D$16+'Economic Assumptions'!$B19-1,IF(W$5&lt;='Project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X150" s="301">
        <f>IF('Economic Assumptions'!$H19="Landlord",IF(X$5&gt;'Project Assumptions'!$D$15+'Project Assumptions'!$D$16+'Economic Assumptions'!$B19-1,IF(X$5&lt;='Project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Y150" s="301">
        <f>IF('Economic Assumptions'!$H19="Landlord",IF(Y$5&gt;'Project Assumptions'!$D$15+'Project Assumptions'!$D$16+'Economic Assumptions'!$B19-1,IF(Y$5&lt;='Project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Z150" s="301">
        <f>IF('Economic Assumptions'!$H19="Landlord",IF(Z$5&gt;'Project Assumptions'!$D$15+'Project Assumptions'!$D$16+'Economic Assumptions'!$B19-1,IF(Z$5&lt;='Project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A150" s="301">
        <f>IF('Economic Assumptions'!$H19="Landlord",IF(AA$5&gt;'Project Assumptions'!$D$15+'Project Assumptions'!$D$16+'Economic Assumptions'!$B19-1,IF(AA$5&lt;='Project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B150" s="301">
        <f>IF('Economic Assumptions'!$H19="Landlord",IF(AB$5&gt;'Project Assumptions'!$D$15+'Project Assumptions'!$D$16+'Economic Assumptions'!$B19-1,IF(AB$5&lt;='Project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C150" s="301">
        <f>IF('Economic Assumptions'!$H19="Landlord",IF(AC$5&gt;'Project Assumptions'!$D$15+'Project Assumptions'!$D$16+'Economic Assumptions'!$B19-1,IF(AC$5&lt;='Project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D150" s="301">
        <f>IF('Economic Assumptions'!$H19="Landlord",IF(AD$5&gt;'Project Assumptions'!$D$15+'Project Assumptions'!$D$16+'Economic Assumptions'!$B19-1,IF(AD$5&lt;='Project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E150" s="301">
        <f>IF('Economic Assumptions'!$H19="Landlord",IF(AE$5&gt;'Project Assumptions'!$D$15+'Project Assumptions'!$D$16+'Economic Assumptions'!$B19-1,IF(AE$5&lt;='Project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F150" s="301">
        <f>IF('Economic Assumptions'!$H19="Landlord",IF(AF$5&gt;'Project Assumptions'!$D$15+'Project Assumptions'!$D$16+'Economic Assumptions'!$B19-1,IF(AF$5&lt;='Project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G150" s="301">
        <f>IF('Economic Assumptions'!$H19="Landlord",IF(AG$5&gt;'Project Assumptions'!$D$15+'Project Assumptions'!$D$16+'Economic Assumptions'!$B19-1,IF(AG$5&lt;='Project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H150" s="301">
        <f>IF('Economic Assumptions'!$H19="Landlord",IF(AH$5&gt;'Project Assumptions'!$D$15+'Project Assumptions'!$D$16+'Economic Assumptions'!$B19-1,IF(AH$5&lt;='Project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I150" s="301">
        <f>IF('Economic Assumptions'!$H19="Landlord",IF(AI$5&gt;'Project Assumptions'!$D$15+'Project Assumptions'!$D$16+'Economic Assumptions'!$B19-1,IF(AI$5&lt;='Project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J150" s="301">
        <f>IF('Economic Assumptions'!$H19="Landlord",IF(AJ$5&gt;'Project Assumptions'!$D$15+'Project Assumptions'!$D$16+'Economic Assumptions'!$B19-1,IF(AJ$5&lt;='Project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K150" s="301">
        <f>IF('Economic Assumptions'!$H19="Landlord",IF(AK$5&gt;'Project Assumptions'!$D$15+'Project Assumptions'!$D$16+'Economic Assumptions'!$B19-1,IF(AK$5&lt;='Project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L150" s="301">
        <f>IF('Economic Assumptions'!$H19="Landlord",IF(AL$5&gt;'Project Assumptions'!$D$15+'Project Assumptions'!$D$16+'Economic Assumptions'!$B19-1,IF(AL$5&lt;='Project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M150" s="301">
        <f>IF('Economic Assumptions'!$H19="Landlord",IF(AM$5&gt;'Project Assumptions'!$D$15+'Project Assumptions'!$D$16+'Economic Assumptions'!$B19-1,IF(AM$5&lt;='Project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N150" s="301">
        <f>IF('Economic Assumptions'!$H19="Landlord",IF(AN$5&gt;'Project Assumptions'!$D$15+'Project Assumptions'!$D$16+'Economic Assumptions'!$B19-1,IF(AN$5&lt;='Project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O150" s="301">
        <f>IF('Economic Assumptions'!$H19="Landlord",IF(AO$5&gt;'Project Assumptions'!$D$15+'Project Assumptions'!$D$16+'Economic Assumptions'!$B19-1,IF(AO$5&lt;='Project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P150" s="301">
        <f>IF('Economic Assumptions'!$H19="Landlord",IF(AP$5&gt;'Project Assumptions'!$D$15+'Project Assumptions'!$D$16+'Economic Assumptions'!$B19-1,IF(AP$5&lt;='Project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Q150" s="301">
        <f>IF('Economic Assumptions'!$H19="Landlord",IF(AQ$5&gt;'Project Assumptions'!$D$15+'Project Assumptions'!$D$16+'Economic Assumptions'!$B19-1,IF(AQ$5&lt;='Project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R150" s="301">
        <f>IF('Economic Assumptions'!$H19="Landlord",IF(AR$5&gt;'Project Assumptions'!$D$15+'Project Assumptions'!$D$16+'Economic Assumptions'!$B19-1,IF(AR$5&lt;='Project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S150" s="301">
        <f>IF('Economic Assumptions'!$H19="Landlord",IF(AS$5&gt;'Project Assumptions'!$D$15+'Project Assumptions'!$D$16+'Economic Assumptions'!$B19-1,IF(AS$5&lt;='Project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T150" s="301">
        <f>IF('Economic Assumptions'!$H19="Landlord",IF(AT$5&gt;'Project Assumptions'!$D$15+'Project Assumptions'!$D$16+'Economic Assumptions'!$B19-1,IF(AT$5&lt;='Project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U150" s="301">
        <f>IF('Economic Assumptions'!$H19="Landlord",IF(AU$5&gt;'Project Assumptions'!$D$15+'Project Assumptions'!$D$16+'Economic Assumptions'!$B19-1,IF(AU$5&lt;='Project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V150" s="301">
        <f>IF('Economic Assumptions'!$H19="Landlord",IF(AV$5&gt;'Project Assumptions'!$D$15+'Project Assumptions'!$D$16+'Economic Assumptions'!$B19-1,IF(AV$5&lt;='Project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W150" s="301">
        <f>IF('Economic Assumptions'!$H19="Landlord",IF(AW$5&gt;'Project Assumptions'!$D$15+'Project Assumptions'!$D$16+'Economic Assumptions'!$B19-1,IF(AW$5&lt;='Project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X150" s="301">
        <f>IF('Economic Assumptions'!$H19="Landlord",IF(AX$5&gt;'Project Assumptions'!$D$15+'Project Assumptions'!$D$16+'Economic Assumptions'!$B19-1,IF(AX$5&lt;='Project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Y150" s="301">
        <f>IF('Economic Assumptions'!$H19="Landlord",IF(AY$5&gt;'Project Assumptions'!$D$15+'Project Assumptions'!$D$16+'Economic Assumptions'!$B19-1,IF(AY$5&lt;='Project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AZ150" s="301">
        <f>IF('Economic Assumptions'!$H19="Landlord",IF(AZ$5&gt;'Project Assumptions'!$D$15+'Project Assumptions'!$D$16+'Economic Assumptions'!$B19-1,IF(AZ$5&lt;='Project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A150" s="301">
        <f>IF('Economic Assumptions'!$H19="Landlord",IF(BA$5&gt;'Project Assumptions'!$D$15+'Project Assumptions'!$D$16+'Economic Assumptions'!$B19-1,IF(BA$5&lt;='Project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B150" s="301">
        <f>IF('Economic Assumptions'!$H19="Landlord",IF(BB$5&gt;'Project Assumptions'!$D$15+'Project Assumptions'!$D$16+'Economic Assumptions'!$B19-1,IF(BB$5&lt;='Project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C150" s="301">
        <f>IF('Economic Assumptions'!$H19="Landlord",IF(BC$5&gt;'Project Assumptions'!$D$15+'Project Assumptions'!$D$16+'Economic Assumptions'!$B19-1,IF(BC$5&lt;='Project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D150" s="301">
        <f>IF('Economic Assumptions'!$H19="Landlord",IF(BD$5&gt;'Project Assumptions'!$D$15+'Project Assumptions'!$D$16+'Economic Assumptions'!$B19-1,IF(BD$5&lt;='Project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E150" s="301">
        <f>IF('Economic Assumptions'!$H19="Landlord",IF(BE$5&gt;'Project Assumptions'!$D$15+'Project Assumptions'!$D$16+'Economic Assumptions'!$B19-1,IF(BE$5&lt;='Project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F150" s="301">
        <f>IF('Economic Assumptions'!$H19="Landlord",IF(BF$5&gt;'Project Assumptions'!$D$15+'Project Assumptions'!$D$16+'Economic Assumptions'!$B19-1,IF(BF$5&lt;='Project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G150" s="301">
        <f>IF('Economic Assumptions'!$H19="Landlord",IF(BG$5&gt;'Project Assumptions'!$D$15+'Project Assumptions'!$D$16+'Economic Assumptions'!$B19-1,IF(BG$5&lt;='Project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H150" s="301">
        <f>IF('Economic Assumptions'!$H19="Landlord",IF(BH$5&gt;'Project Assumptions'!$D$15+'Project Assumptions'!$D$16+'Economic Assumptions'!$B19-1,IF(BH$5&lt;='Project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I150" s="301">
        <f>IF('Economic Assumptions'!$H19="Landlord",IF(BI$5&gt;'Project Assumptions'!$D$15+'Project Assumptions'!$D$16+'Economic Assumptions'!$B19-1,IF(BI$5&lt;='Project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J150" s="301">
        <f>IF('Economic Assumptions'!$H19="Landlord",IF(BJ$5&gt;'Project Assumptions'!$D$15+'Project Assumptions'!$D$16+'Economic Assumptions'!$B19-1,IF(BJ$5&lt;='Project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K150" s="301">
        <f>IF('Economic Assumptions'!$H19="Landlord",IF(BK$5&gt;'Project Assumptions'!$D$15+'Project Assumptions'!$D$16+'Economic Assumptions'!$B19-1,IF(BK$5&lt;='Project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L150" s="301">
        <f>IF('Economic Assumptions'!$H19="Landlord",IF(BL$5&gt;'Project Assumptions'!$D$15+'Project Assumptions'!$D$16+'Economic Assumptions'!$B19-1,IF(BL$5&lt;='Project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M150" s="301">
        <f>IF('Economic Assumptions'!$H19="Landlord",IF(BM$5&gt;'Project Assumptions'!$D$15+'Project Assumptions'!$D$16+'Economic Assumptions'!$B19-1,IF(BM$5&lt;='Project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N150" s="301">
        <f>IF('Economic Assumptions'!$H19="Landlord",IF(BN$5&gt;'Project Assumptions'!$D$15+'Project Assumptions'!$D$16+'Economic Assumptions'!$B19-1,IF(BN$5&lt;='Project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O150" s="301">
        <f>IF('Economic Assumptions'!$H19="Landlord",IF(BO$5&gt;'Project Assumptions'!$D$15+'Project Assumptions'!$D$16+'Economic Assumptions'!$B19-1,IF(BO$5&lt;='Project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P150" s="301">
        <f>IF('Economic Assumptions'!$H19="Landlord",IF(BP$5&gt;'Project Assumptions'!$D$15+'Project Assumptions'!$D$16+'Economic Assumptions'!$B19-1,IF(BP$5&lt;='Project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Q150" s="301">
        <f>IF('Economic Assumptions'!$H19="Landlord",IF(BQ$5&gt;'Project Assumptions'!$D$15+'Project Assumptions'!$D$16+'Economic Assumptions'!$B19-1,IF(BQ$5&lt;='Project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R150" s="301">
        <f>IF('Economic Assumptions'!$H19="Landlord",IF(BR$5&gt;'Project Assumptions'!$D$15+'Project Assumptions'!$D$16+'Economic Assumptions'!$B19-1,IF(BR$5&lt;='Project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S150" s="301">
        <f>IF('Economic Assumptions'!$H19="Landlord",IF(BS$5&gt;'Project Assumptions'!$D$15+'Project Assumptions'!$D$16+'Economic Assumptions'!$B19-1,IF(BS$5&lt;='Project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T150" s="301">
        <f>IF('Economic Assumptions'!$H19="Landlord",IF(BT$5&gt;'Project Assumptions'!$D$15+'Project Assumptions'!$D$16+'Economic Assumptions'!$B19-1,IF(BT$5&lt;='Project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U150" s="301">
        <f>IF('Economic Assumptions'!$H19="Landlord",IF(BU$5&gt;'Project Assumptions'!$D$15+'Project Assumptions'!$D$16+'Economic Assumptions'!$B19-1,IF(BU$5&lt;='Project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V150" s="301">
        <f>IF('Economic Assumptions'!$H19="Landlord",IF(BV$5&gt;'Project Assumptions'!$D$15+'Project Assumptions'!$D$16+'Economic Assumptions'!$B19-1,IF(BV$5&lt;='Project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W150" s="301">
        <f>IF('Economic Assumptions'!$H19="Landlord",IF(BW$5&gt;'Project Assumptions'!$D$15+'Project Assumptions'!$D$16+'Economic Assumptions'!$B19-1,IF(BW$5&lt;='Project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X150" s="301">
        <f>IF('Economic Assumptions'!$H19="Landlord",IF(BX$5&gt;'Project Assumptions'!$D$15+'Project Assumptions'!$D$16+'Economic Assumptions'!$B19-1,IF(BX$5&lt;='Project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Y150" s="301">
        <f>IF('Economic Assumptions'!$H19="Landlord",IF(BY$5&gt;'Project Assumptions'!$D$15+'Project Assumptions'!$D$16+'Economic Assumptions'!$B19-1,IF(BY$5&lt;='Project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BZ150" s="301">
        <f>IF('Economic Assumptions'!$H19="Landlord",IF(BZ$5&gt;'Project Assumptions'!$D$15+'Project Assumptions'!$D$16+'Economic Assumptions'!$B19-1,IF(BZ$5&lt;='Project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A150" s="301">
        <f>IF('Economic Assumptions'!$H19="Landlord",IF(CA$5&gt;'Project Assumptions'!$D$15+'Project Assumptions'!$D$16+'Economic Assumptions'!$B19-1,IF(CA$5&lt;='Project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B150" s="301">
        <f>IF('Economic Assumptions'!$H19="Landlord",IF(CB$5&gt;'Project Assumptions'!$D$15+'Project Assumptions'!$D$16+'Economic Assumptions'!$B19-1,IF(CB$5&lt;='Project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C150" s="301">
        <f>IF('Economic Assumptions'!$H19="Landlord",IF(CC$5&gt;'Project Assumptions'!$D$15+'Project Assumptions'!$D$16+'Economic Assumptions'!$B19-1,IF(CC$5&lt;='Project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D150" s="301">
        <f>IF('Economic Assumptions'!$H19="Landlord",IF(CD$5&gt;'Project Assumptions'!$D$15+'Project Assumptions'!$D$16+'Economic Assumptions'!$B19-1,IF(CD$5&lt;='Project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E150" s="301">
        <f>IF('Economic Assumptions'!$H19="Landlord",IF(CE$5&gt;'Project Assumptions'!$D$15+'Project Assumptions'!$D$16+'Economic Assumptions'!$B19-1,IF(CE$5&lt;='Project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F150" s="301">
        <f>IF('Economic Assumptions'!$H19="Landlord",IF(CF$5&gt;'Project Assumptions'!$D$15+'Project Assumptions'!$D$16+'Economic Assumptions'!$B19-1,IF(CF$5&lt;='Project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G150" s="301">
        <f>IF('Economic Assumptions'!$H19="Landlord",IF(CG$5&gt;'Project Assumptions'!$D$15+'Project Assumptions'!$D$16+'Economic Assumptions'!$B19-1,IF(CG$5&lt;='Project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H150" s="301">
        <f>IF('Economic Assumptions'!$H19="Landlord",IF(CH$5&gt;'Project Assumptions'!$D$15+'Project Assumptions'!$D$16+'Economic Assumptions'!$B19-1,IF(CH$5&lt;='Project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I150" s="301">
        <f>IF('Economic Assumptions'!$H19="Landlord",IF(CI$5&gt;'Project Assumptions'!$D$15+'Project Assumptions'!$D$16+'Economic Assumptions'!$B19-1,IF(CI$5&lt;='Project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J150" s="301">
        <f>IF('Economic Assumptions'!$H19="Landlord",IF(CJ$5&gt;'Project Assumptions'!$D$15+'Project Assumptions'!$D$16+'Economic Assumptions'!$B19-1,IF(CJ$5&lt;='Project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K150" s="301">
        <f>IF('Economic Assumptions'!$H19="Landlord",IF(CK$5&gt;'Project Assumptions'!$D$15+'Project Assumptions'!$D$16+'Economic Assumptions'!$B19-1,IF(CK$5&lt;='Project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L150" s="301">
        <f>IF('Economic Assumptions'!$H19="Landlord",IF(CL$5&gt;'Project Assumptions'!$D$15+'Project Assumptions'!$D$16+'Economic Assumptions'!$B19-1,IF(CL$5&lt;='Project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M150" s="301">
        <f>IF('Economic Assumptions'!$H19="Landlord",IF(CM$5&gt;'Project Assumptions'!$D$15+'Project Assumptions'!$D$16+'Economic Assumptions'!$B19-1,IF(CM$5&lt;='Project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N150" s="301">
        <f>IF('Economic Assumptions'!$H19="Landlord",IF(CN$5&gt;'Project Assumptions'!$D$15+'Project Assumptions'!$D$16+'Economic Assumptions'!$B19-1,IF(CN$5&lt;='Project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O150" s="301">
        <f>IF('Economic Assumptions'!$H19="Landlord",IF(CO$5&gt;'Project Assumptions'!$D$15+'Project Assumptions'!$D$16+'Economic Assumptions'!$B19-1,IF(CO$5&lt;='Project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P150" s="301">
        <f>IF('Economic Assumptions'!$H19="Landlord",IF(CP$5&gt;'Project Assumptions'!$D$15+'Project Assumptions'!$D$16+'Economic Assumptions'!$B19-1,IF(CP$5&lt;='Project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Q150" s="301">
        <f>IF('Economic Assumptions'!$H19="Landlord",IF(CQ$5&gt;'Project Assumptions'!$D$15+'Project Assumptions'!$D$16+'Economic Assumptions'!$B19-1,IF(CQ$5&lt;='Project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R150" s="301">
        <f>IF('Economic Assumptions'!$H19="Landlord",IF(CR$5&gt;'Project Assumptions'!$D$15+'Project Assumptions'!$D$16+'Economic Assumptions'!$B19-1,IF(CR$5&lt;='Project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S150" s="301">
        <f>IF('Economic Assumptions'!$H19="Landlord",IF(CS$5&gt;'Project Assumptions'!$D$15+'Project Assumptions'!$D$16+'Economic Assumptions'!$B19-1,IF(CS$5&lt;='Project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T150" s="301">
        <f>IF('Economic Assumptions'!$H19="Landlord",IF(CT$5&gt;'Project Assumptions'!$D$15+'Project Assumptions'!$D$16+'Economic Assumptions'!$B19-1,IF(CT$5&lt;='Project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U150" s="301">
        <f>IF('Economic Assumptions'!$H19="Landlord",IF(CU$5&gt;'Project Assumptions'!$D$15+'Project Assumptions'!$D$16+'Economic Assumptions'!$B19-1,IF(CU$5&lt;='Project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V150" s="301">
        <f>IF('Economic Assumptions'!$H19="Landlord",IF(CV$5&gt;'Project Assumptions'!$D$15+'Project Assumptions'!$D$16+'Economic Assumptions'!$B19-1,IF(CV$5&lt;='Project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W150" s="301">
        <f>IF('Economic Assumptions'!$H19="Landlord",IF(CW$5&gt;'Project Assumptions'!$D$15+'Project Assumptions'!$D$16+'Economic Assumptions'!$B19-1,IF(CW$5&lt;='Project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X150" s="301">
        <f>IF('Economic Assumptions'!$H19="Landlord",IF(CX$5&gt;'Project Assumptions'!$D$15+'Project Assumptions'!$D$16+'Economic Assumptions'!$B19-1,IF(CX$5&lt;='Project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Y150" s="301">
        <f>IF('Economic Assumptions'!$H19="Landlord",IF(CY$5&gt;'Project Assumptions'!$D$15+'Project Assumptions'!$D$16+'Economic Assumptions'!$B19-1,IF(CY$5&lt;='Project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CZ150" s="301">
        <f>IF('Economic Assumptions'!$H19="Landlord",IF(CZ$5&gt;'Project Assumptions'!$D$15+'Project Assumptions'!$D$16+'Economic Assumptions'!$B19-1,IF(CZ$5&lt;='Project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DA150" s="301">
        <f>IF('Economic Assumptions'!$H19="Landlord",IF(DA$5&gt;'Project Assumptions'!$D$15+'Project Assumptions'!$D$16+'Economic Assumptions'!$B19-1,IF(DA$5&lt;='Project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DB150" s="301">
        <f>IF('Economic Assumptions'!$H19="Landlord",IF(DB$5&gt;'Project Assumptions'!$D$15+'Project Assumptions'!$D$16+'Economic Assumptions'!$B19-1,IF(DB$5&lt;='Project Assumptions'!$D$15+'Project Assumptions'!$D$16+'Economic Assumptions'!$B19+'Economic Assumptions'!$G19-1,IF('Economic Assumptions'!$E19=0,-'Economic Assumptions'!$G$32,-'Economic Assumptions'!$E19)*'Economic Assumptions'!$C19/12,0),0),0)</f>
        <v/>
      </c>
      <c r="DC150" s="301" t="n"/>
      <c r="DD150" s="299" t="n"/>
    </row>
    <row r="151" hidden="1" outlineLevel="1">
      <c r="A151" s="1000" t="n"/>
      <c r="B151" s="710" t="inlineStr">
        <is>
          <t>Lease #11</t>
        </is>
      </c>
      <c r="C151" s="337" t="n"/>
      <c r="D151" s="305">
        <f>DD151</f>
        <v/>
      </c>
      <c r="E151" s="306" t="n"/>
      <c r="F151" s="891" t="n"/>
      <c r="G151" s="891">
        <f>IF('Economic Assumptions'!$H20="Landlord",IF(G$5&gt;'Project Assumptions'!$D$15+'Project Assumptions'!$D$16+'Economic Assumptions'!$B20-1,IF(G$5&lt;='Project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H151" s="891">
        <f>IF('Economic Assumptions'!$H20="Landlord",IF(H$5&gt;'Project Assumptions'!$D$15+'Project Assumptions'!$D$16+'Economic Assumptions'!$B20-1,IF(H$5&lt;='Project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I151" s="891">
        <f>IF('Economic Assumptions'!$H20="Landlord",IF(I$5&gt;'Project Assumptions'!$D$15+'Project Assumptions'!$D$16+'Economic Assumptions'!$B20-1,IF(I$5&lt;='Project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J151" s="891">
        <f>IF('Economic Assumptions'!$H20="Landlord",IF(J$5&gt;'Project Assumptions'!$D$15+'Project Assumptions'!$D$16+'Economic Assumptions'!$B20-1,IF(J$5&lt;='Project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K151" s="891">
        <f>IF('Economic Assumptions'!$H20="Landlord",IF(K$5&gt;'Project Assumptions'!$D$15+'Project Assumptions'!$D$16+'Economic Assumptions'!$B20-1,IF(K$5&lt;='Project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L151" s="891">
        <f>IF('Economic Assumptions'!$H20="Landlord",IF(L$5&gt;'Project Assumptions'!$D$15+'Project Assumptions'!$D$16+'Economic Assumptions'!$B20-1,IF(L$5&lt;='Project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M151" s="891">
        <f>IF('Economic Assumptions'!$H20="Landlord",IF(M$5&gt;'Project Assumptions'!$D$15+'Project Assumptions'!$D$16+'Economic Assumptions'!$B20-1,IF(M$5&lt;='Project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N151" s="891">
        <f>IF('Economic Assumptions'!$H20="Landlord",IF(N$5&gt;'Project Assumptions'!$D$15+'Project Assumptions'!$D$16+'Economic Assumptions'!$B20-1,IF(N$5&lt;='Project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O151" s="891">
        <f>IF('Economic Assumptions'!$H20="Landlord",IF(O$5&gt;'Project Assumptions'!$D$15+'Project Assumptions'!$D$16+'Economic Assumptions'!$B20-1,IF(O$5&lt;='Project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P151" s="891">
        <f>IF('Economic Assumptions'!$H20="Landlord",IF(P$5&gt;'Project Assumptions'!$D$15+'Project Assumptions'!$D$16+'Economic Assumptions'!$B20-1,IF(P$5&lt;='Project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Q151" s="891">
        <f>IF('Economic Assumptions'!$H20="Landlord",IF(Q$5&gt;'Project Assumptions'!$D$15+'Project Assumptions'!$D$16+'Economic Assumptions'!$B20-1,IF(Q$5&lt;='Project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R151" s="891">
        <f>IF('Economic Assumptions'!$H20="Landlord",IF(R$5&gt;'Project Assumptions'!$D$15+'Project Assumptions'!$D$16+'Economic Assumptions'!$B20-1,IF(R$5&lt;='Project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S151" s="891">
        <f>IF('Economic Assumptions'!$H20="Landlord",IF(S$5&gt;'Project Assumptions'!$D$15+'Project Assumptions'!$D$16+'Economic Assumptions'!$B20-1,IF(S$5&lt;='Project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T151" s="891">
        <f>IF('Economic Assumptions'!$H20="Landlord",IF(T$5&gt;'Project Assumptions'!$D$15+'Project Assumptions'!$D$16+'Economic Assumptions'!$B20-1,IF(T$5&lt;='Project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U151" s="891">
        <f>IF('Economic Assumptions'!$H20="Landlord",IF(U$5&gt;'Project Assumptions'!$D$15+'Project Assumptions'!$D$16+'Economic Assumptions'!$B20-1,IF(U$5&lt;='Project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V151" s="891">
        <f>IF('Economic Assumptions'!$H20="Landlord",IF(V$5&gt;'Project Assumptions'!$D$15+'Project Assumptions'!$D$16+'Economic Assumptions'!$B20-1,IF(V$5&lt;='Project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W151" s="891">
        <f>IF('Economic Assumptions'!$H20="Landlord",IF(W$5&gt;'Project Assumptions'!$D$15+'Project Assumptions'!$D$16+'Economic Assumptions'!$B20-1,IF(W$5&lt;='Project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X151" s="891">
        <f>IF('Economic Assumptions'!$H20="Landlord",IF(X$5&gt;'Project Assumptions'!$D$15+'Project Assumptions'!$D$16+'Economic Assumptions'!$B20-1,IF(X$5&lt;='Project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Y151" s="891">
        <f>IF('Economic Assumptions'!$H20="Landlord",IF(Y$5&gt;'Project Assumptions'!$D$15+'Project Assumptions'!$D$16+'Economic Assumptions'!$B20-1,IF(Y$5&lt;='Project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Z151" s="891">
        <f>IF('Economic Assumptions'!$H20="Landlord",IF(Z$5&gt;'Project Assumptions'!$D$15+'Project Assumptions'!$D$16+'Economic Assumptions'!$B20-1,IF(Z$5&lt;='Project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A151" s="891">
        <f>IF('Economic Assumptions'!$H20="Landlord",IF(AA$5&gt;'Project Assumptions'!$D$15+'Project Assumptions'!$D$16+'Economic Assumptions'!$B20-1,IF(AA$5&lt;='Project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B151" s="891">
        <f>IF('Economic Assumptions'!$H20="Landlord",IF(AB$5&gt;'Project Assumptions'!$D$15+'Project Assumptions'!$D$16+'Economic Assumptions'!$B20-1,IF(AB$5&lt;='Project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C151" s="891">
        <f>IF('Economic Assumptions'!$H20="Landlord",IF(AC$5&gt;'Project Assumptions'!$D$15+'Project Assumptions'!$D$16+'Economic Assumptions'!$B20-1,IF(AC$5&lt;='Project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D151" s="891">
        <f>IF('Economic Assumptions'!$H20="Landlord",IF(AD$5&gt;'Project Assumptions'!$D$15+'Project Assumptions'!$D$16+'Economic Assumptions'!$B20-1,IF(AD$5&lt;='Project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E151" s="891">
        <f>IF('Economic Assumptions'!$H20="Landlord",IF(AE$5&gt;'Project Assumptions'!$D$15+'Project Assumptions'!$D$16+'Economic Assumptions'!$B20-1,IF(AE$5&lt;='Project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F151" s="891">
        <f>IF('Economic Assumptions'!$H20="Landlord",IF(AF$5&gt;'Project Assumptions'!$D$15+'Project Assumptions'!$D$16+'Economic Assumptions'!$B20-1,IF(AF$5&lt;='Project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G151" s="891">
        <f>IF('Economic Assumptions'!$H20="Landlord",IF(AG$5&gt;'Project Assumptions'!$D$15+'Project Assumptions'!$D$16+'Economic Assumptions'!$B20-1,IF(AG$5&lt;='Project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H151" s="891">
        <f>IF('Economic Assumptions'!$H20="Landlord",IF(AH$5&gt;'Project Assumptions'!$D$15+'Project Assumptions'!$D$16+'Economic Assumptions'!$B20-1,IF(AH$5&lt;='Project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I151" s="891">
        <f>IF('Economic Assumptions'!$H20="Landlord",IF(AI$5&gt;'Project Assumptions'!$D$15+'Project Assumptions'!$D$16+'Economic Assumptions'!$B20-1,IF(AI$5&lt;='Project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J151" s="891">
        <f>IF('Economic Assumptions'!$H20="Landlord",IF(AJ$5&gt;'Project Assumptions'!$D$15+'Project Assumptions'!$D$16+'Economic Assumptions'!$B20-1,IF(AJ$5&lt;='Project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K151" s="891">
        <f>IF('Economic Assumptions'!$H20="Landlord",IF(AK$5&gt;'Project Assumptions'!$D$15+'Project Assumptions'!$D$16+'Economic Assumptions'!$B20-1,IF(AK$5&lt;='Project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L151" s="891">
        <f>IF('Economic Assumptions'!$H20="Landlord",IF(AL$5&gt;'Project Assumptions'!$D$15+'Project Assumptions'!$D$16+'Economic Assumptions'!$B20-1,IF(AL$5&lt;='Project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M151" s="891">
        <f>IF('Economic Assumptions'!$H20="Landlord",IF(AM$5&gt;'Project Assumptions'!$D$15+'Project Assumptions'!$D$16+'Economic Assumptions'!$B20-1,IF(AM$5&lt;='Project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N151" s="891">
        <f>IF('Economic Assumptions'!$H20="Landlord",IF(AN$5&gt;'Project Assumptions'!$D$15+'Project Assumptions'!$D$16+'Economic Assumptions'!$B20-1,IF(AN$5&lt;='Project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O151" s="891">
        <f>IF('Economic Assumptions'!$H20="Landlord",IF(AO$5&gt;'Project Assumptions'!$D$15+'Project Assumptions'!$D$16+'Economic Assumptions'!$B20-1,IF(AO$5&lt;='Project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P151" s="891">
        <f>IF('Economic Assumptions'!$H20="Landlord",IF(AP$5&gt;'Project Assumptions'!$D$15+'Project Assumptions'!$D$16+'Economic Assumptions'!$B20-1,IF(AP$5&lt;='Project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Q151" s="891">
        <f>IF('Economic Assumptions'!$H20="Landlord",IF(AQ$5&gt;'Project Assumptions'!$D$15+'Project Assumptions'!$D$16+'Economic Assumptions'!$B20-1,IF(AQ$5&lt;='Project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R151" s="891">
        <f>IF('Economic Assumptions'!$H20="Landlord",IF(AR$5&gt;'Project Assumptions'!$D$15+'Project Assumptions'!$D$16+'Economic Assumptions'!$B20-1,IF(AR$5&lt;='Project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S151" s="891">
        <f>IF('Economic Assumptions'!$H20="Landlord",IF(AS$5&gt;'Project Assumptions'!$D$15+'Project Assumptions'!$D$16+'Economic Assumptions'!$B20-1,IF(AS$5&lt;='Project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T151" s="891">
        <f>IF('Economic Assumptions'!$H20="Landlord",IF(AT$5&gt;'Project Assumptions'!$D$15+'Project Assumptions'!$D$16+'Economic Assumptions'!$B20-1,IF(AT$5&lt;='Project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U151" s="891">
        <f>IF('Economic Assumptions'!$H20="Landlord",IF(AU$5&gt;'Project Assumptions'!$D$15+'Project Assumptions'!$D$16+'Economic Assumptions'!$B20-1,IF(AU$5&lt;='Project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V151" s="891">
        <f>IF('Economic Assumptions'!$H20="Landlord",IF(AV$5&gt;'Project Assumptions'!$D$15+'Project Assumptions'!$D$16+'Economic Assumptions'!$B20-1,IF(AV$5&lt;='Project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W151" s="891">
        <f>IF('Economic Assumptions'!$H20="Landlord",IF(AW$5&gt;'Project Assumptions'!$D$15+'Project Assumptions'!$D$16+'Economic Assumptions'!$B20-1,IF(AW$5&lt;='Project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X151" s="891">
        <f>IF('Economic Assumptions'!$H20="Landlord",IF(AX$5&gt;'Project Assumptions'!$D$15+'Project Assumptions'!$D$16+'Economic Assumptions'!$B20-1,IF(AX$5&lt;='Project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Y151" s="891">
        <f>IF('Economic Assumptions'!$H20="Landlord",IF(AY$5&gt;'Project Assumptions'!$D$15+'Project Assumptions'!$D$16+'Economic Assumptions'!$B20-1,IF(AY$5&lt;='Project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AZ151" s="891">
        <f>IF('Economic Assumptions'!$H20="Landlord",IF(AZ$5&gt;'Project Assumptions'!$D$15+'Project Assumptions'!$D$16+'Economic Assumptions'!$B20-1,IF(AZ$5&lt;='Project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A151" s="891">
        <f>IF('Economic Assumptions'!$H20="Landlord",IF(BA$5&gt;'Project Assumptions'!$D$15+'Project Assumptions'!$D$16+'Economic Assumptions'!$B20-1,IF(BA$5&lt;='Project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B151" s="891">
        <f>IF('Economic Assumptions'!$H20="Landlord",IF(BB$5&gt;'Project Assumptions'!$D$15+'Project Assumptions'!$D$16+'Economic Assumptions'!$B20-1,IF(BB$5&lt;='Project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C151" s="891">
        <f>IF('Economic Assumptions'!$H20="Landlord",IF(BC$5&gt;'Project Assumptions'!$D$15+'Project Assumptions'!$D$16+'Economic Assumptions'!$B20-1,IF(BC$5&lt;='Project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D151" s="891">
        <f>IF('Economic Assumptions'!$H20="Landlord",IF(BD$5&gt;'Project Assumptions'!$D$15+'Project Assumptions'!$D$16+'Economic Assumptions'!$B20-1,IF(BD$5&lt;='Project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E151" s="891">
        <f>IF('Economic Assumptions'!$H20="Landlord",IF(BE$5&gt;'Project Assumptions'!$D$15+'Project Assumptions'!$D$16+'Economic Assumptions'!$B20-1,IF(BE$5&lt;='Project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F151" s="891">
        <f>IF('Economic Assumptions'!$H20="Landlord",IF(BF$5&gt;'Project Assumptions'!$D$15+'Project Assumptions'!$D$16+'Economic Assumptions'!$B20-1,IF(BF$5&lt;='Project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G151" s="891">
        <f>IF('Economic Assumptions'!$H20="Landlord",IF(BG$5&gt;'Project Assumptions'!$D$15+'Project Assumptions'!$D$16+'Economic Assumptions'!$B20-1,IF(BG$5&lt;='Project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H151" s="891">
        <f>IF('Economic Assumptions'!$H20="Landlord",IF(BH$5&gt;'Project Assumptions'!$D$15+'Project Assumptions'!$D$16+'Economic Assumptions'!$B20-1,IF(BH$5&lt;='Project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I151" s="891">
        <f>IF('Economic Assumptions'!$H20="Landlord",IF(BI$5&gt;'Project Assumptions'!$D$15+'Project Assumptions'!$D$16+'Economic Assumptions'!$B20-1,IF(BI$5&lt;='Project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J151" s="891">
        <f>IF('Economic Assumptions'!$H20="Landlord",IF(BJ$5&gt;'Project Assumptions'!$D$15+'Project Assumptions'!$D$16+'Economic Assumptions'!$B20-1,IF(BJ$5&lt;='Project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K151" s="891">
        <f>IF('Economic Assumptions'!$H20="Landlord",IF(BK$5&gt;'Project Assumptions'!$D$15+'Project Assumptions'!$D$16+'Economic Assumptions'!$B20-1,IF(BK$5&lt;='Project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L151" s="891">
        <f>IF('Economic Assumptions'!$H20="Landlord",IF(BL$5&gt;'Project Assumptions'!$D$15+'Project Assumptions'!$D$16+'Economic Assumptions'!$B20-1,IF(BL$5&lt;='Project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M151" s="891">
        <f>IF('Economic Assumptions'!$H20="Landlord",IF(BM$5&gt;'Project Assumptions'!$D$15+'Project Assumptions'!$D$16+'Economic Assumptions'!$B20-1,IF(BM$5&lt;='Project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N151" s="891">
        <f>IF('Economic Assumptions'!$H20="Landlord",IF(BN$5&gt;'Project Assumptions'!$D$15+'Project Assumptions'!$D$16+'Economic Assumptions'!$B20-1,IF(BN$5&lt;='Project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O151" s="891">
        <f>IF('Economic Assumptions'!$H20="Landlord",IF(BO$5&gt;'Project Assumptions'!$D$15+'Project Assumptions'!$D$16+'Economic Assumptions'!$B20-1,IF(BO$5&lt;='Project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P151" s="891">
        <f>IF('Economic Assumptions'!$H20="Landlord",IF(BP$5&gt;'Project Assumptions'!$D$15+'Project Assumptions'!$D$16+'Economic Assumptions'!$B20-1,IF(BP$5&lt;='Project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Q151" s="891">
        <f>IF('Economic Assumptions'!$H20="Landlord",IF(BQ$5&gt;'Project Assumptions'!$D$15+'Project Assumptions'!$D$16+'Economic Assumptions'!$B20-1,IF(BQ$5&lt;='Project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R151" s="891">
        <f>IF('Economic Assumptions'!$H20="Landlord",IF(BR$5&gt;'Project Assumptions'!$D$15+'Project Assumptions'!$D$16+'Economic Assumptions'!$B20-1,IF(BR$5&lt;='Project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S151" s="891">
        <f>IF('Economic Assumptions'!$H20="Landlord",IF(BS$5&gt;'Project Assumptions'!$D$15+'Project Assumptions'!$D$16+'Economic Assumptions'!$B20-1,IF(BS$5&lt;='Project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T151" s="891">
        <f>IF('Economic Assumptions'!$H20="Landlord",IF(BT$5&gt;'Project Assumptions'!$D$15+'Project Assumptions'!$D$16+'Economic Assumptions'!$B20-1,IF(BT$5&lt;='Project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U151" s="891">
        <f>IF('Economic Assumptions'!$H20="Landlord",IF(BU$5&gt;'Project Assumptions'!$D$15+'Project Assumptions'!$D$16+'Economic Assumptions'!$B20-1,IF(BU$5&lt;='Project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V151" s="891">
        <f>IF('Economic Assumptions'!$H20="Landlord",IF(BV$5&gt;'Project Assumptions'!$D$15+'Project Assumptions'!$D$16+'Economic Assumptions'!$B20-1,IF(BV$5&lt;='Project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W151" s="891">
        <f>IF('Economic Assumptions'!$H20="Landlord",IF(BW$5&gt;'Project Assumptions'!$D$15+'Project Assumptions'!$D$16+'Economic Assumptions'!$B20-1,IF(BW$5&lt;='Project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X151" s="891">
        <f>IF('Economic Assumptions'!$H20="Landlord",IF(BX$5&gt;'Project Assumptions'!$D$15+'Project Assumptions'!$D$16+'Economic Assumptions'!$B20-1,IF(BX$5&lt;='Project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Y151" s="891">
        <f>IF('Economic Assumptions'!$H20="Landlord",IF(BY$5&gt;'Project Assumptions'!$D$15+'Project Assumptions'!$D$16+'Economic Assumptions'!$B20-1,IF(BY$5&lt;='Project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BZ151" s="891">
        <f>IF('Economic Assumptions'!$H20="Landlord",IF(BZ$5&gt;'Project Assumptions'!$D$15+'Project Assumptions'!$D$16+'Economic Assumptions'!$B20-1,IF(BZ$5&lt;='Project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A151" s="891">
        <f>IF('Economic Assumptions'!$H20="Landlord",IF(CA$5&gt;'Project Assumptions'!$D$15+'Project Assumptions'!$D$16+'Economic Assumptions'!$B20-1,IF(CA$5&lt;='Project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B151" s="891">
        <f>IF('Economic Assumptions'!$H20="Landlord",IF(CB$5&gt;'Project Assumptions'!$D$15+'Project Assumptions'!$D$16+'Economic Assumptions'!$B20-1,IF(CB$5&lt;='Project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C151" s="891">
        <f>IF('Economic Assumptions'!$H20="Landlord",IF(CC$5&gt;'Project Assumptions'!$D$15+'Project Assumptions'!$D$16+'Economic Assumptions'!$B20-1,IF(CC$5&lt;='Project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D151" s="891">
        <f>IF('Economic Assumptions'!$H20="Landlord",IF(CD$5&gt;'Project Assumptions'!$D$15+'Project Assumptions'!$D$16+'Economic Assumptions'!$B20-1,IF(CD$5&lt;='Project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E151" s="891">
        <f>IF('Economic Assumptions'!$H20="Landlord",IF(CE$5&gt;'Project Assumptions'!$D$15+'Project Assumptions'!$D$16+'Economic Assumptions'!$B20-1,IF(CE$5&lt;='Project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F151" s="891">
        <f>IF('Economic Assumptions'!$H20="Landlord",IF(CF$5&gt;'Project Assumptions'!$D$15+'Project Assumptions'!$D$16+'Economic Assumptions'!$B20-1,IF(CF$5&lt;='Project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G151" s="891">
        <f>IF('Economic Assumptions'!$H20="Landlord",IF(CG$5&gt;'Project Assumptions'!$D$15+'Project Assumptions'!$D$16+'Economic Assumptions'!$B20-1,IF(CG$5&lt;='Project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H151" s="891">
        <f>IF('Economic Assumptions'!$H20="Landlord",IF(CH$5&gt;'Project Assumptions'!$D$15+'Project Assumptions'!$D$16+'Economic Assumptions'!$B20-1,IF(CH$5&lt;='Project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I151" s="891">
        <f>IF('Economic Assumptions'!$H20="Landlord",IF(CI$5&gt;'Project Assumptions'!$D$15+'Project Assumptions'!$D$16+'Economic Assumptions'!$B20-1,IF(CI$5&lt;='Project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J151" s="891">
        <f>IF('Economic Assumptions'!$H20="Landlord",IF(CJ$5&gt;'Project Assumptions'!$D$15+'Project Assumptions'!$D$16+'Economic Assumptions'!$B20-1,IF(CJ$5&lt;='Project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K151" s="891">
        <f>IF('Economic Assumptions'!$H20="Landlord",IF(CK$5&gt;'Project Assumptions'!$D$15+'Project Assumptions'!$D$16+'Economic Assumptions'!$B20-1,IF(CK$5&lt;='Project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L151" s="891">
        <f>IF('Economic Assumptions'!$H20="Landlord",IF(CL$5&gt;'Project Assumptions'!$D$15+'Project Assumptions'!$D$16+'Economic Assumptions'!$B20-1,IF(CL$5&lt;='Project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M151" s="891">
        <f>IF('Economic Assumptions'!$H20="Landlord",IF(CM$5&gt;'Project Assumptions'!$D$15+'Project Assumptions'!$D$16+'Economic Assumptions'!$B20-1,IF(CM$5&lt;='Project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N151" s="891">
        <f>IF('Economic Assumptions'!$H20="Landlord",IF(CN$5&gt;'Project Assumptions'!$D$15+'Project Assumptions'!$D$16+'Economic Assumptions'!$B20-1,IF(CN$5&lt;='Project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O151" s="891">
        <f>IF('Economic Assumptions'!$H20="Landlord",IF(CO$5&gt;'Project Assumptions'!$D$15+'Project Assumptions'!$D$16+'Economic Assumptions'!$B20-1,IF(CO$5&lt;='Project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P151" s="891">
        <f>IF('Economic Assumptions'!$H20="Landlord",IF(CP$5&gt;'Project Assumptions'!$D$15+'Project Assumptions'!$D$16+'Economic Assumptions'!$B20-1,IF(CP$5&lt;='Project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Q151" s="891">
        <f>IF('Economic Assumptions'!$H20="Landlord",IF(CQ$5&gt;'Project Assumptions'!$D$15+'Project Assumptions'!$D$16+'Economic Assumptions'!$B20-1,IF(CQ$5&lt;='Project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R151" s="891">
        <f>IF('Economic Assumptions'!$H20="Landlord",IF(CR$5&gt;'Project Assumptions'!$D$15+'Project Assumptions'!$D$16+'Economic Assumptions'!$B20-1,IF(CR$5&lt;='Project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S151" s="891">
        <f>IF('Economic Assumptions'!$H20="Landlord",IF(CS$5&gt;'Project Assumptions'!$D$15+'Project Assumptions'!$D$16+'Economic Assumptions'!$B20-1,IF(CS$5&lt;='Project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T151" s="891">
        <f>IF('Economic Assumptions'!$H20="Landlord",IF(CT$5&gt;'Project Assumptions'!$D$15+'Project Assumptions'!$D$16+'Economic Assumptions'!$B20-1,IF(CT$5&lt;='Project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U151" s="891">
        <f>IF('Economic Assumptions'!$H20="Landlord",IF(CU$5&gt;'Project Assumptions'!$D$15+'Project Assumptions'!$D$16+'Economic Assumptions'!$B20-1,IF(CU$5&lt;='Project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V151" s="891">
        <f>IF('Economic Assumptions'!$H20="Landlord",IF(CV$5&gt;'Project Assumptions'!$D$15+'Project Assumptions'!$D$16+'Economic Assumptions'!$B20-1,IF(CV$5&lt;='Project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W151" s="891">
        <f>IF('Economic Assumptions'!$H20="Landlord",IF(CW$5&gt;'Project Assumptions'!$D$15+'Project Assumptions'!$D$16+'Economic Assumptions'!$B20-1,IF(CW$5&lt;='Project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X151" s="891">
        <f>IF('Economic Assumptions'!$H20="Landlord",IF(CX$5&gt;'Project Assumptions'!$D$15+'Project Assumptions'!$D$16+'Economic Assumptions'!$B20-1,IF(CX$5&lt;='Project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Y151" s="891">
        <f>IF('Economic Assumptions'!$H20="Landlord",IF(CY$5&gt;'Project Assumptions'!$D$15+'Project Assumptions'!$D$16+'Economic Assumptions'!$B20-1,IF(CY$5&lt;='Project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CZ151" s="891">
        <f>IF('Economic Assumptions'!$H20="Landlord",IF(CZ$5&gt;'Project Assumptions'!$D$15+'Project Assumptions'!$D$16+'Economic Assumptions'!$B20-1,IF(CZ$5&lt;='Project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DA151" s="891">
        <f>IF('Economic Assumptions'!$H20="Landlord",IF(DA$5&gt;'Project Assumptions'!$D$15+'Project Assumptions'!$D$16+'Economic Assumptions'!$B20-1,IF(DA$5&lt;='Project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DB151" s="891">
        <f>IF('Economic Assumptions'!$H20="Landlord",IF(DB$5&gt;'Project Assumptions'!$D$15+'Project Assumptions'!$D$16+'Economic Assumptions'!$B20-1,IF(DB$5&lt;='Project Assumptions'!$D$15+'Project Assumptions'!$D$16+'Economic Assumptions'!$B20+'Economic Assumptions'!$G20-1,IF('Economic Assumptions'!$E20=0,-'Economic Assumptions'!$G$32,-'Economic Assumptions'!$E20)*'Economic Assumptions'!$C20/12,0),0),0)</f>
        <v/>
      </c>
      <c r="DC151" s="891" t="n"/>
      <c r="DD151" s="305" t="n"/>
    </row>
    <row r="152" collapsed="1">
      <c r="A152" s="1005" t="n"/>
      <c r="B152" s="712" t="inlineStr">
        <is>
          <t xml:space="preserve">   Operating Expenses on Vacant Space</t>
        </is>
      </c>
      <c r="C152" s="317" t="n"/>
      <c r="D152" s="295">
        <f>DD152</f>
        <v/>
      </c>
      <c r="E152" s="274" t="n"/>
      <c r="F152" s="273" t="n"/>
      <c r="G152" s="273">
        <f>IF(G5&gt;'Project Assumptions'!$D$15+'Project Assumptions'!$D$16,IF(G5&lt;='Project Returns'!$F$32,-('Project Assumptions'!$E$11-G111)*'Economic Assumptions'!$G$31/12,0),0)</f>
        <v/>
      </c>
      <c r="H152" s="273">
        <f>IF(H5&gt;'Project Assumptions'!$D$15+'Project Assumptions'!$D$16,IF(H5&lt;='Project Returns'!$F$32,-('Project Assumptions'!$E$11-H111)*'Economic Assumptions'!$G$31/12,0),0)</f>
        <v/>
      </c>
      <c r="I152" s="273">
        <f>IF(I5&gt;'Project Assumptions'!$D$15+'Project Assumptions'!$D$16,IF(I5&lt;='Project Returns'!$F$32,-('Project Assumptions'!$E$11-I111)*'Economic Assumptions'!$G$31/12,0),0)</f>
        <v/>
      </c>
      <c r="J152" s="273">
        <f>IF(J5&gt;'Project Assumptions'!$D$15+'Project Assumptions'!$D$16,IF(J5&lt;='Project Returns'!$F$32,-('Project Assumptions'!$E$11-J111)*'Economic Assumptions'!$G$31/12,0),0)</f>
        <v/>
      </c>
      <c r="K152" s="273">
        <f>IF(K5&gt;'Project Assumptions'!$D$15+'Project Assumptions'!$D$16,IF(K5&lt;='Project Returns'!$F$32,-('Project Assumptions'!$E$11-K111)*'Economic Assumptions'!$G$31/12,0),0)</f>
        <v/>
      </c>
      <c r="L152" s="273">
        <f>IF(L5&gt;'Project Assumptions'!$D$15+'Project Assumptions'!$D$16,IF(L5&lt;='Project Returns'!$F$32,-('Project Assumptions'!$E$11-L111)*'Economic Assumptions'!$G$31/12,0),0)</f>
        <v/>
      </c>
      <c r="M152" s="273">
        <f>IF(M5&gt;'Project Assumptions'!$D$15+'Project Assumptions'!$D$16,IF(M5&lt;='Project Returns'!$F$32,-('Project Assumptions'!$E$11-M111)*'Economic Assumptions'!$G$31/12,0),0)</f>
        <v/>
      </c>
      <c r="N152" s="273">
        <f>IF(N5&gt;'Project Assumptions'!$D$15+'Project Assumptions'!$D$16,IF(N5&lt;='Project Returns'!$F$32,-('Project Assumptions'!$E$11-N111)*'Economic Assumptions'!$G$31/12,0),0)</f>
        <v/>
      </c>
      <c r="O152" s="273">
        <f>IF(O5&gt;'Project Assumptions'!$D$15+'Project Assumptions'!$D$16,IF(O5&lt;='Project Returns'!$F$32,-('Project Assumptions'!$E$11-O111)*'Economic Assumptions'!$G$31/12,0),0)</f>
        <v/>
      </c>
      <c r="P152" s="273">
        <f>IF(P5&gt;'Project Assumptions'!$D$15+'Project Assumptions'!$D$16,IF(P5&lt;='Project Returns'!$F$32,-('Project Assumptions'!$E$11-P111)*'Economic Assumptions'!$G$31/12,0),0)</f>
        <v/>
      </c>
      <c r="Q152" s="273">
        <f>IF(Q5&gt;'Project Assumptions'!$D$15+'Project Assumptions'!$D$16,IF(Q5&lt;='Project Returns'!$F$32,-('Project Assumptions'!$E$11-Q111)*'Economic Assumptions'!$G$31/12,0),0)</f>
        <v/>
      </c>
      <c r="R152" s="273">
        <f>IF(R5&gt;'Project Assumptions'!$D$15+'Project Assumptions'!$D$16,IF(R5&lt;='Project Returns'!$F$32,-('Project Assumptions'!$E$11-R111)*'Economic Assumptions'!$G$31/12,0),0)</f>
        <v/>
      </c>
      <c r="S152" s="273">
        <f>IF(S5&gt;'Project Assumptions'!$D$15+'Project Assumptions'!$D$16,IF(S5&lt;='Project Returns'!$F$32,-('Project Assumptions'!$E$11-S111)*'Economic Assumptions'!$G$31/12,0),0)</f>
        <v/>
      </c>
      <c r="T152" s="273">
        <f>IF(T5&gt;'Project Assumptions'!$D$15+'Project Assumptions'!$D$16,IF(T5&lt;='Project Returns'!$F$32,-('Project Assumptions'!$E$11-T111)*'Economic Assumptions'!$G$31/12,0),0)</f>
        <v/>
      </c>
      <c r="U152" s="273">
        <f>IF(U5&gt;'Project Assumptions'!$D$15+'Project Assumptions'!$D$16,IF(U5&lt;='Project Returns'!$F$32,-('Project Assumptions'!$E$11-U111)*'Economic Assumptions'!$G$31/12,0),0)</f>
        <v/>
      </c>
      <c r="V152" s="273">
        <f>IF(V5&gt;'Project Assumptions'!$D$15+'Project Assumptions'!$D$16,IF(V5&lt;='Project Returns'!$F$32,-('Project Assumptions'!$E$11-V111)*'Economic Assumptions'!$G$31/12,0),0)</f>
        <v/>
      </c>
      <c r="W152" s="273">
        <f>IF(W5&gt;'Project Assumptions'!$D$15+'Project Assumptions'!$D$16,IF(W5&lt;='Project Returns'!$F$32,-('Project Assumptions'!$E$11-W111)*'Economic Assumptions'!$G$31/12,0),0)</f>
        <v/>
      </c>
      <c r="X152" s="273">
        <f>IF(X5&gt;'Project Assumptions'!$D$15+'Project Assumptions'!$D$16,IF(X5&lt;='Project Returns'!$F$32,-('Project Assumptions'!$E$11-X111)*'Economic Assumptions'!$G$31/12,0),0)</f>
        <v/>
      </c>
      <c r="Y152" s="273">
        <f>IF(Y5&gt;'Project Assumptions'!$D$15+'Project Assumptions'!$D$16,IF(Y5&lt;='Project Returns'!$F$32,-('Project Assumptions'!$E$11-Y111)*'Economic Assumptions'!$G$31/12,0),0)</f>
        <v/>
      </c>
      <c r="Z152" s="273">
        <f>IF(Z5&gt;'Project Assumptions'!$D$15+'Project Assumptions'!$D$16,IF(Z5&lt;='Project Returns'!$F$32,-('Project Assumptions'!$E$11-Z111)*'Economic Assumptions'!$G$31/12,0),0)</f>
        <v/>
      </c>
      <c r="AA152" s="273">
        <f>IF(AA5&gt;'Project Assumptions'!$D$15+'Project Assumptions'!$D$16,IF(AA5&lt;='Project Returns'!$F$32,-('Project Assumptions'!$E$11-AA111)*'Economic Assumptions'!$G$31/12,0),0)</f>
        <v/>
      </c>
      <c r="AB152" s="273">
        <f>IF(AB5&gt;'Project Assumptions'!$D$15+'Project Assumptions'!$D$16,IF(AB5&lt;='Project Returns'!$F$32,-('Project Assumptions'!$E$11-AB111)*'Economic Assumptions'!$G$31/12,0),0)</f>
        <v/>
      </c>
      <c r="AC152" s="273">
        <f>IF(AC5&gt;'Project Assumptions'!$D$15+'Project Assumptions'!$D$16,IF(AC5&lt;='Project Returns'!$F$32,-('Project Assumptions'!$E$11-AC111)*'Economic Assumptions'!$G$31/12,0),0)</f>
        <v/>
      </c>
      <c r="AD152" s="273">
        <f>IF(AD5&gt;'Project Assumptions'!$D$15+'Project Assumptions'!$D$16,IF(AD5&lt;='Project Returns'!$F$32,-('Project Assumptions'!$E$11-AD111)*'Economic Assumptions'!$G$31/12,0),0)</f>
        <v/>
      </c>
      <c r="AE152" s="273">
        <f>IF(AE5&gt;'Project Assumptions'!$D$15+'Project Assumptions'!$D$16,IF(AE5&lt;='Project Returns'!$F$32,-('Project Assumptions'!$E$11-AE111)*'Economic Assumptions'!$G$31/12,0),0)</f>
        <v/>
      </c>
      <c r="AF152" s="273">
        <f>IF(AF5&gt;'Project Assumptions'!$D$15+'Project Assumptions'!$D$16,IF(AF5&lt;='Project Returns'!$F$32,-('Project Assumptions'!$E$11-AF111)*'Economic Assumptions'!$G$31/12,0),0)</f>
        <v/>
      </c>
      <c r="AG152" s="273">
        <f>IF(AG5&gt;'Project Assumptions'!$D$15+'Project Assumptions'!$D$16,IF(AG5&lt;='Project Returns'!$F$32,-('Project Assumptions'!$E$11-AG111)*'Economic Assumptions'!$G$31/12,0),0)</f>
        <v/>
      </c>
      <c r="AH152" s="273">
        <f>IF(AH5&gt;'Project Assumptions'!$D$15+'Project Assumptions'!$D$16,IF(AH5&lt;='Project Returns'!$F$32,-('Project Assumptions'!$E$11-AH111)*'Economic Assumptions'!$G$31/12,0),0)</f>
        <v/>
      </c>
      <c r="AI152" s="273">
        <f>IF(AI5&gt;'Project Assumptions'!$D$15+'Project Assumptions'!$D$16,IF(AI5&lt;='Project Returns'!$F$32,-('Project Assumptions'!$E$11-AI111)*'Economic Assumptions'!$G$31/12,0),0)</f>
        <v/>
      </c>
      <c r="AJ152" s="273">
        <f>IF(AJ5&gt;'Project Assumptions'!$D$15+'Project Assumptions'!$D$16,IF(AJ5&lt;='Project Returns'!$F$32,-('Project Assumptions'!$E$11-AJ111)*'Economic Assumptions'!$G$31/12,0),0)</f>
        <v/>
      </c>
      <c r="AK152" s="273">
        <f>IF(AK5&gt;'Project Assumptions'!$D$15+'Project Assumptions'!$D$16,IF(AK5&lt;='Project Returns'!$F$32,-('Project Assumptions'!$E$11-AK111)*'Economic Assumptions'!$G$31/12,0),0)</f>
        <v/>
      </c>
      <c r="AL152" s="273">
        <f>IF(AL5&gt;'Project Assumptions'!$D$15+'Project Assumptions'!$D$16,IF(AL5&lt;='Project Returns'!$F$32,-('Project Assumptions'!$E$11-AL111)*'Economic Assumptions'!$G$31/12,0),0)</f>
        <v/>
      </c>
      <c r="AM152" s="273">
        <f>IF(AM5&gt;'Project Assumptions'!$D$15+'Project Assumptions'!$D$16,IF(AM5&lt;='Project Returns'!$F$32,-('Project Assumptions'!$E$11-AM111)*'Economic Assumptions'!$G$31/12,0),0)</f>
        <v/>
      </c>
      <c r="AN152" s="273">
        <f>IF(AN5&gt;'Project Assumptions'!$D$15+'Project Assumptions'!$D$16,IF(AN5&lt;='Project Returns'!$F$32,-('Project Assumptions'!$E$11-AN111)*'Economic Assumptions'!$G$31/12,0),0)</f>
        <v/>
      </c>
      <c r="AO152" s="273">
        <f>IF(AO5&gt;'Project Assumptions'!$D$15+'Project Assumptions'!$D$16,IF(AO5&lt;='Project Returns'!$F$32,-('Project Assumptions'!$E$11-AO111)*'Economic Assumptions'!$G$31/12,0),0)</f>
        <v/>
      </c>
      <c r="AP152" s="273">
        <f>IF(AP5&gt;'Project Assumptions'!$D$15+'Project Assumptions'!$D$16,IF(AP5&lt;='Project Returns'!$F$32,-('Project Assumptions'!$E$11-AP111)*'Economic Assumptions'!$G$31/12,0),0)</f>
        <v/>
      </c>
      <c r="AQ152" s="273">
        <f>IF(AQ5&gt;'Project Assumptions'!$D$15+'Project Assumptions'!$D$16,IF(AQ5&lt;='Project Returns'!$F$32,-('Project Assumptions'!$E$11-AQ111)*'Economic Assumptions'!$G$31/12,0),0)</f>
        <v/>
      </c>
      <c r="AR152" s="273">
        <f>IF(AR5&gt;'Project Assumptions'!$D$15+'Project Assumptions'!$D$16,IF(AR5&lt;='Project Returns'!$F$32,-('Project Assumptions'!$E$11-AR111)*'Economic Assumptions'!$G$31/12,0),0)</f>
        <v/>
      </c>
      <c r="AS152" s="273">
        <f>IF(AS5&gt;'Project Assumptions'!$D$15+'Project Assumptions'!$D$16,IF(AS5&lt;='Project Returns'!$F$32,-('Project Assumptions'!$E$11-AS111)*'Economic Assumptions'!$G$31/12,0),0)</f>
        <v/>
      </c>
      <c r="AT152" s="273">
        <f>IF(AT5&gt;'Project Assumptions'!$D$15+'Project Assumptions'!$D$16,IF(AT5&lt;='Project Returns'!$F$32,-('Project Assumptions'!$E$11-AT111)*'Economic Assumptions'!$G$31/12,0),0)</f>
        <v/>
      </c>
      <c r="AU152" s="273">
        <f>IF(AU5&gt;'Project Assumptions'!$D$15+'Project Assumptions'!$D$16,IF(AU5&lt;='Project Returns'!$F$32,-('Project Assumptions'!$E$11-AU111)*'Economic Assumptions'!$G$31/12,0),0)</f>
        <v/>
      </c>
      <c r="AV152" s="273">
        <f>IF(AV5&gt;'Project Assumptions'!$D$15+'Project Assumptions'!$D$16,IF(AV5&lt;='Project Returns'!$F$32,-('Project Assumptions'!$E$11-AV111)*'Economic Assumptions'!$G$31/12,0),0)</f>
        <v/>
      </c>
      <c r="AW152" s="273">
        <f>IF(AW5&gt;'Project Assumptions'!$D$15+'Project Assumptions'!$D$16,IF(AW5&lt;='Project Returns'!$F$32,-('Project Assumptions'!$E$11-AW111)*'Economic Assumptions'!$G$31/12,0),0)</f>
        <v/>
      </c>
      <c r="AX152" s="273">
        <f>IF(AX5&gt;'Project Assumptions'!$D$15+'Project Assumptions'!$D$16,IF(AX5&lt;='Project Returns'!$F$32,-('Project Assumptions'!$E$11-AX111)*'Economic Assumptions'!$G$31/12,0),0)</f>
        <v/>
      </c>
      <c r="AY152" s="273">
        <f>IF(AY5&gt;'Project Assumptions'!$D$15+'Project Assumptions'!$D$16,IF(AY5&lt;='Project Returns'!$F$32,-('Project Assumptions'!$E$11-AY111)*'Economic Assumptions'!$G$31/12,0),0)</f>
        <v/>
      </c>
      <c r="AZ152" s="273">
        <f>IF(AZ5&gt;'Project Assumptions'!$D$15+'Project Assumptions'!$D$16,IF(AZ5&lt;='Project Returns'!$F$32,-('Project Assumptions'!$E$11-AZ111)*'Economic Assumptions'!$G$31/12,0),0)</f>
        <v/>
      </c>
      <c r="BA152" s="273">
        <f>IF(BA5&gt;'Project Assumptions'!$D$15+'Project Assumptions'!$D$16,IF(BA5&lt;='Project Returns'!$F$32,-('Project Assumptions'!$E$11-BA111)*'Economic Assumptions'!$G$31/12,0),0)</f>
        <v/>
      </c>
      <c r="BB152" s="273">
        <f>IF(BB5&gt;'Project Assumptions'!$D$15+'Project Assumptions'!$D$16,IF(BB5&lt;='Project Returns'!$F$32,-('Project Assumptions'!$E$11-BB111)*'Economic Assumptions'!$G$31/12,0),0)</f>
        <v/>
      </c>
      <c r="BC152" s="273">
        <f>IF(BC5&gt;'Project Assumptions'!$D$15+'Project Assumptions'!$D$16,IF(BC5&lt;='Project Returns'!$F$32,-('Project Assumptions'!$E$11-BC111)*'Economic Assumptions'!$G$31/12,0),0)</f>
        <v/>
      </c>
      <c r="BD152" s="273">
        <f>IF(BD5&gt;'Project Assumptions'!$D$15+'Project Assumptions'!$D$16,IF(BD5&lt;='Project Returns'!$F$32,-('Project Assumptions'!$E$11-BD111)*'Economic Assumptions'!$G$31/12,0),0)</f>
        <v/>
      </c>
      <c r="BE152" s="273">
        <f>IF(BE5&gt;'Project Assumptions'!$D$15+'Project Assumptions'!$D$16,IF(BE5&lt;='Project Returns'!$F$32,-('Project Assumptions'!$E$11-BE111)*'Economic Assumptions'!$G$31/12,0),0)</f>
        <v/>
      </c>
      <c r="BF152" s="273">
        <f>IF(BF5&gt;'Project Assumptions'!$D$15+'Project Assumptions'!$D$16,IF(BF5&lt;='Project Returns'!$F$32,-('Project Assumptions'!$E$11-BF111)*'Economic Assumptions'!$G$31/12,0),0)</f>
        <v/>
      </c>
      <c r="BG152" s="273">
        <f>IF(BG5&gt;'Project Assumptions'!$D$15+'Project Assumptions'!$D$16,IF(BG5&lt;='Project Returns'!$F$32,-('Project Assumptions'!$E$11-BG111)*'Economic Assumptions'!$G$31/12,0),0)</f>
        <v/>
      </c>
      <c r="BH152" s="273">
        <f>IF(BH5&gt;'Project Assumptions'!$D$15+'Project Assumptions'!$D$16,IF(BH5&lt;='Project Returns'!$F$32,-('Project Assumptions'!$E$11-BH111)*'Economic Assumptions'!$G$31/12,0),0)</f>
        <v/>
      </c>
      <c r="BI152" s="273">
        <f>IF(BI5&gt;'Project Assumptions'!$D$15+'Project Assumptions'!$D$16,IF(BI5&lt;='Project Returns'!$F$32,-('Project Assumptions'!$E$11-BI111)*'Economic Assumptions'!$G$31/12,0),0)</f>
        <v/>
      </c>
      <c r="BJ152" s="273">
        <f>IF(BJ5&gt;'Project Assumptions'!$D$15+'Project Assumptions'!$D$16,IF(BJ5&lt;='Project Returns'!$F$32,-('Project Assumptions'!$E$11-BJ111)*'Economic Assumptions'!$G$31/12,0),0)</f>
        <v/>
      </c>
      <c r="BK152" s="273">
        <f>IF(BK5&gt;'Project Assumptions'!$D$15+'Project Assumptions'!$D$16,IF(BK5&lt;='Project Returns'!$F$32,-('Project Assumptions'!$E$11-BK111)*'Economic Assumptions'!$G$31/12,0),0)</f>
        <v/>
      </c>
      <c r="BL152" s="273">
        <f>IF(BL5&gt;'Project Assumptions'!$D$15+'Project Assumptions'!$D$16,IF(BL5&lt;='Project Returns'!$F$32,-('Project Assumptions'!$E$11-BL111)*'Economic Assumptions'!$G$31/12,0),0)</f>
        <v/>
      </c>
      <c r="BM152" s="273">
        <f>IF(BM5&gt;'Project Assumptions'!$D$15+'Project Assumptions'!$D$16,IF(BM5&lt;='Project Returns'!$F$32,-('Project Assumptions'!$E$11-BM111)*'Economic Assumptions'!$G$31/12,0),0)</f>
        <v/>
      </c>
      <c r="BN152" s="273">
        <f>IF(BN5&gt;'Project Assumptions'!$D$15+'Project Assumptions'!$D$16,IF(BN5&lt;='Project Returns'!$F$32,-('Project Assumptions'!$E$11-BN111)*'Economic Assumptions'!$G$31/12,0),0)</f>
        <v/>
      </c>
      <c r="BO152" s="273">
        <f>IF(BO5&gt;'Project Assumptions'!$D$15+'Project Assumptions'!$D$16,IF(BO5&lt;='Project Returns'!$F$32,-('Project Assumptions'!$E$11-BO111)*'Economic Assumptions'!$G$31/12,0),0)</f>
        <v/>
      </c>
      <c r="BP152" s="273">
        <f>IF(BP5&gt;'Project Assumptions'!$D$15+'Project Assumptions'!$D$16,IF(BP5&lt;='Project Returns'!$F$32,-('Project Assumptions'!$E$11-BP111)*'Economic Assumptions'!$G$31/12,0),0)</f>
        <v/>
      </c>
      <c r="BQ152" s="273">
        <f>IF(BQ5&gt;'Project Assumptions'!$D$15+'Project Assumptions'!$D$16,IF(BQ5&lt;='Project Returns'!$F$32,-('Project Assumptions'!$E$11-BQ111)*'Economic Assumptions'!$G$31/12,0),0)</f>
        <v/>
      </c>
      <c r="BR152" s="273">
        <f>IF(BR5&gt;'Project Assumptions'!$D$15+'Project Assumptions'!$D$16,IF(BR5&lt;='Project Returns'!$F$32,-('Project Assumptions'!$E$11-BR111)*'Economic Assumptions'!$G$31/12,0),0)</f>
        <v/>
      </c>
      <c r="BS152" s="273">
        <f>IF(BS5&gt;'Project Assumptions'!$D$15+'Project Assumptions'!$D$16,IF(BS5&lt;='Project Returns'!$F$32,-('Project Assumptions'!$E$11-BS111)*'Economic Assumptions'!$G$31/12,0),0)</f>
        <v/>
      </c>
      <c r="BT152" s="273">
        <f>IF(BT5&gt;'Project Assumptions'!$D$15+'Project Assumptions'!$D$16,IF(BT5&lt;='Project Returns'!$F$32,-('Project Assumptions'!$E$11-BT111)*'Economic Assumptions'!$G$31/12,0),0)</f>
        <v/>
      </c>
      <c r="BU152" s="273">
        <f>IF(BU5&gt;'Project Assumptions'!$D$15+'Project Assumptions'!$D$16,IF(BU5&lt;='Project Returns'!$F$32,-('Project Assumptions'!$E$11-BU111)*'Economic Assumptions'!$G$31/12,0),0)</f>
        <v/>
      </c>
      <c r="BV152" s="273">
        <f>IF(BV5&gt;'Project Assumptions'!$D$15+'Project Assumptions'!$D$16,IF(BV5&lt;='Project Returns'!$F$32,-('Project Assumptions'!$E$11-BV111)*'Economic Assumptions'!$G$31/12,0),0)</f>
        <v/>
      </c>
      <c r="BW152" s="273">
        <f>IF(BW5&gt;'Project Assumptions'!$D$15+'Project Assumptions'!$D$16,IF(BW5&lt;='Project Returns'!$F$32,-('Project Assumptions'!$E$11-BW111)*'Economic Assumptions'!$G$31/12,0),0)</f>
        <v/>
      </c>
      <c r="BX152" s="273">
        <f>IF(BX5&gt;'Project Assumptions'!$D$15+'Project Assumptions'!$D$16,IF(BX5&lt;='Project Returns'!$F$32,-('Project Assumptions'!$E$11-BX111)*'Economic Assumptions'!$G$31/12,0),0)</f>
        <v/>
      </c>
      <c r="BY152" s="273">
        <f>IF(BY5&gt;'Project Assumptions'!$D$15+'Project Assumptions'!$D$16,IF(BY5&lt;='Project Returns'!$F$32,-('Project Assumptions'!$E$11-BY111)*'Economic Assumptions'!$G$31/12,0),0)</f>
        <v/>
      </c>
      <c r="BZ152" s="273">
        <f>IF(BZ5&gt;'Project Assumptions'!$D$15+'Project Assumptions'!$D$16,IF(BZ5&lt;='Project Returns'!$F$32,-('Project Assumptions'!$E$11-BZ111)*'Economic Assumptions'!$G$31/12,0),0)</f>
        <v/>
      </c>
      <c r="CA152" s="273">
        <f>IF(CA5&gt;'Project Assumptions'!$D$15+'Project Assumptions'!$D$16,IF(CA5&lt;='Project Returns'!$F$32,-('Project Assumptions'!$E$11-CA111)*'Economic Assumptions'!$G$31/12,0),0)</f>
        <v/>
      </c>
      <c r="CB152" s="273">
        <f>IF(CB5&gt;'Project Assumptions'!$D$15+'Project Assumptions'!$D$16,IF(CB5&lt;='Project Returns'!$F$32,-('Project Assumptions'!$E$11-CB111)*'Economic Assumptions'!$G$31/12,0),0)</f>
        <v/>
      </c>
      <c r="CC152" s="273">
        <f>IF(CC5&gt;'Project Assumptions'!$D$15+'Project Assumptions'!$D$16,IF(CC5&lt;='Project Returns'!$F$32,-('Project Assumptions'!$E$11-CC111)*'Economic Assumptions'!$G$31/12,0),0)</f>
        <v/>
      </c>
      <c r="CD152" s="273">
        <f>IF(CD5&gt;'Project Assumptions'!$D$15+'Project Assumptions'!$D$16,IF(CD5&lt;='Project Returns'!$F$32,-('Project Assumptions'!$E$11-CD111)*'Economic Assumptions'!$G$31/12,0),0)</f>
        <v/>
      </c>
      <c r="CE152" s="273">
        <f>IF(CE5&gt;'Project Assumptions'!$D$15+'Project Assumptions'!$D$16,IF(CE5&lt;='Project Returns'!$F$32,-('Project Assumptions'!$E$11-CE111)*'Economic Assumptions'!$G$31/12,0),0)</f>
        <v/>
      </c>
      <c r="CF152" s="273">
        <f>IF(CF5&gt;'Project Assumptions'!$D$15+'Project Assumptions'!$D$16,IF(CF5&lt;='Project Returns'!$F$32,-('Project Assumptions'!$E$11-CF111)*'Economic Assumptions'!$G$31/12,0),0)</f>
        <v/>
      </c>
      <c r="CG152" s="273">
        <f>IF(CG5&gt;'Project Assumptions'!$D$15+'Project Assumptions'!$D$16,IF(CG5&lt;='Project Returns'!$F$32,-('Project Assumptions'!$E$11-CG111)*'Economic Assumptions'!$G$31/12,0),0)</f>
        <v/>
      </c>
      <c r="CH152" s="273">
        <f>IF(CH5&gt;'Project Assumptions'!$D$15+'Project Assumptions'!$D$16,IF(CH5&lt;='Project Returns'!$F$32,-('Project Assumptions'!$E$11-CH111)*'Economic Assumptions'!$G$31/12,0),0)</f>
        <v/>
      </c>
      <c r="CI152" s="273">
        <f>IF(CI5&gt;'Project Assumptions'!$D$15+'Project Assumptions'!$D$16,IF(CI5&lt;='Project Returns'!$F$32,-('Project Assumptions'!$E$11-CI111)*'Economic Assumptions'!$G$31/12,0),0)</f>
        <v/>
      </c>
      <c r="CJ152" s="273">
        <f>IF(CJ5&gt;'Project Assumptions'!$D$15+'Project Assumptions'!$D$16,IF(CJ5&lt;='Project Returns'!$F$32,-('Project Assumptions'!$E$11-CJ111)*'Economic Assumptions'!$G$31/12,0),0)</f>
        <v/>
      </c>
      <c r="CK152" s="273">
        <f>IF(CK5&gt;'Project Assumptions'!$D$15+'Project Assumptions'!$D$16,IF(CK5&lt;='Project Returns'!$F$32,-('Project Assumptions'!$E$11-CK111)*'Economic Assumptions'!$G$31/12,0),0)</f>
        <v/>
      </c>
      <c r="CL152" s="273">
        <f>IF(CL5&gt;'Project Assumptions'!$D$15+'Project Assumptions'!$D$16,IF(CL5&lt;='Project Returns'!$F$32,-('Project Assumptions'!$E$11-CL111)*'Economic Assumptions'!$G$31/12,0),0)</f>
        <v/>
      </c>
      <c r="CM152" s="273">
        <f>IF(CM5&gt;'Project Assumptions'!$D$15+'Project Assumptions'!$D$16,IF(CM5&lt;='Project Returns'!$F$32,-('Project Assumptions'!$E$11-CM111)*'Economic Assumptions'!$G$31/12,0),0)</f>
        <v/>
      </c>
      <c r="CN152" s="273">
        <f>IF(CN5&gt;'Project Assumptions'!$D$15+'Project Assumptions'!$D$16,IF(CN5&lt;='Project Returns'!$F$32,-('Project Assumptions'!$E$11-CN111)*'Economic Assumptions'!$G$31/12,0),0)</f>
        <v/>
      </c>
      <c r="CO152" s="273">
        <f>IF(CO5&gt;'Project Assumptions'!$D$15+'Project Assumptions'!$D$16,IF(CO5&lt;='Project Returns'!$F$32,-('Project Assumptions'!$E$11-CO111)*'Economic Assumptions'!$G$31/12,0),0)</f>
        <v/>
      </c>
      <c r="CP152" s="273">
        <f>IF(CP5&gt;'Project Assumptions'!$D$15+'Project Assumptions'!$D$16,IF(CP5&lt;='Project Returns'!$F$32,-('Project Assumptions'!$E$11-CP111)*'Economic Assumptions'!$G$31/12,0),0)</f>
        <v/>
      </c>
      <c r="CQ152" s="273">
        <f>IF(CQ5&gt;'Project Assumptions'!$D$15+'Project Assumptions'!$D$16,IF(CQ5&lt;='Project Returns'!$F$32,-('Project Assumptions'!$E$11-CQ111)*'Economic Assumptions'!$G$31/12,0),0)</f>
        <v/>
      </c>
      <c r="CR152" s="273">
        <f>IF(CR5&gt;'Project Assumptions'!$D$15+'Project Assumptions'!$D$16,IF(CR5&lt;='Project Returns'!$F$32,-('Project Assumptions'!$E$11-CR111)*'Economic Assumptions'!$G$31/12,0),0)</f>
        <v/>
      </c>
      <c r="CS152" s="273">
        <f>IF(CS5&gt;'Project Assumptions'!$D$15+'Project Assumptions'!$D$16,IF(CS5&lt;='Project Returns'!$F$32,-('Project Assumptions'!$E$11-CS111)*'Economic Assumptions'!$G$31/12,0),0)</f>
        <v/>
      </c>
      <c r="CT152" s="273">
        <f>IF(CT5&gt;'Project Assumptions'!$D$15+'Project Assumptions'!$D$16,IF(CT5&lt;='Project Returns'!$F$32,-('Project Assumptions'!$E$11-CT111)*'Economic Assumptions'!$G$31/12,0),0)</f>
        <v/>
      </c>
      <c r="CU152" s="273">
        <f>IF(CU5&gt;'Project Assumptions'!$D$15+'Project Assumptions'!$D$16,IF(CU5&lt;='Project Returns'!$F$32,-('Project Assumptions'!$E$11-CU111)*'Economic Assumptions'!$G$31/12,0),0)</f>
        <v/>
      </c>
      <c r="CV152" s="273">
        <f>IF(CV5&gt;'Project Assumptions'!$D$15+'Project Assumptions'!$D$16,IF(CV5&lt;='Project Returns'!$F$32,-('Project Assumptions'!$E$11-CV111)*'Economic Assumptions'!$G$31/12,0),0)</f>
        <v/>
      </c>
      <c r="CW152" s="273">
        <f>IF(CW5&gt;'Project Assumptions'!$D$15+'Project Assumptions'!$D$16,IF(CW5&lt;='Project Returns'!$F$32,-('Project Assumptions'!$E$11-CW111)*'Economic Assumptions'!$G$31/12,0),0)</f>
        <v/>
      </c>
      <c r="CX152" s="273">
        <f>IF(CX5&gt;'Project Assumptions'!$D$15+'Project Assumptions'!$D$16,IF(CX5&lt;='Project Returns'!$F$32,-('Project Assumptions'!$E$11-CX111)*'Economic Assumptions'!$G$31/12,0),0)</f>
        <v/>
      </c>
      <c r="CY152" s="273">
        <f>IF(CY5&gt;'Project Assumptions'!$D$15+'Project Assumptions'!$D$16,IF(CY5&lt;='Project Returns'!$F$32,-('Project Assumptions'!$E$11-CY111)*'Economic Assumptions'!$G$31/12,0),0)</f>
        <v/>
      </c>
      <c r="CZ152" s="273">
        <f>IF(CZ5&gt;'Project Assumptions'!$D$15+'Project Assumptions'!$D$16,IF(CZ5&lt;='Project Returns'!$F$32,-('Project Assumptions'!$E$11-CZ111)*'Economic Assumptions'!$G$31/12,0),0)</f>
        <v/>
      </c>
      <c r="DA152" s="273">
        <f>IF(DA5&gt;'Project Assumptions'!$D$15+'Project Assumptions'!$D$16,IF(DA5&lt;='Project Returns'!$F$32,-('Project Assumptions'!$E$11-DA111)*'Economic Assumptions'!$G$31/12,0),0)</f>
        <v/>
      </c>
      <c r="DB152" s="273">
        <f>IF(DB5&gt;'Project Assumptions'!$D$15+'Project Assumptions'!$D$16,IF(DB5&lt;='Project Returns'!$F$32,-('Project Assumptions'!$E$11-DB111)*'Economic Assumptions'!$G$31/12,0),0)</f>
        <v/>
      </c>
      <c r="DC152" s="273" t="n"/>
      <c r="DD152" s="295">
        <f>SUM(F152:DB152)</f>
        <v/>
      </c>
    </row>
    <row r="153" ht="14.1" customFormat="1" customHeight="1" s="321">
      <c r="A153" s="713" t="n"/>
      <c r="B153" s="713" t="inlineStr">
        <is>
          <t>Total Thru Project Sale</t>
        </is>
      </c>
      <c r="C153" s="340" t="n"/>
      <c r="D153" s="319">
        <f>DD153</f>
        <v/>
      </c>
      <c r="E153" s="281" t="n"/>
      <c r="F153" s="320">
        <f>IF(F5&lt;='Project Returns'!$F$32,F125+F126+F138+F140+F152,0)</f>
        <v/>
      </c>
      <c r="G153" s="320">
        <f>IF(G5&lt;='Project Returns'!$F$32,G125+G126+G138+G140+G152,0)</f>
        <v/>
      </c>
      <c r="H153" s="320">
        <f>IF(H5&lt;='Project Returns'!$F$32,H125+H126+H138+H140+H152,0)</f>
        <v/>
      </c>
      <c r="I153" s="320">
        <f>IF(I5&lt;='Project Returns'!$F$32,I125+I126+I138+I140+I152,0)</f>
        <v/>
      </c>
      <c r="J153" s="320">
        <f>IF(J5&lt;='Project Returns'!$F$32,J125+J126+J138+J140+J152,0)</f>
        <v/>
      </c>
      <c r="K153" s="320">
        <f>IF(K5&lt;='Project Returns'!$F$32,K125+K126+K138+K140+K152,0)</f>
        <v/>
      </c>
      <c r="L153" s="320">
        <f>IF(L5&lt;='Project Returns'!$F$32,L125+L126+L138+L140+L152,0)</f>
        <v/>
      </c>
      <c r="M153" s="320">
        <f>IF(M5&lt;='Project Returns'!$F$32,M125+M126+M138+M140+M152,0)</f>
        <v/>
      </c>
      <c r="N153" s="320">
        <f>IF(N5&lt;='Project Returns'!$F$32,N125+N126+N138+N140+N152,0)</f>
        <v/>
      </c>
      <c r="O153" s="320">
        <f>IF(O5&lt;='Project Returns'!$F$32,O125+O126+O138+O140+O152,0)</f>
        <v/>
      </c>
      <c r="P153" s="320">
        <f>IF(P5&lt;='Project Returns'!$F$32,P125+P126+P138+P140+P152,0)</f>
        <v/>
      </c>
      <c r="Q153" s="320">
        <f>IF(Q5&lt;='Project Returns'!$F$32,Q125+Q126+Q138+Q140+Q152,0)</f>
        <v/>
      </c>
      <c r="R153" s="320">
        <f>IF(R5&lt;='Project Returns'!$F$32,R125+R126+R138+R140+R152,0)</f>
        <v/>
      </c>
      <c r="S153" s="320">
        <f>IF(S5&lt;='Project Returns'!$F$32,S125+S126+S138+S140+S152,0)</f>
        <v/>
      </c>
      <c r="T153" s="320">
        <f>IF(T5&lt;='Project Returns'!$F$32,T125+T126+T138+T140+T152,0)</f>
        <v/>
      </c>
      <c r="U153" s="320">
        <f>IF(U5&lt;='Project Returns'!$F$32,U125+U126+U138+U140+U152,0)</f>
        <v/>
      </c>
      <c r="V153" s="320">
        <f>IF(V5&lt;='Project Returns'!$F$32,V125+V126+V138+V140+V152,0)</f>
        <v/>
      </c>
      <c r="W153" s="320">
        <f>IF(W5&lt;='Project Returns'!$F$32,W125+W126+W138+W140+W152,0)</f>
        <v/>
      </c>
      <c r="X153" s="320">
        <f>IF(X5&lt;='Project Returns'!$F$32,X125+X126+X138+X140+X152,0)</f>
        <v/>
      </c>
      <c r="Y153" s="320">
        <f>IF(Y5&lt;='Project Returns'!$F$32,Y125+Y126+Y138+Y140+Y152,0)</f>
        <v/>
      </c>
      <c r="Z153" s="320">
        <f>IF(Z5&lt;='Project Returns'!$F$32,Z125+Z126+Z138+Z140+Z152,0)</f>
        <v/>
      </c>
      <c r="AA153" s="320">
        <f>IF(AA5&lt;='Project Returns'!$F$32,AA125+AA126+AA138+AA140+AA152,0)</f>
        <v/>
      </c>
      <c r="AB153" s="320">
        <f>IF(AB5&lt;='Project Returns'!$F$32,AB125+AB126+AB138+AB140+AB152,0)</f>
        <v/>
      </c>
      <c r="AC153" s="320">
        <f>IF(AC5&lt;='Project Returns'!$F$32,AC125+AC126+AC138+AC140+AC152,0)</f>
        <v/>
      </c>
      <c r="AD153" s="320">
        <f>IF(AD5&lt;='Project Returns'!$F$32,AD125+AD126+AD138+AD140+AD152,0)</f>
        <v/>
      </c>
      <c r="AE153" s="320">
        <f>IF(AE5&lt;='Project Returns'!$F$32,AE125+AE126+AE138+AE140+AE152,0)</f>
        <v/>
      </c>
      <c r="AF153" s="320">
        <f>IF(AF5&lt;='Project Returns'!$F$32,AF125+AF126+AF138+AF140+AF152,0)</f>
        <v/>
      </c>
      <c r="AG153" s="320">
        <f>IF(AG5&lt;='Project Returns'!$F$32,AG125+AG126+AG138+AG140+AG152,0)</f>
        <v/>
      </c>
      <c r="AH153" s="320">
        <f>IF(AH5&lt;='Project Returns'!$F$32,AH125+AH126+AH138+AH140+AH152,0)</f>
        <v/>
      </c>
      <c r="AI153" s="320">
        <f>IF(AI5&lt;='Project Returns'!$F$32,AI125+AI126+AI138+AI140+AI152,0)</f>
        <v/>
      </c>
      <c r="AJ153" s="320">
        <f>IF(AJ5&lt;='Project Returns'!$F$32,AJ125+AJ126+AJ138+AJ140+AJ152,0)</f>
        <v/>
      </c>
      <c r="AK153" s="320">
        <f>IF(AK5&lt;='Project Returns'!$F$32,AK125+AK126+AK138+AK140+AK152,0)</f>
        <v/>
      </c>
      <c r="AL153" s="320">
        <f>IF(AL5&lt;='Project Returns'!$F$32,AL125+AL126+AL138+AL140+AL152,0)</f>
        <v/>
      </c>
      <c r="AM153" s="320">
        <f>IF(AM5&lt;='Project Returns'!$F$32,AM125+AM126+AM138+AM140+AM152,0)</f>
        <v/>
      </c>
      <c r="AN153" s="320">
        <f>IF(AN5&lt;='Project Returns'!$F$32,AN125+AN126+AN138+AN140+AN152,0)</f>
        <v/>
      </c>
      <c r="AO153" s="320">
        <f>IF(AO5&lt;='Project Returns'!$F$32,AO125+AO126+AO138+AO140+AO152,0)</f>
        <v/>
      </c>
      <c r="AP153" s="320">
        <f>IF(AP5&lt;='Project Returns'!$F$32,AP125+AP126+AP138+AP140+AP152,0)</f>
        <v/>
      </c>
      <c r="AQ153" s="320">
        <f>IF(AQ5&lt;='Project Returns'!$F$32,AQ125+AQ126+AQ138+AQ140+AQ152,0)</f>
        <v/>
      </c>
      <c r="AR153" s="320">
        <f>IF(AR5&lt;='Project Returns'!$F$32,AR125+AR126+AR138+AR140+AR152,0)</f>
        <v/>
      </c>
      <c r="AS153" s="320">
        <f>IF(AS5&lt;='Project Returns'!$F$32,AS125+AS126+AS138+AS140+AS152,0)</f>
        <v/>
      </c>
      <c r="AT153" s="320">
        <f>IF(AT5&lt;='Project Returns'!$F$32,AT125+AT126+AT138+AT140+AT152,0)</f>
        <v/>
      </c>
      <c r="AU153" s="320">
        <f>IF(AU5&lt;='Project Returns'!$F$32,AU125+AU126+AU138+AU140+AU152,0)</f>
        <v/>
      </c>
      <c r="AV153" s="320">
        <f>IF(AV5&lt;='Project Returns'!$F$32,AV125+AV126+AV138+AV140+AV152,0)</f>
        <v/>
      </c>
      <c r="AW153" s="320">
        <f>IF(AW5&lt;='Project Returns'!$F$32,AW125+AW126+AW138+AW140+AW152,0)</f>
        <v/>
      </c>
      <c r="AX153" s="320">
        <f>IF(AX5&lt;='Project Returns'!$F$32,AX125+AX126+AX138+AX140+AX152,0)</f>
        <v/>
      </c>
      <c r="AY153" s="320">
        <f>IF(AY5&lt;='Project Returns'!$F$32,AY125+AY126+AY138+AY140+AY152,0)</f>
        <v/>
      </c>
      <c r="AZ153" s="320">
        <f>IF(AZ5&lt;='Project Returns'!$F$32,AZ125+AZ126+AZ138+AZ140+AZ152,0)</f>
        <v/>
      </c>
      <c r="BA153" s="320">
        <f>IF(BA5&lt;='Project Returns'!$F$32,BA125+BA126+BA138+BA140+BA152,0)</f>
        <v/>
      </c>
      <c r="BB153" s="320">
        <f>IF(BB5&lt;='Project Returns'!$F$32,BB125+BB126+BB138+BB140+BB152,0)</f>
        <v/>
      </c>
      <c r="BC153" s="320">
        <f>IF(BC5&lt;='Project Returns'!$F$32,BC125+BC126+BC138+BC140+BC152,0)</f>
        <v/>
      </c>
      <c r="BD153" s="320">
        <f>IF(BD5&lt;='Project Returns'!$F$32,BD125+BD126+BD138+BD140+BD152,0)</f>
        <v/>
      </c>
      <c r="BE153" s="320">
        <f>IF(BE5&lt;='Project Returns'!$F$32,BE125+BE126+BE138+BE140+BE152,0)</f>
        <v/>
      </c>
      <c r="BF153" s="320">
        <f>IF(BF5&lt;='Project Returns'!$F$32,BF125+BF126+BF138+BF140+BF152,0)</f>
        <v/>
      </c>
      <c r="BG153" s="320">
        <f>IF(BG5&lt;='Project Returns'!$F$32,BG125+BG126+BG138+BG140+BG152,0)</f>
        <v/>
      </c>
      <c r="BH153" s="320">
        <f>IF(BH5&lt;='Project Returns'!$F$32,BH125+BH126+BH138+BH140+BH152,0)</f>
        <v/>
      </c>
      <c r="BI153" s="320">
        <f>IF(BI5&lt;='Project Returns'!$F$32,BI125+BI126+BI138+BI140+BI152,0)</f>
        <v/>
      </c>
      <c r="BJ153" s="320">
        <f>IF(BJ5&lt;='Project Returns'!$F$32,BJ125+BJ126+BJ138+BJ140+BJ152,0)</f>
        <v/>
      </c>
      <c r="BK153" s="320">
        <f>IF(BK5&lt;='Project Returns'!$F$32,BK125+BK126+BK138+BK140+BK152,0)</f>
        <v/>
      </c>
      <c r="BL153" s="320">
        <f>IF(BL5&lt;='Project Returns'!$F$32,BL125+BL126+BL138+BL140+BL152,0)</f>
        <v/>
      </c>
      <c r="BM153" s="320">
        <f>IF(BM5&lt;='Project Returns'!$F$32,BM125+BM126+BM138+BM140+BM152,0)</f>
        <v/>
      </c>
      <c r="BN153" s="320">
        <f>IF(BN5&lt;='Project Returns'!$F$32,BN125+BN126+BN138+BN140+BN152,0)</f>
        <v/>
      </c>
      <c r="BO153" s="320">
        <f>IF(BO5&lt;='Project Returns'!$F$32,BO125+BO126+BO138+BO140+BO152,0)</f>
        <v/>
      </c>
      <c r="BP153" s="320">
        <f>IF(BP5&lt;='Project Returns'!$F$32,BP125+BP126+BP138+BP140+BP152,0)</f>
        <v/>
      </c>
      <c r="BQ153" s="320">
        <f>IF(BQ5&lt;='Project Returns'!$F$32,BQ125+BQ126+BQ138+BQ140+BQ152,0)</f>
        <v/>
      </c>
      <c r="BR153" s="320">
        <f>IF(BR5&lt;='Project Returns'!$F$32,BR125+BR126+BR138+BR140+BR152,0)</f>
        <v/>
      </c>
      <c r="BS153" s="320">
        <f>IF(BS5&lt;='Project Returns'!$F$32,BS125+BS126+BS138+BS140+BS152,0)</f>
        <v/>
      </c>
      <c r="BT153" s="320">
        <f>IF(BT5&lt;='Project Returns'!$F$32,BT125+BT126+BT138+BT140+BT152,0)</f>
        <v/>
      </c>
      <c r="BU153" s="320">
        <f>IF(BU5&lt;='Project Returns'!$F$32,BU125+BU126+BU138+BU140+BU152,0)</f>
        <v/>
      </c>
      <c r="BV153" s="320">
        <f>IF(BV5&lt;='Project Returns'!$F$32,BV125+BV126+BV138+BV140+BV152,0)</f>
        <v/>
      </c>
      <c r="BW153" s="320">
        <f>IF(BW5&lt;='Project Returns'!$F$32,BW125+BW126+BW138+BW140+BW152,0)</f>
        <v/>
      </c>
      <c r="BX153" s="320">
        <f>IF(BX5&lt;='Project Returns'!$F$32,BX125+BX126+BX138+BX140+BX152,0)</f>
        <v/>
      </c>
      <c r="BY153" s="320">
        <f>IF(BY5&lt;='Project Returns'!$F$32,BY125+BY126+BY138+BY140+BY152,0)</f>
        <v/>
      </c>
      <c r="BZ153" s="320">
        <f>IF(BZ5&lt;='Project Returns'!$F$32,BZ125+BZ126+BZ138+BZ140+BZ152,0)</f>
        <v/>
      </c>
      <c r="CA153" s="320">
        <f>IF(CA5&lt;='Project Returns'!$F$32,CA125+CA126+CA138+CA140+CA152,0)</f>
        <v/>
      </c>
      <c r="CB153" s="320">
        <f>IF(CB5&lt;='Project Returns'!$F$32,CB125+CB126+CB138+CB140+CB152,0)</f>
        <v/>
      </c>
      <c r="CC153" s="320">
        <f>IF(CC5&lt;='Project Returns'!$F$32,CC125+CC126+CC138+CC140+CC152,0)</f>
        <v/>
      </c>
      <c r="CD153" s="320">
        <f>IF(CD5&lt;='Project Returns'!$F$32,CD125+CD126+CD138+CD140+CD152,0)</f>
        <v/>
      </c>
      <c r="CE153" s="320">
        <f>IF(CE5&lt;='Project Returns'!$F$32,CE125+CE126+CE138+CE140+CE152,0)</f>
        <v/>
      </c>
      <c r="CF153" s="320">
        <f>IF(CF5&lt;='Project Returns'!$F$32,CF125+CF126+CF138+CF140+CF152,0)</f>
        <v/>
      </c>
      <c r="CG153" s="320">
        <f>IF(CG5&lt;='Project Returns'!$F$32,CG125+CG126+CG138+CG140+CG152,0)</f>
        <v/>
      </c>
      <c r="CH153" s="320">
        <f>IF(CH5&lt;='Project Returns'!$F$32,CH125+CH126+CH138+CH140+CH152,0)</f>
        <v/>
      </c>
      <c r="CI153" s="320">
        <f>IF(CI5&lt;='Project Returns'!$F$32,CI125+CI126+CI138+CI140+CI152,0)</f>
        <v/>
      </c>
      <c r="CJ153" s="320">
        <f>IF(CJ5&lt;='Project Returns'!$F$32,CJ125+CJ126+CJ138+CJ140+CJ152,0)</f>
        <v/>
      </c>
      <c r="CK153" s="320">
        <f>IF(CK5&lt;='Project Returns'!$F$32,CK125+CK126+CK138+CK140+CK152,0)</f>
        <v/>
      </c>
      <c r="CL153" s="320">
        <f>IF(CL5&lt;='Project Returns'!$F$32,CL125+CL126+CL138+CL140+CL152,0)</f>
        <v/>
      </c>
      <c r="CM153" s="320">
        <f>IF(CM5&lt;='Project Returns'!$F$32,CM125+CM126+CM138+CM140+CM152,0)</f>
        <v/>
      </c>
      <c r="CN153" s="320">
        <f>IF(CN5&lt;='Project Returns'!$F$32,CN125+CN126+CN138+CN140+CN152,0)</f>
        <v/>
      </c>
      <c r="CO153" s="320">
        <f>IF(CO5&lt;='Project Returns'!$F$32,CO125+CO126+CO138+CO140+CO152,0)</f>
        <v/>
      </c>
      <c r="CP153" s="320">
        <f>IF(CP5&lt;='Project Returns'!$F$32,CP125+CP126+CP138+CP140+CP152,0)</f>
        <v/>
      </c>
      <c r="CQ153" s="320">
        <f>IF(CQ5&lt;='Project Returns'!$F$32,CQ125+CQ126+CQ138+CQ140+CQ152,0)</f>
        <v/>
      </c>
      <c r="CR153" s="320">
        <f>IF(CR5&lt;='Project Returns'!$F$32,CR125+CR126+CR138+CR140+CR152,0)</f>
        <v/>
      </c>
      <c r="CS153" s="320">
        <f>IF(CS5&lt;='Project Returns'!$F$32,CS125+CS126+CS138+CS140+CS152,0)</f>
        <v/>
      </c>
      <c r="CT153" s="320">
        <f>IF(CT5&lt;='Project Returns'!$F$32,CT125+CT126+CT138+CT140+CT152,0)</f>
        <v/>
      </c>
      <c r="CU153" s="320">
        <f>IF(CU5&lt;='Project Returns'!$F$32,CU125+CU126+CU138+CU140+CU152,0)</f>
        <v/>
      </c>
      <c r="CV153" s="320">
        <f>IF(CV5&lt;='Project Returns'!$F$32,CV125+CV126+CV138+CV140+CV152,0)</f>
        <v/>
      </c>
      <c r="CW153" s="320">
        <f>IF(CW5&lt;='Project Returns'!$F$32,CW125+CW126+CW138+CW140+CW152,0)</f>
        <v/>
      </c>
      <c r="CX153" s="320">
        <f>IF(CX5&lt;='Project Returns'!$F$32,CX125+CX126+CX138+CX140+CX152,0)</f>
        <v/>
      </c>
      <c r="CY153" s="320">
        <f>IF(CY5&lt;='Project Returns'!$F$32,CY125+CY126+CY138+CY140+CY152,0)</f>
        <v/>
      </c>
      <c r="CZ153" s="320">
        <f>IF(CZ5&lt;='Project Returns'!$F$32,CZ125+CZ126+CZ138+CZ140+CZ152,0)</f>
        <v/>
      </c>
      <c r="DA153" s="320">
        <f>IF(DA5&lt;='Project Returns'!$F$32,DA125+DA126+DA138+DA140+DA152,0)</f>
        <v/>
      </c>
      <c r="DB153" s="320">
        <f>IF(DB5&lt;='Project Returns'!$F$32,DB125+DB126+DB138+DB140+DB152,0)</f>
        <v/>
      </c>
      <c r="DC153" s="320" t="n"/>
      <c r="DD153" s="319">
        <f>SUM(F153:DB153)</f>
        <v/>
      </c>
    </row>
    <row r="154" ht="14.1" customFormat="1" customHeight="1" s="321">
      <c r="A154" s="713" t="n"/>
      <c r="B154" s="713" t="inlineStr">
        <is>
          <t>Total - During Negative CF Only</t>
        </is>
      </c>
      <c r="C154" s="340" t="n"/>
      <c r="D154" s="319">
        <f>DD154</f>
        <v/>
      </c>
      <c r="E154" s="281" t="n"/>
      <c r="F154" s="320">
        <f>IF(F153&lt;0,F153,0)</f>
        <v/>
      </c>
      <c r="G154" s="320">
        <f>IF(G153&lt;0,G153,0)</f>
        <v/>
      </c>
      <c r="H154" s="320">
        <f>IF(H153&lt;0,H153,0)</f>
        <v/>
      </c>
      <c r="I154" s="320">
        <f>IF(I153&lt;0,I153,0)</f>
        <v/>
      </c>
      <c r="J154" s="320">
        <f>IF(J153&lt;0,J153,0)</f>
        <v/>
      </c>
      <c r="K154" s="320">
        <f>IF(K153&lt;0,K153,0)</f>
        <v/>
      </c>
      <c r="L154" s="320">
        <f>IF(L153&lt;0,L153,0)</f>
        <v/>
      </c>
      <c r="M154" s="320">
        <f>IF(M153&lt;0,M153,0)</f>
        <v/>
      </c>
      <c r="N154" s="320">
        <f>IF(N153&lt;0,N153,0)</f>
        <v/>
      </c>
      <c r="O154" s="320">
        <f>IF(O153&lt;0,O153,0)</f>
        <v/>
      </c>
      <c r="P154" s="320">
        <f>IF(P153&lt;0,P153,0)</f>
        <v/>
      </c>
      <c r="Q154" s="320">
        <f>IF(Q153&lt;0,Q153,0)</f>
        <v/>
      </c>
      <c r="R154" s="320">
        <f>IF(R153&lt;0,R153,0)</f>
        <v/>
      </c>
      <c r="S154" s="320">
        <f>IF(S153&lt;0,S153,0)</f>
        <v/>
      </c>
      <c r="T154" s="320">
        <f>IF(T153&lt;0,T153,0)</f>
        <v/>
      </c>
      <c r="U154" s="320">
        <f>IF(U153&lt;0,U153,0)</f>
        <v/>
      </c>
      <c r="V154" s="320">
        <f>IF(V153&lt;0,V153,0)</f>
        <v/>
      </c>
      <c r="W154" s="320">
        <f>IF(W153&lt;0,W153,0)</f>
        <v/>
      </c>
      <c r="X154" s="320">
        <f>IF(X153&lt;0,X153,0)</f>
        <v/>
      </c>
      <c r="Y154" s="320">
        <f>IF(Y153&lt;0,Y153,0)</f>
        <v/>
      </c>
      <c r="Z154" s="320">
        <f>IF(Z153&lt;0,Z153,0)</f>
        <v/>
      </c>
      <c r="AA154" s="320">
        <f>IF(AA153&lt;0,AA153,0)</f>
        <v/>
      </c>
      <c r="AB154" s="320">
        <f>IF(AB153&lt;0,AB153,0)</f>
        <v/>
      </c>
      <c r="AC154" s="320">
        <f>IF(AC153&lt;0,AC153,0)</f>
        <v/>
      </c>
      <c r="AD154" s="320">
        <f>IF(AD153&lt;0,AD153,0)</f>
        <v/>
      </c>
      <c r="AE154" s="320">
        <f>IF(AE153&lt;0,AE153,0)</f>
        <v/>
      </c>
      <c r="AF154" s="320">
        <f>IF(AF153&lt;0,AF153,0)</f>
        <v/>
      </c>
      <c r="AG154" s="320">
        <f>IF(AG153&lt;0,AG153,0)</f>
        <v/>
      </c>
      <c r="AH154" s="320">
        <f>IF(AH153&lt;0,AH153,0)</f>
        <v/>
      </c>
      <c r="AI154" s="320">
        <f>IF(AI153&lt;0,AI153,0)</f>
        <v/>
      </c>
      <c r="AJ154" s="320">
        <f>IF(AJ153&lt;0,AJ153,0)</f>
        <v/>
      </c>
      <c r="AK154" s="320">
        <f>IF(AK153&lt;0,AK153,0)</f>
        <v/>
      </c>
      <c r="AL154" s="320">
        <f>IF(AL153&lt;0,AL153,0)</f>
        <v/>
      </c>
      <c r="AM154" s="320">
        <f>IF(AM153&lt;0,AM153,0)</f>
        <v/>
      </c>
      <c r="AN154" s="320">
        <f>IF(AN153&lt;0,AN153,0)</f>
        <v/>
      </c>
      <c r="AO154" s="320">
        <f>IF(AO153&lt;0,AO153,0)</f>
        <v/>
      </c>
      <c r="AP154" s="320">
        <f>IF(AP153&lt;0,AP153,0)</f>
        <v/>
      </c>
      <c r="AQ154" s="320">
        <f>IF(AQ153&lt;0,AQ153,0)</f>
        <v/>
      </c>
      <c r="AR154" s="320">
        <f>IF(AR153&lt;0,AR153,0)</f>
        <v/>
      </c>
      <c r="AS154" s="320">
        <f>IF(AS153&lt;0,AS153,0)</f>
        <v/>
      </c>
      <c r="AT154" s="320">
        <f>IF(AT153&lt;0,AT153,0)</f>
        <v/>
      </c>
      <c r="AU154" s="320">
        <f>IF(AU153&lt;0,AU153,0)</f>
        <v/>
      </c>
      <c r="AV154" s="320">
        <f>IF(AV153&lt;0,AV153,0)</f>
        <v/>
      </c>
      <c r="AW154" s="320">
        <f>IF(AW153&lt;0,AW153,0)</f>
        <v/>
      </c>
      <c r="AX154" s="320">
        <f>IF(AX153&lt;0,AX153,0)</f>
        <v/>
      </c>
      <c r="AY154" s="320">
        <f>IF(AY153&lt;0,AY153,0)</f>
        <v/>
      </c>
      <c r="AZ154" s="320">
        <f>IF(AZ153&lt;0,AZ153,0)</f>
        <v/>
      </c>
      <c r="BA154" s="320">
        <f>IF(BA153&lt;0,BA153,0)</f>
        <v/>
      </c>
      <c r="BB154" s="320">
        <f>IF(BB153&lt;0,BB153,0)</f>
        <v/>
      </c>
      <c r="BC154" s="320">
        <f>IF(BC153&lt;0,BC153,0)</f>
        <v/>
      </c>
      <c r="BD154" s="320">
        <f>IF(BD153&lt;0,BD153,0)</f>
        <v/>
      </c>
      <c r="BE154" s="320">
        <f>IF(BE153&lt;0,BE153,0)</f>
        <v/>
      </c>
      <c r="BF154" s="320">
        <f>IF(BF153&lt;0,BF153,0)</f>
        <v/>
      </c>
      <c r="BG154" s="320">
        <f>IF(BG153&lt;0,BG153,0)</f>
        <v/>
      </c>
      <c r="BH154" s="320">
        <f>IF(BH153&lt;0,BH153,0)</f>
        <v/>
      </c>
      <c r="BI154" s="320">
        <f>IF(BI153&lt;0,BI153,0)</f>
        <v/>
      </c>
      <c r="BJ154" s="320">
        <f>IF(BJ153&lt;0,BJ153,0)</f>
        <v/>
      </c>
      <c r="BK154" s="320">
        <f>IF(BK153&lt;0,BK153,0)</f>
        <v/>
      </c>
      <c r="BL154" s="320">
        <f>IF(BL153&lt;0,BL153,0)</f>
        <v/>
      </c>
      <c r="BM154" s="320">
        <f>IF(BM153&lt;0,BM153,0)</f>
        <v/>
      </c>
      <c r="BN154" s="320">
        <f>IF(BN153&lt;0,BN153,0)</f>
        <v/>
      </c>
      <c r="BO154" s="320">
        <f>IF(BO153&lt;0,BO153,0)</f>
        <v/>
      </c>
      <c r="BP154" s="320">
        <f>IF(BP153&lt;0,BP153,0)</f>
        <v/>
      </c>
      <c r="BQ154" s="320">
        <f>IF(BQ153&lt;0,BQ153,0)</f>
        <v/>
      </c>
      <c r="BR154" s="320">
        <f>IF(BR153&lt;0,BR153,0)</f>
        <v/>
      </c>
      <c r="BS154" s="320">
        <f>IF(BS153&lt;0,BS153,0)</f>
        <v/>
      </c>
      <c r="BT154" s="320">
        <f>IF(BT153&lt;0,BT153,0)</f>
        <v/>
      </c>
      <c r="BU154" s="320">
        <f>IF(BU153&lt;0,BU153,0)</f>
        <v/>
      </c>
      <c r="BV154" s="320">
        <f>IF(BV153&lt;0,BV153,0)</f>
        <v/>
      </c>
      <c r="BW154" s="320">
        <f>IF(BW153&lt;0,BW153,0)</f>
        <v/>
      </c>
      <c r="BX154" s="320">
        <f>IF(BX153&lt;0,BX153,0)</f>
        <v/>
      </c>
      <c r="BY154" s="320">
        <f>IF(BY153&lt;0,BY153,0)</f>
        <v/>
      </c>
      <c r="BZ154" s="320">
        <f>IF(BZ153&lt;0,BZ153,0)</f>
        <v/>
      </c>
      <c r="CA154" s="320">
        <f>IF(CA153&lt;0,CA153,0)</f>
        <v/>
      </c>
      <c r="CB154" s="320">
        <f>IF(CB153&lt;0,CB153,0)</f>
        <v/>
      </c>
      <c r="CC154" s="320">
        <f>IF(CC153&lt;0,CC153,0)</f>
        <v/>
      </c>
      <c r="CD154" s="320">
        <f>IF(CD153&lt;0,CD153,0)</f>
        <v/>
      </c>
      <c r="CE154" s="320">
        <f>IF(CE153&lt;0,CE153,0)</f>
        <v/>
      </c>
      <c r="CF154" s="320">
        <f>IF(CF153&lt;0,CF153,0)</f>
        <v/>
      </c>
      <c r="CG154" s="320">
        <f>IF(CG153&lt;0,CG153,0)</f>
        <v/>
      </c>
      <c r="CH154" s="320">
        <f>IF(CH153&lt;0,CH153,0)</f>
        <v/>
      </c>
      <c r="CI154" s="320">
        <f>IF(CI153&lt;0,CI153,0)</f>
        <v/>
      </c>
      <c r="CJ154" s="320">
        <f>IF(CJ153&lt;0,CJ153,0)</f>
        <v/>
      </c>
      <c r="CK154" s="320">
        <f>IF(CK153&lt;0,CK153,0)</f>
        <v/>
      </c>
      <c r="CL154" s="320">
        <f>IF(CL153&lt;0,CL153,0)</f>
        <v/>
      </c>
      <c r="CM154" s="320">
        <f>IF(CM153&lt;0,CM153,0)</f>
        <v/>
      </c>
      <c r="CN154" s="320">
        <f>IF(CN153&lt;0,CN153,0)</f>
        <v/>
      </c>
      <c r="CO154" s="320">
        <f>IF(CO153&lt;0,CO153,0)</f>
        <v/>
      </c>
      <c r="CP154" s="320">
        <f>IF(CP153&lt;0,CP153,0)</f>
        <v/>
      </c>
      <c r="CQ154" s="320">
        <f>IF(CQ153&lt;0,CQ153,0)</f>
        <v/>
      </c>
      <c r="CR154" s="320">
        <f>IF(CR153&lt;0,CR153,0)</f>
        <v/>
      </c>
      <c r="CS154" s="320">
        <f>IF(CS153&lt;0,CS153,0)</f>
        <v/>
      </c>
      <c r="CT154" s="320">
        <f>IF(CT153&lt;0,CT153,0)</f>
        <v/>
      </c>
      <c r="CU154" s="320">
        <f>IF(CU153&lt;0,CU153,0)</f>
        <v/>
      </c>
      <c r="CV154" s="320">
        <f>IF(CV153&lt;0,CV153,0)</f>
        <v/>
      </c>
      <c r="CW154" s="320">
        <f>IF(CW153&lt;0,CW153,0)</f>
        <v/>
      </c>
      <c r="CX154" s="320">
        <f>IF(CX153&lt;0,CX153,0)</f>
        <v/>
      </c>
      <c r="CY154" s="320">
        <f>IF(CY153&lt;0,CY153,0)</f>
        <v/>
      </c>
      <c r="CZ154" s="320">
        <f>IF(CZ153&lt;0,CZ153,0)</f>
        <v/>
      </c>
      <c r="DA154" s="320">
        <f>IF(DA153&lt;0,DA153,0)</f>
        <v/>
      </c>
      <c r="DB154" s="320">
        <f>IF(DB153&lt;0,DB153,0)</f>
        <v/>
      </c>
      <c r="DC154" s="320" t="n"/>
      <c r="DD154" s="319">
        <f>SUM(F154:DB154)</f>
        <v/>
      </c>
    </row>
    <row r="155">
      <c r="A155" s="13" t="n"/>
      <c r="B155" s="257" t="n"/>
      <c r="C155" s="13" t="n"/>
      <c r="D155" s="13" t="n"/>
      <c r="E155" s="271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  <c r="AS155" s="13" t="n"/>
      <c r="AT155" s="13" t="n"/>
      <c r="AU155" s="13" t="n"/>
      <c r="AV155" s="13" t="n"/>
      <c r="AW155" s="13" t="n"/>
      <c r="AX155" s="13" t="n"/>
      <c r="AY155" s="13" t="n"/>
      <c r="AZ155" s="13" t="n"/>
      <c r="BA155" s="13" t="n"/>
      <c r="BB155" s="13" t="n"/>
      <c r="BC155" s="13" t="n"/>
      <c r="BD155" s="13" t="n"/>
      <c r="BE155" s="13" t="n"/>
      <c r="BF155" s="13" t="n"/>
      <c r="BG155" s="13" t="n"/>
      <c r="BH155" s="13" t="n"/>
      <c r="BI155" s="13" t="n"/>
      <c r="BJ155" s="13" t="n"/>
      <c r="BK155" s="13" t="n"/>
      <c r="BL155" s="13" t="n"/>
      <c r="BM155" s="13" t="n"/>
      <c r="BN155" s="13" t="n"/>
      <c r="BO155" s="13" t="n"/>
      <c r="BP155" s="13" t="n"/>
      <c r="BQ155" s="13" t="n"/>
      <c r="BR155" s="13" t="n"/>
      <c r="BS155" s="13" t="n"/>
      <c r="BT155" s="13" t="n"/>
      <c r="BU155" s="13" t="n"/>
      <c r="BV155" s="13" t="n"/>
      <c r="BW155" s="13" t="n"/>
      <c r="BX155" s="13" t="n"/>
      <c r="BY155" s="13" t="n"/>
      <c r="BZ155" s="13" t="n"/>
      <c r="CA155" s="13" t="n"/>
      <c r="CB155" s="13" t="n"/>
      <c r="CC155" s="13" t="n"/>
      <c r="CD155" s="13" t="n"/>
      <c r="CE155" s="13" t="n"/>
      <c r="CF155" s="13" t="n"/>
      <c r="CG155" s="13" t="n"/>
      <c r="CH155" s="13" t="n"/>
      <c r="CI155" s="13" t="n"/>
      <c r="CJ155" s="13" t="n"/>
      <c r="CK155" s="13" t="n"/>
      <c r="CL155" s="13" t="n"/>
      <c r="CM155" s="13" t="n"/>
      <c r="CN155" s="13" t="n"/>
      <c r="CO155" s="13" t="n"/>
      <c r="CP155" s="13" t="n"/>
      <c r="CQ155" s="13" t="n"/>
      <c r="CR155" s="13" t="n"/>
      <c r="CS155" s="13" t="n"/>
      <c r="CT155" s="13" t="n"/>
      <c r="CU155" s="13" t="n"/>
      <c r="CV155" s="13" t="n"/>
      <c r="CW155" s="13" t="n"/>
      <c r="CX155" s="13" t="n"/>
      <c r="CY155" s="13" t="n"/>
      <c r="CZ155" s="13" t="n"/>
      <c r="DA155" s="13" t="n"/>
      <c r="DB155" s="13" t="n"/>
      <c r="DC155" s="13" t="n"/>
      <c r="DD155" s="13" t="n"/>
    </row>
    <row r="156">
      <c r="A156" s="714" t="n"/>
      <c r="B156" s="715" t="inlineStr">
        <is>
          <t xml:space="preserve">   Detail - During Negative Cash Flow:</t>
        </is>
      </c>
      <c r="C156" s="716" t="n"/>
      <c r="D156" s="322" t="n"/>
      <c r="E156" s="717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  <c r="AR156" s="24" t="n"/>
      <c r="AS156" s="24" t="n"/>
      <c r="AT156" s="24" t="n"/>
      <c r="AU156" s="24" t="n"/>
      <c r="AV156" s="24" t="n"/>
      <c r="AW156" s="24" t="n"/>
      <c r="AX156" s="24" t="n"/>
      <c r="AY156" s="24" t="n"/>
      <c r="AZ156" s="24" t="n"/>
      <c r="BA156" s="24" t="n"/>
      <c r="BB156" s="24" t="n"/>
      <c r="BC156" s="24" t="n"/>
      <c r="BD156" s="24" t="n"/>
      <c r="BE156" s="24" t="n"/>
      <c r="BF156" s="24" t="n"/>
      <c r="BG156" s="24" t="n"/>
      <c r="BH156" s="24" t="n"/>
      <c r="BI156" s="24" t="n"/>
      <c r="BJ156" s="24" t="n"/>
      <c r="BK156" s="24" t="n"/>
      <c r="BL156" s="24" t="n"/>
      <c r="BM156" s="24" t="n"/>
      <c r="BN156" s="24" t="n"/>
      <c r="BO156" s="24" t="n"/>
      <c r="BP156" s="24" t="n"/>
      <c r="BQ156" s="24" t="n"/>
      <c r="BR156" s="24" t="n"/>
      <c r="BS156" s="24" t="n"/>
      <c r="BT156" s="24" t="n"/>
      <c r="BU156" s="24" t="n"/>
      <c r="BV156" s="24" t="n"/>
      <c r="BW156" s="24" t="n"/>
      <c r="BX156" s="24" t="n"/>
      <c r="BY156" s="24" t="n"/>
      <c r="BZ156" s="24" t="n"/>
      <c r="CA156" s="24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n"/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642" t="n"/>
    </row>
    <row r="157">
      <c r="A157" s="13" t="n"/>
      <c r="B157" s="702" t="inlineStr">
        <is>
          <t xml:space="preserve">   Interest - after CO</t>
        </is>
      </c>
      <c r="C157" s="700" t="n"/>
      <c r="D157" s="292">
        <f>DD157</f>
        <v/>
      </c>
      <c r="E157" s="641" t="n"/>
      <c r="F157" s="293">
        <f>IF(F154&lt;0,F125,0)</f>
        <v/>
      </c>
      <c r="G157" s="293">
        <f>IF(G154&lt;0,G125,0)</f>
        <v/>
      </c>
      <c r="H157" s="293">
        <f>IF(H154&lt;0,H125,0)</f>
        <v/>
      </c>
      <c r="I157" s="293">
        <f>IF(I154&lt;0,I125,0)</f>
        <v/>
      </c>
      <c r="J157" s="293">
        <f>IF(J154&lt;0,J125,0)</f>
        <v/>
      </c>
      <c r="K157" s="293">
        <f>IF(K154&lt;0,K125,0)</f>
        <v/>
      </c>
      <c r="L157" s="293">
        <f>IF(L154&lt;0,L125,0)</f>
        <v/>
      </c>
      <c r="M157" s="293">
        <f>IF(M154&lt;0,M125,0)</f>
        <v/>
      </c>
      <c r="N157" s="293">
        <f>IF(N154&lt;0,N125,0)</f>
        <v/>
      </c>
      <c r="O157" s="293">
        <f>IF(O154&lt;0,O125,0)</f>
        <v/>
      </c>
      <c r="P157" s="293">
        <f>IF(P154&lt;0,P125,0)</f>
        <v/>
      </c>
      <c r="Q157" s="293">
        <f>IF(Q154&lt;0,Q125,0)</f>
        <v/>
      </c>
      <c r="R157" s="293">
        <f>IF(R154&lt;0,R125,0)</f>
        <v/>
      </c>
      <c r="S157" s="293">
        <f>IF(S154&lt;0,S125,0)</f>
        <v/>
      </c>
      <c r="T157" s="293">
        <f>IF(T154&lt;0,T125,0)</f>
        <v/>
      </c>
      <c r="U157" s="293">
        <f>IF(U154&lt;0,U125,0)</f>
        <v/>
      </c>
      <c r="V157" s="293">
        <f>IF(V154&lt;0,V125,0)</f>
        <v/>
      </c>
      <c r="W157" s="293">
        <f>IF(W154&lt;0,W125,0)</f>
        <v/>
      </c>
      <c r="X157" s="293">
        <f>IF(X154&lt;0,X125,0)</f>
        <v/>
      </c>
      <c r="Y157" s="293">
        <f>IF(Y154&lt;0,Y125,0)</f>
        <v/>
      </c>
      <c r="Z157" s="293">
        <f>IF(Z154&lt;0,Z125,0)</f>
        <v/>
      </c>
      <c r="AA157" s="293">
        <f>IF(AA154&lt;0,AA125,0)</f>
        <v/>
      </c>
      <c r="AB157" s="293">
        <f>IF(AB154&lt;0,AB125,0)</f>
        <v/>
      </c>
      <c r="AC157" s="293">
        <f>IF(AC154&lt;0,AC125,0)</f>
        <v/>
      </c>
      <c r="AD157" s="293">
        <f>IF(AD154&lt;0,AD125,0)</f>
        <v/>
      </c>
      <c r="AE157" s="293">
        <f>IF(AE154&lt;0,AE125,0)</f>
        <v/>
      </c>
      <c r="AF157" s="293">
        <f>IF(AF154&lt;0,AF125,0)</f>
        <v/>
      </c>
      <c r="AG157" s="293">
        <f>IF(AG154&lt;0,AG125,0)</f>
        <v/>
      </c>
      <c r="AH157" s="293">
        <f>IF(AH154&lt;0,AH125,0)</f>
        <v/>
      </c>
      <c r="AI157" s="293">
        <f>IF(AI154&lt;0,AI125,0)</f>
        <v/>
      </c>
      <c r="AJ157" s="293">
        <f>IF(AJ154&lt;0,AJ125,0)</f>
        <v/>
      </c>
      <c r="AK157" s="293">
        <f>IF(AK154&lt;0,AK125,0)</f>
        <v/>
      </c>
      <c r="AL157" s="293">
        <f>IF(AL154&lt;0,AL125,0)</f>
        <v/>
      </c>
      <c r="AM157" s="293">
        <f>IF(AM154&lt;0,AM125,0)</f>
        <v/>
      </c>
      <c r="AN157" s="293">
        <f>IF(AN154&lt;0,AN125,0)</f>
        <v/>
      </c>
      <c r="AO157" s="293">
        <f>IF(AO154&lt;0,AO125,0)</f>
        <v/>
      </c>
      <c r="AP157" s="293">
        <f>IF(AP154&lt;0,AP125,0)</f>
        <v/>
      </c>
      <c r="AQ157" s="293">
        <f>IF(AQ154&lt;0,AQ125,0)</f>
        <v/>
      </c>
      <c r="AR157" s="293">
        <f>IF(AR154&lt;0,AR125,0)</f>
        <v/>
      </c>
      <c r="AS157" s="293">
        <f>IF(AS154&lt;0,AS125,0)</f>
        <v/>
      </c>
      <c r="AT157" s="293">
        <f>IF(AT154&lt;0,AT125,0)</f>
        <v/>
      </c>
      <c r="AU157" s="293">
        <f>IF(AU154&lt;0,AU125,0)</f>
        <v/>
      </c>
      <c r="AV157" s="293">
        <f>IF(AV154&lt;0,AV125,0)</f>
        <v/>
      </c>
      <c r="AW157" s="293">
        <f>IF(AW154&lt;0,AW125,0)</f>
        <v/>
      </c>
      <c r="AX157" s="293">
        <f>IF(AX154&lt;0,AX125,0)</f>
        <v/>
      </c>
      <c r="AY157" s="293">
        <f>IF(AY154&lt;0,AY125,0)</f>
        <v/>
      </c>
      <c r="AZ157" s="293">
        <f>IF(AZ154&lt;0,AZ125,0)</f>
        <v/>
      </c>
      <c r="BA157" s="293">
        <f>IF(BA154&lt;0,BA125,0)</f>
        <v/>
      </c>
      <c r="BB157" s="293">
        <f>IF(BB154&lt;0,BB125,0)</f>
        <v/>
      </c>
      <c r="BC157" s="293">
        <f>IF(BC154&lt;0,BC125,0)</f>
        <v/>
      </c>
      <c r="BD157" s="293">
        <f>IF(BD154&lt;0,BD125,0)</f>
        <v/>
      </c>
      <c r="BE157" s="293">
        <f>IF(BE154&lt;0,BE125,0)</f>
        <v/>
      </c>
      <c r="BF157" s="293">
        <f>IF(BF154&lt;0,BF125,0)</f>
        <v/>
      </c>
      <c r="BG157" s="293">
        <f>IF(BG154&lt;0,BG125,0)</f>
        <v/>
      </c>
      <c r="BH157" s="293">
        <f>IF(BH154&lt;0,BH125,0)</f>
        <v/>
      </c>
      <c r="BI157" s="293">
        <f>IF(BI154&lt;0,BI125,0)</f>
        <v/>
      </c>
      <c r="BJ157" s="293">
        <f>IF(BJ154&lt;0,BJ125,0)</f>
        <v/>
      </c>
      <c r="BK157" s="293">
        <f>IF(BK154&lt;0,BK125,0)</f>
        <v/>
      </c>
      <c r="BL157" s="293">
        <f>IF(BL154&lt;0,BL125,0)</f>
        <v/>
      </c>
      <c r="BM157" s="293">
        <f>IF(BM154&lt;0,BM125,0)</f>
        <v/>
      </c>
      <c r="BN157" s="293">
        <f>IF(BN154&lt;0,BN125,0)</f>
        <v/>
      </c>
      <c r="BO157" s="293">
        <f>IF(BO154&lt;0,BO125,0)</f>
        <v/>
      </c>
      <c r="BP157" s="293">
        <f>IF(BP154&lt;0,BP125,0)</f>
        <v/>
      </c>
      <c r="BQ157" s="293">
        <f>IF(BQ154&lt;0,BQ125,0)</f>
        <v/>
      </c>
      <c r="BR157" s="293">
        <f>IF(BR154&lt;0,BR125,0)</f>
        <v/>
      </c>
      <c r="BS157" s="293">
        <f>IF(BS154&lt;0,BS125,0)</f>
        <v/>
      </c>
      <c r="BT157" s="293">
        <f>IF(BT154&lt;0,BT125,0)</f>
        <v/>
      </c>
      <c r="BU157" s="293">
        <f>IF(BU154&lt;0,BU125,0)</f>
        <v/>
      </c>
      <c r="BV157" s="293">
        <f>IF(BV154&lt;0,BV125,0)</f>
        <v/>
      </c>
      <c r="BW157" s="293">
        <f>IF(BW154&lt;0,BW125,0)</f>
        <v/>
      </c>
      <c r="BX157" s="293">
        <f>IF(BX154&lt;0,BX125,0)</f>
        <v/>
      </c>
      <c r="BY157" s="293">
        <f>IF(BY154&lt;0,BY125,0)</f>
        <v/>
      </c>
      <c r="BZ157" s="293">
        <f>IF(BZ154&lt;0,BZ125,0)</f>
        <v/>
      </c>
      <c r="CA157" s="293">
        <f>IF(CA154&lt;0,CA125,0)</f>
        <v/>
      </c>
      <c r="CB157" s="293">
        <f>IF(CB154&lt;0,CB125,0)</f>
        <v/>
      </c>
      <c r="CC157" s="293">
        <f>IF(CC154&lt;0,CC125,0)</f>
        <v/>
      </c>
      <c r="CD157" s="293">
        <f>IF(CD154&lt;0,CD125,0)</f>
        <v/>
      </c>
      <c r="CE157" s="293">
        <f>IF(CE154&lt;0,CE125,0)</f>
        <v/>
      </c>
      <c r="CF157" s="293">
        <f>IF(CF154&lt;0,CF125,0)</f>
        <v/>
      </c>
      <c r="CG157" s="293">
        <f>IF(CG154&lt;0,CG125,0)</f>
        <v/>
      </c>
      <c r="CH157" s="293">
        <f>IF(CH154&lt;0,CH125,0)</f>
        <v/>
      </c>
      <c r="CI157" s="293">
        <f>IF(CI154&lt;0,CI125,0)</f>
        <v/>
      </c>
      <c r="CJ157" s="293">
        <f>IF(CJ154&lt;0,CJ125,0)</f>
        <v/>
      </c>
      <c r="CK157" s="293">
        <f>IF(CK154&lt;0,CK125,0)</f>
        <v/>
      </c>
      <c r="CL157" s="293">
        <f>IF(CL154&lt;0,CL125,0)</f>
        <v/>
      </c>
      <c r="CM157" s="293">
        <f>IF(CM154&lt;0,CM125,0)</f>
        <v/>
      </c>
      <c r="CN157" s="293">
        <f>IF(CN154&lt;0,CN125,0)</f>
        <v/>
      </c>
      <c r="CO157" s="293">
        <f>IF(CO154&lt;0,CO125,0)</f>
        <v/>
      </c>
      <c r="CP157" s="293">
        <f>IF(CP154&lt;0,CP125,0)</f>
        <v/>
      </c>
      <c r="CQ157" s="293">
        <f>IF(CQ154&lt;0,CQ125,0)</f>
        <v/>
      </c>
      <c r="CR157" s="293">
        <f>IF(CR154&lt;0,CR125,0)</f>
        <v/>
      </c>
      <c r="CS157" s="293">
        <f>IF(CS154&lt;0,CS125,0)</f>
        <v/>
      </c>
      <c r="CT157" s="293">
        <f>IF(CT154&lt;0,CT125,0)</f>
        <v/>
      </c>
      <c r="CU157" s="293">
        <f>IF(CU154&lt;0,CU125,0)</f>
        <v/>
      </c>
      <c r="CV157" s="293">
        <f>IF(CV154&lt;0,CV125,0)</f>
        <v/>
      </c>
      <c r="CW157" s="293">
        <f>IF(CW154&lt;0,CW125,0)</f>
        <v/>
      </c>
      <c r="CX157" s="293">
        <f>IF(CX154&lt;0,CX125,0)</f>
        <v/>
      </c>
      <c r="CY157" s="293">
        <f>IF(CY154&lt;0,CY125,0)</f>
        <v/>
      </c>
      <c r="CZ157" s="293">
        <f>IF(CZ154&lt;0,CZ125,0)</f>
        <v/>
      </c>
      <c r="DA157" s="293">
        <f>IF(DA154&lt;0,DA125,0)</f>
        <v/>
      </c>
      <c r="DB157" s="293">
        <f>IF(DB154&lt;0,DB125,0)</f>
        <v/>
      </c>
      <c r="DC157" s="293" t="n"/>
      <c r="DD157" s="292">
        <f>SUM(F157:DB157)</f>
        <v/>
      </c>
    </row>
    <row r="158">
      <c r="A158" s="13" t="n"/>
      <c r="B158" s="323" t="inlineStr">
        <is>
          <t xml:space="preserve">   Net Rental Income</t>
        </is>
      </c>
      <c r="C158" s="294" t="n"/>
      <c r="D158" s="295">
        <f>DD158</f>
        <v/>
      </c>
      <c r="E158" s="274" t="n"/>
      <c r="F158" s="273">
        <f>IF(F5&lt;='Project Returns'!$F$32,IF(F154&lt;0,F126,0),0)</f>
        <v/>
      </c>
      <c r="G158" s="273">
        <f>IF(G5&lt;='Project Returns'!$F$32,IF(G154&lt;0,G126,0),0)</f>
        <v/>
      </c>
      <c r="H158" s="273">
        <f>IF(H5&lt;='Project Returns'!$F$32,IF(H154&lt;0,H126,0),0)</f>
        <v/>
      </c>
      <c r="I158" s="273">
        <f>IF(I5&lt;='Project Returns'!$F$32,IF(I154&lt;0,I126,0),0)</f>
        <v/>
      </c>
      <c r="J158" s="273">
        <f>IF(J5&lt;='Project Returns'!$F$32,IF(J154&lt;0,J126,0),0)</f>
        <v/>
      </c>
      <c r="K158" s="273">
        <f>IF(K5&lt;='Project Returns'!$F$32,IF(K154&lt;0,K126,0),0)</f>
        <v/>
      </c>
      <c r="L158" s="273">
        <f>IF(L5&lt;='Project Returns'!$F$32,IF(L154&lt;0,L126,0),0)</f>
        <v/>
      </c>
      <c r="M158" s="273">
        <f>IF(M5&lt;='Project Returns'!$F$32,IF(M154&lt;0,M126,0),0)</f>
        <v/>
      </c>
      <c r="N158" s="273">
        <f>IF(N5&lt;='Project Returns'!$F$32,IF(N154&lt;0,N126,0),0)</f>
        <v/>
      </c>
      <c r="O158" s="273">
        <f>IF(O5&lt;='Project Returns'!$F$32,IF(O154&lt;0,O126,0),0)</f>
        <v/>
      </c>
      <c r="P158" s="273">
        <f>IF(P5&lt;='Project Returns'!$F$32,IF(P154&lt;0,P126,0),0)</f>
        <v/>
      </c>
      <c r="Q158" s="273">
        <f>IF(Q5&lt;='Project Returns'!$F$32,IF(Q154&lt;0,Q126,0),0)</f>
        <v/>
      </c>
      <c r="R158" s="273">
        <f>IF(R5&lt;='Project Returns'!$F$32,IF(R154&lt;0,R126,0),0)</f>
        <v/>
      </c>
      <c r="S158" s="273">
        <f>IF(S5&lt;='Project Returns'!$F$32,IF(S154&lt;0,S126,0),0)</f>
        <v/>
      </c>
      <c r="T158" s="273">
        <f>IF(T5&lt;='Project Returns'!$F$32,IF(T154&lt;0,T126,0),0)</f>
        <v/>
      </c>
      <c r="U158" s="273">
        <f>IF(U5&lt;='Project Returns'!$F$32,IF(U154&lt;0,U126,0),0)</f>
        <v/>
      </c>
      <c r="V158" s="273">
        <f>IF(V5&lt;='Project Returns'!$F$32,IF(V154&lt;0,V126,0),0)</f>
        <v/>
      </c>
      <c r="W158" s="273">
        <f>IF(W5&lt;='Project Returns'!$F$32,IF(W154&lt;0,W126,0),0)</f>
        <v/>
      </c>
      <c r="X158" s="273">
        <f>IF(X5&lt;='Project Returns'!$F$32,IF(X154&lt;0,X126,0),0)</f>
        <v/>
      </c>
      <c r="Y158" s="273">
        <f>IF(Y5&lt;='Project Returns'!$F$32,IF(Y154&lt;0,Y126,0),0)</f>
        <v/>
      </c>
      <c r="Z158" s="273">
        <f>IF(Z5&lt;='Project Returns'!$F$32,IF(Z154&lt;0,Z126,0),0)</f>
        <v/>
      </c>
      <c r="AA158" s="273">
        <f>IF(AA5&lt;='Project Returns'!$F$32,IF(AA154&lt;0,AA126,0),0)</f>
        <v/>
      </c>
      <c r="AB158" s="273">
        <f>IF(AB5&lt;='Project Returns'!$F$32,IF(AB154&lt;0,AB126,0),0)</f>
        <v/>
      </c>
      <c r="AC158" s="273">
        <f>IF(AC5&lt;='Project Returns'!$F$32,IF(AC154&lt;0,AC126,0),0)</f>
        <v/>
      </c>
      <c r="AD158" s="273">
        <f>IF(AD5&lt;='Project Returns'!$F$32,IF(AD154&lt;0,AD126,0),0)</f>
        <v/>
      </c>
      <c r="AE158" s="273">
        <f>IF(AE5&lt;='Project Returns'!$F$32,IF(AE154&lt;0,AE126,0),0)</f>
        <v/>
      </c>
      <c r="AF158" s="273">
        <f>IF(AF5&lt;='Project Returns'!$F$32,IF(AF154&lt;0,AF126,0),0)</f>
        <v/>
      </c>
      <c r="AG158" s="273">
        <f>IF(AG5&lt;='Project Returns'!$F$32,IF(AG154&lt;0,AG126,0),0)</f>
        <v/>
      </c>
      <c r="AH158" s="273">
        <f>IF(AH5&lt;='Project Returns'!$F$32,IF(AH154&lt;0,AH126,0),0)</f>
        <v/>
      </c>
      <c r="AI158" s="273">
        <f>IF(AI5&lt;='Project Returns'!$F$32,IF(AI154&lt;0,AI126,0),0)</f>
        <v/>
      </c>
      <c r="AJ158" s="273">
        <f>IF(AJ5&lt;='Project Returns'!$F$32,IF(AJ154&lt;0,AJ126,0),0)</f>
        <v/>
      </c>
      <c r="AK158" s="273">
        <f>IF(AK5&lt;='Project Returns'!$F$32,IF(AK154&lt;0,AK126,0),0)</f>
        <v/>
      </c>
      <c r="AL158" s="273">
        <f>IF(AL5&lt;='Project Returns'!$F$32,IF(AL154&lt;0,AL126,0),0)</f>
        <v/>
      </c>
      <c r="AM158" s="273">
        <f>IF(AM5&lt;='Project Returns'!$F$32,IF(AM154&lt;0,AM126,0),0)</f>
        <v/>
      </c>
      <c r="AN158" s="273">
        <f>IF(AN5&lt;='Project Returns'!$F$32,IF(AN154&lt;0,AN126,0),0)</f>
        <v/>
      </c>
      <c r="AO158" s="273">
        <f>IF(AO5&lt;='Project Returns'!$F$32,IF(AO154&lt;0,AO126,0),0)</f>
        <v/>
      </c>
      <c r="AP158" s="273">
        <f>IF(AP5&lt;='Project Returns'!$F$32,IF(AP154&lt;0,AP126,0),0)</f>
        <v/>
      </c>
      <c r="AQ158" s="273">
        <f>IF(AQ5&lt;='Project Returns'!$F$32,IF(AQ154&lt;0,AQ126,0),0)</f>
        <v/>
      </c>
      <c r="AR158" s="273">
        <f>IF(AR5&lt;='Project Returns'!$F$32,IF(AR154&lt;0,AR126,0),0)</f>
        <v/>
      </c>
      <c r="AS158" s="273">
        <f>IF(AS5&lt;='Project Returns'!$F$32,IF(AS154&lt;0,AS126,0),0)</f>
        <v/>
      </c>
      <c r="AT158" s="273">
        <f>IF(AT5&lt;='Project Returns'!$F$32,IF(AT154&lt;0,AT126,0),0)</f>
        <v/>
      </c>
      <c r="AU158" s="273">
        <f>IF(AU5&lt;='Project Returns'!$F$32,IF(AU154&lt;0,AU126,0),0)</f>
        <v/>
      </c>
      <c r="AV158" s="273">
        <f>IF(AV5&lt;='Project Returns'!$F$32,IF(AV154&lt;0,AV126,0),0)</f>
        <v/>
      </c>
      <c r="AW158" s="273">
        <f>IF(AW5&lt;='Project Returns'!$F$32,IF(AW154&lt;0,AW126,0),0)</f>
        <v/>
      </c>
      <c r="AX158" s="273">
        <f>IF(AX5&lt;='Project Returns'!$F$32,IF(AX154&lt;0,AX126,0),0)</f>
        <v/>
      </c>
      <c r="AY158" s="273">
        <f>IF(AY5&lt;='Project Returns'!$F$32,IF(AY154&lt;0,AY126,0),0)</f>
        <v/>
      </c>
      <c r="AZ158" s="273">
        <f>IF(AZ5&lt;='Project Returns'!$F$32,IF(AZ154&lt;0,AZ126,0),0)</f>
        <v/>
      </c>
      <c r="BA158" s="273">
        <f>IF(BA5&lt;='Project Returns'!$F$32,IF(BA154&lt;0,BA126,0),0)</f>
        <v/>
      </c>
      <c r="BB158" s="273">
        <f>IF(BB5&lt;='Project Returns'!$F$32,IF(BB154&lt;0,BB126,0),0)</f>
        <v/>
      </c>
      <c r="BC158" s="273">
        <f>IF(BC5&lt;='Project Returns'!$F$32,IF(BC154&lt;0,BC126,0),0)</f>
        <v/>
      </c>
      <c r="BD158" s="273">
        <f>IF(BD5&lt;='Project Returns'!$F$32,IF(BD154&lt;0,BD126,0),0)</f>
        <v/>
      </c>
      <c r="BE158" s="273">
        <f>IF(BE5&lt;='Project Returns'!$F$32,IF(BE154&lt;0,BE126,0),0)</f>
        <v/>
      </c>
      <c r="BF158" s="273">
        <f>IF(BF5&lt;='Project Returns'!$F$32,IF(BF154&lt;0,BF126,0),0)</f>
        <v/>
      </c>
      <c r="BG158" s="273">
        <f>IF(BG5&lt;='Project Returns'!$F$32,IF(BG154&lt;0,BG126,0),0)</f>
        <v/>
      </c>
      <c r="BH158" s="273">
        <f>IF(BH5&lt;='Project Returns'!$F$32,IF(BH154&lt;0,BH126,0),0)</f>
        <v/>
      </c>
      <c r="BI158" s="273">
        <f>IF(BI5&lt;='Project Returns'!$F$32,IF(BI154&lt;0,BI126,0),0)</f>
        <v/>
      </c>
      <c r="BJ158" s="273">
        <f>IF(BJ5&lt;='Project Returns'!$F$32,IF(BJ154&lt;0,BJ126,0),0)</f>
        <v/>
      </c>
      <c r="BK158" s="273">
        <f>IF(BK5&lt;='Project Returns'!$F$32,IF(BK154&lt;0,BK126,0),0)</f>
        <v/>
      </c>
      <c r="BL158" s="273">
        <f>IF(BL5&lt;='Project Returns'!$F$32,IF(BL154&lt;0,BL126,0),0)</f>
        <v/>
      </c>
      <c r="BM158" s="273">
        <f>IF(BM5&lt;='Project Returns'!$F$32,IF(BM154&lt;0,BM126,0),0)</f>
        <v/>
      </c>
      <c r="BN158" s="273">
        <f>IF(BN5&lt;='Project Returns'!$F$32,IF(BN154&lt;0,BN126,0),0)</f>
        <v/>
      </c>
      <c r="BO158" s="273">
        <f>IF(BO5&lt;='Project Returns'!$F$32,IF(BO154&lt;0,BO126,0),0)</f>
        <v/>
      </c>
      <c r="BP158" s="273">
        <f>IF(BP5&lt;='Project Returns'!$F$32,IF(BP154&lt;0,BP126,0),0)</f>
        <v/>
      </c>
      <c r="BQ158" s="273">
        <f>IF(BQ5&lt;='Project Returns'!$F$32,IF(BQ154&lt;0,BQ126,0),0)</f>
        <v/>
      </c>
      <c r="BR158" s="273">
        <f>IF(BR5&lt;='Project Returns'!$F$32,IF(BR154&lt;0,BR126,0),0)</f>
        <v/>
      </c>
      <c r="BS158" s="273">
        <f>IF(BS5&lt;='Project Returns'!$F$32,IF(BS154&lt;0,BS126,0),0)</f>
        <v/>
      </c>
      <c r="BT158" s="273">
        <f>IF(BT5&lt;='Project Returns'!$F$32,IF(BT154&lt;0,BT126,0),0)</f>
        <v/>
      </c>
      <c r="BU158" s="273">
        <f>IF(BU5&lt;='Project Returns'!$F$32,IF(BU154&lt;0,BU126,0),0)</f>
        <v/>
      </c>
      <c r="BV158" s="273">
        <f>IF(BV5&lt;='Project Returns'!$F$32,IF(BV154&lt;0,BV126,0),0)</f>
        <v/>
      </c>
      <c r="BW158" s="273">
        <f>IF(BW5&lt;='Project Returns'!$F$32,IF(BW154&lt;0,BW126,0),0)</f>
        <v/>
      </c>
      <c r="BX158" s="273">
        <f>IF(BX5&lt;='Project Returns'!$F$32,IF(BX154&lt;0,BX126,0),0)</f>
        <v/>
      </c>
      <c r="BY158" s="273">
        <f>IF(BY5&lt;='Project Returns'!$F$32,IF(BY154&lt;0,BY126,0),0)</f>
        <v/>
      </c>
      <c r="BZ158" s="273">
        <f>IF(BZ5&lt;='Project Returns'!$F$32,IF(BZ154&lt;0,BZ126,0),0)</f>
        <v/>
      </c>
      <c r="CA158" s="273">
        <f>IF(CA5&lt;='Project Returns'!$F$32,IF(CA154&lt;0,CA126,0),0)</f>
        <v/>
      </c>
      <c r="CB158" s="273">
        <f>IF(CB5&lt;='Project Returns'!$F$32,IF(CB154&lt;0,CB126,0),0)</f>
        <v/>
      </c>
      <c r="CC158" s="273">
        <f>IF(CC5&lt;='Project Returns'!$F$32,IF(CC154&lt;0,CC126,0),0)</f>
        <v/>
      </c>
      <c r="CD158" s="273">
        <f>IF(CD5&lt;='Project Returns'!$F$32,IF(CD154&lt;0,CD126,0),0)</f>
        <v/>
      </c>
      <c r="CE158" s="273">
        <f>IF(CE5&lt;='Project Returns'!$F$32,IF(CE154&lt;0,CE126,0),0)</f>
        <v/>
      </c>
      <c r="CF158" s="273">
        <f>IF(CF5&lt;='Project Returns'!$F$32,IF(CF154&lt;0,CF126,0),0)</f>
        <v/>
      </c>
      <c r="CG158" s="273">
        <f>IF(CG5&lt;='Project Returns'!$F$32,IF(CG154&lt;0,CG126,0),0)</f>
        <v/>
      </c>
      <c r="CH158" s="273">
        <f>IF(CH5&lt;='Project Returns'!$F$32,IF(CH154&lt;0,CH126,0),0)</f>
        <v/>
      </c>
      <c r="CI158" s="273">
        <f>IF(CI5&lt;='Project Returns'!$F$32,IF(CI154&lt;0,CI126,0),0)</f>
        <v/>
      </c>
      <c r="CJ158" s="273">
        <f>IF(CJ5&lt;='Project Returns'!$F$32,IF(CJ154&lt;0,CJ126,0),0)</f>
        <v/>
      </c>
      <c r="CK158" s="273">
        <f>IF(CK5&lt;='Project Returns'!$F$32,IF(CK154&lt;0,CK126,0),0)</f>
        <v/>
      </c>
      <c r="CL158" s="273">
        <f>IF(CL5&lt;='Project Returns'!$F$32,IF(CL154&lt;0,CL126,0),0)</f>
        <v/>
      </c>
      <c r="CM158" s="273">
        <f>IF(CM5&lt;='Project Returns'!$F$32,IF(CM154&lt;0,CM126,0),0)</f>
        <v/>
      </c>
      <c r="CN158" s="273">
        <f>IF(CN5&lt;='Project Returns'!$F$32,IF(CN154&lt;0,CN126,0),0)</f>
        <v/>
      </c>
      <c r="CO158" s="273">
        <f>IF(CO5&lt;='Project Returns'!$F$32,IF(CO154&lt;0,CO126,0),0)</f>
        <v/>
      </c>
      <c r="CP158" s="273">
        <f>IF(CP5&lt;='Project Returns'!$F$32,IF(CP154&lt;0,CP126,0),0)</f>
        <v/>
      </c>
      <c r="CQ158" s="273">
        <f>IF(CQ5&lt;='Project Returns'!$F$32,IF(CQ154&lt;0,CQ126,0),0)</f>
        <v/>
      </c>
      <c r="CR158" s="273">
        <f>IF(CR5&lt;='Project Returns'!$F$32,IF(CR154&lt;0,CR126,0),0)</f>
        <v/>
      </c>
      <c r="CS158" s="273">
        <f>IF(CS5&lt;='Project Returns'!$F$32,IF(CS154&lt;0,CS126,0),0)</f>
        <v/>
      </c>
      <c r="CT158" s="273">
        <f>IF(CT5&lt;='Project Returns'!$F$32,IF(CT154&lt;0,CT126,0),0)</f>
        <v/>
      </c>
      <c r="CU158" s="273">
        <f>IF(CU5&lt;='Project Returns'!$F$32,IF(CU154&lt;0,CU126,0),0)</f>
        <v/>
      </c>
      <c r="CV158" s="273">
        <f>IF(CV5&lt;='Project Returns'!$F$32,IF(CV154&lt;0,CV126,0),0)</f>
        <v/>
      </c>
      <c r="CW158" s="273">
        <f>IF(CW5&lt;='Project Returns'!$F$32,IF(CW154&lt;0,CW126,0),0)</f>
        <v/>
      </c>
      <c r="CX158" s="273">
        <f>IF(CX5&lt;='Project Returns'!$F$32,IF(CX154&lt;0,CX126,0),0)</f>
        <v/>
      </c>
      <c r="CY158" s="273">
        <f>IF(CY5&lt;='Project Returns'!$F$32,IF(CY154&lt;0,CY126,0),0)</f>
        <v/>
      </c>
      <c r="CZ158" s="273">
        <f>IF(CZ5&lt;='Project Returns'!$F$32,IF(CZ154&lt;0,CZ126,0),0)</f>
        <v/>
      </c>
      <c r="DA158" s="273">
        <f>IF(DA5&lt;='Project Returns'!$F$32,IF(DA154&lt;0,DA126,0),0)</f>
        <v/>
      </c>
      <c r="DB158" s="273">
        <f>IF(DB5&lt;='Project Returns'!$F$32,IF(DB154&lt;0,DB126,0),0)</f>
        <v/>
      </c>
      <c r="DC158" s="273" t="n"/>
      <c r="DD158" s="295">
        <f>SUM(F158:DB158)</f>
        <v/>
      </c>
    </row>
    <row r="159">
      <c r="A159" s="13" t="n"/>
      <c r="B159" s="702" t="inlineStr">
        <is>
          <t xml:space="preserve">   Other Income</t>
        </is>
      </c>
      <c r="C159" s="700" t="n"/>
      <c r="D159" s="292">
        <f>DD159</f>
        <v/>
      </c>
      <c r="E159" s="641" t="n"/>
      <c r="F159" s="293">
        <f>IF(F154&lt;0,F138,0)</f>
        <v/>
      </c>
      <c r="G159" s="293">
        <f>IF(G154&lt;0,G138,0)</f>
        <v/>
      </c>
      <c r="H159" s="293">
        <f>IF(H154&lt;0,H138,0)</f>
        <v/>
      </c>
      <c r="I159" s="293">
        <f>IF(I154&lt;0,I138,0)</f>
        <v/>
      </c>
      <c r="J159" s="293">
        <f>IF(J154&lt;0,J138,0)</f>
        <v/>
      </c>
      <c r="K159" s="293">
        <f>IF(K154&lt;0,K138,0)</f>
        <v/>
      </c>
      <c r="L159" s="293">
        <f>IF(L154&lt;0,L138,0)</f>
        <v/>
      </c>
      <c r="M159" s="293">
        <f>IF(M154&lt;0,M138,0)</f>
        <v/>
      </c>
      <c r="N159" s="293">
        <f>IF(N154&lt;0,N138,0)</f>
        <v/>
      </c>
      <c r="O159" s="293">
        <f>IF(O154&lt;0,O138,0)</f>
        <v/>
      </c>
      <c r="P159" s="293">
        <f>IF(P154&lt;0,P138,0)</f>
        <v/>
      </c>
      <c r="Q159" s="293">
        <f>IF(Q154&lt;0,Q138,0)</f>
        <v/>
      </c>
      <c r="R159" s="293">
        <f>IF(R154&lt;0,R138,0)</f>
        <v/>
      </c>
      <c r="S159" s="293">
        <f>IF(S154&lt;0,S138,0)</f>
        <v/>
      </c>
      <c r="T159" s="293">
        <f>IF(T154&lt;0,T138,0)</f>
        <v/>
      </c>
      <c r="U159" s="293">
        <f>IF(U154&lt;0,U138,0)</f>
        <v/>
      </c>
      <c r="V159" s="293">
        <f>IF(V154&lt;0,V138,0)</f>
        <v/>
      </c>
      <c r="W159" s="293">
        <f>IF(W154&lt;0,W138,0)</f>
        <v/>
      </c>
      <c r="X159" s="293">
        <f>IF(X154&lt;0,X138,0)</f>
        <v/>
      </c>
      <c r="Y159" s="293">
        <f>IF(Y154&lt;0,Y138,0)</f>
        <v/>
      </c>
      <c r="Z159" s="293">
        <f>IF(Z154&lt;0,Z138,0)</f>
        <v/>
      </c>
      <c r="AA159" s="293">
        <f>IF(AA154&lt;0,AA138,0)</f>
        <v/>
      </c>
      <c r="AB159" s="293">
        <f>IF(AB154&lt;0,AB138,0)</f>
        <v/>
      </c>
      <c r="AC159" s="293">
        <f>IF(AC154&lt;0,AC138,0)</f>
        <v/>
      </c>
      <c r="AD159" s="293">
        <f>IF(AD154&lt;0,AD138,0)</f>
        <v/>
      </c>
      <c r="AE159" s="293">
        <f>IF(AE154&lt;0,AE138,0)</f>
        <v/>
      </c>
      <c r="AF159" s="293">
        <f>IF(AF154&lt;0,AF138,0)</f>
        <v/>
      </c>
      <c r="AG159" s="293">
        <f>IF(AG154&lt;0,AG138,0)</f>
        <v/>
      </c>
      <c r="AH159" s="293">
        <f>IF(AH154&lt;0,AH138,0)</f>
        <v/>
      </c>
      <c r="AI159" s="293">
        <f>IF(AI154&lt;0,AI138,0)</f>
        <v/>
      </c>
      <c r="AJ159" s="293">
        <f>IF(AJ154&lt;0,AJ138,0)</f>
        <v/>
      </c>
      <c r="AK159" s="293">
        <f>IF(AK154&lt;0,AK138,0)</f>
        <v/>
      </c>
      <c r="AL159" s="293">
        <f>IF(AL154&lt;0,AL138,0)</f>
        <v/>
      </c>
      <c r="AM159" s="293">
        <f>IF(AM154&lt;0,AM138,0)</f>
        <v/>
      </c>
      <c r="AN159" s="293">
        <f>IF(AN154&lt;0,AN138,0)</f>
        <v/>
      </c>
      <c r="AO159" s="293">
        <f>IF(AO154&lt;0,AO138,0)</f>
        <v/>
      </c>
      <c r="AP159" s="293">
        <f>IF(AP154&lt;0,AP138,0)</f>
        <v/>
      </c>
      <c r="AQ159" s="293">
        <f>IF(AQ154&lt;0,AQ138,0)</f>
        <v/>
      </c>
      <c r="AR159" s="293">
        <f>IF(AR154&lt;0,AR138,0)</f>
        <v/>
      </c>
      <c r="AS159" s="293">
        <f>IF(AS154&lt;0,AS138,0)</f>
        <v/>
      </c>
      <c r="AT159" s="293">
        <f>IF(AT154&lt;0,AT138,0)</f>
        <v/>
      </c>
      <c r="AU159" s="293">
        <f>IF(AU154&lt;0,AU138,0)</f>
        <v/>
      </c>
      <c r="AV159" s="293">
        <f>IF(AV154&lt;0,AV138,0)</f>
        <v/>
      </c>
      <c r="AW159" s="293">
        <f>IF(AW154&lt;0,AW138,0)</f>
        <v/>
      </c>
      <c r="AX159" s="293">
        <f>IF(AX154&lt;0,AX138,0)</f>
        <v/>
      </c>
      <c r="AY159" s="293">
        <f>IF(AY154&lt;0,AY138,0)</f>
        <v/>
      </c>
      <c r="AZ159" s="293">
        <f>IF(AZ154&lt;0,AZ138,0)</f>
        <v/>
      </c>
      <c r="BA159" s="293">
        <f>IF(BA154&lt;0,BA138,0)</f>
        <v/>
      </c>
      <c r="BB159" s="293">
        <f>IF(BB154&lt;0,BB138,0)</f>
        <v/>
      </c>
      <c r="BC159" s="293">
        <f>IF(BC154&lt;0,BC138,0)</f>
        <v/>
      </c>
      <c r="BD159" s="293">
        <f>IF(BD154&lt;0,BD138,0)</f>
        <v/>
      </c>
      <c r="BE159" s="293">
        <f>IF(BE154&lt;0,BE138,0)</f>
        <v/>
      </c>
      <c r="BF159" s="293">
        <f>IF(BF154&lt;0,BF138,0)</f>
        <v/>
      </c>
      <c r="BG159" s="293">
        <f>IF(BG154&lt;0,BG138,0)</f>
        <v/>
      </c>
      <c r="BH159" s="293">
        <f>IF(BH154&lt;0,BH138,0)</f>
        <v/>
      </c>
      <c r="BI159" s="293">
        <f>IF(BI154&lt;0,BI138,0)</f>
        <v/>
      </c>
      <c r="BJ159" s="293">
        <f>IF(BJ154&lt;0,BJ138,0)</f>
        <v/>
      </c>
      <c r="BK159" s="293">
        <f>IF(BK154&lt;0,BK138,0)</f>
        <v/>
      </c>
      <c r="BL159" s="293">
        <f>IF(BL154&lt;0,BL138,0)</f>
        <v/>
      </c>
      <c r="BM159" s="293">
        <f>IF(BM154&lt;0,BM138,0)</f>
        <v/>
      </c>
      <c r="BN159" s="293">
        <f>IF(BN154&lt;0,BN138,0)</f>
        <v/>
      </c>
      <c r="BO159" s="293">
        <f>IF(BO154&lt;0,BO138,0)</f>
        <v/>
      </c>
      <c r="BP159" s="293">
        <f>IF(BP154&lt;0,BP138,0)</f>
        <v/>
      </c>
      <c r="BQ159" s="293">
        <f>IF(BQ154&lt;0,BQ138,0)</f>
        <v/>
      </c>
      <c r="BR159" s="293">
        <f>IF(BR154&lt;0,BR138,0)</f>
        <v/>
      </c>
      <c r="BS159" s="293">
        <f>IF(BS154&lt;0,BS138,0)</f>
        <v/>
      </c>
      <c r="BT159" s="293">
        <f>IF(BT154&lt;0,BT138,0)</f>
        <v/>
      </c>
      <c r="BU159" s="293">
        <f>IF(BU154&lt;0,BU138,0)</f>
        <v/>
      </c>
      <c r="BV159" s="293">
        <f>IF(BV154&lt;0,BV138,0)</f>
        <v/>
      </c>
      <c r="BW159" s="293">
        <f>IF(BW154&lt;0,BW138,0)</f>
        <v/>
      </c>
      <c r="BX159" s="293">
        <f>IF(BX154&lt;0,BX138,0)</f>
        <v/>
      </c>
      <c r="BY159" s="293">
        <f>IF(BY154&lt;0,BY138,0)</f>
        <v/>
      </c>
      <c r="BZ159" s="293">
        <f>IF(BZ154&lt;0,BZ138,0)</f>
        <v/>
      </c>
      <c r="CA159" s="293">
        <f>IF(CA154&lt;0,CA138,0)</f>
        <v/>
      </c>
      <c r="CB159" s="293">
        <f>IF(CB154&lt;0,CB138,0)</f>
        <v/>
      </c>
      <c r="CC159" s="293">
        <f>IF(CC154&lt;0,CC138,0)</f>
        <v/>
      </c>
      <c r="CD159" s="293">
        <f>IF(CD154&lt;0,CD138,0)</f>
        <v/>
      </c>
      <c r="CE159" s="293">
        <f>IF(CE154&lt;0,CE138,0)</f>
        <v/>
      </c>
      <c r="CF159" s="293">
        <f>IF(CF154&lt;0,CF138,0)</f>
        <v/>
      </c>
      <c r="CG159" s="293">
        <f>IF(CG154&lt;0,CG138,0)</f>
        <v/>
      </c>
      <c r="CH159" s="293">
        <f>IF(CH154&lt;0,CH138,0)</f>
        <v/>
      </c>
      <c r="CI159" s="293">
        <f>IF(CI154&lt;0,CI138,0)</f>
        <v/>
      </c>
      <c r="CJ159" s="293">
        <f>IF(CJ154&lt;0,CJ138,0)</f>
        <v/>
      </c>
      <c r="CK159" s="293">
        <f>IF(CK154&lt;0,CK138,0)</f>
        <v/>
      </c>
      <c r="CL159" s="293">
        <f>IF(CL154&lt;0,CL138,0)</f>
        <v/>
      </c>
      <c r="CM159" s="293">
        <f>IF(CM154&lt;0,CM138,0)</f>
        <v/>
      </c>
      <c r="CN159" s="293">
        <f>IF(CN154&lt;0,CN138,0)</f>
        <v/>
      </c>
      <c r="CO159" s="293">
        <f>IF(CO154&lt;0,CO138,0)</f>
        <v/>
      </c>
      <c r="CP159" s="293">
        <f>IF(CP154&lt;0,CP138,0)</f>
        <v/>
      </c>
      <c r="CQ159" s="293">
        <f>IF(CQ154&lt;0,CQ138,0)</f>
        <v/>
      </c>
      <c r="CR159" s="293">
        <f>IF(CR154&lt;0,CR138,0)</f>
        <v/>
      </c>
      <c r="CS159" s="293">
        <f>IF(CS154&lt;0,CS138,0)</f>
        <v/>
      </c>
      <c r="CT159" s="293">
        <f>IF(CT154&lt;0,CT138,0)</f>
        <v/>
      </c>
      <c r="CU159" s="293">
        <f>IF(CU154&lt;0,CU138,0)</f>
        <v/>
      </c>
      <c r="CV159" s="293">
        <f>IF(CV154&lt;0,CV138,0)</f>
        <v/>
      </c>
      <c r="CW159" s="293">
        <f>IF(CW154&lt;0,CW138,0)</f>
        <v/>
      </c>
      <c r="CX159" s="293">
        <f>IF(CX154&lt;0,CX138,0)</f>
        <v/>
      </c>
      <c r="CY159" s="293">
        <f>IF(CY154&lt;0,CY138,0)</f>
        <v/>
      </c>
      <c r="CZ159" s="293">
        <f>IF(CZ154&lt;0,CZ138,0)</f>
        <v/>
      </c>
      <c r="DA159" s="293">
        <f>IF(DA154&lt;0,DA138,0)</f>
        <v/>
      </c>
      <c r="DB159" s="293">
        <f>IF(DB154&lt;0,DB138,0)</f>
        <v/>
      </c>
      <c r="DC159" s="293" t="n"/>
      <c r="DD159" s="292">
        <f>SUM(F159:DB159)</f>
        <v/>
      </c>
    </row>
    <row r="160">
      <c r="A160" s="13" t="n"/>
      <c r="B160" s="323" t="inlineStr">
        <is>
          <t xml:space="preserve">   Operating Expenses &amp; Ground Lease</t>
        </is>
      </c>
      <c r="C160" s="294" t="n"/>
      <c r="D160" s="295">
        <f>DD160</f>
        <v/>
      </c>
      <c r="E160" s="274" t="n"/>
      <c r="F160" s="273">
        <f>IF(F154&lt;0,F140+F152,0)</f>
        <v/>
      </c>
      <c r="G160" s="273">
        <f>IF(G154&lt;0,G140+G152,0)</f>
        <v/>
      </c>
      <c r="H160" s="273">
        <f>IF(H154&lt;0,H140+H152,0)</f>
        <v/>
      </c>
      <c r="I160" s="273">
        <f>IF(I154&lt;0,I140+I152,0)</f>
        <v/>
      </c>
      <c r="J160" s="273">
        <f>IF(J154&lt;0,J140+J152,0)</f>
        <v/>
      </c>
      <c r="K160" s="273">
        <f>IF(K154&lt;0,K140+K152,0)</f>
        <v/>
      </c>
      <c r="L160" s="273">
        <f>IF(L154&lt;0,L140+L152,0)</f>
        <v/>
      </c>
      <c r="M160" s="273">
        <f>IF(M154&lt;0,M140+M152,0)</f>
        <v/>
      </c>
      <c r="N160" s="273">
        <f>IF(N154&lt;0,N140+N152,0)</f>
        <v/>
      </c>
      <c r="O160" s="273">
        <f>IF(O154&lt;0,O140+O152,0)</f>
        <v/>
      </c>
      <c r="P160" s="273">
        <f>IF(P154&lt;0,P140+P152,0)</f>
        <v/>
      </c>
      <c r="Q160" s="273">
        <f>IF(Q154&lt;0,Q140+Q152,0)</f>
        <v/>
      </c>
      <c r="R160" s="273">
        <f>IF(R154&lt;0,R140+R152,0)</f>
        <v/>
      </c>
      <c r="S160" s="273">
        <f>IF(S154&lt;0,S140+S152,0)</f>
        <v/>
      </c>
      <c r="T160" s="273">
        <f>IF(T154&lt;0,T140+T152,0)</f>
        <v/>
      </c>
      <c r="U160" s="273">
        <f>IF(U154&lt;0,U140+U152,0)</f>
        <v/>
      </c>
      <c r="V160" s="273">
        <f>IF(V154&lt;0,V140+V152,0)</f>
        <v/>
      </c>
      <c r="W160" s="273">
        <f>IF(W154&lt;0,W140+W152,0)</f>
        <v/>
      </c>
      <c r="X160" s="273">
        <f>IF(X154&lt;0,X140+X152,0)</f>
        <v/>
      </c>
      <c r="Y160" s="273">
        <f>IF(Y154&lt;0,Y140+Y152,0)</f>
        <v/>
      </c>
      <c r="Z160" s="273">
        <f>IF(Z154&lt;0,Z140+Z152,0)</f>
        <v/>
      </c>
      <c r="AA160" s="273">
        <f>IF(AA154&lt;0,AA140+AA152,0)</f>
        <v/>
      </c>
      <c r="AB160" s="273">
        <f>IF(AB154&lt;0,AB140+AB152,0)</f>
        <v/>
      </c>
      <c r="AC160" s="273">
        <f>IF(AC154&lt;0,AC140+AC152,0)</f>
        <v/>
      </c>
      <c r="AD160" s="273">
        <f>IF(AD154&lt;0,AD140+AD152,0)</f>
        <v/>
      </c>
      <c r="AE160" s="273">
        <f>IF(AE154&lt;0,AE140+AE152,0)</f>
        <v/>
      </c>
      <c r="AF160" s="273">
        <f>IF(AF154&lt;0,AF140+AF152,0)</f>
        <v/>
      </c>
      <c r="AG160" s="273">
        <f>IF(AG154&lt;0,AG140+AG152,0)</f>
        <v/>
      </c>
      <c r="AH160" s="273">
        <f>IF(AH154&lt;0,AH140+AH152,0)</f>
        <v/>
      </c>
      <c r="AI160" s="273">
        <f>IF(AI154&lt;0,AI140+AI152,0)</f>
        <v/>
      </c>
      <c r="AJ160" s="273">
        <f>IF(AJ154&lt;0,AJ140+AJ152,0)</f>
        <v/>
      </c>
      <c r="AK160" s="273">
        <f>IF(AK154&lt;0,AK140+AK152,0)</f>
        <v/>
      </c>
      <c r="AL160" s="273">
        <f>IF(AL154&lt;0,AL140+AL152,0)</f>
        <v/>
      </c>
      <c r="AM160" s="273">
        <f>IF(AM154&lt;0,AM140+AM152,0)</f>
        <v/>
      </c>
      <c r="AN160" s="273">
        <f>IF(AN154&lt;0,AN140+AN152,0)</f>
        <v/>
      </c>
      <c r="AO160" s="273">
        <f>IF(AO154&lt;0,AO140+AO152,0)</f>
        <v/>
      </c>
      <c r="AP160" s="273">
        <f>IF(AP154&lt;0,AP140+AP152,0)</f>
        <v/>
      </c>
      <c r="AQ160" s="273">
        <f>IF(AQ154&lt;0,AQ140+AQ152,0)</f>
        <v/>
      </c>
      <c r="AR160" s="273">
        <f>IF(AR154&lt;0,AR140+AR152,0)</f>
        <v/>
      </c>
      <c r="AS160" s="273">
        <f>IF(AS154&lt;0,AS140+AS152,0)</f>
        <v/>
      </c>
      <c r="AT160" s="273">
        <f>IF(AT154&lt;0,AT140+AT152,0)</f>
        <v/>
      </c>
      <c r="AU160" s="273">
        <f>IF(AU154&lt;0,AU140+AU152,0)</f>
        <v/>
      </c>
      <c r="AV160" s="273">
        <f>IF(AV154&lt;0,AV140+AV152,0)</f>
        <v/>
      </c>
      <c r="AW160" s="273">
        <f>IF(AW154&lt;0,AW140+AW152,0)</f>
        <v/>
      </c>
      <c r="AX160" s="273">
        <f>IF(AX154&lt;0,AX140+AX152,0)</f>
        <v/>
      </c>
      <c r="AY160" s="273">
        <f>IF(AY154&lt;0,AY140+AY152,0)</f>
        <v/>
      </c>
      <c r="AZ160" s="273">
        <f>IF(AZ154&lt;0,AZ140+AZ152,0)</f>
        <v/>
      </c>
      <c r="BA160" s="273">
        <f>IF(BA154&lt;0,BA140+BA152,0)</f>
        <v/>
      </c>
      <c r="BB160" s="273">
        <f>IF(BB154&lt;0,BB140+BB152,0)</f>
        <v/>
      </c>
      <c r="BC160" s="273">
        <f>IF(BC154&lt;0,BC140+BC152,0)</f>
        <v/>
      </c>
      <c r="BD160" s="273">
        <f>IF(BD154&lt;0,BD140+BD152,0)</f>
        <v/>
      </c>
      <c r="BE160" s="273">
        <f>IF(BE154&lt;0,BE140+BE152,0)</f>
        <v/>
      </c>
      <c r="BF160" s="273">
        <f>IF(BF154&lt;0,BF140+BF152,0)</f>
        <v/>
      </c>
      <c r="BG160" s="273">
        <f>IF(BG154&lt;0,BG140+BG152,0)</f>
        <v/>
      </c>
      <c r="BH160" s="273">
        <f>IF(BH154&lt;0,BH140+BH152,0)</f>
        <v/>
      </c>
      <c r="BI160" s="273">
        <f>IF(BI154&lt;0,BI140+BI152,0)</f>
        <v/>
      </c>
      <c r="BJ160" s="273">
        <f>IF(BJ154&lt;0,BJ140+BJ152,0)</f>
        <v/>
      </c>
      <c r="BK160" s="273">
        <f>IF(BK154&lt;0,BK140+BK152,0)</f>
        <v/>
      </c>
      <c r="BL160" s="273">
        <f>IF(BL154&lt;0,BL140+BL152,0)</f>
        <v/>
      </c>
      <c r="BM160" s="273">
        <f>IF(BM154&lt;0,BM140+BM152,0)</f>
        <v/>
      </c>
      <c r="BN160" s="273">
        <f>IF(BN154&lt;0,BN140+BN152,0)</f>
        <v/>
      </c>
      <c r="BO160" s="273">
        <f>IF(BO154&lt;0,BO140+BO152,0)</f>
        <v/>
      </c>
      <c r="BP160" s="273">
        <f>IF(BP154&lt;0,BP140+BP152,0)</f>
        <v/>
      </c>
      <c r="BQ160" s="273">
        <f>IF(BQ154&lt;0,BQ140+BQ152,0)</f>
        <v/>
      </c>
      <c r="BR160" s="273">
        <f>IF(BR154&lt;0,BR140+BR152,0)</f>
        <v/>
      </c>
      <c r="BS160" s="273">
        <f>IF(BS154&lt;0,BS140+BS152,0)</f>
        <v/>
      </c>
      <c r="BT160" s="273">
        <f>IF(BT154&lt;0,BT140+BT152,0)</f>
        <v/>
      </c>
      <c r="BU160" s="273">
        <f>IF(BU154&lt;0,BU140+BU152,0)</f>
        <v/>
      </c>
      <c r="BV160" s="273">
        <f>IF(BV154&lt;0,BV140+BV152,0)</f>
        <v/>
      </c>
      <c r="BW160" s="273">
        <f>IF(BW154&lt;0,BW140+BW152,0)</f>
        <v/>
      </c>
      <c r="BX160" s="273">
        <f>IF(BX154&lt;0,BX140+BX152,0)</f>
        <v/>
      </c>
      <c r="BY160" s="273">
        <f>IF(BY154&lt;0,BY140+BY152,0)</f>
        <v/>
      </c>
      <c r="BZ160" s="273">
        <f>IF(BZ154&lt;0,BZ140+BZ152,0)</f>
        <v/>
      </c>
      <c r="CA160" s="273">
        <f>IF(CA154&lt;0,CA140+CA152,0)</f>
        <v/>
      </c>
      <c r="CB160" s="273">
        <f>IF(CB154&lt;0,CB140+CB152,0)</f>
        <v/>
      </c>
      <c r="CC160" s="273">
        <f>IF(CC154&lt;0,CC140+CC152,0)</f>
        <v/>
      </c>
      <c r="CD160" s="273">
        <f>IF(CD154&lt;0,CD140+CD152,0)</f>
        <v/>
      </c>
      <c r="CE160" s="273">
        <f>IF(CE154&lt;0,CE140+CE152,0)</f>
        <v/>
      </c>
      <c r="CF160" s="273">
        <f>IF(CF154&lt;0,CF140+CF152,0)</f>
        <v/>
      </c>
      <c r="CG160" s="273">
        <f>IF(CG154&lt;0,CG140+CG152,0)</f>
        <v/>
      </c>
      <c r="CH160" s="273">
        <f>IF(CH154&lt;0,CH140+CH152,0)</f>
        <v/>
      </c>
      <c r="CI160" s="273">
        <f>IF(CI154&lt;0,CI140+CI152,0)</f>
        <v/>
      </c>
      <c r="CJ160" s="273">
        <f>IF(CJ154&lt;0,CJ140+CJ152,0)</f>
        <v/>
      </c>
      <c r="CK160" s="273">
        <f>IF(CK154&lt;0,CK140+CK152,0)</f>
        <v/>
      </c>
      <c r="CL160" s="273">
        <f>IF(CL154&lt;0,CL140+CL152,0)</f>
        <v/>
      </c>
      <c r="CM160" s="273">
        <f>IF(CM154&lt;0,CM140+CM152,0)</f>
        <v/>
      </c>
      <c r="CN160" s="273">
        <f>IF(CN154&lt;0,CN140+CN152,0)</f>
        <v/>
      </c>
      <c r="CO160" s="273">
        <f>IF(CO154&lt;0,CO140+CO152,0)</f>
        <v/>
      </c>
      <c r="CP160" s="273">
        <f>IF(CP154&lt;0,CP140+CP152,0)</f>
        <v/>
      </c>
      <c r="CQ160" s="273">
        <f>IF(CQ154&lt;0,CQ140+CQ152,0)</f>
        <v/>
      </c>
      <c r="CR160" s="273">
        <f>IF(CR154&lt;0,CR140+CR152,0)</f>
        <v/>
      </c>
      <c r="CS160" s="273">
        <f>IF(CS154&lt;0,CS140+CS152,0)</f>
        <v/>
      </c>
      <c r="CT160" s="273">
        <f>IF(CT154&lt;0,CT140+CT152,0)</f>
        <v/>
      </c>
      <c r="CU160" s="273">
        <f>IF(CU154&lt;0,CU140+CU152,0)</f>
        <v/>
      </c>
      <c r="CV160" s="273">
        <f>IF(CV154&lt;0,CV140+CV152,0)</f>
        <v/>
      </c>
      <c r="CW160" s="273">
        <f>IF(CW154&lt;0,CW140+CW152,0)</f>
        <v/>
      </c>
      <c r="CX160" s="273">
        <f>IF(CX154&lt;0,CX140+CX152,0)</f>
        <v/>
      </c>
      <c r="CY160" s="273">
        <f>IF(CY154&lt;0,CY140+CY152,0)</f>
        <v/>
      </c>
      <c r="CZ160" s="273">
        <f>IF(CZ154&lt;0,CZ140+CZ152,0)</f>
        <v/>
      </c>
      <c r="DA160" s="273">
        <f>IF(DA154&lt;0,DA140+DA152,0)</f>
        <v/>
      </c>
      <c r="DB160" s="273">
        <f>IF(DB154&lt;0,DB140+DB152,0)</f>
        <v/>
      </c>
      <c r="DC160" s="273" t="n"/>
      <c r="DD160" s="295">
        <f>SUM(F160:DB160)</f>
        <v/>
      </c>
    </row>
    <row r="161" ht="14.1" customFormat="1" customHeight="1" s="321">
      <c r="A161" s="713" t="n"/>
      <c r="B161" s="718" t="inlineStr">
        <is>
          <t xml:space="preserve">   Total Loss to Breakeven</t>
        </is>
      </c>
      <c r="C161" s="340" t="n"/>
      <c r="D161" s="319">
        <f>DD161</f>
        <v/>
      </c>
      <c r="E161" s="281" t="n"/>
      <c r="F161" s="320">
        <f>SUM(F157:F160)</f>
        <v/>
      </c>
      <c r="G161" s="320">
        <f>SUM(G157:G160)</f>
        <v/>
      </c>
      <c r="H161" s="320">
        <f>SUM(H157:H160)</f>
        <v/>
      </c>
      <c r="I161" s="320">
        <f>SUM(I157:I160)</f>
        <v/>
      </c>
      <c r="J161" s="320">
        <f>SUM(J157:J160)</f>
        <v/>
      </c>
      <c r="K161" s="320">
        <f>SUM(K157:K160)</f>
        <v/>
      </c>
      <c r="L161" s="320">
        <f>SUM(L157:L160)</f>
        <v/>
      </c>
      <c r="M161" s="320">
        <f>SUM(M157:M160)</f>
        <v/>
      </c>
      <c r="N161" s="320">
        <f>SUM(N157:N160)</f>
        <v/>
      </c>
      <c r="O161" s="320">
        <f>SUM(O157:O160)</f>
        <v/>
      </c>
      <c r="P161" s="320">
        <f>SUM(P157:P160)</f>
        <v/>
      </c>
      <c r="Q161" s="320">
        <f>SUM(Q157:Q160)</f>
        <v/>
      </c>
      <c r="R161" s="320">
        <f>SUM(R157:R160)</f>
        <v/>
      </c>
      <c r="S161" s="320">
        <f>SUM(S157:S160)</f>
        <v/>
      </c>
      <c r="T161" s="320">
        <f>SUM(T157:T160)</f>
        <v/>
      </c>
      <c r="U161" s="320">
        <f>SUM(U157:U160)</f>
        <v/>
      </c>
      <c r="V161" s="320">
        <f>SUM(V157:V160)</f>
        <v/>
      </c>
      <c r="W161" s="320">
        <f>SUM(W157:W160)</f>
        <v/>
      </c>
      <c r="X161" s="320">
        <f>SUM(X157:X160)</f>
        <v/>
      </c>
      <c r="Y161" s="320">
        <f>SUM(Y157:Y160)</f>
        <v/>
      </c>
      <c r="Z161" s="320">
        <f>SUM(Z157:Z160)</f>
        <v/>
      </c>
      <c r="AA161" s="320">
        <f>SUM(AA157:AA160)</f>
        <v/>
      </c>
      <c r="AB161" s="320">
        <f>SUM(AB157:AB160)</f>
        <v/>
      </c>
      <c r="AC161" s="320">
        <f>SUM(AC157:AC160)</f>
        <v/>
      </c>
      <c r="AD161" s="320">
        <f>SUM(AD157:AD160)</f>
        <v/>
      </c>
      <c r="AE161" s="320">
        <f>SUM(AE157:AE160)</f>
        <v/>
      </c>
      <c r="AF161" s="320">
        <f>SUM(AF157:AF160)</f>
        <v/>
      </c>
      <c r="AG161" s="320">
        <f>SUM(AG157:AG160)</f>
        <v/>
      </c>
      <c r="AH161" s="320">
        <f>SUM(AH157:AH160)</f>
        <v/>
      </c>
      <c r="AI161" s="320">
        <f>SUM(AI157:AI160)</f>
        <v/>
      </c>
      <c r="AJ161" s="320">
        <f>SUM(AJ157:AJ160)</f>
        <v/>
      </c>
      <c r="AK161" s="320">
        <f>SUM(AK157:AK160)</f>
        <v/>
      </c>
      <c r="AL161" s="320">
        <f>SUM(AL157:AL160)</f>
        <v/>
      </c>
      <c r="AM161" s="320">
        <f>SUM(AM157:AM160)</f>
        <v/>
      </c>
      <c r="AN161" s="320">
        <f>SUM(AN157:AN160)</f>
        <v/>
      </c>
      <c r="AO161" s="320">
        <f>SUM(AO157:AO160)</f>
        <v/>
      </c>
      <c r="AP161" s="320">
        <f>SUM(AP157:AP160)</f>
        <v/>
      </c>
      <c r="AQ161" s="320">
        <f>SUM(AQ157:AQ160)</f>
        <v/>
      </c>
      <c r="AR161" s="320">
        <f>SUM(AR157:AR160)</f>
        <v/>
      </c>
      <c r="AS161" s="320">
        <f>SUM(AS157:AS160)</f>
        <v/>
      </c>
      <c r="AT161" s="320">
        <f>SUM(AT157:AT160)</f>
        <v/>
      </c>
      <c r="AU161" s="320">
        <f>SUM(AU157:AU160)</f>
        <v/>
      </c>
      <c r="AV161" s="320">
        <f>SUM(AV157:AV160)</f>
        <v/>
      </c>
      <c r="AW161" s="320">
        <f>SUM(AW157:AW160)</f>
        <v/>
      </c>
      <c r="AX161" s="320">
        <f>SUM(AX157:AX160)</f>
        <v/>
      </c>
      <c r="AY161" s="320">
        <f>SUM(AY157:AY160)</f>
        <v/>
      </c>
      <c r="AZ161" s="320">
        <f>SUM(AZ157:AZ160)</f>
        <v/>
      </c>
      <c r="BA161" s="320">
        <f>SUM(BA157:BA160)</f>
        <v/>
      </c>
      <c r="BB161" s="320">
        <f>SUM(BB157:BB160)</f>
        <v/>
      </c>
      <c r="BC161" s="320">
        <f>SUM(BC157:BC160)</f>
        <v/>
      </c>
      <c r="BD161" s="320">
        <f>SUM(BD157:BD160)</f>
        <v/>
      </c>
      <c r="BE161" s="320">
        <f>SUM(BE157:BE160)</f>
        <v/>
      </c>
      <c r="BF161" s="320">
        <f>SUM(BF157:BF160)</f>
        <v/>
      </c>
      <c r="BG161" s="320">
        <f>SUM(BG157:BG160)</f>
        <v/>
      </c>
      <c r="BH161" s="320">
        <f>SUM(BH157:BH160)</f>
        <v/>
      </c>
      <c r="BI161" s="320">
        <f>SUM(BI157:BI160)</f>
        <v/>
      </c>
      <c r="BJ161" s="320">
        <f>SUM(BJ157:BJ160)</f>
        <v/>
      </c>
      <c r="BK161" s="320">
        <f>SUM(BK157:BK160)</f>
        <v/>
      </c>
      <c r="BL161" s="320">
        <f>SUM(BL157:BL160)</f>
        <v/>
      </c>
      <c r="BM161" s="320">
        <f>SUM(BM157:BM160)</f>
        <v/>
      </c>
      <c r="BN161" s="320">
        <f>SUM(BN157:BN160)</f>
        <v/>
      </c>
      <c r="BO161" s="320">
        <f>SUM(BO157:BO160)</f>
        <v/>
      </c>
      <c r="BP161" s="320">
        <f>SUM(BP157:BP160)</f>
        <v/>
      </c>
      <c r="BQ161" s="320">
        <f>SUM(BQ157:BQ160)</f>
        <v/>
      </c>
      <c r="BR161" s="320">
        <f>SUM(BR157:BR160)</f>
        <v/>
      </c>
      <c r="BS161" s="320">
        <f>SUM(BS157:BS160)</f>
        <v/>
      </c>
      <c r="BT161" s="320">
        <f>SUM(BT157:BT160)</f>
        <v/>
      </c>
      <c r="BU161" s="320">
        <f>SUM(BU157:BU160)</f>
        <v/>
      </c>
      <c r="BV161" s="320">
        <f>SUM(BV157:BV160)</f>
        <v/>
      </c>
      <c r="BW161" s="320">
        <f>SUM(BW157:BW160)</f>
        <v/>
      </c>
      <c r="BX161" s="320">
        <f>SUM(BX157:BX160)</f>
        <v/>
      </c>
      <c r="BY161" s="320">
        <f>SUM(BY157:BY160)</f>
        <v/>
      </c>
      <c r="BZ161" s="320">
        <f>SUM(BZ157:BZ160)</f>
        <v/>
      </c>
      <c r="CA161" s="320">
        <f>SUM(CA157:CA160)</f>
        <v/>
      </c>
      <c r="CB161" s="320">
        <f>SUM(CB157:CB160)</f>
        <v/>
      </c>
      <c r="CC161" s="320">
        <f>SUM(CC157:CC160)</f>
        <v/>
      </c>
      <c r="CD161" s="320">
        <f>SUM(CD157:CD160)</f>
        <v/>
      </c>
      <c r="CE161" s="320">
        <f>SUM(CE157:CE160)</f>
        <v/>
      </c>
      <c r="CF161" s="320">
        <f>SUM(CF157:CF160)</f>
        <v/>
      </c>
      <c r="CG161" s="320">
        <f>SUM(CG157:CG160)</f>
        <v/>
      </c>
      <c r="CH161" s="320">
        <f>SUM(CH157:CH160)</f>
        <v/>
      </c>
      <c r="CI161" s="320">
        <f>SUM(CI157:CI160)</f>
        <v/>
      </c>
      <c r="CJ161" s="320">
        <f>SUM(CJ157:CJ160)</f>
        <v/>
      </c>
      <c r="CK161" s="320">
        <f>SUM(CK157:CK160)</f>
        <v/>
      </c>
      <c r="CL161" s="320">
        <f>SUM(CL157:CL160)</f>
        <v/>
      </c>
      <c r="CM161" s="320">
        <f>SUM(CM157:CM160)</f>
        <v/>
      </c>
      <c r="CN161" s="320">
        <f>SUM(CN157:CN160)</f>
        <v/>
      </c>
      <c r="CO161" s="320">
        <f>SUM(CO157:CO160)</f>
        <v/>
      </c>
      <c r="CP161" s="320">
        <f>SUM(CP157:CP160)</f>
        <v/>
      </c>
      <c r="CQ161" s="320">
        <f>SUM(CQ157:CQ160)</f>
        <v/>
      </c>
      <c r="CR161" s="320">
        <f>SUM(CR157:CR160)</f>
        <v/>
      </c>
      <c r="CS161" s="320">
        <f>SUM(CS157:CS160)</f>
        <v/>
      </c>
      <c r="CT161" s="320">
        <f>SUM(CT157:CT160)</f>
        <v/>
      </c>
      <c r="CU161" s="320">
        <f>SUM(CU157:CU160)</f>
        <v/>
      </c>
      <c r="CV161" s="320">
        <f>SUM(CV157:CV160)</f>
        <v/>
      </c>
      <c r="CW161" s="320">
        <f>SUM(CW157:CW160)</f>
        <v/>
      </c>
      <c r="CX161" s="320">
        <f>SUM(CX157:CX160)</f>
        <v/>
      </c>
      <c r="CY161" s="320">
        <f>SUM(CY157:CY160)</f>
        <v/>
      </c>
      <c r="CZ161" s="320">
        <f>SUM(CZ157:CZ160)</f>
        <v/>
      </c>
      <c r="DA161" s="320">
        <f>SUM(DA157:DA160)</f>
        <v/>
      </c>
      <c r="DB161" s="320">
        <f>SUM(DB157:DB160)</f>
        <v/>
      </c>
      <c r="DC161" s="320" t="n"/>
      <c r="DD161" s="319">
        <f>SUM(F161:DB161)</f>
        <v/>
      </c>
    </row>
    <row r="162">
      <c r="A162" s="13" t="n"/>
      <c r="B162" s="13" t="n"/>
      <c r="C162" s="13" t="n"/>
      <c r="D162" s="13" t="n"/>
      <c r="E162" s="271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  <c r="AP162" s="13" t="n"/>
      <c r="AQ162" s="13" t="n"/>
      <c r="AR162" s="13" t="n"/>
      <c r="AS162" s="13" t="n"/>
      <c r="AT162" s="13" t="n"/>
      <c r="AU162" s="13" t="n"/>
      <c r="AV162" s="13" t="n"/>
      <c r="AW162" s="13" t="n"/>
      <c r="AX162" s="13" t="n"/>
      <c r="AY162" s="13" t="n"/>
      <c r="AZ162" s="13" t="n"/>
      <c r="BA162" s="13" t="n"/>
      <c r="BB162" s="13" t="n"/>
      <c r="BC162" s="13" t="n"/>
      <c r="BD162" s="13" t="n"/>
      <c r="BE162" s="13" t="n"/>
      <c r="BF162" s="13" t="n"/>
      <c r="BG162" s="13" t="n"/>
      <c r="BH162" s="13" t="n"/>
      <c r="BI162" s="13" t="n"/>
      <c r="BJ162" s="13" t="n"/>
      <c r="BK162" s="13" t="n"/>
      <c r="BL162" s="13" t="n"/>
      <c r="BM162" s="13" t="n"/>
      <c r="BN162" s="13" t="n"/>
      <c r="BO162" s="13" t="n"/>
      <c r="BP162" s="13" t="n"/>
      <c r="BQ162" s="13" t="n"/>
      <c r="BR162" s="13" t="n"/>
      <c r="BS162" s="13" t="n"/>
      <c r="BT162" s="13" t="n"/>
      <c r="BU162" s="13" t="n"/>
      <c r="BV162" s="13" t="n"/>
      <c r="BW162" s="13" t="n"/>
      <c r="BX162" s="13" t="n"/>
      <c r="BY162" s="13" t="n"/>
      <c r="BZ162" s="13" t="n"/>
      <c r="CA162" s="13" t="n"/>
      <c r="CB162" s="13" t="n"/>
      <c r="CC162" s="13" t="n"/>
      <c r="CD162" s="13" t="n"/>
      <c r="CE162" s="13" t="n"/>
      <c r="CF162" s="13" t="n"/>
      <c r="CG162" s="13" t="n"/>
      <c r="CH162" s="13" t="n"/>
      <c r="CI162" s="13" t="n"/>
      <c r="CJ162" s="13" t="n"/>
      <c r="CK162" s="13" t="n"/>
      <c r="CL162" s="13" t="n"/>
      <c r="CM162" s="13" t="n"/>
      <c r="CN162" s="13" t="n"/>
      <c r="CO162" s="13" t="n"/>
      <c r="CP162" s="13" t="n"/>
      <c r="CQ162" s="13" t="n"/>
      <c r="CR162" s="13" t="n"/>
      <c r="CS162" s="13" t="n"/>
      <c r="CT162" s="13" t="n"/>
      <c r="CU162" s="13" t="n"/>
      <c r="CV162" s="13" t="n"/>
      <c r="CW162" s="13" t="n"/>
      <c r="CX162" s="13" t="n"/>
      <c r="CY162" s="13" t="n"/>
      <c r="CZ162" s="13" t="n"/>
      <c r="DA162" s="13" t="n"/>
      <c r="DB162" s="13" t="n"/>
      <c r="DC162" s="13" t="n"/>
      <c r="DD162" s="13" t="n"/>
    </row>
    <row r="163" ht="14.1" customFormat="1" customHeight="1" s="312">
      <c r="A163" s="708" t="n"/>
      <c r="B163" s="709" t="inlineStr">
        <is>
          <t>Total Project Costs</t>
        </is>
      </c>
      <c r="C163" s="280" t="n"/>
      <c r="D163" s="311">
        <f>DD163</f>
        <v/>
      </c>
      <c r="E163" s="281" t="n"/>
      <c r="F163" s="279">
        <f>F106+F109+F110+F161</f>
        <v/>
      </c>
      <c r="G163" s="279">
        <f>G106+G109+G110+G161</f>
        <v/>
      </c>
      <c r="H163" s="279">
        <f>H106+H109+H110+H161</f>
        <v/>
      </c>
      <c r="I163" s="279">
        <f>I106+I109+I110+I161</f>
        <v/>
      </c>
      <c r="J163" s="279">
        <f>J106+J109+J110+J161</f>
        <v/>
      </c>
      <c r="K163" s="279">
        <f>K106+K109+K110+K161</f>
        <v/>
      </c>
      <c r="L163" s="279">
        <f>L106+L109+L110+L161</f>
        <v/>
      </c>
      <c r="M163" s="279">
        <f>M106+M109+M110+M161</f>
        <v/>
      </c>
      <c r="N163" s="279">
        <f>N106+N109+N110+N161</f>
        <v/>
      </c>
      <c r="O163" s="279">
        <f>O106+O109+O110+O161</f>
        <v/>
      </c>
      <c r="P163" s="279">
        <f>P106+P109+P110+P161</f>
        <v/>
      </c>
      <c r="Q163" s="279">
        <f>Q106+Q109+Q110+Q161</f>
        <v/>
      </c>
      <c r="R163" s="279">
        <f>R106+R109+R110+R161</f>
        <v/>
      </c>
      <c r="S163" s="279">
        <f>S106+S109+S110+S161</f>
        <v/>
      </c>
      <c r="T163" s="279">
        <f>T106+T109+T110+T161</f>
        <v/>
      </c>
      <c r="U163" s="279">
        <f>U106+U109+U110+U161</f>
        <v/>
      </c>
      <c r="V163" s="279">
        <f>V106+V109+V110+V161</f>
        <v/>
      </c>
      <c r="W163" s="279">
        <f>W106+W109+W110+W161</f>
        <v/>
      </c>
      <c r="X163" s="279">
        <f>X106+X109+X110+X161</f>
        <v/>
      </c>
      <c r="Y163" s="279">
        <f>Y106+Y109+Y110+Y161</f>
        <v/>
      </c>
      <c r="Z163" s="279">
        <f>Z106+Z109+Z110+Z161</f>
        <v/>
      </c>
      <c r="AA163" s="279">
        <f>AA106+AA109+AA110+AA161</f>
        <v/>
      </c>
      <c r="AB163" s="279">
        <f>AB106+AB109+AB110+AB161</f>
        <v/>
      </c>
      <c r="AC163" s="279">
        <f>AC106+AC109+AC110+AC161</f>
        <v/>
      </c>
      <c r="AD163" s="279">
        <f>AD106+AD109+AD110+AD161</f>
        <v/>
      </c>
      <c r="AE163" s="279">
        <f>AE106+AE109+AE110+AE161</f>
        <v/>
      </c>
      <c r="AF163" s="279">
        <f>AF106+AF109+AF110+AF161</f>
        <v/>
      </c>
      <c r="AG163" s="279">
        <f>AG106+AG109+AG110+AG161</f>
        <v/>
      </c>
      <c r="AH163" s="279">
        <f>AH106+AH109+AH110+AH161</f>
        <v/>
      </c>
      <c r="AI163" s="279">
        <f>AI106+AI109+AI110+AI161</f>
        <v/>
      </c>
      <c r="AJ163" s="279">
        <f>AJ106+AJ109+AJ110+AJ161</f>
        <v/>
      </c>
      <c r="AK163" s="279">
        <f>AK106+AK109+AK110+AK161</f>
        <v/>
      </c>
      <c r="AL163" s="279">
        <f>AL106+AL109+AL110+AL161</f>
        <v/>
      </c>
      <c r="AM163" s="279">
        <f>AM106+AM109+AM110+AM161</f>
        <v/>
      </c>
      <c r="AN163" s="279">
        <f>AN106+AN109+AN110+AN161</f>
        <v/>
      </c>
      <c r="AO163" s="279">
        <f>AO106+AO109+AO110+AO161</f>
        <v/>
      </c>
      <c r="AP163" s="279">
        <f>AP106+AP109+AP110+AP161</f>
        <v/>
      </c>
      <c r="AQ163" s="279">
        <f>AQ106+AQ109+AQ110+AQ161</f>
        <v/>
      </c>
      <c r="AR163" s="279">
        <f>AR106+AR109+AR110+AR161</f>
        <v/>
      </c>
      <c r="AS163" s="279">
        <f>AS106+AS109+AS110+AS161</f>
        <v/>
      </c>
      <c r="AT163" s="279">
        <f>AT106+AT109+AT110+AT161</f>
        <v/>
      </c>
      <c r="AU163" s="279">
        <f>AU106+AU109+AU110+AU161</f>
        <v/>
      </c>
      <c r="AV163" s="279">
        <f>AV106+AV109+AV110+AV161</f>
        <v/>
      </c>
      <c r="AW163" s="279">
        <f>AW106+AW109+AW110+AW161</f>
        <v/>
      </c>
      <c r="AX163" s="279">
        <f>AX106+AX109+AX110+AX161</f>
        <v/>
      </c>
      <c r="AY163" s="279">
        <f>AY106+AY109+AY110+AY161</f>
        <v/>
      </c>
      <c r="AZ163" s="279">
        <f>AZ106+AZ109+AZ110+AZ161</f>
        <v/>
      </c>
      <c r="BA163" s="279">
        <f>BA106+BA109+BA110+BA161</f>
        <v/>
      </c>
      <c r="BB163" s="279">
        <f>BB106+BB109+BB110+BB161</f>
        <v/>
      </c>
      <c r="BC163" s="279">
        <f>BC106+BC109+BC110+BC161</f>
        <v/>
      </c>
      <c r="BD163" s="279">
        <f>BD106+BD109+BD110+BD161</f>
        <v/>
      </c>
      <c r="BE163" s="279">
        <f>BE106+BE109+BE110+BE161</f>
        <v/>
      </c>
      <c r="BF163" s="279">
        <f>BF106+BF109+BF110+BF161</f>
        <v/>
      </c>
      <c r="BG163" s="279">
        <f>BG106+BG109+BG110+BG161</f>
        <v/>
      </c>
      <c r="BH163" s="279">
        <f>BH106+BH109+BH110+BH161</f>
        <v/>
      </c>
      <c r="BI163" s="279">
        <f>BI106+BI109+BI110+BI161</f>
        <v/>
      </c>
      <c r="BJ163" s="279">
        <f>BJ106+BJ109+BJ110+BJ161</f>
        <v/>
      </c>
      <c r="BK163" s="279">
        <f>BK106+BK109+BK110+BK161</f>
        <v/>
      </c>
      <c r="BL163" s="279">
        <f>BL106+BL109+BL110+BL161</f>
        <v/>
      </c>
      <c r="BM163" s="279">
        <f>BM106+BM109+BM110+BM161</f>
        <v/>
      </c>
      <c r="BN163" s="279">
        <f>BN106+BN109+BN110+BN161</f>
        <v/>
      </c>
      <c r="BO163" s="279">
        <f>BO106+BO109+BO110+BO161</f>
        <v/>
      </c>
      <c r="BP163" s="279">
        <f>BP106+BP109+BP110+BP161</f>
        <v/>
      </c>
      <c r="BQ163" s="279">
        <f>BQ106+BQ109+BQ110+BQ161</f>
        <v/>
      </c>
      <c r="BR163" s="279">
        <f>BR106+BR109+BR110+BR161</f>
        <v/>
      </c>
      <c r="BS163" s="279">
        <f>BS106+BS109+BS110+BS161</f>
        <v/>
      </c>
      <c r="BT163" s="279">
        <f>BT106+BT109+BT110+BT161</f>
        <v/>
      </c>
      <c r="BU163" s="279">
        <f>BU106+BU109+BU110+BU161</f>
        <v/>
      </c>
      <c r="BV163" s="279">
        <f>BV106+BV109+BV110+BV161</f>
        <v/>
      </c>
      <c r="BW163" s="279">
        <f>BW106+BW109+BW110+BW161</f>
        <v/>
      </c>
      <c r="BX163" s="279">
        <f>BX106+BX109+BX110+BX161</f>
        <v/>
      </c>
      <c r="BY163" s="279">
        <f>BY106+BY109+BY110+BY161</f>
        <v/>
      </c>
      <c r="BZ163" s="279">
        <f>BZ106+BZ109+BZ110+BZ161</f>
        <v/>
      </c>
      <c r="CA163" s="279">
        <f>CA106+CA109+CA110+CA161</f>
        <v/>
      </c>
      <c r="CB163" s="279">
        <f>CB106+CB109+CB110+CB161</f>
        <v/>
      </c>
      <c r="CC163" s="279">
        <f>CC106+CC109+CC110+CC161</f>
        <v/>
      </c>
      <c r="CD163" s="279">
        <f>CD106+CD109+CD110+CD161</f>
        <v/>
      </c>
      <c r="CE163" s="279">
        <f>CE106+CE109+CE110+CE161</f>
        <v/>
      </c>
      <c r="CF163" s="279">
        <f>CF106+CF109+CF110+CF161</f>
        <v/>
      </c>
      <c r="CG163" s="279">
        <f>CG106+CG109+CG110+CG161</f>
        <v/>
      </c>
      <c r="CH163" s="279">
        <f>CH106+CH109+CH110+CH161</f>
        <v/>
      </c>
      <c r="CI163" s="279">
        <f>CI106+CI109+CI110+CI161</f>
        <v/>
      </c>
      <c r="CJ163" s="279">
        <f>CJ106+CJ109+CJ110+CJ161</f>
        <v/>
      </c>
      <c r="CK163" s="279">
        <f>CK106+CK109+CK110+CK161</f>
        <v/>
      </c>
      <c r="CL163" s="279">
        <f>CL106+CL109+CL110+CL161</f>
        <v/>
      </c>
      <c r="CM163" s="279">
        <f>CM106+CM109+CM110+CM161</f>
        <v/>
      </c>
      <c r="CN163" s="279">
        <f>CN106+CN109+CN110+CN161</f>
        <v/>
      </c>
      <c r="CO163" s="279">
        <f>CO106+CO109+CO110+CO161</f>
        <v/>
      </c>
      <c r="CP163" s="279">
        <f>CP106+CP109+CP110+CP161</f>
        <v/>
      </c>
      <c r="CQ163" s="279">
        <f>CQ106+CQ109+CQ110+CQ161</f>
        <v/>
      </c>
      <c r="CR163" s="279">
        <f>CR106+CR109+CR110+CR161</f>
        <v/>
      </c>
      <c r="CS163" s="279">
        <f>CS106+CS109+CS110+CS161</f>
        <v/>
      </c>
      <c r="CT163" s="279">
        <f>CT106+CT109+CT110+CT161</f>
        <v/>
      </c>
      <c r="CU163" s="279">
        <f>CU106+CU109+CU110+CU161</f>
        <v/>
      </c>
      <c r="CV163" s="279">
        <f>CV106+CV109+CV110+CV161</f>
        <v/>
      </c>
      <c r="CW163" s="279">
        <f>CW106+CW109+CW110+CW161</f>
        <v/>
      </c>
      <c r="CX163" s="279">
        <f>CX106+CX109+CX110+CX161</f>
        <v/>
      </c>
      <c r="CY163" s="279">
        <f>CY106+CY109+CY110+CY161</f>
        <v/>
      </c>
      <c r="CZ163" s="279">
        <f>CZ106+CZ109+CZ110+CZ161</f>
        <v/>
      </c>
      <c r="DA163" s="279">
        <f>DA106+DA109+DA110+DA161</f>
        <v/>
      </c>
      <c r="DB163" s="279">
        <f>DB106+DB109+DB110+DB161</f>
        <v/>
      </c>
      <c r="DC163" s="279" t="n"/>
      <c r="DD163" s="311">
        <f>SUM(F163:DB163)</f>
        <v/>
      </c>
    </row>
    <row r="164" ht="14.1" customFormat="1" customHeight="1" s="312">
      <c r="A164" s="708" t="n"/>
      <c r="B164" s="709" t="inlineStr">
        <is>
          <t>Total Project Costs Cumulative</t>
        </is>
      </c>
      <c r="C164" s="280" t="n"/>
      <c r="D164" s="311">
        <f>DD164</f>
        <v/>
      </c>
      <c r="E164" s="281" t="n"/>
      <c r="F164" s="279">
        <f>F163</f>
        <v/>
      </c>
      <c r="G164" s="279">
        <f>F164+G163</f>
        <v/>
      </c>
      <c r="H164" s="279">
        <f>G164+H163</f>
        <v/>
      </c>
      <c r="I164" s="279">
        <f>H164+I163</f>
        <v/>
      </c>
      <c r="J164" s="279">
        <f>I164+J163</f>
        <v/>
      </c>
      <c r="K164" s="279">
        <f>J164+K163</f>
        <v/>
      </c>
      <c r="L164" s="279">
        <f>K164+L163</f>
        <v/>
      </c>
      <c r="M164" s="279">
        <f>L164+M163</f>
        <v/>
      </c>
      <c r="N164" s="279">
        <f>M164+N163</f>
        <v/>
      </c>
      <c r="O164" s="279">
        <f>N164+O163</f>
        <v/>
      </c>
      <c r="P164" s="279">
        <f>O164+P163</f>
        <v/>
      </c>
      <c r="Q164" s="279">
        <f>P164+Q163</f>
        <v/>
      </c>
      <c r="R164" s="279">
        <f>Q164+R163</f>
        <v/>
      </c>
      <c r="S164" s="279">
        <f>R164+S163</f>
        <v/>
      </c>
      <c r="T164" s="279">
        <f>S164+T163</f>
        <v/>
      </c>
      <c r="U164" s="279">
        <f>T164+U163</f>
        <v/>
      </c>
      <c r="V164" s="279">
        <f>U164+V163</f>
        <v/>
      </c>
      <c r="W164" s="279">
        <f>V164+W163</f>
        <v/>
      </c>
      <c r="X164" s="279">
        <f>W164+X163</f>
        <v/>
      </c>
      <c r="Y164" s="279">
        <f>X164+Y163</f>
        <v/>
      </c>
      <c r="Z164" s="279">
        <f>Y164+Z163</f>
        <v/>
      </c>
      <c r="AA164" s="279">
        <f>Z164+AA163</f>
        <v/>
      </c>
      <c r="AB164" s="279">
        <f>AA164+AB163</f>
        <v/>
      </c>
      <c r="AC164" s="279">
        <f>AB164+AC163</f>
        <v/>
      </c>
      <c r="AD164" s="279">
        <f>AC164+AD163</f>
        <v/>
      </c>
      <c r="AE164" s="279">
        <f>AD164+AE163</f>
        <v/>
      </c>
      <c r="AF164" s="279">
        <f>AE164+AF163</f>
        <v/>
      </c>
      <c r="AG164" s="279">
        <f>AF164+AG163</f>
        <v/>
      </c>
      <c r="AH164" s="279">
        <f>AG164+AH163</f>
        <v/>
      </c>
      <c r="AI164" s="279">
        <f>AH164+AI163</f>
        <v/>
      </c>
      <c r="AJ164" s="279">
        <f>AI164+AJ163</f>
        <v/>
      </c>
      <c r="AK164" s="279">
        <f>AJ164+AK163</f>
        <v/>
      </c>
      <c r="AL164" s="279">
        <f>AK164+AL163</f>
        <v/>
      </c>
      <c r="AM164" s="279">
        <f>AL164+AM163</f>
        <v/>
      </c>
      <c r="AN164" s="279">
        <f>AM164+AN163</f>
        <v/>
      </c>
      <c r="AO164" s="279">
        <f>AN164+AO163</f>
        <v/>
      </c>
      <c r="AP164" s="279">
        <f>AO164+AP163</f>
        <v/>
      </c>
      <c r="AQ164" s="279">
        <f>AP164+AQ163</f>
        <v/>
      </c>
      <c r="AR164" s="279">
        <f>AQ164+AR163</f>
        <v/>
      </c>
      <c r="AS164" s="279">
        <f>AR164+AS163</f>
        <v/>
      </c>
      <c r="AT164" s="279">
        <f>AS164+AT163</f>
        <v/>
      </c>
      <c r="AU164" s="279">
        <f>AT164+AU163</f>
        <v/>
      </c>
      <c r="AV164" s="279">
        <f>AU164+AV163</f>
        <v/>
      </c>
      <c r="AW164" s="279">
        <f>AV164+AW163</f>
        <v/>
      </c>
      <c r="AX164" s="279">
        <f>AW164+AX163</f>
        <v/>
      </c>
      <c r="AY164" s="279">
        <f>AX164+AY163</f>
        <v/>
      </c>
      <c r="AZ164" s="279">
        <f>AY164+AZ163</f>
        <v/>
      </c>
      <c r="BA164" s="279">
        <f>AZ164+BA163</f>
        <v/>
      </c>
      <c r="BB164" s="279">
        <f>BA164+BB163</f>
        <v/>
      </c>
      <c r="BC164" s="279">
        <f>BB164+BC163</f>
        <v/>
      </c>
      <c r="BD164" s="279">
        <f>BC164+BD163</f>
        <v/>
      </c>
      <c r="BE164" s="279">
        <f>BD164+BE163</f>
        <v/>
      </c>
      <c r="BF164" s="279">
        <f>BE164+BF163</f>
        <v/>
      </c>
      <c r="BG164" s="279">
        <f>BF164+BG163</f>
        <v/>
      </c>
      <c r="BH164" s="279">
        <f>BG164+BH163</f>
        <v/>
      </c>
      <c r="BI164" s="279">
        <f>BH164+BI163</f>
        <v/>
      </c>
      <c r="BJ164" s="279">
        <f>BI164+BJ163</f>
        <v/>
      </c>
      <c r="BK164" s="279">
        <f>BJ164+BK163</f>
        <v/>
      </c>
      <c r="BL164" s="279">
        <f>BK164+BL163</f>
        <v/>
      </c>
      <c r="BM164" s="279">
        <f>BL164+BM163</f>
        <v/>
      </c>
      <c r="BN164" s="279">
        <f>BM164+BN163</f>
        <v/>
      </c>
      <c r="BO164" s="279">
        <f>BN164+BO163</f>
        <v/>
      </c>
      <c r="BP164" s="279">
        <f>BO164+BP163</f>
        <v/>
      </c>
      <c r="BQ164" s="279">
        <f>BP164+BQ163</f>
        <v/>
      </c>
      <c r="BR164" s="279">
        <f>BQ164+BR163</f>
        <v/>
      </c>
      <c r="BS164" s="279">
        <f>BR164+BS163</f>
        <v/>
      </c>
      <c r="BT164" s="279">
        <f>BS164+BT163</f>
        <v/>
      </c>
      <c r="BU164" s="279">
        <f>BT164+BU163</f>
        <v/>
      </c>
      <c r="BV164" s="279">
        <f>BU164+BV163</f>
        <v/>
      </c>
      <c r="BW164" s="279">
        <f>BV164+BW163</f>
        <v/>
      </c>
      <c r="BX164" s="279">
        <f>BW164+BX163</f>
        <v/>
      </c>
      <c r="BY164" s="279">
        <f>BX164+BY163</f>
        <v/>
      </c>
      <c r="BZ164" s="279">
        <f>BY164+BZ163</f>
        <v/>
      </c>
      <c r="CA164" s="279">
        <f>BZ164+CA163</f>
        <v/>
      </c>
      <c r="CB164" s="279">
        <f>CA164+CB163</f>
        <v/>
      </c>
      <c r="CC164" s="279">
        <f>CB164+CC163</f>
        <v/>
      </c>
      <c r="CD164" s="279">
        <f>CC164+CD163</f>
        <v/>
      </c>
      <c r="CE164" s="279">
        <f>CD164+CE163</f>
        <v/>
      </c>
      <c r="CF164" s="279">
        <f>CE164+CF163</f>
        <v/>
      </c>
      <c r="CG164" s="279">
        <f>CF164+CG163</f>
        <v/>
      </c>
      <c r="CH164" s="279">
        <f>CG164+CH163</f>
        <v/>
      </c>
      <c r="CI164" s="279">
        <f>CH164+CI163</f>
        <v/>
      </c>
      <c r="CJ164" s="279">
        <f>CI164+CJ163</f>
        <v/>
      </c>
      <c r="CK164" s="279">
        <f>CJ164+CK163</f>
        <v/>
      </c>
      <c r="CL164" s="279">
        <f>CK164+CL163</f>
        <v/>
      </c>
      <c r="CM164" s="279">
        <f>CL164+CM163</f>
        <v/>
      </c>
      <c r="CN164" s="279">
        <f>CM164+CN163</f>
        <v/>
      </c>
      <c r="CO164" s="279">
        <f>CN164+CO163</f>
        <v/>
      </c>
      <c r="CP164" s="279">
        <f>CO164+CP163</f>
        <v/>
      </c>
      <c r="CQ164" s="279">
        <f>CP164+CQ163</f>
        <v/>
      </c>
      <c r="CR164" s="279">
        <f>CQ164+CR163</f>
        <v/>
      </c>
      <c r="CS164" s="279">
        <f>CR164+CS163</f>
        <v/>
      </c>
      <c r="CT164" s="279">
        <f>CS164+CT163</f>
        <v/>
      </c>
      <c r="CU164" s="279">
        <f>CT164+CU163</f>
        <v/>
      </c>
      <c r="CV164" s="279">
        <f>CU164+CV163</f>
        <v/>
      </c>
      <c r="CW164" s="279">
        <f>CV164+CW163</f>
        <v/>
      </c>
      <c r="CX164" s="279">
        <f>CW164+CX163</f>
        <v/>
      </c>
      <c r="CY164" s="279">
        <f>CX164+CY163</f>
        <v/>
      </c>
      <c r="CZ164" s="279">
        <f>CY164+CZ163</f>
        <v/>
      </c>
      <c r="DA164" s="279">
        <f>CZ164+DA163</f>
        <v/>
      </c>
      <c r="DB164" s="279">
        <f>DA164+DB163</f>
        <v/>
      </c>
      <c r="DC164" s="279" t="n"/>
      <c r="DD164" s="311">
        <f>MIN(F164:DB164)</f>
        <v/>
      </c>
    </row>
    <row r="165">
      <c r="A165" s="13" t="n"/>
      <c r="B165" s="9" t="n"/>
      <c r="C165" s="13" t="n"/>
      <c r="D165" s="13" t="n"/>
      <c r="E165" s="271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  <c r="AM165" s="13" t="n"/>
      <c r="AN165" s="13" t="n"/>
      <c r="AO165" s="13" t="n"/>
      <c r="AP165" s="13" t="n"/>
      <c r="AQ165" s="13" t="n"/>
      <c r="AR165" s="13" t="n"/>
      <c r="AS165" s="13" t="n"/>
      <c r="AT165" s="13" t="n"/>
      <c r="AU165" s="13" t="n"/>
      <c r="AV165" s="13" t="n"/>
      <c r="AW165" s="13" t="n"/>
      <c r="AX165" s="13" t="n"/>
      <c r="AY165" s="13" t="n"/>
      <c r="AZ165" s="13" t="n"/>
      <c r="BA165" s="13" t="n"/>
      <c r="BB165" s="13" t="n"/>
      <c r="BC165" s="13" t="n"/>
      <c r="BD165" s="13" t="n"/>
      <c r="BE165" s="13" t="n"/>
      <c r="BF165" s="13" t="n"/>
      <c r="BG165" s="13" t="n"/>
      <c r="BH165" s="13" t="n"/>
      <c r="BI165" s="13" t="n"/>
      <c r="BJ165" s="13" t="n"/>
      <c r="BK165" s="13" t="n"/>
      <c r="BL165" s="13" t="n"/>
      <c r="BM165" s="13" t="n"/>
      <c r="BN165" s="13" t="n"/>
      <c r="BO165" s="13" t="n"/>
      <c r="BP165" s="13" t="n"/>
      <c r="BQ165" s="13" t="n"/>
      <c r="BR165" s="13" t="n"/>
      <c r="BS165" s="13" t="n"/>
      <c r="BT165" s="13" t="n"/>
      <c r="BU165" s="13" t="n"/>
      <c r="BV165" s="13" t="n"/>
      <c r="BW165" s="13" t="n"/>
      <c r="BX165" s="13" t="n"/>
      <c r="BY165" s="13" t="n"/>
      <c r="BZ165" s="13" t="n"/>
      <c r="CA165" s="13" t="n"/>
      <c r="CB165" s="13" t="n"/>
      <c r="CC165" s="13" t="n"/>
      <c r="CD165" s="13" t="n"/>
      <c r="CE165" s="13" t="n"/>
      <c r="CF165" s="13" t="n"/>
      <c r="CG165" s="13" t="n"/>
      <c r="CH165" s="13" t="n"/>
      <c r="CI165" s="13" t="n"/>
      <c r="CJ165" s="13" t="n"/>
      <c r="CK165" s="13" t="n"/>
      <c r="CL165" s="13" t="n"/>
      <c r="CM165" s="13" t="n"/>
      <c r="CN165" s="13" t="n"/>
      <c r="CO165" s="13" t="n"/>
      <c r="CP165" s="13" t="n"/>
      <c r="CQ165" s="13" t="n"/>
      <c r="CR165" s="13" t="n"/>
      <c r="CS165" s="13" t="n"/>
      <c r="CT165" s="13" t="n"/>
      <c r="CU165" s="13" t="n"/>
      <c r="CV165" s="13" t="n"/>
      <c r="CW165" s="13" t="n"/>
      <c r="CX165" s="13" t="n"/>
      <c r="CY165" s="13" t="n"/>
      <c r="CZ165" s="13" t="n"/>
      <c r="DA165" s="13" t="n"/>
      <c r="DB165" s="13" t="n"/>
      <c r="DC165" s="13" t="n"/>
      <c r="DD165" s="13" t="n"/>
    </row>
    <row r="166">
      <c r="A166" s="13" t="n"/>
      <c r="B166" s="13" t="n"/>
      <c r="C166" s="13" t="n"/>
      <c r="D166" s="13" t="n"/>
      <c r="E166" s="271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  <c r="AS166" s="13" t="n"/>
      <c r="AT166" s="13" t="n"/>
      <c r="AU166" s="13" t="n"/>
      <c r="AV166" s="13" t="n"/>
      <c r="AW166" s="13" t="n"/>
      <c r="AX166" s="13" t="n"/>
      <c r="AY166" s="13" t="n"/>
      <c r="AZ166" s="13" t="n"/>
      <c r="BA166" s="13" t="n"/>
      <c r="BB166" s="13" t="n"/>
      <c r="BC166" s="13" t="n"/>
      <c r="BD166" s="13" t="n"/>
      <c r="BE166" s="13" t="n"/>
      <c r="BF166" s="13" t="n"/>
      <c r="BG166" s="13" t="n"/>
      <c r="BH166" s="13" t="n"/>
      <c r="BI166" s="13" t="n"/>
      <c r="BJ166" s="13" t="n"/>
      <c r="BK166" s="13" t="n"/>
      <c r="BL166" s="13" t="n"/>
      <c r="BM166" s="13" t="n"/>
      <c r="BN166" s="13" t="n"/>
      <c r="BO166" s="13" t="n"/>
      <c r="BP166" s="13" t="n"/>
      <c r="BQ166" s="13" t="n"/>
      <c r="BR166" s="13" t="n"/>
      <c r="BS166" s="13" t="n"/>
      <c r="BT166" s="13" t="n"/>
      <c r="BU166" s="13" t="n"/>
      <c r="BV166" s="13" t="n"/>
      <c r="BW166" s="13" t="n"/>
      <c r="BX166" s="13" t="n"/>
      <c r="BY166" s="13" t="n"/>
      <c r="BZ166" s="13" t="n"/>
      <c r="CA166" s="13" t="n"/>
      <c r="CB166" s="13" t="n"/>
      <c r="CC166" s="13" t="n"/>
      <c r="CD166" s="13" t="n"/>
      <c r="CE166" s="13" t="n"/>
      <c r="CF166" s="13" t="n"/>
      <c r="CG166" s="13" t="n"/>
      <c r="CH166" s="13" t="n"/>
      <c r="CI166" s="13" t="n"/>
      <c r="CJ166" s="13" t="n"/>
      <c r="CK166" s="13" t="n"/>
      <c r="CL166" s="13" t="n"/>
      <c r="CM166" s="13" t="n"/>
      <c r="CN166" s="13" t="n"/>
      <c r="CO166" s="13" t="n"/>
      <c r="CP166" s="13" t="n"/>
      <c r="CQ166" s="13" t="n"/>
      <c r="CR166" s="13" t="n"/>
      <c r="CS166" s="13" t="n"/>
      <c r="CT166" s="13" t="n"/>
      <c r="CU166" s="13" t="n"/>
      <c r="CV166" s="13" t="n"/>
      <c r="CW166" s="13" t="n"/>
      <c r="CX166" s="13" t="n"/>
      <c r="CY166" s="13" t="n"/>
      <c r="CZ166" s="13" t="n"/>
      <c r="DA166" s="13" t="n"/>
      <c r="DB166" s="13" t="n"/>
      <c r="DC166" s="13" t="n"/>
      <c r="DD166" s="13" t="n"/>
    </row>
    <row r="167" ht="14.1" customFormat="1" customHeight="1" s="287">
      <c r="A167" s="1230" t="inlineStr">
        <is>
          <t>Funding Calculations</t>
        </is>
      </c>
      <c r="B167" s="1231" t="n"/>
      <c r="C167" s="1231" t="n"/>
      <c r="D167" s="1231" t="n"/>
      <c r="E167" s="286" t="n"/>
      <c r="F167" s="1231" t="n"/>
      <c r="G167" s="1231" t="n"/>
      <c r="H167" s="1231" t="n"/>
      <c r="I167" s="1231" t="n"/>
      <c r="J167" s="1231" t="n"/>
      <c r="K167" s="1231" t="n"/>
      <c r="L167" s="1231" t="n"/>
      <c r="M167" s="1231" t="n"/>
      <c r="N167" s="1231" t="n"/>
      <c r="O167" s="1231" t="n"/>
      <c r="P167" s="1231" t="n"/>
      <c r="Q167" s="1231" t="n"/>
      <c r="R167" s="1231" t="n"/>
      <c r="S167" s="1231" t="n"/>
      <c r="T167" s="1231" t="n"/>
      <c r="U167" s="1231" t="n"/>
      <c r="V167" s="1231" t="n"/>
      <c r="W167" s="1231" t="n"/>
      <c r="X167" s="1231" t="n"/>
      <c r="Y167" s="1231" t="n"/>
      <c r="Z167" s="1231" t="n"/>
      <c r="AA167" s="1231" t="n"/>
      <c r="AB167" s="1231" t="n"/>
      <c r="AC167" s="1231" t="n"/>
      <c r="AD167" s="1231" t="n"/>
      <c r="AE167" s="1231" t="n"/>
      <c r="AF167" s="1231" t="n"/>
      <c r="AG167" s="1231" t="n"/>
      <c r="AH167" s="1231" t="n"/>
      <c r="AI167" s="1231" t="n"/>
      <c r="AJ167" s="1231" t="n"/>
      <c r="AK167" s="1231" t="n"/>
      <c r="AL167" s="1231" t="n"/>
      <c r="AM167" s="1231" t="n"/>
      <c r="AN167" s="1231" t="n"/>
      <c r="AO167" s="1231" t="n"/>
      <c r="AP167" s="1231" t="n"/>
      <c r="AQ167" s="1231" t="n"/>
      <c r="AR167" s="1231" t="n"/>
      <c r="AS167" s="1231" t="n"/>
      <c r="AT167" s="1231" t="n"/>
      <c r="AU167" s="1231" t="n"/>
      <c r="AV167" s="1231" t="n"/>
      <c r="AW167" s="1231" t="n"/>
      <c r="AX167" s="1231" t="n"/>
      <c r="AY167" s="1231" t="n"/>
      <c r="AZ167" s="1231" t="n"/>
      <c r="BA167" s="1231" t="n"/>
      <c r="BB167" s="1231" t="n"/>
      <c r="BC167" s="1231" t="n"/>
      <c r="BD167" s="1231" t="n"/>
      <c r="BE167" s="1231" t="n"/>
      <c r="BF167" s="1231" t="n"/>
      <c r="BG167" s="1231" t="n"/>
      <c r="BH167" s="1231" t="n"/>
      <c r="BI167" s="1231" t="n"/>
      <c r="BJ167" s="1231" t="n"/>
      <c r="BK167" s="1231" t="n"/>
      <c r="BL167" s="1231" t="n"/>
      <c r="BM167" s="1231" t="n"/>
      <c r="BN167" s="1231" t="n"/>
      <c r="BO167" s="1231" t="n"/>
      <c r="BP167" s="1231" t="n"/>
      <c r="BQ167" s="1231" t="n"/>
      <c r="BR167" s="1231" t="n"/>
      <c r="BS167" s="1231" t="n"/>
      <c r="BT167" s="1231" t="n"/>
      <c r="BU167" s="1231" t="n"/>
      <c r="BV167" s="1231" t="n"/>
      <c r="BW167" s="1231" t="n"/>
      <c r="BX167" s="1231" t="n"/>
      <c r="BY167" s="1231" t="n"/>
      <c r="BZ167" s="1231" t="n"/>
      <c r="CA167" s="1231" t="n"/>
      <c r="CB167" s="1231" t="n"/>
      <c r="CC167" s="1231" t="n"/>
      <c r="CD167" s="1231" t="n"/>
      <c r="CE167" s="1231" t="n"/>
      <c r="CF167" s="1231" t="n"/>
      <c r="CG167" s="1231" t="n"/>
      <c r="CH167" s="1231" t="n"/>
      <c r="CI167" s="1231" t="n"/>
      <c r="CJ167" s="1231" t="n"/>
      <c r="CK167" s="1231" t="n"/>
      <c r="CL167" s="1231" t="n"/>
      <c r="CM167" s="1231" t="n"/>
      <c r="CN167" s="1231" t="n"/>
      <c r="CO167" s="1231" t="n"/>
      <c r="CP167" s="1231" t="n"/>
      <c r="CQ167" s="1231" t="n"/>
      <c r="CR167" s="1231" t="n"/>
      <c r="CS167" s="1231" t="n"/>
      <c r="CT167" s="1231" t="n"/>
      <c r="CU167" s="1231" t="n"/>
      <c r="CV167" s="1231" t="n"/>
      <c r="CW167" s="1231" t="n"/>
      <c r="CX167" s="1231" t="n"/>
      <c r="CY167" s="1231" t="n"/>
      <c r="CZ167" s="1231" t="n"/>
      <c r="DA167" s="1231" t="n"/>
      <c r="DB167" s="1231" t="n"/>
      <c r="DC167" s="1231" t="n"/>
      <c r="DD167" s="1231" t="n"/>
    </row>
    <row r="168">
      <c r="A168" s="9" t="n"/>
      <c r="B168" s="9" t="n"/>
      <c r="C168" s="13" t="n"/>
      <c r="D168" s="13" t="n"/>
      <c r="E168" s="271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  <c r="AS168" s="13" t="n"/>
      <c r="AT168" s="13" t="n"/>
      <c r="AU168" s="13" t="n"/>
      <c r="AV168" s="13" t="n"/>
      <c r="AW168" s="13" t="n"/>
      <c r="AX168" s="13" t="n"/>
      <c r="AY168" s="13" t="n"/>
      <c r="AZ168" s="13" t="n"/>
      <c r="BA168" s="13" t="n"/>
      <c r="BB168" s="13" t="n"/>
      <c r="BC168" s="13" t="n"/>
      <c r="BD168" s="13" t="n"/>
      <c r="BE168" s="13" t="n"/>
      <c r="BF168" s="13" t="n"/>
      <c r="BG168" s="13" t="n"/>
      <c r="BH168" s="13" t="n"/>
      <c r="BI168" s="13" t="n"/>
      <c r="BJ168" s="13" t="n"/>
      <c r="BK168" s="13" t="n"/>
      <c r="BL168" s="13" t="n"/>
      <c r="BM168" s="13" t="n"/>
      <c r="BN168" s="13" t="n"/>
      <c r="BO168" s="13" t="n"/>
      <c r="BP168" s="13" t="n"/>
      <c r="BQ168" s="13" t="n"/>
      <c r="BR168" s="13" t="n"/>
      <c r="BS168" s="13" t="n"/>
      <c r="BT168" s="13" t="n"/>
      <c r="BU168" s="13" t="n"/>
      <c r="BV168" s="13" t="n"/>
      <c r="BW168" s="13" t="n"/>
      <c r="BX168" s="13" t="n"/>
      <c r="BY168" s="13" t="n"/>
      <c r="BZ168" s="13" t="n"/>
      <c r="CA168" s="13" t="n"/>
      <c r="CB168" s="13" t="n"/>
      <c r="CC168" s="13" t="n"/>
      <c r="CD168" s="13" t="n"/>
      <c r="CE168" s="13" t="n"/>
      <c r="CF168" s="13" t="n"/>
      <c r="CG168" s="13" t="n"/>
      <c r="CH168" s="13" t="n"/>
      <c r="CI168" s="13" t="n"/>
      <c r="CJ168" s="13" t="n"/>
      <c r="CK168" s="13" t="n"/>
      <c r="CL168" s="13" t="n"/>
      <c r="CM168" s="13" t="n"/>
      <c r="CN168" s="13" t="n"/>
      <c r="CO168" s="13" t="n"/>
      <c r="CP168" s="13" t="n"/>
      <c r="CQ168" s="13" t="n"/>
      <c r="CR168" s="13" t="n"/>
      <c r="CS168" s="13" t="n"/>
      <c r="CT168" s="13" t="n"/>
      <c r="CU168" s="13" t="n"/>
      <c r="CV168" s="13" t="n"/>
      <c r="CW168" s="13" t="n"/>
      <c r="CX168" s="13" t="n"/>
      <c r="CY168" s="13" t="n"/>
      <c r="CZ168" s="13" t="n"/>
      <c r="DA168" s="13" t="n"/>
      <c r="DB168" s="13" t="n"/>
      <c r="DC168" s="13" t="n"/>
      <c r="DD168" s="13" t="n"/>
    </row>
    <row r="169" customFormat="1" s="325">
      <c r="A169" s="1127" t="inlineStr">
        <is>
          <t>Land Hold Period Fundings</t>
        </is>
      </c>
      <c r="B169" s="719" t="inlineStr">
        <is>
          <t xml:space="preserve">   Bank Debt</t>
        </is>
      </c>
      <c r="C169" s="720">
        <f>'Project Assumptions'!C23</f>
        <v/>
      </c>
      <c r="D169" s="721">
        <f>DD169</f>
        <v/>
      </c>
      <c r="E169" s="641" t="n"/>
      <c r="F169" s="324">
        <f>F180+F184</f>
        <v/>
      </c>
      <c r="G169" s="324">
        <f>G180+G184</f>
        <v/>
      </c>
      <c r="H169" s="324">
        <f>H180+H184</f>
        <v/>
      </c>
      <c r="I169" s="324">
        <f>I180+I184</f>
        <v/>
      </c>
      <c r="J169" s="324">
        <f>J180+J184</f>
        <v/>
      </c>
      <c r="K169" s="324">
        <f>K180+K184</f>
        <v/>
      </c>
      <c r="L169" s="324">
        <f>L180+L184</f>
        <v/>
      </c>
      <c r="M169" s="324">
        <f>M180+M184</f>
        <v/>
      </c>
      <c r="N169" s="324">
        <f>N180+N184</f>
        <v/>
      </c>
      <c r="O169" s="324">
        <f>O180+O184</f>
        <v/>
      </c>
      <c r="P169" s="324">
        <f>P180+P184</f>
        <v/>
      </c>
      <c r="Q169" s="324">
        <f>Q180+Q184</f>
        <v/>
      </c>
      <c r="R169" s="324">
        <f>R180+R184</f>
        <v/>
      </c>
      <c r="S169" s="324">
        <f>S180+S184</f>
        <v/>
      </c>
      <c r="T169" s="324">
        <f>T180+T184</f>
        <v/>
      </c>
      <c r="U169" s="324">
        <f>U180+U184</f>
        <v/>
      </c>
      <c r="V169" s="324">
        <f>V180+V184</f>
        <v/>
      </c>
      <c r="W169" s="324">
        <f>W180+W184</f>
        <v/>
      </c>
      <c r="X169" s="324">
        <f>X180+X184</f>
        <v/>
      </c>
      <c r="Y169" s="324">
        <f>Y180+Y184</f>
        <v/>
      </c>
      <c r="Z169" s="324">
        <f>Z180+Z184</f>
        <v/>
      </c>
      <c r="AA169" s="324">
        <f>AA180+AA184</f>
        <v/>
      </c>
      <c r="AB169" s="324">
        <f>AB180+AB184</f>
        <v/>
      </c>
      <c r="AC169" s="324">
        <f>AC180+AC184</f>
        <v/>
      </c>
      <c r="AD169" s="324">
        <f>AD180+AD184</f>
        <v/>
      </c>
      <c r="AE169" s="324">
        <f>AE180+AE184</f>
        <v/>
      </c>
      <c r="AF169" s="324">
        <f>AF180+AF184</f>
        <v/>
      </c>
      <c r="AG169" s="324">
        <f>AG180+AG184</f>
        <v/>
      </c>
      <c r="AH169" s="324">
        <f>AH180+AH184</f>
        <v/>
      </c>
      <c r="AI169" s="324">
        <f>AI180+AI184</f>
        <v/>
      </c>
      <c r="AJ169" s="324">
        <f>AJ180+AJ184</f>
        <v/>
      </c>
      <c r="AK169" s="324">
        <f>AK180+AK184</f>
        <v/>
      </c>
      <c r="AL169" s="324">
        <f>AL180+AL184</f>
        <v/>
      </c>
      <c r="AM169" s="324">
        <f>AM180+AM184</f>
        <v/>
      </c>
      <c r="AN169" s="324">
        <f>AN180+AN184</f>
        <v/>
      </c>
      <c r="AO169" s="324">
        <f>AO180+AO184</f>
        <v/>
      </c>
      <c r="AP169" s="324">
        <f>AP180+AP184</f>
        <v/>
      </c>
      <c r="AQ169" s="324">
        <f>AQ180+AQ184</f>
        <v/>
      </c>
      <c r="AR169" s="324">
        <f>AR180+AR184</f>
        <v/>
      </c>
      <c r="AS169" s="324">
        <f>AS180+AS184</f>
        <v/>
      </c>
      <c r="AT169" s="324">
        <f>AT180+AT184</f>
        <v/>
      </c>
      <c r="AU169" s="324">
        <f>AU180+AU184</f>
        <v/>
      </c>
      <c r="AV169" s="324">
        <f>AV180+AV184</f>
        <v/>
      </c>
      <c r="AW169" s="324">
        <f>AW180+AW184</f>
        <v/>
      </c>
      <c r="AX169" s="324">
        <f>AX180+AX184</f>
        <v/>
      </c>
      <c r="AY169" s="324">
        <f>AY180+AY184</f>
        <v/>
      </c>
      <c r="AZ169" s="324">
        <f>AZ180+AZ184</f>
        <v/>
      </c>
      <c r="BA169" s="324">
        <f>BA180+BA184</f>
        <v/>
      </c>
      <c r="BB169" s="324">
        <f>BB180+BB184</f>
        <v/>
      </c>
      <c r="BC169" s="324">
        <f>BC180+BC184</f>
        <v/>
      </c>
      <c r="BD169" s="324">
        <f>BD180+BD184</f>
        <v/>
      </c>
      <c r="BE169" s="324">
        <f>BE180+BE184</f>
        <v/>
      </c>
      <c r="BF169" s="324">
        <f>BF180+BF184</f>
        <v/>
      </c>
      <c r="BG169" s="324">
        <f>BG180+BG184</f>
        <v/>
      </c>
      <c r="BH169" s="324">
        <f>BH180+BH184</f>
        <v/>
      </c>
      <c r="BI169" s="324">
        <f>BI180+BI184</f>
        <v/>
      </c>
      <c r="BJ169" s="324">
        <f>BJ180+BJ184</f>
        <v/>
      </c>
      <c r="BK169" s="324">
        <f>BK180+BK184</f>
        <v/>
      </c>
      <c r="BL169" s="324">
        <f>BL180+BL184</f>
        <v/>
      </c>
      <c r="BM169" s="324">
        <f>BM180+BM184</f>
        <v/>
      </c>
      <c r="BN169" s="324">
        <f>BN180+BN184</f>
        <v/>
      </c>
      <c r="BO169" s="324">
        <f>BO180+BO184</f>
        <v/>
      </c>
      <c r="BP169" s="324">
        <f>BP180+BP184</f>
        <v/>
      </c>
      <c r="BQ169" s="324">
        <f>BQ180+BQ184</f>
        <v/>
      </c>
      <c r="BR169" s="324">
        <f>BR180+BR184</f>
        <v/>
      </c>
      <c r="BS169" s="324">
        <f>BS180+BS184</f>
        <v/>
      </c>
      <c r="BT169" s="324">
        <f>BT180+BT184</f>
        <v/>
      </c>
      <c r="BU169" s="324">
        <f>BU180+BU184</f>
        <v/>
      </c>
      <c r="BV169" s="324">
        <f>BV180+BV184</f>
        <v/>
      </c>
      <c r="BW169" s="324">
        <f>BW180+BW184</f>
        <v/>
      </c>
      <c r="BX169" s="324">
        <f>BX180+BX184</f>
        <v/>
      </c>
      <c r="BY169" s="324">
        <f>BY180+BY184</f>
        <v/>
      </c>
      <c r="BZ169" s="324">
        <f>BZ180+BZ184</f>
        <v/>
      </c>
      <c r="CA169" s="324">
        <f>CA180+CA184</f>
        <v/>
      </c>
      <c r="CB169" s="324">
        <f>CB180+CB184</f>
        <v/>
      </c>
      <c r="CC169" s="324">
        <f>CC180+CC184</f>
        <v/>
      </c>
      <c r="CD169" s="324">
        <f>CD180+CD184</f>
        <v/>
      </c>
      <c r="CE169" s="324">
        <f>CE180+CE184</f>
        <v/>
      </c>
      <c r="CF169" s="324">
        <f>CF180+CF184</f>
        <v/>
      </c>
      <c r="CG169" s="324">
        <f>CG180+CG184</f>
        <v/>
      </c>
      <c r="CH169" s="324">
        <f>CH180+CH184</f>
        <v/>
      </c>
      <c r="CI169" s="324">
        <f>CI180+CI184</f>
        <v/>
      </c>
      <c r="CJ169" s="324">
        <f>CJ180+CJ184</f>
        <v/>
      </c>
      <c r="CK169" s="324">
        <f>CK180+CK184</f>
        <v/>
      </c>
      <c r="CL169" s="324">
        <f>CL180+CL184</f>
        <v/>
      </c>
      <c r="CM169" s="324">
        <f>CM180+CM184</f>
        <v/>
      </c>
      <c r="CN169" s="324">
        <f>CN180+CN184</f>
        <v/>
      </c>
      <c r="CO169" s="324">
        <f>CO180+CO184</f>
        <v/>
      </c>
      <c r="CP169" s="324">
        <f>CP180+CP184</f>
        <v/>
      </c>
      <c r="CQ169" s="324">
        <f>CQ180+CQ184</f>
        <v/>
      </c>
      <c r="CR169" s="324">
        <f>CR180+CR184</f>
        <v/>
      </c>
      <c r="CS169" s="324">
        <f>CS180+CS184</f>
        <v/>
      </c>
      <c r="CT169" s="324">
        <f>CT180+CT184</f>
        <v/>
      </c>
      <c r="CU169" s="324">
        <f>CU180+CU184</f>
        <v/>
      </c>
      <c r="CV169" s="324">
        <f>CV180+CV184</f>
        <v/>
      </c>
      <c r="CW169" s="324">
        <f>CW180+CW184</f>
        <v/>
      </c>
      <c r="CX169" s="324">
        <f>CX180+CX184</f>
        <v/>
      </c>
      <c r="CY169" s="324">
        <f>CY180+CY184</f>
        <v/>
      </c>
      <c r="CZ169" s="324">
        <f>CZ180+CZ184</f>
        <v/>
      </c>
      <c r="DA169" s="324">
        <f>DA180+DA184</f>
        <v/>
      </c>
      <c r="DB169" s="324">
        <f>DB180+DB184</f>
        <v/>
      </c>
      <c r="DC169" s="324" t="n"/>
      <c r="DD169" s="722">
        <f>MAX(F169:DB169)</f>
        <v/>
      </c>
    </row>
    <row r="170" customFormat="1" s="325">
      <c r="A170" s="1000" t="n"/>
      <c r="B170" s="326" t="inlineStr">
        <is>
          <t xml:space="preserve">   Equity</t>
        </is>
      </c>
      <c r="C170" s="327">
        <f>'Project Assumptions'!C24</f>
        <v/>
      </c>
      <c r="D170" s="328">
        <f>DD170</f>
        <v/>
      </c>
      <c r="E170" s="276" t="n"/>
      <c r="F170" s="892">
        <f>F181+F185</f>
        <v/>
      </c>
      <c r="G170" s="892">
        <f>G181+G185</f>
        <v/>
      </c>
      <c r="H170" s="892">
        <f>H181+H185</f>
        <v/>
      </c>
      <c r="I170" s="892">
        <f>I181+I185</f>
        <v/>
      </c>
      <c r="J170" s="892">
        <f>J181+J185</f>
        <v/>
      </c>
      <c r="K170" s="892">
        <f>K181+K185</f>
        <v/>
      </c>
      <c r="L170" s="892">
        <f>L181+L185</f>
        <v/>
      </c>
      <c r="M170" s="892">
        <f>M181+M185</f>
        <v/>
      </c>
      <c r="N170" s="892">
        <f>N181+N185</f>
        <v/>
      </c>
      <c r="O170" s="892">
        <f>O181+O185</f>
        <v/>
      </c>
      <c r="P170" s="892">
        <f>P181+P185</f>
        <v/>
      </c>
      <c r="Q170" s="892">
        <f>Q181+Q185</f>
        <v/>
      </c>
      <c r="R170" s="892">
        <f>R181+R185</f>
        <v/>
      </c>
      <c r="S170" s="892">
        <f>S181+S185</f>
        <v/>
      </c>
      <c r="T170" s="892">
        <f>T181+T185</f>
        <v/>
      </c>
      <c r="U170" s="892">
        <f>U181+U185</f>
        <v/>
      </c>
      <c r="V170" s="892">
        <f>V181+V185</f>
        <v/>
      </c>
      <c r="W170" s="892">
        <f>W181+W185</f>
        <v/>
      </c>
      <c r="X170" s="892">
        <f>X181+X185</f>
        <v/>
      </c>
      <c r="Y170" s="892">
        <f>Y181+Y185</f>
        <v/>
      </c>
      <c r="Z170" s="892">
        <f>Z181+Z185</f>
        <v/>
      </c>
      <c r="AA170" s="892">
        <f>AA181+AA185</f>
        <v/>
      </c>
      <c r="AB170" s="892">
        <f>AB181+AB185</f>
        <v/>
      </c>
      <c r="AC170" s="892">
        <f>AC181+AC185</f>
        <v/>
      </c>
      <c r="AD170" s="892">
        <f>AD181+AD185</f>
        <v/>
      </c>
      <c r="AE170" s="892">
        <f>AE181+AE185</f>
        <v/>
      </c>
      <c r="AF170" s="892">
        <f>AF181+AF185</f>
        <v/>
      </c>
      <c r="AG170" s="892">
        <f>AG181+AG185</f>
        <v/>
      </c>
      <c r="AH170" s="892">
        <f>AH181+AH185</f>
        <v/>
      </c>
      <c r="AI170" s="892">
        <f>AI181+AI185</f>
        <v/>
      </c>
      <c r="AJ170" s="892">
        <f>AJ181+AJ185</f>
        <v/>
      </c>
      <c r="AK170" s="892">
        <f>AK181+AK185</f>
        <v/>
      </c>
      <c r="AL170" s="892">
        <f>AL181+AL185</f>
        <v/>
      </c>
      <c r="AM170" s="892">
        <f>AM181+AM185</f>
        <v/>
      </c>
      <c r="AN170" s="892">
        <f>AN181+AN185</f>
        <v/>
      </c>
      <c r="AO170" s="892">
        <f>AO181+AO185</f>
        <v/>
      </c>
      <c r="AP170" s="892">
        <f>AP181+AP185</f>
        <v/>
      </c>
      <c r="AQ170" s="892">
        <f>AQ181+AQ185</f>
        <v/>
      </c>
      <c r="AR170" s="892">
        <f>AR181+AR185</f>
        <v/>
      </c>
      <c r="AS170" s="892">
        <f>AS181+AS185</f>
        <v/>
      </c>
      <c r="AT170" s="892">
        <f>AT181+AT185</f>
        <v/>
      </c>
      <c r="AU170" s="892">
        <f>AU181+AU185</f>
        <v/>
      </c>
      <c r="AV170" s="892">
        <f>AV181+AV185</f>
        <v/>
      </c>
      <c r="AW170" s="892">
        <f>AW181+AW185</f>
        <v/>
      </c>
      <c r="AX170" s="892">
        <f>AX181+AX185</f>
        <v/>
      </c>
      <c r="AY170" s="892">
        <f>AY181+AY185</f>
        <v/>
      </c>
      <c r="AZ170" s="892">
        <f>AZ181+AZ185</f>
        <v/>
      </c>
      <c r="BA170" s="892">
        <f>BA181+BA185</f>
        <v/>
      </c>
      <c r="BB170" s="892">
        <f>BB181+BB185</f>
        <v/>
      </c>
      <c r="BC170" s="892">
        <f>BC181+BC185</f>
        <v/>
      </c>
      <c r="BD170" s="892">
        <f>BD181+BD185</f>
        <v/>
      </c>
      <c r="BE170" s="892">
        <f>BE181+BE185</f>
        <v/>
      </c>
      <c r="BF170" s="892">
        <f>BF181+BF185</f>
        <v/>
      </c>
      <c r="BG170" s="892">
        <f>BG181+BG185</f>
        <v/>
      </c>
      <c r="BH170" s="892">
        <f>BH181+BH185</f>
        <v/>
      </c>
      <c r="BI170" s="892">
        <f>BI181+BI185</f>
        <v/>
      </c>
      <c r="BJ170" s="892">
        <f>BJ181+BJ185</f>
        <v/>
      </c>
      <c r="BK170" s="892">
        <f>BK181+BK185</f>
        <v/>
      </c>
      <c r="BL170" s="892">
        <f>BL181+BL185</f>
        <v/>
      </c>
      <c r="BM170" s="892">
        <f>BM181+BM185</f>
        <v/>
      </c>
      <c r="BN170" s="892">
        <f>BN181+BN185</f>
        <v/>
      </c>
      <c r="BO170" s="892">
        <f>BO181+BO185</f>
        <v/>
      </c>
      <c r="BP170" s="892">
        <f>BP181+BP185</f>
        <v/>
      </c>
      <c r="BQ170" s="892">
        <f>BQ181+BQ185</f>
        <v/>
      </c>
      <c r="BR170" s="892">
        <f>BR181+BR185</f>
        <v/>
      </c>
      <c r="BS170" s="892">
        <f>BS181+BS185</f>
        <v/>
      </c>
      <c r="BT170" s="892">
        <f>BT181+BT185</f>
        <v/>
      </c>
      <c r="BU170" s="892">
        <f>BU181+BU185</f>
        <v/>
      </c>
      <c r="BV170" s="892">
        <f>BV181+BV185</f>
        <v/>
      </c>
      <c r="BW170" s="892">
        <f>BW181+BW185</f>
        <v/>
      </c>
      <c r="BX170" s="892">
        <f>BX181+BX185</f>
        <v/>
      </c>
      <c r="BY170" s="892">
        <f>BY181+BY185</f>
        <v/>
      </c>
      <c r="BZ170" s="892">
        <f>BZ181+BZ185</f>
        <v/>
      </c>
      <c r="CA170" s="892">
        <f>CA181+CA185</f>
        <v/>
      </c>
      <c r="CB170" s="892">
        <f>CB181+CB185</f>
        <v/>
      </c>
      <c r="CC170" s="892">
        <f>CC181+CC185</f>
        <v/>
      </c>
      <c r="CD170" s="892">
        <f>CD181+CD185</f>
        <v/>
      </c>
      <c r="CE170" s="892">
        <f>CE181+CE185</f>
        <v/>
      </c>
      <c r="CF170" s="892">
        <f>CF181+CF185</f>
        <v/>
      </c>
      <c r="CG170" s="892">
        <f>CG181+CG185</f>
        <v/>
      </c>
      <c r="CH170" s="892">
        <f>CH181+CH185</f>
        <v/>
      </c>
      <c r="CI170" s="892">
        <f>CI181+CI185</f>
        <v/>
      </c>
      <c r="CJ170" s="892">
        <f>CJ181+CJ185</f>
        <v/>
      </c>
      <c r="CK170" s="892">
        <f>CK181+CK185</f>
        <v/>
      </c>
      <c r="CL170" s="892">
        <f>CL181+CL185</f>
        <v/>
      </c>
      <c r="CM170" s="892">
        <f>CM181+CM185</f>
        <v/>
      </c>
      <c r="CN170" s="892">
        <f>CN181+CN185</f>
        <v/>
      </c>
      <c r="CO170" s="892">
        <f>CO181+CO185</f>
        <v/>
      </c>
      <c r="CP170" s="892">
        <f>CP181+CP185</f>
        <v/>
      </c>
      <c r="CQ170" s="892">
        <f>CQ181+CQ185</f>
        <v/>
      </c>
      <c r="CR170" s="892">
        <f>CR181+CR185</f>
        <v/>
      </c>
      <c r="CS170" s="892">
        <f>CS181+CS185</f>
        <v/>
      </c>
      <c r="CT170" s="892">
        <f>CT181+CT185</f>
        <v/>
      </c>
      <c r="CU170" s="892">
        <f>CU181+CU185</f>
        <v/>
      </c>
      <c r="CV170" s="892">
        <f>CV181+CV185</f>
        <v/>
      </c>
      <c r="CW170" s="892">
        <f>CW181+CW185</f>
        <v/>
      </c>
      <c r="CX170" s="892">
        <f>CX181+CX185</f>
        <v/>
      </c>
      <c r="CY170" s="892">
        <f>CY181+CY185</f>
        <v/>
      </c>
      <c r="CZ170" s="892">
        <f>CZ181+CZ185</f>
        <v/>
      </c>
      <c r="DA170" s="892">
        <f>DA181+DA185</f>
        <v/>
      </c>
      <c r="DB170" s="892">
        <f>DB181+DB185</f>
        <v/>
      </c>
      <c r="DC170" s="892" t="n"/>
      <c r="DD170" s="329">
        <f>MAX(F170:DB170)</f>
        <v/>
      </c>
    </row>
    <row r="171" customFormat="1" s="325">
      <c r="A171" s="1005" t="n"/>
      <c r="B171" s="330" t="inlineStr">
        <is>
          <t xml:space="preserve">   Total during Land Hold Period</t>
        </is>
      </c>
      <c r="C171" s="331">
        <f>SUM(C169:C170)</f>
        <v/>
      </c>
      <c r="D171" s="332">
        <f>SUM(D169:D170)</f>
        <v/>
      </c>
      <c r="E171" s="290" t="n"/>
      <c r="F171" s="333">
        <f>SUM(F169:F170)</f>
        <v/>
      </c>
      <c r="G171" s="333">
        <f>SUM(G169:G170)</f>
        <v/>
      </c>
      <c r="H171" s="333">
        <f>SUM(H169:H170)</f>
        <v/>
      </c>
      <c r="I171" s="333">
        <f>SUM(I169:I170)</f>
        <v/>
      </c>
      <c r="J171" s="333">
        <f>SUM(J169:J170)</f>
        <v/>
      </c>
      <c r="K171" s="333">
        <f>SUM(K169:K170)</f>
        <v/>
      </c>
      <c r="L171" s="333">
        <f>SUM(L169:L170)</f>
        <v/>
      </c>
      <c r="M171" s="333">
        <f>SUM(M169:M170)</f>
        <v/>
      </c>
      <c r="N171" s="333">
        <f>SUM(N169:N170)</f>
        <v/>
      </c>
      <c r="O171" s="333">
        <f>SUM(O169:O170)</f>
        <v/>
      </c>
      <c r="P171" s="333">
        <f>SUM(P169:P170)</f>
        <v/>
      </c>
      <c r="Q171" s="333">
        <f>SUM(Q169:Q170)</f>
        <v/>
      </c>
      <c r="R171" s="333">
        <f>SUM(R169:R170)</f>
        <v/>
      </c>
      <c r="S171" s="333">
        <f>SUM(S169:S170)</f>
        <v/>
      </c>
      <c r="T171" s="333">
        <f>SUM(T169:T170)</f>
        <v/>
      </c>
      <c r="U171" s="333">
        <f>SUM(U169:U170)</f>
        <v/>
      </c>
      <c r="V171" s="333">
        <f>SUM(V169:V170)</f>
        <v/>
      </c>
      <c r="W171" s="333">
        <f>SUM(W169:W170)</f>
        <v/>
      </c>
      <c r="X171" s="333">
        <f>SUM(X169:X170)</f>
        <v/>
      </c>
      <c r="Y171" s="333">
        <f>SUM(Y169:Y170)</f>
        <v/>
      </c>
      <c r="Z171" s="333">
        <f>SUM(Z169:Z170)</f>
        <v/>
      </c>
      <c r="AA171" s="333">
        <f>SUM(AA169:AA170)</f>
        <v/>
      </c>
      <c r="AB171" s="333">
        <f>SUM(AB169:AB170)</f>
        <v/>
      </c>
      <c r="AC171" s="333">
        <f>SUM(AC169:AC170)</f>
        <v/>
      </c>
      <c r="AD171" s="333">
        <f>SUM(AD169:AD170)</f>
        <v/>
      </c>
      <c r="AE171" s="333">
        <f>SUM(AE169:AE170)</f>
        <v/>
      </c>
      <c r="AF171" s="333">
        <f>SUM(AF169:AF170)</f>
        <v/>
      </c>
      <c r="AG171" s="333">
        <f>SUM(AG169:AG170)</f>
        <v/>
      </c>
      <c r="AH171" s="333">
        <f>SUM(AH169:AH170)</f>
        <v/>
      </c>
      <c r="AI171" s="333">
        <f>SUM(AI169:AI170)</f>
        <v/>
      </c>
      <c r="AJ171" s="333">
        <f>SUM(AJ169:AJ170)</f>
        <v/>
      </c>
      <c r="AK171" s="333">
        <f>SUM(AK169:AK170)</f>
        <v/>
      </c>
      <c r="AL171" s="333">
        <f>SUM(AL169:AL170)</f>
        <v/>
      </c>
      <c r="AM171" s="333">
        <f>SUM(AM169:AM170)</f>
        <v/>
      </c>
      <c r="AN171" s="333">
        <f>SUM(AN169:AN170)</f>
        <v/>
      </c>
      <c r="AO171" s="333">
        <f>SUM(AO169:AO170)</f>
        <v/>
      </c>
      <c r="AP171" s="333">
        <f>SUM(AP169:AP170)</f>
        <v/>
      </c>
      <c r="AQ171" s="333">
        <f>SUM(AQ169:AQ170)</f>
        <v/>
      </c>
      <c r="AR171" s="333">
        <f>SUM(AR169:AR170)</f>
        <v/>
      </c>
      <c r="AS171" s="333">
        <f>SUM(AS169:AS170)</f>
        <v/>
      </c>
      <c r="AT171" s="333">
        <f>SUM(AT169:AT170)</f>
        <v/>
      </c>
      <c r="AU171" s="333">
        <f>SUM(AU169:AU170)</f>
        <v/>
      </c>
      <c r="AV171" s="333">
        <f>SUM(AV169:AV170)</f>
        <v/>
      </c>
      <c r="AW171" s="333">
        <f>SUM(AW169:AW170)</f>
        <v/>
      </c>
      <c r="AX171" s="333">
        <f>SUM(AX169:AX170)</f>
        <v/>
      </c>
      <c r="AY171" s="333">
        <f>SUM(AY169:AY170)</f>
        <v/>
      </c>
      <c r="AZ171" s="333">
        <f>SUM(AZ169:AZ170)</f>
        <v/>
      </c>
      <c r="BA171" s="333">
        <f>SUM(BA169:BA170)</f>
        <v/>
      </c>
      <c r="BB171" s="333">
        <f>SUM(BB169:BB170)</f>
        <v/>
      </c>
      <c r="BC171" s="333">
        <f>SUM(BC169:BC170)</f>
        <v/>
      </c>
      <c r="BD171" s="333">
        <f>SUM(BD169:BD170)</f>
        <v/>
      </c>
      <c r="BE171" s="333">
        <f>SUM(BE169:BE170)</f>
        <v/>
      </c>
      <c r="BF171" s="333">
        <f>SUM(BF169:BF170)</f>
        <v/>
      </c>
      <c r="BG171" s="333">
        <f>SUM(BG169:BG170)</f>
        <v/>
      </c>
      <c r="BH171" s="333">
        <f>SUM(BH169:BH170)</f>
        <v/>
      </c>
      <c r="BI171" s="333">
        <f>SUM(BI169:BI170)</f>
        <v/>
      </c>
      <c r="BJ171" s="333">
        <f>SUM(BJ169:BJ170)</f>
        <v/>
      </c>
      <c r="BK171" s="333">
        <f>SUM(BK169:BK170)</f>
        <v/>
      </c>
      <c r="BL171" s="333">
        <f>SUM(BL169:BL170)</f>
        <v/>
      </c>
      <c r="BM171" s="333">
        <f>SUM(BM169:BM170)</f>
        <v/>
      </c>
      <c r="BN171" s="333">
        <f>SUM(BN169:BN170)</f>
        <v/>
      </c>
      <c r="BO171" s="333">
        <f>SUM(BO169:BO170)</f>
        <v/>
      </c>
      <c r="BP171" s="333">
        <f>SUM(BP169:BP170)</f>
        <v/>
      </c>
      <c r="BQ171" s="333">
        <f>SUM(BQ169:BQ170)</f>
        <v/>
      </c>
      <c r="BR171" s="333">
        <f>SUM(BR169:BR170)</f>
        <v/>
      </c>
      <c r="BS171" s="333">
        <f>SUM(BS169:BS170)</f>
        <v/>
      </c>
      <c r="BT171" s="333">
        <f>SUM(BT169:BT170)</f>
        <v/>
      </c>
      <c r="BU171" s="333">
        <f>SUM(BU169:BU170)</f>
        <v/>
      </c>
      <c r="BV171" s="333">
        <f>SUM(BV169:BV170)</f>
        <v/>
      </c>
      <c r="BW171" s="333">
        <f>SUM(BW169:BW170)</f>
        <v/>
      </c>
      <c r="BX171" s="333">
        <f>SUM(BX169:BX170)</f>
        <v/>
      </c>
      <c r="BY171" s="333">
        <f>SUM(BY169:BY170)</f>
        <v/>
      </c>
      <c r="BZ171" s="333">
        <f>SUM(BZ169:BZ170)</f>
        <v/>
      </c>
      <c r="CA171" s="333">
        <f>SUM(CA169:CA170)</f>
        <v/>
      </c>
      <c r="CB171" s="333">
        <f>SUM(CB169:CB170)</f>
        <v/>
      </c>
      <c r="CC171" s="333">
        <f>SUM(CC169:CC170)</f>
        <v/>
      </c>
      <c r="CD171" s="333">
        <f>SUM(CD169:CD170)</f>
        <v/>
      </c>
      <c r="CE171" s="333">
        <f>SUM(CE169:CE170)</f>
        <v/>
      </c>
      <c r="CF171" s="333">
        <f>SUM(CF169:CF170)</f>
        <v/>
      </c>
      <c r="CG171" s="333">
        <f>SUM(CG169:CG170)</f>
        <v/>
      </c>
      <c r="CH171" s="333">
        <f>SUM(CH169:CH170)</f>
        <v/>
      </c>
      <c r="CI171" s="333">
        <f>SUM(CI169:CI170)</f>
        <v/>
      </c>
      <c r="CJ171" s="333">
        <f>SUM(CJ169:CJ170)</f>
        <v/>
      </c>
      <c r="CK171" s="333">
        <f>SUM(CK169:CK170)</f>
        <v/>
      </c>
      <c r="CL171" s="333">
        <f>SUM(CL169:CL170)</f>
        <v/>
      </c>
      <c r="CM171" s="333">
        <f>SUM(CM169:CM170)</f>
        <v/>
      </c>
      <c r="CN171" s="333">
        <f>SUM(CN169:CN170)</f>
        <v/>
      </c>
      <c r="CO171" s="333">
        <f>SUM(CO169:CO170)</f>
        <v/>
      </c>
      <c r="CP171" s="333">
        <f>SUM(CP169:CP170)</f>
        <v/>
      </c>
      <c r="CQ171" s="333">
        <f>SUM(CQ169:CQ170)</f>
        <v/>
      </c>
      <c r="CR171" s="333">
        <f>SUM(CR169:CR170)</f>
        <v/>
      </c>
      <c r="CS171" s="333">
        <f>SUM(CS169:CS170)</f>
        <v/>
      </c>
      <c r="CT171" s="333">
        <f>SUM(CT169:CT170)</f>
        <v/>
      </c>
      <c r="CU171" s="333">
        <f>SUM(CU169:CU170)</f>
        <v/>
      </c>
      <c r="CV171" s="333">
        <f>SUM(CV169:CV170)</f>
        <v/>
      </c>
      <c r="CW171" s="333">
        <f>SUM(CW169:CW170)</f>
        <v/>
      </c>
      <c r="CX171" s="333">
        <f>SUM(CX169:CX170)</f>
        <v/>
      </c>
      <c r="CY171" s="333">
        <f>SUM(CY169:CY170)</f>
        <v/>
      </c>
      <c r="CZ171" s="333">
        <f>SUM(CZ169:CZ170)</f>
        <v/>
      </c>
      <c r="DA171" s="333">
        <f>SUM(DA169:DA170)</f>
        <v/>
      </c>
      <c r="DB171" s="333">
        <f>SUM(DB169:DB170)</f>
        <v/>
      </c>
      <c r="DC171" s="333" t="n"/>
      <c r="DD171" s="723">
        <f>MAX(F171:DB171)</f>
        <v/>
      </c>
    </row>
    <row r="172">
      <c r="A172" s="9" t="n"/>
      <c r="B172" s="9" t="n"/>
      <c r="C172" s="334" t="n"/>
      <c r="D172" s="13" t="n"/>
      <c r="E172" s="271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  <c r="AS172" s="13" t="n"/>
      <c r="AT172" s="13" t="n"/>
      <c r="AU172" s="13" t="n"/>
      <c r="AV172" s="13" t="n"/>
      <c r="AW172" s="13" t="n"/>
      <c r="AX172" s="13" t="n"/>
      <c r="AY172" s="13" t="n"/>
      <c r="AZ172" s="13" t="n"/>
      <c r="BA172" s="13" t="n"/>
      <c r="BB172" s="13" t="n"/>
      <c r="BC172" s="13" t="n"/>
      <c r="BD172" s="13" t="n"/>
      <c r="BE172" s="13" t="n"/>
      <c r="BF172" s="13" t="n"/>
      <c r="BG172" s="13" t="n"/>
      <c r="BH172" s="13" t="n"/>
      <c r="BI172" s="13" t="n"/>
      <c r="BJ172" s="13" t="n"/>
      <c r="BK172" s="13" t="n"/>
      <c r="BL172" s="13" t="n"/>
      <c r="BM172" s="13" t="n"/>
      <c r="BN172" s="13" t="n"/>
      <c r="BO172" s="13" t="n"/>
      <c r="BP172" s="13" t="n"/>
      <c r="BQ172" s="13" t="n"/>
      <c r="BR172" s="13" t="n"/>
      <c r="BS172" s="13" t="n"/>
      <c r="BT172" s="13" t="n"/>
      <c r="BU172" s="13" t="n"/>
      <c r="BV172" s="13" t="n"/>
      <c r="BW172" s="13" t="n"/>
      <c r="BX172" s="13" t="n"/>
      <c r="BY172" s="13" t="n"/>
      <c r="BZ172" s="13" t="n"/>
      <c r="CA172" s="13" t="n"/>
      <c r="CB172" s="13" t="n"/>
      <c r="CC172" s="13" t="n"/>
      <c r="CD172" s="13" t="n"/>
      <c r="CE172" s="13" t="n"/>
      <c r="CF172" s="13" t="n"/>
      <c r="CG172" s="13" t="n"/>
      <c r="CH172" s="13" t="n"/>
      <c r="CI172" s="13" t="n"/>
      <c r="CJ172" s="13" t="n"/>
      <c r="CK172" s="13" t="n"/>
      <c r="CL172" s="13" t="n"/>
      <c r="CM172" s="13" t="n"/>
      <c r="CN172" s="13" t="n"/>
      <c r="CO172" s="13" t="n"/>
      <c r="CP172" s="13" t="n"/>
      <c r="CQ172" s="13" t="n"/>
      <c r="CR172" s="13" t="n"/>
      <c r="CS172" s="13" t="n"/>
      <c r="CT172" s="13" t="n"/>
      <c r="CU172" s="13" t="n"/>
      <c r="CV172" s="13" t="n"/>
      <c r="CW172" s="13" t="n"/>
      <c r="CX172" s="13" t="n"/>
      <c r="CY172" s="13" t="n"/>
      <c r="CZ172" s="13" t="n"/>
      <c r="DA172" s="13" t="n"/>
      <c r="DB172" s="13" t="n"/>
      <c r="DC172" s="13" t="n"/>
      <c r="DD172" s="13" t="n"/>
    </row>
    <row r="173" customFormat="1" s="325">
      <c r="A173" s="1127" t="inlineStr">
        <is>
          <t xml:space="preserve">   Construction Period Fundings</t>
        </is>
      </c>
      <c r="B173" s="719" t="inlineStr">
        <is>
          <t xml:space="preserve">   Bank Debt</t>
        </is>
      </c>
      <c r="C173" s="720">
        <f>'Project Assumptions'!C26</f>
        <v/>
      </c>
      <c r="D173" s="721">
        <f>DD173</f>
        <v/>
      </c>
      <c r="E173" s="641" t="n"/>
      <c r="F173" s="324">
        <f>F191+F195</f>
        <v/>
      </c>
      <c r="G173" s="324">
        <f>G191+G195</f>
        <v/>
      </c>
      <c r="H173" s="324">
        <f>H191+H195</f>
        <v/>
      </c>
      <c r="I173" s="324">
        <f>I191+I195</f>
        <v/>
      </c>
      <c r="J173" s="324">
        <f>J191+J195</f>
        <v/>
      </c>
      <c r="K173" s="324">
        <f>K191+K195</f>
        <v/>
      </c>
      <c r="L173" s="324">
        <f>L191+L195</f>
        <v/>
      </c>
      <c r="M173" s="324">
        <f>M191+M195</f>
        <v/>
      </c>
      <c r="N173" s="324">
        <f>N191+N195</f>
        <v/>
      </c>
      <c r="O173" s="324">
        <f>O191+O195</f>
        <v/>
      </c>
      <c r="P173" s="324">
        <f>P191+P195</f>
        <v/>
      </c>
      <c r="Q173" s="324">
        <f>Q191+Q195</f>
        <v/>
      </c>
      <c r="R173" s="324">
        <f>R191+R195</f>
        <v/>
      </c>
      <c r="S173" s="324">
        <f>S191+S195</f>
        <v/>
      </c>
      <c r="T173" s="324">
        <f>T191+T195</f>
        <v/>
      </c>
      <c r="U173" s="324">
        <f>U191+U195</f>
        <v/>
      </c>
      <c r="V173" s="324">
        <f>V191+V195</f>
        <v/>
      </c>
      <c r="W173" s="324">
        <f>W191+W195</f>
        <v/>
      </c>
      <c r="X173" s="324">
        <f>X191+X195</f>
        <v/>
      </c>
      <c r="Y173" s="324">
        <f>Y191+Y195</f>
        <v/>
      </c>
      <c r="Z173" s="324">
        <f>Z191+Z195</f>
        <v/>
      </c>
      <c r="AA173" s="324">
        <f>AA191+AA195</f>
        <v/>
      </c>
      <c r="AB173" s="324">
        <f>AB191+AB195</f>
        <v/>
      </c>
      <c r="AC173" s="324">
        <f>AC191+AC195</f>
        <v/>
      </c>
      <c r="AD173" s="324">
        <f>AD191+AD195</f>
        <v/>
      </c>
      <c r="AE173" s="324">
        <f>AE191+AE195</f>
        <v/>
      </c>
      <c r="AF173" s="324">
        <f>AF191+AF195</f>
        <v/>
      </c>
      <c r="AG173" s="324">
        <f>AG191+AG195</f>
        <v/>
      </c>
      <c r="AH173" s="324">
        <f>AH191+AH195</f>
        <v/>
      </c>
      <c r="AI173" s="324">
        <f>AI191+AI195</f>
        <v/>
      </c>
      <c r="AJ173" s="324">
        <f>AJ191+AJ195</f>
        <v/>
      </c>
      <c r="AK173" s="324">
        <f>AK191+AK195</f>
        <v/>
      </c>
      <c r="AL173" s="324">
        <f>AL191+AL195</f>
        <v/>
      </c>
      <c r="AM173" s="324">
        <f>AM191+AM195</f>
        <v/>
      </c>
      <c r="AN173" s="324">
        <f>AN191+AN195</f>
        <v/>
      </c>
      <c r="AO173" s="324">
        <f>AO191+AO195</f>
        <v/>
      </c>
      <c r="AP173" s="324">
        <f>AP191+AP195</f>
        <v/>
      </c>
      <c r="AQ173" s="324">
        <f>AQ191+AQ195</f>
        <v/>
      </c>
      <c r="AR173" s="324">
        <f>AR191+AR195</f>
        <v/>
      </c>
      <c r="AS173" s="324">
        <f>AS191+AS195</f>
        <v/>
      </c>
      <c r="AT173" s="324">
        <f>AT191+AT195</f>
        <v/>
      </c>
      <c r="AU173" s="324">
        <f>AU191+AU195</f>
        <v/>
      </c>
      <c r="AV173" s="324">
        <f>AV191+AV195</f>
        <v/>
      </c>
      <c r="AW173" s="324">
        <f>AW191+AW195</f>
        <v/>
      </c>
      <c r="AX173" s="324">
        <f>AX191+AX195</f>
        <v/>
      </c>
      <c r="AY173" s="324">
        <f>AY191+AY195</f>
        <v/>
      </c>
      <c r="AZ173" s="324">
        <f>AZ191+AZ195</f>
        <v/>
      </c>
      <c r="BA173" s="324">
        <f>BA191+BA195</f>
        <v/>
      </c>
      <c r="BB173" s="324">
        <f>BB191+BB195</f>
        <v/>
      </c>
      <c r="BC173" s="324">
        <f>BC191+BC195</f>
        <v/>
      </c>
      <c r="BD173" s="324">
        <f>BD191+BD195</f>
        <v/>
      </c>
      <c r="BE173" s="324">
        <f>BE191+BE195</f>
        <v/>
      </c>
      <c r="BF173" s="324">
        <f>BF191+BF195</f>
        <v/>
      </c>
      <c r="BG173" s="324">
        <f>BG191+BG195</f>
        <v/>
      </c>
      <c r="BH173" s="324">
        <f>BH191+BH195</f>
        <v/>
      </c>
      <c r="BI173" s="324">
        <f>BI191+BI195</f>
        <v/>
      </c>
      <c r="BJ173" s="324">
        <f>BJ191+BJ195</f>
        <v/>
      </c>
      <c r="BK173" s="324">
        <f>BK191+BK195</f>
        <v/>
      </c>
      <c r="BL173" s="324">
        <f>BL191+BL195</f>
        <v/>
      </c>
      <c r="BM173" s="324">
        <f>BM191+BM195</f>
        <v/>
      </c>
      <c r="BN173" s="324">
        <f>BN191+BN195</f>
        <v/>
      </c>
      <c r="BO173" s="324">
        <f>BO191+BO195</f>
        <v/>
      </c>
      <c r="BP173" s="324">
        <f>BP191+BP195</f>
        <v/>
      </c>
      <c r="BQ173" s="324">
        <f>BQ191+BQ195</f>
        <v/>
      </c>
      <c r="BR173" s="324">
        <f>BR191+BR195</f>
        <v/>
      </c>
      <c r="BS173" s="324">
        <f>BS191+BS195</f>
        <v/>
      </c>
      <c r="BT173" s="324">
        <f>BT191+BT195</f>
        <v/>
      </c>
      <c r="BU173" s="324">
        <f>BU191+BU195</f>
        <v/>
      </c>
      <c r="BV173" s="324">
        <f>BV191+BV195</f>
        <v/>
      </c>
      <c r="BW173" s="324">
        <f>BW191+BW195</f>
        <v/>
      </c>
      <c r="BX173" s="324">
        <f>BX191+BX195</f>
        <v/>
      </c>
      <c r="BY173" s="324">
        <f>BY191+BY195</f>
        <v/>
      </c>
      <c r="BZ173" s="324">
        <f>BZ191+BZ195</f>
        <v/>
      </c>
      <c r="CA173" s="324">
        <f>CA191+CA195</f>
        <v/>
      </c>
      <c r="CB173" s="324">
        <f>CB191+CB195</f>
        <v/>
      </c>
      <c r="CC173" s="324">
        <f>CC191+CC195</f>
        <v/>
      </c>
      <c r="CD173" s="324">
        <f>CD191+CD195</f>
        <v/>
      </c>
      <c r="CE173" s="324">
        <f>CE191+CE195</f>
        <v/>
      </c>
      <c r="CF173" s="324">
        <f>CF191+CF195</f>
        <v/>
      </c>
      <c r="CG173" s="324">
        <f>CG191+CG195</f>
        <v/>
      </c>
      <c r="CH173" s="324">
        <f>CH191+CH195</f>
        <v/>
      </c>
      <c r="CI173" s="324">
        <f>CI191+CI195</f>
        <v/>
      </c>
      <c r="CJ173" s="324">
        <f>CJ191+CJ195</f>
        <v/>
      </c>
      <c r="CK173" s="324">
        <f>CK191+CK195</f>
        <v/>
      </c>
      <c r="CL173" s="324">
        <f>CL191+CL195</f>
        <v/>
      </c>
      <c r="CM173" s="324">
        <f>CM191+CM195</f>
        <v/>
      </c>
      <c r="CN173" s="324">
        <f>CN191+CN195</f>
        <v/>
      </c>
      <c r="CO173" s="324">
        <f>CO191+CO195</f>
        <v/>
      </c>
      <c r="CP173" s="324">
        <f>CP191+CP195</f>
        <v/>
      </c>
      <c r="CQ173" s="324">
        <f>CQ191+CQ195</f>
        <v/>
      </c>
      <c r="CR173" s="324">
        <f>CR191+CR195</f>
        <v/>
      </c>
      <c r="CS173" s="324">
        <f>CS191+CS195</f>
        <v/>
      </c>
      <c r="CT173" s="324">
        <f>CT191+CT195</f>
        <v/>
      </c>
      <c r="CU173" s="324">
        <f>CU191+CU195</f>
        <v/>
      </c>
      <c r="CV173" s="324">
        <f>CV191+CV195</f>
        <v/>
      </c>
      <c r="CW173" s="324">
        <f>CW191+CW195</f>
        <v/>
      </c>
      <c r="CX173" s="324">
        <f>CX191+CX195</f>
        <v/>
      </c>
      <c r="CY173" s="324">
        <f>CY191+CY195</f>
        <v/>
      </c>
      <c r="CZ173" s="324">
        <f>CZ191+CZ195</f>
        <v/>
      </c>
      <c r="DA173" s="324">
        <f>DA191+DA195</f>
        <v/>
      </c>
      <c r="DB173" s="324">
        <f>DB191+DB195</f>
        <v/>
      </c>
      <c r="DC173" s="324" t="n"/>
      <c r="DD173" s="722">
        <f>MAX(F173:DB173)</f>
        <v/>
      </c>
    </row>
    <row r="174" customFormat="1" s="325">
      <c r="A174" s="1000" t="n"/>
      <c r="B174" s="326" t="inlineStr">
        <is>
          <t xml:space="preserve">   Equity</t>
        </is>
      </c>
      <c r="C174" s="327">
        <f>'Project Assumptions'!C27</f>
        <v/>
      </c>
      <c r="D174" s="328">
        <f>DD174</f>
        <v/>
      </c>
      <c r="E174" s="276" t="n"/>
      <c r="F174" s="892">
        <f>F192+F196</f>
        <v/>
      </c>
      <c r="G174" s="892">
        <f>G192+G196</f>
        <v/>
      </c>
      <c r="H174" s="892">
        <f>H192+H196</f>
        <v/>
      </c>
      <c r="I174" s="892">
        <f>I192+I196</f>
        <v/>
      </c>
      <c r="J174" s="892">
        <f>J192+J196</f>
        <v/>
      </c>
      <c r="K174" s="892">
        <f>K192+K196</f>
        <v/>
      </c>
      <c r="L174" s="892">
        <f>L192+L196</f>
        <v/>
      </c>
      <c r="M174" s="892">
        <f>M192+M196</f>
        <v/>
      </c>
      <c r="N174" s="892">
        <f>N192+N196</f>
        <v/>
      </c>
      <c r="O174" s="892">
        <f>O192+O196</f>
        <v/>
      </c>
      <c r="P174" s="892">
        <f>P192+P196</f>
        <v/>
      </c>
      <c r="Q174" s="892">
        <f>Q192+Q196</f>
        <v/>
      </c>
      <c r="R174" s="892">
        <f>R192+R196</f>
        <v/>
      </c>
      <c r="S174" s="892">
        <f>S192+S196</f>
        <v/>
      </c>
      <c r="T174" s="892">
        <f>T192+T196</f>
        <v/>
      </c>
      <c r="U174" s="892">
        <f>U192+U196</f>
        <v/>
      </c>
      <c r="V174" s="892">
        <f>V192+V196</f>
        <v/>
      </c>
      <c r="W174" s="892">
        <f>W192+W196</f>
        <v/>
      </c>
      <c r="X174" s="892">
        <f>X192+X196</f>
        <v/>
      </c>
      <c r="Y174" s="892">
        <f>Y192+Y196</f>
        <v/>
      </c>
      <c r="Z174" s="892">
        <f>Z192+Z196</f>
        <v/>
      </c>
      <c r="AA174" s="892">
        <f>AA192+AA196</f>
        <v/>
      </c>
      <c r="AB174" s="892">
        <f>AB192+AB196</f>
        <v/>
      </c>
      <c r="AC174" s="892">
        <f>AC192+AC196</f>
        <v/>
      </c>
      <c r="AD174" s="892">
        <f>AD192+AD196</f>
        <v/>
      </c>
      <c r="AE174" s="892">
        <f>AE192+AE196</f>
        <v/>
      </c>
      <c r="AF174" s="892">
        <f>AF192+AF196</f>
        <v/>
      </c>
      <c r="AG174" s="892">
        <f>AG192+AG196</f>
        <v/>
      </c>
      <c r="AH174" s="892">
        <f>AH192+AH196</f>
        <v/>
      </c>
      <c r="AI174" s="892">
        <f>AI192+AI196</f>
        <v/>
      </c>
      <c r="AJ174" s="892">
        <f>AJ192+AJ196</f>
        <v/>
      </c>
      <c r="AK174" s="892">
        <f>AK192+AK196</f>
        <v/>
      </c>
      <c r="AL174" s="892">
        <f>AL192+AL196</f>
        <v/>
      </c>
      <c r="AM174" s="892">
        <f>AM192+AM196</f>
        <v/>
      </c>
      <c r="AN174" s="892">
        <f>AN192+AN196</f>
        <v/>
      </c>
      <c r="AO174" s="892">
        <f>AO192+AO196</f>
        <v/>
      </c>
      <c r="AP174" s="892">
        <f>AP192+AP196</f>
        <v/>
      </c>
      <c r="AQ174" s="892">
        <f>AQ192+AQ196</f>
        <v/>
      </c>
      <c r="AR174" s="892">
        <f>AR192+AR196</f>
        <v/>
      </c>
      <c r="AS174" s="892">
        <f>AS192+AS196</f>
        <v/>
      </c>
      <c r="AT174" s="892">
        <f>AT192+AT196</f>
        <v/>
      </c>
      <c r="AU174" s="892">
        <f>AU192+AU196</f>
        <v/>
      </c>
      <c r="AV174" s="892">
        <f>AV192+AV196</f>
        <v/>
      </c>
      <c r="AW174" s="892">
        <f>AW192+AW196</f>
        <v/>
      </c>
      <c r="AX174" s="892">
        <f>AX192+AX196</f>
        <v/>
      </c>
      <c r="AY174" s="892">
        <f>AY192+AY196</f>
        <v/>
      </c>
      <c r="AZ174" s="892">
        <f>AZ192+AZ196</f>
        <v/>
      </c>
      <c r="BA174" s="892">
        <f>BA192+BA196</f>
        <v/>
      </c>
      <c r="BB174" s="892">
        <f>BB192+BB196</f>
        <v/>
      </c>
      <c r="BC174" s="892">
        <f>BC192+BC196</f>
        <v/>
      </c>
      <c r="BD174" s="892">
        <f>BD192+BD196</f>
        <v/>
      </c>
      <c r="BE174" s="892">
        <f>BE192+BE196</f>
        <v/>
      </c>
      <c r="BF174" s="892">
        <f>BF192+BF196</f>
        <v/>
      </c>
      <c r="BG174" s="892">
        <f>BG192+BG196</f>
        <v/>
      </c>
      <c r="BH174" s="892">
        <f>BH192+BH196</f>
        <v/>
      </c>
      <c r="BI174" s="892">
        <f>BI192+BI196</f>
        <v/>
      </c>
      <c r="BJ174" s="892">
        <f>BJ192+BJ196</f>
        <v/>
      </c>
      <c r="BK174" s="892">
        <f>BK192+BK196</f>
        <v/>
      </c>
      <c r="BL174" s="892">
        <f>BL192+BL196</f>
        <v/>
      </c>
      <c r="BM174" s="892">
        <f>BM192+BM196</f>
        <v/>
      </c>
      <c r="BN174" s="892">
        <f>BN192+BN196</f>
        <v/>
      </c>
      <c r="BO174" s="892">
        <f>BO192+BO196</f>
        <v/>
      </c>
      <c r="BP174" s="892">
        <f>BP192+BP196</f>
        <v/>
      </c>
      <c r="BQ174" s="892">
        <f>BQ192+BQ196</f>
        <v/>
      </c>
      <c r="BR174" s="892">
        <f>BR192+BR196</f>
        <v/>
      </c>
      <c r="BS174" s="892">
        <f>BS192+BS196</f>
        <v/>
      </c>
      <c r="BT174" s="892">
        <f>BT192+BT196</f>
        <v/>
      </c>
      <c r="BU174" s="892">
        <f>BU192+BU196</f>
        <v/>
      </c>
      <c r="BV174" s="892">
        <f>BV192+BV196</f>
        <v/>
      </c>
      <c r="BW174" s="892">
        <f>BW192+BW196</f>
        <v/>
      </c>
      <c r="BX174" s="892">
        <f>BX192+BX196</f>
        <v/>
      </c>
      <c r="BY174" s="892">
        <f>BY192+BY196</f>
        <v/>
      </c>
      <c r="BZ174" s="892">
        <f>BZ192+BZ196</f>
        <v/>
      </c>
      <c r="CA174" s="892">
        <f>CA192+CA196</f>
        <v/>
      </c>
      <c r="CB174" s="892">
        <f>CB192+CB196</f>
        <v/>
      </c>
      <c r="CC174" s="892">
        <f>CC192+CC196</f>
        <v/>
      </c>
      <c r="CD174" s="892">
        <f>CD192+CD196</f>
        <v/>
      </c>
      <c r="CE174" s="892">
        <f>CE192+CE196</f>
        <v/>
      </c>
      <c r="CF174" s="892">
        <f>CF192+CF196</f>
        <v/>
      </c>
      <c r="CG174" s="892">
        <f>CG192+CG196</f>
        <v/>
      </c>
      <c r="CH174" s="892">
        <f>CH192+CH196</f>
        <v/>
      </c>
      <c r="CI174" s="892">
        <f>CI192+CI196</f>
        <v/>
      </c>
      <c r="CJ174" s="892">
        <f>CJ192+CJ196</f>
        <v/>
      </c>
      <c r="CK174" s="892">
        <f>CK192+CK196</f>
        <v/>
      </c>
      <c r="CL174" s="892">
        <f>CL192+CL196</f>
        <v/>
      </c>
      <c r="CM174" s="892">
        <f>CM192+CM196</f>
        <v/>
      </c>
      <c r="CN174" s="892">
        <f>CN192+CN196</f>
        <v/>
      </c>
      <c r="CO174" s="892">
        <f>CO192+CO196</f>
        <v/>
      </c>
      <c r="CP174" s="892">
        <f>CP192+CP196</f>
        <v/>
      </c>
      <c r="CQ174" s="892">
        <f>CQ192+CQ196</f>
        <v/>
      </c>
      <c r="CR174" s="892">
        <f>CR192+CR196</f>
        <v/>
      </c>
      <c r="CS174" s="892">
        <f>CS192+CS196</f>
        <v/>
      </c>
      <c r="CT174" s="892">
        <f>CT192+CT196</f>
        <v/>
      </c>
      <c r="CU174" s="892">
        <f>CU192+CU196</f>
        <v/>
      </c>
      <c r="CV174" s="892">
        <f>CV192+CV196</f>
        <v/>
      </c>
      <c r="CW174" s="892">
        <f>CW192+CW196</f>
        <v/>
      </c>
      <c r="CX174" s="892">
        <f>CX192+CX196</f>
        <v/>
      </c>
      <c r="CY174" s="892">
        <f>CY192+CY196</f>
        <v/>
      </c>
      <c r="CZ174" s="892">
        <f>CZ192+CZ196</f>
        <v/>
      </c>
      <c r="DA174" s="892">
        <f>DA192+DA196</f>
        <v/>
      </c>
      <c r="DB174" s="892">
        <f>DB192+DB196</f>
        <v/>
      </c>
      <c r="DC174" s="892" t="n"/>
      <c r="DD174" s="329">
        <f>MAX(F174:DB174)</f>
        <v/>
      </c>
    </row>
    <row r="175" customFormat="1" s="325">
      <c r="A175" s="1005" t="n"/>
      <c r="B175" s="330" t="inlineStr">
        <is>
          <t xml:space="preserve">   Total during Construction Period</t>
        </is>
      </c>
      <c r="C175" s="331">
        <f>SUM(C173:C174)</f>
        <v/>
      </c>
      <c r="D175" s="332">
        <f>SUM(D173:D174)</f>
        <v/>
      </c>
      <c r="E175" s="290" t="n"/>
      <c r="F175" s="333">
        <f>SUM(F173:F174)</f>
        <v/>
      </c>
      <c r="G175" s="333">
        <f>SUM(G173:G174)</f>
        <v/>
      </c>
      <c r="H175" s="333">
        <f>SUM(H173:H174)</f>
        <v/>
      </c>
      <c r="I175" s="333">
        <f>SUM(I173:I174)</f>
        <v/>
      </c>
      <c r="J175" s="333">
        <f>SUM(J173:J174)</f>
        <v/>
      </c>
      <c r="K175" s="333">
        <f>SUM(K173:K174)</f>
        <v/>
      </c>
      <c r="L175" s="333">
        <f>SUM(L173:L174)</f>
        <v/>
      </c>
      <c r="M175" s="333">
        <f>SUM(M173:M174)</f>
        <v/>
      </c>
      <c r="N175" s="333">
        <f>SUM(N173:N174)</f>
        <v/>
      </c>
      <c r="O175" s="333">
        <f>SUM(O173:O174)</f>
        <v/>
      </c>
      <c r="P175" s="333">
        <f>SUM(P173:P174)</f>
        <v/>
      </c>
      <c r="Q175" s="333">
        <f>SUM(Q173:Q174)</f>
        <v/>
      </c>
      <c r="R175" s="333">
        <f>SUM(R173:R174)</f>
        <v/>
      </c>
      <c r="S175" s="333">
        <f>SUM(S173:S174)</f>
        <v/>
      </c>
      <c r="T175" s="333">
        <f>SUM(T173:T174)</f>
        <v/>
      </c>
      <c r="U175" s="333">
        <f>SUM(U173:U174)</f>
        <v/>
      </c>
      <c r="V175" s="333">
        <f>SUM(V173:V174)</f>
        <v/>
      </c>
      <c r="W175" s="333">
        <f>SUM(W173:W174)</f>
        <v/>
      </c>
      <c r="X175" s="333">
        <f>SUM(X173:X174)</f>
        <v/>
      </c>
      <c r="Y175" s="333">
        <f>SUM(Y173:Y174)</f>
        <v/>
      </c>
      <c r="Z175" s="333">
        <f>SUM(Z173:Z174)</f>
        <v/>
      </c>
      <c r="AA175" s="333">
        <f>SUM(AA173:AA174)</f>
        <v/>
      </c>
      <c r="AB175" s="333">
        <f>SUM(AB173:AB174)</f>
        <v/>
      </c>
      <c r="AC175" s="333">
        <f>SUM(AC173:AC174)</f>
        <v/>
      </c>
      <c r="AD175" s="333">
        <f>SUM(AD173:AD174)</f>
        <v/>
      </c>
      <c r="AE175" s="333">
        <f>SUM(AE173:AE174)</f>
        <v/>
      </c>
      <c r="AF175" s="333">
        <f>SUM(AF173:AF174)</f>
        <v/>
      </c>
      <c r="AG175" s="333">
        <f>SUM(AG173:AG174)</f>
        <v/>
      </c>
      <c r="AH175" s="333">
        <f>SUM(AH173:AH174)</f>
        <v/>
      </c>
      <c r="AI175" s="333">
        <f>SUM(AI173:AI174)</f>
        <v/>
      </c>
      <c r="AJ175" s="333">
        <f>SUM(AJ173:AJ174)</f>
        <v/>
      </c>
      <c r="AK175" s="333">
        <f>SUM(AK173:AK174)</f>
        <v/>
      </c>
      <c r="AL175" s="333">
        <f>SUM(AL173:AL174)</f>
        <v/>
      </c>
      <c r="AM175" s="333">
        <f>SUM(AM173:AM174)</f>
        <v/>
      </c>
      <c r="AN175" s="333">
        <f>SUM(AN173:AN174)</f>
        <v/>
      </c>
      <c r="AO175" s="333">
        <f>SUM(AO173:AO174)</f>
        <v/>
      </c>
      <c r="AP175" s="333">
        <f>SUM(AP173:AP174)</f>
        <v/>
      </c>
      <c r="AQ175" s="333">
        <f>SUM(AQ173:AQ174)</f>
        <v/>
      </c>
      <c r="AR175" s="333">
        <f>SUM(AR173:AR174)</f>
        <v/>
      </c>
      <c r="AS175" s="333">
        <f>SUM(AS173:AS174)</f>
        <v/>
      </c>
      <c r="AT175" s="333">
        <f>SUM(AT173:AT174)</f>
        <v/>
      </c>
      <c r="AU175" s="333">
        <f>SUM(AU173:AU174)</f>
        <v/>
      </c>
      <c r="AV175" s="333">
        <f>SUM(AV173:AV174)</f>
        <v/>
      </c>
      <c r="AW175" s="333">
        <f>SUM(AW173:AW174)</f>
        <v/>
      </c>
      <c r="AX175" s="333">
        <f>SUM(AX173:AX174)</f>
        <v/>
      </c>
      <c r="AY175" s="333">
        <f>SUM(AY173:AY174)</f>
        <v/>
      </c>
      <c r="AZ175" s="333">
        <f>SUM(AZ173:AZ174)</f>
        <v/>
      </c>
      <c r="BA175" s="333">
        <f>SUM(BA173:BA174)</f>
        <v/>
      </c>
      <c r="BB175" s="333">
        <f>SUM(BB173:BB174)</f>
        <v/>
      </c>
      <c r="BC175" s="333">
        <f>SUM(BC173:BC174)</f>
        <v/>
      </c>
      <c r="BD175" s="333">
        <f>SUM(BD173:BD174)</f>
        <v/>
      </c>
      <c r="BE175" s="333">
        <f>SUM(BE173:BE174)</f>
        <v/>
      </c>
      <c r="BF175" s="333">
        <f>SUM(BF173:BF174)</f>
        <v/>
      </c>
      <c r="BG175" s="333">
        <f>SUM(BG173:BG174)</f>
        <v/>
      </c>
      <c r="BH175" s="333">
        <f>SUM(BH173:BH174)</f>
        <v/>
      </c>
      <c r="BI175" s="333">
        <f>SUM(BI173:BI174)</f>
        <v/>
      </c>
      <c r="BJ175" s="333">
        <f>SUM(BJ173:BJ174)</f>
        <v/>
      </c>
      <c r="BK175" s="333">
        <f>SUM(BK173:BK174)</f>
        <v/>
      </c>
      <c r="BL175" s="333">
        <f>SUM(BL173:BL174)</f>
        <v/>
      </c>
      <c r="BM175" s="333">
        <f>SUM(BM173:BM174)</f>
        <v/>
      </c>
      <c r="BN175" s="333">
        <f>SUM(BN173:BN174)</f>
        <v/>
      </c>
      <c r="BO175" s="333">
        <f>SUM(BO173:BO174)</f>
        <v/>
      </c>
      <c r="BP175" s="333">
        <f>SUM(BP173:BP174)</f>
        <v/>
      </c>
      <c r="BQ175" s="333">
        <f>SUM(BQ173:BQ174)</f>
        <v/>
      </c>
      <c r="BR175" s="333">
        <f>SUM(BR173:BR174)</f>
        <v/>
      </c>
      <c r="BS175" s="333">
        <f>SUM(BS173:BS174)</f>
        <v/>
      </c>
      <c r="BT175" s="333">
        <f>SUM(BT173:BT174)</f>
        <v/>
      </c>
      <c r="BU175" s="333">
        <f>SUM(BU173:BU174)</f>
        <v/>
      </c>
      <c r="BV175" s="333">
        <f>SUM(BV173:BV174)</f>
        <v/>
      </c>
      <c r="BW175" s="333">
        <f>SUM(BW173:BW174)</f>
        <v/>
      </c>
      <c r="BX175" s="333">
        <f>SUM(BX173:BX174)</f>
        <v/>
      </c>
      <c r="BY175" s="333">
        <f>SUM(BY173:BY174)</f>
        <v/>
      </c>
      <c r="BZ175" s="333">
        <f>SUM(BZ173:BZ174)</f>
        <v/>
      </c>
      <c r="CA175" s="333">
        <f>SUM(CA173:CA174)</f>
        <v/>
      </c>
      <c r="CB175" s="333">
        <f>SUM(CB173:CB174)</f>
        <v/>
      </c>
      <c r="CC175" s="333">
        <f>SUM(CC173:CC174)</f>
        <v/>
      </c>
      <c r="CD175" s="333">
        <f>SUM(CD173:CD174)</f>
        <v/>
      </c>
      <c r="CE175" s="333">
        <f>SUM(CE173:CE174)</f>
        <v/>
      </c>
      <c r="CF175" s="333">
        <f>SUM(CF173:CF174)</f>
        <v/>
      </c>
      <c r="CG175" s="333">
        <f>SUM(CG173:CG174)</f>
        <v/>
      </c>
      <c r="CH175" s="333">
        <f>SUM(CH173:CH174)</f>
        <v/>
      </c>
      <c r="CI175" s="333">
        <f>SUM(CI173:CI174)</f>
        <v/>
      </c>
      <c r="CJ175" s="333">
        <f>SUM(CJ173:CJ174)</f>
        <v/>
      </c>
      <c r="CK175" s="333">
        <f>SUM(CK173:CK174)</f>
        <v/>
      </c>
      <c r="CL175" s="333">
        <f>SUM(CL173:CL174)</f>
        <v/>
      </c>
      <c r="CM175" s="333">
        <f>SUM(CM173:CM174)</f>
        <v/>
      </c>
      <c r="CN175" s="333">
        <f>SUM(CN173:CN174)</f>
        <v/>
      </c>
      <c r="CO175" s="333">
        <f>SUM(CO173:CO174)</f>
        <v/>
      </c>
      <c r="CP175" s="333">
        <f>SUM(CP173:CP174)</f>
        <v/>
      </c>
      <c r="CQ175" s="333">
        <f>SUM(CQ173:CQ174)</f>
        <v/>
      </c>
      <c r="CR175" s="333">
        <f>SUM(CR173:CR174)</f>
        <v/>
      </c>
      <c r="CS175" s="333">
        <f>SUM(CS173:CS174)</f>
        <v/>
      </c>
      <c r="CT175" s="333">
        <f>SUM(CT173:CT174)</f>
        <v/>
      </c>
      <c r="CU175" s="333">
        <f>SUM(CU173:CU174)</f>
        <v/>
      </c>
      <c r="CV175" s="333">
        <f>SUM(CV173:CV174)</f>
        <v/>
      </c>
      <c r="CW175" s="333">
        <f>SUM(CW173:CW174)</f>
        <v/>
      </c>
      <c r="CX175" s="333">
        <f>SUM(CX173:CX174)</f>
        <v/>
      </c>
      <c r="CY175" s="333">
        <f>SUM(CY173:CY174)</f>
        <v/>
      </c>
      <c r="CZ175" s="333">
        <f>SUM(CZ173:CZ174)</f>
        <v/>
      </c>
      <c r="DA175" s="333">
        <f>SUM(DA173:DA174)</f>
        <v/>
      </c>
      <c r="DB175" s="333">
        <f>SUM(DB173:DB174)</f>
        <v/>
      </c>
      <c r="DC175" s="333" t="n"/>
      <c r="DD175" s="723">
        <f>MAX(F175:DB175)</f>
        <v/>
      </c>
    </row>
    <row r="176">
      <c r="A176" s="9" t="n"/>
      <c r="B176" s="9" t="n"/>
      <c r="C176" s="13" t="n"/>
      <c r="D176" s="13" t="n"/>
      <c r="E176" s="271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  <c r="AP176" s="13" t="n"/>
      <c r="AQ176" s="13" t="n"/>
      <c r="AR176" s="13" t="n"/>
      <c r="AS176" s="13" t="n"/>
      <c r="AT176" s="13" t="n"/>
      <c r="AU176" s="13" t="n"/>
      <c r="AV176" s="13" t="n"/>
      <c r="AW176" s="13" t="n"/>
      <c r="AX176" s="13" t="n"/>
      <c r="AY176" s="13" t="n"/>
      <c r="AZ176" s="13" t="n"/>
      <c r="BA176" s="13" t="n"/>
      <c r="BB176" s="13" t="n"/>
      <c r="BC176" s="13" t="n"/>
      <c r="BD176" s="13" t="n"/>
      <c r="BE176" s="13" t="n"/>
      <c r="BF176" s="13" t="n"/>
      <c r="BG176" s="13" t="n"/>
      <c r="BH176" s="13" t="n"/>
      <c r="BI176" s="13" t="n"/>
      <c r="BJ176" s="13" t="n"/>
      <c r="BK176" s="13" t="n"/>
      <c r="BL176" s="13" t="n"/>
      <c r="BM176" s="13" t="n"/>
      <c r="BN176" s="13" t="n"/>
      <c r="BO176" s="13" t="n"/>
      <c r="BP176" s="13" t="n"/>
      <c r="BQ176" s="13" t="n"/>
      <c r="BR176" s="13" t="n"/>
      <c r="BS176" s="13" t="n"/>
      <c r="BT176" s="13" t="n"/>
      <c r="BU176" s="13" t="n"/>
      <c r="BV176" s="13" t="n"/>
      <c r="BW176" s="13" t="n"/>
      <c r="BX176" s="13" t="n"/>
      <c r="BY176" s="13" t="n"/>
      <c r="BZ176" s="13" t="n"/>
      <c r="CA176" s="13" t="n"/>
      <c r="CB176" s="13" t="n"/>
      <c r="CC176" s="13" t="n"/>
      <c r="CD176" s="13" t="n"/>
      <c r="CE176" s="13" t="n"/>
      <c r="CF176" s="13" t="n"/>
      <c r="CG176" s="13" t="n"/>
      <c r="CH176" s="13" t="n"/>
      <c r="CI176" s="13" t="n"/>
      <c r="CJ176" s="13" t="n"/>
      <c r="CK176" s="13" t="n"/>
      <c r="CL176" s="13" t="n"/>
      <c r="CM176" s="13" t="n"/>
      <c r="CN176" s="13" t="n"/>
      <c r="CO176" s="13" t="n"/>
      <c r="CP176" s="13" t="n"/>
      <c r="CQ176" s="13" t="n"/>
      <c r="CR176" s="13" t="n"/>
      <c r="CS176" s="13" t="n"/>
      <c r="CT176" s="13" t="n"/>
      <c r="CU176" s="13" t="n"/>
      <c r="CV176" s="13" t="n"/>
      <c r="CW176" s="13" t="n"/>
      <c r="CX176" s="13" t="n"/>
      <c r="CY176" s="13" t="n"/>
      <c r="CZ176" s="13" t="n"/>
      <c r="DA176" s="13" t="n"/>
      <c r="DB176" s="13" t="n"/>
      <c r="DC176" s="13" t="n"/>
      <c r="DD176" s="13" t="n"/>
    </row>
    <row r="177">
      <c r="A177" s="13" t="n"/>
      <c r="B177" s="13" t="n"/>
      <c r="C177" s="13" t="n"/>
      <c r="D177" s="13" t="n"/>
      <c r="E177" s="271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  <c r="AS177" s="13" t="n"/>
      <c r="AT177" s="13" t="n"/>
      <c r="AU177" s="13" t="n"/>
      <c r="AV177" s="13" t="n"/>
      <c r="AW177" s="13" t="n"/>
      <c r="AX177" s="13" t="n"/>
      <c r="AY177" s="13" t="n"/>
      <c r="AZ177" s="13" t="n"/>
      <c r="BA177" s="13" t="n"/>
      <c r="BB177" s="13" t="n"/>
      <c r="BC177" s="13" t="n"/>
      <c r="BD177" s="13" t="n"/>
      <c r="BE177" s="13" t="n"/>
      <c r="BF177" s="13" t="n"/>
      <c r="BG177" s="13" t="n"/>
      <c r="BH177" s="13" t="n"/>
      <c r="BI177" s="13" t="n"/>
      <c r="BJ177" s="13" t="n"/>
      <c r="BK177" s="13" t="n"/>
      <c r="BL177" s="13" t="n"/>
      <c r="BM177" s="13" t="n"/>
      <c r="BN177" s="13" t="n"/>
      <c r="BO177" s="13" t="n"/>
      <c r="BP177" s="13" t="n"/>
      <c r="BQ177" s="13" t="n"/>
      <c r="BR177" s="13" t="n"/>
      <c r="BS177" s="13" t="n"/>
      <c r="BT177" s="13" t="n"/>
      <c r="BU177" s="13" t="n"/>
      <c r="BV177" s="13" t="n"/>
      <c r="BW177" s="13" t="n"/>
      <c r="BX177" s="13" t="n"/>
      <c r="BY177" s="13" t="n"/>
      <c r="BZ177" s="13" t="n"/>
      <c r="CA177" s="13" t="n"/>
      <c r="CB177" s="13" t="n"/>
      <c r="CC177" s="13" t="n"/>
      <c r="CD177" s="13" t="n"/>
      <c r="CE177" s="13" t="n"/>
      <c r="CF177" s="13" t="n"/>
      <c r="CG177" s="13" t="n"/>
      <c r="CH177" s="13" t="n"/>
      <c r="CI177" s="13" t="n"/>
      <c r="CJ177" s="13" t="n"/>
      <c r="CK177" s="13" t="n"/>
      <c r="CL177" s="13" t="n"/>
      <c r="CM177" s="13" t="n"/>
      <c r="CN177" s="13" t="n"/>
      <c r="CO177" s="13" t="n"/>
      <c r="CP177" s="13" t="n"/>
      <c r="CQ177" s="13" t="n"/>
      <c r="CR177" s="13" t="n"/>
      <c r="CS177" s="13" t="n"/>
      <c r="CT177" s="13" t="n"/>
      <c r="CU177" s="13" t="n"/>
      <c r="CV177" s="13" t="n"/>
      <c r="CW177" s="13" t="n"/>
      <c r="CX177" s="13" t="n"/>
      <c r="CY177" s="13" t="n"/>
      <c r="CZ177" s="13" t="n"/>
      <c r="DA177" s="13" t="n"/>
      <c r="DB177" s="13" t="n"/>
      <c r="DC177" s="13" t="n"/>
      <c r="DD177" s="13" t="n"/>
    </row>
    <row r="178" hidden="1" outlineLevel="1">
      <c r="A178" s="335" t="inlineStr">
        <is>
          <t>Calculation of Cumulative Fundings - Land Hold Period</t>
        </is>
      </c>
      <c r="B178" s="335" t="n"/>
      <c r="C178" s="15" t="n"/>
      <c r="D178" s="13" t="n"/>
      <c r="E178" s="271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  <c r="AP178" s="13" t="n"/>
      <c r="AQ178" s="13" t="n"/>
      <c r="AR178" s="13" t="n"/>
      <c r="AS178" s="13" t="n"/>
      <c r="AT178" s="13" t="n"/>
      <c r="AU178" s="13" t="n"/>
      <c r="AV178" s="13" t="n"/>
      <c r="AW178" s="13" t="n"/>
      <c r="AX178" s="13" t="n"/>
      <c r="AY178" s="13" t="n"/>
      <c r="AZ178" s="13" t="n"/>
      <c r="BA178" s="13" t="n"/>
      <c r="BB178" s="13" t="n"/>
      <c r="BC178" s="13" t="n"/>
      <c r="BD178" s="13" t="n"/>
      <c r="BE178" s="13" t="n"/>
      <c r="BF178" s="13" t="n"/>
      <c r="BG178" s="13" t="n"/>
      <c r="BH178" s="13" t="n"/>
      <c r="BI178" s="13" t="n"/>
      <c r="BJ178" s="13" t="n"/>
      <c r="BK178" s="13" t="n"/>
      <c r="BL178" s="13" t="n"/>
      <c r="BM178" s="13" t="n"/>
      <c r="BN178" s="13" t="n"/>
      <c r="BO178" s="13" t="n"/>
      <c r="BP178" s="13" t="n"/>
      <c r="BQ178" s="13" t="n"/>
      <c r="BR178" s="13" t="n"/>
      <c r="BS178" s="13" t="n"/>
      <c r="BT178" s="13" t="n"/>
      <c r="BU178" s="13" t="n"/>
      <c r="BV178" s="13" t="n"/>
      <c r="BW178" s="13" t="n"/>
      <c r="BX178" s="13" t="n"/>
      <c r="BY178" s="13" t="n"/>
      <c r="BZ178" s="13" t="n"/>
      <c r="CA178" s="13" t="n"/>
      <c r="CB178" s="13" t="n"/>
      <c r="CC178" s="13" t="n"/>
      <c r="CD178" s="13" t="n"/>
      <c r="CE178" s="13" t="n"/>
      <c r="CF178" s="13" t="n"/>
      <c r="CG178" s="13" t="n"/>
      <c r="CH178" s="13" t="n"/>
      <c r="CI178" s="13" t="n"/>
      <c r="CJ178" s="13" t="n"/>
      <c r="CK178" s="13" t="n"/>
      <c r="CL178" s="13" t="n"/>
      <c r="CM178" s="13" t="n"/>
      <c r="CN178" s="13" t="n"/>
      <c r="CO178" s="13" t="n"/>
      <c r="CP178" s="13" t="n"/>
      <c r="CQ178" s="13" t="n"/>
      <c r="CR178" s="13" t="n"/>
      <c r="CS178" s="13" t="n"/>
      <c r="CT178" s="13" t="n"/>
      <c r="CU178" s="13" t="n"/>
      <c r="CV178" s="13" t="n"/>
      <c r="CW178" s="13" t="n"/>
      <c r="CX178" s="13" t="n"/>
      <c r="CY178" s="13" t="n"/>
      <c r="CZ178" s="13" t="n"/>
      <c r="DA178" s="13" t="n"/>
      <c r="DB178" s="13" t="n"/>
      <c r="DC178" s="13" t="n"/>
      <c r="DD178" s="13" t="n"/>
    </row>
    <row r="179" hidden="1" outlineLevel="1">
      <c r="A179" s="15" t="inlineStr">
        <is>
          <t>Funding Priority - 1</t>
        </is>
      </c>
      <c r="B179" s="15" t="n"/>
      <c r="C179" s="15" t="n"/>
      <c r="D179" s="13" t="n"/>
      <c r="E179" s="271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  <c r="AP179" s="13" t="n"/>
      <c r="AQ179" s="13" t="n"/>
      <c r="AR179" s="13" t="n"/>
      <c r="AS179" s="13" t="n"/>
      <c r="AT179" s="13" t="n"/>
      <c r="AU179" s="13" t="n"/>
      <c r="AV179" s="13" t="n"/>
      <c r="AW179" s="13" t="n"/>
      <c r="AX179" s="13" t="n"/>
      <c r="AY179" s="13" t="n"/>
      <c r="AZ179" s="13" t="n"/>
      <c r="BA179" s="13" t="n"/>
      <c r="BB179" s="13" t="n"/>
      <c r="BC179" s="13" t="n"/>
      <c r="BD179" s="13" t="n"/>
      <c r="BE179" s="13" t="n"/>
      <c r="BF179" s="13" t="n"/>
      <c r="BG179" s="13" t="n"/>
      <c r="BH179" s="13" t="n"/>
      <c r="BI179" s="13" t="n"/>
      <c r="BJ179" s="13" t="n"/>
      <c r="BK179" s="13" t="n"/>
      <c r="BL179" s="13" t="n"/>
      <c r="BM179" s="13" t="n"/>
      <c r="BN179" s="13" t="n"/>
      <c r="BO179" s="13" t="n"/>
      <c r="BP179" s="13" t="n"/>
      <c r="BQ179" s="13" t="n"/>
      <c r="BR179" s="13" t="n"/>
      <c r="BS179" s="13" t="n"/>
      <c r="BT179" s="13" t="n"/>
      <c r="BU179" s="13" t="n"/>
      <c r="BV179" s="13" t="n"/>
      <c r="BW179" s="13" t="n"/>
      <c r="BX179" s="13" t="n"/>
      <c r="BY179" s="13" t="n"/>
      <c r="BZ179" s="13" t="n"/>
      <c r="CA179" s="13" t="n"/>
      <c r="CB179" s="13" t="n"/>
      <c r="CC179" s="13" t="n"/>
      <c r="CD179" s="13" t="n"/>
      <c r="CE179" s="13" t="n"/>
      <c r="CF179" s="13" t="n"/>
      <c r="CG179" s="13" t="n"/>
      <c r="CH179" s="13" t="n"/>
      <c r="CI179" s="13" t="n"/>
      <c r="CJ179" s="13" t="n"/>
      <c r="CK179" s="13" t="n"/>
      <c r="CL179" s="13" t="n"/>
      <c r="CM179" s="13" t="n"/>
      <c r="CN179" s="13" t="n"/>
      <c r="CO179" s="13" t="n"/>
      <c r="CP179" s="13" t="n"/>
      <c r="CQ179" s="13" t="n"/>
      <c r="CR179" s="13" t="n"/>
      <c r="CS179" s="13" t="n"/>
      <c r="CT179" s="13" t="n"/>
      <c r="CU179" s="13" t="n"/>
      <c r="CV179" s="13" t="n"/>
      <c r="CW179" s="13" t="n"/>
      <c r="CX179" s="13" t="n"/>
      <c r="CY179" s="13" t="n"/>
      <c r="CZ179" s="13" t="n"/>
      <c r="DA179" s="13" t="n"/>
      <c r="DB179" s="13" t="n"/>
      <c r="DC179" s="13" t="n"/>
      <c r="DD179" s="13" t="n"/>
    </row>
    <row r="180" hidden="1" outlineLevel="1">
      <c r="A180" s="15" t="inlineStr">
        <is>
          <t xml:space="preserve">   Bank Debt</t>
        </is>
      </c>
      <c r="B180" s="15" t="n"/>
      <c r="C180" s="336">
        <f>IF('Project Assumptions'!E23=1,'Project Assumptions'!C23,"")</f>
        <v/>
      </c>
      <c r="D180" s="700">
        <f>IF('Project Assumptions'!E23=1,'Project Assumptions'!C23*('Detailed Project Costs'!$F$74),0)</f>
        <v/>
      </c>
      <c r="E180" s="641" t="n"/>
      <c r="F180" s="293">
        <f>IF('Project Assumptions'!$D$15=0,0,MIN(-F$164*$D180/MAX($D$182,1),$D180))</f>
        <v/>
      </c>
      <c r="G180" s="293">
        <f>IF(G$5&lt;='Project Assumptions'!$D$15,MIN(-G$164*$D180/MAX($D$182,1),$D180),0)</f>
        <v/>
      </c>
      <c r="H180" s="293">
        <f>IF(H$5&lt;='Project Assumptions'!$D$15,MIN(-H$164*$D180/MAX($D$182,1),$D180),0)</f>
        <v/>
      </c>
      <c r="I180" s="293">
        <f>IF(I$5&lt;='Project Assumptions'!$D$15,MIN(-I$164*$D180/MAX($D$182,1),$D180),0)</f>
        <v/>
      </c>
      <c r="J180" s="293">
        <f>IF(J$5&lt;='Project Assumptions'!$D$15,MIN(-J$164*$D180/MAX($D$182,1),$D180),0)</f>
        <v/>
      </c>
      <c r="K180" s="293">
        <f>IF(K$5&lt;='Project Assumptions'!$D$15,MIN(-K$164*$D180/MAX($D$182,1),$D180),0)</f>
        <v/>
      </c>
      <c r="L180" s="293">
        <f>IF(L$5&lt;='Project Assumptions'!$D$15,MIN(-L$164*$D180/MAX($D$182,1),$D180),0)</f>
        <v/>
      </c>
      <c r="M180" s="293">
        <f>IF(M$5&lt;='Project Assumptions'!$D$15,MIN(-M$164*$D180/MAX($D$182,1),$D180),0)</f>
        <v/>
      </c>
      <c r="N180" s="293">
        <f>IF(N$5&lt;='Project Assumptions'!$D$15,MIN(-N$164*$D180/MAX($D$182,1),$D180),0)</f>
        <v/>
      </c>
      <c r="O180" s="293">
        <f>IF(O$5&lt;='Project Assumptions'!$D$15,MIN(-O$164*$D180/MAX($D$182,1),$D180),0)</f>
        <v/>
      </c>
      <c r="P180" s="293">
        <f>IF(P$5&lt;='Project Assumptions'!$D$15,MIN(-P$164*$D180/MAX($D$182,1),$D180),0)</f>
        <v/>
      </c>
      <c r="Q180" s="293">
        <f>IF(Q$5&lt;='Project Assumptions'!$D$15,MIN(-Q$164*$D180/MAX($D$182,1),$D180),0)</f>
        <v/>
      </c>
      <c r="R180" s="293">
        <f>IF(R$5&lt;='Project Assumptions'!$D$15,MIN(-R$164*$D180/MAX($D$182,1),$D180),0)</f>
        <v/>
      </c>
      <c r="S180" s="293">
        <f>IF(S$5&lt;='Project Assumptions'!$D$15,MIN(-S$164*$D180/MAX($D$182,1),$D180),0)</f>
        <v/>
      </c>
      <c r="T180" s="293">
        <f>IF(T$5&lt;='Project Assumptions'!$D$15,MIN(-T$164*$D180/MAX($D$182,1),$D180),0)</f>
        <v/>
      </c>
      <c r="U180" s="293">
        <f>IF(U$5&lt;='Project Assumptions'!$D$15,MIN(-U$164*$D180/MAX($D$182,1),$D180),0)</f>
        <v/>
      </c>
      <c r="V180" s="293">
        <f>IF(V$5&lt;='Project Assumptions'!$D$15,MIN(-V$164*$D180/MAX($D$182,1),$D180),0)</f>
        <v/>
      </c>
      <c r="W180" s="293">
        <f>IF(W$5&lt;='Project Assumptions'!$D$15,MIN(-W$164*$D180/MAX($D$182,1),$D180),0)</f>
        <v/>
      </c>
      <c r="X180" s="293">
        <f>IF(X$5&lt;='Project Assumptions'!$D$15,MIN(-X$164*$D180/MAX($D$182,1),$D180),0)</f>
        <v/>
      </c>
      <c r="Y180" s="293">
        <f>IF(Y$5&lt;='Project Assumptions'!$D$15,MIN(-Y$164*$D180/MAX($D$182,1),$D180),0)</f>
        <v/>
      </c>
      <c r="Z180" s="293">
        <f>IF(Z$5&lt;='Project Assumptions'!$D$15,MIN(-Z$164*$D180/MAX($D$182,1),$D180),0)</f>
        <v/>
      </c>
      <c r="AA180" s="293">
        <f>IF(AA$5&lt;='Project Assumptions'!$D$15,MIN(-AA$164*$D180/MAX($D$182,1),$D180),0)</f>
        <v/>
      </c>
      <c r="AB180" s="293">
        <f>IF(AB$5&lt;='Project Assumptions'!$D$15,MIN(-AB$164*$D180/MAX($D$182,1),$D180),0)</f>
        <v/>
      </c>
      <c r="AC180" s="293">
        <f>IF(AC$5&lt;='Project Assumptions'!$D$15,MIN(-AC$164*$D180/MAX($D$182,1),$D180),0)</f>
        <v/>
      </c>
      <c r="AD180" s="293">
        <f>IF(AD$5&lt;='Project Assumptions'!$D$15,MIN(-AD$164*$D180/MAX($D$182,1),$D180),0)</f>
        <v/>
      </c>
      <c r="AE180" s="293">
        <f>IF(AE$5&lt;='Project Assumptions'!$D$15,MIN(-AE$164*$D180/MAX($D$182,1),$D180),0)</f>
        <v/>
      </c>
      <c r="AF180" s="293">
        <f>IF(AF$5&lt;='Project Assumptions'!$D$15,MIN(-AF$164*$D180/MAX($D$182,1),$D180),0)</f>
        <v/>
      </c>
      <c r="AG180" s="293">
        <f>IF(AG$5&lt;='Project Assumptions'!$D$15,MIN(-AG$164*$D180/MAX($D$182,1),$D180),0)</f>
        <v/>
      </c>
      <c r="AH180" s="293">
        <f>IF(AH$5&lt;='Project Assumptions'!$D$15,MIN(-AH$164*$D180/MAX($D$182,1),$D180),0)</f>
        <v/>
      </c>
      <c r="AI180" s="293">
        <f>IF(AI$5&lt;='Project Assumptions'!$D$15,MIN(-AI$164*$D180/MAX($D$182,1),$D180),0)</f>
        <v/>
      </c>
      <c r="AJ180" s="293">
        <f>IF(AJ$5&lt;='Project Assumptions'!$D$15,MIN(-AJ$164*$D180/MAX($D$182,1),$D180),0)</f>
        <v/>
      </c>
      <c r="AK180" s="293">
        <f>IF(AK$5&lt;='Project Assumptions'!$D$15,MIN(-AK$164*$D180/MAX($D$182,1),$D180),0)</f>
        <v/>
      </c>
      <c r="AL180" s="293">
        <f>IF(AL$5&lt;='Project Assumptions'!$D$15,MIN(-AL$164*$D180/MAX($D$182,1),$D180),0)</f>
        <v/>
      </c>
      <c r="AM180" s="293">
        <f>IF(AM$5&lt;='Project Assumptions'!$D$15,MIN(-AM$164*$D180/MAX($D$182,1),$D180),0)</f>
        <v/>
      </c>
      <c r="AN180" s="293">
        <f>IF(AN$5&lt;='Project Assumptions'!$D$15,MIN(-AN$164*$D180/MAX($D$182,1),$D180),0)</f>
        <v/>
      </c>
      <c r="AO180" s="293">
        <f>IF(AO$5&lt;='Project Assumptions'!$D$15,MIN(-AO$164*$D180/MAX($D$182,1),$D180),0)</f>
        <v/>
      </c>
      <c r="AP180" s="293">
        <f>IF(AP$5&lt;='Project Assumptions'!$D$15,MIN(-AP$164*$D180/MAX($D$182,1),$D180),0)</f>
        <v/>
      </c>
      <c r="AQ180" s="293">
        <f>IF(AQ$5&lt;='Project Assumptions'!$D$15,MIN(-AQ$164*$D180/MAX($D$182,1),$D180),0)</f>
        <v/>
      </c>
      <c r="AR180" s="293">
        <f>IF(AR$5&lt;='Project Assumptions'!$D$15,MIN(-AR$164*$D180/MAX($D$182,1),$D180),0)</f>
        <v/>
      </c>
      <c r="AS180" s="293">
        <f>IF(AS$5&lt;='Project Assumptions'!$D$15,MIN(-AS$164*$D180/MAX($D$182,1),$D180),0)</f>
        <v/>
      </c>
      <c r="AT180" s="293">
        <f>IF(AT$5&lt;='Project Assumptions'!$D$15,MIN(-AT$164*$D180/MAX($D$182,1),$D180),0)</f>
        <v/>
      </c>
      <c r="AU180" s="293">
        <f>IF(AU$5&lt;='Project Assumptions'!$D$15,MIN(-AU$164*$D180/MAX($D$182,1),$D180),0)</f>
        <v/>
      </c>
      <c r="AV180" s="293">
        <f>IF(AV$5&lt;='Project Assumptions'!$D$15,MIN(-AV$164*$D180/MAX($D$182,1),$D180),0)</f>
        <v/>
      </c>
      <c r="AW180" s="293">
        <f>IF(AW$5&lt;='Project Assumptions'!$D$15,MIN(-AW$164*$D180/MAX($D$182,1),$D180),0)</f>
        <v/>
      </c>
      <c r="AX180" s="293">
        <f>IF(AX$5&lt;='Project Assumptions'!$D$15,MIN(-AX$164*$D180/MAX($D$182,1),$D180),0)</f>
        <v/>
      </c>
      <c r="AY180" s="293">
        <f>IF(AY$5&lt;='Project Assumptions'!$D$15,MIN(-AY$164*$D180/MAX($D$182,1),$D180),0)</f>
        <v/>
      </c>
      <c r="AZ180" s="293">
        <f>IF(AZ$5&lt;='Project Assumptions'!$D$15,MIN(-AZ$164*$D180/MAX($D$182,1),$D180),0)</f>
        <v/>
      </c>
      <c r="BA180" s="293">
        <f>IF(BA$5&lt;='Project Assumptions'!$D$15,MIN(-BA$164*$D180/MAX($D$182,1),$D180),0)</f>
        <v/>
      </c>
      <c r="BB180" s="293">
        <f>IF(BB$5&lt;='Project Assumptions'!$D$15,MIN(-BB$164*$D180/MAX($D$182,1),$D180),0)</f>
        <v/>
      </c>
      <c r="BC180" s="293">
        <f>IF(BC$5&lt;='Project Assumptions'!$D$15,MIN(-BC$164*$D180/MAX($D$182,1),$D180),0)</f>
        <v/>
      </c>
      <c r="BD180" s="293">
        <f>IF(BD$5&lt;='Project Assumptions'!$D$15,MIN(-BD$164*$D180/MAX($D$182,1),$D180),0)</f>
        <v/>
      </c>
      <c r="BE180" s="293">
        <f>IF(BE$5&lt;='Project Assumptions'!$D$15,MIN(-BE$164*$D180/MAX($D$182,1),$D180),0)</f>
        <v/>
      </c>
      <c r="BF180" s="293">
        <f>IF(BF$5&lt;='Project Assumptions'!$D$15,MIN(-BF$164*$D180/MAX($D$182,1),$D180),0)</f>
        <v/>
      </c>
      <c r="BG180" s="293">
        <f>IF(BG$5&lt;='Project Assumptions'!$D$15,MIN(-BG$164*$D180/MAX($D$182,1),$D180),0)</f>
        <v/>
      </c>
      <c r="BH180" s="293">
        <f>IF(BH$5&lt;='Project Assumptions'!$D$15,MIN(-BH$164*$D180/MAX($D$182,1),$D180),0)</f>
        <v/>
      </c>
      <c r="BI180" s="293">
        <f>IF(BI$5&lt;='Project Assumptions'!$D$15,MIN(-BI$164*$D180/MAX($D$182,1),$D180),0)</f>
        <v/>
      </c>
      <c r="BJ180" s="293">
        <f>IF(BJ$5&lt;='Project Assumptions'!$D$15,MIN(-BJ$164*$D180/MAX($D$182,1),$D180),0)</f>
        <v/>
      </c>
      <c r="BK180" s="293">
        <f>IF(BK$5&lt;='Project Assumptions'!$D$15,MIN(-BK$164*$D180/MAX($D$182,1),$D180),0)</f>
        <v/>
      </c>
      <c r="BL180" s="293">
        <f>IF(BL$5&lt;='Project Assumptions'!$D$15,MIN(-BL$164*$D180/MAX($D$182,1),$D180),0)</f>
        <v/>
      </c>
      <c r="BM180" s="293">
        <f>IF(BM$5&lt;='Project Assumptions'!$D$15,MIN(-BM$164*$D180/MAX($D$182,1),$D180),0)</f>
        <v/>
      </c>
      <c r="BN180" s="293">
        <f>IF(BN$5&lt;='Project Assumptions'!$D$15,MIN(-BN$164*$D180/MAX($D$182,1),$D180),0)</f>
        <v/>
      </c>
      <c r="BO180" s="293">
        <f>IF(BO$5&lt;='Project Assumptions'!$D$15,MIN(-BO$164*$D180/MAX($D$182,1),$D180),0)</f>
        <v/>
      </c>
      <c r="BP180" s="293">
        <f>IF(BP$5&lt;='Project Assumptions'!$D$15,MIN(-BP$164*$D180/MAX($D$182,1),$D180),0)</f>
        <v/>
      </c>
      <c r="BQ180" s="293">
        <f>IF(BQ$5&lt;='Project Assumptions'!$D$15,MIN(-BQ$164*$D180/MAX($D$182,1),$D180),0)</f>
        <v/>
      </c>
      <c r="BR180" s="293">
        <f>IF(BR$5&lt;='Project Assumptions'!$D$15,MIN(-BR$164*$D180/MAX($D$182,1),$D180),0)</f>
        <v/>
      </c>
      <c r="BS180" s="293">
        <f>IF(BS$5&lt;='Project Assumptions'!$D$15,MIN(-BS$164*$D180/MAX($D$182,1),$D180),0)</f>
        <v/>
      </c>
      <c r="BT180" s="293">
        <f>IF(BT$5&lt;='Project Assumptions'!$D$15,MIN(-BT$164*$D180/MAX($D$182,1),$D180),0)</f>
        <v/>
      </c>
      <c r="BU180" s="293">
        <f>IF(BU$5&lt;='Project Assumptions'!$D$15,MIN(-BU$164*$D180/MAX($D$182,1),$D180),0)</f>
        <v/>
      </c>
      <c r="BV180" s="293">
        <f>IF(BV$5&lt;='Project Assumptions'!$D$15,MIN(-BV$164*$D180/MAX($D$182,1),$D180),0)</f>
        <v/>
      </c>
      <c r="BW180" s="293">
        <f>IF(BW$5&lt;='Project Assumptions'!$D$15,MIN(-BW$164*$D180/MAX($D$182,1),$D180),0)</f>
        <v/>
      </c>
      <c r="BX180" s="293">
        <f>IF(BX$5&lt;='Project Assumptions'!$D$15,MIN(-BX$164*$D180/MAX($D$182,1),$D180),0)</f>
        <v/>
      </c>
      <c r="BY180" s="293">
        <f>IF(BY$5&lt;='Project Assumptions'!$D$15,MIN(-BY$164*$D180/MAX($D$182,1),$D180),0)</f>
        <v/>
      </c>
      <c r="BZ180" s="293">
        <f>IF(BZ$5&lt;='Project Assumptions'!$D$15,MIN(-BZ$164*$D180/MAX($D$182,1),$D180),0)</f>
        <v/>
      </c>
      <c r="CA180" s="293">
        <f>IF(CA$5&lt;='Project Assumptions'!$D$15,MIN(-CA$164*$D180/MAX($D$182,1),$D180),0)</f>
        <v/>
      </c>
      <c r="CB180" s="293">
        <f>IF(CB$5&lt;='Project Assumptions'!$D$15,MIN(-CB$164*$D180/MAX($D$182,1),$D180),0)</f>
        <v/>
      </c>
      <c r="CC180" s="293">
        <f>IF(CC$5&lt;='Project Assumptions'!$D$15,MIN(-CC$164*$D180/MAX($D$182,1),$D180),0)</f>
        <v/>
      </c>
      <c r="CD180" s="293">
        <f>IF(CD$5&lt;='Project Assumptions'!$D$15,MIN(-CD$164*$D180/MAX($D$182,1),$D180),0)</f>
        <v/>
      </c>
      <c r="CE180" s="293">
        <f>IF(CE$5&lt;='Project Assumptions'!$D$15,MIN(-CE$164*$D180/MAX($D$182,1),$D180),0)</f>
        <v/>
      </c>
      <c r="CF180" s="293">
        <f>IF(CF$5&lt;='Project Assumptions'!$D$15,MIN(-CF$164*$D180/MAX($D$182,1),$D180),0)</f>
        <v/>
      </c>
      <c r="CG180" s="293">
        <f>IF(CG$5&lt;='Project Assumptions'!$D$15,MIN(-CG$164*$D180/MAX($D$182,1),$D180),0)</f>
        <v/>
      </c>
      <c r="CH180" s="293">
        <f>IF(CH$5&lt;='Project Assumptions'!$D$15,MIN(-CH$164*$D180/MAX($D$182,1),$D180),0)</f>
        <v/>
      </c>
      <c r="CI180" s="293">
        <f>IF(CI$5&lt;='Project Assumptions'!$D$15,MIN(-CI$164*$D180/MAX($D$182,1),$D180),0)</f>
        <v/>
      </c>
      <c r="CJ180" s="293">
        <f>IF(CJ$5&lt;='Project Assumptions'!$D$15,MIN(-CJ$164*$D180/MAX($D$182,1),$D180),0)</f>
        <v/>
      </c>
      <c r="CK180" s="293">
        <f>IF(CK$5&lt;='Project Assumptions'!$D$15,MIN(-CK$164*$D180/MAX($D$182,1),$D180),0)</f>
        <v/>
      </c>
      <c r="CL180" s="293">
        <f>IF(CL$5&lt;='Project Assumptions'!$D$15,MIN(-CL$164*$D180/MAX($D$182,1),$D180),0)</f>
        <v/>
      </c>
      <c r="CM180" s="293">
        <f>IF(CM$5&lt;='Project Assumptions'!$D$15,MIN(-CM$164*$D180/MAX($D$182,1),$D180),0)</f>
        <v/>
      </c>
      <c r="CN180" s="293">
        <f>IF(CN$5&lt;='Project Assumptions'!$D$15,MIN(-CN$164*$D180/MAX($D$182,1),$D180),0)</f>
        <v/>
      </c>
      <c r="CO180" s="293">
        <f>IF(CO$5&lt;='Project Assumptions'!$D$15,MIN(-CO$164*$D180/MAX($D$182,1),$D180),0)</f>
        <v/>
      </c>
      <c r="CP180" s="293">
        <f>IF(CP$5&lt;='Project Assumptions'!$D$15,MIN(-CP$164*$D180/MAX($D$182,1),$D180),0)</f>
        <v/>
      </c>
      <c r="CQ180" s="293">
        <f>IF(CQ$5&lt;='Project Assumptions'!$D$15,MIN(-CQ$164*$D180/MAX($D$182,1),$D180),0)</f>
        <v/>
      </c>
      <c r="CR180" s="293">
        <f>IF(CR$5&lt;='Project Assumptions'!$D$15,MIN(-CR$164*$D180/MAX($D$182,1),$D180),0)</f>
        <v/>
      </c>
      <c r="CS180" s="293">
        <f>IF(CS$5&lt;='Project Assumptions'!$D$15,MIN(-CS$164*$D180/MAX($D$182,1),$D180),0)</f>
        <v/>
      </c>
      <c r="CT180" s="293">
        <f>IF(CT$5&lt;='Project Assumptions'!$D$15,MIN(-CT$164*$D180/MAX($D$182,1),$D180),0)</f>
        <v/>
      </c>
      <c r="CU180" s="293">
        <f>IF(CU$5&lt;='Project Assumptions'!$D$15,MIN(-CU$164*$D180/MAX($D$182,1),$D180),0)</f>
        <v/>
      </c>
      <c r="CV180" s="293">
        <f>IF(CV$5&lt;='Project Assumptions'!$D$15,MIN(-CV$164*$D180/MAX($D$182,1),$D180),0)</f>
        <v/>
      </c>
      <c r="CW180" s="293">
        <f>IF(CW$5&lt;='Project Assumptions'!$D$15,MIN(-CW$164*$D180/MAX($D$182,1),$D180),0)</f>
        <v/>
      </c>
      <c r="CX180" s="293">
        <f>IF(CX$5&lt;='Project Assumptions'!$D$15,MIN(-CX$164*$D180/MAX($D$182,1),$D180),0)</f>
        <v/>
      </c>
      <c r="CY180" s="293">
        <f>IF(CY$5&lt;='Project Assumptions'!$D$15,MIN(-CY$164*$D180/MAX($D$182,1),$D180),0)</f>
        <v/>
      </c>
      <c r="CZ180" s="293">
        <f>IF(CZ$5&lt;='Project Assumptions'!$D$15,MIN(-CZ$164*$D180/MAX($D$182,1),$D180),0)</f>
        <v/>
      </c>
      <c r="DA180" s="293">
        <f>IF(DA$5&lt;='Project Assumptions'!$D$15,MIN(-DA$164*$D180/MAX($D$182,1),$D180),0)</f>
        <v/>
      </c>
      <c r="DB180" s="293">
        <f>IF(DB$5&lt;='Project Assumptions'!$D$15,MIN(-DB$164*$D180/MAX($D$182,1),$D180),0)</f>
        <v/>
      </c>
      <c r="DC180" s="293" t="n"/>
      <c r="DD180" s="292">
        <f>MAX(F180:DB180)</f>
        <v/>
      </c>
    </row>
    <row r="181" hidden="1" outlineLevel="1">
      <c r="A181" s="15" t="inlineStr">
        <is>
          <t xml:space="preserve">   Equity</t>
        </is>
      </c>
      <c r="B181" s="15" t="n"/>
      <c r="C181" s="336">
        <f>IF('Project Assumptions'!E24=1,'Project Assumptions'!C24,"")</f>
        <v/>
      </c>
      <c r="D181" s="337">
        <f>IF('Project Assumptions'!E24=1,'Project Assumptions'!C24*('Detailed Project Costs'!$F$74),0)</f>
        <v/>
      </c>
      <c r="E181" s="276" t="n"/>
      <c r="F181" s="890">
        <f>IF('Project Assumptions'!$D$15=0,0,MIN(-F$164*$D181/MAX($D$182,1),$D181))</f>
        <v/>
      </c>
      <c r="G181" s="890">
        <f>IF(G$5&lt;='Project Assumptions'!$D$15,MIN(-G$164*$D181/MAX($D$182,1),$D181),0)</f>
        <v/>
      </c>
      <c r="H181" s="890">
        <f>IF(H$5&lt;='Project Assumptions'!$D$15,MIN(-H$164*$D181/MAX($D$182,1),$D181),0)</f>
        <v/>
      </c>
      <c r="I181" s="890">
        <f>IF(I$5&lt;='Project Assumptions'!$D$15,MIN(-I$164*$D181/MAX($D$182,1),$D181),0)</f>
        <v/>
      </c>
      <c r="J181" s="890">
        <f>IF(J$5&lt;='Project Assumptions'!$D$15,MIN(-J$164*$D181/MAX($D$182,1),$D181),0)</f>
        <v/>
      </c>
      <c r="K181" s="890">
        <f>IF(K$5&lt;='Project Assumptions'!$D$15,MIN(-K$164*$D181/MAX($D$182,1),$D181),0)</f>
        <v/>
      </c>
      <c r="L181" s="890">
        <f>IF(L$5&lt;='Project Assumptions'!$D$15,MIN(-L$164*$D181/MAX($D$182,1),$D181),0)</f>
        <v/>
      </c>
      <c r="M181" s="890">
        <f>IF(M$5&lt;='Project Assumptions'!$D$15,MIN(-M$164*$D181/MAX($D$182,1),$D181),0)</f>
        <v/>
      </c>
      <c r="N181" s="890">
        <f>IF(N$5&lt;='Project Assumptions'!$D$15,MIN(-N$164*$D181/MAX($D$182,1),$D181),0)</f>
        <v/>
      </c>
      <c r="O181" s="890">
        <f>IF(O$5&lt;='Project Assumptions'!$D$15,MIN(-O$164*$D181/MAX($D$182,1),$D181),0)</f>
        <v/>
      </c>
      <c r="P181" s="890">
        <f>IF(P$5&lt;='Project Assumptions'!$D$15,MIN(-P$164*$D181/MAX($D$182,1),$D181),0)</f>
        <v/>
      </c>
      <c r="Q181" s="890">
        <f>IF(Q$5&lt;='Project Assumptions'!$D$15,MIN(-Q$164*$D181/MAX($D$182,1),$D181),0)</f>
        <v/>
      </c>
      <c r="R181" s="890">
        <f>IF(R$5&lt;='Project Assumptions'!$D$15,MIN(-R$164*$D181/MAX($D$182,1),$D181),0)</f>
        <v/>
      </c>
      <c r="S181" s="890">
        <f>IF(S$5&lt;='Project Assumptions'!$D$15,MIN(-S$164*$D181/MAX($D$182,1),$D181),0)</f>
        <v/>
      </c>
      <c r="T181" s="890">
        <f>IF(T$5&lt;='Project Assumptions'!$D$15,MIN(-T$164*$D181/MAX($D$182,1),$D181),0)</f>
        <v/>
      </c>
      <c r="U181" s="890">
        <f>IF(U$5&lt;='Project Assumptions'!$D$15,MIN(-U$164*$D181/MAX($D$182,1),$D181),0)</f>
        <v/>
      </c>
      <c r="V181" s="890">
        <f>IF(V$5&lt;='Project Assumptions'!$D$15,MIN(-V$164*$D181/MAX($D$182,1),$D181),0)</f>
        <v/>
      </c>
      <c r="W181" s="890">
        <f>IF(W$5&lt;='Project Assumptions'!$D$15,MIN(-W$164*$D181/MAX($D$182,1),$D181),0)</f>
        <v/>
      </c>
      <c r="X181" s="890">
        <f>IF(X$5&lt;='Project Assumptions'!$D$15,MIN(-X$164*$D181/MAX($D$182,1),$D181),0)</f>
        <v/>
      </c>
      <c r="Y181" s="890">
        <f>IF(Y$5&lt;='Project Assumptions'!$D$15,MIN(-Y$164*$D181/MAX($D$182,1),$D181),0)</f>
        <v/>
      </c>
      <c r="Z181" s="890">
        <f>IF(Z$5&lt;='Project Assumptions'!$D$15,MIN(-Z$164*$D181/MAX($D$182,1),$D181),0)</f>
        <v/>
      </c>
      <c r="AA181" s="890">
        <f>IF(AA$5&lt;='Project Assumptions'!$D$15,MIN(-AA$164*$D181/MAX($D$182,1),$D181),0)</f>
        <v/>
      </c>
      <c r="AB181" s="890">
        <f>IF(AB$5&lt;='Project Assumptions'!$D$15,MIN(-AB$164*$D181/MAX($D$182,1),$D181),0)</f>
        <v/>
      </c>
      <c r="AC181" s="890">
        <f>IF(AC$5&lt;='Project Assumptions'!$D$15,MIN(-AC$164*$D181/MAX($D$182,1),$D181),0)</f>
        <v/>
      </c>
      <c r="AD181" s="890">
        <f>IF(AD$5&lt;='Project Assumptions'!$D$15,MIN(-AD$164*$D181/MAX($D$182,1),$D181),0)</f>
        <v/>
      </c>
      <c r="AE181" s="890">
        <f>IF(AE$5&lt;='Project Assumptions'!$D$15,MIN(-AE$164*$D181/MAX($D$182,1),$D181),0)</f>
        <v/>
      </c>
      <c r="AF181" s="890">
        <f>IF(AF$5&lt;='Project Assumptions'!$D$15,MIN(-AF$164*$D181/MAX($D$182,1),$D181),0)</f>
        <v/>
      </c>
      <c r="AG181" s="890">
        <f>IF(AG$5&lt;='Project Assumptions'!$D$15,MIN(-AG$164*$D181/MAX($D$182,1),$D181),0)</f>
        <v/>
      </c>
      <c r="AH181" s="890">
        <f>IF(AH$5&lt;='Project Assumptions'!$D$15,MIN(-AH$164*$D181/MAX($D$182,1),$D181),0)</f>
        <v/>
      </c>
      <c r="AI181" s="890">
        <f>IF(AI$5&lt;='Project Assumptions'!$D$15,MIN(-AI$164*$D181/MAX($D$182,1),$D181),0)</f>
        <v/>
      </c>
      <c r="AJ181" s="890">
        <f>IF(AJ$5&lt;='Project Assumptions'!$D$15,MIN(-AJ$164*$D181/MAX($D$182,1),$D181),0)</f>
        <v/>
      </c>
      <c r="AK181" s="890">
        <f>IF(AK$5&lt;='Project Assumptions'!$D$15,MIN(-AK$164*$D181/MAX($D$182,1),$D181),0)</f>
        <v/>
      </c>
      <c r="AL181" s="890">
        <f>IF(AL$5&lt;='Project Assumptions'!$D$15,MIN(-AL$164*$D181/MAX($D$182,1),$D181),0)</f>
        <v/>
      </c>
      <c r="AM181" s="890">
        <f>IF(AM$5&lt;='Project Assumptions'!$D$15,MIN(-AM$164*$D181/MAX($D$182,1),$D181),0)</f>
        <v/>
      </c>
      <c r="AN181" s="890">
        <f>IF(AN$5&lt;='Project Assumptions'!$D$15,MIN(-AN$164*$D181/MAX($D$182,1),$D181),0)</f>
        <v/>
      </c>
      <c r="AO181" s="890">
        <f>IF(AO$5&lt;='Project Assumptions'!$D$15,MIN(-AO$164*$D181/MAX($D$182,1),$D181),0)</f>
        <v/>
      </c>
      <c r="AP181" s="890">
        <f>IF(AP$5&lt;='Project Assumptions'!$D$15,MIN(-AP$164*$D181/MAX($D$182,1),$D181),0)</f>
        <v/>
      </c>
      <c r="AQ181" s="890">
        <f>IF(AQ$5&lt;='Project Assumptions'!$D$15,MIN(-AQ$164*$D181/MAX($D$182,1),$D181),0)</f>
        <v/>
      </c>
      <c r="AR181" s="890">
        <f>IF(AR$5&lt;='Project Assumptions'!$D$15,MIN(-AR$164*$D181/MAX($D$182,1),$D181),0)</f>
        <v/>
      </c>
      <c r="AS181" s="890">
        <f>IF(AS$5&lt;='Project Assumptions'!$D$15,MIN(-AS$164*$D181/MAX($D$182,1),$D181),0)</f>
        <v/>
      </c>
      <c r="AT181" s="890">
        <f>IF(AT$5&lt;='Project Assumptions'!$D$15,MIN(-AT$164*$D181/MAX($D$182,1),$D181),0)</f>
        <v/>
      </c>
      <c r="AU181" s="890">
        <f>IF(AU$5&lt;='Project Assumptions'!$D$15,MIN(-AU$164*$D181/MAX($D$182,1),$D181),0)</f>
        <v/>
      </c>
      <c r="AV181" s="890">
        <f>IF(AV$5&lt;='Project Assumptions'!$D$15,MIN(-AV$164*$D181/MAX($D$182,1),$D181),0)</f>
        <v/>
      </c>
      <c r="AW181" s="890">
        <f>IF(AW$5&lt;='Project Assumptions'!$D$15,MIN(-AW$164*$D181/MAX($D$182,1),$D181),0)</f>
        <v/>
      </c>
      <c r="AX181" s="890">
        <f>IF(AX$5&lt;='Project Assumptions'!$D$15,MIN(-AX$164*$D181/MAX($D$182,1),$D181),0)</f>
        <v/>
      </c>
      <c r="AY181" s="890">
        <f>IF(AY$5&lt;='Project Assumptions'!$D$15,MIN(-AY$164*$D181/MAX($D$182,1),$D181),0)</f>
        <v/>
      </c>
      <c r="AZ181" s="890">
        <f>IF(AZ$5&lt;='Project Assumptions'!$D$15,MIN(-AZ$164*$D181/MAX($D$182,1),$D181),0)</f>
        <v/>
      </c>
      <c r="BA181" s="890">
        <f>IF(BA$5&lt;='Project Assumptions'!$D$15,MIN(-BA$164*$D181/MAX($D$182,1),$D181),0)</f>
        <v/>
      </c>
      <c r="BB181" s="890">
        <f>IF(BB$5&lt;='Project Assumptions'!$D$15,MIN(-BB$164*$D181/MAX($D$182,1),$D181),0)</f>
        <v/>
      </c>
      <c r="BC181" s="890">
        <f>IF(BC$5&lt;='Project Assumptions'!$D$15,MIN(-BC$164*$D181/MAX($D$182,1),$D181),0)</f>
        <v/>
      </c>
      <c r="BD181" s="890">
        <f>IF(BD$5&lt;='Project Assumptions'!$D$15,MIN(-BD$164*$D181/MAX($D$182,1),$D181),0)</f>
        <v/>
      </c>
      <c r="BE181" s="890">
        <f>IF(BE$5&lt;='Project Assumptions'!$D$15,MIN(-BE$164*$D181/MAX($D$182,1),$D181),0)</f>
        <v/>
      </c>
      <c r="BF181" s="890">
        <f>IF(BF$5&lt;='Project Assumptions'!$D$15,MIN(-BF$164*$D181/MAX($D$182,1),$D181),0)</f>
        <v/>
      </c>
      <c r="BG181" s="890">
        <f>IF(BG$5&lt;='Project Assumptions'!$D$15,MIN(-BG$164*$D181/MAX($D$182,1),$D181),0)</f>
        <v/>
      </c>
      <c r="BH181" s="890">
        <f>IF(BH$5&lt;='Project Assumptions'!$D$15,MIN(-BH$164*$D181/MAX($D$182,1),$D181),0)</f>
        <v/>
      </c>
      <c r="BI181" s="890">
        <f>IF(BI$5&lt;='Project Assumptions'!$D$15,MIN(-BI$164*$D181/MAX($D$182,1),$D181),0)</f>
        <v/>
      </c>
      <c r="BJ181" s="890">
        <f>IF(BJ$5&lt;='Project Assumptions'!$D$15,MIN(-BJ$164*$D181/MAX($D$182,1),$D181),0)</f>
        <v/>
      </c>
      <c r="BK181" s="890">
        <f>IF(BK$5&lt;='Project Assumptions'!$D$15,MIN(-BK$164*$D181/MAX($D$182,1),$D181),0)</f>
        <v/>
      </c>
      <c r="BL181" s="890">
        <f>IF(BL$5&lt;='Project Assumptions'!$D$15,MIN(-BL$164*$D181/MAX($D$182,1),$D181),0)</f>
        <v/>
      </c>
      <c r="BM181" s="890">
        <f>IF(BM$5&lt;='Project Assumptions'!$D$15,MIN(-BM$164*$D181/MAX($D$182,1),$D181),0)</f>
        <v/>
      </c>
      <c r="BN181" s="890">
        <f>IF(BN$5&lt;='Project Assumptions'!$D$15,MIN(-BN$164*$D181/MAX($D$182,1),$D181),0)</f>
        <v/>
      </c>
      <c r="BO181" s="890">
        <f>IF(BO$5&lt;='Project Assumptions'!$D$15,MIN(-BO$164*$D181/MAX($D$182,1),$D181),0)</f>
        <v/>
      </c>
      <c r="BP181" s="890">
        <f>IF(BP$5&lt;='Project Assumptions'!$D$15,MIN(-BP$164*$D181/MAX($D$182,1),$D181),0)</f>
        <v/>
      </c>
      <c r="BQ181" s="890">
        <f>IF(BQ$5&lt;='Project Assumptions'!$D$15,MIN(-BQ$164*$D181/MAX($D$182,1),$D181),0)</f>
        <v/>
      </c>
      <c r="BR181" s="890">
        <f>IF(BR$5&lt;='Project Assumptions'!$D$15,MIN(-BR$164*$D181/MAX($D$182,1),$D181),0)</f>
        <v/>
      </c>
      <c r="BS181" s="890">
        <f>IF(BS$5&lt;='Project Assumptions'!$D$15,MIN(-BS$164*$D181/MAX($D$182,1),$D181),0)</f>
        <v/>
      </c>
      <c r="BT181" s="890">
        <f>IF(BT$5&lt;='Project Assumptions'!$D$15,MIN(-BT$164*$D181/MAX($D$182,1),$D181),0)</f>
        <v/>
      </c>
      <c r="BU181" s="890">
        <f>IF(BU$5&lt;='Project Assumptions'!$D$15,MIN(-BU$164*$D181/MAX($D$182,1),$D181),0)</f>
        <v/>
      </c>
      <c r="BV181" s="890">
        <f>IF(BV$5&lt;='Project Assumptions'!$D$15,MIN(-BV$164*$D181/MAX($D$182,1),$D181),0)</f>
        <v/>
      </c>
      <c r="BW181" s="890">
        <f>IF(BW$5&lt;='Project Assumptions'!$D$15,MIN(-BW$164*$D181/MAX($D$182,1),$D181),0)</f>
        <v/>
      </c>
      <c r="BX181" s="890">
        <f>IF(BX$5&lt;='Project Assumptions'!$D$15,MIN(-BX$164*$D181/MAX($D$182,1),$D181),0)</f>
        <v/>
      </c>
      <c r="BY181" s="890">
        <f>IF(BY$5&lt;='Project Assumptions'!$D$15,MIN(-BY$164*$D181/MAX($D$182,1),$D181),0)</f>
        <v/>
      </c>
      <c r="BZ181" s="890">
        <f>IF(BZ$5&lt;='Project Assumptions'!$D$15,MIN(-BZ$164*$D181/MAX($D$182,1),$D181),0)</f>
        <v/>
      </c>
      <c r="CA181" s="890">
        <f>IF(CA$5&lt;='Project Assumptions'!$D$15,MIN(-CA$164*$D181/MAX($D$182,1),$D181),0)</f>
        <v/>
      </c>
      <c r="CB181" s="890">
        <f>IF(CB$5&lt;='Project Assumptions'!$D$15,MIN(-CB$164*$D181/MAX($D$182,1),$D181),0)</f>
        <v/>
      </c>
      <c r="CC181" s="890">
        <f>IF(CC$5&lt;='Project Assumptions'!$D$15,MIN(-CC$164*$D181/MAX($D$182,1),$D181),0)</f>
        <v/>
      </c>
      <c r="CD181" s="890">
        <f>IF(CD$5&lt;='Project Assumptions'!$D$15,MIN(-CD$164*$D181/MAX($D$182,1),$D181),0)</f>
        <v/>
      </c>
      <c r="CE181" s="890">
        <f>IF(CE$5&lt;='Project Assumptions'!$D$15,MIN(-CE$164*$D181/MAX($D$182,1),$D181),0)</f>
        <v/>
      </c>
      <c r="CF181" s="890">
        <f>IF(CF$5&lt;='Project Assumptions'!$D$15,MIN(-CF$164*$D181/MAX($D$182,1),$D181),0)</f>
        <v/>
      </c>
      <c r="CG181" s="890">
        <f>IF(CG$5&lt;='Project Assumptions'!$D$15,MIN(-CG$164*$D181/MAX($D$182,1),$D181),0)</f>
        <v/>
      </c>
      <c r="CH181" s="890">
        <f>IF(CH$5&lt;='Project Assumptions'!$D$15,MIN(-CH$164*$D181/MAX($D$182,1),$D181),0)</f>
        <v/>
      </c>
      <c r="CI181" s="890">
        <f>IF(CI$5&lt;='Project Assumptions'!$D$15,MIN(-CI$164*$D181/MAX($D$182,1),$D181),0)</f>
        <v/>
      </c>
      <c r="CJ181" s="890">
        <f>IF(CJ$5&lt;='Project Assumptions'!$D$15,MIN(-CJ$164*$D181/MAX($D$182,1),$D181),0)</f>
        <v/>
      </c>
      <c r="CK181" s="890">
        <f>IF(CK$5&lt;='Project Assumptions'!$D$15,MIN(-CK$164*$D181/MAX($D$182,1),$D181),0)</f>
        <v/>
      </c>
      <c r="CL181" s="890">
        <f>IF(CL$5&lt;='Project Assumptions'!$D$15,MIN(-CL$164*$D181/MAX($D$182,1),$D181),0)</f>
        <v/>
      </c>
      <c r="CM181" s="890">
        <f>IF(CM$5&lt;='Project Assumptions'!$D$15,MIN(-CM$164*$D181/MAX($D$182,1),$D181),0)</f>
        <v/>
      </c>
      <c r="CN181" s="890">
        <f>IF(CN$5&lt;='Project Assumptions'!$D$15,MIN(-CN$164*$D181/MAX($D$182,1),$D181),0)</f>
        <v/>
      </c>
      <c r="CO181" s="890">
        <f>IF(CO$5&lt;='Project Assumptions'!$D$15,MIN(-CO$164*$D181/MAX($D$182,1),$D181),0)</f>
        <v/>
      </c>
      <c r="CP181" s="890">
        <f>IF(CP$5&lt;='Project Assumptions'!$D$15,MIN(-CP$164*$D181/MAX($D$182,1),$D181),0)</f>
        <v/>
      </c>
      <c r="CQ181" s="890">
        <f>IF(CQ$5&lt;='Project Assumptions'!$D$15,MIN(-CQ$164*$D181/MAX($D$182,1),$D181),0)</f>
        <v/>
      </c>
      <c r="CR181" s="890">
        <f>IF(CR$5&lt;='Project Assumptions'!$D$15,MIN(-CR$164*$D181/MAX($D$182,1),$D181),0)</f>
        <v/>
      </c>
      <c r="CS181" s="890">
        <f>IF(CS$5&lt;='Project Assumptions'!$D$15,MIN(-CS$164*$D181/MAX($D$182,1),$D181),0)</f>
        <v/>
      </c>
      <c r="CT181" s="890">
        <f>IF(CT$5&lt;='Project Assumptions'!$D$15,MIN(-CT$164*$D181/MAX($D$182,1),$D181),0)</f>
        <v/>
      </c>
      <c r="CU181" s="890">
        <f>IF(CU$5&lt;='Project Assumptions'!$D$15,MIN(-CU$164*$D181/MAX($D$182,1),$D181),0)</f>
        <v/>
      </c>
      <c r="CV181" s="890">
        <f>IF(CV$5&lt;='Project Assumptions'!$D$15,MIN(-CV$164*$D181/MAX($D$182,1),$D181),0)</f>
        <v/>
      </c>
      <c r="CW181" s="890">
        <f>IF(CW$5&lt;='Project Assumptions'!$D$15,MIN(-CW$164*$D181/MAX($D$182,1),$D181),0)</f>
        <v/>
      </c>
      <c r="CX181" s="890">
        <f>IF(CX$5&lt;='Project Assumptions'!$D$15,MIN(-CX$164*$D181/MAX($D$182,1),$D181),0)</f>
        <v/>
      </c>
      <c r="CY181" s="890">
        <f>IF(CY$5&lt;='Project Assumptions'!$D$15,MIN(-CY$164*$D181/MAX($D$182,1),$D181),0)</f>
        <v/>
      </c>
      <c r="CZ181" s="890">
        <f>IF(CZ$5&lt;='Project Assumptions'!$D$15,MIN(-CZ$164*$D181/MAX($D$182,1),$D181),0)</f>
        <v/>
      </c>
      <c r="DA181" s="890">
        <f>IF(DA$5&lt;='Project Assumptions'!$D$15,MIN(-DA$164*$D181/MAX($D$182,1),$D181),0)</f>
        <v/>
      </c>
      <c r="DB181" s="890">
        <f>IF(DB$5&lt;='Project Assumptions'!$D$15,MIN(-DB$164*$D181/MAX($D$182,1),$D181),0)</f>
        <v/>
      </c>
      <c r="DC181" s="890" t="n"/>
      <c r="DD181" s="297">
        <f>MAX(F181:DB181)</f>
        <v/>
      </c>
    </row>
    <row r="182" hidden="1" outlineLevel="1">
      <c r="A182" s="15" t="inlineStr">
        <is>
          <t xml:space="preserve">   Total</t>
        </is>
      </c>
      <c r="B182" s="15" t="n"/>
      <c r="C182" s="15" t="n"/>
      <c r="D182" s="338">
        <f>SUM(D180:D181)</f>
        <v/>
      </c>
      <c r="E182" s="290" t="n"/>
      <c r="F182" s="291">
        <f>SUM(F180:F181)</f>
        <v/>
      </c>
      <c r="G182" s="291">
        <f>SUM(G180:G181)</f>
        <v/>
      </c>
      <c r="H182" s="291">
        <f>SUM(H180:H181)</f>
        <v/>
      </c>
      <c r="I182" s="291">
        <f>SUM(I180:I181)</f>
        <v/>
      </c>
      <c r="J182" s="291">
        <f>SUM(J180:J181)</f>
        <v/>
      </c>
      <c r="K182" s="291">
        <f>SUM(K180:K181)</f>
        <v/>
      </c>
      <c r="L182" s="291">
        <f>SUM(L180:L181)</f>
        <v/>
      </c>
      <c r="M182" s="291">
        <f>SUM(M180:M181)</f>
        <v/>
      </c>
      <c r="N182" s="291">
        <f>SUM(N180:N181)</f>
        <v/>
      </c>
      <c r="O182" s="291">
        <f>SUM(O180:O181)</f>
        <v/>
      </c>
      <c r="P182" s="291">
        <f>SUM(P180:P181)</f>
        <v/>
      </c>
      <c r="Q182" s="291">
        <f>SUM(Q180:Q181)</f>
        <v/>
      </c>
      <c r="R182" s="291">
        <f>SUM(R180:R181)</f>
        <v/>
      </c>
      <c r="S182" s="291">
        <f>SUM(S180:S181)</f>
        <v/>
      </c>
      <c r="T182" s="291">
        <f>SUM(T180:T181)</f>
        <v/>
      </c>
      <c r="U182" s="291">
        <f>SUM(U180:U181)</f>
        <v/>
      </c>
      <c r="V182" s="291">
        <f>SUM(V180:V181)</f>
        <v/>
      </c>
      <c r="W182" s="291">
        <f>SUM(W180:W181)</f>
        <v/>
      </c>
      <c r="X182" s="291">
        <f>SUM(X180:X181)</f>
        <v/>
      </c>
      <c r="Y182" s="291">
        <f>SUM(Y180:Y181)</f>
        <v/>
      </c>
      <c r="Z182" s="291">
        <f>SUM(Z180:Z181)</f>
        <v/>
      </c>
      <c r="AA182" s="291">
        <f>SUM(AA180:AA181)</f>
        <v/>
      </c>
      <c r="AB182" s="291">
        <f>SUM(AB180:AB181)</f>
        <v/>
      </c>
      <c r="AC182" s="291">
        <f>SUM(AC180:AC181)</f>
        <v/>
      </c>
      <c r="AD182" s="291">
        <f>SUM(AD180:AD181)</f>
        <v/>
      </c>
      <c r="AE182" s="291">
        <f>SUM(AE180:AE181)</f>
        <v/>
      </c>
      <c r="AF182" s="291">
        <f>SUM(AF180:AF181)</f>
        <v/>
      </c>
      <c r="AG182" s="291">
        <f>SUM(AG180:AG181)</f>
        <v/>
      </c>
      <c r="AH182" s="291">
        <f>SUM(AH180:AH181)</f>
        <v/>
      </c>
      <c r="AI182" s="291">
        <f>SUM(AI180:AI181)</f>
        <v/>
      </c>
      <c r="AJ182" s="291">
        <f>SUM(AJ180:AJ181)</f>
        <v/>
      </c>
      <c r="AK182" s="291">
        <f>SUM(AK180:AK181)</f>
        <v/>
      </c>
      <c r="AL182" s="291">
        <f>SUM(AL180:AL181)</f>
        <v/>
      </c>
      <c r="AM182" s="291">
        <f>SUM(AM180:AM181)</f>
        <v/>
      </c>
      <c r="AN182" s="291">
        <f>SUM(AN180:AN181)</f>
        <v/>
      </c>
      <c r="AO182" s="291">
        <f>SUM(AO180:AO181)</f>
        <v/>
      </c>
      <c r="AP182" s="291">
        <f>SUM(AP180:AP181)</f>
        <v/>
      </c>
      <c r="AQ182" s="291">
        <f>SUM(AQ180:AQ181)</f>
        <v/>
      </c>
      <c r="AR182" s="291">
        <f>SUM(AR180:AR181)</f>
        <v/>
      </c>
      <c r="AS182" s="291">
        <f>SUM(AS180:AS181)</f>
        <v/>
      </c>
      <c r="AT182" s="291">
        <f>SUM(AT180:AT181)</f>
        <v/>
      </c>
      <c r="AU182" s="291">
        <f>SUM(AU180:AU181)</f>
        <v/>
      </c>
      <c r="AV182" s="291">
        <f>SUM(AV180:AV181)</f>
        <v/>
      </c>
      <c r="AW182" s="291">
        <f>SUM(AW180:AW181)</f>
        <v/>
      </c>
      <c r="AX182" s="291">
        <f>SUM(AX180:AX181)</f>
        <v/>
      </c>
      <c r="AY182" s="291">
        <f>SUM(AY180:AY181)</f>
        <v/>
      </c>
      <c r="AZ182" s="291">
        <f>SUM(AZ180:AZ181)</f>
        <v/>
      </c>
      <c r="BA182" s="291">
        <f>SUM(BA180:BA181)</f>
        <v/>
      </c>
      <c r="BB182" s="291">
        <f>SUM(BB180:BB181)</f>
        <v/>
      </c>
      <c r="BC182" s="291">
        <f>SUM(BC180:BC181)</f>
        <v/>
      </c>
      <c r="BD182" s="291">
        <f>SUM(BD180:BD181)</f>
        <v/>
      </c>
      <c r="BE182" s="291">
        <f>SUM(BE180:BE181)</f>
        <v/>
      </c>
      <c r="BF182" s="291">
        <f>SUM(BF180:BF181)</f>
        <v/>
      </c>
      <c r="BG182" s="291">
        <f>SUM(BG180:BG181)</f>
        <v/>
      </c>
      <c r="BH182" s="291">
        <f>SUM(BH180:BH181)</f>
        <v/>
      </c>
      <c r="BI182" s="291">
        <f>SUM(BI180:BI181)</f>
        <v/>
      </c>
      <c r="BJ182" s="291">
        <f>SUM(BJ180:BJ181)</f>
        <v/>
      </c>
      <c r="BK182" s="291">
        <f>SUM(BK180:BK181)</f>
        <v/>
      </c>
      <c r="BL182" s="291">
        <f>SUM(BL180:BL181)</f>
        <v/>
      </c>
      <c r="BM182" s="291">
        <f>SUM(BM180:BM181)</f>
        <v/>
      </c>
      <c r="BN182" s="291">
        <f>SUM(BN180:BN181)</f>
        <v/>
      </c>
      <c r="BO182" s="291">
        <f>SUM(BO180:BO181)</f>
        <v/>
      </c>
      <c r="BP182" s="291">
        <f>SUM(BP180:BP181)</f>
        <v/>
      </c>
      <c r="BQ182" s="291">
        <f>SUM(BQ180:BQ181)</f>
        <v/>
      </c>
      <c r="BR182" s="291">
        <f>SUM(BR180:BR181)</f>
        <v/>
      </c>
      <c r="BS182" s="291">
        <f>SUM(BS180:BS181)</f>
        <v/>
      </c>
      <c r="BT182" s="291">
        <f>SUM(BT180:BT181)</f>
        <v/>
      </c>
      <c r="BU182" s="291">
        <f>SUM(BU180:BU181)</f>
        <v/>
      </c>
      <c r="BV182" s="291">
        <f>SUM(BV180:BV181)</f>
        <v/>
      </c>
      <c r="BW182" s="291">
        <f>SUM(BW180:BW181)</f>
        <v/>
      </c>
      <c r="BX182" s="291">
        <f>SUM(BX180:BX181)</f>
        <v/>
      </c>
      <c r="BY182" s="291">
        <f>SUM(BY180:BY181)</f>
        <v/>
      </c>
      <c r="BZ182" s="291">
        <f>SUM(BZ180:BZ181)</f>
        <v/>
      </c>
      <c r="CA182" s="291">
        <f>SUM(CA180:CA181)</f>
        <v/>
      </c>
      <c r="CB182" s="291">
        <f>SUM(CB180:CB181)</f>
        <v/>
      </c>
      <c r="CC182" s="291">
        <f>SUM(CC180:CC181)</f>
        <v/>
      </c>
      <c r="CD182" s="291">
        <f>SUM(CD180:CD181)</f>
        <v/>
      </c>
      <c r="CE182" s="291">
        <f>SUM(CE180:CE181)</f>
        <v/>
      </c>
      <c r="CF182" s="291">
        <f>SUM(CF180:CF181)</f>
        <v/>
      </c>
      <c r="CG182" s="291">
        <f>SUM(CG180:CG181)</f>
        <v/>
      </c>
      <c r="CH182" s="291">
        <f>SUM(CH180:CH181)</f>
        <v/>
      </c>
      <c r="CI182" s="291">
        <f>SUM(CI180:CI181)</f>
        <v/>
      </c>
      <c r="CJ182" s="291">
        <f>SUM(CJ180:CJ181)</f>
        <v/>
      </c>
      <c r="CK182" s="291">
        <f>SUM(CK180:CK181)</f>
        <v/>
      </c>
      <c r="CL182" s="291">
        <f>SUM(CL180:CL181)</f>
        <v/>
      </c>
      <c r="CM182" s="291">
        <f>SUM(CM180:CM181)</f>
        <v/>
      </c>
      <c r="CN182" s="291">
        <f>SUM(CN180:CN181)</f>
        <v/>
      </c>
      <c r="CO182" s="291">
        <f>SUM(CO180:CO181)</f>
        <v/>
      </c>
      <c r="CP182" s="291">
        <f>SUM(CP180:CP181)</f>
        <v/>
      </c>
      <c r="CQ182" s="291">
        <f>SUM(CQ180:CQ181)</f>
        <v/>
      </c>
      <c r="CR182" s="291">
        <f>SUM(CR180:CR181)</f>
        <v/>
      </c>
      <c r="CS182" s="291">
        <f>SUM(CS180:CS181)</f>
        <v/>
      </c>
      <c r="CT182" s="291">
        <f>SUM(CT180:CT181)</f>
        <v/>
      </c>
      <c r="CU182" s="291">
        <f>SUM(CU180:CU181)</f>
        <v/>
      </c>
      <c r="CV182" s="291">
        <f>SUM(CV180:CV181)</f>
        <v/>
      </c>
      <c r="CW182" s="291">
        <f>SUM(CW180:CW181)</f>
        <v/>
      </c>
      <c r="CX182" s="291">
        <f>SUM(CX180:CX181)</f>
        <v/>
      </c>
      <c r="CY182" s="291">
        <f>SUM(CY180:CY181)</f>
        <v/>
      </c>
      <c r="CZ182" s="291">
        <f>SUM(CZ180:CZ181)</f>
        <v/>
      </c>
      <c r="DA182" s="291">
        <f>SUM(DA180:DA181)</f>
        <v/>
      </c>
      <c r="DB182" s="291">
        <f>SUM(DB180:DB181)</f>
        <v/>
      </c>
      <c r="DC182" s="291" t="n"/>
      <c r="DD182" s="289">
        <f>MAX(F182:DB182)</f>
        <v/>
      </c>
    </row>
    <row r="183" hidden="1" outlineLevel="1">
      <c r="A183" s="15" t="inlineStr">
        <is>
          <t>Funding Priority - 2</t>
        </is>
      </c>
      <c r="B183" s="15" t="n"/>
      <c r="C183" s="15" t="n"/>
      <c r="D183" s="13" t="n"/>
      <c r="E183" s="271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  <c r="AP183" s="13" t="n"/>
      <c r="AQ183" s="13" t="n"/>
      <c r="AR183" s="13" t="n"/>
      <c r="AS183" s="13" t="n"/>
      <c r="AT183" s="13" t="n"/>
      <c r="AU183" s="13" t="n"/>
      <c r="AV183" s="13" t="n"/>
      <c r="AW183" s="13" t="n"/>
      <c r="AX183" s="13" t="n"/>
      <c r="AY183" s="13" t="n"/>
      <c r="AZ183" s="13" t="n"/>
      <c r="BA183" s="13" t="n"/>
      <c r="BB183" s="13" t="n"/>
      <c r="BC183" s="13" t="n"/>
      <c r="BD183" s="13" t="n"/>
      <c r="BE183" s="13" t="n"/>
      <c r="BF183" s="13" t="n"/>
      <c r="BG183" s="13" t="n"/>
      <c r="BH183" s="13" t="n"/>
      <c r="BI183" s="13" t="n"/>
      <c r="BJ183" s="13" t="n"/>
      <c r="BK183" s="13" t="n"/>
      <c r="BL183" s="13" t="n"/>
      <c r="BM183" s="13" t="n"/>
      <c r="BN183" s="13" t="n"/>
      <c r="BO183" s="13" t="n"/>
      <c r="BP183" s="13" t="n"/>
      <c r="BQ183" s="13" t="n"/>
      <c r="BR183" s="13" t="n"/>
      <c r="BS183" s="13" t="n"/>
      <c r="BT183" s="13" t="n"/>
      <c r="BU183" s="13" t="n"/>
      <c r="BV183" s="13" t="n"/>
      <c r="BW183" s="13" t="n"/>
      <c r="BX183" s="13" t="n"/>
      <c r="BY183" s="13" t="n"/>
      <c r="BZ183" s="13" t="n"/>
      <c r="CA183" s="13" t="n"/>
      <c r="CB183" s="13" t="n"/>
      <c r="CC183" s="13" t="n"/>
      <c r="CD183" s="13" t="n"/>
      <c r="CE183" s="13" t="n"/>
      <c r="CF183" s="13" t="n"/>
      <c r="CG183" s="13" t="n"/>
      <c r="CH183" s="13" t="n"/>
      <c r="CI183" s="13" t="n"/>
      <c r="CJ183" s="13" t="n"/>
      <c r="CK183" s="13" t="n"/>
      <c r="CL183" s="13" t="n"/>
      <c r="CM183" s="13" t="n"/>
      <c r="CN183" s="13" t="n"/>
      <c r="CO183" s="13" t="n"/>
      <c r="CP183" s="13" t="n"/>
      <c r="CQ183" s="13" t="n"/>
      <c r="CR183" s="13" t="n"/>
      <c r="CS183" s="13" t="n"/>
      <c r="CT183" s="13" t="n"/>
      <c r="CU183" s="13" t="n"/>
      <c r="CV183" s="13" t="n"/>
      <c r="CW183" s="13" t="n"/>
      <c r="CX183" s="13" t="n"/>
      <c r="CY183" s="13" t="n"/>
      <c r="CZ183" s="13" t="n"/>
      <c r="DA183" s="13" t="n"/>
      <c r="DB183" s="13" t="n"/>
      <c r="DC183" s="13" t="n"/>
      <c r="DD183" s="13" t="n"/>
    </row>
    <row r="184" hidden="1" outlineLevel="1">
      <c r="A184" s="15" t="inlineStr">
        <is>
          <t xml:space="preserve">   Bank Debt</t>
        </is>
      </c>
      <c r="B184" s="15" t="n"/>
      <c r="C184" s="336">
        <f>IF('Project Assumptions'!E23=2,'Project Assumptions'!C23,"")</f>
        <v/>
      </c>
      <c r="D184" s="700">
        <f>IF('Project Assumptions'!E23=2,'Project Assumptions'!C23*('Detailed Project Costs'!$F$74),0)</f>
        <v/>
      </c>
      <c r="E184" s="641" t="n"/>
      <c r="F184" s="293">
        <f>IF('Project Assumptions'!$D$15=0,0,MIN(-F$164*$D184/MAX($D$186,1),$D184))</f>
        <v/>
      </c>
      <c r="G184" s="293">
        <f>IF(G$5&lt;='Project Assumptions'!$D$15,MIN(-G$164*$D184/MAX($D$186,1),$D184),0)</f>
        <v/>
      </c>
      <c r="H184" s="293">
        <f>IF(H$5&lt;='Project Assumptions'!$D$15,MIN(-H$164*$D184/MAX($D$186,1),$D184),0)</f>
        <v/>
      </c>
      <c r="I184" s="293">
        <f>IF(I$5&lt;='Project Assumptions'!$D$15,MIN(-I$164*$D184/MAX($D$186,1),$D184),0)</f>
        <v/>
      </c>
      <c r="J184" s="293">
        <f>IF(J$5&lt;='Project Assumptions'!$D$15,MIN(-J$164*$D184/MAX($D$186,1),$D184),0)</f>
        <v/>
      </c>
      <c r="K184" s="293">
        <f>IF(K$5&lt;='Project Assumptions'!$D$15,MIN(-K$164*$D184/MAX($D$186,1),$D184),0)</f>
        <v/>
      </c>
      <c r="L184" s="293">
        <f>IF(L$5&lt;='Project Assumptions'!$D$15,MIN(-L$164*$D184/MAX($D$186,1),$D184),0)</f>
        <v/>
      </c>
      <c r="M184" s="293">
        <f>IF(M$5&lt;='Project Assumptions'!$D$15,MIN(-M$164*$D184/MAX($D$186,1),$D184),0)</f>
        <v/>
      </c>
      <c r="N184" s="293">
        <f>IF(N$5&lt;='Project Assumptions'!$D$15,MIN(-N$164*$D184/MAX($D$186,1),$D184),0)</f>
        <v/>
      </c>
      <c r="O184" s="293">
        <f>IF(O$5&lt;='Project Assumptions'!$D$15,MIN(-O$164*$D184/MAX($D$186,1),$D184),0)</f>
        <v/>
      </c>
      <c r="P184" s="293">
        <f>IF(P$5&lt;='Project Assumptions'!$D$15,MIN(-P$164*$D184/MAX($D$186,1),$D184),0)</f>
        <v/>
      </c>
      <c r="Q184" s="293">
        <f>IF(Q$5&lt;='Project Assumptions'!$D$15,MIN(-Q$164*$D184/MAX($D$186,1),$D184),0)</f>
        <v/>
      </c>
      <c r="R184" s="293">
        <f>IF(R$5&lt;='Project Assumptions'!$D$15,MIN(-R$164*$D184/MAX($D$186,1),$D184),0)</f>
        <v/>
      </c>
      <c r="S184" s="293">
        <f>IF(S$5&lt;='Project Assumptions'!$D$15,MIN(-S$164*$D184/MAX($D$186,1),$D184),0)</f>
        <v/>
      </c>
      <c r="T184" s="293">
        <f>IF(T$5&lt;='Project Assumptions'!$D$15,MIN(-T$164*$D184/MAX($D$186,1),$D184),0)</f>
        <v/>
      </c>
      <c r="U184" s="293">
        <f>IF(U$5&lt;='Project Assumptions'!$D$15,MIN(-U$164*$D184/MAX($D$186,1),$D184),0)</f>
        <v/>
      </c>
      <c r="V184" s="293">
        <f>IF(V$5&lt;='Project Assumptions'!$D$15,MIN(-V$164*$D184/MAX($D$186,1),$D184),0)</f>
        <v/>
      </c>
      <c r="W184" s="293">
        <f>IF(W$5&lt;='Project Assumptions'!$D$15,MIN(-W$164*$D184/MAX($D$186,1),$D184),0)</f>
        <v/>
      </c>
      <c r="X184" s="293">
        <f>IF(X$5&lt;='Project Assumptions'!$D$15,MIN(-X$164*$D184/MAX($D$186,1),$D184),0)</f>
        <v/>
      </c>
      <c r="Y184" s="293">
        <f>IF(Y$5&lt;='Project Assumptions'!$D$15,MIN(-Y$164*$D184/MAX($D$186,1),$D184),0)</f>
        <v/>
      </c>
      <c r="Z184" s="293">
        <f>IF(Z$5&lt;='Project Assumptions'!$D$15,MIN(-Z$164*$D184/MAX($D$186,1),$D184),0)</f>
        <v/>
      </c>
      <c r="AA184" s="293">
        <f>IF(AA$5&lt;='Project Assumptions'!$D$15,MIN(-AA$164*$D184/MAX($D$186,1),$D184),0)</f>
        <v/>
      </c>
      <c r="AB184" s="293">
        <f>IF(AB$5&lt;='Project Assumptions'!$D$15,MIN(-AB$164*$D184/MAX($D$186,1),$D184),0)</f>
        <v/>
      </c>
      <c r="AC184" s="293">
        <f>IF(AC$5&lt;='Project Assumptions'!$D$15,MIN(-AC$164*$D184/MAX($D$186,1),$D184),0)</f>
        <v/>
      </c>
      <c r="AD184" s="293">
        <f>IF(AD$5&lt;='Project Assumptions'!$D$15,MIN(-AD$164*$D184/MAX($D$186,1),$D184),0)</f>
        <v/>
      </c>
      <c r="AE184" s="293">
        <f>IF(AE$5&lt;='Project Assumptions'!$D$15,MIN(-AE$164*$D184/MAX($D$186,1),$D184),0)</f>
        <v/>
      </c>
      <c r="AF184" s="293">
        <f>IF(AF$5&lt;='Project Assumptions'!$D$15,MIN(-AF$164*$D184/MAX($D$186,1),$D184),0)</f>
        <v/>
      </c>
      <c r="AG184" s="293">
        <f>IF(AG$5&lt;='Project Assumptions'!$D$15,MIN(-AG$164*$D184/MAX($D$186,1),$D184),0)</f>
        <v/>
      </c>
      <c r="AH184" s="293">
        <f>IF(AH$5&lt;='Project Assumptions'!$D$15,MIN(-AH$164*$D184/MAX($D$186,1),$D184),0)</f>
        <v/>
      </c>
      <c r="AI184" s="293">
        <f>IF(AI$5&lt;='Project Assumptions'!$D$15,MIN(-AI$164*$D184/MAX($D$186,1),$D184),0)</f>
        <v/>
      </c>
      <c r="AJ184" s="293">
        <f>IF(AJ$5&lt;='Project Assumptions'!$D$15,MIN(-AJ$164*$D184/MAX($D$186,1),$D184),0)</f>
        <v/>
      </c>
      <c r="AK184" s="293">
        <f>IF(AK$5&lt;='Project Assumptions'!$D$15,MIN(-AK$164*$D184/MAX($D$186,1),$D184),0)</f>
        <v/>
      </c>
      <c r="AL184" s="293">
        <f>IF(AL$5&lt;='Project Assumptions'!$D$15,MIN(-AL$164*$D184/MAX($D$186,1),$D184),0)</f>
        <v/>
      </c>
      <c r="AM184" s="293">
        <f>IF(AM$5&lt;='Project Assumptions'!$D$15,MIN(-AM$164*$D184/MAX($D$186,1),$D184),0)</f>
        <v/>
      </c>
      <c r="AN184" s="293">
        <f>IF(AN$5&lt;='Project Assumptions'!$D$15,MIN(-AN$164*$D184/MAX($D$186,1),$D184),0)</f>
        <v/>
      </c>
      <c r="AO184" s="293">
        <f>IF(AO$5&lt;='Project Assumptions'!$D$15,MIN(-AO$164*$D184/MAX($D$186,1),$D184),0)</f>
        <v/>
      </c>
      <c r="AP184" s="293">
        <f>IF(AP$5&lt;='Project Assumptions'!$D$15,MIN(-AP$164*$D184/MAX($D$186,1),$D184),0)</f>
        <v/>
      </c>
      <c r="AQ184" s="293">
        <f>IF(AQ$5&lt;='Project Assumptions'!$D$15,MIN(-AQ$164*$D184/MAX($D$186,1),$D184),0)</f>
        <v/>
      </c>
      <c r="AR184" s="293">
        <f>IF(AR$5&lt;='Project Assumptions'!$D$15,MIN(-AR$164*$D184/MAX($D$186,1),$D184),0)</f>
        <v/>
      </c>
      <c r="AS184" s="293">
        <f>IF(AS$5&lt;='Project Assumptions'!$D$15,MIN(-AS$164*$D184/MAX($D$186,1),$D184),0)</f>
        <v/>
      </c>
      <c r="AT184" s="293">
        <f>IF(AT$5&lt;='Project Assumptions'!$D$15,MIN(-AT$164*$D184/MAX($D$186,1),$D184),0)</f>
        <v/>
      </c>
      <c r="AU184" s="293">
        <f>IF(AU$5&lt;='Project Assumptions'!$D$15,MIN(-AU$164*$D184/MAX($D$186,1),$D184),0)</f>
        <v/>
      </c>
      <c r="AV184" s="293">
        <f>IF(AV$5&lt;='Project Assumptions'!$D$15,MIN(-AV$164*$D184/MAX($D$186,1),$D184),0)</f>
        <v/>
      </c>
      <c r="AW184" s="293">
        <f>IF(AW$5&lt;='Project Assumptions'!$D$15,MIN(-AW$164*$D184/MAX($D$186,1),$D184),0)</f>
        <v/>
      </c>
      <c r="AX184" s="293">
        <f>IF(AX$5&lt;='Project Assumptions'!$D$15,MIN(-AX$164*$D184/MAX($D$186,1),$D184),0)</f>
        <v/>
      </c>
      <c r="AY184" s="293">
        <f>IF(AY$5&lt;='Project Assumptions'!$D$15,MIN(-AY$164*$D184/MAX($D$186,1),$D184),0)</f>
        <v/>
      </c>
      <c r="AZ184" s="293">
        <f>IF(AZ$5&lt;='Project Assumptions'!$D$15,MIN(-AZ$164*$D184/MAX($D$186,1),$D184),0)</f>
        <v/>
      </c>
      <c r="BA184" s="293">
        <f>IF(BA$5&lt;='Project Assumptions'!$D$15,MIN(-BA$164*$D184/MAX($D$186,1),$D184),0)</f>
        <v/>
      </c>
      <c r="BB184" s="293">
        <f>IF(BB$5&lt;='Project Assumptions'!$D$15,MIN(-BB$164*$D184/MAX($D$186,1),$D184),0)</f>
        <v/>
      </c>
      <c r="BC184" s="293">
        <f>IF(BC$5&lt;='Project Assumptions'!$D$15,MIN(-BC$164*$D184/MAX($D$186,1),$D184),0)</f>
        <v/>
      </c>
      <c r="BD184" s="293">
        <f>IF(BD$5&lt;='Project Assumptions'!$D$15,MIN(-BD$164*$D184/MAX($D$186,1),$D184),0)</f>
        <v/>
      </c>
      <c r="BE184" s="293">
        <f>IF(BE$5&lt;='Project Assumptions'!$D$15,MIN(-BE$164*$D184/MAX($D$186,1),$D184),0)</f>
        <v/>
      </c>
      <c r="BF184" s="293">
        <f>IF(BF$5&lt;='Project Assumptions'!$D$15,MIN(-BF$164*$D184/MAX($D$186,1),$D184),0)</f>
        <v/>
      </c>
      <c r="BG184" s="293">
        <f>IF(BG$5&lt;='Project Assumptions'!$D$15,MIN(-BG$164*$D184/MAX($D$186,1),$D184),0)</f>
        <v/>
      </c>
      <c r="BH184" s="293">
        <f>IF(BH$5&lt;='Project Assumptions'!$D$15,MIN(-BH$164*$D184/MAX($D$186,1),$D184),0)</f>
        <v/>
      </c>
      <c r="BI184" s="293">
        <f>IF(BI$5&lt;='Project Assumptions'!$D$15,MIN(-BI$164*$D184/MAX($D$186,1),$D184),0)</f>
        <v/>
      </c>
      <c r="BJ184" s="293">
        <f>IF(BJ$5&lt;='Project Assumptions'!$D$15,MIN(-BJ$164*$D184/MAX($D$186,1),$D184),0)</f>
        <v/>
      </c>
      <c r="BK184" s="293">
        <f>IF(BK$5&lt;='Project Assumptions'!$D$15,MIN(-BK$164*$D184/MAX($D$186,1),$D184),0)</f>
        <v/>
      </c>
      <c r="BL184" s="293">
        <f>IF(BL$5&lt;='Project Assumptions'!$D$15,MIN(-BL$164*$D184/MAX($D$186,1),$D184),0)</f>
        <v/>
      </c>
      <c r="BM184" s="293">
        <f>IF(BM$5&lt;='Project Assumptions'!$D$15,MIN(-BM$164*$D184/MAX($D$186,1),$D184),0)</f>
        <v/>
      </c>
      <c r="BN184" s="293">
        <f>IF(BN$5&lt;='Project Assumptions'!$D$15,MIN(-BN$164*$D184/MAX($D$186,1),$D184),0)</f>
        <v/>
      </c>
      <c r="BO184" s="293">
        <f>IF(BO$5&lt;='Project Assumptions'!$D$15,MIN(-BO$164*$D184/MAX($D$186,1),$D184),0)</f>
        <v/>
      </c>
      <c r="BP184" s="293">
        <f>IF(BP$5&lt;='Project Assumptions'!$D$15,MIN(-BP$164*$D184/MAX($D$186,1),$D184),0)</f>
        <v/>
      </c>
      <c r="BQ184" s="293">
        <f>IF(BQ$5&lt;='Project Assumptions'!$D$15,MIN(-BQ$164*$D184/MAX($D$186,1),$D184),0)</f>
        <v/>
      </c>
      <c r="BR184" s="293">
        <f>IF(BR$5&lt;='Project Assumptions'!$D$15,MIN(-BR$164*$D184/MAX($D$186,1),$D184),0)</f>
        <v/>
      </c>
      <c r="BS184" s="293">
        <f>IF(BS$5&lt;='Project Assumptions'!$D$15,MIN(-BS$164*$D184/MAX($D$186,1),$D184),0)</f>
        <v/>
      </c>
      <c r="BT184" s="293">
        <f>IF(BT$5&lt;='Project Assumptions'!$D$15,MIN(-BT$164*$D184/MAX($D$186,1),$D184),0)</f>
        <v/>
      </c>
      <c r="BU184" s="293">
        <f>IF(BU$5&lt;='Project Assumptions'!$D$15,MIN(-BU$164*$D184/MAX($D$186,1),$D184),0)</f>
        <v/>
      </c>
      <c r="BV184" s="293">
        <f>IF(BV$5&lt;='Project Assumptions'!$D$15,MIN(-BV$164*$D184/MAX($D$186,1),$D184),0)</f>
        <v/>
      </c>
      <c r="BW184" s="293">
        <f>IF(BW$5&lt;='Project Assumptions'!$D$15,MIN(-BW$164*$D184/MAX($D$186,1),$D184),0)</f>
        <v/>
      </c>
      <c r="BX184" s="293">
        <f>IF(BX$5&lt;='Project Assumptions'!$D$15,MIN(-BX$164*$D184/MAX($D$186,1),$D184),0)</f>
        <v/>
      </c>
      <c r="BY184" s="293">
        <f>IF(BY$5&lt;='Project Assumptions'!$D$15,MIN(-BY$164*$D184/MAX($D$186,1),$D184),0)</f>
        <v/>
      </c>
      <c r="BZ184" s="293">
        <f>IF(BZ$5&lt;='Project Assumptions'!$D$15,MIN(-BZ$164*$D184/MAX($D$186,1),$D184),0)</f>
        <v/>
      </c>
      <c r="CA184" s="293">
        <f>IF(CA$5&lt;='Project Assumptions'!$D$15,MIN(-CA$164*$D184/MAX($D$186,1),$D184),0)</f>
        <v/>
      </c>
      <c r="CB184" s="293">
        <f>IF(CB$5&lt;='Project Assumptions'!$D$15,MIN(-CB$164*$D184/MAX($D$186,1),$D184),0)</f>
        <v/>
      </c>
      <c r="CC184" s="293">
        <f>IF(CC$5&lt;='Project Assumptions'!$D$15,MIN(-CC$164*$D184/MAX($D$186,1),$D184),0)</f>
        <v/>
      </c>
      <c r="CD184" s="293">
        <f>IF(CD$5&lt;='Project Assumptions'!$D$15,MIN(-CD$164*$D184/MAX($D$186,1),$D184),0)</f>
        <v/>
      </c>
      <c r="CE184" s="293">
        <f>IF(CE$5&lt;='Project Assumptions'!$D$15,MIN(-CE$164*$D184/MAX($D$186,1),$D184),0)</f>
        <v/>
      </c>
      <c r="CF184" s="293">
        <f>IF(CF$5&lt;='Project Assumptions'!$D$15,MIN(-CF$164*$D184/MAX($D$186,1),$D184),0)</f>
        <v/>
      </c>
      <c r="CG184" s="293">
        <f>IF(CG$5&lt;='Project Assumptions'!$D$15,MIN(-CG$164*$D184/MAX($D$186,1),$D184),0)</f>
        <v/>
      </c>
      <c r="CH184" s="293">
        <f>IF(CH$5&lt;='Project Assumptions'!$D$15,MIN(-CH$164*$D184/MAX($D$186,1),$D184),0)</f>
        <v/>
      </c>
      <c r="CI184" s="293">
        <f>IF(CI$5&lt;='Project Assumptions'!$D$15,MIN(-CI$164*$D184/MAX($D$186,1),$D184),0)</f>
        <v/>
      </c>
      <c r="CJ184" s="293">
        <f>IF(CJ$5&lt;='Project Assumptions'!$D$15,MIN(-CJ$164*$D184/MAX($D$186,1),$D184),0)</f>
        <v/>
      </c>
      <c r="CK184" s="293">
        <f>IF(CK$5&lt;='Project Assumptions'!$D$15,MIN(-CK$164*$D184/MAX($D$186,1),$D184),0)</f>
        <v/>
      </c>
      <c r="CL184" s="293">
        <f>IF(CL$5&lt;='Project Assumptions'!$D$15,MIN(-CL$164*$D184/MAX($D$186,1),$D184),0)</f>
        <v/>
      </c>
      <c r="CM184" s="293">
        <f>IF(CM$5&lt;='Project Assumptions'!$D$15,MIN(-CM$164*$D184/MAX($D$186,1),$D184),0)</f>
        <v/>
      </c>
      <c r="CN184" s="293">
        <f>IF(CN$5&lt;='Project Assumptions'!$D$15,MIN(-CN$164*$D184/MAX($D$186,1),$D184),0)</f>
        <v/>
      </c>
      <c r="CO184" s="293">
        <f>IF(CO$5&lt;='Project Assumptions'!$D$15,MIN(-CO$164*$D184/MAX($D$186,1),$D184),0)</f>
        <v/>
      </c>
      <c r="CP184" s="293">
        <f>IF(CP$5&lt;='Project Assumptions'!$D$15,MIN(-CP$164*$D184/MAX($D$186,1),$D184),0)</f>
        <v/>
      </c>
      <c r="CQ184" s="293">
        <f>IF(CQ$5&lt;='Project Assumptions'!$D$15,MIN(-CQ$164*$D184/MAX($D$186,1),$D184),0)</f>
        <v/>
      </c>
      <c r="CR184" s="293">
        <f>IF(CR$5&lt;='Project Assumptions'!$D$15,MIN(-CR$164*$D184/MAX($D$186,1),$D184),0)</f>
        <v/>
      </c>
      <c r="CS184" s="293">
        <f>IF(CS$5&lt;='Project Assumptions'!$D$15,MIN(-CS$164*$D184/MAX($D$186,1),$D184),0)</f>
        <v/>
      </c>
      <c r="CT184" s="293">
        <f>IF(CT$5&lt;='Project Assumptions'!$D$15,MIN(-CT$164*$D184/MAX($D$186,1),$D184),0)</f>
        <v/>
      </c>
      <c r="CU184" s="293">
        <f>IF(CU$5&lt;='Project Assumptions'!$D$15,MIN(-CU$164*$D184/MAX($D$186,1),$D184),0)</f>
        <v/>
      </c>
      <c r="CV184" s="293">
        <f>IF(CV$5&lt;='Project Assumptions'!$D$15,MIN(-CV$164*$D184/MAX($D$186,1),$D184),0)</f>
        <v/>
      </c>
      <c r="CW184" s="293">
        <f>IF(CW$5&lt;='Project Assumptions'!$D$15,MIN(-CW$164*$D184/MAX($D$186,1),$D184),0)</f>
        <v/>
      </c>
      <c r="CX184" s="293">
        <f>IF(CX$5&lt;='Project Assumptions'!$D$15,MIN(-CX$164*$D184/MAX($D$186,1),$D184),0)</f>
        <v/>
      </c>
      <c r="CY184" s="293">
        <f>IF(CY$5&lt;='Project Assumptions'!$D$15,MIN(-CY$164*$D184/MAX($D$186,1),$D184),0)</f>
        <v/>
      </c>
      <c r="CZ184" s="293">
        <f>IF(CZ$5&lt;='Project Assumptions'!$D$15,MIN(-CZ$164*$D184/MAX($D$186,1),$D184),0)</f>
        <v/>
      </c>
      <c r="DA184" s="293">
        <f>IF(DA$5&lt;='Project Assumptions'!$D$15,MIN(-DA$164*$D184/MAX($D$186,1),$D184),0)</f>
        <v/>
      </c>
      <c r="DB184" s="293">
        <f>IF(DB$5&lt;='Project Assumptions'!$D$15,MIN(-DB$164*$D184/MAX($D$186,1),$D184),0)</f>
        <v/>
      </c>
      <c r="DC184" s="293" t="n"/>
      <c r="DD184" s="292">
        <f>MAX(F184:DB184)</f>
        <v/>
      </c>
    </row>
    <row r="185" hidden="1" outlineLevel="1">
      <c r="A185" s="15" t="inlineStr">
        <is>
          <t xml:space="preserve">   Equity</t>
        </is>
      </c>
      <c r="B185" s="15" t="n"/>
      <c r="C185" s="336">
        <f>IF('Project Assumptions'!E24=2,'Project Assumptions'!C24,"")</f>
        <v/>
      </c>
      <c r="D185" s="337">
        <f>IF('Project Assumptions'!E24=2,'Project Assumptions'!C24*('Detailed Project Costs'!$F$74),0)</f>
        <v/>
      </c>
      <c r="E185" s="276" t="n"/>
      <c r="F185" s="890">
        <f>IF('Project Assumptions'!$D$15=0,0,MIN(-F$164*$D185/MAX($D$186,1),$D185))</f>
        <v/>
      </c>
      <c r="G185" s="890">
        <f>IF(G$5&lt;='Project Assumptions'!$D$15,MIN(-G$164*$D185/MAX($D$186,1),$D185),0)</f>
        <v/>
      </c>
      <c r="H185" s="890">
        <f>IF(H$5&lt;='Project Assumptions'!$D$15,MIN(-H$164*$D185/MAX($D$186,1),$D185),0)</f>
        <v/>
      </c>
      <c r="I185" s="890">
        <f>IF(I$5&lt;='Project Assumptions'!$D$15,MIN(-I$164*$D185/MAX($D$186,1),$D185),0)</f>
        <v/>
      </c>
      <c r="J185" s="890">
        <f>IF(J$5&lt;='Project Assumptions'!$D$15,MIN(-J$164*$D185/MAX($D$186,1),$D185),0)</f>
        <v/>
      </c>
      <c r="K185" s="890">
        <f>IF(K$5&lt;='Project Assumptions'!$D$15,MIN(-K$164*$D185/MAX($D$186,1),$D185),0)</f>
        <v/>
      </c>
      <c r="L185" s="890">
        <f>IF(L$5&lt;='Project Assumptions'!$D$15,MIN(-L$164*$D185/MAX($D$186,1),$D185),0)</f>
        <v/>
      </c>
      <c r="M185" s="890">
        <f>IF(M$5&lt;='Project Assumptions'!$D$15,MIN(-M$164*$D185/MAX($D$186,1),$D185),0)</f>
        <v/>
      </c>
      <c r="N185" s="890">
        <f>IF(N$5&lt;='Project Assumptions'!$D$15,MIN(-N$164*$D185/MAX($D$186,1),$D185),0)</f>
        <v/>
      </c>
      <c r="O185" s="890">
        <f>IF(O$5&lt;='Project Assumptions'!$D$15,MIN(-O$164*$D185/MAX($D$186,1),$D185),0)</f>
        <v/>
      </c>
      <c r="P185" s="890">
        <f>IF(P$5&lt;='Project Assumptions'!$D$15,MIN(-P$164*$D185/MAX($D$186,1),$D185),0)</f>
        <v/>
      </c>
      <c r="Q185" s="890">
        <f>IF(Q$5&lt;='Project Assumptions'!$D$15,MIN(-Q$164*$D185/MAX($D$186,1),$D185),0)</f>
        <v/>
      </c>
      <c r="R185" s="890">
        <f>IF(R$5&lt;='Project Assumptions'!$D$15,MIN(-R$164*$D185/MAX($D$186,1),$D185),0)</f>
        <v/>
      </c>
      <c r="S185" s="890">
        <f>IF(S$5&lt;='Project Assumptions'!$D$15,MIN(-S$164*$D185/MAX($D$186,1),$D185),0)</f>
        <v/>
      </c>
      <c r="T185" s="890">
        <f>IF(T$5&lt;='Project Assumptions'!$D$15,MIN(-T$164*$D185/MAX($D$186,1),$D185),0)</f>
        <v/>
      </c>
      <c r="U185" s="890">
        <f>IF(U$5&lt;='Project Assumptions'!$D$15,MIN(-U$164*$D185/MAX($D$186,1),$D185),0)</f>
        <v/>
      </c>
      <c r="V185" s="890">
        <f>IF(V$5&lt;='Project Assumptions'!$D$15,MIN(-V$164*$D185/MAX($D$186,1),$D185),0)</f>
        <v/>
      </c>
      <c r="W185" s="890">
        <f>IF(W$5&lt;='Project Assumptions'!$D$15,MIN(-W$164*$D185/MAX($D$186,1),$D185),0)</f>
        <v/>
      </c>
      <c r="X185" s="890">
        <f>IF(X$5&lt;='Project Assumptions'!$D$15,MIN(-X$164*$D185/MAX($D$186,1),$D185),0)</f>
        <v/>
      </c>
      <c r="Y185" s="890">
        <f>IF(Y$5&lt;='Project Assumptions'!$D$15,MIN(-Y$164*$D185/MAX($D$186,1),$D185),0)</f>
        <v/>
      </c>
      <c r="Z185" s="890">
        <f>IF(Z$5&lt;='Project Assumptions'!$D$15,MIN(-Z$164*$D185/MAX($D$186,1),$D185),0)</f>
        <v/>
      </c>
      <c r="AA185" s="890">
        <f>IF(AA$5&lt;='Project Assumptions'!$D$15,MIN(-AA$164*$D185/MAX($D$186,1),$D185),0)</f>
        <v/>
      </c>
      <c r="AB185" s="890">
        <f>IF(AB$5&lt;='Project Assumptions'!$D$15,MIN(-AB$164*$D185/MAX($D$186,1),$D185),0)</f>
        <v/>
      </c>
      <c r="AC185" s="890">
        <f>IF(AC$5&lt;='Project Assumptions'!$D$15,MIN(-AC$164*$D185/MAX($D$186,1),$D185),0)</f>
        <v/>
      </c>
      <c r="AD185" s="890">
        <f>IF(AD$5&lt;='Project Assumptions'!$D$15,MIN(-AD$164*$D185/MAX($D$186,1),$D185),0)</f>
        <v/>
      </c>
      <c r="AE185" s="890">
        <f>IF(AE$5&lt;='Project Assumptions'!$D$15,MIN(-AE$164*$D185/MAX($D$186,1),$D185),0)</f>
        <v/>
      </c>
      <c r="AF185" s="890">
        <f>IF(AF$5&lt;='Project Assumptions'!$D$15,MIN(-AF$164*$D185/MAX($D$186,1),$D185),0)</f>
        <v/>
      </c>
      <c r="AG185" s="890">
        <f>IF(AG$5&lt;='Project Assumptions'!$D$15,MIN(-AG$164*$D185/MAX($D$186,1),$D185),0)</f>
        <v/>
      </c>
      <c r="AH185" s="890">
        <f>IF(AH$5&lt;='Project Assumptions'!$D$15,MIN(-AH$164*$D185/MAX($D$186,1),$D185),0)</f>
        <v/>
      </c>
      <c r="AI185" s="890">
        <f>IF(AI$5&lt;='Project Assumptions'!$D$15,MIN(-AI$164*$D185/MAX($D$186,1),$D185),0)</f>
        <v/>
      </c>
      <c r="AJ185" s="890">
        <f>IF(AJ$5&lt;='Project Assumptions'!$D$15,MIN(-AJ$164*$D185/MAX($D$186,1),$D185),0)</f>
        <v/>
      </c>
      <c r="AK185" s="890">
        <f>IF(AK$5&lt;='Project Assumptions'!$D$15,MIN(-AK$164*$D185/MAX($D$186,1),$D185),0)</f>
        <v/>
      </c>
      <c r="AL185" s="890">
        <f>IF(AL$5&lt;='Project Assumptions'!$D$15,MIN(-AL$164*$D185/MAX($D$186,1),$D185),0)</f>
        <v/>
      </c>
      <c r="AM185" s="890">
        <f>IF(AM$5&lt;='Project Assumptions'!$D$15,MIN(-AM$164*$D185/MAX($D$186,1),$D185),0)</f>
        <v/>
      </c>
      <c r="AN185" s="890">
        <f>IF(AN$5&lt;='Project Assumptions'!$D$15,MIN(-AN$164*$D185/MAX($D$186,1),$D185),0)</f>
        <v/>
      </c>
      <c r="AO185" s="890">
        <f>IF(AO$5&lt;='Project Assumptions'!$D$15,MIN(-AO$164*$D185/MAX($D$186,1),$D185),0)</f>
        <v/>
      </c>
      <c r="AP185" s="890">
        <f>IF(AP$5&lt;='Project Assumptions'!$D$15,MIN(-AP$164*$D185/MAX($D$186,1),$D185),0)</f>
        <v/>
      </c>
      <c r="AQ185" s="890">
        <f>IF(AQ$5&lt;='Project Assumptions'!$D$15,MIN(-AQ$164*$D185/MAX($D$186,1),$D185),0)</f>
        <v/>
      </c>
      <c r="AR185" s="890">
        <f>IF(AR$5&lt;='Project Assumptions'!$D$15,MIN(-AR$164*$D185/MAX($D$186,1),$D185),0)</f>
        <v/>
      </c>
      <c r="AS185" s="890">
        <f>IF(AS$5&lt;='Project Assumptions'!$D$15,MIN(-AS$164*$D185/MAX($D$186,1),$D185),0)</f>
        <v/>
      </c>
      <c r="AT185" s="890">
        <f>IF(AT$5&lt;='Project Assumptions'!$D$15,MIN(-AT$164*$D185/MAX($D$186,1),$D185),0)</f>
        <v/>
      </c>
      <c r="AU185" s="890">
        <f>IF(AU$5&lt;='Project Assumptions'!$D$15,MIN(-AU$164*$D185/MAX($D$186,1),$D185),0)</f>
        <v/>
      </c>
      <c r="AV185" s="890">
        <f>IF(AV$5&lt;='Project Assumptions'!$D$15,MIN(-AV$164*$D185/MAX($D$186,1),$D185),0)</f>
        <v/>
      </c>
      <c r="AW185" s="890">
        <f>IF(AW$5&lt;='Project Assumptions'!$D$15,MIN(-AW$164*$D185/MAX($D$186,1),$D185),0)</f>
        <v/>
      </c>
      <c r="AX185" s="890">
        <f>IF(AX$5&lt;='Project Assumptions'!$D$15,MIN(-AX$164*$D185/MAX($D$186,1),$D185),0)</f>
        <v/>
      </c>
      <c r="AY185" s="890">
        <f>IF(AY$5&lt;='Project Assumptions'!$D$15,MIN(-AY$164*$D185/MAX($D$186,1),$D185),0)</f>
        <v/>
      </c>
      <c r="AZ185" s="890">
        <f>IF(AZ$5&lt;='Project Assumptions'!$D$15,MIN(-AZ$164*$D185/MAX($D$186,1),$D185),0)</f>
        <v/>
      </c>
      <c r="BA185" s="890">
        <f>IF(BA$5&lt;='Project Assumptions'!$D$15,MIN(-BA$164*$D185/MAX($D$186,1),$D185),0)</f>
        <v/>
      </c>
      <c r="BB185" s="890">
        <f>IF(BB$5&lt;='Project Assumptions'!$D$15,MIN(-BB$164*$D185/MAX($D$186,1),$D185),0)</f>
        <v/>
      </c>
      <c r="BC185" s="890">
        <f>IF(BC$5&lt;='Project Assumptions'!$D$15,MIN(-BC$164*$D185/MAX($D$186,1),$D185),0)</f>
        <v/>
      </c>
      <c r="BD185" s="890">
        <f>IF(BD$5&lt;='Project Assumptions'!$D$15,MIN(-BD$164*$D185/MAX($D$186,1),$D185),0)</f>
        <v/>
      </c>
      <c r="BE185" s="890">
        <f>IF(BE$5&lt;='Project Assumptions'!$D$15,MIN(-BE$164*$D185/MAX($D$186,1),$D185),0)</f>
        <v/>
      </c>
      <c r="BF185" s="890">
        <f>IF(BF$5&lt;='Project Assumptions'!$D$15,MIN(-BF$164*$D185/MAX($D$186,1),$D185),0)</f>
        <v/>
      </c>
      <c r="BG185" s="890">
        <f>IF(BG$5&lt;='Project Assumptions'!$D$15,MIN(-BG$164*$D185/MAX($D$186,1),$D185),0)</f>
        <v/>
      </c>
      <c r="BH185" s="890">
        <f>IF(BH$5&lt;='Project Assumptions'!$D$15,MIN(-BH$164*$D185/MAX($D$186,1),$D185),0)</f>
        <v/>
      </c>
      <c r="BI185" s="890">
        <f>IF(BI$5&lt;='Project Assumptions'!$D$15,MIN(-BI$164*$D185/MAX($D$186,1),$D185),0)</f>
        <v/>
      </c>
      <c r="BJ185" s="890">
        <f>IF(BJ$5&lt;='Project Assumptions'!$D$15,MIN(-BJ$164*$D185/MAX($D$186,1),$D185),0)</f>
        <v/>
      </c>
      <c r="BK185" s="890">
        <f>IF(BK$5&lt;='Project Assumptions'!$D$15,MIN(-BK$164*$D185/MAX($D$186,1),$D185),0)</f>
        <v/>
      </c>
      <c r="BL185" s="890">
        <f>IF(BL$5&lt;='Project Assumptions'!$D$15,MIN(-BL$164*$D185/MAX($D$186,1),$D185),0)</f>
        <v/>
      </c>
      <c r="BM185" s="890">
        <f>IF(BM$5&lt;='Project Assumptions'!$D$15,MIN(-BM$164*$D185/MAX($D$186,1),$D185),0)</f>
        <v/>
      </c>
      <c r="BN185" s="890">
        <f>IF(BN$5&lt;='Project Assumptions'!$D$15,MIN(-BN$164*$D185/MAX($D$186,1),$D185),0)</f>
        <v/>
      </c>
      <c r="BO185" s="890">
        <f>IF(BO$5&lt;='Project Assumptions'!$D$15,MIN(-BO$164*$D185/MAX($D$186,1),$D185),0)</f>
        <v/>
      </c>
      <c r="BP185" s="890">
        <f>IF(BP$5&lt;='Project Assumptions'!$D$15,MIN(-BP$164*$D185/MAX($D$186,1),$D185),0)</f>
        <v/>
      </c>
      <c r="BQ185" s="890">
        <f>IF(BQ$5&lt;='Project Assumptions'!$D$15,MIN(-BQ$164*$D185/MAX($D$186,1),$D185),0)</f>
        <v/>
      </c>
      <c r="BR185" s="890">
        <f>IF(BR$5&lt;='Project Assumptions'!$D$15,MIN(-BR$164*$D185/MAX($D$186,1),$D185),0)</f>
        <v/>
      </c>
      <c r="BS185" s="890">
        <f>IF(BS$5&lt;='Project Assumptions'!$D$15,MIN(-BS$164*$D185/MAX($D$186,1),$D185),0)</f>
        <v/>
      </c>
      <c r="BT185" s="890">
        <f>IF(BT$5&lt;='Project Assumptions'!$D$15,MIN(-BT$164*$D185/MAX($D$186,1),$D185),0)</f>
        <v/>
      </c>
      <c r="BU185" s="890">
        <f>IF(BU$5&lt;='Project Assumptions'!$D$15,MIN(-BU$164*$D185/MAX($D$186,1),$D185),0)</f>
        <v/>
      </c>
      <c r="BV185" s="890">
        <f>IF(BV$5&lt;='Project Assumptions'!$D$15,MIN(-BV$164*$D185/MAX($D$186,1),$D185),0)</f>
        <v/>
      </c>
      <c r="BW185" s="890">
        <f>IF(BW$5&lt;='Project Assumptions'!$D$15,MIN(-BW$164*$D185/MAX($D$186,1),$D185),0)</f>
        <v/>
      </c>
      <c r="BX185" s="890">
        <f>IF(BX$5&lt;='Project Assumptions'!$D$15,MIN(-BX$164*$D185/MAX($D$186,1),$D185),0)</f>
        <v/>
      </c>
      <c r="BY185" s="890">
        <f>IF(BY$5&lt;='Project Assumptions'!$D$15,MIN(-BY$164*$D185/MAX($D$186,1),$D185),0)</f>
        <v/>
      </c>
      <c r="BZ185" s="890">
        <f>IF(BZ$5&lt;='Project Assumptions'!$D$15,MIN(-BZ$164*$D185/MAX($D$186,1),$D185),0)</f>
        <v/>
      </c>
      <c r="CA185" s="890">
        <f>IF(CA$5&lt;='Project Assumptions'!$D$15,MIN(-CA$164*$D185/MAX($D$186,1),$D185),0)</f>
        <v/>
      </c>
      <c r="CB185" s="890">
        <f>IF(CB$5&lt;='Project Assumptions'!$D$15,MIN(-CB$164*$D185/MAX($D$186,1),$D185),0)</f>
        <v/>
      </c>
      <c r="CC185" s="890">
        <f>IF(CC$5&lt;='Project Assumptions'!$D$15,MIN(-CC$164*$D185/MAX($D$186,1),$D185),0)</f>
        <v/>
      </c>
      <c r="CD185" s="890">
        <f>IF(CD$5&lt;='Project Assumptions'!$D$15,MIN(-CD$164*$D185/MAX($D$186,1),$D185),0)</f>
        <v/>
      </c>
      <c r="CE185" s="890">
        <f>IF(CE$5&lt;='Project Assumptions'!$D$15,MIN(-CE$164*$D185/MAX($D$186,1),$D185),0)</f>
        <v/>
      </c>
      <c r="CF185" s="890">
        <f>IF(CF$5&lt;='Project Assumptions'!$D$15,MIN(-CF$164*$D185/MAX($D$186,1),$D185),0)</f>
        <v/>
      </c>
      <c r="CG185" s="890">
        <f>IF(CG$5&lt;='Project Assumptions'!$D$15,MIN(-CG$164*$D185/MAX($D$186,1),$D185),0)</f>
        <v/>
      </c>
      <c r="CH185" s="890">
        <f>IF(CH$5&lt;='Project Assumptions'!$D$15,MIN(-CH$164*$D185/MAX($D$186,1),$D185),0)</f>
        <v/>
      </c>
      <c r="CI185" s="890">
        <f>IF(CI$5&lt;='Project Assumptions'!$D$15,MIN(-CI$164*$D185/MAX($D$186,1),$D185),0)</f>
        <v/>
      </c>
      <c r="CJ185" s="890">
        <f>IF(CJ$5&lt;='Project Assumptions'!$D$15,MIN(-CJ$164*$D185/MAX($D$186,1),$D185),0)</f>
        <v/>
      </c>
      <c r="CK185" s="890">
        <f>IF(CK$5&lt;='Project Assumptions'!$D$15,MIN(-CK$164*$D185/MAX($D$186,1),$D185),0)</f>
        <v/>
      </c>
      <c r="CL185" s="890">
        <f>IF(CL$5&lt;='Project Assumptions'!$D$15,MIN(-CL$164*$D185/MAX($D$186,1),$D185),0)</f>
        <v/>
      </c>
      <c r="CM185" s="890">
        <f>IF(CM$5&lt;='Project Assumptions'!$D$15,MIN(-CM$164*$D185/MAX($D$186,1),$D185),0)</f>
        <v/>
      </c>
      <c r="CN185" s="890">
        <f>IF(CN$5&lt;='Project Assumptions'!$D$15,MIN(-CN$164*$D185/MAX($D$186,1),$D185),0)</f>
        <v/>
      </c>
      <c r="CO185" s="890">
        <f>IF(CO$5&lt;='Project Assumptions'!$D$15,MIN(-CO$164*$D185/MAX($D$186,1),$D185),0)</f>
        <v/>
      </c>
      <c r="CP185" s="890">
        <f>IF(CP$5&lt;='Project Assumptions'!$D$15,MIN(-CP$164*$D185/MAX($D$186,1),$D185),0)</f>
        <v/>
      </c>
      <c r="CQ185" s="890">
        <f>IF(CQ$5&lt;='Project Assumptions'!$D$15,MIN(-CQ$164*$D185/MAX($D$186,1),$D185),0)</f>
        <v/>
      </c>
      <c r="CR185" s="890">
        <f>IF(CR$5&lt;='Project Assumptions'!$D$15,MIN(-CR$164*$D185/MAX($D$186,1),$D185),0)</f>
        <v/>
      </c>
      <c r="CS185" s="890">
        <f>IF(CS$5&lt;='Project Assumptions'!$D$15,MIN(-CS$164*$D185/MAX($D$186,1),$D185),0)</f>
        <v/>
      </c>
      <c r="CT185" s="890">
        <f>IF(CT$5&lt;='Project Assumptions'!$D$15,MIN(-CT$164*$D185/MAX($D$186,1),$D185),0)</f>
        <v/>
      </c>
      <c r="CU185" s="890">
        <f>IF(CU$5&lt;='Project Assumptions'!$D$15,MIN(-CU$164*$D185/MAX($D$186,1),$D185),0)</f>
        <v/>
      </c>
      <c r="CV185" s="890">
        <f>IF(CV$5&lt;='Project Assumptions'!$D$15,MIN(-CV$164*$D185/MAX($D$186,1),$D185),0)</f>
        <v/>
      </c>
      <c r="CW185" s="890">
        <f>IF(CW$5&lt;='Project Assumptions'!$D$15,MIN(-CW$164*$D185/MAX($D$186,1),$D185),0)</f>
        <v/>
      </c>
      <c r="CX185" s="890">
        <f>IF(CX$5&lt;='Project Assumptions'!$D$15,MIN(-CX$164*$D185/MAX($D$186,1),$D185),0)</f>
        <v/>
      </c>
      <c r="CY185" s="890">
        <f>IF(CY$5&lt;='Project Assumptions'!$D$15,MIN(-CY$164*$D185/MAX($D$186,1),$D185),0)</f>
        <v/>
      </c>
      <c r="CZ185" s="890">
        <f>IF(CZ$5&lt;='Project Assumptions'!$D$15,MIN(-CZ$164*$D185/MAX($D$186,1),$D185),0)</f>
        <v/>
      </c>
      <c r="DA185" s="890">
        <f>IF(DA$5&lt;='Project Assumptions'!$D$15,MIN(-DA$164*$D185/MAX($D$186,1),$D185),0)</f>
        <v/>
      </c>
      <c r="DB185" s="890">
        <f>IF(DB$5&lt;='Project Assumptions'!$D$15,MIN(-DB$164*$D185/MAX($D$186,1),$D185),0)</f>
        <v/>
      </c>
      <c r="DC185" s="890" t="n"/>
      <c r="DD185" s="297">
        <f>MAX(F185:DB185)</f>
        <v/>
      </c>
    </row>
    <row r="186" hidden="1" outlineLevel="1">
      <c r="A186" s="15" t="inlineStr">
        <is>
          <t xml:space="preserve">   Total</t>
        </is>
      </c>
      <c r="B186" s="15" t="n"/>
      <c r="C186" s="893" t="n"/>
      <c r="D186" s="338">
        <f>SUM(D184:D185)</f>
        <v/>
      </c>
      <c r="E186" s="290" t="n"/>
      <c r="F186" s="291">
        <f>SUM(F184:F185)</f>
        <v/>
      </c>
      <c r="G186" s="291">
        <f>SUM(G184:G185)</f>
        <v/>
      </c>
      <c r="H186" s="291">
        <f>SUM(H184:H185)</f>
        <v/>
      </c>
      <c r="I186" s="291">
        <f>SUM(I184:I185)</f>
        <v/>
      </c>
      <c r="J186" s="291">
        <f>SUM(J184:J185)</f>
        <v/>
      </c>
      <c r="K186" s="291">
        <f>SUM(K184:K185)</f>
        <v/>
      </c>
      <c r="L186" s="291">
        <f>SUM(L184:L185)</f>
        <v/>
      </c>
      <c r="M186" s="291">
        <f>SUM(M184:M185)</f>
        <v/>
      </c>
      <c r="N186" s="291">
        <f>SUM(N184:N185)</f>
        <v/>
      </c>
      <c r="O186" s="291">
        <f>SUM(O184:O185)</f>
        <v/>
      </c>
      <c r="P186" s="291">
        <f>SUM(P184:P185)</f>
        <v/>
      </c>
      <c r="Q186" s="291">
        <f>SUM(Q184:Q185)</f>
        <v/>
      </c>
      <c r="R186" s="291">
        <f>SUM(R184:R185)</f>
        <v/>
      </c>
      <c r="S186" s="291">
        <f>SUM(S184:S185)</f>
        <v/>
      </c>
      <c r="T186" s="291">
        <f>SUM(T184:T185)</f>
        <v/>
      </c>
      <c r="U186" s="291">
        <f>SUM(U184:U185)</f>
        <v/>
      </c>
      <c r="V186" s="291">
        <f>SUM(V184:V185)</f>
        <v/>
      </c>
      <c r="W186" s="291">
        <f>SUM(W184:W185)</f>
        <v/>
      </c>
      <c r="X186" s="291">
        <f>SUM(X184:X185)</f>
        <v/>
      </c>
      <c r="Y186" s="291">
        <f>SUM(Y184:Y185)</f>
        <v/>
      </c>
      <c r="Z186" s="291">
        <f>SUM(Z184:Z185)</f>
        <v/>
      </c>
      <c r="AA186" s="291">
        <f>SUM(AA184:AA185)</f>
        <v/>
      </c>
      <c r="AB186" s="291">
        <f>SUM(AB184:AB185)</f>
        <v/>
      </c>
      <c r="AC186" s="291">
        <f>SUM(AC184:AC185)</f>
        <v/>
      </c>
      <c r="AD186" s="291">
        <f>SUM(AD184:AD185)</f>
        <v/>
      </c>
      <c r="AE186" s="291">
        <f>SUM(AE184:AE185)</f>
        <v/>
      </c>
      <c r="AF186" s="291">
        <f>SUM(AF184:AF185)</f>
        <v/>
      </c>
      <c r="AG186" s="291">
        <f>SUM(AG184:AG185)</f>
        <v/>
      </c>
      <c r="AH186" s="291">
        <f>SUM(AH184:AH185)</f>
        <v/>
      </c>
      <c r="AI186" s="291">
        <f>SUM(AI184:AI185)</f>
        <v/>
      </c>
      <c r="AJ186" s="291">
        <f>SUM(AJ184:AJ185)</f>
        <v/>
      </c>
      <c r="AK186" s="291">
        <f>SUM(AK184:AK185)</f>
        <v/>
      </c>
      <c r="AL186" s="291">
        <f>SUM(AL184:AL185)</f>
        <v/>
      </c>
      <c r="AM186" s="291">
        <f>SUM(AM184:AM185)</f>
        <v/>
      </c>
      <c r="AN186" s="291">
        <f>SUM(AN184:AN185)</f>
        <v/>
      </c>
      <c r="AO186" s="291">
        <f>SUM(AO184:AO185)</f>
        <v/>
      </c>
      <c r="AP186" s="291">
        <f>SUM(AP184:AP185)</f>
        <v/>
      </c>
      <c r="AQ186" s="291">
        <f>SUM(AQ184:AQ185)</f>
        <v/>
      </c>
      <c r="AR186" s="291">
        <f>SUM(AR184:AR185)</f>
        <v/>
      </c>
      <c r="AS186" s="291">
        <f>SUM(AS184:AS185)</f>
        <v/>
      </c>
      <c r="AT186" s="291">
        <f>SUM(AT184:AT185)</f>
        <v/>
      </c>
      <c r="AU186" s="291">
        <f>SUM(AU184:AU185)</f>
        <v/>
      </c>
      <c r="AV186" s="291">
        <f>SUM(AV184:AV185)</f>
        <v/>
      </c>
      <c r="AW186" s="291">
        <f>SUM(AW184:AW185)</f>
        <v/>
      </c>
      <c r="AX186" s="291">
        <f>SUM(AX184:AX185)</f>
        <v/>
      </c>
      <c r="AY186" s="291">
        <f>SUM(AY184:AY185)</f>
        <v/>
      </c>
      <c r="AZ186" s="291">
        <f>SUM(AZ184:AZ185)</f>
        <v/>
      </c>
      <c r="BA186" s="291">
        <f>SUM(BA184:BA185)</f>
        <v/>
      </c>
      <c r="BB186" s="291">
        <f>SUM(BB184:BB185)</f>
        <v/>
      </c>
      <c r="BC186" s="291">
        <f>SUM(BC184:BC185)</f>
        <v/>
      </c>
      <c r="BD186" s="291">
        <f>SUM(BD184:BD185)</f>
        <v/>
      </c>
      <c r="BE186" s="291">
        <f>SUM(BE184:BE185)</f>
        <v/>
      </c>
      <c r="BF186" s="291">
        <f>SUM(BF184:BF185)</f>
        <v/>
      </c>
      <c r="BG186" s="291">
        <f>SUM(BG184:BG185)</f>
        <v/>
      </c>
      <c r="BH186" s="291">
        <f>SUM(BH184:BH185)</f>
        <v/>
      </c>
      <c r="BI186" s="291">
        <f>SUM(BI184:BI185)</f>
        <v/>
      </c>
      <c r="BJ186" s="291">
        <f>SUM(BJ184:BJ185)</f>
        <v/>
      </c>
      <c r="BK186" s="291">
        <f>SUM(BK184:BK185)</f>
        <v/>
      </c>
      <c r="BL186" s="291">
        <f>SUM(BL184:BL185)</f>
        <v/>
      </c>
      <c r="BM186" s="291">
        <f>SUM(BM184:BM185)</f>
        <v/>
      </c>
      <c r="BN186" s="291">
        <f>SUM(BN184:BN185)</f>
        <v/>
      </c>
      <c r="BO186" s="291">
        <f>SUM(BO184:BO185)</f>
        <v/>
      </c>
      <c r="BP186" s="291">
        <f>SUM(BP184:BP185)</f>
        <v/>
      </c>
      <c r="BQ186" s="291">
        <f>SUM(BQ184:BQ185)</f>
        <v/>
      </c>
      <c r="BR186" s="291">
        <f>SUM(BR184:BR185)</f>
        <v/>
      </c>
      <c r="BS186" s="291">
        <f>SUM(BS184:BS185)</f>
        <v/>
      </c>
      <c r="BT186" s="291">
        <f>SUM(BT184:BT185)</f>
        <v/>
      </c>
      <c r="BU186" s="291">
        <f>SUM(BU184:BU185)</f>
        <v/>
      </c>
      <c r="BV186" s="291">
        <f>SUM(BV184:BV185)</f>
        <v/>
      </c>
      <c r="BW186" s="291">
        <f>SUM(BW184:BW185)</f>
        <v/>
      </c>
      <c r="BX186" s="291">
        <f>SUM(BX184:BX185)</f>
        <v/>
      </c>
      <c r="BY186" s="291">
        <f>SUM(BY184:BY185)</f>
        <v/>
      </c>
      <c r="BZ186" s="291">
        <f>SUM(BZ184:BZ185)</f>
        <v/>
      </c>
      <c r="CA186" s="291">
        <f>SUM(CA184:CA185)</f>
        <v/>
      </c>
      <c r="CB186" s="291">
        <f>SUM(CB184:CB185)</f>
        <v/>
      </c>
      <c r="CC186" s="291">
        <f>SUM(CC184:CC185)</f>
        <v/>
      </c>
      <c r="CD186" s="291">
        <f>SUM(CD184:CD185)</f>
        <v/>
      </c>
      <c r="CE186" s="291">
        <f>SUM(CE184:CE185)</f>
        <v/>
      </c>
      <c r="CF186" s="291">
        <f>SUM(CF184:CF185)</f>
        <v/>
      </c>
      <c r="CG186" s="291">
        <f>SUM(CG184:CG185)</f>
        <v/>
      </c>
      <c r="CH186" s="291">
        <f>SUM(CH184:CH185)</f>
        <v/>
      </c>
      <c r="CI186" s="291">
        <f>SUM(CI184:CI185)</f>
        <v/>
      </c>
      <c r="CJ186" s="291">
        <f>SUM(CJ184:CJ185)</f>
        <v/>
      </c>
      <c r="CK186" s="291">
        <f>SUM(CK184:CK185)</f>
        <v/>
      </c>
      <c r="CL186" s="291">
        <f>SUM(CL184:CL185)</f>
        <v/>
      </c>
      <c r="CM186" s="291">
        <f>SUM(CM184:CM185)</f>
        <v/>
      </c>
      <c r="CN186" s="291">
        <f>SUM(CN184:CN185)</f>
        <v/>
      </c>
      <c r="CO186" s="291">
        <f>SUM(CO184:CO185)</f>
        <v/>
      </c>
      <c r="CP186" s="291">
        <f>SUM(CP184:CP185)</f>
        <v/>
      </c>
      <c r="CQ186" s="291">
        <f>SUM(CQ184:CQ185)</f>
        <v/>
      </c>
      <c r="CR186" s="291">
        <f>SUM(CR184:CR185)</f>
        <v/>
      </c>
      <c r="CS186" s="291">
        <f>SUM(CS184:CS185)</f>
        <v/>
      </c>
      <c r="CT186" s="291">
        <f>SUM(CT184:CT185)</f>
        <v/>
      </c>
      <c r="CU186" s="291">
        <f>SUM(CU184:CU185)</f>
        <v/>
      </c>
      <c r="CV186" s="291">
        <f>SUM(CV184:CV185)</f>
        <v/>
      </c>
      <c r="CW186" s="291">
        <f>SUM(CW184:CW185)</f>
        <v/>
      </c>
      <c r="CX186" s="291">
        <f>SUM(CX184:CX185)</f>
        <v/>
      </c>
      <c r="CY186" s="291">
        <f>SUM(CY184:CY185)</f>
        <v/>
      </c>
      <c r="CZ186" s="291">
        <f>SUM(CZ184:CZ185)</f>
        <v/>
      </c>
      <c r="DA186" s="291">
        <f>SUM(DA184:DA185)</f>
        <v/>
      </c>
      <c r="DB186" s="291">
        <f>SUM(DB184:DB185)</f>
        <v/>
      </c>
      <c r="DC186" s="291" t="n"/>
      <c r="DD186" s="289">
        <f>MAX(F186:DB186)</f>
        <v/>
      </c>
    </row>
    <row r="187" hidden="1" outlineLevel="1">
      <c r="A187" s="15" t="inlineStr">
        <is>
          <t>Total Fundings</t>
        </is>
      </c>
      <c r="B187" s="15" t="n"/>
      <c r="C187" s="336">
        <f>SUM(C180:C186)</f>
        <v/>
      </c>
      <c r="D187" s="13" t="n"/>
      <c r="E187" s="271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  <c r="AS187" s="13" t="n"/>
      <c r="AT187" s="13" t="n"/>
      <c r="AU187" s="13" t="n"/>
      <c r="AV187" s="13" t="n"/>
      <c r="AW187" s="13" t="n"/>
      <c r="AX187" s="13" t="n"/>
      <c r="AY187" s="13" t="n"/>
      <c r="AZ187" s="13" t="n"/>
      <c r="BA187" s="13" t="n"/>
      <c r="BB187" s="13" t="n"/>
      <c r="BC187" s="13" t="n"/>
      <c r="BD187" s="13" t="n"/>
      <c r="BE187" s="13" t="n"/>
      <c r="BF187" s="13" t="n"/>
      <c r="BG187" s="13" t="n"/>
      <c r="BH187" s="13" t="n"/>
      <c r="BI187" s="13" t="n"/>
      <c r="BJ187" s="13" t="n"/>
      <c r="BK187" s="13" t="n"/>
      <c r="BL187" s="13" t="n"/>
      <c r="BM187" s="13" t="n"/>
      <c r="BN187" s="13" t="n"/>
      <c r="BO187" s="13" t="n"/>
      <c r="BP187" s="13" t="n"/>
      <c r="BQ187" s="13" t="n"/>
      <c r="BR187" s="13" t="n"/>
      <c r="BS187" s="13" t="n"/>
      <c r="BT187" s="13" t="n"/>
      <c r="BU187" s="13" t="n"/>
      <c r="BV187" s="13" t="n"/>
      <c r="BW187" s="13" t="n"/>
      <c r="BX187" s="13" t="n"/>
      <c r="BY187" s="13" t="n"/>
      <c r="BZ187" s="13" t="n"/>
      <c r="CA187" s="13" t="n"/>
      <c r="CB187" s="13" t="n"/>
      <c r="CC187" s="13" t="n"/>
      <c r="CD187" s="13" t="n"/>
      <c r="CE187" s="13" t="n"/>
      <c r="CF187" s="13" t="n"/>
      <c r="CG187" s="13" t="n"/>
      <c r="CH187" s="13" t="n"/>
      <c r="CI187" s="13" t="n"/>
      <c r="CJ187" s="13" t="n"/>
      <c r="CK187" s="13" t="n"/>
      <c r="CL187" s="13" t="n"/>
      <c r="CM187" s="13" t="n"/>
      <c r="CN187" s="13" t="n"/>
      <c r="CO187" s="13" t="n"/>
      <c r="CP187" s="13" t="n"/>
      <c r="CQ187" s="13" t="n"/>
      <c r="CR187" s="13" t="n"/>
      <c r="CS187" s="13" t="n"/>
      <c r="CT187" s="13" t="n"/>
      <c r="CU187" s="13" t="n"/>
      <c r="CV187" s="13" t="n"/>
      <c r="CW187" s="13" t="n"/>
      <c r="CX187" s="13" t="n"/>
      <c r="CY187" s="13" t="n"/>
      <c r="CZ187" s="13" t="n"/>
      <c r="DA187" s="13" t="n"/>
      <c r="DB187" s="13" t="n"/>
      <c r="DC187" s="13" t="n"/>
      <c r="DD187" s="13" t="n"/>
    </row>
    <row r="188" hidden="1" outlineLevel="1">
      <c r="A188" s="9" t="n"/>
      <c r="B188" s="9" t="n"/>
      <c r="C188" s="9" t="n"/>
      <c r="D188" s="13" t="n"/>
      <c r="E188" s="271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  <c r="AS188" s="13" t="n"/>
      <c r="AT188" s="13" t="n"/>
      <c r="AU188" s="13" t="n"/>
      <c r="AV188" s="13" t="n"/>
      <c r="AW188" s="13" t="n"/>
      <c r="AX188" s="13" t="n"/>
      <c r="AY188" s="13" t="n"/>
      <c r="AZ188" s="13" t="n"/>
      <c r="BA188" s="13" t="n"/>
      <c r="BB188" s="13" t="n"/>
      <c r="BC188" s="13" t="n"/>
      <c r="BD188" s="13" t="n"/>
      <c r="BE188" s="13" t="n"/>
      <c r="BF188" s="13" t="n"/>
      <c r="BG188" s="13" t="n"/>
      <c r="BH188" s="13" t="n"/>
      <c r="BI188" s="13" t="n"/>
      <c r="BJ188" s="13" t="n"/>
      <c r="BK188" s="13" t="n"/>
      <c r="BL188" s="13" t="n"/>
      <c r="BM188" s="13" t="n"/>
      <c r="BN188" s="13" t="n"/>
      <c r="BO188" s="13" t="n"/>
      <c r="BP188" s="13" t="n"/>
      <c r="BQ188" s="13" t="n"/>
      <c r="BR188" s="13" t="n"/>
      <c r="BS188" s="13" t="n"/>
      <c r="BT188" s="13" t="n"/>
      <c r="BU188" s="13" t="n"/>
      <c r="BV188" s="13" t="n"/>
      <c r="BW188" s="13" t="n"/>
      <c r="BX188" s="13" t="n"/>
      <c r="BY188" s="13" t="n"/>
      <c r="BZ188" s="13" t="n"/>
      <c r="CA188" s="13" t="n"/>
      <c r="CB188" s="13" t="n"/>
      <c r="CC188" s="13" t="n"/>
      <c r="CD188" s="13" t="n"/>
      <c r="CE188" s="13" t="n"/>
      <c r="CF188" s="13" t="n"/>
      <c r="CG188" s="13" t="n"/>
      <c r="CH188" s="13" t="n"/>
      <c r="CI188" s="13" t="n"/>
      <c r="CJ188" s="13" t="n"/>
      <c r="CK188" s="13" t="n"/>
      <c r="CL188" s="13" t="n"/>
      <c r="CM188" s="13" t="n"/>
      <c r="CN188" s="13" t="n"/>
      <c r="CO188" s="13" t="n"/>
      <c r="CP188" s="13" t="n"/>
      <c r="CQ188" s="13" t="n"/>
      <c r="CR188" s="13" t="n"/>
      <c r="CS188" s="13" t="n"/>
      <c r="CT188" s="13" t="n"/>
      <c r="CU188" s="13" t="n"/>
      <c r="CV188" s="13" t="n"/>
      <c r="CW188" s="13" t="n"/>
      <c r="CX188" s="13" t="n"/>
      <c r="CY188" s="13" t="n"/>
      <c r="CZ188" s="13" t="n"/>
      <c r="DA188" s="13" t="n"/>
      <c r="DB188" s="13" t="n"/>
      <c r="DC188" s="13" t="n"/>
      <c r="DD188" s="13" t="n"/>
    </row>
    <row r="189" hidden="1" outlineLevel="1">
      <c r="A189" s="335" t="inlineStr">
        <is>
          <t>Calculation of Cumulative Fundings - Construction Period</t>
        </is>
      </c>
      <c r="B189" s="335" t="n"/>
      <c r="C189" s="15" t="n"/>
      <c r="D189" s="13" t="n"/>
      <c r="E189" s="271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  <c r="AP189" s="13" t="n"/>
      <c r="AQ189" s="13" t="n"/>
      <c r="AR189" s="13" t="n"/>
      <c r="AS189" s="13" t="n"/>
      <c r="AT189" s="13" t="n"/>
      <c r="AU189" s="13" t="n"/>
      <c r="AV189" s="13" t="n"/>
      <c r="AW189" s="13" t="n"/>
      <c r="AX189" s="13" t="n"/>
      <c r="AY189" s="13" t="n"/>
      <c r="AZ189" s="13" t="n"/>
      <c r="BA189" s="13" t="n"/>
      <c r="BB189" s="13" t="n"/>
      <c r="BC189" s="13" t="n"/>
      <c r="BD189" s="13" t="n"/>
      <c r="BE189" s="13" t="n"/>
      <c r="BF189" s="13" t="n"/>
      <c r="BG189" s="13" t="n"/>
      <c r="BH189" s="13" t="n"/>
      <c r="BI189" s="13" t="n"/>
      <c r="BJ189" s="13" t="n"/>
      <c r="BK189" s="13" t="n"/>
      <c r="BL189" s="13" t="n"/>
      <c r="BM189" s="13" t="n"/>
      <c r="BN189" s="13" t="n"/>
      <c r="BO189" s="13" t="n"/>
      <c r="BP189" s="13" t="n"/>
      <c r="BQ189" s="13" t="n"/>
      <c r="BR189" s="13" t="n"/>
      <c r="BS189" s="13" t="n"/>
      <c r="BT189" s="13" t="n"/>
      <c r="BU189" s="13" t="n"/>
      <c r="BV189" s="13" t="n"/>
      <c r="BW189" s="13" t="n"/>
      <c r="BX189" s="13" t="n"/>
      <c r="BY189" s="13" t="n"/>
      <c r="BZ189" s="13" t="n"/>
      <c r="CA189" s="13" t="n"/>
      <c r="CB189" s="13" t="n"/>
      <c r="CC189" s="13" t="n"/>
      <c r="CD189" s="13" t="n"/>
      <c r="CE189" s="13" t="n"/>
      <c r="CF189" s="13" t="n"/>
      <c r="CG189" s="13" t="n"/>
      <c r="CH189" s="13" t="n"/>
      <c r="CI189" s="13" t="n"/>
      <c r="CJ189" s="13" t="n"/>
      <c r="CK189" s="13" t="n"/>
      <c r="CL189" s="13" t="n"/>
      <c r="CM189" s="13" t="n"/>
      <c r="CN189" s="13" t="n"/>
      <c r="CO189" s="13" t="n"/>
      <c r="CP189" s="13" t="n"/>
      <c r="CQ189" s="13" t="n"/>
      <c r="CR189" s="13" t="n"/>
      <c r="CS189" s="13" t="n"/>
      <c r="CT189" s="13" t="n"/>
      <c r="CU189" s="13" t="n"/>
      <c r="CV189" s="13" t="n"/>
      <c r="CW189" s="13" t="n"/>
      <c r="CX189" s="13" t="n"/>
      <c r="CY189" s="13" t="n"/>
      <c r="CZ189" s="13" t="n"/>
      <c r="DA189" s="13" t="n"/>
      <c r="DB189" s="13" t="n"/>
      <c r="DC189" s="13" t="n"/>
      <c r="DD189" s="13" t="n"/>
    </row>
    <row r="190" hidden="1" outlineLevel="1">
      <c r="A190" s="15" t="inlineStr">
        <is>
          <t>Funding Priority - 1</t>
        </is>
      </c>
      <c r="B190" s="15" t="n"/>
      <c r="C190" s="15" t="n"/>
      <c r="D190" s="13" t="n"/>
      <c r="E190" s="271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  <c r="AP190" s="13" t="n"/>
      <c r="AQ190" s="13" t="n"/>
      <c r="AR190" s="13" t="n"/>
      <c r="AS190" s="13" t="n"/>
      <c r="AT190" s="13" t="n"/>
      <c r="AU190" s="13" t="n"/>
      <c r="AV190" s="13" t="n"/>
      <c r="AW190" s="13" t="n"/>
      <c r="AX190" s="13" t="n"/>
      <c r="AY190" s="13" t="n"/>
      <c r="AZ190" s="13" t="n"/>
      <c r="BA190" s="13" t="n"/>
      <c r="BB190" s="13" t="n"/>
      <c r="BC190" s="13" t="n"/>
      <c r="BD190" s="13" t="n"/>
      <c r="BE190" s="13" t="n"/>
      <c r="BF190" s="13" t="n"/>
      <c r="BG190" s="13" t="n"/>
      <c r="BH190" s="13" t="n"/>
      <c r="BI190" s="13" t="n"/>
      <c r="BJ190" s="13" t="n"/>
      <c r="BK190" s="13" t="n"/>
      <c r="BL190" s="13" t="n"/>
      <c r="BM190" s="13" t="n"/>
      <c r="BN190" s="13" t="n"/>
      <c r="BO190" s="13" t="n"/>
      <c r="BP190" s="13" t="n"/>
      <c r="BQ190" s="13" t="n"/>
      <c r="BR190" s="13" t="n"/>
      <c r="BS190" s="13" t="n"/>
      <c r="BT190" s="13" t="n"/>
      <c r="BU190" s="13" t="n"/>
      <c r="BV190" s="13" t="n"/>
      <c r="BW190" s="13" t="n"/>
      <c r="BX190" s="13" t="n"/>
      <c r="BY190" s="13" t="n"/>
      <c r="BZ190" s="13" t="n"/>
      <c r="CA190" s="13" t="n"/>
      <c r="CB190" s="13" t="n"/>
      <c r="CC190" s="13" t="n"/>
      <c r="CD190" s="13" t="n"/>
      <c r="CE190" s="13" t="n"/>
      <c r="CF190" s="13" t="n"/>
      <c r="CG190" s="13" t="n"/>
      <c r="CH190" s="13" t="n"/>
      <c r="CI190" s="13" t="n"/>
      <c r="CJ190" s="13" t="n"/>
      <c r="CK190" s="13" t="n"/>
      <c r="CL190" s="13" t="n"/>
      <c r="CM190" s="13" t="n"/>
      <c r="CN190" s="13" t="n"/>
      <c r="CO190" s="13" t="n"/>
      <c r="CP190" s="13" t="n"/>
      <c r="CQ190" s="13" t="n"/>
      <c r="CR190" s="13" t="n"/>
      <c r="CS190" s="13" t="n"/>
      <c r="CT190" s="13" t="n"/>
      <c r="CU190" s="13" t="n"/>
      <c r="CV190" s="13" t="n"/>
      <c r="CW190" s="13" t="n"/>
      <c r="CX190" s="13" t="n"/>
      <c r="CY190" s="13" t="n"/>
      <c r="CZ190" s="13" t="n"/>
      <c r="DA190" s="13" t="n"/>
      <c r="DB190" s="13" t="n"/>
      <c r="DC190" s="13" t="n"/>
      <c r="DD190" s="13" t="n"/>
    </row>
    <row r="191" hidden="1" outlineLevel="1">
      <c r="A191" s="15" t="inlineStr">
        <is>
          <t xml:space="preserve">   Bank Debt</t>
        </is>
      </c>
      <c r="B191" s="15" t="n"/>
      <c r="C191" s="336">
        <f>IF('Project Assumptions'!E26=1,'Project Assumptions'!C26,"")</f>
        <v/>
      </c>
      <c r="D191" s="700">
        <f>IF('Project Assumptions'!E26=1,'Project Assumptions'!C26*('Detailed Project Costs'!$F$74),0)</f>
        <v/>
      </c>
      <c r="E191" s="641" t="n"/>
      <c r="F191" s="293">
        <f>IF(F$5&gt;'Project Assumptions'!$D$15,IF(F$5&lt;='Project Returns'!$F$32,MIN((-F$164)*$D191/MAX($D$193,1),$D191),0),0)+IF('Project Assumptions'!D15=0,MIN(-F164*D191/MAX(D193,1),D191),0)</f>
        <v/>
      </c>
      <c r="G191" s="293">
        <f>IF(G$5&gt;'Project Assumptions'!$D$15,IF(G$5&lt;='Project Returns'!$F$32,MIN((-G$164)*$D191/MAX($D$193,1),$D191),0),0)</f>
        <v/>
      </c>
      <c r="H191" s="293">
        <f>IF(H$5&gt;'Project Assumptions'!$D$15,IF(H$5&lt;='Project Returns'!$F$32,MIN((-H$164)*$D191/MAX($D$193,1),$D191),0),0)</f>
        <v/>
      </c>
      <c r="I191" s="293">
        <f>IF(I$5&gt;'Project Assumptions'!$D$15,IF(I$5&lt;='Project Returns'!$F$32,MIN((-I$164)*$D191/MAX($D$193,1),$D191),0),0)</f>
        <v/>
      </c>
      <c r="J191" s="293">
        <f>IF(J$5&gt;'Project Assumptions'!$D$15,IF(J$5&lt;='Project Returns'!$F$32,MIN((-J$164)*$D191/MAX($D$193,1),$D191),0),0)</f>
        <v/>
      </c>
      <c r="K191" s="293">
        <f>IF(K$5&gt;'Project Assumptions'!$D$15,IF(K$5&lt;='Project Returns'!$F$32,MIN((-K$164)*$D191/MAX($D$193,1),$D191),0),0)</f>
        <v/>
      </c>
      <c r="L191" s="293">
        <f>IF(L$5&gt;'Project Assumptions'!$D$15,IF(L$5&lt;='Project Returns'!$F$32,MIN((-L$164)*$D191/MAX($D$193,1),$D191),0),0)</f>
        <v/>
      </c>
      <c r="M191" s="293">
        <f>IF(M$5&gt;'Project Assumptions'!$D$15,IF(M$5&lt;='Project Returns'!$F$32,MIN((-M$164)*$D191/MAX($D$193,1),$D191),0),0)</f>
        <v/>
      </c>
      <c r="N191" s="293">
        <f>IF(N$5&gt;'Project Assumptions'!$D$15,IF(N$5&lt;='Project Returns'!$F$32,MIN((-N$164)*$D191/MAX($D$193,1),$D191),0),0)</f>
        <v/>
      </c>
      <c r="O191" s="293">
        <f>IF(O$5&gt;'Project Assumptions'!$D$15,IF(O$5&lt;='Project Returns'!$F$32,MIN((-O$164)*$D191/MAX($D$193,1),$D191),0),0)</f>
        <v/>
      </c>
      <c r="P191" s="293">
        <f>IF(P$5&gt;'Project Assumptions'!$D$15,IF(P$5&lt;='Project Returns'!$F$32,MIN((-P$164)*$D191/MAX($D$193,1),$D191),0),0)</f>
        <v/>
      </c>
      <c r="Q191" s="293">
        <f>IF(Q$5&gt;'Project Assumptions'!$D$15,IF(Q$5&lt;='Project Returns'!$F$32,MIN((-Q$164)*$D191/MAX($D$193,1),$D191),0),0)</f>
        <v/>
      </c>
      <c r="R191" s="293">
        <f>IF(R$5&gt;'Project Assumptions'!$D$15,IF(R$5&lt;='Project Returns'!$F$32,MIN((-R$164)*$D191/MAX($D$193,1),$D191),0),0)</f>
        <v/>
      </c>
      <c r="S191" s="293">
        <f>IF(S$5&gt;'Project Assumptions'!$D$15,IF(S$5&lt;='Project Returns'!$F$32,MIN((-S$164)*$D191/MAX($D$193,1),$D191),0),0)</f>
        <v/>
      </c>
      <c r="T191" s="293">
        <f>IF(T$5&gt;'Project Assumptions'!$D$15,IF(T$5&lt;='Project Returns'!$F$32,MIN((-T$164)*$D191/MAX($D$193,1),$D191),0),0)</f>
        <v/>
      </c>
      <c r="U191" s="293">
        <f>IF(U$5&gt;'Project Assumptions'!$D$15,IF(U$5&lt;='Project Returns'!$F$32,MIN((-U$164)*$D191/MAX($D$193,1),$D191),0),0)</f>
        <v/>
      </c>
      <c r="V191" s="293">
        <f>IF(V$5&gt;'Project Assumptions'!$D$15,IF(V$5&lt;='Project Returns'!$F$32,MIN((-V$164)*$D191/MAX($D$193,1),$D191),0),0)</f>
        <v/>
      </c>
      <c r="W191" s="293">
        <f>IF(W$5&gt;'Project Assumptions'!$D$15,IF(W$5&lt;='Project Returns'!$F$32,MIN((-W$164)*$D191/MAX($D$193,1),$D191),0),0)</f>
        <v/>
      </c>
      <c r="X191" s="293">
        <f>IF(X$5&gt;'Project Assumptions'!$D$15,IF(X$5&lt;='Project Returns'!$F$32,MIN((-X$164)*$D191/MAX($D$193,1),$D191),0),0)</f>
        <v/>
      </c>
      <c r="Y191" s="293">
        <f>IF(Y$5&gt;'Project Assumptions'!$D$15,IF(Y$5&lt;='Project Returns'!$F$32,MIN((-Y$164)*$D191/MAX($D$193,1),$D191),0),0)</f>
        <v/>
      </c>
      <c r="Z191" s="293">
        <f>IF(Z$5&gt;'Project Assumptions'!$D$15,IF(Z$5&lt;='Project Returns'!$F$32,MIN((-Z$164)*$D191/MAX($D$193,1),$D191),0),0)</f>
        <v/>
      </c>
      <c r="AA191" s="293">
        <f>IF(AA$5&gt;'Project Assumptions'!$D$15,IF(AA$5&lt;='Project Returns'!$F$32,MIN((-AA$164)*$D191/MAX($D$193,1),$D191),0),0)</f>
        <v/>
      </c>
      <c r="AB191" s="293">
        <f>IF(AB$5&gt;'Project Assumptions'!$D$15,IF(AB$5&lt;='Project Returns'!$F$32,MIN((-AB$164)*$D191/MAX($D$193,1),$D191),0),0)</f>
        <v/>
      </c>
      <c r="AC191" s="293">
        <f>IF(AC$5&gt;'Project Assumptions'!$D$15,IF(AC$5&lt;='Project Returns'!$F$32,MIN((-AC$164)*$D191/MAX($D$193,1),$D191),0),0)</f>
        <v/>
      </c>
      <c r="AD191" s="293">
        <f>IF(AD$5&gt;'Project Assumptions'!$D$15,IF(AD$5&lt;='Project Returns'!$F$32,MIN((-AD$164)*$D191/MAX($D$193,1),$D191),0),0)</f>
        <v/>
      </c>
      <c r="AE191" s="293">
        <f>IF(AE$5&gt;'Project Assumptions'!$D$15,IF(AE$5&lt;='Project Returns'!$F$32,MIN((-AE$164)*$D191/MAX($D$193,1),$D191),0),0)</f>
        <v/>
      </c>
      <c r="AF191" s="293">
        <f>IF(AF$5&gt;'Project Assumptions'!$D$15,IF(AF$5&lt;='Project Returns'!$F$32,MIN((-AF$164)*$D191/MAX($D$193,1),$D191),0),0)</f>
        <v/>
      </c>
      <c r="AG191" s="293">
        <f>IF(AG$5&gt;'Project Assumptions'!$D$15,IF(AG$5&lt;='Project Returns'!$F$32,MIN((-AG$164)*$D191/MAX($D$193,1),$D191),0),0)</f>
        <v/>
      </c>
      <c r="AH191" s="293">
        <f>IF(AH$5&gt;'Project Assumptions'!$D$15,IF(AH$5&lt;='Project Returns'!$F$32,MIN((-AH$164)*$D191/MAX($D$193,1),$D191),0),0)</f>
        <v/>
      </c>
      <c r="AI191" s="293">
        <f>IF(AI$5&gt;'Project Assumptions'!$D$15,IF(AI$5&lt;='Project Returns'!$F$32,MIN((-AI$164)*$D191/MAX($D$193,1),$D191),0),0)</f>
        <v/>
      </c>
      <c r="AJ191" s="293">
        <f>IF(AJ$5&gt;'Project Assumptions'!$D$15,IF(AJ$5&lt;='Project Returns'!$F$32,MIN((-AJ$164)*$D191/MAX($D$193,1),$D191),0),0)</f>
        <v/>
      </c>
      <c r="AK191" s="293">
        <f>IF(AK$5&gt;'Project Assumptions'!$D$15,IF(AK$5&lt;='Project Returns'!$F$32,MIN((-AK$164)*$D191/MAX($D$193,1),$D191),0),0)</f>
        <v/>
      </c>
      <c r="AL191" s="293">
        <f>IF(AL$5&gt;'Project Assumptions'!$D$15,IF(AL$5&lt;='Project Returns'!$F$32,MIN((-AL$164)*$D191/MAX($D$193,1),$D191),0),0)</f>
        <v/>
      </c>
      <c r="AM191" s="293">
        <f>IF(AM$5&gt;'Project Assumptions'!$D$15,IF(AM$5&lt;='Project Returns'!$F$32,MIN((-AM$164)*$D191/MAX($D$193,1),$D191),0),0)</f>
        <v/>
      </c>
      <c r="AN191" s="293">
        <f>IF(AN$5&gt;'Project Assumptions'!$D$15,IF(AN$5&lt;='Project Returns'!$F$32,MIN((-AN$164)*$D191/MAX($D$193,1),$D191),0),0)</f>
        <v/>
      </c>
      <c r="AO191" s="293">
        <f>IF(AO$5&gt;'Project Assumptions'!$D$15,IF(AO$5&lt;='Project Returns'!$F$32,MIN((-AO$164)*$D191/MAX($D$193,1),$D191),0),0)</f>
        <v/>
      </c>
      <c r="AP191" s="293">
        <f>IF(AP$5&gt;'Project Assumptions'!$D$15,IF(AP$5&lt;='Project Returns'!$F$32,MIN((-AP$164)*$D191/MAX($D$193,1),$D191),0),0)</f>
        <v/>
      </c>
      <c r="AQ191" s="293">
        <f>IF(AQ$5&gt;'Project Assumptions'!$D$15,IF(AQ$5&lt;='Project Returns'!$F$32,MIN((-AQ$164)*$D191/MAX($D$193,1),$D191),0),0)</f>
        <v/>
      </c>
      <c r="AR191" s="293">
        <f>IF(AR$5&gt;'Project Assumptions'!$D$15,IF(AR$5&lt;='Project Returns'!$F$32,MIN((-AR$164)*$D191/MAX($D$193,1),$D191),0),0)</f>
        <v/>
      </c>
      <c r="AS191" s="293">
        <f>IF(AS$5&gt;'Project Assumptions'!$D$15,IF(AS$5&lt;='Project Returns'!$F$32,MIN((-AS$164)*$D191/MAX($D$193,1),$D191),0),0)</f>
        <v/>
      </c>
      <c r="AT191" s="293">
        <f>IF(AT$5&gt;'Project Assumptions'!$D$15,IF(AT$5&lt;='Project Returns'!$F$32,MIN((-AT$164)*$D191/MAX($D$193,1),$D191),0),0)</f>
        <v/>
      </c>
      <c r="AU191" s="293">
        <f>IF(AU$5&gt;'Project Assumptions'!$D$15,IF(AU$5&lt;='Project Returns'!$F$32,MIN((-AU$164)*$D191/MAX($D$193,1),$D191),0),0)</f>
        <v/>
      </c>
      <c r="AV191" s="293">
        <f>IF(AV$5&gt;'Project Assumptions'!$D$15,IF(AV$5&lt;='Project Returns'!$F$32,MIN((-AV$164)*$D191/MAX($D$193,1),$D191),0),0)</f>
        <v/>
      </c>
      <c r="AW191" s="293">
        <f>IF(AW$5&gt;'Project Assumptions'!$D$15,IF(AW$5&lt;='Project Returns'!$F$32,MIN((-AW$164)*$D191/MAX($D$193,1),$D191),0),0)</f>
        <v/>
      </c>
      <c r="AX191" s="293">
        <f>IF(AX$5&gt;'Project Assumptions'!$D$15,IF(AX$5&lt;='Project Returns'!$F$32,MIN((-AX$164)*$D191/MAX($D$193,1),$D191),0),0)</f>
        <v/>
      </c>
      <c r="AY191" s="293">
        <f>IF(AY$5&gt;'Project Assumptions'!$D$15,IF(AY$5&lt;='Project Returns'!$F$32,MIN((-AY$164)*$D191/MAX($D$193,1),$D191),0),0)</f>
        <v/>
      </c>
      <c r="AZ191" s="293">
        <f>IF(AZ$5&gt;'Project Assumptions'!$D$15,IF(AZ$5&lt;='Project Returns'!$F$32,MIN((-AZ$164)*$D191/MAX($D$193,1),$D191),0),0)</f>
        <v/>
      </c>
      <c r="BA191" s="293">
        <f>IF(BA$5&gt;'Project Assumptions'!$D$15,IF(BA$5&lt;='Project Returns'!$F$32,MIN((-BA$164)*$D191/MAX($D$193,1),$D191),0),0)</f>
        <v/>
      </c>
      <c r="BB191" s="293">
        <f>IF(BB$5&gt;'Project Assumptions'!$D$15,IF(BB$5&lt;='Project Returns'!$F$32,MIN((-BB$164)*$D191/MAX($D$193,1),$D191),0),0)</f>
        <v/>
      </c>
      <c r="BC191" s="293">
        <f>IF(BC$5&gt;'Project Assumptions'!$D$15,IF(BC$5&lt;='Project Returns'!$F$32,MIN((-BC$164)*$D191/MAX($D$193,1),$D191),0),0)</f>
        <v/>
      </c>
      <c r="BD191" s="293">
        <f>IF(BD$5&gt;'Project Assumptions'!$D$15,IF(BD$5&lt;='Project Returns'!$F$32,MIN((-BD$164)*$D191/MAX($D$193,1),$D191),0),0)</f>
        <v/>
      </c>
      <c r="BE191" s="293">
        <f>IF(BE$5&gt;'Project Assumptions'!$D$15,IF(BE$5&lt;='Project Returns'!$F$32,MIN((-BE$164)*$D191/MAX($D$193,1),$D191),0),0)</f>
        <v/>
      </c>
      <c r="BF191" s="293">
        <f>IF(BF$5&gt;'Project Assumptions'!$D$15,IF(BF$5&lt;='Project Returns'!$F$32,MIN((-BF$164)*$D191/MAX($D$193,1),$D191),0),0)</f>
        <v/>
      </c>
      <c r="BG191" s="293">
        <f>IF(BG$5&gt;'Project Assumptions'!$D$15,IF(BG$5&lt;='Project Returns'!$F$32,MIN((-BG$164)*$D191/MAX($D$193,1),$D191),0),0)</f>
        <v/>
      </c>
      <c r="BH191" s="293">
        <f>IF(BH$5&gt;'Project Assumptions'!$D$15,IF(BH$5&lt;='Project Returns'!$F$32,MIN((-BH$164)*$D191/MAX($D$193,1),$D191),0),0)</f>
        <v/>
      </c>
      <c r="BI191" s="293">
        <f>IF(BI$5&gt;'Project Assumptions'!$D$15,IF(BI$5&lt;='Project Returns'!$F$32,MIN((-BI$164)*$D191/MAX($D$193,1),$D191),0),0)</f>
        <v/>
      </c>
      <c r="BJ191" s="293">
        <f>IF(BJ$5&gt;'Project Assumptions'!$D$15,IF(BJ$5&lt;='Project Returns'!$F$32,MIN((-BJ$164)*$D191/MAX($D$193,1),$D191),0),0)</f>
        <v/>
      </c>
      <c r="BK191" s="293">
        <f>IF(BK$5&gt;'Project Assumptions'!$D$15,IF(BK$5&lt;='Project Returns'!$F$32,MIN((-BK$164)*$D191/MAX($D$193,1),$D191),0),0)</f>
        <v/>
      </c>
      <c r="BL191" s="293">
        <f>IF(BL$5&gt;'Project Assumptions'!$D$15,IF(BL$5&lt;='Project Returns'!$F$32,MIN((-BL$164)*$D191/MAX($D$193,1),$D191),0),0)</f>
        <v/>
      </c>
      <c r="BM191" s="293">
        <f>IF(BM$5&gt;'Project Assumptions'!$D$15,IF(BM$5&lt;='Project Returns'!$F$32,MIN((-BM$164)*$D191/MAX($D$193,1),$D191),0),0)</f>
        <v/>
      </c>
      <c r="BN191" s="293">
        <f>IF(BN$5&gt;'Project Assumptions'!$D$15,IF(BN$5&lt;='Project Returns'!$F$32,MIN((-BN$164)*$D191/MAX($D$193,1),$D191),0),0)</f>
        <v/>
      </c>
      <c r="BO191" s="293">
        <f>IF(BO$5&gt;'Project Assumptions'!$D$15,IF(BO$5&lt;='Project Returns'!$F$32,MIN((-BO$164)*$D191/MAX($D$193,1),$D191),0),0)</f>
        <v/>
      </c>
      <c r="BP191" s="293">
        <f>IF(BP$5&gt;'Project Assumptions'!$D$15,IF(BP$5&lt;='Project Returns'!$F$32,MIN((-BP$164)*$D191/MAX($D$193,1),$D191),0),0)</f>
        <v/>
      </c>
      <c r="BQ191" s="293">
        <f>IF(BQ$5&gt;'Project Assumptions'!$D$15,IF(BQ$5&lt;='Project Returns'!$F$32,MIN((-BQ$164)*$D191/MAX($D$193,1),$D191),0),0)</f>
        <v/>
      </c>
      <c r="BR191" s="293">
        <f>IF(BR$5&gt;'Project Assumptions'!$D$15,IF(BR$5&lt;='Project Returns'!$F$32,MIN((-BR$164)*$D191/MAX($D$193,1),$D191),0),0)</f>
        <v/>
      </c>
      <c r="BS191" s="293">
        <f>IF(BS$5&gt;'Project Assumptions'!$D$15,IF(BS$5&lt;='Project Returns'!$F$32,MIN((-BS$164)*$D191/MAX($D$193,1),$D191),0),0)</f>
        <v/>
      </c>
      <c r="BT191" s="293">
        <f>IF(BT$5&gt;'Project Assumptions'!$D$15,IF(BT$5&lt;='Project Returns'!$F$32,MIN((-BT$164)*$D191/MAX($D$193,1),$D191),0),0)</f>
        <v/>
      </c>
      <c r="BU191" s="293">
        <f>IF(BU$5&gt;'Project Assumptions'!$D$15,IF(BU$5&lt;='Project Returns'!$F$32,MIN((-BU$164)*$D191/MAX($D$193,1),$D191),0),0)</f>
        <v/>
      </c>
      <c r="BV191" s="293">
        <f>IF(BV$5&gt;'Project Assumptions'!$D$15,IF(BV$5&lt;='Project Returns'!$F$32,MIN((-BV$164)*$D191/MAX($D$193,1),$D191),0),0)</f>
        <v/>
      </c>
      <c r="BW191" s="293">
        <f>IF(BW$5&gt;'Project Assumptions'!$D$15,IF(BW$5&lt;='Project Returns'!$F$32,MIN((-BW$164)*$D191/MAX($D$193,1),$D191),0),0)</f>
        <v/>
      </c>
      <c r="BX191" s="293">
        <f>IF(BX$5&gt;'Project Assumptions'!$D$15,IF(BX$5&lt;='Project Returns'!$F$32,MIN((-BX$164)*$D191/MAX($D$193,1),$D191),0),0)</f>
        <v/>
      </c>
      <c r="BY191" s="293">
        <f>IF(BY$5&gt;'Project Assumptions'!$D$15,IF(BY$5&lt;='Project Returns'!$F$32,MIN((-BY$164)*$D191/MAX($D$193,1),$D191),0),0)</f>
        <v/>
      </c>
      <c r="BZ191" s="293">
        <f>IF(BZ$5&gt;'Project Assumptions'!$D$15,IF(BZ$5&lt;='Project Returns'!$F$32,MIN((-BZ$164)*$D191/MAX($D$193,1),$D191),0),0)</f>
        <v/>
      </c>
      <c r="CA191" s="293">
        <f>IF(CA$5&gt;'Project Assumptions'!$D$15,IF(CA$5&lt;='Project Returns'!$F$32,MIN((-CA$164)*$D191/MAX($D$193,1),$D191),0),0)</f>
        <v/>
      </c>
      <c r="CB191" s="293">
        <f>IF(CB$5&gt;'Project Assumptions'!$D$15,IF(CB$5&lt;='Project Returns'!$F$32,MIN((-CB$164)*$D191/MAX($D$193,1),$D191),0),0)</f>
        <v/>
      </c>
      <c r="CC191" s="293">
        <f>IF(CC$5&gt;'Project Assumptions'!$D$15,IF(CC$5&lt;='Project Returns'!$F$32,MIN((-CC$164)*$D191/MAX($D$193,1),$D191),0),0)</f>
        <v/>
      </c>
      <c r="CD191" s="293">
        <f>IF(CD$5&gt;'Project Assumptions'!$D$15,IF(CD$5&lt;='Project Returns'!$F$32,MIN((-CD$164)*$D191/MAX($D$193,1),$D191),0),0)</f>
        <v/>
      </c>
      <c r="CE191" s="293">
        <f>IF(CE$5&gt;'Project Assumptions'!$D$15,IF(CE$5&lt;='Project Returns'!$F$32,MIN((-CE$164)*$D191/MAX($D$193,1),$D191),0),0)</f>
        <v/>
      </c>
      <c r="CF191" s="293">
        <f>IF(CF$5&gt;'Project Assumptions'!$D$15,IF(CF$5&lt;='Project Returns'!$F$32,MIN((-CF$164)*$D191/MAX($D$193,1),$D191),0),0)</f>
        <v/>
      </c>
      <c r="CG191" s="293">
        <f>IF(CG$5&gt;'Project Assumptions'!$D$15,IF(CG$5&lt;='Project Returns'!$F$32,MIN((-CG$164)*$D191/MAX($D$193,1),$D191),0),0)</f>
        <v/>
      </c>
      <c r="CH191" s="293">
        <f>IF(CH$5&gt;'Project Assumptions'!$D$15,IF(CH$5&lt;='Project Returns'!$F$32,MIN((-CH$164)*$D191/MAX($D$193,1),$D191),0),0)</f>
        <v/>
      </c>
      <c r="CI191" s="293">
        <f>IF(CI$5&gt;'Project Assumptions'!$D$15,IF(CI$5&lt;='Project Returns'!$F$32,MIN((-CI$164)*$D191/MAX($D$193,1),$D191),0),0)</f>
        <v/>
      </c>
      <c r="CJ191" s="293">
        <f>IF(CJ$5&gt;'Project Assumptions'!$D$15,IF(CJ$5&lt;='Project Returns'!$F$32,MIN((-CJ$164)*$D191/MAX($D$193,1),$D191),0),0)</f>
        <v/>
      </c>
      <c r="CK191" s="293">
        <f>IF(CK$5&gt;'Project Assumptions'!$D$15,IF(CK$5&lt;='Project Returns'!$F$32,MIN((-CK$164)*$D191/MAX($D$193,1),$D191),0),0)</f>
        <v/>
      </c>
      <c r="CL191" s="293">
        <f>IF(CL$5&gt;'Project Assumptions'!$D$15,IF(CL$5&lt;='Project Returns'!$F$32,MIN((-CL$164)*$D191/MAX($D$193,1),$D191),0),0)</f>
        <v/>
      </c>
      <c r="CM191" s="293">
        <f>IF(CM$5&gt;'Project Assumptions'!$D$15,IF(CM$5&lt;='Project Returns'!$F$32,MIN((-CM$164)*$D191/MAX($D$193,1),$D191),0),0)</f>
        <v/>
      </c>
      <c r="CN191" s="293">
        <f>IF(CN$5&gt;'Project Assumptions'!$D$15,IF(CN$5&lt;='Project Returns'!$F$32,MIN((-CN$164)*$D191/MAX($D$193,1),$D191),0),0)</f>
        <v/>
      </c>
      <c r="CO191" s="293">
        <f>IF(CO$5&gt;'Project Assumptions'!$D$15,IF(CO$5&lt;='Project Returns'!$F$32,MIN((-CO$164)*$D191/MAX($D$193,1),$D191),0),0)</f>
        <v/>
      </c>
      <c r="CP191" s="293">
        <f>IF(CP$5&gt;'Project Assumptions'!$D$15,IF(CP$5&lt;='Project Returns'!$F$32,MIN((-CP$164)*$D191/MAX($D$193,1),$D191),0),0)</f>
        <v/>
      </c>
      <c r="CQ191" s="293">
        <f>IF(CQ$5&gt;'Project Assumptions'!$D$15,IF(CQ$5&lt;='Project Returns'!$F$32,MIN((-CQ$164)*$D191/MAX($D$193,1),$D191),0),0)</f>
        <v/>
      </c>
      <c r="CR191" s="293">
        <f>IF(CR$5&gt;'Project Assumptions'!$D$15,IF(CR$5&lt;='Project Returns'!$F$32,MIN((-CR$164)*$D191/MAX($D$193,1),$D191),0),0)</f>
        <v/>
      </c>
      <c r="CS191" s="293">
        <f>IF(CS$5&gt;'Project Assumptions'!$D$15,IF(CS$5&lt;='Project Returns'!$F$32,MIN((-CS$164)*$D191/MAX($D$193,1),$D191),0),0)</f>
        <v/>
      </c>
      <c r="CT191" s="293">
        <f>IF(CT$5&gt;'Project Assumptions'!$D$15,IF(CT$5&lt;='Project Returns'!$F$32,MIN((-CT$164)*$D191/MAX($D$193,1),$D191),0),0)</f>
        <v/>
      </c>
      <c r="CU191" s="293">
        <f>IF(CU$5&gt;'Project Assumptions'!$D$15,IF(CU$5&lt;='Project Returns'!$F$32,MIN((-CU$164)*$D191/MAX($D$193,1),$D191),0),0)</f>
        <v/>
      </c>
      <c r="CV191" s="293">
        <f>IF(CV$5&gt;'Project Assumptions'!$D$15,IF(CV$5&lt;='Project Returns'!$F$32,MIN((-CV$164)*$D191/MAX($D$193,1),$D191),0),0)</f>
        <v/>
      </c>
      <c r="CW191" s="293">
        <f>IF(CW$5&gt;'Project Assumptions'!$D$15,IF(CW$5&lt;='Project Returns'!$F$32,MIN((-CW$164)*$D191/MAX($D$193,1),$D191),0),0)</f>
        <v/>
      </c>
      <c r="CX191" s="293">
        <f>IF(CX$5&gt;'Project Assumptions'!$D$15,IF(CX$5&lt;='Project Returns'!$F$32,MIN((-CX$164)*$D191/MAX($D$193,1),$D191),0),0)</f>
        <v/>
      </c>
      <c r="CY191" s="293">
        <f>IF(CY$5&gt;'Project Assumptions'!$D$15,IF(CY$5&lt;='Project Returns'!$F$32,MIN((-CY$164)*$D191/MAX($D$193,1),$D191),0),0)</f>
        <v/>
      </c>
      <c r="CZ191" s="293">
        <f>IF(CZ$5&gt;'Project Assumptions'!$D$15,IF(CZ$5&lt;='Project Returns'!$F$32,MIN((-CZ$164)*$D191/MAX($D$193,1),$D191),0),0)</f>
        <v/>
      </c>
      <c r="DA191" s="293">
        <f>IF(DA$5&gt;'Project Assumptions'!$D$15,IF(DA$5&lt;='Project Returns'!$F$32,MIN((-DA$164)*$D191/MAX($D$193,1),$D191),0),0)</f>
        <v/>
      </c>
      <c r="DB191" s="293">
        <f>IF(DB$5&gt;'Project Assumptions'!$D$15,IF(DB$5&lt;='Project Returns'!$F$32,MIN((-DB$164)*$D191/MAX($D$193,1),$D191),0),0)</f>
        <v/>
      </c>
      <c r="DC191" s="293" t="n"/>
      <c r="DD191" s="292">
        <f>MAX(F191:DB191)</f>
        <v/>
      </c>
    </row>
    <row r="192" hidden="1" outlineLevel="1">
      <c r="A192" s="15" t="inlineStr">
        <is>
          <t xml:space="preserve">   Equity</t>
        </is>
      </c>
      <c r="B192" s="15" t="n"/>
      <c r="C192" s="336">
        <f>IF('Project Assumptions'!E27=1,'Project Assumptions'!C27,"")</f>
        <v/>
      </c>
      <c r="D192" s="337">
        <f>IF('Project Assumptions'!E27=1,'Project Assumptions'!C27*('Detailed Project Costs'!$F$74),0)</f>
        <v/>
      </c>
      <c r="E192" s="276" t="n"/>
      <c r="F192" s="890">
        <f>IF(F$5&gt;'Project Assumptions'!$D$15,IF(F$5&lt;='Project Returns'!$F$32,MIN((-F$164)*$D192/MAX($D$193,1),$D192),0),0)+IF('Project Assumptions'!E18=0,MIN(-F166*D192/MAX(D195,1),D192),0)</f>
        <v/>
      </c>
      <c r="G192" s="890">
        <f>IF(G$5&gt;'Project Assumptions'!$D$15,IF(G$5&lt;='Project Returns'!$F$32,MIN((-G$164)*$D192/MAX($D$193,1),$D192),0),0)</f>
        <v/>
      </c>
      <c r="H192" s="890">
        <f>IF(H$5&gt;'Project Assumptions'!$D$15,IF(H$5&lt;='Project Returns'!$F$32,MIN((-H$164)*$D192/MAX($D$193,1),$D192),0),0)</f>
        <v/>
      </c>
      <c r="I192" s="890">
        <f>IF(I$5&gt;'Project Assumptions'!$D$15,IF(I$5&lt;='Project Returns'!$F$32,MIN((-I$164)*$D192/MAX($D$193,1),$D192),0),0)</f>
        <v/>
      </c>
      <c r="J192" s="890">
        <f>IF(J$5&gt;'Project Assumptions'!$D$15,IF(J$5&lt;='Project Returns'!$F$32,MIN((-J$164)*$D192/MAX($D$193,1),$D192),0),0)</f>
        <v/>
      </c>
      <c r="K192" s="890">
        <f>IF(K$5&gt;'Project Assumptions'!$D$15,IF(K$5&lt;='Project Returns'!$F$32,MIN((-K$164)*$D192/MAX($D$193,1),$D192),0),0)</f>
        <v/>
      </c>
      <c r="L192" s="890">
        <f>IF(L$5&gt;'Project Assumptions'!$D$15,IF(L$5&lt;='Project Returns'!$F$32,MIN((-L$164)*$D192/MAX($D$193,1),$D192),0),0)</f>
        <v/>
      </c>
      <c r="M192" s="890">
        <f>IF(M$5&gt;'Project Assumptions'!$D$15,IF(M$5&lt;='Project Returns'!$F$32,MIN((-M$164)*$D192/MAX($D$193,1),$D192),0),0)</f>
        <v/>
      </c>
      <c r="N192" s="890">
        <f>IF(N$5&gt;'Project Assumptions'!$D$15,IF(N$5&lt;='Project Returns'!$F$32,MIN((-N$164)*$D192/MAX($D$193,1),$D192),0),0)</f>
        <v/>
      </c>
      <c r="O192" s="890">
        <f>IF(O$5&gt;'Project Assumptions'!$D$15,IF(O$5&lt;='Project Returns'!$F$32,MIN((-O$164)*$D192/MAX($D$193,1),$D192),0),0)</f>
        <v/>
      </c>
      <c r="P192" s="890">
        <f>IF(P$5&gt;'Project Assumptions'!$D$15,IF(P$5&lt;='Project Returns'!$F$32,MIN((-P$164)*$D192/MAX($D$193,1),$D192),0),0)</f>
        <v/>
      </c>
      <c r="Q192" s="890">
        <f>IF(Q$5&gt;'Project Assumptions'!$D$15,IF(Q$5&lt;='Project Returns'!$F$32,MIN((-Q$164)*$D192/MAX($D$193,1),$D192),0),0)</f>
        <v/>
      </c>
      <c r="R192" s="890">
        <f>IF(R$5&gt;'Project Assumptions'!$D$15,IF(R$5&lt;='Project Returns'!$F$32,MIN((-R$164)*$D192/MAX($D$193,1),$D192),0),0)</f>
        <v/>
      </c>
      <c r="S192" s="890">
        <f>IF(S$5&gt;'Project Assumptions'!$D$15,IF(S$5&lt;='Project Returns'!$F$32,MIN((-S$164)*$D192/MAX($D$193,1),$D192),0),0)</f>
        <v/>
      </c>
      <c r="T192" s="890">
        <f>IF(T$5&gt;'Project Assumptions'!$D$15,IF(T$5&lt;='Project Returns'!$F$32,MIN((-T$164)*$D192/MAX($D$193,1),$D192),0),0)</f>
        <v/>
      </c>
      <c r="U192" s="890">
        <f>IF(U$5&gt;'Project Assumptions'!$D$15,IF(U$5&lt;='Project Returns'!$F$32,MIN((-U$164)*$D192/MAX($D$193,1),$D192),0),0)</f>
        <v/>
      </c>
      <c r="V192" s="890">
        <f>IF(V$5&gt;'Project Assumptions'!$D$15,IF(V$5&lt;='Project Returns'!$F$32,MIN((-V$164)*$D192/MAX($D$193,1),$D192),0),0)</f>
        <v/>
      </c>
      <c r="W192" s="890">
        <f>IF(W$5&gt;'Project Assumptions'!$D$15,IF(W$5&lt;='Project Returns'!$F$32,MIN((-W$164)*$D192/MAX($D$193,1),$D192),0),0)</f>
        <v/>
      </c>
      <c r="X192" s="890">
        <f>IF(X$5&gt;'Project Assumptions'!$D$15,IF(X$5&lt;='Project Returns'!$F$32,MIN((-X$164)*$D192/MAX($D$193,1),$D192),0),0)</f>
        <v/>
      </c>
      <c r="Y192" s="890">
        <f>IF(Y$5&gt;'Project Assumptions'!$D$15,IF(Y$5&lt;='Project Returns'!$F$32,MIN((-Y$164)*$D192/MAX($D$193,1),$D192),0),0)</f>
        <v/>
      </c>
      <c r="Z192" s="890">
        <f>IF(Z$5&gt;'Project Assumptions'!$D$15,IF(Z$5&lt;='Project Returns'!$F$32,MIN((-Z$164)*$D192/MAX($D$193,1),$D192),0),0)</f>
        <v/>
      </c>
      <c r="AA192" s="890">
        <f>IF(AA$5&gt;'Project Assumptions'!$D$15,IF(AA$5&lt;='Project Returns'!$F$32,MIN((-AA$164)*$D192/MAX($D$193,1),$D192),0),0)</f>
        <v/>
      </c>
      <c r="AB192" s="890">
        <f>IF(AB$5&gt;'Project Assumptions'!$D$15,IF(AB$5&lt;='Project Returns'!$F$32,MIN((-AB$164)*$D192/MAX($D$193,1),$D192),0),0)</f>
        <v/>
      </c>
      <c r="AC192" s="890">
        <f>IF(AC$5&gt;'Project Assumptions'!$D$15,IF(AC$5&lt;='Project Returns'!$F$32,MIN((-AC$164)*$D192/MAX($D$193,1),$D192),0),0)</f>
        <v/>
      </c>
      <c r="AD192" s="890">
        <f>IF(AD$5&gt;'Project Assumptions'!$D$15,IF(AD$5&lt;='Project Returns'!$F$32,MIN((-AD$164)*$D192/MAX($D$193,1),$D192),0),0)</f>
        <v/>
      </c>
      <c r="AE192" s="890">
        <f>IF(AE$5&gt;'Project Assumptions'!$D$15,IF(AE$5&lt;='Project Returns'!$F$32,MIN((-AE$164)*$D192/MAX($D$193,1),$D192),0),0)</f>
        <v/>
      </c>
      <c r="AF192" s="890">
        <f>IF(AF$5&gt;'Project Assumptions'!$D$15,IF(AF$5&lt;='Project Returns'!$F$32,MIN((-AF$164)*$D192/MAX($D$193,1),$D192),0),0)</f>
        <v/>
      </c>
      <c r="AG192" s="890">
        <f>IF(AG$5&gt;'Project Assumptions'!$D$15,IF(AG$5&lt;='Project Returns'!$F$32,MIN((-AG$164)*$D192/MAX($D$193,1),$D192),0),0)</f>
        <v/>
      </c>
      <c r="AH192" s="890">
        <f>IF(AH$5&gt;'Project Assumptions'!$D$15,IF(AH$5&lt;='Project Returns'!$F$32,MIN((-AH$164)*$D192/MAX($D$193,1),$D192),0),0)</f>
        <v/>
      </c>
      <c r="AI192" s="890">
        <f>IF(AI$5&gt;'Project Assumptions'!$D$15,IF(AI$5&lt;='Project Returns'!$F$32,MIN((-AI$164)*$D192/MAX($D$193,1),$D192),0),0)</f>
        <v/>
      </c>
      <c r="AJ192" s="890">
        <f>IF(AJ$5&gt;'Project Assumptions'!$D$15,IF(AJ$5&lt;='Project Returns'!$F$32,MIN((-AJ$164)*$D192/MAX($D$193,1),$D192),0),0)</f>
        <v/>
      </c>
      <c r="AK192" s="890">
        <f>IF(AK$5&gt;'Project Assumptions'!$D$15,IF(AK$5&lt;='Project Returns'!$F$32,MIN((-AK$164)*$D192/MAX($D$193,1),$D192),0),0)</f>
        <v/>
      </c>
      <c r="AL192" s="890">
        <f>IF(AL$5&gt;'Project Assumptions'!$D$15,IF(AL$5&lt;='Project Returns'!$F$32,MIN((-AL$164)*$D192/MAX($D$193,1),$D192),0),0)</f>
        <v/>
      </c>
      <c r="AM192" s="890">
        <f>IF(AM$5&gt;'Project Assumptions'!$D$15,IF(AM$5&lt;='Project Returns'!$F$32,MIN((-AM$164)*$D192/MAX($D$193,1),$D192),0),0)</f>
        <v/>
      </c>
      <c r="AN192" s="890">
        <f>IF(AN$5&gt;'Project Assumptions'!$D$15,IF(AN$5&lt;='Project Returns'!$F$32,MIN((-AN$164)*$D192/MAX($D$193,1),$D192),0),0)</f>
        <v/>
      </c>
      <c r="AO192" s="890">
        <f>IF(AO$5&gt;'Project Assumptions'!$D$15,IF(AO$5&lt;='Project Returns'!$F$32,MIN((-AO$164)*$D192/MAX($D$193,1),$D192),0),0)</f>
        <v/>
      </c>
      <c r="AP192" s="890">
        <f>IF(AP$5&gt;'Project Assumptions'!$D$15,IF(AP$5&lt;='Project Returns'!$F$32,MIN((-AP$164)*$D192/MAX($D$193,1),$D192),0),0)</f>
        <v/>
      </c>
      <c r="AQ192" s="890">
        <f>IF(AQ$5&gt;'Project Assumptions'!$D$15,IF(AQ$5&lt;='Project Returns'!$F$32,MIN((-AQ$164)*$D192/MAX($D$193,1),$D192),0),0)</f>
        <v/>
      </c>
      <c r="AR192" s="890">
        <f>IF(AR$5&gt;'Project Assumptions'!$D$15,IF(AR$5&lt;='Project Returns'!$F$32,MIN((-AR$164)*$D192/MAX($D$193,1),$D192),0),0)</f>
        <v/>
      </c>
      <c r="AS192" s="890">
        <f>IF(AS$5&gt;'Project Assumptions'!$D$15,IF(AS$5&lt;='Project Returns'!$F$32,MIN((-AS$164)*$D192/MAX($D$193,1),$D192),0),0)</f>
        <v/>
      </c>
      <c r="AT192" s="890">
        <f>IF(AT$5&gt;'Project Assumptions'!$D$15,IF(AT$5&lt;='Project Returns'!$F$32,MIN((-AT$164)*$D192/MAX($D$193,1),$D192),0),0)</f>
        <v/>
      </c>
      <c r="AU192" s="890">
        <f>IF(AU$5&gt;'Project Assumptions'!$D$15,IF(AU$5&lt;='Project Returns'!$F$32,MIN((-AU$164)*$D192/MAX($D$193,1),$D192),0),0)</f>
        <v/>
      </c>
      <c r="AV192" s="890">
        <f>IF(AV$5&gt;'Project Assumptions'!$D$15,IF(AV$5&lt;='Project Returns'!$F$32,MIN((-AV$164)*$D192/MAX($D$193,1),$D192),0),0)</f>
        <v/>
      </c>
      <c r="AW192" s="890">
        <f>IF(AW$5&gt;'Project Assumptions'!$D$15,IF(AW$5&lt;='Project Returns'!$F$32,MIN((-AW$164)*$D192/MAX($D$193,1),$D192),0),0)</f>
        <v/>
      </c>
      <c r="AX192" s="890">
        <f>IF(AX$5&gt;'Project Assumptions'!$D$15,IF(AX$5&lt;='Project Returns'!$F$32,MIN((-AX$164)*$D192/MAX($D$193,1),$D192),0),0)</f>
        <v/>
      </c>
      <c r="AY192" s="890">
        <f>IF(AY$5&gt;'Project Assumptions'!$D$15,IF(AY$5&lt;='Project Returns'!$F$32,MIN((-AY$164)*$D192/MAX($D$193,1),$D192),0),0)</f>
        <v/>
      </c>
      <c r="AZ192" s="890">
        <f>IF(AZ$5&gt;'Project Assumptions'!$D$15,IF(AZ$5&lt;='Project Returns'!$F$32,MIN((-AZ$164)*$D192/MAX($D$193,1),$D192),0),0)</f>
        <v/>
      </c>
      <c r="BA192" s="890">
        <f>IF(BA$5&gt;'Project Assumptions'!$D$15,IF(BA$5&lt;='Project Returns'!$F$32,MIN((-BA$164)*$D192/MAX($D$193,1),$D192),0),0)</f>
        <v/>
      </c>
      <c r="BB192" s="890">
        <f>IF(BB$5&gt;'Project Assumptions'!$D$15,IF(BB$5&lt;='Project Returns'!$F$32,MIN((-BB$164)*$D192/MAX($D$193,1),$D192),0),0)</f>
        <v/>
      </c>
      <c r="BC192" s="890">
        <f>IF(BC$5&gt;'Project Assumptions'!$D$15,IF(BC$5&lt;='Project Returns'!$F$32,MIN((-BC$164)*$D192/MAX($D$193,1),$D192),0),0)</f>
        <v/>
      </c>
      <c r="BD192" s="890">
        <f>IF(BD$5&gt;'Project Assumptions'!$D$15,IF(BD$5&lt;='Project Returns'!$F$32,MIN((-BD$164)*$D192/MAX($D$193,1),$D192),0),0)</f>
        <v/>
      </c>
      <c r="BE192" s="890">
        <f>IF(BE$5&gt;'Project Assumptions'!$D$15,IF(BE$5&lt;='Project Returns'!$F$32,MIN((-BE$164)*$D192/MAX($D$193,1),$D192),0),0)</f>
        <v/>
      </c>
      <c r="BF192" s="890">
        <f>IF(BF$5&gt;'Project Assumptions'!$D$15,IF(BF$5&lt;='Project Returns'!$F$32,MIN((-BF$164)*$D192/MAX($D$193,1),$D192),0),0)</f>
        <v/>
      </c>
      <c r="BG192" s="890">
        <f>IF(BG$5&gt;'Project Assumptions'!$D$15,IF(BG$5&lt;='Project Returns'!$F$32,MIN((-BG$164)*$D192/MAX($D$193,1),$D192),0),0)</f>
        <v/>
      </c>
      <c r="BH192" s="890">
        <f>IF(BH$5&gt;'Project Assumptions'!$D$15,IF(BH$5&lt;='Project Returns'!$F$32,MIN((-BH$164)*$D192/MAX($D$193,1),$D192),0),0)</f>
        <v/>
      </c>
      <c r="BI192" s="890">
        <f>IF(BI$5&gt;'Project Assumptions'!$D$15,IF(BI$5&lt;='Project Returns'!$F$32,MIN((-BI$164)*$D192/MAX($D$193,1),$D192),0),0)</f>
        <v/>
      </c>
      <c r="BJ192" s="890">
        <f>IF(BJ$5&gt;'Project Assumptions'!$D$15,IF(BJ$5&lt;='Project Returns'!$F$32,MIN((-BJ$164)*$D192/MAX($D$193,1),$D192),0),0)</f>
        <v/>
      </c>
      <c r="BK192" s="890">
        <f>IF(BK$5&gt;'Project Assumptions'!$D$15,IF(BK$5&lt;='Project Returns'!$F$32,MIN((-BK$164)*$D192/MAX($D$193,1),$D192),0),0)</f>
        <v/>
      </c>
      <c r="BL192" s="890">
        <f>IF(BL$5&gt;'Project Assumptions'!$D$15,IF(BL$5&lt;='Project Returns'!$F$32,MIN((-BL$164)*$D192/MAX($D$193,1),$D192),0),0)</f>
        <v/>
      </c>
      <c r="BM192" s="890">
        <f>IF(BM$5&gt;'Project Assumptions'!$D$15,IF(BM$5&lt;='Project Returns'!$F$32,MIN((-BM$164)*$D192/MAX($D$193,1),$D192),0),0)</f>
        <v/>
      </c>
      <c r="BN192" s="890">
        <f>IF(BN$5&gt;'Project Assumptions'!$D$15,IF(BN$5&lt;='Project Returns'!$F$32,MIN((-BN$164)*$D192/MAX($D$193,1),$D192),0),0)</f>
        <v/>
      </c>
      <c r="BO192" s="890">
        <f>IF(BO$5&gt;'Project Assumptions'!$D$15,IF(BO$5&lt;='Project Returns'!$F$32,MIN((-BO$164)*$D192/MAX($D$193,1),$D192),0),0)</f>
        <v/>
      </c>
      <c r="BP192" s="890">
        <f>IF(BP$5&gt;'Project Assumptions'!$D$15,IF(BP$5&lt;='Project Returns'!$F$32,MIN((-BP$164)*$D192/MAX($D$193,1),$D192),0),0)</f>
        <v/>
      </c>
      <c r="BQ192" s="890">
        <f>IF(BQ$5&gt;'Project Assumptions'!$D$15,IF(BQ$5&lt;='Project Returns'!$F$32,MIN((-BQ$164)*$D192/MAX($D$193,1),$D192),0),0)</f>
        <v/>
      </c>
      <c r="BR192" s="890">
        <f>IF(BR$5&gt;'Project Assumptions'!$D$15,IF(BR$5&lt;='Project Returns'!$F$32,MIN((-BR$164)*$D192/MAX($D$193,1),$D192),0),0)</f>
        <v/>
      </c>
      <c r="BS192" s="890">
        <f>IF(BS$5&gt;'Project Assumptions'!$D$15,IF(BS$5&lt;='Project Returns'!$F$32,MIN((-BS$164)*$D192/MAX($D$193,1),$D192),0),0)</f>
        <v/>
      </c>
      <c r="BT192" s="890">
        <f>IF(BT$5&gt;'Project Assumptions'!$D$15,IF(BT$5&lt;='Project Returns'!$F$32,MIN((-BT$164)*$D192/MAX($D$193,1),$D192),0),0)</f>
        <v/>
      </c>
      <c r="BU192" s="890">
        <f>IF(BU$5&gt;'Project Assumptions'!$D$15,IF(BU$5&lt;='Project Returns'!$F$32,MIN((-BU$164)*$D192/MAX($D$193,1),$D192),0),0)</f>
        <v/>
      </c>
      <c r="BV192" s="890">
        <f>IF(BV$5&gt;'Project Assumptions'!$D$15,IF(BV$5&lt;='Project Returns'!$F$32,MIN((-BV$164)*$D192/MAX($D$193,1),$D192),0),0)</f>
        <v/>
      </c>
      <c r="BW192" s="890">
        <f>IF(BW$5&gt;'Project Assumptions'!$D$15,IF(BW$5&lt;='Project Returns'!$F$32,MIN((-BW$164)*$D192/MAX($D$193,1),$D192),0),0)</f>
        <v/>
      </c>
      <c r="BX192" s="890">
        <f>IF(BX$5&gt;'Project Assumptions'!$D$15,IF(BX$5&lt;='Project Returns'!$F$32,MIN((-BX$164)*$D192/MAX($D$193,1),$D192),0),0)</f>
        <v/>
      </c>
      <c r="BY192" s="890">
        <f>IF(BY$5&gt;'Project Assumptions'!$D$15,IF(BY$5&lt;='Project Returns'!$F$32,MIN((-BY$164)*$D192/MAX($D$193,1),$D192),0),0)</f>
        <v/>
      </c>
      <c r="BZ192" s="890">
        <f>IF(BZ$5&gt;'Project Assumptions'!$D$15,IF(BZ$5&lt;='Project Returns'!$F$32,MIN((-BZ$164)*$D192/MAX($D$193,1),$D192),0),0)</f>
        <v/>
      </c>
      <c r="CA192" s="890">
        <f>IF(CA$5&gt;'Project Assumptions'!$D$15,IF(CA$5&lt;='Project Returns'!$F$32,MIN((-CA$164)*$D192/MAX($D$193,1),$D192),0),0)</f>
        <v/>
      </c>
      <c r="CB192" s="890">
        <f>IF(CB$5&gt;'Project Assumptions'!$D$15,IF(CB$5&lt;='Project Returns'!$F$32,MIN((-CB$164)*$D192/MAX($D$193,1),$D192),0),0)</f>
        <v/>
      </c>
      <c r="CC192" s="890">
        <f>IF(CC$5&gt;'Project Assumptions'!$D$15,IF(CC$5&lt;='Project Returns'!$F$32,MIN((-CC$164)*$D192/MAX($D$193,1),$D192),0),0)</f>
        <v/>
      </c>
      <c r="CD192" s="890">
        <f>IF(CD$5&gt;'Project Assumptions'!$D$15,IF(CD$5&lt;='Project Returns'!$F$32,MIN((-CD$164)*$D192/MAX($D$193,1),$D192),0),0)</f>
        <v/>
      </c>
      <c r="CE192" s="890">
        <f>IF(CE$5&gt;'Project Assumptions'!$D$15,IF(CE$5&lt;='Project Returns'!$F$32,MIN((-CE$164)*$D192/MAX($D$193,1),$D192),0),0)</f>
        <v/>
      </c>
      <c r="CF192" s="890">
        <f>IF(CF$5&gt;'Project Assumptions'!$D$15,IF(CF$5&lt;='Project Returns'!$F$32,MIN((-CF$164)*$D192/MAX($D$193,1),$D192),0),0)</f>
        <v/>
      </c>
      <c r="CG192" s="890">
        <f>IF(CG$5&gt;'Project Assumptions'!$D$15,IF(CG$5&lt;='Project Returns'!$F$32,MIN((-CG$164)*$D192/MAX($D$193,1),$D192),0),0)</f>
        <v/>
      </c>
      <c r="CH192" s="890">
        <f>IF(CH$5&gt;'Project Assumptions'!$D$15,IF(CH$5&lt;='Project Returns'!$F$32,MIN((-CH$164)*$D192/MAX($D$193,1),$D192),0),0)</f>
        <v/>
      </c>
      <c r="CI192" s="890">
        <f>IF(CI$5&gt;'Project Assumptions'!$D$15,IF(CI$5&lt;='Project Returns'!$F$32,MIN((-CI$164)*$D192/MAX($D$193,1),$D192),0),0)</f>
        <v/>
      </c>
      <c r="CJ192" s="890">
        <f>IF(CJ$5&gt;'Project Assumptions'!$D$15,IF(CJ$5&lt;='Project Returns'!$F$32,MIN((-CJ$164)*$D192/MAX($D$193,1),$D192),0),0)</f>
        <v/>
      </c>
      <c r="CK192" s="890">
        <f>IF(CK$5&gt;'Project Assumptions'!$D$15,IF(CK$5&lt;='Project Returns'!$F$32,MIN((-CK$164)*$D192/MAX($D$193,1),$D192),0),0)</f>
        <v/>
      </c>
      <c r="CL192" s="890">
        <f>IF(CL$5&gt;'Project Assumptions'!$D$15,IF(CL$5&lt;='Project Returns'!$F$32,MIN((-CL$164)*$D192/MAX($D$193,1),$D192),0),0)</f>
        <v/>
      </c>
      <c r="CM192" s="890">
        <f>IF(CM$5&gt;'Project Assumptions'!$D$15,IF(CM$5&lt;='Project Returns'!$F$32,MIN((-CM$164)*$D192/MAX($D$193,1),$D192),0),0)</f>
        <v/>
      </c>
      <c r="CN192" s="890">
        <f>IF(CN$5&gt;'Project Assumptions'!$D$15,IF(CN$5&lt;='Project Returns'!$F$32,MIN((-CN$164)*$D192/MAX($D$193,1),$D192),0),0)</f>
        <v/>
      </c>
      <c r="CO192" s="890">
        <f>IF(CO$5&gt;'Project Assumptions'!$D$15,IF(CO$5&lt;='Project Returns'!$F$32,MIN((-CO$164)*$D192/MAX($D$193,1),$D192),0),0)</f>
        <v/>
      </c>
      <c r="CP192" s="890">
        <f>IF(CP$5&gt;'Project Assumptions'!$D$15,IF(CP$5&lt;='Project Returns'!$F$32,MIN((-CP$164)*$D192/MAX($D$193,1),$D192),0),0)</f>
        <v/>
      </c>
      <c r="CQ192" s="890">
        <f>IF(CQ$5&gt;'Project Assumptions'!$D$15,IF(CQ$5&lt;='Project Returns'!$F$32,MIN((-CQ$164)*$D192/MAX($D$193,1),$D192),0),0)</f>
        <v/>
      </c>
      <c r="CR192" s="890">
        <f>IF(CR$5&gt;'Project Assumptions'!$D$15,IF(CR$5&lt;='Project Returns'!$F$32,MIN((-CR$164)*$D192/MAX($D$193,1),$D192),0),0)</f>
        <v/>
      </c>
      <c r="CS192" s="890">
        <f>IF(CS$5&gt;'Project Assumptions'!$D$15,IF(CS$5&lt;='Project Returns'!$F$32,MIN((-CS$164)*$D192/MAX($D$193,1),$D192),0),0)</f>
        <v/>
      </c>
      <c r="CT192" s="890">
        <f>IF(CT$5&gt;'Project Assumptions'!$D$15,IF(CT$5&lt;='Project Returns'!$F$32,MIN((-CT$164)*$D192/MAX($D$193,1),$D192),0),0)</f>
        <v/>
      </c>
      <c r="CU192" s="890">
        <f>IF(CU$5&gt;'Project Assumptions'!$D$15,IF(CU$5&lt;='Project Returns'!$F$32,MIN((-CU$164)*$D192/MAX($D$193,1),$D192),0),0)</f>
        <v/>
      </c>
      <c r="CV192" s="890">
        <f>IF(CV$5&gt;'Project Assumptions'!$D$15,IF(CV$5&lt;='Project Returns'!$F$32,MIN((-CV$164)*$D192/MAX($D$193,1),$D192),0),0)</f>
        <v/>
      </c>
      <c r="CW192" s="890">
        <f>IF(CW$5&gt;'Project Assumptions'!$D$15,IF(CW$5&lt;='Project Returns'!$F$32,MIN((-CW$164)*$D192/MAX($D$193,1),$D192),0),0)</f>
        <v/>
      </c>
      <c r="CX192" s="890">
        <f>IF(CX$5&gt;'Project Assumptions'!$D$15,IF(CX$5&lt;='Project Returns'!$F$32,MIN((-CX$164)*$D192/MAX($D$193,1),$D192),0),0)</f>
        <v/>
      </c>
      <c r="CY192" s="890">
        <f>IF(CY$5&gt;'Project Assumptions'!$D$15,IF(CY$5&lt;='Project Returns'!$F$32,MIN((-CY$164)*$D192/MAX($D$193,1),$D192),0),0)</f>
        <v/>
      </c>
      <c r="CZ192" s="890">
        <f>IF(CZ$5&gt;'Project Assumptions'!$D$15,IF(CZ$5&lt;='Project Returns'!$F$32,MIN((-CZ$164)*$D192/MAX($D$193,1),$D192),0),0)</f>
        <v/>
      </c>
      <c r="DA192" s="890">
        <f>IF(DA$5&gt;'Project Assumptions'!$D$15,IF(DA$5&lt;='Project Returns'!$F$32,MIN((-DA$164)*$D192/MAX($D$193,1),$D192),0),0)</f>
        <v/>
      </c>
      <c r="DB192" s="890">
        <f>IF(DB$5&gt;'Project Assumptions'!$D$15,IF(DB$5&lt;='Project Returns'!$F$32,MIN((-DB$164)*$D192/MAX($D$193,1),$D192),0),0)</f>
        <v/>
      </c>
      <c r="DC192" s="890" t="n"/>
      <c r="DD192" s="297">
        <f>MAX(F192:DB192)</f>
        <v/>
      </c>
    </row>
    <row r="193" hidden="1" outlineLevel="1">
      <c r="A193" s="15" t="inlineStr">
        <is>
          <t xml:space="preserve">   Total</t>
        </is>
      </c>
      <c r="B193" s="15" t="n"/>
      <c r="C193" s="15" t="n"/>
      <c r="D193" s="338">
        <f>SUM(D191:D192)</f>
        <v/>
      </c>
      <c r="E193" s="290" t="n"/>
      <c r="F193" s="291">
        <f>SUM(F191:F192)</f>
        <v/>
      </c>
      <c r="G193" s="291">
        <f>SUM(G191:G192)</f>
        <v/>
      </c>
      <c r="H193" s="291">
        <f>SUM(H191:H192)</f>
        <v/>
      </c>
      <c r="I193" s="291">
        <f>SUM(I191:I192)</f>
        <v/>
      </c>
      <c r="J193" s="291">
        <f>SUM(J191:J192)</f>
        <v/>
      </c>
      <c r="K193" s="291">
        <f>SUM(K191:K192)</f>
        <v/>
      </c>
      <c r="L193" s="291">
        <f>SUM(L191:L192)</f>
        <v/>
      </c>
      <c r="M193" s="291">
        <f>SUM(M191:M192)</f>
        <v/>
      </c>
      <c r="N193" s="291">
        <f>SUM(N191:N192)</f>
        <v/>
      </c>
      <c r="O193" s="291">
        <f>SUM(O191:O192)</f>
        <v/>
      </c>
      <c r="P193" s="291">
        <f>SUM(P191:P192)</f>
        <v/>
      </c>
      <c r="Q193" s="291">
        <f>SUM(Q191:Q192)</f>
        <v/>
      </c>
      <c r="R193" s="291">
        <f>SUM(R191:R192)</f>
        <v/>
      </c>
      <c r="S193" s="291">
        <f>SUM(S191:S192)</f>
        <v/>
      </c>
      <c r="T193" s="291">
        <f>SUM(T191:T192)</f>
        <v/>
      </c>
      <c r="U193" s="291">
        <f>SUM(U191:U192)</f>
        <v/>
      </c>
      <c r="V193" s="291">
        <f>SUM(V191:V192)</f>
        <v/>
      </c>
      <c r="W193" s="291">
        <f>SUM(W191:W192)</f>
        <v/>
      </c>
      <c r="X193" s="291">
        <f>SUM(X191:X192)</f>
        <v/>
      </c>
      <c r="Y193" s="291">
        <f>SUM(Y191:Y192)</f>
        <v/>
      </c>
      <c r="Z193" s="291">
        <f>SUM(Z191:Z192)</f>
        <v/>
      </c>
      <c r="AA193" s="291">
        <f>SUM(AA191:AA192)</f>
        <v/>
      </c>
      <c r="AB193" s="291">
        <f>SUM(AB191:AB192)</f>
        <v/>
      </c>
      <c r="AC193" s="291">
        <f>SUM(AC191:AC192)</f>
        <v/>
      </c>
      <c r="AD193" s="291">
        <f>SUM(AD191:AD192)</f>
        <v/>
      </c>
      <c r="AE193" s="291">
        <f>SUM(AE191:AE192)</f>
        <v/>
      </c>
      <c r="AF193" s="291">
        <f>SUM(AF191:AF192)</f>
        <v/>
      </c>
      <c r="AG193" s="291">
        <f>SUM(AG191:AG192)</f>
        <v/>
      </c>
      <c r="AH193" s="291">
        <f>SUM(AH191:AH192)</f>
        <v/>
      </c>
      <c r="AI193" s="291">
        <f>SUM(AI191:AI192)</f>
        <v/>
      </c>
      <c r="AJ193" s="291">
        <f>SUM(AJ191:AJ192)</f>
        <v/>
      </c>
      <c r="AK193" s="291">
        <f>SUM(AK191:AK192)</f>
        <v/>
      </c>
      <c r="AL193" s="291">
        <f>SUM(AL191:AL192)</f>
        <v/>
      </c>
      <c r="AM193" s="291">
        <f>SUM(AM191:AM192)</f>
        <v/>
      </c>
      <c r="AN193" s="291">
        <f>SUM(AN191:AN192)</f>
        <v/>
      </c>
      <c r="AO193" s="291">
        <f>SUM(AO191:AO192)</f>
        <v/>
      </c>
      <c r="AP193" s="291">
        <f>SUM(AP191:AP192)</f>
        <v/>
      </c>
      <c r="AQ193" s="291">
        <f>SUM(AQ191:AQ192)</f>
        <v/>
      </c>
      <c r="AR193" s="291">
        <f>SUM(AR191:AR192)</f>
        <v/>
      </c>
      <c r="AS193" s="291">
        <f>SUM(AS191:AS192)</f>
        <v/>
      </c>
      <c r="AT193" s="291">
        <f>SUM(AT191:AT192)</f>
        <v/>
      </c>
      <c r="AU193" s="291">
        <f>SUM(AU191:AU192)</f>
        <v/>
      </c>
      <c r="AV193" s="291">
        <f>SUM(AV191:AV192)</f>
        <v/>
      </c>
      <c r="AW193" s="291">
        <f>SUM(AW191:AW192)</f>
        <v/>
      </c>
      <c r="AX193" s="291">
        <f>SUM(AX191:AX192)</f>
        <v/>
      </c>
      <c r="AY193" s="291">
        <f>SUM(AY191:AY192)</f>
        <v/>
      </c>
      <c r="AZ193" s="291">
        <f>SUM(AZ191:AZ192)</f>
        <v/>
      </c>
      <c r="BA193" s="291">
        <f>SUM(BA191:BA192)</f>
        <v/>
      </c>
      <c r="BB193" s="291">
        <f>SUM(BB191:BB192)</f>
        <v/>
      </c>
      <c r="BC193" s="291">
        <f>SUM(BC191:BC192)</f>
        <v/>
      </c>
      <c r="BD193" s="291">
        <f>SUM(BD191:BD192)</f>
        <v/>
      </c>
      <c r="BE193" s="291">
        <f>SUM(BE191:BE192)</f>
        <v/>
      </c>
      <c r="BF193" s="291">
        <f>SUM(BF191:BF192)</f>
        <v/>
      </c>
      <c r="BG193" s="291">
        <f>SUM(BG191:BG192)</f>
        <v/>
      </c>
      <c r="BH193" s="291">
        <f>SUM(BH191:BH192)</f>
        <v/>
      </c>
      <c r="BI193" s="291">
        <f>SUM(BI191:BI192)</f>
        <v/>
      </c>
      <c r="BJ193" s="291">
        <f>SUM(BJ191:BJ192)</f>
        <v/>
      </c>
      <c r="BK193" s="291">
        <f>SUM(BK191:BK192)</f>
        <v/>
      </c>
      <c r="BL193" s="291">
        <f>SUM(BL191:BL192)</f>
        <v/>
      </c>
      <c r="BM193" s="291">
        <f>SUM(BM191:BM192)</f>
        <v/>
      </c>
      <c r="BN193" s="291">
        <f>SUM(BN191:BN192)</f>
        <v/>
      </c>
      <c r="BO193" s="291">
        <f>SUM(BO191:BO192)</f>
        <v/>
      </c>
      <c r="BP193" s="291">
        <f>SUM(BP191:BP192)</f>
        <v/>
      </c>
      <c r="BQ193" s="291">
        <f>SUM(BQ191:BQ192)</f>
        <v/>
      </c>
      <c r="BR193" s="291">
        <f>SUM(BR191:BR192)</f>
        <v/>
      </c>
      <c r="BS193" s="291">
        <f>SUM(BS191:BS192)</f>
        <v/>
      </c>
      <c r="BT193" s="291">
        <f>SUM(BT191:BT192)</f>
        <v/>
      </c>
      <c r="BU193" s="291">
        <f>SUM(BU191:BU192)</f>
        <v/>
      </c>
      <c r="BV193" s="291">
        <f>SUM(BV191:BV192)</f>
        <v/>
      </c>
      <c r="BW193" s="291">
        <f>SUM(BW191:BW192)</f>
        <v/>
      </c>
      <c r="BX193" s="291">
        <f>SUM(BX191:BX192)</f>
        <v/>
      </c>
      <c r="BY193" s="291">
        <f>SUM(BY191:BY192)</f>
        <v/>
      </c>
      <c r="BZ193" s="291">
        <f>SUM(BZ191:BZ192)</f>
        <v/>
      </c>
      <c r="CA193" s="291">
        <f>SUM(CA191:CA192)</f>
        <v/>
      </c>
      <c r="CB193" s="291">
        <f>SUM(CB191:CB192)</f>
        <v/>
      </c>
      <c r="CC193" s="291">
        <f>SUM(CC191:CC192)</f>
        <v/>
      </c>
      <c r="CD193" s="291">
        <f>SUM(CD191:CD192)</f>
        <v/>
      </c>
      <c r="CE193" s="291">
        <f>SUM(CE191:CE192)</f>
        <v/>
      </c>
      <c r="CF193" s="291">
        <f>SUM(CF191:CF192)</f>
        <v/>
      </c>
      <c r="CG193" s="291">
        <f>SUM(CG191:CG192)</f>
        <v/>
      </c>
      <c r="CH193" s="291">
        <f>SUM(CH191:CH192)</f>
        <v/>
      </c>
      <c r="CI193" s="291">
        <f>SUM(CI191:CI192)</f>
        <v/>
      </c>
      <c r="CJ193" s="291">
        <f>SUM(CJ191:CJ192)</f>
        <v/>
      </c>
      <c r="CK193" s="291">
        <f>SUM(CK191:CK192)</f>
        <v/>
      </c>
      <c r="CL193" s="291">
        <f>SUM(CL191:CL192)</f>
        <v/>
      </c>
      <c r="CM193" s="291">
        <f>SUM(CM191:CM192)</f>
        <v/>
      </c>
      <c r="CN193" s="291">
        <f>SUM(CN191:CN192)</f>
        <v/>
      </c>
      <c r="CO193" s="291">
        <f>SUM(CO191:CO192)</f>
        <v/>
      </c>
      <c r="CP193" s="291">
        <f>SUM(CP191:CP192)</f>
        <v/>
      </c>
      <c r="CQ193" s="291">
        <f>SUM(CQ191:CQ192)</f>
        <v/>
      </c>
      <c r="CR193" s="291">
        <f>SUM(CR191:CR192)</f>
        <v/>
      </c>
      <c r="CS193" s="291">
        <f>SUM(CS191:CS192)</f>
        <v/>
      </c>
      <c r="CT193" s="291">
        <f>SUM(CT191:CT192)</f>
        <v/>
      </c>
      <c r="CU193" s="291">
        <f>SUM(CU191:CU192)</f>
        <v/>
      </c>
      <c r="CV193" s="291">
        <f>SUM(CV191:CV192)</f>
        <v/>
      </c>
      <c r="CW193" s="291">
        <f>SUM(CW191:CW192)</f>
        <v/>
      </c>
      <c r="CX193" s="291">
        <f>SUM(CX191:CX192)</f>
        <v/>
      </c>
      <c r="CY193" s="291">
        <f>SUM(CY191:CY192)</f>
        <v/>
      </c>
      <c r="CZ193" s="291">
        <f>SUM(CZ191:CZ192)</f>
        <v/>
      </c>
      <c r="DA193" s="291">
        <f>SUM(DA191:DA192)</f>
        <v/>
      </c>
      <c r="DB193" s="291">
        <f>SUM(DB191:DB192)</f>
        <v/>
      </c>
      <c r="DC193" s="291" t="n"/>
      <c r="DD193" s="289">
        <f>MAX(F193:DB193)</f>
        <v/>
      </c>
    </row>
    <row r="194" hidden="1" outlineLevel="1">
      <c r="A194" s="15" t="inlineStr">
        <is>
          <t>Funding Priority - 2</t>
        </is>
      </c>
      <c r="B194" s="15" t="n"/>
      <c r="C194" s="15" t="n"/>
      <c r="D194" s="13" t="n"/>
      <c r="E194" s="271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  <c r="AS194" s="13" t="n"/>
      <c r="AT194" s="13" t="n"/>
      <c r="AU194" s="13" t="n"/>
      <c r="AV194" s="13" t="n"/>
      <c r="AW194" s="13" t="n"/>
      <c r="AX194" s="13" t="n"/>
      <c r="AY194" s="13" t="n"/>
      <c r="AZ194" s="13" t="n"/>
      <c r="BA194" s="13" t="n"/>
      <c r="BB194" s="13" t="n"/>
      <c r="BC194" s="13" t="n"/>
      <c r="BD194" s="13" t="n"/>
      <c r="BE194" s="13" t="n"/>
      <c r="BF194" s="13" t="n"/>
      <c r="BG194" s="13" t="n"/>
      <c r="BH194" s="13" t="n"/>
      <c r="BI194" s="13" t="n"/>
      <c r="BJ194" s="13" t="n"/>
      <c r="BK194" s="13" t="n"/>
      <c r="BL194" s="13" t="n"/>
      <c r="BM194" s="13" t="n"/>
      <c r="BN194" s="13" t="n"/>
      <c r="BO194" s="13" t="n"/>
      <c r="BP194" s="13" t="n"/>
      <c r="BQ194" s="13" t="n"/>
      <c r="BR194" s="13" t="n"/>
      <c r="BS194" s="13" t="n"/>
      <c r="BT194" s="13" t="n"/>
      <c r="BU194" s="13" t="n"/>
      <c r="BV194" s="13" t="n"/>
      <c r="BW194" s="13" t="n"/>
      <c r="BX194" s="13" t="n"/>
      <c r="BY194" s="13" t="n"/>
      <c r="BZ194" s="13" t="n"/>
      <c r="CA194" s="13" t="n"/>
      <c r="CB194" s="13" t="n"/>
      <c r="CC194" s="13" t="n"/>
      <c r="CD194" s="13" t="n"/>
      <c r="CE194" s="13" t="n"/>
      <c r="CF194" s="13" t="n"/>
      <c r="CG194" s="13" t="n"/>
      <c r="CH194" s="13" t="n"/>
      <c r="CI194" s="13" t="n"/>
      <c r="CJ194" s="13" t="n"/>
      <c r="CK194" s="13" t="n"/>
      <c r="CL194" s="13" t="n"/>
      <c r="CM194" s="13" t="n"/>
      <c r="CN194" s="13" t="n"/>
      <c r="CO194" s="13" t="n"/>
      <c r="CP194" s="13" t="n"/>
      <c r="CQ194" s="13" t="n"/>
      <c r="CR194" s="13" t="n"/>
      <c r="CS194" s="13" t="n"/>
      <c r="CT194" s="13" t="n"/>
      <c r="CU194" s="13" t="n"/>
      <c r="CV194" s="13" t="n"/>
      <c r="CW194" s="13" t="n"/>
      <c r="CX194" s="13" t="n"/>
      <c r="CY194" s="13" t="n"/>
      <c r="CZ194" s="13" t="n"/>
      <c r="DA194" s="13" t="n"/>
      <c r="DB194" s="13" t="n"/>
      <c r="DC194" s="13" t="n"/>
      <c r="DD194" s="13" t="n"/>
    </row>
    <row r="195" hidden="1" outlineLevel="1">
      <c r="A195" s="15" t="inlineStr">
        <is>
          <t xml:space="preserve">   Bank Debt</t>
        </is>
      </c>
      <c r="B195" s="15" t="n"/>
      <c r="C195" s="336">
        <f>IF('Project Assumptions'!E26=2,'Project Assumptions'!C26,"")</f>
        <v/>
      </c>
      <c r="D195" s="700">
        <f>IF('Project Assumptions'!E26=2,'Project Assumptions'!C26*('Detailed Project Costs'!$F$74),0)</f>
        <v/>
      </c>
      <c r="E195" s="641" t="n"/>
      <c r="F195" s="293">
        <f>IF(F$5&gt;'Project Assumptions'!$D$15,IF(F$5&lt;='Project Returns'!$F$32,MAX(MIN((-F$164-F$193)*$D195/MAX($D$197,1),$D344),0),0),0)+IF('Project Assumptions'!D15=0,MAX(MIN((-F$164-F$193)*$D195/MAX($D$197,1),$D195),0),0)</f>
        <v/>
      </c>
      <c r="G195" s="293">
        <f>IF(G$5&gt;'Project Assumptions'!$D$15,IF(G$5&lt;='Project Returns'!$F$32,MAX(MIN((-G$164-G$193)*$D195/MAX($D$197,1),$D344),0),0),0)</f>
        <v/>
      </c>
      <c r="H195" s="293">
        <f>IF(H$5&gt;'Project Assumptions'!$D$15,IF(H$5&lt;='Project Returns'!$F$32,MAX(MIN((-H$164-H$193)*$D195/MAX($D$197,1),$D344),0),0),0)</f>
        <v/>
      </c>
      <c r="I195" s="293">
        <f>IF(I$5&gt;'Project Assumptions'!$D$15,IF(I$5&lt;='Project Returns'!$F$32,MAX(MIN((-I$164-I$193)*$D195/MAX($D$197,1),$D344),0),0),0)</f>
        <v/>
      </c>
      <c r="J195" s="293">
        <f>IF(J$5&gt;'Project Assumptions'!$D$15,IF(J$5&lt;='Project Returns'!$F$32,MAX(MIN((-J$164-J$193)*$D195/MAX($D$197,1),$D344),0),0),0)</f>
        <v/>
      </c>
      <c r="K195" s="293">
        <f>IF(K$5&gt;'Project Assumptions'!$D$15,IF(K$5&lt;='Project Returns'!$F$32,MAX(MIN((-K$164-K$193)*$D195/MAX($D$197,1),$D344),0),0),0)</f>
        <v/>
      </c>
      <c r="L195" s="293">
        <f>IF(L$5&gt;'Project Assumptions'!$D$15,IF(L$5&lt;='Project Returns'!$F$32,MAX(MIN((-L$164-L$193)*$D195/MAX($D$197,1),$D344),0),0),0)</f>
        <v/>
      </c>
      <c r="M195" s="293">
        <f>IF(M$5&gt;'Project Assumptions'!$D$15,IF(M$5&lt;='Project Returns'!$F$32,MAX(MIN((-M$164-M$193)*$D195/MAX($D$197,1),$D344),0),0),0)</f>
        <v/>
      </c>
      <c r="N195" s="293">
        <f>IF(N$5&gt;'Project Assumptions'!$D$15,IF(N$5&lt;='Project Returns'!$F$32,MAX(MIN((-N$164-N$193)*$D195/MAX($D$197,1),$D344),0),0),0)</f>
        <v/>
      </c>
      <c r="O195" s="293">
        <f>IF(O$5&gt;'Project Assumptions'!$D$15,IF(O$5&lt;='Project Returns'!$F$32,MAX(MIN((-O$164-O$193)*$D195/MAX($D$197,1),$D344),0),0),0)</f>
        <v/>
      </c>
      <c r="P195" s="293">
        <f>IF(P$5&gt;'Project Assumptions'!$D$15,IF(P$5&lt;='Project Returns'!$F$32,MAX(MIN((-P$164-P$193)*$D195/MAX($D$197,1),$D344),0),0),0)</f>
        <v/>
      </c>
      <c r="Q195" s="293">
        <f>IF(Q$5&gt;'Project Assumptions'!$D$15,IF(Q$5&lt;='Project Returns'!$F$32,MAX(MIN((-Q$164-Q$193)*$D195/MAX($D$197,1),$D344),0),0),0)</f>
        <v/>
      </c>
      <c r="R195" s="293">
        <f>IF(R$5&gt;'Project Assumptions'!$D$15,IF(R$5&lt;='Project Returns'!$F$32,MAX(MIN((-R$164-R$193)*$D195/MAX($D$197,1),$D344),0),0),0)</f>
        <v/>
      </c>
      <c r="S195" s="293">
        <f>IF(S$5&gt;'Project Assumptions'!$D$15,IF(S$5&lt;='Project Returns'!$F$32,MAX(MIN((-S$164-S$193)*$D195/MAX($D$197,1),$D344),0),0),0)</f>
        <v/>
      </c>
      <c r="T195" s="293">
        <f>IF(T$5&gt;'Project Assumptions'!$D$15,IF(T$5&lt;='Project Returns'!$F$32,MAX(MIN((-T$164-T$193)*$D195/MAX($D$197,1),$D344),0),0),0)</f>
        <v/>
      </c>
      <c r="U195" s="293">
        <f>IF(U$5&gt;'Project Assumptions'!$D$15,IF(U$5&lt;='Project Returns'!$F$32,MAX(MIN((-U$164-U$193)*$D195/MAX($D$197,1),$D344),0),0),0)</f>
        <v/>
      </c>
      <c r="V195" s="293">
        <f>IF(V$5&gt;'Project Assumptions'!$D$15,IF(V$5&lt;='Project Returns'!$F$32,MAX(MIN((-V$164-V$193)*$D195/MAX($D$197,1),$D344),0),0),0)</f>
        <v/>
      </c>
      <c r="W195" s="293">
        <f>IF(W$5&gt;'Project Assumptions'!$D$15,IF(W$5&lt;='Project Returns'!$F$32,MAX(MIN((-W$164-W$193)*$D195/MAX($D$197,1),$D344),0),0),0)</f>
        <v/>
      </c>
      <c r="X195" s="293">
        <f>IF(X$5&gt;'Project Assumptions'!$D$15,IF(X$5&lt;='Project Returns'!$F$32,MAX(MIN((-X$164-X$193)*$D195/MAX($D$197,1),$D344),0),0),0)</f>
        <v/>
      </c>
      <c r="Y195" s="293">
        <f>IF(Y$5&gt;'Project Assumptions'!$D$15,IF(Y$5&lt;='Project Returns'!$F$32,MAX(MIN((-Y$164-Y$193)*$D195/MAX($D$197,1),$D344),0),0),0)</f>
        <v/>
      </c>
      <c r="Z195" s="293">
        <f>IF(Z$5&gt;'Project Assumptions'!$D$15,IF(Z$5&lt;='Project Returns'!$F$32,MAX(MIN((-Z$164-Z$193)*$D195/MAX($D$197,1),$D344),0),0),0)</f>
        <v/>
      </c>
      <c r="AA195" s="293">
        <f>IF(AA$5&gt;'Project Assumptions'!$D$15,IF(AA$5&lt;='Project Returns'!$F$32,MAX(MIN((-AA$164-AA$193)*$D195/MAX($D$197,1),$D344),0),0),0)</f>
        <v/>
      </c>
      <c r="AB195" s="293">
        <f>IF(AB$5&gt;'Project Assumptions'!$D$15,IF(AB$5&lt;='Project Returns'!$F$32,MAX(MIN((-AB$164-AB$193)*$D195/MAX($D$197,1),$D344),0),0),0)</f>
        <v/>
      </c>
      <c r="AC195" s="293">
        <f>IF(AC$5&gt;'Project Assumptions'!$D$15,IF(AC$5&lt;='Project Returns'!$F$32,MAX(MIN((-AC$164-AC$193)*$D195/MAX($D$197,1),$D344),0),0),0)</f>
        <v/>
      </c>
      <c r="AD195" s="293">
        <f>IF(AD$5&gt;'Project Assumptions'!$D$15,IF(AD$5&lt;='Project Returns'!$F$32,MAX(MIN((-AD$164-AD$193)*$D195/MAX($D$197,1),$D344),0),0),0)</f>
        <v/>
      </c>
      <c r="AE195" s="293">
        <f>IF(AE$5&gt;'Project Assumptions'!$D$15,IF(AE$5&lt;='Project Returns'!$F$32,MAX(MIN((-AE$164-AE$193)*$D195/MAX($D$197,1),$D344),0),0),0)</f>
        <v/>
      </c>
      <c r="AF195" s="293">
        <f>IF(AF$5&gt;'Project Assumptions'!$D$15,IF(AF$5&lt;='Project Returns'!$F$32,MAX(MIN((-AF$164-AF$193)*$D195/MAX($D$197,1),$D344),0),0),0)</f>
        <v/>
      </c>
      <c r="AG195" s="293">
        <f>IF(AG$5&gt;'Project Assumptions'!$D$15,IF(AG$5&lt;='Project Returns'!$F$32,MAX(MIN((-AG$164-AG$193)*$D195/MAX($D$197,1),$D344),0),0),0)</f>
        <v/>
      </c>
      <c r="AH195" s="293">
        <f>IF(AH$5&gt;'Project Assumptions'!$D$15,IF(AH$5&lt;='Project Returns'!$F$32,MAX(MIN((-AH$164-AH$193)*$D195/MAX($D$197,1),$D344),0),0),0)</f>
        <v/>
      </c>
      <c r="AI195" s="293">
        <f>IF(AI$5&gt;'Project Assumptions'!$D$15,IF(AI$5&lt;='Project Returns'!$F$32,MAX(MIN((-AI$164-AI$193)*$D195/MAX($D$197,1),$D344),0),0),0)</f>
        <v/>
      </c>
      <c r="AJ195" s="293">
        <f>IF(AJ$5&gt;'Project Assumptions'!$D$15,IF(AJ$5&lt;='Project Returns'!$F$32,MAX(MIN((-AJ$164-AJ$193)*$D195/MAX($D$197,1),$D344),0),0),0)</f>
        <v/>
      </c>
      <c r="AK195" s="293">
        <f>IF(AK$5&gt;'Project Assumptions'!$D$15,IF(AK$5&lt;='Project Returns'!$F$32,MAX(MIN((-AK$164-AK$193)*$D195/MAX($D$197,1),$D344),0),0),0)</f>
        <v/>
      </c>
      <c r="AL195" s="293">
        <f>IF(AL$5&gt;'Project Assumptions'!$D$15,IF(AL$5&lt;='Project Returns'!$F$32,MAX(MIN((-AL$164-AL$193)*$D195/MAX($D$197,1),$D344),0),0),0)</f>
        <v/>
      </c>
      <c r="AM195" s="293">
        <f>IF(AM$5&gt;'Project Assumptions'!$D$15,IF(AM$5&lt;='Project Returns'!$F$32,MAX(MIN((-AM$164-AM$193)*$D195/MAX($D$197,1),$D344),0),0),0)</f>
        <v/>
      </c>
      <c r="AN195" s="293">
        <f>IF(AN$5&gt;'Project Assumptions'!$D$15,IF(AN$5&lt;='Project Returns'!$F$32,MAX(MIN((-AN$164-AN$193)*$D195/MAX($D$197,1),$D344),0),0),0)</f>
        <v/>
      </c>
      <c r="AO195" s="293">
        <f>IF(AO$5&gt;'Project Assumptions'!$D$15,IF(AO$5&lt;='Project Returns'!$F$32,MAX(MIN((-AO$164-AO$193)*$D195/MAX($D$197,1),$D344),0),0),0)</f>
        <v/>
      </c>
      <c r="AP195" s="293">
        <f>IF(AP$5&gt;'Project Assumptions'!$D$15,IF(AP$5&lt;='Project Returns'!$F$32,MAX(MIN((-AP$164-AP$193)*$D195/MAX($D$197,1),$D344),0),0),0)</f>
        <v/>
      </c>
      <c r="AQ195" s="293">
        <f>IF(AQ$5&gt;'Project Assumptions'!$D$15,IF(AQ$5&lt;='Project Returns'!$F$32,MAX(MIN((-AQ$164-AQ$193)*$D195/MAX($D$197,1),$D344),0),0),0)</f>
        <v/>
      </c>
      <c r="AR195" s="293">
        <f>IF(AR$5&gt;'Project Assumptions'!$D$15,IF(AR$5&lt;='Project Returns'!$F$32,MAX(MIN((-AR$164-AR$193)*$D195/MAX($D$197,1),$D344),0),0),0)</f>
        <v/>
      </c>
      <c r="AS195" s="293">
        <f>IF(AS$5&gt;'Project Assumptions'!$D$15,IF(AS$5&lt;='Project Returns'!$F$32,MAX(MIN((-AS$164-AS$193)*$D195/MAX($D$197,1),$D344),0),0),0)</f>
        <v/>
      </c>
      <c r="AT195" s="293">
        <f>IF(AT$5&gt;'Project Assumptions'!$D$15,IF(AT$5&lt;='Project Returns'!$F$32,MAX(MIN((-AT$164-AT$193)*$D195/MAX($D$197,1),$D344),0),0),0)</f>
        <v/>
      </c>
      <c r="AU195" s="293">
        <f>IF(AU$5&gt;'Project Assumptions'!$D$15,IF(AU$5&lt;='Project Returns'!$F$32,MAX(MIN((-AU$164-AU$193)*$D195/MAX($D$197,1),$D344),0),0),0)</f>
        <v/>
      </c>
      <c r="AV195" s="293">
        <f>IF(AV$5&gt;'Project Assumptions'!$D$15,IF(AV$5&lt;='Project Returns'!$F$32,MAX(MIN((-AV$164-AV$193)*$D195/MAX($D$197,1),$D344),0),0),0)</f>
        <v/>
      </c>
      <c r="AW195" s="293">
        <f>IF(AW$5&gt;'Project Assumptions'!$D$15,IF(AW$5&lt;='Project Returns'!$F$32,MAX(MIN((-AW$164-AW$193)*$D195/MAX($D$197,1),$D344),0),0),0)</f>
        <v/>
      </c>
      <c r="AX195" s="293">
        <f>IF(AX$5&gt;'Project Assumptions'!$D$15,IF(AX$5&lt;='Project Returns'!$F$32,MAX(MIN((-AX$164-AX$193)*$D195/MAX($D$197,1),$D344),0),0),0)</f>
        <v/>
      </c>
      <c r="AY195" s="293">
        <f>IF(AY$5&gt;'Project Assumptions'!$D$15,IF(AY$5&lt;='Project Returns'!$F$32,MAX(MIN((-AY$164-AY$193)*$D195/MAX($D$197,1),$D344),0),0),0)</f>
        <v/>
      </c>
      <c r="AZ195" s="293">
        <f>IF(AZ$5&gt;'Project Assumptions'!$D$15,IF(AZ$5&lt;='Project Returns'!$F$32,MAX(MIN((-AZ$164-AZ$193)*$D195/MAX($D$197,1),$D344),0),0),0)</f>
        <v/>
      </c>
      <c r="BA195" s="293">
        <f>IF(BA$5&gt;'Project Assumptions'!$D$15,IF(BA$5&lt;='Project Returns'!$F$32,MAX(MIN((-BA$164-BA$193)*$D195/MAX($D$197,1),$D344),0),0),0)</f>
        <v/>
      </c>
      <c r="BB195" s="293">
        <f>IF(BB$5&gt;'Project Assumptions'!$D$15,IF(BB$5&lt;='Project Returns'!$F$32,MAX(MIN((-BB$164-BB$193)*$D195/MAX($D$197,1),$D344),0),0),0)</f>
        <v/>
      </c>
      <c r="BC195" s="293">
        <f>IF(BC$5&gt;'Project Assumptions'!$D$15,IF(BC$5&lt;='Project Returns'!$F$32,MAX(MIN((-BC$164-BC$193)*$D195/MAX($D$197,1),$D344),0),0),0)</f>
        <v/>
      </c>
      <c r="BD195" s="293">
        <f>IF(BD$5&gt;'Project Assumptions'!$D$15,IF(BD$5&lt;='Project Returns'!$F$32,MAX(MIN((-BD$164-BD$193)*$D195/MAX($D$197,1),$D344),0),0),0)</f>
        <v/>
      </c>
      <c r="BE195" s="293">
        <f>IF(BE$5&gt;'Project Assumptions'!$D$15,IF(BE$5&lt;='Project Returns'!$F$32,MAX(MIN((-BE$164-BE$193)*$D195/MAX($D$197,1),$D344),0),0),0)</f>
        <v/>
      </c>
      <c r="BF195" s="293">
        <f>IF(BF$5&gt;'Project Assumptions'!$D$15,IF(BF$5&lt;='Project Returns'!$F$32,MAX(MIN((-BF$164-BF$193)*$D195/MAX($D$197,1),$D344),0),0),0)</f>
        <v/>
      </c>
      <c r="BG195" s="293">
        <f>IF(BG$5&gt;'Project Assumptions'!$D$15,IF(BG$5&lt;='Project Returns'!$F$32,MAX(MIN((-BG$164-BG$193)*$D195/MAX($D$197,1),$D344),0),0),0)</f>
        <v/>
      </c>
      <c r="BH195" s="293">
        <f>IF(BH$5&gt;'Project Assumptions'!$D$15,IF(BH$5&lt;='Project Returns'!$F$32,MAX(MIN((-BH$164-BH$193)*$D195/MAX($D$197,1),$D344),0),0),0)</f>
        <v/>
      </c>
      <c r="BI195" s="293">
        <f>IF(BI$5&gt;'Project Assumptions'!$D$15,IF(BI$5&lt;='Project Returns'!$F$32,MAX(MIN((-BI$164-BI$193)*$D195/MAX($D$197,1),$D344),0),0),0)</f>
        <v/>
      </c>
      <c r="BJ195" s="293">
        <f>IF(BJ$5&gt;'Project Assumptions'!$D$15,IF(BJ$5&lt;='Project Returns'!$F$32,MAX(MIN((-BJ$164-BJ$193)*$D195/MAX($D$197,1),$D344),0),0),0)</f>
        <v/>
      </c>
      <c r="BK195" s="293">
        <f>IF(BK$5&gt;'Project Assumptions'!$D$15,IF(BK$5&lt;='Project Returns'!$F$32,MAX(MIN((-BK$164-BK$193)*$D195/MAX($D$197,1),$D344),0),0),0)</f>
        <v/>
      </c>
      <c r="BL195" s="293">
        <f>IF(BL$5&gt;'Project Assumptions'!$D$15,IF(BL$5&lt;='Project Returns'!$F$32,MAX(MIN((-BL$164-BL$193)*$D195/MAX($D$197,1),$D344),0),0),0)</f>
        <v/>
      </c>
      <c r="BM195" s="293">
        <f>IF(BM$5&gt;'Project Assumptions'!$D$15,IF(BM$5&lt;='Project Returns'!$F$32,MAX(MIN((-BM$164-BM$193)*$D195/MAX($D$197,1),$D344),0),0),0)</f>
        <v/>
      </c>
      <c r="BN195" s="293">
        <f>IF(BN$5&gt;'Project Assumptions'!$D$15,IF(BN$5&lt;='Project Returns'!$F$32,MAX(MIN((-BN$164-BN$193)*$D195/MAX($D$197,1),$D344),0),0),0)</f>
        <v/>
      </c>
      <c r="BO195" s="293">
        <f>IF(BO$5&gt;'Project Assumptions'!$D$15,IF(BO$5&lt;='Project Returns'!$F$32,MAX(MIN((-BO$164-BO$193)*$D195/MAX($D$197,1),$D344),0),0),0)</f>
        <v/>
      </c>
      <c r="BP195" s="293">
        <f>IF(BP$5&gt;'Project Assumptions'!$D$15,IF(BP$5&lt;='Project Returns'!$F$32,MAX(MIN((-BP$164-BP$193)*$D195/MAX($D$197,1),$D344),0),0),0)</f>
        <v/>
      </c>
      <c r="BQ195" s="293">
        <f>IF(BQ$5&gt;'Project Assumptions'!$D$15,IF(BQ$5&lt;='Project Returns'!$F$32,MAX(MIN((-BQ$164-BQ$193)*$D195/MAX($D$197,1),$D344),0),0),0)</f>
        <v/>
      </c>
      <c r="BR195" s="293">
        <f>IF(BR$5&gt;'Project Assumptions'!$D$15,IF(BR$5&lt;='Project Returns'!$F$32,MAX(MIN((-BR$164-BR$193)*$D195/MAX($D$197,1),$D344),0),0),0)</f>
        <v/>
      </c>
      <c r="BS195" s="293">
        <f>IF(BS$5&gt;'Project Assumptions'!$D$15,IF(BS$5&lt;='Project Returns'!$F$32,MAX(MIN((-BS$164-BS$193)*$D195/MAX($D$197,1),$D344),0),0),0)</f>
        <v/>
      </c>
      <c r="BT195" s="293">
        <f>IF(BT$5&gt;'Project Assumptions'!$D$15,IF(BT$5&lt;='Project Returns'!$F$32,MAX(MIN((-BT$164-BT$193)*$D195/MAX($D$197,1),$D344),0),0),0)</f>
        <v/>
      </c>
      <c r="BU195" s="293">
        <f>IF(BU$5&gt;'Project Assumptions'!$D$15,IF(BU$5&lt;='Project Returns'!$F$32,MAX(MIN((-BU$164-BU$193)*$D195/MAX($D$197,1),$D344),0),0),0)</f>
        <v/>
      </c>
      <c r="BV195" s="293">
        <f>IF(BV$5&gt;'Project Assumptions'!$D$15,IF(BV$5&lt;='Project Returns'!$F$32,MAX(MIN((-BV$164-BV$193)*$D195/MAX($D$197,1),$D344),0),0),0)</f>
        <v/>
      </c>
      <c r="BW195" s="293">
        <f>IF(BW$5&gt;'Project Assumptions'!$D$15,IF(BW$5&lt;='Project Returns'!$F$32,MAX(MIN((-BW$164-BW$193)*$D195/MAX($D$197,1),$D344),0),0),0)</f>
        <v/>
      </c>
      <c r="BX195" s="293">
        <f>IF(BX$5&gt;'Project Assumptions'!$D$15,IF(BX$5&lt;='Project Returns'!$F$32,MAX(MIN((-BX$164-BX$193)*$D195/MAX($D$197,1),$D344),0),0),0)</f>
        <v/>
      </c>
      <c r="BY195" s="293">
        <f>IF(BY$5&gt;'Project Assumptions'!$D$15,IF(BY$5&lt;='Project Returns'!$F$32,MAX(MIN((-BY$164-BY$193)*$D195/MAX($D$197,1),$D344),0),0),0)</f>
        <v/>
      </c>
      <c r="BZ195" s="293">
        <f>IF(BZ$5&gt;'Project Assumptions'!$D$15,IF(BZ$5&lt;='Project Returns'!$F$32,MAX(MIN((-BZ$164-BZ$193)*$D195/MAX($D$197,1),$D344),0),0),0)</f>
        <v/>
      </c>
      <c r="CA195" s="293">
        <f>IF(CA$5&gt;'Project Assumptions'!$D$15,IF(CA$5&lt;='Project Returns'!$F$32,MAX(MIN((-CA$164-CA$193)*$D195/MAX($D$197,1),$D344),0),0),0)</f>
        <v/>
      </c>
      <c r="CB195" s="293">
        <f>IF(CB$5&gt;'Project Assumptions'!$D$15,IF(CB$5&lt;='Project Returns'!$F$32,MAX(MIN((-CB$164-CB$193)*$D195/MAX($D$197,1),$D344),0),0),0)</f>
        <v/>
      </c>
      <c r="CC195" s="293">
        <f>IF(CC$5&gt;'Project Assumptions'!$D$15,IF(CC$5&lt;='Project Returns'!$F$32,MAX(MIN((-CC$164-CC$193)*$D195/MAX($D$197,1),$D344),0),0),0)</f>
        <v/>
      </c>
      <c r="CD195" s="293">
        <f>IF(CD$5&gt;'Project Assumptions'!$D$15,IF(CD$5&lt;='Project Returns'!$F$32,MAX(MIN((-CD$164-CD$193)*$D195/MAX($D$197,1),$D344),0),0),0)</f>
        <v/>
      </c>
      <c r="CE195" s="293">
        <f>IF(CE$5&gt;'Project Assumptions'!$D$15,IF(CE$5&lt;='Project Returns'!$F$32,MAX(MIN((-CE$164-CE$193)*$D195/MAX($D$197,1),$D344),0),0),0)</f>
        <v/>
      </c>
      <c r="CF195" s="293">
        <f>IF(CF$5&gt;'Project Assumptions'!$D$15,IF(CF$5&lt;='Project Returns'!$F$32,MAX(MIN((-CF$164-CF$193)*$D195/MAX($D$197,1),$D344),0),0),0)</f>
        <v/>
      </c>
      <c r="CG195" s="293">
        <f>IF(CG$5&gt;'Project Assumptions'!$D$15,IF(CG$5&lt;='Project Returns'!$F$32,MAX(MIN((-CG$164-CG$193)*$D195/MAX($D$197,1),$D344),0),0),0)</f>
        <v/>
      </c>
      <c r="CH195" s="293">
        <f>IF(CH$5&gt;'Project Assumptions'!$D$15,IF(CH$5&lt;='Project Returns'!$F$32,MAX(MIN((-CH$164-CH$193)*$D195/MAX($D$197,1),$D344),0),0),0)</f>
        <v/>
      </c>
      <c r="CI195" s="293">
        <f>IF(CI$5&gt;'Project Assumptions'!$D$15,IF(CI$5&lt;='Project Returns'!$F$32,MAX(MIN((-CI$164-CI$193)*$D195/MAX($D$197,1),$D344),0),0),0)</f>
        <v/>
      </c>
      <c r="CJ195" s="293">
        <f>IF(CJ$5&gt;'Project Assumptions'!$D$15,IF(CJ$5&lt;='Project Returns'!$F$32,MAX(MIN((-CJ$164-CJ$193)*$D195/MAX($D$197,1),$D344),0),0),0)</f>
        <v/>
      </c>
      <c r="CK195" s="293">
        <f>IF(CK$5&gt;'Project Assumptions'!$D$15,IF(CK$5&lt;='Project Returns'!$F$32,MAX(MIN((-CK$164-CK$193)*$D195/MAX($D$197,1),$D344),0),0),0)</f>
        <v/>
      </c>
      <c r="CL195" s="293">
        <f>IF(CL$5&gt;'Project Assumptions'!$D$15,IF(CL$5&lt;='Project Returns'!$F$32,MAX(MIN((-CL$164-CL$193)*$D195/MAX($D$197,1),$D344),0),0),0)</f>
        <v/>
      </c>
      <c r="CM195" s="293">
        <f>IF(CM$5&gt;'Project Assumptions'!$D$15,IF(CM$5&lt;='Project Returns'!$F$32,MAX(MIN((-CM$164-CM$193)*$D195/MAX($D$197,1),$D344),0),0),0)</f>
        <v/>
      </c>
      <c r="CN195" s="293">
        <f>IF(CN$5&gt;'Project Assumptions'!$D$15,IF(CN$5&lt;='Project Returns'!$F$32,MAX(MIN((-CN$164-CN$193)*$D195/MAX($D$197,1),$D344),0),0),0)</f>
        <v/>
      </c>
      <c r="CO195" s="293">
        <f>IF(CO$5&gt;'Project Assumptions'!$D$15,IF(CO$5&lt;='Project Returns'!$F$32,MAX(MIN((-CO$164-CO$193)*$D195/MAX($D$197,1),$D344),0),0),0)</f>
        <v/>
      </c>
      <c r="CP195" s="293">
        <f>IF(CP$5&gt;'Project Assumptions'!$D$15,IF(CP$5&lt;='Project Returns'!$F$32,MAX(MIN((-CP$164-CP$193)*$D195/MAX($D$197,1),$D344),0),0),0)</f>
        <v/>
      </c>
      <c r="CQ195" s="293">
        <f>IF(CQ$5&gt;'Project Assumptions'!$D$15,IF(CQ$5&lt;='Project Returns'!$F$32,MAX(MIN((-CQ$164-CQ$193)*$D195/MAX($D$197,1),$D344),0),0),0)</f>
        <v/>
      </c>
      <c r="CR195" s="293">
        <f>IF(CR$5&gt;'Project Assumptions'!$D$15,IF(CR$5&lt;='Project Returns'!$F$32,MAX(MIN((-CR$164-CR$193)*$D195/MAX($D$197,1),$D344),0),0),0)</f>
        <v/>
      </c>
      <c r="CS195" s="293">
        <f>IF(CS$5&gt;'Project Assumptions'!$D$15,IF(CS$5&lt;='Project Returns'!$F$32,MAX(MIN((-CS$164-CS$193)*$D195/MAX($D$197,1),$D344),0),0),0)</f>
        <v/>
      </c>
      <c r="CT195" s="293">
        <f>IF(CT$5&gt;'Project Assumptions'!$D$15,IF(CT$5&lt;='Project Returns'!$F$32,MAX(MIN((-CT$164-CT$193)*$D195/MAX($D$197,1),$D344),0),0),0)</f>
        <v/>
      </c>
      <c r="CU195" s="293">
        <f>IF(CU$5&gt;'Project Assumptions'!$D$15,IF(CU$5&lt;='Project Returns'!$F$32,MAX(MIN((-CU$164-CU$193)*$D195/MAX($D$197,1),$D344),0),0),0)</f>
        <v/>
      </c>
      <c r="CV195" s="293">
        <f>IF(CV$5&gt;'Project Assumptions'!$D$15,IF(CV$5&lt;='Project Returns'!$F$32,MAX(MIN((-CV$164-CV$193)*$D195/MAX($D$197,1),$D344),0),0),0)</f>
        <v/>
      </c>
      <c r="CW195" s="293">
        <f>IF(CW$5&gt;'Project Assumptions'!$D$15,IF(CW$5&lt;='Project Returns'!$F$32,MAX(MIN((-CW$164-CW$193)*$D195/MAX($D$197,1),$D344),0),0),0)</f>
        <v/>
      </c>
      <c r="CX195" s="293">
        <f>IF(CX$5&gt;'Project Assumptions'!$D$15,IF(CX$5&lt;='Project Returns'!$F$32,MAX(MIN((-CX$164-CX$193)*$D195/MAX($D$197,1),$D344),0),0),0)</f>
        <v/>
      </c>
      <c r="CY195" s="293">
        <f>IF(CY$5&gt;'Project Assumptions'!$D$15,IF(CY$5&lt;='Project Returns'!$F$32,MAX(MIN((-CY$164-CY$193)*$D195/MAX($D$197,1),$D344),0),0),0)</f>
        <v/>
      </c>
      <c r="CZ195" s="293">
        <f>IF(CZ$5&gt;'Project Assumptions'!$D$15,IF(CZ$5&lt;='Project Returns'!$F$32,MAX(MIN((-CZ$164-CZ$193)*$D195/MAX($D$197,1),$D344),0),0),0)</f>
        <v/>
      </c>
      <c r="DA195" s="293">
        <f>IF(DA$5&gt;'Project Assumptions'!$D$15,IF(DA$5&lt;='Project Returns'!$F$32,MAX(MIN((-DA$164-DA$193)*$D195/MAX($D$197,1),$D344),0),0),0)</f>
        <v/>
      </c>
      <c r="DB195" s="293">
        <f>IF(DB$5&gt;'Project Assumptions'!$D$15,IF(DB$5&lt;='Project Returns'!$F$32,MAX(MIN((-DB$164-DB$193)*$D195/MAX($D$197,1),$D344),0),0),0)</f>
        <v/>
      </c>
      <c r="DC195" s="293" t="n"/>
      <c r="DD195" s="292">
        <f>MAX(F195:DB195)</f>
        <v/>
      </c>
    </row>
    <row r="196" hidden="1" outlineLevel="1">
      <c r="A196" s="15" t="inlineStr">
        <is>
          <t xml:space="preserve">   Equity</t>
        </is>
      </c>
      <c r="B196" s="15" t="n"/>
      <c r="C196" s="336">
        <f>IF('Project Assumptions'!E27=2,'Project Assumptions'!C27,"")</f>
        <v/>
      </c>
      <c r="D196" s="337">
        <f>IF('Project Assumptions'!E27=2,'Project Assumptions'!C27*('Detailed Project Costs'!$F$74),0)</f>
        <v/>
      </c>
      <c r="E196" s="276" t="n"/>
      <c r="F196" s="890">
        <f>IF(F$5&gt;'Project Assumptions'!$D$15,IF(F$5&lt;='Project Returns'!$F$32,MAX(MIN((-F$164-F$193)*$D196/MAX($D$197,1),$D346),0),0),0)+IF('Project Assumptions'!E18=0,MAX(MIN((-F$164-F$193)*$D196/MAX($D$197,1),$D196),0),0)</f>
        <v/>
      </c>
      <c r="G196" s="890">
        <f>IF(G$5&gt;'Project Assumptions'!$D$15,IF(G$5&lt;='Project Returns'!$F$32,MAX(MIN((-G$164-G$193)*$D196/MAX($D$197,1),$D346),0),0),0)</f>
        <v/>
      </c>
      <c r="H196" s="890">
        <f>IF(H$5&gt;'Project Assumptions'!$D$15,IF(H$5&lt;='Project Returns'!$F$32,MAX(MIN((-H$164-H$193)*$D196/MAX($D$197,1),$D346),0),0),0)</f>
        <v/>
      </c>
      <c r="I196" s="890">
        <f>IF(I$5&gt;'Project Assumptions'!$D$15,IF(I$5&lt;='Project Returns'!$F$32,MAX(MIN((-I$164-I$193)*$D196/MAX($D$197,1),$D346),0),0),0)</f>
        <v/>
      </c>
      <c r="J196" s="890">
        <f>IF(J$5&gt;'Project Assumptions'!$D$15,IF(J$5&lt;='Project Returns'!$F$32,MAX(MIN((-J$164-J$193)*$D196/MAX($D$197,1),$D346),0),0),0)</f>
        <v/>
      </c>
      <c r="K196" s="890">
        <f>IF(K$5&gt;'Project Assumptions'!$D$15,IF(K$5&lt;='Project Returns'!$F$32,MAX(MIN((-K$164-K$193)*$D196/MAX($D$197,1),$D346),0),0),0)</f>
        <v/>
      </c>
      <c r="L196" s="890">
        <f>IF(L$5&gt;'Project Assumptions'!$D$15,IF(L$5&lt;='Project Returns'!$F$32,MAX(MIN((-L$164-L$193)*$D196/MAX($D$197,1),$D346),0),0),0)</f>
        <v/>
      </c>
      <c r="M196" s="890">
        <f>IF(M$5&gt;'Project Assumptions'!$D$15,IF(M$5&lt;='Project Returns'!$F$32,MAX(MIN((-M$164-M$193)*$D196/MAX($D$197,1),$D346),0),0),0)</f>
        <v/>
      </c>
      <c r="N196" s="890">
        <f>IF(N$5&gt;'Project Assumptions'!$D$15,IF(N$5&lt;='Project Returns'!$F$32,MAX(MIN((-N$164-N$193)*$D196/MAX($D$197,1),$D346),0),0),0)</f>
        <v/>
      </c>
      <c r="O196" s="890">
        <f>IF(O$5&gt;'Project Assumptions'!$D$15,IF(O$5&lt;='Project Returns'!$F$32,MAX(MIN((-O$164-O$193)*$D196/MAX($D$197,1),$D346),0),0),0)</f>
        <v/>
      </c>
      <c r="P196" s="890">
        <f>IF(P$5&gt;'Project Assumptions'!$D$15,IF(P$5&lt;='Project Returns'!$F$32,MAX(MIN((-P$164-P$193)*$D196/MAX($D$197,1),$D346),0),0),0)</f>
        <v/>
      </c>
      <c r="Q196" s="890">
        <f>IF(Q$5&gt;'Project Assumptions'!$D$15,IF(Q$5&lt;='Project Returns'!$F$32,MAX(MIN((-Q$164-Q$193)*$D196/MAX($D$197,1),$D346),0),0),0)</f>
        <v/>
      </c>
      <c r="R196" s="890">
        <f>IF(R$5&gt;'Project Assumptions'!$D$15,IF(R$5&lt;='Project Returns'!$F$32,MAX(MIN((-R$164-R$193)*$D196/MAX($D$197,1),$D346),0),0),0)</f>
        <v/>
      </c>
      <c r="S196" s="890">
        <f>IF(S$5&gt;'Project Assumptions'!$D$15,IF(S$5&lt;='Project Returns'!$F$32,MAX(MIN((-S$164-S$193)*$D196/MAX($D$197,1),$D346),0),0),0)</f>
        <v/>
      </c>
      <c r="T196" s="890">
        <f>IF(T$5&gt;'Project Assumptions'!$D$15,IF(T$5&lt;='Project Returns'!$F$32,MAX(MIN((-T$164-T$193)*$D196/MAX($D$197,1),$D346),0),0),0)</f>
        <v/>
      </c>
      <c r="U196" s="890">
        <f>IF(U$5&gt;'Project Assumptions'!$D$15,IF(U$5&lt;='Project Returns'!$F$32,MAX(MIN((-U$164-U$193)*$D196/MAX($D$197,1),$D346),0),0),0)</f>
        <v/>
      </c>
      <c r="V196" s="890">
        <f>IF(V$5&gt;'Project Assumptions'!$D$15,IF(V$5&lt;='Project Returns'!$F$32,MAX(MIN((-V$164-V$193)*$D196/MAX($D$197,1),$D346),0),0),0)</f>
        <v/>
      </c>
      <c r="W196" s="890">
        <f>IF(W$5&gt;'Project Assumptions'!$D$15,IF(W$5&lt;='Project Returns'!$F$32,MAX(MIN((-W$164-W$193)*$D196/MAX($D$197,1),$D346),0),0),0)</f>
        <v/>
      </c>
      <c r="X196" s="890">
        <f>IF(X$5&gt;'Project Assumptions'!$D$15,IF(X$5&lt;='Project Returns'!$F$32,MAX(MIN((-X$164-X$193)*$D196/MAX($D$197,1),$D346),0),0),0)</f>
        <v/>
      </c>
      <c r="Y196" s="890">
        <f>IF(Y$5&gt;'Project Assumptions'!$D$15,IF(Y$5&lt;='Project Returns'!$F$32,MAX(MIN((-Y$164-Y$193)*$D196/MAX($D$197,1),$D346),0),0),0)</f>
        <v/>
      </c>
      <c r="Z196" s="890">
        <f>IF(Z$5&gt;'Project Assumptions'!$D$15,IF(Z$5&lt;='Project Returns'!$F$32,MAX(MIN((-Z$164-Z$193)*$D196/MAX($D$197,1),$D346),0),0),0)</f>
        <v/>
      </c>
      <c r="AA196" s="890">
        <f>IF(AA$5&gt;'Project Assumptions'!$D$15,IF(AA$5&lt;='Project Returns'!$F$32,MAX(MIN((-AA$164-AA$193)*$D196/MAX($D$197,1),$D346),0),0),0)</f>
        <v/>
      </c>
      <c r="AB196" s="890">
        <f>IF(AB$5&gt;'Project Assumptions'!$D$15,IF(AB$5&lt;='Project Returns'!$F$32,MAX(MIN((-AB$164-AB$193)*$D196/MAX($D$197,1),$D346),0),0),0)</f>
        <v/>
      </c>
      <c r="AC196" s="890">
        <f>IF(AC$5&gt;'Project Assumptions'!$D$15,IF(AC$5&lt;='Project Returns'!$F$32,MAX(MIN((-AC$164-AC$193)*$D196/MAX($D$197,1),$D346),0),0),0)</f>
        <v/>
      </c>
      <c r="AD196" s="890">
        <f>IF(AD$5&gt;'Project Assumptions'!$D$15,IF(AD$5&lt;='Project Returns'!$F$32,MAX(MIN((-AD$164-AD$193)*$D196/MAX($D$197,1),$D346),0),0),0)</f>
        <v/>
      </c>
      <c r="AE196" s="890">
        <f>IF(AE$5&gt;'Project Assumptions'!$D$15,IF(AE$5&lt;='Project Returns'!$F$32,MAX(MIN((-AE$164-AE$193)*$D196/MAX($D$197,1),$D346),0),0),0)</f>
        <v/>
      </c>
      <c r="AF196" s="890">
        <f>IF(AF$5&gt;'Project Assumptions'!$D$15,IF(AF$5&lt;='Project Returns'!$F$32,MAX(MIN((-AF$164-AF$193)*$D196/MAX($D$197,1),$D346),0),0),0)</f>
        <v/>
      </c>
      <c r="AG196" s="890">
        <f>IF(AG$5&gt;'Project Assumptions'!$D$15,IF(AG$5&lt;='Project Returns'!$F$32,MAX(MIN((-AG$164-AG$193)*$D196/MAX($D$197,1),$D346),0),0),0)</f>
        <v/>
      </c>
      <c r="AH196" s="890">
        <f>IF(AH$5&gt;'Project Assumptions'!$D$15,IF(AH$5&lt;='Project Returns'!$F$32,MAX(MIN((-AH$164-AH$193)*$D196/MAX($D$197,1),$D346),0),0),0)</f>
        <v/>
      </c>
      <c r="AI196" s="890">
        <f>IF(AI$5&gt;'Project Assumptions'!$D$15,IF(AI$5&lt;='Project Returns'!$F$32,MAX(MIN((-AI$164-AI$193)*$D196/MAX($D$197,1),$D346),0),0),0)</f>
        <v/>
      </c>
      <c r="AJ196" s="890">
        <f>IF(AJ$5&gt;'Project Assumptions'!$D$15,IF(AJ$5&lt;='Project Returns'!$F$32,MAX(MIN((-AJ$164-AJ$193)*$D196/MAX($D$197,1),$D346),0),0),0)</f>
        <v/>
      </c>
      <c r="AK196" s="890">
        <f>IF(AK$5&gt;'Project Assumptions'!$D$15,IF(AK$5&lt;='Project Returns'!$F$32,MAX(MIN((-AK$164-AK$193)*$D196/MAX($D$197,1),$D346),0),0),0)</f>
        <v/>
      </c>
      <c r="AL196" s="890">
        <f>IF(AL$5&gt;'Project Assumptions'!$D$15,IF(AL$5&lt;='Project Returns'!$F$32,MAX(MIN((-AL$164-AL$193)*$D196/MAX($D$197,1),$D346),0),0),0)</f>
        <v/>
      </c>
      <c r="AM196" s="890">
        <f>IF(AM$5&gt;'Project Assumptions'!$D$15,IF(AM$5&lt;='Project Returns'!$F$32,MAX(MIN((-AM$164-AM$193)*$D196/MAX($D$197,1),$D346),0),0),0)</f>
        <v/>
      </c>
      <c r="AN196" s="890">
        <f>IF(AN$5&gt;'Project Assumptions'!$D$15,IF(AN$5&lt;='Project Returns'!$F$32,MAX(MIN((-AN$164-AN$193)*$D196/MAX($D$197,1),$D346),0),0),0)</f>
        <v/>
      </c>
      <c r="AO196" s="890">
        <f>IF(AO$5&gt;'Project Assumptions'!$D$15,IF(AO$5&lt;='Project Returns'!$F$32,MAX(MIN((-AO$164-AO$193)*$D196/MAX($D$197,1),$D346),0),0),0)</f>
        <v/>
      </c>
      <c r="AP196" s="890">
        <f>IF(AP$5&gt;'Project Assumptions'!$D$15,IF(AP$5&lt;='Project Returns'!$F$32,MAX(MIN((-AP$164-AP$193)*$D196/MAX($D$197,1),$D346),0),0),0)</f>
        <v/>
      </c>
      <c r="AQ196" s="890">
        <f>IF(AQ$5&gt;'Project Assumptions'!$D$15,IF(AQ$5&lt;='Project Returns'!$F$32,MAX(MIN((-AQ$164-AQ$193)*$D196/MAX($D$197,1),$D346),0),0),0)</f>
        <v/>
      </c>
      <c r="AR196" s="890">
        <f>IF(AR$5&gt;'Project Assumptions'!$D$15,IF(AR$5&lt;='Project Returns'!$F$32,MAX(MIN((-AR$164-AR$193)*$D196/MAX($D$197,1),$D346),0),0),0)</f>
        <v/>
      </c>
      <c r="AS196" s="890">
        <f>IF(AS$5&gt;'Project Assumptions'!$D$15,IF(AS$5&lt;='Project Returns'!$F$32,MAX(MIN((-AS$164-AS$193)*$D196/MAX($D$197,1),$D346),0),0),0)</f>
        <v/>
      </c>
      <c r="AT196" s="890">
        <f>IF(AT$5&gt;'Project Assumptions'!$D$15,IF(AT$5&lt;='Project Returns'!$F$32,MAX(MIN((-AT$164-AT$193)*$D196/MAX($D$197,1),$D346),0),0),0)</f>
        <v/>
      </c>
      <c r="AU196" s="890">
        <f>IF(AU$5&gt;'Project Assumptions'!$D$15,IF(AU$5&lt;='Project Returns'!$F$32,MAX(MIN((-AU$164-AU$193)*$D196/MAX($D$197,1),$D346),0),0),0)</f>
        <v/>
      </c>
      <c r="AV196" s="890">
        <f>IF(AV$5&gt;'Project Assumptions'!$D$15,IF(AV$5&lt;='Project Returns'!$F$32,MAX(MIN((-AV$164-AV$193)*$D196/MAX($D$197,1),$D346),0),0),0)</f>
        <v/>
      </c>
      <c r="AW196" s="890">
        <f>IF(AW$5&gt;'Project Assumptions'!$D$15,IF(AW$5&lt;='Project Returns'!$F$32,MAX(MIN((-AW$164-AW$193)*$D196/MAX($D$197,1),$D346),0),0),0)</f>
        <v/>
      </c>
      <c r="AX196" s="890">
        <f>IF(AX$5&gt;'Project Assumptions'!$D$15,IF(AX$5&lt;='Project Returns'!$F$32,MAX(MIN((-AX$164-AX$193)*$D196/MAX($D$197,1),$D346),0),0),0)</f>
        <v/>
      </c>
      <c r="AY196" s="890">
        <f>IF(AY$5&gt;'Project Assumptions'!$D$15,IF(AY$5&lt;='Project Returns'!$F$32,MAX(MIN((-AY$164-AY$193)*$D196/MAX($D$197,1),$D346),0),0),0)</f>
        <v/>
      </c>
      <c r="AZ196" s="890">
        <f>IF(AZ$5&gt;'Project Assumptions'!$D$15,IF(AZ$5&lt;='Project Returns'!$F$32,MAX(MIN((-AZ$164-AZ$193)*$D196/MAX($D$197,1),$D346),0),0),0)</f>
        <v/>
      </c>
      <c r="BA196" s="890">
        <f>IF(BA$5&gt;'Project Assumptions'!$D$15,IF(BA$5&lt;='Project Returns'!$F$32,MAX(MIN((-BA$164-BA$193)*$D196/MAX($D$197,1),$D346),0),0),0)</f>
        <v/>
      </c>
      <c r="BB196" s="890">
        <f>IF(BB$5&gt;'Project Assumptions'!$D$15,IF(BB$5&lt;='Project Returns'!$F$32,MAX(MIN((-BB$164-BB$193)*$D196/MAX($D$197,1),$D346),0),0),0)</f>
        <v/>
      </c>
      <c r="BC196" s="890">
        <f>IF(BC$5&gt;'Project Assumptions'!$D$15,IF(BC$5&lt;='Project Returns'!$F$32,MAX(MIN((-BC$164-BC$193)*$D196/MAX($D$197,1),$D346),0),0),0)</f>
        <v/>
      </c>
      <c r="BD196" s="890">
        <f>IF(BD$5&gt;'Project Assumptions'!$D$15,IF(BD$5&lt;='Project Returns'!$F$32,MAX(MIN((-BD$164-BD$193)*$D196/MAX($D$197,1),$D346),0),0),0)</f>
        <v/>
      </c>
      <c r="BE196" s="890">
        <f>IF(BE$5&gt;'Project Assumptions'!$D$15,IF(BE$5&lt;='Project Returns'!$F$32,MAX(MIN((-BE$164-BE$193)*$D196/MAX($D$197,1),$D346),0),0),0)</f>
        <v/>
      </c>
      <c r="BF196" s="890">
        <f>IF(BF$5&gt;'Project Assumptions'!$D$15,IF(BF$5&lt;='Project Returns'!$F$32,MAX(MIN((-BF$164-BF$193)*$D196/MAX($D$197,1),$D346),0),0),0)</f>
        <v/>
      </c>
      <c r="BG196" s="890">
        <f>IF(BG$5&gt;'Project Assumptions'!$D$15,IF(BG$5&lt;='Project Returns'!$F$32,MAX(MIN((-BG$164-BG$193)*$D196/MAX($D$197,1),$D346),0),0),0)</f>
        <v/>
      </c>
      <c r="BH196" s="890">
        <f>IF(BH$5&gt;'Project Assumptions'!$D$15,IF(BH$5&lt;='Project Returns'!$F$32,MAX(MIN((-BH$164-BH$193)*$D196/MAX($D$197,1),$D346),0),0),0)</f>
        <v/>
      </c>
      <c r="BI196" s="890">
        <f>IF(BI$5&gt;'Project Assumptions'!$D$15,IF(BI$5&lt;='Project Returns'!$F$32,MAX(MIN((-BI$164-BI$193)*$D196/MAX($D$197,1),$D346),0),0),0)</f>
        <v/>
      </c>
      <c r="BJ196" s="890">
        <f>IF(BJ$5&gt;'Project Assumptions'!$D$15,IF(BJ$5&lt;='Project Returns'!$F$32,MAX(MIN((-BJ$164-BJ$193)*$D196/MAX($D$197,1),$D346),0),0),0)</f>
        <v/>
      </c>
      <c r="BK196" s="890">
        <f>IF(BK$5&gt;'Project Assumptions'!$D$15,IF(BK$5&lt;='Project Returns'!$F$32,MAX(MIN((-BK$164-BK$193)*$D196/MAX($D$197,1),$D346),0),0),0)</f>
        <v/>
      </c>
      <c r="BL196" s="890">
        <f>IF(BL$5&gt;'Project Assumptions'!$D$15,IF(BL$5&lt;='Project Returns'!$F$32,MAX(MIN((-BL$164-BL$193)*$D196/MAX($D$197,1),$D346),0),0),0)</f>
        <v/>
      </c>
      <c r="BM196" s="890">
        <f>IF(BM$5&gt;'Project Assumptions'!$D$15,IF(BM$5&lt;='Project Returns'!$F$32,MAX(MIN((-BM$164-BM$193)*$D196/MAX($D$197,1),$D346),0),0),0)</f>
        <v/>
      </c>
      <c r="BN196" s="890">
        <f>IF(BN$5&gt;'Project Assumptions'!$D$15,IF(BN$5&lt;='Project Returns'!$F$32,MAX(MIN((-BN$164-BN$193)*$D196/MAX($D$197,1),$D346),0),0),0)</f>
        <v/>
      </c>
      <c r="BO196" s="890">
        <f>IF(BO$5&gt;'Project Assumptions'!$D$15,IF(BO$5&lt;='Project Returns'!$F$32,MAX(MIN((-BO$164-BO$193)*$D196/MAX($D$197,1),$D346),0),0),0)</f>
        <v/>
      </c>
      <c r="BP196" s="890">
        <f>IF(BP$5&gt;'Project Assumptions'!$D$15,IF(BP$5&lt;='Project Returns'!$F$32,MAX(MIN((-BP$164-BP$193)*$D196/MAX($D$197,1),$D346),0),0),0)</f>
        <v/>
      </c>
      <c r="BQ196" s="890">
        <f>IF(BQ$5&gt;'Project Assumptions'!$D$15,IF(BQ$5&lt;='Project Returns'!$F$32,MAX(MIN((-BQ$164-BQ$193)*$D196/MAX($D$197,1),$D346),0),0),0)</f>
        <v/>
      </c>
      <c r="BR196" s="890">
        <f>IF(BR$5&gt;'Project Assumptions'!$D$15,IF(BR$5&lt;='Project Returns'!$F$32,MAX(MIN((-BR$164-BR$193)*$D196/MAX($D$197,1),$D346),0),0),0)</f>
        <v/>
      </c>
      <c r="BS196" s="890">
        <f>IF(BS$5&gt;'Project Assumptions'!$D$15,IF(BS$5&lt;='Project Returns'!$F$32,MAX(MIN((-BS$164-BS$193)*$D196/MAX($D$197,1),$D346),0),0),0)</f>
        <v/>
      </c>
      <c r="BT196" s="890">
        <f>IF(BT$5&gt;'Project Assumptions'!$D$15,IF(BT$5&lt;='Project Returns'!$F$32,MAX(MIN((-BT$164-BT$193)*$D196/MAX($D$197,1),$D346),0),0),0)</f>
        <v/>
      </c>
      <c r="BU196" s="890">
        <f>IF(BU$5&gt;'Project Assumptions'!$D$15,IF(BU$5&lt;='Project Returns'!$F$32,MAX(MIN((-BU$164-BU$193)*$D196/MAX($D$197,1),$D346),0),0),0)</f>
        <v/>
      </c>
      <c r="BV196" s="890">
        <f>IF(BV$5&gt;'Project Assumptions'!$D$15,IF(BV$5&lt;='Project Returns'!$F$32,MAX(MIN((-BV$164-BV$193)*$D196/MAX($D$197,1),$D346),0),0),0)</f>
        <v/>
      </c>
      <c r="BW196" s="890">
        <f>IF(BW$5&gt;'Project Assumptions'!$D$15,IF(BW$5&lt;='Project Returns'!$F$32,MAX(MIN((-BW$164-BW$193)*$D196/MAX($D$197,1),$D346),0),0),0)</f>
        <v/>
      </c>
      <c r="BX196" s="890">
        <f>IF(BX$5&gt;'Project Assumptions'!$D$15,IF(BX$5&lt;='Project Returns'!$F$32,MAX(MIN((-BX$164-BX$193)*$D196/MAX($D$197,1),$D346),0),0),0)</f>
        <v/>
      </c>
      <c r="BY196" s="890">
        <f>IF(BY$5&gt;'Project Assumptions'!$D$15,IF(BY$5&lt;='Project Returns'!$F$32,MAX(MIN((-BY$164-BY$193)*$D196/MAX($D$197,1),$D346),0),0),0)</f>
        <v/>
      </c>
      <c r="BZ196" s="890">
        <f>IF(BZ$5&gt;'Project Assumptions'!$D$15,IF(BZ$5&lt;='Project Returns'!$F$32,MAX(MIN((-BZ$164-BZ$193)*$D196/MAX($D$197,1),$D346),0),0),0)</f>
        <v/>
      </c>
      <c r="CA196" s="890">
        <f>IF(CA$5&gt;'Project Assumptions'!$D$15,IF(CA$5&lt;='Project Returns'!$F$32,MAX(MIN((-CA$164-CA$193)*$D196/MAX($D$197,1),$D346),0),0),0)</f>
        <v/>
      </c>
      <c r="CB196" s="890">
        <f>IF(CB$5&gt;'Project Assumptions'!$D$15,IF(CB$5&lt;='Project Returns'!$F$32,MAX(MIN((-CB$164-CB$193)*$D196/MAX($D$197,1),$D346),0),0),0)</f>
        <v/>
      </c>
      <c r="CC196" s="890">
        <f>IF(CC$5&gt;'Project Assumptions'!$D$15,IF(CC$5&lt;='Project Returns'!$F$32,MAX(MIN((-CC$164-CC$193)*$D196/MAX($D$197,1),$D346),0),0),0)</f>
        <v/>
      </c>
      <c r="CD196" s="890">
        <f>IF(CD$5&gt;'Project Assumptions'!$D$15,IF(CD$5&lt;='Project Returns'!$F$32,MAX(MIN((-CD$164-CD$193)*$D196/MAX($D$197,1),$D346),0),0),0)</f>
        <v/>
      </c>
      <c r="CE196" s="890">
        <f>IF(CE$5&gt;'Project Assumptions'!$D$15,IF(CE$5&lt;='Project Returns'!$F$32,MAX(MIN((-CE$164-CE$193)*$D196/MAX($D$197,1),$D346),0),0),0)</f>
        <v/>
      </c>
      <c r="CF196" s="890">
        <f>IF(CF$5&gt;'Project Assumptions'!$D$15,IF(CF$5&lt;='Project Returns'!$F$32,MAX(MIN((-CF$164-CF$193)*$D196/MAX($D$197,1),$D346),0),0),0)</f>
        <v/>
      </c>
      <c r="CG196" s="890">
        <f>IF(CG$5&gt;'Project Assumptions'!$D$15,IF(CG$5&lt;='Project Returns'!$F$32,MAX(MIN((-CG$164-CG$193)*$D196/MAX($D$197,1),$D346),0),0),0)</f>
        <v/>
      </c>
      <c r="CH196" s="890">
        <f>IF(CH$5&gt;'Project Assumptions'!$D$15,IF(CH$5&lt;='Project Returns'!$F$32,MAX(MIN((-CH$164-CH$193)*$D196/MAX($D$197,1),$D346),0),0),0)</f>
        <v/>
      </c>
      <c r="CI196" s="890">
        <f>IF(CI$5&gt;'Project Assumptions'!$D$15,IF(CI$5&lt;='Project Returns'!$F$32,MAX(MIN((-CI$164-CI$193)*$D196/MAX($D$197,1),$D346),0),0),0)</f>
        <v/>
      </c>
      <c r="CJ196" s="890">
        <f>IF(CJ$5&gt;'Project Assumptions'!$D$15,IF(CJ$5&lt;='Project Returns'!$F$32,MAX(MIN((-CJ$164-CJ$193)*$D196/MAX($D$197,1),$D346),0),0),0)</f>
        <v/>
      </c>
      <c r="CK196" s="890">
        <f>IF(CK$5&gt;'Project Assumptions'!$D$15,IF(CK$5&lt;='Project Returns'!$F$32,MAX(MIN((-CK$164-CK$193)*$D196/MAX($D$197,1),$D346),0),0),0)</f>
        <v/>
      </c>
      <c r="CL196" s="890">
        <f>IF(CL$5&gt;'Project Assumptions'!$D$15,IF(CL$5&lt;='Project Returns'!$F$32,MAX(MIN((-CL$164-CL$193)*$D196/MAX($D$197,1),$D346),0),0),0)</f>
        <v/>
      </c>
      <c r="CM196" s="890">
        <f>IF(CM$5&gt;'Project Assumptions'!$D$15,IF(CM$5&lt;='Project Returns'!$F$32,MAX(MIN((-CM$164-CM$193)*$D196/MAX($D$197,1),$D346),0),0),0)</f>
        <v/>
      </c>
      <c r="CN196" s="890">
        <f>IF(CN$5&gt;'Project Assumptions'!$D$15,IF(CN$5&lt;='Project Returns'!$F$32,MAX(MIN((-CN$164-CN$193)*$D196/MAX($D$197,1),$D346),0),0),0)</f>
        <v/>
      </c>
      <c r="CO196" s="890">
        <f>IF(CO$5&gt;'Project Assumptions'!$D$15,IF(CO$5&lt;='Project Returns'!$F$32,MAX(MIN((-CO$164-CO$193)*$D196/MAX($D$197,1),$D346),0),0),0)</f>
        <v/>
      </c>
      <c r="CP196" s="890">
        <f>IF(CP$5&gt;'Project Assumptions'!$D$15,IF(CP$5&lt;='Project Returns'!$F$32,MAX(MIN((-CP$164-CP$193)*$D196/MAX($D$197,1),$D346),0),0),0)</f>
        <v/>
      </c>
      <c r="CQ196" s="890">
        <f>IF(CQ$5&gt;'Project Assumptions'!$D$15,IF(CQ$5&lt;='Project Returns'!$F$32,MAX(MIN((-CQ$164-CQ$193)*$D196/MAX($D$197,1),$D346),0),0),0)</f>
        <v/>
      </c>
      <c r="CR196" s="890">
        <f>IF(CR$5&gt;'Project Assumptions'!$D$15,IF(CR$5&lt;='Project Returns'!$F$32,MAX(MIN((-CR$164-CR$193)*$D196/MAX($D$197,1),$D346),0),0),0)</f>
        <v/>
      </c>
      <c r="CS196" s="890">
        <f>IF(CS$5&gt;'Project Assumptions'!$D$15,IF(CS$5&lt;='Project Returns'!$F$32,MAX(MIN((-CS$164-CS$193)*$D196/MAX($D$197,1),$D346),0),0),0)</f>
        <v/>
      </c>
      <c r="CT196" s="890">
        <f>IF(CT$5&gt;'Project Assumptions'!$D$15,IF(CT$5&lt;='Project Returns'!$F$32,MAX(MIN((-CT$164-CT$193)*$D196/MAX($D$197,1),$D346),0),0),0)</f>
        <v/>
      </c>
      <c r="CU196" s="890">
        <f>IF(CU$5&gt;'Project Assumptions'!$D$15,IF(CU$5&lt;='Project Returns'!$F$32,MAX(MIN((-CU$164-CU$193)*$D196/MAX($D$197,1),$D346),0),0),0)</f>
        <v/>
      </c>
      <c r="CV196" s="890">
        <f>IF(CV$5&gt;'Project Assumptions'!$D$15,IF(CV$5&lt;='Project Returns'!$F$32,MAX(MIN((-CV$164-CV$193)*$D196/MAX($D$197,1),$D346),0),0),0)</f>
        <v/>
      </c>
      <c r="CW196" s="890">
        <f>IF(CW$5&gt;'Project Assumptions'!$D$15,IF(CW$5&lt;='Project Returns'!$F$32,MAX(MIN((-CW$164-CW$193)*$D196/MAX($D$197,1),$D346),0),0),0)</f>
        <v/>
      </c>
      <c r="CX196" s="890">
        <f>IF(CX$5&gt;'Project Assumptions'!$D$15,IF(CX$5&lt;='Project Returns'!$F$32,MAX(MIN((-CX$164-CX$193)*$D196/MAX($D$197,1),$D346),0),0),0)</f>
        <v/>
      </c>
      <c r="CY196" s="890">
        <f>IF(CY$5&gt;'Project Assumptions'!$D$15,IF(CY$5&lt;='Project Returns'!$F$32,MAX(MIN((-CY$164-CY$193)*$D196/MAX($D$197,1),$D346),0),0),0)</f>
        <v/>
      </c>
      <c r="CZ196" s="890">
        <f>IF(CZ$5&gt;'Project Assumptions'!$D$15,IF(CZ$5&lt;='Project Returns'!$F$32,MAX(MIN((-CZ$164-CZ$193)*$D196/MAX($D$197,1),$D346),0),0),0)</f>
        <v/>
      </c>
      <c r="DA196" s="890">
        <f>IF(DA$5&gt;'Project Assumptions'!$D$15,IF(DA$5&lt;='Project Returns'!$F$32,MAX(MIN((-DA$164-DA$193)*$D196/MAX($D$197,1),$D346),0),0),0)</f>
        <v/>
      </c>
      <c r="DB196" s="890">
        <f>IF(DB$5&gt;'Project Assumptions'!$D$15,IF(DB$5&lt;='Project Returns'!$F$32,MAX(MIN((-DB$164-DB$193)*$D196/MAX($D$197,1),$D346),0),0),0)</f>
        <v/>
      </c>
      <c r="DC196" s="890" t="n"/>
      <c r="DD196" s="297">
        <f>MAX(F196:DB196)</f>
        <v/>
      </c>
    </row>
    <row r="197" hidden="1" outlineLevel="1">
      <c r="A197" s="15" t="inlineStr">
        <is>
          <t xml:space="preserve">   Total</t>
        </is>
      </c>
      <c r="B197" s="15" t="n"/>
      <c r="C197" s="724" t="n"/>
      <c r="D197" s="338">
        <f>SUM(D195:D196)</f>
        <v/>
      </c>
      <c r="E197" s="290" t="n"/>
      <c r="F197" s="291">
        <f>SUM(F195:F196)</f>
        <v/>
      </c>
      <c r="G197" s="291">
        <f>SUM(G195:G196)</f>
        <v/>
      </c>
      <c r="H197" s="291">
        <f>SUM(H195:H196)</f>
        <v/>
      </c>
      <c r="I197" s="291">
        <f>SUM(I195:I196)</f>
        <v/>
      </c>
      <c r="J197" s="291">
        <f>SUM(J195:J196)</f>
        <v/>
      </c>
      <c r="K197" s="291">
        <f>SUM(K195:K196)</f>
        <v/>
      </c>
      <c r="L197" s="291">
        <f>SUM(L195:L196)</f>
        <v/>
      </c>
      <c r="M197" s="291">
        <f>SUM(M195:M196)</f>
        <v/>
      </c>
      <c r="N197" s="291">
        <f>SUM(N195:N196)</f>
        <v/>
      </c>
      <c r="O197" s="291">
        <f>SUM(O195:O196)</f>
        <v/>
      </c>
      <c r="P197" s="291">
        <f>SUM(P195:P196)</f>
        <v/>
      </c>
      <c r="Q197" s="291">
        <f>SUM(Q195:Q196)</f>
        <v/>
      </c>
      <c r="R197" s="291">
        <f>SUM(R195:R196)</f>
        <v/>
      </c>
      <c r="S197" s="291">
        <f>SUM(S195:S196)</f>
        <v/>
      </c>
      <c r="T197" s="291">
        <f>SUM(T195:T196)</f>
        <v/>
      </c>
      <c r="U197" s="291">
        <f>SUM(U195:U196)</f>
        <v/>
      </c>
      <c r="V197" s="291">
        <f>SUM(V195:V196)</f>
        <v/>
      </c>
      <c r="W197" s="291">
        <f>SUM(W195:W196)</f>
        <v/>
      </c>
      <c r="X197" s="291">
        <f>SUM(X195:X196)</f>
        <v/>
      </c>
      <c r="Y197" s="291">
        <f>SUM(Y195:Y196)</f>
        <v/>
      </c>
      <c r="Z197" s="291">
        <f>SUM(Z195:Z196)</f>
        <v/>
      </c>
      <c r="AA197" s="291">
        <f>SUM(AA195:AA196)</f>
        <v/>
      </c>
      <c r="AB197" s="291">
        <f>SUM(AB195:AB196)</f>
        <v/>
      </c>
      <c r="AC197" s="291">
        <f>SUM(AC195:AC196)</f>
        <v/>
      </c>
      <c r="AD197" s="291">
        <f>SUM(AD195:AD196)</f>
        <v/>
      </c>
      <c r="AE197" s="291">
        <f>SUM(AE195:AE196)</f>
        <v/>
      </c>
      <c r="AF197" s="291">
        <f>SUM(AF195:AF196)</f>
        <v/>
      </c>
      <c r="AG197" s="291">
        <f>SUM(AG195:AG196)</f>
        <v/>
      </c>
      <c r="AH197" s="291">
        <f>SUM(AH195:AH196)</f>
        <v/>
      </c>
      <c r="AI197" s="291">
        <f>SUM(AI195:AI196)</f>
        <v/>
      </c>
      <c r="AJ197" s="291">
        <f>SUM(AJ195:AJ196)</f>
        <v/>
      </c>
      <c r="AK197" s="291">
        <f>SUM(AK195:AK196)</f>
        <v/>
      </c>
      <c r="AL197" s="291">
        <f>SUM(AL195:AL196)</f>
        <v/>
      </c>
      <c r="AM197" s="291">
        <f>SUM(AM195:AM196)</f>
        <v/>
      </c>
      <c r="AN197" s="291">
        <f>SUM(AN195:AN196)</f>
        <v/>
      </c>
      <c r="AO197" s="291">
        <f>SUM(AO195:AO196)</f>
        <v/>
      </c>
      <c r="AP197" s="291">
        <f>SUM(AP195:AP196)</f>
        <v/>
      </c>
      <c r="AQ197" s="291">
        <f>SUM(AQ195:AQ196)</f>
        <v/>
      </c>
      <c r="AR197" s="291">
        <f>SUM(AR195:AR196)</f>
        <v/>
      </c>
      <c r="AS197" s="291">
        <f>SUM(AS195:AS196)</f>
        <v/>
      </c>
      <c r="AT197" s="291">
        <f>SUM(AT195:AT196)</f>
        <v/>
      </c>
      <c r="AU197" s="291">
        <f>SUM(AU195:AU196)</f>
        <v/>
      </c>
      <c r="AV197" s="291">
        <f>SUM(AV195:AV196)</f>
        <v/>
      </c>
      <c r="AW197" s="291">
        <f>SUM(AW195:AW196)</f>
        <v/>
      </c>
      <c r="AX197" s="291">
        <f>SUM(AX195:AX196)</f>
        <v/>
      </c>
      <c r="AY197" s="291">
        <f>SUM(AY195:AY196)</f>
        <v/>
      </c>
      <c r="AZ197" s="291">
        <f>SUM(AZ195:AZ196)</f>
        <v/>
      </c>
      <c r="BA197" s="291">
        <f>SUM(BA195:BA196)</f>
        <v/>
      </c>
      <c r="BB197" s="291">
        <f>SUM(BB195:BB196)</f>
        <v/>
      </c>
      <c r="BC197" s="291">
        <f>SUM(BC195:BC196)</f>
        <v/>
      </c>
      <c r="BD197" s="291">
        <f>SUM(BD195:BD196)</f>
        <v/>
      </c>
      <c r="BE197" s="291">
        <f>SUM(BE195:BE196)</f>
        <v/>
      </c>
      <c r="BF197" s="291">
        <f>SUM(BF195:BF196)</f>
        <v/>
      </c>
      <c r="BG197" s="291">
        <f>SUM(BG195:BG196)</f>
        <v/>
      </c>
      <c r="BH197" s="291">
        <f>SUM(BH195:BH196)</f>
        <v/>
      </c>
      <c r="BI197" s="291">
        <f>SUM(BI195:BI196)</f>
        <v/>
      </c>
      <c r="BJ197" s="291">
        <f>SUM(BJ195:BJ196)</f>
        <v/>
      </c>
      <c r="BK197" s="291">
        <f>SUM(BK195:BK196)</f>
        <v/>
      </c>
      <c r="BL197" s="291">
        <f>SUM(BL195:BL196)</f>
        <v/>
      </c>
      <c r="BM197" s="291">
        <f>SUM(BM195:BM196)</f>
        <v/>
      </c>
      <c r="BN197" s="291">
        <f>SUM(BN195:BN196)</f>
        <v/>
      </c>
      <c r="BO197" s="291">
        <f>SUM(BO195:BO196)</f>
        <v/>
      </c>
      <c r="BP197" s="291">
        <f>SUM(BP195:BP196)</f>
        <v/>
      </c>
      <c r="BQ197" s="291">
        <f>SUM(BQ195:BQ196)</f>
        <v/>
      </c>
      <c r="BR197" s="291">
        <f>SUM(BR195:BR196)</f>
        <v/>
      </c>
      <c r="BS197" s="291">
        <f>SUM(BS195:BS196)</f>
        <v/>
      </c>
      <c r="BT197" s="291">
        <f>SUM(BT195:BT196)</f>
        <v/>
      </c>
      <c r="BU197" s="291">
        <f>SUM(BU195:BU196)</f>
        <v/>
      </c>
      <c r="BV197" s="291">
        <f>SUM(BV195:BV196)</f>
        <v/>
      </c>
      <c r="BW197" s="291">
        <f>SUM(BW195:BW196)</f>
        <v/>
      </c>
      <c r="BX197" s="291">
        <f>SUM(BX195:BX196)</f>
        <v/>
      </c>
      <c r="BY197" s="291">
        <f>SUM(BY195:BY196)</f>
        <v/>
      </c>
      <c r="BZ197" s="291">
        <f>SUM(BZ195:BZ196)</f>
        <v/>
      </c>
      <c r="CA197" s="291">
        <f>SUM(CA195:CA196)</f>
        <v/>
      </c>
      <c r="CB197" s="291">
        <f>SUM(CB195:CB196)</f>
        <v/>
      </c>
      <c r="CC197" s="291">
        <f>SUM(CC195:CC196)</f>
        <v/>
      </c>
      <c r="CD197" s="291">
        <f>SUM(CD195:CD196)</f>
        <v/>
      </c>
      <c r="CE197" s="291">
        <f>SUM(CE195:CE196)</f>
        <v/>
      </c>
      <c r="CF197" s="291">
        <f>SUM(CF195:CF196)</f>
        <v/>
      </c>
      <c r="CG197" s="291">
        <f>SUM(CG195:CG196)</f>
        <v/>
      </c>
      <c r="CH197" s="291">
        <f>SUM(CH195:CH196)</f>
        <v/>
      </c>
      <c r="CI197" s="291">
        <f>SUM(CI195:CI196)</f>
        <v/>
      </c>
      <c r="CJ197" s="291">
        <f>SUM(CJ195:CJ196)</f>
        <v/>
      </c>
      <c r="CK197" s="291">
        <f>SUM(CK195:CK196)</f>
        <v/>
      </c>
      <c r="CL197" s="291">
        <f>SUM(CL195:CL196)</f>
        <v/>
      </c>
      <c r="CM197" s="291">
        <f>SUM(CM195:CM196)</f>
        <v/>
      </c>
      <c r="CN197" s="291">
        <f>SUM(CN195:CN196)</f>
        <v/>
      </c>
      <c r="CO197" s="291">
        <f>SUM(CO195:CO196)</f>
        <v/>
      </c>
      <c r="CP197" s="291">
        <f>SUM(CP195:CP196)</f>
        <v/>
      </c>
      <c r="CQ197" s="291">
        <f>SUM(CQ195:CQ196)</f>
        <v/>
      </c>
      <c r="CR197" s="291">
        <f>SUM(CR195:CR196)</f>
        <v/>
      </c>
      <c r="CS197" s="291">
        <f>SUM(CS195:CS196)</f>
        <v/>
      </c>
      <c r="CT197" s="291">
        <f>SUM(CT195:CT196)</f>
        <v/>
      </c>
      <c r="CU197" s="291">
        <f>SUM(CU195:CU196)</f>
        <v/>
      </c>
      <c r="CV197" s="291">
        <f>SUM(CV195:CV196)</f>
        <v/>
      </c>
      <c r="CW197" s="291">
        <f>SUM(CW195:CW196)</f>
        <v/>
      </c>
      <c r="CX197" s="291">
        <f>SUM(CX195:CX196)</f>
        <v/>
      </c>
      <c r="CY197" s="291">
        <f>SUM(CY195:CY196)</f>
        <v/>
      </c>
      <c r="CZ197" s="291">
        <f>SUM(CZ195:CZ196)</f>
        <v/>
      </c>
      <c r="DA197" s="291">
        <f>SUM(DA195:DA196)</f>
        <v/>
      </c>
      <c r="DB197" s="291">
        <f>SUM(DB195:DB196)</f>
        <v/>
      </c>
      <c r="DC197" s="291" t="n"/>
      <c r="DD197" s="289">
        <f>MAX(F197:DB197)</f>
        <v/>
      </c>
    </row>
    <row r="198" hidden="1" outlineLevel="1">
      <c r="A198" s="15" t="inlineStr">
        <is>
          <t>Total Fundings</t>
        </is>
      </c>
      <c r="B198" s="15" t="n"/>
      <c r="C198" s="336">
        <f>SUM(C191:C197)</f>
        <v/>
      </c>
      <c r="D198" s="13" t="n"/>
      <c r="E198" s="271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  <c r="AS198" s="13" t="n"/>
      <c r="AT198" s="13" t="n"/>
      <c r="AU198" s="13" t="n"/>
      <c r="AV198" s="13" t="n"/>
      <c r="AW198" s="13" t="n"/>
      <c r="AX198" s="13" t="n"/>
      <c r="AY198" s="13" t="n"/>
      <c r="AZ198" s="13" t="n"/>
      <c r="BA198" s="13" t="n"/>
      <c r="BB198" s="13" t="n"/>
      <c r="BC198" s="13" t="n"/>
      <c r="BD198" s="13" t="n"/>
      <c r="BE198" s="13" t="n"/>
      <c r="BF198" s="13" t="n"/>
      <c r="BG198" s="13" t="n"/>
      <c r="BH198" s="13" t="n"/>
      <c r="BI198" s="13" t="n"/>
      <c r="BJ198" s="13" t="n"/>
      <c r="BK198" s="13" t="n"/>
      <c r="BL198" s="13" t="n"/>
      <c r="BM198" s="13" t="n"/>
      <c r="BN198" s="13" t="n"/>
      <c r="BO198" s="13" t="n"/>
      <c r="BP198" s="13" t="n"/>
      <c r="BQ198" s="13" t="n"/>
      <c r="BR198" s="13" t="n"/>
      <c r="BS198" s="13" t="n"/>
      <c r="BT198" s="13" t="n"/>
      <c r="BU198" s="13" t="n"/>
      <c r="BV198" s="13" t="n"/>
      <c r="BW198" s="13" t="n"/>
      <c r="BX198" s="13" t="n"/>
      <c r="BY198" s="13" t="n"/>
      <c r="BZ198" s="13" t="n"/>
      <c r="CA198" s="13" t="n"/>
      <c r="CB198" s="13" t="n"/>
      <c r="CC198" s="13" t="n"/>
      <c r="CD198" s="13" t="n"/>
      <c r="CE198" s="13" t="n"/>
      <c r="CF198" s="13" t="n"/>
      <c r="CG198" s="13" t="n"/>
      <c r="CH198" s="13" t="n"/>
      <c r="CI198" s="13" t="n"/>
      <c r="CJ198" s="13" t="n"/>
      <c r="CK198" s="13" t="n"/>
      <c r="CL198" s="13" t="n"/>
      <c r="CM198" s="13" t="n"/>
      <c r="CN198" s="13" t="n"/>
      <c r="CO198" s="13" t="n"/>
      <c r="CP198" s="13" t="n"/>
      <c r="CQ198" s="13" t="n"/>
      <c r="CR198" s="13" t="n"/>
      <c r="CS198" s="13" t="n"/>
      <c r="CT198" s="13" t="n"/>
      <c r="CU198" s="13" t="n"/>
      <c r="CV198" s="13" t="n"/>
      <c r="CW198" s="13" t="n"/>
      <c r="CX198" s="13" t="n"/>
      <c r="CY198" s="13" t="n"/>
      <c r="CZ198" s="13" t="n"/>
      <c r="DA198" s="13" t="n"/>
      <c r="DB198" s="13" t="n"/>
      <c r="DC198" s="13" t="n"/>
      <c r="DD198" s="13" t="n"/>
    </row>
    <row r="199" hidden="1" outlineLevel="1">
      <c r="A199" s="15" t="n"/>
      <c r="B199" s="15" t="n"/>
      <c r="C199" s="336" t="n"/>
      <c r="D199" s="13" t="n"/>
      <c r="E199" s="271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  <c r="AP199" s="13" t="n"/>
      <c r="AQ199" s="13" t="n"/>
      <c r="AR199" s="13" t="n"/>
      <c r="AS199" s="13" t="n"/>
      <c r="AT199" s="13" t="n"/>
      <c r="AU199" s="13" t="n"/>
      <c r="AV199" s="13" t="n"/>
      <c r="AW199" s="13" t="n"/>
      <c r="AX199" s="13" t="n"/>
      <c r="AY199" s="13" t="n"/>
      <c r="AZ199" s="13" t="n"/>
      <c r="BA199" s="13" t="n"/>
      <c r="BB199" s="13" t="n"/>
      <c r="BC199" s="13" t="n"/>
      <c r="BD199" s="13" t="n"/>
      <c r="BE199" s="13" t="n"/>
      <c r="BF199" s="13" t="n"/>
      <c r="BG199" s="13" t="n"/>
      <c r="BH199" s="13" t="n"/>
      <c r="BI199" s="13" t="n"/>
      <c r="BJ199" s="13" t="n"/>
      <c r="BK199" s="13" t="n"/>
      <c r="BL199" s="13" t="n"/>
      <c r="BM199" s="13" t="n"/>
      <c r="BN199" s="13" t="n"/>
      <c r="BO199" s="13" t="n"/>
      <c r="BP199" s="13" t="n"/>
      <c r="BQ199" s="13" t="n"/>
      <c r="BR199" s="13" t="n"/>
      <c r="BS199" s="13" t="n"/>
      <c r="BT199" s="13" t="n"/>
      <c r="BU199" s="13" t="n"/>
      <c r="BV199" s="13" t="n"/>
      <c r="BW199" s="13" t="n"/>
      <c r="BX199" s="13" t="n"/>
      <c r="BY199" s="13" t="n"/>
      <c r="BZ199" s="13" t="n"/>
      <c r="CA199" s="13" t="n"/>
      <c r="CB199" s="13" t="n"/>
      <c r="CC199" s="13" t="n"/>
      <c r="CD199" s="13" t="n"/>
      <c r="CE199" s="13" t="n"/>
      <c r="CF199" s="13" t="n"/>
      <c r="CG199" s="13" t="n"/>
      <c r="CH199" s="13" t="n"/>
      <c r="CI199" s="13" t="n"/>
      <c r="CJ199" s="13" t="n"/>
      <c r="CK199" s="13" t="n"/>
      <c r="CL199" s="13" t="n"/>
      <c r="CM199" s="13" t="n"/>
      <c r="CN199" s="13" t="n"/>
      <c r="CO199" s="13" t="n"/>
      <c r="CP199" s="13" t="n"/>
      <c r="CQ199" s="13" t="n"/>
      <c r="CR199" s="13" t="n"/>
      <c r="CS199" s="13" t="n"/>
      <c r="CT199" s="13" t="n"/>
      <c r="CU199" s="13" t="n"/>
      <c r="CV199" s="13" t="n"/>
      <c r="CW199" s="13" t="n"/>
      <c r="CX199" s="13" t="n"/>
      <c r="CY199" s="13" t="n"/>
      <c r="CZ199" s="13" t="n"/>
      <c r="DA199" s="13" t="n"/>
      <c r="DB199" s="13" t="n"/>
      <c r="DC199" s="13" t="n"/>
      <c r="DD199" s="13" t="n"/>
    </row>
    <row r="200" hidden="1" outlineLevel="1">
      <c r="A200" s="335" t="inlineStr">
        <is>
          <t>Calculation Construction Loan Period Fundings to Replace Land Period Fudings</t>
        </is>
      </c>
      <c r="B200" s="335" t="n"/>
      <c r="C200" s="15" t="n"/>
      <c r="D200" s="13" t="n"/>
      <c r="E200" s="271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  <c r="AP200" s="13" t="n"/>
      <c r="AQ200" s="13" t="n"/>
      <c r="AR200" s="13" t="n"/>
      <c r="AS200" s="13" t="n"/>
      <c r="AT200" s="13" t="n"/>
      <c r="AU200" s="13" t="n"/>
      <c r="AV200" s="13" t="n"/>
      <c r="AW200" s="13" t="n"/>
      <c r="AX200" s="13" t="n"/>
      <c r="AY200" s="13" t="n"/>
      <c r="AZ200" s="13" t="n"/>
      <c r="BA200" s="13" t="n"/>
      <c r="BB200" s="13" t="n"/>
      <c r="BC200" s="13" t="n"/>
      <c r="BD200" s="13" t="n"/>
      <c r="BE200" s="13" t="n"/>
      <c r="BF200" s="13" t="n"/>
      <c r="BG200" s="13" t="n"/>
      <c r="BH200" s="13" t="n"/>
      <c r="BI200" s="13" t="n"/>
      <c r="BJ200" s="13" t="n"/>
      <c r="BK200" s="13" t="n"/>
      <c r="BL200" s="13" t="n"/>
      <c r="BM200" s="13" t="n"/>
      <c r="BN200" s="13" t="n"/>
      <c r="BO200" s="13" t="n"/>
      <c r="BP200" s="13" t="n"/>
      <c r="BQ200" s="13" t="n"/>
      <c r="BR200" s="13" t="n"/>
      <c r="BS200" s="13" t="n"/>
      <c r="BT200" s="13" t="n"/>
      <c r="BU200" s="13" t="n"/>
      <c r="BV200" s="13" t="n"/>
      <c r="BW200" s="13" t="n"/>
      <c r="BX200" s="13" t="n"/>
      <c r="BY200" s="13" t="n"/>
      <c r="BZ200" s="13" t="n"/>
      <c r="CA200" s="13" t="n"/>
      <c r="CB200" s="13" t="n"/>
      <c r="CC200" s="13" t="n"/>
      <c r="CD200" s="13" t="n"/>
      <c r="CE200" s="13" t="n"/>
      <c r="CF200" s="13" t="n"/>
      <c r="CG200" s="13" t="n"/>
      <c r="CH200" s="13" t="n"/>
      <c r="CI200" s="13" t="n"/>
      <c r="CJ200" s="13" t="n"/>
      <c r="CK200" s="13" t="n"/>
      <c r="CL200" s="13" t="n"/>
      <c r="CM200" s="13" t="n"/>
      <c r="CN200" s="13" t="n"/>
      <c r="CO200" s="13" t="n"/>
      <c r="CP200" s="13" t="n"/>
      <c r="CQ200" s="13" t="n"/>
      <c r="CR200" s="13" t="n"/>
      <c r="CS200" s="13" t="n"/>
      <c r="CT200" s="13" t="n"/>
      <c r="CU200" s="13" t="n"/>
      <c r="CV200" s="13" t="n"/>
      <c r="CW200" s="13" t="n"/>
      <c r="CX200" s="13" t="n"/>
      <c r="CY200" s="13" t="n"/>
      <c r="CZ200" s="13" t="n"/>
      <c r="DA200" s="13" t="n"/>
      <c r="DB200" s="13" t="n"/>
      <c r="DC200" s="13" t="n"/>
      <c r="DD200" s="13" t="n"/>
    </row>
    <row r="201" hidden="1" outlineLevel="1">
      <c r="A201" s="15" t="inlineStr">
        <is>
          <t>Funding Priority - 1</t>
        </is>
      </c>
      <c r="B201" s="15" t="n"/>
      <c r="C201" s="15" t="n"/>
      <c r="D201" s="13" t="n"/>
      <c r="E201" s="271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  <c r="AS201" s="13" t="n"/>
      <c r="AT201" s="13" t="n"/>
      <c r="AU201" s="13" t="n"/>
      <c r="AV201" s="13" t="n"/>
      <c r="AW201" s="13" t="n"/>
      <c r="AX201" s="13" t="n"/>
      <c r="AY201" s="13" t="n"/>
      <c r="AZ201" s="13" t="n"/>
      <c r="BA201" s="13" t="n"/>
      <c r="BB201" s="13" t="n"/>
      <c r="BC201" s="13" t="n"/>
      <c r="BD201" s="13" t="n"/>
      <c r="BE201" s="13" t="n"/>
      <c r="BF201" s="13" t="n"/>
      <c r="BG201" s="13" t="n"/>
      <c r="BH201" s="13" t="n"/>
      <c r="BI201" s="13" t="n"/>
      <c r="BJ201" s="13" t="n"/>
      <c r="BK201" s="13" t="n"/>
      <c r="BL201" s="13" t="n"/>
      <c r="BM201" s="13" t="n"/>
      <c r="BN201" s="13" t="n"/>
      <c r="BO201" s="13" t="n"/>
      <c r="BP201" s="13" t="n"/>
      <c r="BQ201" s="13" t="n"/>
      <c r="BR201" s="13" t="n"/>
      <c r="BS201" s="13" t="n"/>
      <c r="BT201" s="13" t="n"/>
      <c r="BU201" s="13" t="n"/>
      <c r="BV201" s="13" t="n"/>
      <c r="BW201" s="13" t="n"/>
      <c r="BX201" s="13" t="n"/>
      <c r="BY201" s="13" t="n"/>
      <c r="BZ201" s="13" t="n"/>
      <c r="CA201" s="13" t="n"/>
      <c r="CB201" s="13" t="n"/>
      <c r="CC201" s="13" t="n"/>
      <c r="CD201" s="13" t="n"/>
      <c r="CE201" s="13" t="n"/>
      <c r="CF201" s="13" t="n"/>
      <c r="CG201" s="13" t="n"/>
      <c r="CH201" s="13" t="n"/>
      <c r="CI201" s="13" t="n"/>
      <c r="CJ201" s="13" t="n"/>
      <c r="CK201" s="13" t="n"/>
      <c r="CL201" s="13" t="n"/>
      <c r="CM201" s="13" t="n"/>
      <c r="CN201" s="13" t="n"/>
      <c r="CO201" s="13" t="n"/>
      <c r="CP201" s="13" t="n"/>
      <c r="CQ201" s="13" t="n"/>
      <c r="CR201" s="13" t="n"/>
      <c r="CS201" s="13" t="n"/>
      <c r="CT201" s="13" t="n"/>
      <c r="CU201" s="13" t="n"/>
      <c r="CV201" s="13" t="n"/>
      <c r="CW201" s="13" t="n"/>
      <c r="CX201" s="13" t="n"/>
      <c r="CY201" s="13" t="n"/>
      <c r="CZ201" s="13" t="n"/>
      <c r="DA201" s="13" t="n"/>
      <c r="DB201" s="13" t="n"/>
      <c r="DC201" s="13" t="n"/>
      <c r="DD201" s="13" t="n"/>
    </row>
    <row r="202" hidden="1" outlineLevel="1">
      <c r="A202" s="15" t="inlineStr">
        <is>
          <t xml:space="preserve">   Bank Debt</t>
        </is>
      </c>
      <c r="B202" s="15" t="n"/>
      <c r="C202" s="336">
        <f>IF('Project Assumptions'!E26=1,'Project Assumptions'!C26,"")</f>
        <v/>
      </c>
      <c r="D202" s="700">
        <f>IF('Project Assumptions'!E26=1,'Project Assumptions'!C26*('Detailed Project Costs'!$F$74),0)</f>
        <v/>
      </c>
      <c r="E202" s="641" t="n"/>
      <c r="F202" s="293">
        <f>IF(F$5='Project Assumptions'!$D$15,MIN((-F$164)*$D202/MAX($D$204,1),$D202),0)</f>
        <v/>
      </c>
      <c r="G202" s="293">
        <f>IF(G$5='Project Assumptions'!$D$15,MIN((-G$164)*$D202/MAX($D$204,1),$D202),0)</f>
        <v/>
      </c>
      <c r="H202" s="293">
        <f>IF(H$5='Project Assumptions'!$D$15,MIN((-H$164)*$D202/MAX($D$204,1),$D202),0)</f>
        <v/>
      </c>
      <c r="I202" s="293">
        <f>IF(I$5='Project Assumptions'!$D$15,MIN((-I$164)*$D202/MAX($D$204,1),$D202),0)</f>
        <v/>
      </c>
      <c r="J202" s="293">
        <f>IF(J$5='Project Assumptions'!$D$15,MIN((-J$164)*$D202/MAX($D$204,1),$D202),0)</f>
        <v/>
      </c>
      <c r="K202" s="293">
        <f>IF(K$5='Project Assumptions'!$D$15,MIN((-K$164)*$D202/MAX($D$204,1),$D202),0)</f>
        <v/>
      </c>
      <c r="L202" s="293">
        <f>IF(L$5='Project Assumptions'!$D$15,MIN((-L$164)*$D202/MAX($D$204,1),$D202),0)</f>
        <v/>
      </c>
      <c r="M202" s="293">
        <f>IF(M$5='Project Assumptions'!$D$15,MIN((-M$164)*$D202/MAX($D$204,1),$D202),0)</f>
        <v/>
      </c>
      <c r="N202" s="293">
        <f>IF(N$5='Project Assumptions'!$D$15,MIN((-N$164)*$D202/MAX($D$204,1),$D202),0)</f>
        <v/>
      </c>
      <c r="O202" s="293">
        <f>IF(O$5='Project Assumptions'!$D$15,MIN((-O$164)*$D202/MAX($D$204,1),$D202),0)</f>
        <v/>
      </c>
      <c r="P202" s="293">
        <f>IF(P$5='Project Assumptions'!$D$15,MIN((-P$164)*$D202/MAX($D$204,1),$D202),0)</f>
        <v/>
      </c>
      <c r="Q202" s="293">
        <f>IF(Q$5='Project Assumptions'!$D$15,MIN((-Q$164)*$D202/MAX($D$204,1),$D202),0)</f>
        <v/>
      </c>
      <c r="R202" s="293">
        <f>IF(R$5='Project Assumptions'!$D$15,MIN((-R$164)*$D202/MAX($D$204,1),$D202),0)</f>
        <v/>
      </c>
      <c r="S202" s="293">
        <f>IF(S$5='Project Assumptions'!$D$15,MIN((-S$164)*$D202/MAX($D$204,1),$D202),0)</f>
        <v/>
      </c>
      <c r="T202" s="293">
        <f>IF(T$5='Project Assumptions'!$D$15,MIN((-T$164)*$D202/MAX($D$204,1),$D202),0)</f>
        <v/>
      </c>
      <c r="U202" s="293">
        <f>IF(U$5='Project Assumptions'!$D$15,MIN((-U$164)*$D202/MAX($D$204,1),$D202),0)</f>
        <v/>
      </c>
      <c r="V202" s="293">
        <f>IF(V$5='Project Assumptions'!$D$15,MIN((-V$164)*$D202/MAX($D$204,1),$D202),0)</f>
        <v/>
      </c>
      <c r="W202" s="293">
        <f>IF(W$5='Project Assumptions'!$D$15,MIN((-W$164)*$D202/MAX($D$204,1),$D202),0)</f>
        <v/>
      </c>
      <c r="X202" s="293">
        <f>IF(X$5='Project Assumptions'!$D$15,MIN((-X$164)*$D202/MAX($D$204,1),$D202),0)</f>
        <v/>
      </c>
      <c r="Y202" s="293">
        <f>IF(Y$5='Project Assumptions'!$D$15,MIN((-Y$164)*$D202/MAX($D$204,1),$D202),0)</f>
        <v/>
      </c>
      <c r="Z202" s="293">
        <f>IF(Z$5='Project Assumptions'!$D$15,MIN((-Z$164)*$D202/MAX($D$204,1),$D202),0)</f>
        <v/>
      </c>
      <c r="AA202" s="293">
        <f>IF(AA$5='Project Assumptions'!$D$15,MIN((-AA$164)*$D202/MAX($D$204,1),$D202),0)</f>
        <v/>
      </c>
      <c r="AB202" s="293">
        <f>IF(AB$5='Project Assumptions'!$D$15,MIN((-AB$164)*$D202/MAX($D$204,1),$D202),0)</f>
        <v/>
      </c>
      <c r="AC202" s="293">
        <f>IF(AC$5='Project Assumptions'!$D$15,MIN((-AC$164)*$D202/MAX($D$204,1),$D202),0)</f>
        <v/>
      </c>
      <c r="AD202" s="293">
        <f>IF(AD$5='Project Assumptions'!$D$15,MIN((-AD$164)*$D202/MAX($D$204,1),$D202),0)</f>
        <v/>
      </c>
      <c r="AE202" s="293">
        <f>IF(AE$5='Project Assumptions'!$D$15,MIN((-AE$164)*$D202/MAX($D$204,1),$D202),0)</f>
        <v/>
      </c>
      <c r="AF202" s="293">
        <f>IF(AF$5='Project Assumptions'!$D$15,MIN((-AF$164)*$D202/MAX($D$204,1),$D202),0)</f>
        <v/>
      </c>
      <c r="AG202" s="293">
        <f>IF(AG$5='Project Assumptions'!$D$15,MIN((-AG$164)*$D202/MAX($D$204,1),$D202),0)</f>
        <v/>
      </c>
      <c r="AH202" s="293">
        <f>IF(AH$5='Project Assumptions'!$D$15,MIN((-AH$164)*$D202/MAX($D$204,1),$D202),0)</f>
        <v/>
      </c>
      <c r="AI202" s="293">
        <f>IF(AI$5='Project Assumptions'!$D$15,MIN((-AI$164)*$D202/MAX($D$204,1),$D202),0)</f>
        <v/>
      </c>
      <c r="AJ202" s="293">
        <f>IF(AJ$5='Project Assumptions'!$D$15,MIN((-AJ$164)*$D202/MAX($D$204,1),$D202),0)</f>
        <v/>
      </c>
      <c r="AK202" s="293">
        <f>IF(AK$5='Project Assumptions'!$D$15,MIN((-AK$164)*$D202/MAX($D$204,1),$D202),0)</f>
        <v/>
      </c>
      <c r="AL202" s="293">
        <f>IF(AL$5='Project Assumptions'!$D$15,MIN((-AL$164)*$D202/MAX($D$204,1),$D202),0)</f>
        <v/>
      </c>
      <c r="AM202" s="293">
        <f>IF(AM$5='Project Assumptions'!$D$15,MIN((-AM$164)*$D202/MAX($D$204,1),$D202),0)</f>
        <v/>
      </c>
      <c r="AN202" s="293">
        <f>IF(AN$5='Project Assumptions'!$D$15,MIN((-AN$164)*$D202/MAX($D$204,1),$D202),0)</f>
        <v/>
      </c>
      <c r="AO202" s="293">
        <f>IF(AO$5='Project Assumptions'!$D$15,MIN((-AO$164)*$D202/MAX($D$204,1),$D202),0)</f>
        <v/>
      </c>
      <c r="AP202" s="293">
        <f>IF(AP$5='Project Assumptions'!$D$15,MIN((-AP$164)*$D202/MAX($D$204,1),$D202),0)</f>
        <v/>
      </c>
      <c r="AQ202" s="293">
        <f>IF(AQ$5='Project Assumptions'!$D$15,MIN((-AQ$164)*$D202/MAX($D$204,1),$D202),0)</f>
        <v/>
      </c>
      <c r="AR202" s="293">
        <f>IF(AR$5='Project Assumptions'!$D$15,MIN((-AR$164)*$D202/MAX($D$204,1),$D202),0)</f>
        <v/>
      </c>
      <c r="AS202" s="293">
        <f>IF(AS$5='Project Assumptions'!$D$15,MIN((-AS$164)*$D202/MAX($D$204,1),$D202),0)</f>
        <v/>
      </c>
      <c r="AT202" s="293">
        <f>IF(AT$5='Project Assumptions'!$D$15,MIN((-AT$164)*$D202/MAX($D$204,1),$D202),0)</f>
        <v/>
      </c>
      <c r="AU202" s="293">
        <f>IF(AU$5='Project Assumptions'!$D$15,MIN((-AU$164)*$D202/MAX($D$204,1),$D202),0)</f>
        <v/>
      </c>
      <c r="AV202" s="293">
        <f>IF(AV$5='Project Assumptions'!$D$15,MIN((-AV$164)*$D202/MAX($D$204,1),$D202),0)</f>
        <v/>
      </c>
      <c r="AW202" s="293">
        <f>IF(AW$5='Project Assumptions'!$D$15,MIN((-AW$164)*$D202/MAX($D$204,1),$D202),0)</f>
        <v/>
      </c>
      <c r="AX202" s="293">
        <f>IF(AX$5='Project Assumptions'!$D$15,MIN((-AX$164)*$D202/MAX($D$204,1),$D202),0)</f>
        <v/>
      </c>
      <c r="AY202" s="293">
        <f>IF(AY$5='Project Assumptions'!$D$15,MIN((-AY$164)*$D202/MAX($D$204,1),$D202),0)</f>
        <v/>
      </c>
      <c r="AZ202" s="293">
        <f>IF(AZ$5='Project Assumptions'!$D$15,MIN((-AZ$164)*$D202/MAX($D$204,1),$D202),0)</f>
        <v/>
      </c>
      <c r="BA202" s="293">
        <f>IF(BA$5='Project Assumptions'!$D$15,MIN((-BA$164)*$D202/MAX($D$204,1),$D202),0)</f>
        <v/>
      </c>
      <c r="BB202" s="293">
        <f>IF(BB$5='Project Assumptions'!$D$15,MIN((-BB$164)*$D202/MAX($D$204,1),$D202),0)</f>
        <v/>
      </c>
      <c r="BC202" s="293">
        <f>IF(BC$5='Project Assumptions'!$D$15,MIN((-BC$164)*$D202/MAX($D$204,1),$D202),0)</f>
        <v/>
      </c>
      <c r="BD202" s="293">
        <f>IF(BD$5='Project Assumptions'!$D$15,MIN((-BD$164)*$D202/MAX($D$204,1),$D202),0)</f>
        <v/>
      </c>
      <c r="BE202" s="293">
        <f>IF(BE$5='Project Assumptions'!$D$15,MIN((-BE$164)*$D202/MAX($D$204,1),$D202),0)</f>
        <v/>
      </c>
      <c r="BF202" s="293">
        <f>IF(BF$5='Project Assumptions'!$D$15,MIN((-BF$164)*$D202/MAX($D$204,1),$D202),0)</f>
        <v/>
      </c>
      <c r="BG202" s="293">
        <f>IF(BG$5='Project Assumptions'!$D$15,MIN((-BG$164)*$D202/MAX($D$204,1),$D202),0)</f>
        <v/>
      </c>
      <c r="BH202" s="293">
        <f>IF(BH$5='Project Assumptions'!$D$15,MIN((-BH$164)*$D202/MAX($D$204,1),$D202),0)</f>
        <v/>
      </c>
      <c r="BI202" s="293">
        <f>IF(BI$5='Project Assumptions'!$D$15,MIN((-BI$164)*$D202/MAX($D$204,1),$D202),0)</f>
        <v/>
      </c>
      <c r="BJ202" s="293">
        <f>IF(BJ$5='Project Assumptions'!$D$15,MIN((-BJ$164)*$D202/MAX($D$204,1),$D202),0)</f>
        <v/>
      </c>
      <c r="BK202" s="293">
        <f>IF(BK$5='Project Assumptions'!$D$15,MIN((-BK$164)*$D202/MAX($D$204,1),$D202),0)</f>
        <v/>
      </c>
      <c r="BL202" s="293">
        <f>IF(BL$5='Project Assumptions'!$D$15,MIN((-BL$164)*$D202/MAX($D$204,1),$D202),0)</f>
        <v/>
      </c>
      <c r="BM202" s="293">
        <f>IF(BM$5='Project Assumptions'!$D$15,MIN((-BM$164)*$D202/MAX($D$204,1),$D202),0)</f>
        <v/>
      </c>
      <c r="BN202" s="293">
        <f>IF(BN$5='Project Assumptions'!$D$15,MIN((-BN$164)*$D202/MAX($D$204,1),$D202),0)</f>
        <v/>
      </c>
      <c r="BO202" s="293">
        <f>IF(BO$5='Project Assumptions'!$D$15,MIN((-BO$164)*$D202/MAX($D$204,1),$D202),0)</f>
        <v/>
      </c>
      <c r="BP202" s="293">
        <f>IF(BP$5='Project Assumptions'!$D$15,MIN((-BP$164)*$D202/MAX($D$204,1),$D202),0)</f>
        <v/>
      </c>
      <c r="BQ202" s="293">
        <f>IF(BQ$5='Project Assumptions'!$D$15,MIN((-BQ$164)*$D202/MAX($D$204,1),$D202),0)</f>
        <v/>
      </c>
      <c r="BR202" s="293">
        <f>IF(BR$5='Project Assumptions'!$D$15,MIN((-BR$164)*$D202/MAX($D$204,1),$D202),0)</f>
        <v/>
      </c>
      <c r="BS202" s="293">
        <f>IF(BS$5='Project Assumptions'!$D$15,MIN((-BS$164)*$D202/MAX($D$204,1),$D202),0)</f>
        <v/>
      </c>
      <c r="BT202" s="293">
        <f>IF(BT$5='Project Assumptions'!$D$15,MIN((-BT$164)*$D202/MAX($D$204,1),$D202),0)</f>
        <v/>
      </c>
      <c r="BU202" s="293">
        <f>IF(BU$5='Project Assumptions'!$D$15,MIN((-BU$164)*$D202/MAX($D$204,1),$D202),0)</f>
        <v/>
      </c>
      <c r="BV202" s="293">
        <f>IF(BV$5='Project Assumptions'!$D$15,MIN((-BV$164)*$D202/MAX($D$204,1),$D202),0)</f>
        <v/>
      </c>
      <c r="BW202" s="293">
        <f>IF(BW$5='Project Assumptions'!$D$15,MIN((-BW$164)*$D202/MAX($D$204,1),$D202),0)</f>
        <v/>
      </c>
      <c r="BX202" s="293">
        <f>IF(BX$5='Project Assumptions'!$D$15,MIN((-BX$164)*$D202/MAX($D$204,1),$D202),0)</f>
        <v/>
      </c>
      <c r="BY202" s="293">
        <f>IF(BY$5='Project Assumptions'!$D$15,MIN((-BY$164)*$D202/MAX($D$204,1),$D202),0)</f>
        <v/>
      </c>
      <c r="BZ202" s="293">
        <f>IF(BZ$5='Project Assumptions'!$D$15,MIN((-BZ$164)*$D202/MAX($D$204,1),$D202),0)</f>
        <v/>
      </c>
      <c r="CA202" s="293">
        <f>IF(CA$5='Project Assumptions'!$D$15,MIN((-CA$164)*$D202/MAX($D$204,1),$D202),0)</f>
        <v/>
      </c>
      <c r="CB202" s="293">
        <f>IF(CB$5='Project Assumptions'!$D$15,MIN((-CB$164)*$D202/MAX($D$204,1),$D202),0)</f>
        <v/>
      </c>
      <c r="CC202" s="293">
        <f>IF(CC$5='Project Assumptions'!$D$15,MIN((-CC$164)*$D202/MAX($D$204,1),$D202),0)</f>
        <v/>
      </c>
      <c r="CD202" s="293">
        <f>IF(CD$5='Project Assumptions'!$D$15,MIN((-CD$164)*$D202/MAX($D$204,1),$D202),0)</f>
        <v/>
      </c>
      <c r="CE202" s="293">
        <f>IF(CE$5='Project Assumptions'!$D$15,MIN((-CE$164)*$D202/MAX($D$204,1),$D202),0)</f>
        <v/>
      </c>
      <c r="CF202" s="293">
        <f>IF(CF$5='Project Assumptions'!$D$15,MIN((-CF$164)*$D202/MAX($D$204,1),$D202),0)</f>
        <v/>
      </c>
      <c r="CG202" s="293">
        <f>IF(CG$5='Project Assumptions'!$D$15,MIN((-CG$164)*$D202/MAX($D$204,1),$D202),0)</f>
        <v/>
      </c>
      <c r="CH202" s="293">
        <f>IF(CH$5='Project Assumptions'!$D$15,MIN((-CH$164)*$D202/MAX($D$204,1),$D202),0)</f>
        <v/>
      </c>
      <c r="CI202" s="293">
        <f>IF(CI$5='Project Assumptions'!$D$15,MIN((-CI$164)*$D202/MAX($D$204,1),$D202),0)</f>
        <v/>
      </c>
      <c r="CJ202" s="293">
        <f>IF(CJ$5='Project Assumptions'!$D$15,MIN((-CJ$164)*$D202/MAX($D$204,1),$D202),0)</f>
        <v/>
      </c>
      <c r="CK202" s="293">
        <f>IF(CK$5='Project Assumptions'!$D$15,MIN((-CK$164)*$D202/MAX($D$204,1),$D202),0)</f>
        <v/>
      </c>
      <c r="CL202" s="293">
        <f>IF(CL$5='Project Assumptions'!$D$15,MIN((-CL$164)*$D202/MAX($D$204,1),$D202),0)</f>
        <v/>
      </c>
      <c r="CM202" s="293">
        <f>IF(CM$5='Project Assumptions'!$D$15,MIN((-CM$164)*$D202/MAX($D$204,1),$D202),0)</f>
        <v/>
      </c>
      <c r="CN202" s="293">
        <f>IF(CN$5='Project Assumptions'!$D$15,MIN((-CN$164)*$D202/MAX($D$204,1),$D202),0)</f>
        <v/>
      </c>
      <c r="CO202" s="293">
        <f>IF(CO$5='Project Assumptions'!$D$15,MIN((-CO$164)*$D202/MAX($D$204,1),$D202),0)</f>
        <v/>
      </c>
      <c r="CP202" s="293">
        <f>IF(CP$5='Project Assumptions'!$D$15,MIN((-CP$164)*$D202/MAX($D$204,1),$D202),0)</f>
        <v/>
      </c>
      <c r="CQ202" s="293">
        <f>IF(CQ$5='Project Assumptions'!$D$15,MIN((-CQ$164)*$D202/MAX($D$204,1),$D202),0)</f>
        <v/>
      </c>
      <c r="CR202" s="293">
        <f>IF(CR$5='Project Assumptions'!$D$15,MIN((-CR$164)*$D202/MAX($D$204,1),$D202),0)</f>
        <v/>
      </c>
      <c r="CS202" s="293">
        <f>IF(CS$5='Project Assumptions'!$D$15,MIN((-CS$164)*$D202/MAX($D$204,1),$D202),0)</f>
        <v/>
      </c>
      <c r="CT202" s="293">
        <f>IF(CT$5='Project Assumptions'!$D$15,MIN((-CT$164)*$D202/MAX($D$204,1),$D202),0)</f>
        <v/>
      </c>
      <c r="CU202" s="293">
        <f>IF(CU$5='Project Assumptions'!$D$15,MIN((-CU$164)*$D202/MAX($D$204,1),$D202),0)</f>
        <v/>
      </c>
      <c r="CV202" s="293">
        <f>IF(CV$5='Project Assumptions'!$D$15,MIN((-CV$164)*$D202/MAX($D$204,1),$D202),0)</f>
        <v/>
      </c>
      <c r="CW202" s="293">
        <f>IF(CW$5='Project Assumptions'!$D$15,MIN((-CW$164)*$D202/MAX($D$204,1),$D202),0)</f>
        <v/>
      </c>
      <c r="CX202" s="293">
        <f>IF(CX$5='Project Assumptions'!$D$15,MIN((-CX$164)*$D202/MAX($D$204,1),$D202),0)</f>
        <v/>
      </c>
      <c r="CY202" s="293">
        <f>IF(CY$5='Project Assumptions'!$D$15,MIN((-CY$164)*$D202/MAX($D$204,1),$D202),0)</f>
        <v/>
      </c>
      <c r="CZ202" s="293">
        <f>IF(CZ$5='Project Assumptions'!$D$15,MIN((-CZ$164)*$D202/MAX($D$204,1),$D202),0)</f>
        <v/>
      </c>
      <c r="DA202" s="293">
        <f>IF(DA$5='Project Assumptions'!$D$15,MIN((-DA$164)*$D202/MAX($D$204,1),$D202),0)</f>
        <v/>
      </c>
      <c r="DB202" s="293">
        <f>IF(DB$5='Project Assumptions'!$D$15,MIN((-DB$164)*$D202/MAX($D$204,1),$D202),0)</f>
        <v/>
      </c>
      <c r="DC202" s="293" t="n"/>
      <c r="DD202" s="292">
        <f>MAX(F202:DB202)</f>
        <v/>
      </c>
    </row>
    <row r="203" hidden="1" outlineLevel="1">
      <c r="A203" s="15" t="inlineStr">
        <is>
          <t xml:space="preserve">   Equity</t>
        </is>
      </c>
      <c r="B203" s="15" t="n"/>
      <c r="C203" s="336">
        <f>IF('Project Assumptions'!E27=1,'Project Assumptions'!C27,"")</f>
        <v/>
      </c>
      <c r="D203" s="337">
        <f>IF('Project Assumptions'!E27=1,'Project Assumptions'!C27*('Detailed Project Costs'!$F$74),0)</f>
        <v/>
      </c>
      <c r="E203" s="276" t="n"/>
      <c r="F203" s="890">
        <f>IF(F$5='Project Assumptions'!$D$15,MIN((-F$164)*$D203/MAX($D$204,1),$D203),0)</f>
        <v/>
      </c>
      <c r="G203" s="890">
        <f>IF(G$5='Project Assumptions'!$D$15,MIN((-G$164)*$D203/MAX($D$204,1),$D203),0)</f>
        <v/>
      </c>
      <c r="H203" s="890">
        <f>IF(H$5='Project Assumptions'!$D$15,MIN((-H$164)*$D203/MAX($D$204,1),$D203),0)</f>
        <v/>
      </c>
      <c r="I203" s="890">
        <f>IF(I$5='Project Assumptions'!$D$15,MIN((-I$164)*$D203/MAX($D$204,1),$D203),0)</f>
        <v/>
      </c>
      <c r="J203" s="890">
        <f>IF(J$5='Project Assumptions'!$D$15,MIN((-J$164)*$D203/MAX($D$204,1),$D203),0)</f>
        <v/>
      </c>
      <c r="K203" s="890">
        <f>IF(K$5='Project Assumptions'!$D$15,MIN((-K$164)*$D203/MAX($D$204,1),$D203),0)</f>
        <v/>
      </c>
      <c r="L203" s="890">
        <f>IF(L$5='Project Assumptions'!$D$15,MIN((-L$164)*$D203/MAX($D$204,1),$D203),0)</f>
        <v/>
      </c>
      <c r="M203" s="890">
        <f>IF(M$5='Project Assumptions'!$D$15,MIN((-M$164)*$D203/MAX($D$204,1),$D203),0)</f>
        <v/>
      </c>
      <c r="N203" s="890">
        <f>IF(N$5='Project Assumptions'!$D$15,MIN((-N$164)*$D203/MAX($D$204,1),$D203),0)</f>
        <v/>
      </c>
      <c r="O203" s="890">
        <f>IF(O$5='Project Assumptions'!$D$15,MIN((-O$164)*$D203/MAX($D$204,1),$D203),0)</f>
        <v/>
      </c>
      <c r="P203" s="890">
        <f>IF(P$5='Project Assumptions'!$D$15,MIN((-P$164)*$D203/MAX($D$204,1),$D203),0)</f>
        <v/>
      </c>
      <c r="Q203" s="890">
        <f>IF(Q$5='Project Assumptions'!$D$15,MIN((-Q$164)*$D203/MAX($D$204,1),$D203),0)</f>
        <v/>
      </c>
      <c r="R203" s="890">
        <f>IF(R$5='Project Assumptions'!$D$15,MIN((-R$164)*$D203/MAX($D$204,1),$D203),0)</f>
        <v/>
      </c>
      <c r="S203" s="890">
        <f>IF(S$5='Project Assumptions'!$D$15,MIN((-S$164)*$D203/MAX($D$204,1),$D203),0)</f>
        <v/>
      </c>
      <c r="T203" s="890">
        <f>IF(T$5='Project Assumptions'!$D$15,MIN((-T$164)*$D203/MAX($D$204,1),$D203),0)</f>
        <v/>
      </c>
      <c r="U203" s="890">
        <f>IF(U$5='Project Assumptions'!$D$15,MIN((-U$164)*$D203/MAX($D$204,1),$D203),0)</f>
        <v/>
      </c>
      <c r="V203" s="890">
        <f>IF(V$5='Project Assumptions'!$D$15,MIN((-V$164)*$D203/MAX($D$204,1),$D203),0)</f>
        <v/>
      </c>
      <c r="W203" s="890">
        <f>IF(W$5='Project Assumptions'!$D$15,MIN((-W$164)*$D203/MAX($D$204,1),$D203),0)</f>
        <v/>
      </c>
      <c r="X203" s="890">
        <f>IF(X$5='Project Assumptions'!$D$15,MIN((-X$164)*$D203/MAX($D$204,1),$D203),0)</f>
        <v/>
      </c>
      <c r="Y203" s="890">
        <f>IF(Y$5='Project Assumptions'!$D$15,MIN((-Y$164)*$D203/MAX($D$204,1),$D203),0)</f>
        <v/>
      </c>
      <c r="Z203" s="890">
        <f>IF(Z$5='Project Assumptions'!$D$15,MIN((-Z$164)*$D203/MAX($D$204,1),$D203),0)</f>
        <v/>
      </c>
      <c r="AA203" s="890">
        <f>IF(AA$5='Project Assumptions'!$D$15,MIN((-AA$164)*$D203/MAX($D$204,1),$D203),0)</f>
        <v/>
      </c>
      <c r="AB203" s="890">
        <f>IF(AB$5='Project Assumptions'!$D$15,MIN((-AB$164)*$D203/MAX($D$204,1),$D203),0)</f>
        <v/>
      </c>
      <c r="AC203" s="890">
        <f>IF(AC$5='Project Assumptions'!$D$15,MIN((-AC$164)*$D203/MAX($D$204,1),$D203),0)</f>
        <v/>
      </c>
      <c r="AD203" s="890">
        <f>IF(AD$5='Project Assumptions'!$D$15,MIN((-AD$164)*$D203/MAX($D$204,1),$D203),0)</f>
        <v/>
      </c>
      <c r="AE203" s="890">
        <f>IF(AE$5='Project Assumptions'!$D$15,MIN((-AE$164)*$D203/MAX($D$204,1),$D203),0)</f>
        <v/>
      </c>
      <c r="AF203" s="890">
        <f>IF(AF$5='Project Assumptions'!$D$15,MIN((-AF$164)*$D203/MAX($D$204,1),$D203),0)</f>
        <v/>
      </c>
      <c r="AG203" s="890">
        <f>IF(AG$5='Project Assumptions'!$D$15,MIN((-AG$164)*$D203/MAX($D$204,1),$D203),0)</f>
        <v/>
      </c>
      <c r="AH203" s="890">
        <f>IF(AH$5='Project Assumptions'!$D$15,MIN((-AH$164)*$D203/MAX($D$204,1),$D203),0)</f>
        <v/>
      </c>
      <c r="AI203" s="890">
        <f>IF(AI$5='Project Assumptions'!$D$15,MIN((-AI$164)*$D203/MAX($D$204,1),$D203),0)</f>
        <v/>
      </c>
      <c r="AJ203" s="890">
        <f>IF(AJ$5='Project Assumptions'!$D$15,MIN((-AJ$164)*$D203/MAX($D$204,1),$D203),0)</f>
        <v/>
      </c>
      <c r="AK203" s="890">
        <f>IF(AK$5='Project Assumptions'!$D$15,MIN((-AK$164)*$D203/MAX($D$204,1),$D203),0)</f>
        <v/>
      </c>
      <c r="AL203" s="890">
        <f>IF(AL$5='Project Assumptions'!$D$15,MIN((-AL$164)*$D203/MAX($D$204,1),$D203),0)</f>
        <v/>
      </c>
      <c r="AM203" s="890">
        <f>IF(AM$5='Project Assumptions'!$D$15,MIN((-AM$164)*$D203/MAX($D$204,1),$D203),0)</f>
        <v/>
      </c>
      <c r="AN203" s="890">
        <f>IF(AN$5='Project Assumptions'!$D$15,MIN((-AN$164)*$D203/MAX($D$204,1),$D203),0)</f>
        <v/>
      </c>
      <c r="AO203" s="890">
        <f>IF(AO$5='Project Assumptions'!$D$15,MIN((-AO$164)*$D203/MAX($D$204,1),$D203),0)</f>
        <v/>
      </c>
      <c r="AP203" s="890">
        <f>IF(AP$5='Project Assumptions'!$D$15,MIN((-AP$164)*$D203/MAX($D$204,1),$D203),0)</f>
        <v/>
      </c>
      <c r="AQ203" s="890">
        <f>IF(AQ$5='Project Assumptions'!$D$15,MIN((-AQ$164)*$D203/MAX($D$204,1),$D203),0)</f>
        <v/>
      </c>
      <c r="AR203" s="890">
        <f>IF(AR$5='Project Assumptions'!$D$15,MIN((-AR$164)*$D203/MAX($D$204,1),$D203),0)</f>
        <v/>
      </c>
      <c r="AS203" s="890">
        <f>IF(AS$5='Project Assumptions'!$D$15,MIN((-AS$164)*$D203/MAX($D$204,1),$D203),0)</f>
        <v/>
      </c>
      <c r="AT203" s="890">
        <f>IF(AT$5='Project Assumptions'!$D$15,MIN((-AT$164)*$D203/MAX($D$204,1),$D203),0)</f>
        <v/>
      </c>
      <c r="AU203" s="890">
        <f>IF(AU$5='Project Assumptions'!$D$15,MIN((-AU$164)*$D203/MAX($D$204,1),$D203),0)</f>
        <v/>
      </c>
      <c r="AV203" s="890">
        <f>IF(AV$5='Project Assumptions'!$D$15,MIN((-AV$164)*$D203/MAX($D$204,1),$D203),0)</f>
        <v/>
      </c>
      <c r="AW203" s="890">
        <f>IF(AW$5='Project Assumptions'!$D$15,MIN((-AW$164)*$D203/MAX($D$204,1),$D203),0)</f>
        <v/>
      </c>
      <c r="AX203" s="890">
        <f>IF(AX$5='Project Assumptions'!$D$15,MIN((-AX$164)*$D203/MAX($D$204,1),$D203),0)</f>
        <v/>
      </c>
      <c r="AY203" s="890">
        <f>IF(AY$5='Project Assumptions'!$D$15,MIN((-AY$164)*$D203/MAX($D$204,1),$D203),0)</f>
        <v/>
      </c>
      <c r="AZ203" s="890">
        <f>IF(AZ$5='Project Assumptions'!$D$15,MIN((-AZ$164)*$D203/MAX($D$204,1),$D203),0)</f>
        <v/>
      </c>
      <c r="BA203" s="890">
        <f>IF(BA$5='Project Assumptions'!$D$15,MIN((-BA$164)*$D203/MAX($D$204,1),$D203),0)</f>
        <v/>
      </c>
      <c r="BB203" s="890">
        <f>IF(BB$5='Project Assumptions'!$D$15,MIN((-BB$164)*$D203/MAX($D$204,1),$D203),0)</f>
        <v/>
      </c>
      <c r="BC203" s="890">
        <f>IF(BC$5='Project Assumptions'!$D$15,MIN((-BC$164)*$D203/MAX($D$204,1),$D203),0)</f>
        <v/>
      </c>
      <c r="BD203" s="890">
        <f>IF(BD$5='Project Assumptions'!$D$15,MIN((-BD$164)*$D203/MAX($D$204,1),$D203),0)</f>
        <v/>
      </c>
      <c r="BE203" s="890">
        <f>IF(BE$5='Project Assumptions'!$D$15,MIN((-BE$164)*$D203/MAX($D$204,1),$D203),0)</f>
        <v/>
      </c>
      <c r="BF203" s="890">
        <f>IF(BF$5='Project Assumptions'!$D$15,MIN((-BF$164)*$D203/MAX($D$204,1),$D203),0)</f>
        <v/>
      </c>
      <c r="BG203" s="890">
        <f>IF(BG$5='Project Assumptions'!$D$15,MIN((-BG$164)*$D203/MAX($D$204,1),$D203),0)</f>
        <v/>
      </c>
      <c r="BH203" s="890">
        <f>IF(BH$5='Project Assumptions'!$D$15,MIN((-BH$164)*$D203/MAX($D$204,1),$D203),0)</f>
        <v/>
      </c>
      <c r="BI203" s="890">
        <f>IF(BI$5='Project Assumptions'!$D$15,MIN((-BI$164)*$D203/MAX($D$204,1),$D203),0)</f>
        <v/>
      </c>
      <c r="BJ203" s="890">
        <f>IF(BJ$5='Project Assumptions'!$D$15,MIN((-BJ$164)*$D203/MAX($D$204,1),$D203),0)</f>
        <v/>
      </c>
      <c r="BK203" s="890">
        <f>IF(BK$5='Project Assumptions'!$D$15,MIN((-BK$164)*$D203/MAX($D$204,1),$D203),0)</f>
        <v/>
      </c>
      <c r="BL203" s="890">
        <f>IF(BL$5='Project Assumptions'!$D$15,MIN((-BL$164)*$D203/MAX($D$204,1),$D203),0)</f>
        <v/>
      </c>
      <c r="BM203" s="890">
        <f>IF(BM$5='Project Assumptions'!$D$15,MIN((-BM$164)*$D203/MAX($D$204,1),$D203),0)</f>
        <v/>
      </c>
      <c r="BN203" s="890">
        <f>IF(BN$5='Project Assumptions'!$D$15,MIN((-BN$164)*$D203/MAX($D$204,1),$D203),0)</f>
        <v/>
      </c>
      <c r="BO203" s="890">
        <f>IF(BO$5='Project Assumptions'!$D$15,MIN((-BO$164)*$D203/MAX($D$204,1),$D203),0)</f>
        <v/>
      </c>
      <c r="BP203" s="890">
        <f>IF(BP$5='Project Assumptions'!$D$15,MIN((-BP$164)*$D203/MAX($D$204,1),$D203),0)</f>
        <v/>
      </c>
      <c r="BQ203" s="890">
        <f>IF(BQ$5='Project Assumptions'!$D$15,MIN((-BQ$164)*$D203/MAX($D$204,1),$D203),0)</f>
        <v/>
      </c>
      <c r="BR203" s="890">
        <f>IF(BR$5='Project Assumptions'!$D$15,MIN((-BR$164)*$D203/MAX($D$204,1),$D203),0)</f>
        <v/>
      </c>
      <c r="BS203" s="890">
        <f>IF(BS$5='Project Assumptions'!$D$15,MIN((-BS$164)*$D203/MAX($D$204,1),$D203),0)</f>
        <v/>
      </c>
      <c r="BT203" s="890">
        <f>IF(BT$5='Project Assumptions'!$D$15,MIN((-BT$164)*$D203/MAX($D$204,1),$D203),0)</f>
        <v/>
      </c>
      <c r="BU203" s="890">
        <f>IF(BU$5='Project Assumptions'!$D$15,MIN((-BU$164)*$D203/MAX($D$204,1),$D203),0)</f>
        <v/>
      </c>
      <c r="BV203" s="890">
        <f>IF(BV$5='Project Assumptions'!$D$15,MIN((-BV$164)*$D203/MAX($D$204,1),$D203),0)</f>
        <v/>
      </c>
      <c r="BW203" s="890">
        <f>IF(BW$5='Project Assumptions'!$D$15,MIN((-BW$164)*$D203/MAX($D$204,1),$D203),0)</f>
        <v/>
      </c>
      <c r="BX203" s="890">
        <f>IF(BX$5='Project Assumptions'!$D$15,MIN((-BX$164)*$D203/MAX($D$204,1),$D203),0)</f>
        <v/>
      </c>
      <c r="BY203" s="890">
        <f>IF(BY$5='Project Assumptions'!$D$15,MIN((-BY$164)*$D203/MAX($D$204,1),$D203),0)</f>
        <v/>
      </c>
      <c r="BZ203" s="890">
        <f>IF(BZ$5='Project Assumptions'!$D$15,MIN((-BZ$164)*$D203/MAX($D$204,1),$D203),0)</f>
        <v/>
      </c>
      <c r="CA203" s="890">
        <f>IF(CA$5='Project Assumptions'!$D$15,MIN((-CA$164)*$D203/MAX($D$204,1),$D203),0)</f>
        <v/>
      </c>
      <c r="CB203" s="890">
        <f>IF(CB$5='Project Assumptions'!$D$15,MIN((-CB$164)*$D203/MAX($D$204,1),$D203),0)</f>
        <v/>
      </c>
      <c r="CC203" s="890">
        <f>IF(CC$5='Project Assumptions'!$D$15,MIN((-CC$164)*$D203/MAX($D$204,1),$D203),0)</f>
        <v/>
      </c>
      <c r="CD203" s="890">
        <f>IF(CD$5='Project Assumptions'!$D$15,MIN((-CD$164)*$D203/MAX($D$204,1),$D203),0)</f>
        <v/>
      </c>
      <c r="CE203" s="890">
        <f>IF(CE$5='Project Assumptions'!$D$15,MIN((-CE$164)*$D203/MAX($D$204,1),$D203),0)</f>
        <v/>
      </c>
      <c r="CF203" s="890">
        <f>IF(CF$5='Project Assumptions'!$D$15,MIN((-CF$164)*$D203/MAX($D$204,1),$D203),0)</f>
        <v/>
      </c>
      <c r="CG203" s="890">
        <f>IF(CG$5='Project Assumptions'!$D$15,MIN((-CG$164)*$D203/MAX($D$204,1),$D203),0)</f>
        <v/>
      </c>
      <c r="CH203" s="890">
        <f>IF(CH$5='Project Assumptions'!$D$15,MIN((-CH$164)*$D203/MAX($D$204,1),$D203),0)</f>
        <v/>
      </c>
      <c r="CI203" s="890">
        <f>IF(CI$5='Project Assumptions'!$D$15,MIN((-CI$164)*$D203/MAX($D$204,1),$D203),0)</f>
        <v/>
      </c>
      <c r="CJ203" s="890">
        <f>IF(CJ$5='Project Assumptions'!$D$15,MIN((-CJ$164)*$D203/MAX($D$204,1),$D203),0)</f>
        <v/>
      </c>
      <c r="CK203" s="890">
        <f>IF(CK$5='Project Assumptions'!$D$15,MIN((-CK$164)*$D203/MAX($D$204,1),$D203),0)</f>
        <v/>
      </c>
      <c r="CL203" s="890">
        <f>IF(CL$5='Project Assumptions'!$D$15,MIN((-CL$164)*$D203/MAX($D$204,1),$D203),0)</f>
        <v/>
      </c>
      <c r="CM203" s="890">
        <f>IF(CM$5='Project Assumptions'!$D$15,MIN((-CM$164)*$D203/MAX($D$204,1),$D203),0)</f>
        <v/>
      </c>
      <c r="CN203" s="890">
        <f>IF(CN$5='Project Assumptions'!$D$15,MIN((-CN$164)*$D203/MAX($D$204,1),$D203),0)</f>
        <v/>
      </c>
      <c r="CO203" s="890">
        <f>IF(CO$5='Project Assumptions'!$D$15,MIN((-CO$164)*$D203/MAX($D$204,1),$D203),0)</f>
        <v/>
      </c>
      <c r="CP203" s="890">
        <f>IF(CP$5='Project Assumptions'!$D$15,MIN((-CP$164)*$D203/MAX($D$204,1),$D203),0)</f>
        <v/>
      </c>
      <c r="CQ203" s="890">
        <f>IF(CQ$5='Project Assumptions'!$D$15,MIN((-CQ$164)*$D203/MAX($D$204,1),$D203),0)</f>
        <v/>
      </c>
      <c r="CR203" s="890">
        <f>IF(CR$5='Project Assumptions'!$D$15,MIN((-CR$164)*$D203/MAX($D$204,1),$D203),0)</f>
        <v/>
      </c>
      <c r="CS203" s="890">
        <f>IF(CS$5='Project Assumptions'!$D$15,MIN((-CS$164)*$D203/MAX($D$204,1),$D203),0)</f>
        <v/>
      </c>
      <c r="CT203" s="890">
        <f>IF(CT$5='Project Assumptions'!$D$15,MIN((-CT$164)*$D203/MAX($D$204,1),$D203),0)</f>
        <v/>
      </c>
      <c r="CU203" s="890">
        <f>IF(CU$5='Project Assumptions'!$D$15,MIN((-CU$164)*$D203/MAX($D$204,1),$D203),0)</f>
        <v/>
      </c>
      <c r="CV203" s="890">
        <f>IF(CV$5='Project Assumptions'!$D$15,MIN((-CV$164)*$D203/MAX($D$204,1),$D203),0)</f>
        <v/>
      </c>
      <c r="CW203" s="890">
        <f>IF(CW$5='Project Assumptions'!$D$15,MIN((-CW$164)*$D203/MAX($D$204,1),$D203),0)</f>
        <v/>
      </c>
      <c r="CX203" s="890">
        <f>IF(CX$5='Project Assumptions'!$D$15,MIN((-CX$164)*$D203/MAX($D$204,1),$D203),0)</f>
        <v/>
      </c>
      <c r="CY203" s="890">
        <f>IF(CY$5='Project Assumptions'!$D$15,MIN((-CY$164)*$D203/MAX($D$204,1),$D203),0)</f>
        <v/>
      </c>
      <c r="CZ203" s="890">
        <f>IF(CZ$5='Project Assumptions'!$D$15,MIN((-CZ$164)*$D203/MAX($D$204,1),$D203),0)</f>
        <v/>
      </c>
      <c r="DA203" s="890">
        <f>IF(DA$5='Project Assumptions'!$D$15,MIN((-DA$164)*$D203/MAX($D$204,1),$D203),0)</f>
        <v/>
      </c>
      <c r="DB203" s="890">
        <f>IF(DB$5='Project Assumptions'!$D$15,MIN((-DB$164)*$D203/MAX($D$204,1),$D203),0)</f>
        <v/>
      </c>
      <c r="DC203" s="890" t="n"/>
      <c r="DD203" s="297">
        <f>MAX(F203:DB203)</f>
        <v/>
      </c>
    </row>
    <row r="204" hidden="1" outlineLevel="1">
      <c r="A204" s="15" t="inlineStr">
        <is>
          <t xml:space="preserve">   Total</t>
        </is>
      </c>
      <c r="B204" s="15" t="n"/>
      <c r="C204" s="15" t="n"/>
      <c r="D204" s="338">
        <f>SUM(D202:D203)</f>
        <v/>
      </c>
      <c r="E204" s="290" t="n"/>
      <c r="F204" s="291">
        <f>SUM(F202:F203)</f>
        <v/>
      </c>
      <c r="G204" s="291">
        <f>SUM(G202:G203)</f>
        <v/>
      </c>
      <c r="H204" s="291">
        <f>SUM(H202:H203)</f>
        <v/>
      </c>
      <c r="I204" s="291">
        <f>SUM(I202:I203)</f>
        <v/>
      </c>
      <c r="J204" s="291">
        <f>SUM(J202:J203)</f>
        <v/>
      </c>
      <c r="K204" s="291">
        <f>SUM(K202:K203)</f>
        <v/>
      </c>
      <c r="L204" s="291">
        <f>SUM(L202:L203)</f>
        <v/>
      </c>
      <c r="M204" s="291">
        <f>SUM(M202:M203)</f>
        <v/>
      </c>
      <c r="N204" s="291">
        <f>SUM(N202:N203)</f>
        <v/>
      </c>
      <c r="O204" s="291">
        <f>SUM(O202:O203)</f>
        <v/>
      </c>
      <c r="P204" s="291">
        <f>SUM(P202:P203)</f>
        <v/>
      </c>
      <c r="Q204" s="291">
        <f>SUM(Q202:Q203)</f>
        <v/>
      </c>
      <c r="R204" s="291">
        <f>SUM(R202:R203)</f>
        <v/>
      </c>
      <c r="S204" s="291">
        <f>SUM(S202:S203)</f>
        <v/>
      </c>
      <c r="T204" s="291">
        <f>SUM(T202:T203)</f>
        <v/>
      </c>
      <c r="U204" s="291">
        <f>SUM(U202:U203)</f>
        <v/>
      </c>
      <c r="V204" s="291">
        <f>SUM(V202:V203)</f>
        <v/>
      </c>
      <c r="W204" s="291">
        <f>SUM(W202:W203)</f>
        <v/>
      </c>
      <c r="X204" s="291">
        <f>SUM(X202:X203)</f>
        <v/>
      </c>
      <c r="Y204" s="291">
        <f>SUM(Y202:Y203)</f>
        <v/>
      </c>
      <c r="Z204" s="291">
        <f>SUM(Z202:Z203)</f>
        <v/>
      </c>
      <c r="AA204" s="291">
        <f>SUM(AA202:AA203)</f>
        <v/>
      </c>
      <c r="AB204" s="291">
        <f>SUM(AB202:AB203)</f>
        <v/>
      </c>
      <c r="AC204" s="291">
        <f>SUM(AC202:AC203)</f>
        <v/>
      </c>
      <c r="AD204" s="291">
        <f>SUM(AD202:AD203)</f>
        <v/>
      </c>
      <c r="AE204" s="291">
        <f>SUM(AE202:AE203)</f>
        <v/>
      </c>
      <c r="AF204" s="291">
        <f>SUM(AF202:AF203)</f>
        <v/>
      </c>
      <c r="AG204" s="291">
        <f>SUM(AG202:AG203)</f>
        <v/>
      </c>
      <c r="AH204" s="291">
        <f>SUM(AH202:AH203)</f>
        <v/>
      </c>
      <c r="AI204" s="291">
        <f>SUM(AI202:AI203)</f>
        <v/>
      </c>
      <c r="AJ204" s="291">
        <f>SUM(AJ202:AJ203)</f>
        <v/>
      </c>
      <c r="AK204" s="291">
        <f>SUM(AK202:AK203)</f>
        <v/>
      </c>
      <c r="AL204" s="291">
        <f>SUM(AL202:AL203)</f>
        <v/>
      </c>
      <c r="AM204" s="291">
        <f>SUM(AM202:AM203)</f>
        <v/>
      </c>
      <c r="AN204" s="291">
        <f>SUM(AN202:AN203)</f>
        <v/>
      </c>
      <c r="AO204" s="291">
        <f>SUM(AO202:AO203)</f>
        <v/>
      </c>
      <c r="AP204" s="291">
        <f>SUM(AP202:AP203)</f>
        <v/>
      </c>
      <c r="AQ204" s="291">
        <f>SUM(AQ202:AQ203)</f>
        <v/>
      </c>
      <c r="AR204" s="291">
        <f>SUM(AR202:AR203)</f>
        <v/>
      </c>
      <c r="AS204" s="291">
        <f>SUM(AS202:AS203)</f>
        <v/>
      </c>
      <c r="AT204" s="291">
        <f>SUM(AT202:AT203)</f>
        <v/>
      </c>
      <c r="AU204" s="291">
        <f>SUM(AU202:AU203)</f>
        <v/>
      </c>
      <c r="AV204" s="291">
        <f>SUM(AV202:AV203)</f>
        <v/>
      </c>
      <c r="AW204" s="291">
        <f>SUM(AW202:AW203)</f>
        <v/>
      </c>
      <c r="AX204" s="291">
        <f>SUM(AX202:AX203)</f>
        <v/>
      </c>
      <c r="AY204" s="291">
        <f>SUM(AY202:AY203)</f>
        <v/>
      </c>
      <c r="AZ204" s="291">
        <f>SUM(AZ202:AZ203)</f>
        <v/>
      </c>
      <c r="BA204" s="291">
        <f>SUM(BA202:BA203)</f>
        <v/>
      </c>
      <c r="BB204" s="291">
        <f>SUM(BB202:BB203)</f>
        <v/>
      </c>
      <c r="BC204" s="291">
        <f>SUM(BC202:BC203)</f>
        <v/>
      </c>
      <c r="BD204" s="291">
        <f>SUM(BD202:BD203)</f>
        <v/>
      </c>
      <c r="BE204" s="291">
        <f>SUM(BE202:BE203)</f>
        <v/>
      </c>
      <c r="BF204" s="291">
        <f>SUM(BF202:BF203)</f>
        <v/>
      </c>
      <c r="BG204" s="291">
        <f>SUM(BG202:BG203)</f>
        <v/>
      </c>
      <c r="BH204" s="291">
        <f>SUM(BH202:BH203)</f>
        <v/>
      </c>
      <c r="BI204" s="291">
        <f>SUM(BI202:BI203)</f>
        <v/>
      </c>
      <c r="BJ204" s="291">
        <f>SUM(BJ202:BJ203)</f>
        <v/>
      </c>
      <c r="BK204" s="291">
        <f>SUM(BK202:BK203)</f>
        <v/>
      </c>
      <c r="BL204" s="291">
        <f>SUM(BL202:BL203)</f>
        <v/>
      </c>
      <c r="BM204" s="291">
        <f>SUM(BM202:BM203)</f>
        <v/>
      </c>
      <c r="BN204" s="291">
        <f>SUM(BN202:BN203)</f>
        <v/>
      </c>
      <c r="BO204" s="291">
        <f>SUM(BO202:BO203)</f>
        <v/>
      </c>
      <c r="BP204" s="291">
        <f>SUM(BP202:BP203)</f>
        <v/>
      </c>
      <c r="BQ204" s="291">
        <f>SUM(BQ202:BQ203)</f>
        <v/>
      </c>
      <c r="BR204" s="291">
        <f>SUM(BR202:BR203)</f>
        <v/>
      </c>
      <c r="BS204" s="291">
        <f>SUM(BS202:BS203)</f>
        <v/>
      </c>
      <c r="BT204" s="291">
        <f>SUM(BT202:BT203)</f>
        <v/>
      </c>
      <c r="BU204" s="291">
        <f>SUM(BU202:BU203)</f>
        <v/>
      </c>
      <c r="BV204" s="291">
        <f>SUM(BV202:BV203)</f>
        <v/>
      </c>
      <c r="BW204" s="291">
        <f>SUM(BW202:BW203)</f>
        <v/>
      </c>
      <c r="BX204" s="291">
        <f>SUM(BX202:BX203)</f>
        <v/>
      </c>
      <c r="BY204" s="291">
        <f>SUM(BY202:BY203)</f>
        <v/>
      </c>
      <c r="BZ204" s="291">
        <f>SUM(BZ202:BZ203)</f>
        <v/>
      </c>
      <c r="CA204" s="291">
        <f>SUM(CA202:CA203)</f>
        <v/>
      </c>
      <c r="CB204" s="291">
        <f>SUM(CB202:CB203)</f>
        <v/>
      </c>
      <c r="CC204" s="291">
        <f>SUM(CC202:CC203)</f>
        <v/>
      </c>
      <c r="CD204" s="291">
        <f>SUM(CD202:CD203)</f>
        <v/>
      </c>
      <c r="CE204" s="291">
        <f>SUM(CE202:CE203)</f>
        <v/>
      </c>
      <c r="CF204" s="291">
        <f>SUM(CF202:CF203)</f>
        <v/>
      </c>
      <c r="CG204" s="291">
        <f>SUM(CG202:CG203)</f>
        <v/>
      </c>
      <c r="CH204" s="291">
        <f>SUM(CH202:CH203)</f>
        <v/>
      </c>
      <c r="CI204" s="291">
        <f>SUM(CI202:CI203)</f>
        <v/>
      </c>
      <c r="CJ204" s="291">
        <f>SUM(CJ202:CJ203)</f>
        <v/>
      </c>
      <c r="CK204" s="291">
        <f>SUM(CK202:CK203)</f>
        <v/>
      </c>
      <c r="CL204" s="291">
        <f>SUM(CL202:CL203)</f>
        <v/>
      </c>
      <c r="CM204" s="291">
        <f>SUM(CM202:CM203)</f>
        <v/>
      </c>
      <c r="CN204" s="291">
        <f>SUM(CN202:CN203)</f>
        <v/>
      </c>
      <c r="CO204" s="291">
        <f>SUM(CO202:CO203)</f>
        <v/>
      </c>
      <c r="CP204" s="291">
        <f>SUM(CP202:CP203)</f>
        <v/>
      </c>
      <c r="CQ204" s="291">
        <f>SUM(CQ202:CQ203)</f>
        <v/>
      </c>
      <c r="CR204" s="291">
        <f>SUM(CR202:CR203)</f>
        <v/>
      </c>
      <c r="CS204" s="291">
        <f>SUM(CS202:CS203)</f>
        <v/>
      </c>
      <c r="CT204" s="291">
        <f>SUM(CT202:CT203)</f>
        <v/>
      </c>
      <c r="CU204" s="291">
        <f>SUM(CU202:CU203)</f>
        <v/>
      </c>
      <c r="CV204" s="291">
        <f>SUM(CV202:CV203)</f>
        <v/>
      </c>
      <c r="CW204" s="291">
        <f>SUM(CW202:CW203)</f>
        <v/>
      </c>
      <c r="CX204" s="291">
        <f>SUM(CX202:CX203)</f>
        <v/>
      </c>
      <c r="CY204" s="291">
        <f>SUM(CY202:CY203)</f>
        <v/>
      </c>
      <c r="CZ204" s="291">
        <f>SUM(CZ202:CZ203)</f>
        <v/>
      </c>
      <c r="DA204" s="291">
        <f>SUM(DA202:DA203)</f>
        <v/>
      </c>
      <c r="DB204" s="291">
        <f>SUM(DB202:DB203)</f>
        <v/>
      </c>
      <c r="DC204" s="291" t="n"/>
      <c r="DD204" s="289">
        <f>MAX(F204:DB204)</f>
        <v/>
      </c>
    </row>
    <row r="205" hidden="1" outlineLevel="1">
      <c r="A205" s="15" t="inlineStr">
        <is>
          <t>Funding Priority - 2</t>
        </is>
      </c>
      <c r="B205" s="15" t="n"/>
      <c r="C205" s="15" t="n"/>
      <c r="D205" s="13" t="n"/>
      <c r="E205" s="271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  <c r="AP205" s="13" t="n"/>
      <c r="AQ205" s="13" t="n"/>
      <c r="AR205" s="13" t="n"/>
      <c r="AS205" s="13" t="n"/>
      <c r="AT205" s="13" t="n"/>
      <c r="AU205" s="13" t="n"/>
      <c r="AV205" s="13" t="n"/>
      <c r="AW205" s="13" t="n"/>
      <c r="AX205" s="13" t="n"/>
      <c r="AY205" s="13" t="n"/>
      <c r="AZ205" s="13" t="n"/>
      <c r="BA205" s="13" t="n"/>
      <c r="BB205" s="13" t="n"/>
      <c r="BC205" s="13" t="n"/>
      <c r="BD205" s="13" t="n"/>
      <c r="BE205" s="13" t="n"/>
      <c r="BF205" s="13" t="n"/>
      <c r="BG205" s="13" t="n"/>
      <c r="BH205" s="13" t="n"/>
      <c r="BI205" s="13" t="n"/>
      <c r="BJ205" s="13" t="n"/>
      <c r="BK205" s="13" t="n"/>
      <c r="BL205" s="13" t="n"/>
      <c r="BM205" s="13" t="n"/>
      <c r="BN205" s="13" t="n"/>
      <c r="BO205" s="13" t="n"/>
      <c r="BP205" s="13" t="n"/>
      <c r="BQ205" s="13" t="n"/>
      <c r="BR205" s="13" t="n"/>
      <c r="BS205" s="13" t="n"/>
      <c r="BT205" s="13" t="n"/>
      <c r="BU205" s="13" t="n"/>
      <c r="BV205" s="13" t="n"/>
      <c r="BW205" s="13" t="n"/>
      <c r="BX205" s="13" t="n"/>
      <c r="BY205" s="13" t="n"/>
      <c r="BZ205" s="13" t="n"/>
      <c r="CA205" s="13" t="n"/>
      <c r="CB205" s="13" t="n"/>
      <c r="CC205" s="13" t="n"/>
      <c r="CD205" s="13" t="n"/>
      <c r="CE205" s="13" t="n"/>
      <c r="CF205" s="13" t="n"/>
      <c r="CG205" s="13" t="n"/>
      <c r="CH205" s="13" t="n"/>
      <c r="CI205" s="13" t="n"/>
      <c r="CJ205" s="13" t="n"/>
      <c r="CK205" s="13" t="n"/>
      <c r="CL205" s="13" t="n"/>
      <c r="CM205" s="13" t="n"/>
      <c r="CN205" s="13" t="n"/>
      <c r="CO205" s="13" t="n"/>
      <c r="CP205" s="13" t="n"/>
      <c r="CQ205" s="13" t="n"/>
      <c r="CR205" s="13" t="n"/>
      <c r="CS205" s="13" t="n"/>
      <c r="CT205" s="13" t="n"/>
      <c r="CU205" s="13" t="n"/>
      <c r="CV205" s="13" t="n"/>
      <c r="CW205" s="13" t="n"/>
      <c r="CX205" s="13" t="n"/>
      <c r="CY205" s="13" t="n"/>
      <c r="CZ205" s="13" t="n"/>
      <c r="DA205" s="13" t="n"/>
      <c r="DB205" s="13" t="n"/>
      <c r="DC205" s="13" t="n"/>
      <c r="DD205" s="13" t="n"/>
    </row>
    <row r="206" hidden="1" outlineLevel="1">
      <c r="A206" s="15" t="inlineStr">
        <is>
          <t xml:space="preserve">   Bank Debt</t>
        </is>
      </c>
      <c r="B206" s="15" t="n"/>
      <c r="C206" s="336">
        <f>IF('Project Assumptions'!E26=2,'Project Assumptions'!C26,"")</f>
        <v/>
      </c>
      <c r="D206" s="700">
        <f>IF('Project Assumptions'!E26=2,'Project Assumptions'!C26*('Detailed Project Costs'!$F$74),0)</f>
        <v/>
      </c>
      <c r="E206" s="641" t="n"/>
      <c r="F206" s="293">
        <f>IF(F$5='Project Assumptions'!$D$15,MAX(MIN((-F$164-F$204)*$D206/MAX($D$208,1),$D206),0),0)</f>
        <v/>
      </c>
      <c r="G206" s="293">
        <f>IF(G$5='Project Assumptions'!$D$15,MAX(MIN((-G$164-G$204)*$D206/MAX($D$208,1),$D206),0),0)</f>
        <v/>
      </c>
      <c r="H206" s="293">
        <f>IF(H$5='Project Assumptions'!$D$15,MAX(MIN((-H$164-H$204)*$D206/MAX($D$208,1),$D206),0),0)</f>
        <v/>
      </c>
      <c r="I206" s="293">
        <f>IF(I$5='Project Assumptions'!$D$15,MAX(MIN((-I$164-I$204)*$D206/MAX($D$208,1),$D206),0),0)</f>
        <v/>
      </c>
      <c r="J206" s="293">
        <f>IF(J$5='Project Assumptions'!$D$15,MAX(MIN((-J$164-J$204)*$D206/MAX($D$208,1),$D206),0),0)</f>
        <v/>
      </c>
      <c r="K206" s="293">
        <f>IF(K$5='Project Assumptions'!$D$15,MAX(MIN((-K$164-K$204)*$D206/MAX($D$208,1),$D206),0),0)</f>
        <v/>
      </c>
      <c r="L206" s="293">
        <f>IF(L$5='Project Assumptions'!$D$15,MAX(MIN((-L$164-L$204)*$D206/MAX($D$208,1),$D206),0),0)</f>
        <v/>
      </c>
      <c r="M206" s="293">
        <f>IF(M$5='Project Assumptions'!$D$15,MAX(MIN((-M$164-M$204)*$D206/MAX($D$208,1),$D206),0),0)</f>
        <v/>
      </c>
      <c r="N206" s="293">
        <f>IF(N$5='Project Assumptions'!$D$15,MAX(MIN((-N$164-N$204)*$D206/MAX($D$208,1),$D206),0),0)</f>
        <v/>
      </c>
      <c r="O206" s="293">
        <f>IF(O$5='Project Assumptions'!$D$15,MAX(MIN((-O$164-O$204)*$D206/MAX($D$208,1),$D206),0),0)</f>
        <v/>
      </c>
      <c r="P206" s="293">
        <f>IF(P$5='Project Assumptions'!$D$15,MAX(MIN((-P$164-P$204)*$D206/MAX($D$208,1),$D206),0),0)</f>
        <v/>
      </c>
      <c r="Q206" s="293">
        <f>IF(Q$5='Project Assumptions'!$D$15,MAX(MIN((-Q$164-Q$204)*$D206/MAX($D$208,1),$D206),0),0)</f>
        <v/>
      </c>
      <c r="R206" s="293">
        <f>IF(R$5='Project Assumptions'!$D$15,MAX(MIN((-R$164-R$204)*$D206/MAX($D$208,1),$D206),0),0)</f>
        <v/>
      </c>
      <c r="S206" s="293">
        <f>IF(S$5='Project Assumptions'!$D$15,MAX(MIN((-S$164-S$204)*$D206/MAX($D$208,1),$D206),0),0)</f>
        <v/>
      </c>
      <c r="T206" s="293">
        <f>IF(T$5='Project Assumptions'!$D$15,MAX(MIN((-T$164-T$204)*$D206/MAX($D$208,1),$D206),0),0)</f>
        <v/>
      </c>
      <c r="U206" s="293">
        <f>IF(U$5='Project Assumptions'!$D$15,MAX(MIN((-U$164-U$204)*$D206/MAX($D$208,1),$D206),0),0)</f>
        <v/>
      </c>
      <c r="V206" s="293">
        <f>IF(V$5='Project Assumptions'!$D$15,MAX(MIN((-V$164-V$204)*$D206/MAX($D$208,1),$D206),0),0)</f>
        <v/>
      </c>
      <c r="W206" s="293">
        <f>IF(W$5='Project Assumptions'!$D$15,MAX(MIN((-W$164-W$204)*$D206/MAX($D$208,1),$D206),0),0)</f>
        <v/>
      </c>
      <c r="X206" s="293">
        <f>IF(X$5='Project Assumptions'!$D$15,MAX(MIN((-X$164-X$204)*$D206/MAX($D$208,1),$D206),0),0)</f>
        <v/>
      </c>
      <c r="Y206" s="293">
        <f>IF(Y$5='Project Assumptions'!$D$15,MAX(MIN((-Y$164-Y$204)*$D206/MAX($D$208,1),$D206),0),0)</f>
        <v/>
      </c>
      <c r="Z206" s="293">
        <f>IF(Z$5='Project Assumptions'!$D$15,MAX(MIN((-Z$164-Z$204)*$D206/MAX($D$208,1),$D206),0),0)</f>
        <v/>
      </c>
      <c r="AA206" s="293">
        <f>IF(AA$5='Project Assumptions'!$D$15,MAX(MIN((-AA$164-AA$204)*$D206/MAX($D$208,1),$D206),0),0)</f>
        <v/>
      </c>
      <c r="AB206" s="293">
        <f>IF(AB$5='Project Assumptions'!$D$15,MAX(MIN((-AB$164-AB$204)*$D206/MAX($D$208,1),$D206),0),0)</f>
        <v/>
      </c>
      <c r="AC206" s="293">
        <f>IF(AC$5='Project Assumptions'!$D$15,MAX(MIN((-AC$164-AC$204)*$D206/MAX($D$208,1),$D206),0),0)</f>
        <v/>
      </c>
      <c r="AD206" s="293">
        <f>IF(AD$5='Project Assumptions'!$D$15,MAX(MIN((-AD$164-AD$204)*$D206/MAX($D$208,1),$D206),0),0)</f>
        <v/>
      </c>
      <c r="AE206" s="293">
        <f>IF(AE$5='Project Assumptions'!$D$15,MAX(MIN((-AE$164-AE$204)*$D206/MAX($D$208,1),$D206),0),0)</f>
        <v/>
      </c>
      <c r="AF206" s="293">
        <f>IF(AF$5='Project Assumptions'!$D$15,MAX(MIN((-AF$164-AF$204)*$D206/MAX($D$208,1),$D206),0),0)</f>
        <v/>
      </c>
      <c r="AG206" s="293">
        <f>IF(AG$5='Project Assumptions'!$D$15,MAX(MIN((-AG$164-AG$204)*$D206/MAX($D$208,1),$D206),0),0)</f>
        <v/>
      </c>
      <c r="AH206" s="293">
        <f>IF(AH$5='Project Assumptions'!$D$15,MAX(MIN((-AH$164-AH$204)*$D206/MAX($D$208,1),$D206),0),0)</f>
        <v/>
      </c>
      <c r="AI206" s="293">
        <f>IF(AI$5='Project Assumptions'!$D$15,MAX(MIN((-AI$164-AI$204)*$D206/MAX($D$208,1),$D206),0),0)</f>
        <v/>
      </c>
      <c r="AJ206" s="293">
        <f>IF(AJ$5='Project Assumptions'!$D$15,MAX(MIN((-AJ$164-AJ$204)*$D206/MAX($D$208,1),$D206),0),0)</f>
        <v/>
      </c>
      <c r="AK206" s="293">
        <f>IF(AK$5='Project Assumptions'!$D$15,MAX(MIN((-AK$164-AK$204)*$D206/MAX($D$208,1),$D206),0),0)</f>
        <v/>
      </c>
      <c r="AL206" s="293">
        <f>IF(AL$5='Project Assumptions'!$D$15,MAX(MIN((-AL$164-AL$204)*$D206/MAX($D$208,1),$D206),0),0)</f>
        <v/>
      </c>
      <c r="AM206" s="293">
        <f>IF(AM$5='Project Assumptions'!$D$15,MAX(MIN((-AM$164-AM$204)*$D206/MAX($D$208,1),$D206),0),0)</f>
        <v/>
      </c>
      <c r="AN206" s="293">
        <f>IF(AN$5='Project Assumptions'!$D$15,MAX(MIN((-AN$164-AN$204)*$D206/MAX($D$208,1),$D206),0),0)</f>
        <v/>
      </c>
      <c r="AO206" s="293">
        <f>IF(AO$5='Project Assumptions'!$D$15,MAX(MIN((-AO$164-AO$204)*$D206/MAX($D$208,1),$D206),0),0)</f>
        <v/>
      </c>
      <c r="AP206" s="293">
        <f>IF(AP$5='Project Assumptions'!$D$15,MAX(MIN((-AP$164-AP$204)*$D206/MAX($D$208,1),$D206),0),0)</f>
        <v/>
      </c>
      <c r="AQ206" s="293">
        <f>IF(AQ$5='Project Assumptions'!$D$15,MAX(MIN((-AQ$164-AQ$204)*$D206/MAX($D$208,1),$D206),0),0)</f>
        <v/>
      </c>
      <c r="AR206" s="293">
        <f>IF(AR$5='Project Assumptions'!$D$15,MAX(MIN((-AR$164-AR$204)*$D206/MAX($D$208,1),$D206),0),0)</f>
        <v/>
      </c>
      <c r="AS206" s="293">
        <f>IF(AS$5='Project Assumptions'!$D$15,MAX(MIN((-AS$164-AS$204)*$D206/MAX($D$208,1),$D206),0),0)</f>
        <v/>
      </c>
      <c r="AT206" s="293">
        <f>IF(AT$5='Project Assumptions'!$D$15,MAX(MIN((-AT$164-AT$204)*$D206/MAX($D$208,1),$D206),0),0)</f>
        <v/>
      </c>
      <c r="AU206" s="293">
        <f>IF(AU$5='Project Assumptions'!$D$15,MAX(MIN((-AU$164-AU$204)*$D206/MAX($D$208,1),$D206),0),0)</f>
        <v/>
      </c>
      <c r="AV206" s="293">
        <f>IF(AV$5='Project Assumptions'!$D$15,MAX(MIN((-AV$164-AV$204)*$D206/MAX($D$208,1),$D206),0),0)</f>
        <v/>
      </c>
      <c r="AW206" s="293">
        <f>IF(AW$5='Project Assumptions'!$D$15,MAX(MIN((-AW$164-AW$204)*$D206/MAX($D$208,1),$D206),0),0)</f>
        <v/>
      </c>
      <c r="AX206" s="293">
        <f>IF(AX$5='Project Assumptions'!$D$15,MAX(MIN((-AX$164-AX$204)*$D206/MAX($D$208,1),$D206),0),0)</f>
        <v/>
      </c>
      <c r="AY206" s="293">
        <f>IF(AY$5='Project Assumptions'!$D$15,MAX(MIN((-AY$164-AY$204)*$D206/MAX($D$208,1),$D206),0),0)</f>
        <v/>
      </c>
      <c r="AZ206" s="293">
        <f>IF(AZ$5='Project Assumptions'!$D$15,MAX(MIN((-AZ$164-AZ$204)*$D206/MAX($D$208,1),$D206),0),0)</f>
        <v/>
      </c>
      <c r="BA206" s="293">
        <f>IF(BA$5='Project Assumptions'!$D$15,MAX(MIN((-BA$164-BA$204)*$D206/MAX($D$208,1),$D206),0),0)</f>
        <v/>
      </c>
      <c r="BB206" s="293">
        <f>IF(BB$5='Project Assumptions'!$D$15,MAX(MIN((-BB$164-BB$204)*$D206/MAX($D$208,1),$D206),0),0)</f>
        <v/>
      </c>
      <c r="BC206" s="293">
        <f>IF(BC$5='Project Assumptions'!$D$15,MAX(MIN((-BC$164-BC$204)*$D206/MAX($D$208,1),$D206),0),0)</f>
        <v/>
      </c>
      <c r="BD206" s="293">
        <f>IF(BD$5='Project Assumptions'!$D$15,MAX(MIN((-BD$164-BD$204)*$D206/MAX($D$208,1),$D206),0),0)</f>
        <v/>
      </c>
      <c r="BE206" s="293">
        <f>IF(BE$5='Project Assumptions'!$D$15,MAX(MIN((-BE$164-BE$204)*$D206/MAX($D$208,1),$D206),0),0)</f>
        <v/>
      </c>
      <c r="BF206" s="293">
        <f>IF(BF$5='Project Assumptions'!$D$15,MAX(MIN((-BF$164-BF$204)*$D206/MAX($D$208,1),$D206),0),0)</f>
        <v/>
      </c>
      <c r="BG206" s="293">
        <f>IF(BG$5='Project Assumptions'!$D$15,MAX(MIN((-BG$164-BG$204)*$D206/MAX($D$208,1),$D206),0),0)</f>
        <v/>
      </c>
      <c r="BH206" s="293">
        <f>IF(BH$5='Project Assumptions'!$D$15,MAX(MIN((-BH$164-BH$204)*$D206/MAX($D$208,1),$D206),0),0)</f>
        <v/>
      </c>
      <c r="BI206" s="293">
        <f>IF(BI$5='Project Assumptions'!$D$15,MAX(MIN((-BI$164-BI$204)*$D206/MAX($D$208,1),$D206),0),0)</f>
        <v/>
      </c>
      <c r="BJ206" s="293">
        <f>IF(BJ$5='Project Assumptions'!$D$15,MAX(MIN((-BJ$164-BJ$204)*$D206/MAX($D$208,1),$D206),0),0)</f>
        <v/>
      </c>
      <c r="BK206" s="293">
        <f>IF(BK$5='Project Assumptions'!$D$15,MAX(MIN((-BK$164-BK$204)*$D206/MAX($D$208,1),$D206),0),0)</f>
        <v/>
      </c>
      <c r="BL206" s="293">
        <f>IF(BL$5='Project Assumptions'!$D$15,MAX(MIN((-BL$164-BL$204)*$D206/MAX($D$208,1),$D206),0),0)</f>
        <v/>
      </c>
      <c r="BM206" s="293">
        <f>IF(BM$5='Project Assumptions'!$D$15,MAX(MIN((-BM$164-BM$204)*$D206/MAX($D$208,1),$D206),0),0)</f>
        <v/>
      </c>
      <c r="BN206" s="293">
        <f>IF(BN$5='Project Assumptions'!$D$15,MAX(MIN((-BN$164-BN$204)*$D206/MAX($D$208,1),$D206),0),0)</f>
        <v/>
      </c>
      <c r="BO206" s="293">
        <f>IF(BO$5='Project Assumptions'!$D$15,MAX(MIN((-BO$164-BO$204)*$D206/MAX($D$208,1),$D206),0),0)</f>
        <v/>
      </c>
      <c r="BP206" s="293">
        <f>IF(BP$5='Project Assumptions'!$D$15,MAX(MIN((-BP$164-BP$204)*$D206/MAX($D$208,1),$D206),0),0)</f>
        <v/>
      </c>
      <c r="BQ206" s="293">
        <f>IF(BQ$5='Project Assumptions'!$D$15,MAX(MIN((-BQ$164-BQ$204)*$D206/MAX($D$208,1),$D206),0),0)</f>
        <v/>
      </c>
      <c r="BR206" s="293">
        <f>IF(BR$5='Project Assumptions'!$D$15,MAX(MIN((-BR$164-BR$204)*$D206/MAX($D$208,1),$D206),0),0)</f>
        <v/>
      </c>
      <c r="BS206" s="293">
        <f>IF(BS$5='Project Assumptions'!$D$15,MAX(MIN((-BS$164-BS$204)*$D206/MAX($D$208,1),$D206),0),0)</f>
        <v/>
      </c>
      <c r="BT206" s="293">
        <f>IF(BT$5='Project Assumptions'!$D$15,MAX(MIN((-BT$164-BT$204)*$D206/MAX($D$208,1),$D206),0),0)</f>
        <v/>
      </c>
      <c r="BU206" s="293">
        <f>IF(BU$5='Project Assumptions'!$D$15,MAX(MIN((-BU$164-BU$204)*$D206/MAX($D$208,1),$D206),0),0)</f>
        <v/>
      </c>
      <c r="BV206" s="293">
        <f>IF(BV$5='Project Assumptions'!$D$15,MAX(MIN((-BV$164-BV$204)*$D206/MAX($D$208,1),$D206),0),0)</f>
        <v/>
      </c>
      <c r="BW206" s="293">
        <f>IF(BW$5='Project Assumptions'!$D$15,MAX(MIN((-BW$164-BW$204)*$D206/MAX($D$208,1),$D206),0),0)</f>
        <v/>
      </c>
      <c r="BX206" s="293">
        <f>IF(BX$5='Project Assumptions'!$D$15,MAX(MIN((-BX$164-BX$204)*$D206/MAX($D$208,1),$D206),0),0)</f>
        <v/>
      </c>
      <c r="BY206" s="293">
        <f>IF(BY$5='Project Assumptions'!$D$15,MAX(MIN((-BY$164-BY$204)*$D206/MAX($D$208,1),$D206),0),0)</f>
        <v/>
      </c>
      <c r="BZ206" s="293">
        <f>IF(BZ$5='Project Assumptions'!$D$15,MAX(MIN((-BZ$164-BZ$204)*$D206/MAX($D$208,1),$D206),0),0)</f>
        <v/>
      </c>
      <c r="CA206" s="293">
        <f>IF(CA$5='Project Assumptions'!$D$15,MAX(MIN((-CA$164-CA$204)*$D206/MAX($D$208,1),$D206),0),0)</f>
        <v/>
      </c>
      <c r="CB206" s="293">
        <f>IF(CB$5='Project Assumptions'!$D$15,MAX(MIN((-CB$164-CB$204)*$D206/MAX($D$208,1),$D206),0),0)</f>
        <v/>
      </c>
      <c r="CC206" s="293">
        <f>IF(CC$5='Project Assumptions'!$D$15,MAX(MIN((-CC$164-CC$204)*$D206/MAX($D$208,1),$D206),0),0)</f>
        <v/>
      </c>
      <c r="CD206" s="293">
        <f>IF(CD$5='Project Assumptions'!$D$15,MAX(MIN((-CD$164-CD$204)*$D206/MAX($D$208,1),$D206),0),0)</f>
        <v/>
      </c>
      <c r="CE206" s="293">
        <f>IF(CE$5='Project Assumptions'!$D$15,MAX(MIN((-CE$164-CE$204)*$D206/MAX($D$208,1),$D206),0),0)</f>
        <v/>
      </c>
      <c r="CF206" s="293">
        <f>IF(CF$5='Project Assumptions'!$D$15,MAX(MIN((-CF$164-CF$204)*$D206/MAX($D$208,1),$D206),0),0)</f>
        <v/>
      </c>
      <c r="CG206" s="293">
        <f>IF(CG$5='Project Assumptions'!$D$15,MAX(MIN((-CG$164-CG$204)*$D206/MAX($D$208,1),$D206),0),0)</f>
        <v/>
      </c>
      <c r="CH206" s="293">
        <f>IF(CH$5='Project Assumptions'!$D$15,MAX(MIN((-CH$164-CH$204)*$D206/MAX($D$208,1),$D206),0),0)</f>
        <v/>
      </c>
      <c r="CI206" s="293">
        <f>IF(CI$5='Project Assumptions'!$D$15,MAX(MIN((-CI$164-CI$204)*$D206/MAX($D$208,1),$D206),0),0)</f>
        <v/>
      </c>
      <c r="CJ206" s="293">
        <f>IF(CJ$5='Project Assumptions'!$D$15,MAX(MIN((-CJ$164-CJ$204)*$D206/MAX($D$208,1),$D206),0),0)</f>
        <v/>
      </c>
      <c r="CK206" s="293">
        <f>IF(CK$5='Project Assumptions'!$D$15,MAX(MIN((-CK$164-CK$204)*$D206/MAX($D$208,1),$D206),0),0)</f>
        <v/>
      </c>
      <c r="CL206" s="293">
        <f>IF(CL$5='Project Assumptions'!$D$15,MAX(MIN((-CL$164-CL$204)*$D206/MAX($D$208,1),$D206),0),0)</f>
        <v/>
      </c>
      <c r="CM206" s="293">
        <f>IF(CM$5='Project Assumptions'!$D$15,MAX(MIN((-CM$164-CM$204)*$D206/MAX($D$208,1),$D206),0),0)</f>
        <v/>
      </c>
      <c r="CN206" s="293">
        <f>IF(CN$5='Project Assumptions'!$D$15,MAX(MIN((-CN$164-CN$204)*$D206/MAX($D$208,1),$D206),0),0)</f>
        <v/>
      </c>
      <c r="CO206" s="293">
        <f>IF(CO$5='Project Assumptions'!$D$15,MAX(MIN((-CO$164-CO$204)*$D206/MAX($D$208,1),$D206),0),0)</f>
        <v/>
      </c>
      <c r="CP206" s="293">
        <f>IF(CP$5='Project Assumptions'!$D$15,MAX(MIN((-CP$164-CP$204)*$D206/MAX($D$208,1),$D206),0),0)</f>
        <v/>
      </c>
      <c r="CQ206" s="293">
        <f>IF(CQ$5='Project Assumptions'!$D$15,MAX(MIN((-CQ$164-CQ$204)*$D206/MAX($D$208,1),$D206),0),0)</f>
        <v/>
      </c>
      <c r="CR206" s="293">
        <f>IF(CR$5='Project Assumptions'!$D$15,MAX(MIN((-CR$164-CR$204)*$D206/MAX($D$208,1),$D206),0),0)</f>
        <v/>
      </c>
      <c r="CS206" s="293">
        <f>IF(CS$5='Project Assumptions'!$D$15,MAX(MIN((-CS$164-CS$204)*$D206/MAX($D$208,1),$D206),0),0)</f>
        <v/>
      </c>
      <c r="CT206" s="293">
        <f>IF(CT$5='Project Assumptions'!$D$15,MAX(MIN((-CT$164-CT$204)*$D206/MAX($D$208,1),$D206),0),0)</f>
        <v/>
      </c>
      <c r="CU206" s="293">
        <f>IF(CU$5='Project Assumptions'!$D$15,MAX(MIN((-CU$164-CU$204)*$D206/MAX($D$208,1),$D206),0),0)</f>
        <v/>
      </c>
      <c r="CV206" s="293">
        <f>IF(CV$5='Project Assumptions'!$D$15,MAX(MIN((-CV$164-CV$204)*$D206/MAX($D$208,1),$D206),0),0)</f>
        <v/>
      </c>
      <c r="CW206" s="293">
        <f>IF(CW$5='Project Assumptions'!$D$15,MAX(MIN((-CW$164-CW$204)*$D206/MAX($D$208,1),$D206),0),0)</f>
        <v/>
      </c>
      <c r="CX206" s="293">
        <f>IF(CX$5='Project Assumptions'!$D$15,MAX(MIN((-CX$164-CX$204)*$D206/MAX($D$208,1),$D206),0),0)</f>
        <v/>
      </c>
      <c r="CY206" s="293">
        <f>IF(CY$5='Project Assumptions'!$D$15,MAX(MIN((-CY$164-CY$204)*$D206/MAX($D$208,1),$D206),0),0)</f>
        <v/>
      </c>
      <c r="CZ206" s="293">
        <f>IF(CZ$5='Project Assumptions'!$D$15,MAX(MIN((-CZ$164-CZ$204)*$D206/MAX($D$208,1),$D206),0),0)</f>
        <v/>
      </c>
      <c r="DA206" s="293">
        <f>IF(DA$5='Project Assumptions'!$D$15,MAX(MIN((-DA$164-DA$204)*$D206/MAX($D$208,1),$D206),0),0)</f>
        <v/>
      </c>
      <c r="DB206" s="293">
        <f>IF(DB$5='Project Assumptions'!$D$15,MAX(MIN((-DB$164-DB$204)*$D206/MAX($D$208,1),$D206),0),0)</f>
        <v/>
      </c>
      <c r="DC206" s="293" t="n"/>
      <c r="DD206" s="292">
        <f>MAX(F206:DB206)</f>
        <v/>
      </c>
    </row>
    <row r="207" hidden="1" outlineLevel="1">
      <c r="A207" s="15" t="inlineStr">
        <is>
          <t xml:space="preserve">   Equity</t>
        </is>
      </c>
      <c r="B207" s="15" t="n"/>
      <c r="C207" s="336">
        <f>IF('Project Assumptions'!E27=2,'Project Assumptions'!C27,"")</f>
        <v/>
      </c>
      <c r="D207" s="337">
        <f>IF('Project Assumptions'!E27=2,'Project Assumptions'!C27*('Detailed Project Costs'!$F$74),0)</f>
        <v/>
      </c>
      <c r="E207" s="276" t="n"/>
      <c r="F207" s="890">
        <f>IF(F$5='Project Assumptions'!$D$15,MAX(MIN((-F$164-F$204)*$D207/MAX($D$208,1),$D207),0),0)</f>
        <v/>
      </c>
      <c r="G207" s="890">
        <f>IF(G$5='Project Assumptions'!$D$15,MAX(MIN((-G$164-G$204)*$D207/MAX($D$208,1),$D207),0),0)</f>
        <v/>
      </c>
      <c r="H207" s="890">
        <f>IF(H$5='Project Assumptions'!$D$15,MAX(MIN((-H$164-H$204)*$D207/MAX($D$208,1),$D207),0),0)</f>
        <v/>
      </c>
      <c r="I207" s="890">
        <f>IF(I$5='Project Assumptions'!$D$15,MAX(MIN((-I$164-I$204)*$D207/MAX($D$208,1),$D207),0),0)</f>
        <v/>
      </c>
      <c r="J207" s="890">
        <f>IF(J$5='Project Assumptions'!$D$15,MAX(MIN((-J$164-J$204)*$D207/MAX($D$208,1),$D207),0),0)</f>
        <v/>
      </c>
      <c r="K207" s="890">
        <f>IF(K$5='Project Assumptions'!$D$15,MAX(MIN((-K$164-K$204)*$D207/MAX($D$208,1),$D207),0),0)</f>
        <v/>
      </c>
      <c r="L207" s="890">
        <f>IF(L$5='Project Assumptions'!$D$15,MAX(MIN((-L$164-L$204)*$D207/MAX($D$208,1),$D207),0),0)</f>
        <v/>
      </c>
      <c r="M207" s="890">
        <f>IF(M$5='Project Assumptions'!$D$15,MAX(MIN((-M$164-M$204)*$D207/MAX($D$208,1),$D207),0),0)</f>
        <v/>
      </c>
      <c r="N207" s="890">
        <f>IF(N$5='Project Assumptions'!$D$15,MAX(MIN((-N$164-N$204)*$D207/MAX($D$208,1),$D207),0),0)</f>
        <v/>
      </c>
      <c r="O207" s="890">
        <f>IF(O$5='Project Assumptions'!$D$15,MAX(MIN((-O$164-O$204)*$D207/MAX($D$208,1),$D207),0),0)</f>
        <v/>
      </c>
      <c r="P207" s="890">
        <f>IF(P$5='Project Assumptions'!$D$15,MAX(MIN((-P$164-P$204)*$D207/MAX($D$208,1),$D207),0),0)</f>
        <v/>
      </c>
      <c r="Q207" s="890">
        <f>IF(Q$5='Project Assumptions'!$D$15,MAX(MIN((-Q$164-Q$204)*$D207/MAX($D$208,1),$D207),0),0)</f>
        <v/>
      </c>
      <c r="R207" s="890">
        <f>IF(R$5='Project Assumptions'!$D$15,MAX(MIN((-R$164-R$204)*$D207/MAX($D$208,1),$D207),0),0)</f>
        <v/>
      </c>
      <c r="S207" s="890">
        <f>IF(S$5='Project Assumptions'!$D$15,MAX(MIN((-S$164-S$204)*$D207/MAX($D$208,1),$D207),0),0)</f>
        <v/>
      </c>
      <c r="T207" s="890">
        <f>IF(T$5='Project Assumptions'!$D$15,MAX(MIN((-T$164-T$204)*$D207/MAX($D$208,1),$D207),0),0)</f>
        <v/>
      </c>
      <c r="U207" s="890">
        <f>IF(U$5='Project Assumptions'!$D$15,MAX(MIN((-U$164-U$204)*$D207/MAX($D$208,1),$D207),0),0)</f>
        <v/>
      </c>
      <c r="V207" s="890">
        <f>IF(V$5='Project Assumptions'!$D$15,MAX(MIN((-V$164-V$204)*$D207/MAX($D$208,1),$D207),0),0)</f>
        <v/>
      </c>
      <c r="W207" s="890">
        <f>IF(W$5='Project Assumptions'!$D$15,MAX(MIN((-W$164-W$204)*$D207/MAX($D$208,1),$D207),0),0)</f>
        <v/>
      </c>
      <c r="X207" s="890">
        <f>IF(X$5='Project Assumptions'!$D$15,MAX(MIN((-X$164-X$204)*$D207/MAX($D$208,1),$D207),0),0)</f>
        <v/>
      </c>
      <c r="Y207" s="890">
        <f>IF(Y$5='Project Assumptions'!$D$15,MAX(MIN((-Y$164-Y$204)*$D207/MAX($D$208,1),$D207),0),0)</f>
        <v/>
      </c>
      <c r="Z207" s="890">
        <f>IF(Z$5='Project Assumptions'!$D$15,MAX(MIN((-Z$164-Z$204)*$D207/MAX($D$208,1),$D207),0),0)</f>
        <v/>
      </c>
      <c r="AA207" s="890">
        <f>IF(AA$5='Project Assumptions'!$D$15,MAX(MIN((-AA$164-AA$204)*$D207/MAX($D$208,1),$D207),0),0)</f>
        <v/>
      </c>
      <c r="AB207" s="890">
        <f>IF(AB$5='Project Assumptions'!$D$15,MAX(MIN((-AB$164-AB$204)*$D207/MAX($D$208,1),$D207),0),0)</f>
        <v/>
      </c>
      <c r="AC207" s="890">
        <f>IF(AC$5='Project Assumptions'!$D$15,MAX(MIN((-AC$164-AC$204)*$D207/MAX($D$208,1),$D207),0),0)</f>
        <v/>
      </c>
      <c r="AD207" s="890">
        <f>IF(AD$5='Project Assumptions'!$D$15,MAX(MIN((-AD$164-AD$204)*$D207/MAX($D$208,1),$D207),0),0)</f>
        <v/>
      </c>
      <c r="AE207" s="890">
        <f>IF(AE$5='Project Assumptions'!$D$15,MAX(MIN((-AE$164-AE$204)*$D207/MAX($D$208,1),$D207),0),0)</f>
        <v/>
      </c>
      <c r="AF207" s="890">
        <f>IF(AF$5='Project Assumptions'!$D$15,MAX(MIN((-AF$164-AF$204)*$D207/MAX($D$208,1),$D207),0),0)</f>
        <v/>
      </c>
      <c r="AG207" s="890">
        <f>IF(AG$5='Project Assumptions'!$D$15,MAX(MIN((-AG$164-AG$204)*$D207/MAX($D$208,1),$D207),0),0)</f>
        <v/>
      </c>
      <c r="AH207" s="890">
        <f>IF(AH$5='Project Assumptions'!$D$15,MAX(MIN((-AH$164-AH$204)*$D207/MAX($D$208,1),$D207),0),0)</f>
        <v/>
      </c>
      <c r="AI207" s="890">
        <f>IF(AI$5='Project Assumptions'!$D$15,MAX(MIN((-AI$164-AI$204)*$D207/MAX($D$208,1),$D207),0),0)</f>
        <v/>
      </c>
      <c r="AJ207" s="890">
        <f>IF(AJ$5='Project Assumptions'!$D$15,MAX(MIN((-AJ$164-AJ$204)*$D207/MAX($D$208,1),$D207),0),0)</f>
        <v/>
      </c>
      <c r="AK207" s="890">
        <f>IF(AK$5='Project Assumptions'!$D$15,MAX(MIN((-AK$164-AK$204)*$D207/MAX($D$208,1),$D207),0),0)</f>
        <v/>
      </c>
      <c r="AL207" s="890">
        <f>IF(AL$5='Project Assumptions'!$D$15,MAX(MIN((-AL$164-AL$204)*$D207/MAX($D$208,1),$D207),0),0)</f>
        <v/>
      </c>
      <c r="AM207" s="890">
        <f>IF(AM$5='Project Assumptions'!$D$15,MAX(MIN((-AM$164-AM$204)*$D207/MAX($D$208,1),$D207),0),0)</f>
        <v/>
      </c>
      <c r="AN207" s="890">
        <f>IF(AN$5='Project Assumptions'!$D$15,MAX(MIN((-AN$164-AN$204)*$D207/MAX($D$208,1),$D207),0),0)</f>
        <v/>
      </c>
      <c r="AO207" s="890">
        <f>IF(AO$5='Project Assumptions'!$D$15,MAX(MIN((-AO$164-AO$204)*$D207/MAX($D$208,1),$D207),0),0)</f>
        <v/>
      </c>
      <c r="AP207" s="890">
        <f>IF(AP$5='Project Assumptions'!$D$15,MAX(MIN((-AP$164-AP$204)*$D207/MAX($D$208,1),$D207),0),0)</f>
        <v/>
      </c>
      <c r="AQ207" s="890">
        <f>IF(AQ$5='Project Assumptions'!$D$15,MAX(MIN((-AQ$164-AQ$204)*$D207/MAX($D$208,1),$D207),0),0)</f>
        <v/>
      </c>
      <c r="AR207" s="890">
        <f>IF(AR$5='Project Assumptions'!$D$15,MAX(MIN((-AR$164-AR$204)*$D207/MAX($D$208,1),$D207),0),0)</f>
        <v/>
      </c>
      <c r="AS207" s="890">
        <f>IF(AS$5='Project Assumptions'!$D$15,MAX(MIN((-AS$164-AS$204)*$D207/MAX($D$208,1),$D207),0),0)</f>
        <v/>
      </c>
      <c r="AT207" s="890">
        <f>IF(AT$5='Project Assumptions'!$D$15,MAX(MIN((-AT$164-AT$204)*$D207/MAX($D$208,1),$D207),0),0)</f>
        <v/>
      </c>
      <c r="AU207" s="890">
        <f>IF(AU$5='Project Assumptions'!$D$15,MAX(MIN((-AU$164-AU$204)*$D207/MAX($D$208,1),$D207),0),0)</f>
        <v/>
      </c>
      <c r="AV207" s="890">
        <f>IF(AV$5='Project Assumptions'!$D$15,MAX(MIN((-AV$164-AV$204)*$D207/MAX($D$208,1),$D207),0),0)</f>
        <v/>
      </c>
      <c r="AW207" s="890">
        <f>IF(AW$5='Project Assumptions'!$D$15,MAX(MIN((-AW$164-AW$204)*$D207/MAX($D$208,1),$D207),0),0)</f>
        <v/>
      </c>
      <c r="AX207" s="890">
        <f>IF(AX$5='Project Assumptions'!$D$15,MAX(MIN((-AX$164-AX$204)*$D207/MAX($D$208,1),$D207),0),0)</f>
        <v/>
      </c>
      <c r="AY207" s="890">
        <f>IF(AY$5='Project Assumptions'!$D$15,MAX(MIN((-AY$164-AY$204)*$D207/MAX($D$208,1),$D207),0),0)</f>
        <v/>
      </c>
      <c r="AZ207" s="890">
        <f>IF(AZ$5='Project Assumptions'!$D$15,MAX(MIN((-AZ$164-AZ$204)*$D207/MAX($D$208,1),$D207),0),0)</f>
        <v/>
      </c>
      <c r="BA207" s="890">
        <f>IF(BA$5='Project Assumptions'!$D$15,MAX(MIN((-BA$164-BA$204)*$D207/MAX($D$208,1),$D207),0),0)</f>
        <v/>
      </c>
      <c r="BB207" s="890">
        <f>IF(BB$5='Project Assumptions'!$D$15,MAX(MIN((-BB$164-BB$204)*$D207/MAX($D$208,1),$D207),0),0)</f>
        <v/>
      </c>
      <c r="BC207" s="890">
        <f>IF(BC$5='Project Assumptions'!$D$15,MAX(MIN((-BC$164-BC$204)*$D207/MAX($D$208,1),$D207),0),0)</f>
        <v/>
      </c>
      <c r="BD207" s="890">
        <f>IF(BD$5='Project Assumptions'!$D$15,MAX(MIN((-BD$164-BD$204)*$D207/MAX($D$208,1),$D207),0),0)</f>
        <v/>
      </c>
      <c r="BE207" s="890">
        <f>IF(BE$5='Project Assumptions'!$D$15,MAX(MIN((-BE$164-BE$204)*$D207/MAX($D$208,1),$D207),0),0)</f>
        <v/>
      </c>
      <c r="BF207" s="890">
        <f>IF(BF$5='Project Assumptions'!$D$15,MAX(MIN((-BF$164-BF$204)*$D207/MAX($D$208,1),$D207),0),0)</f>
        <v/>
      </c>
      <c r="BG207" s="890">
        <f>IF(BG$5='Project Assumptions'!$D$15,MAX(MIN((-BG$164-BG$204)*$D207/MAX($D$208,1),$D207),0),0)</f>
        <v/>
      </c>
      <c r="BH207" s="890">
        <f>IF(BH$5='Project Assumptions'!$D$15,MAX(MIN((-BH$164-BH$204)*$D207/MAX($D$208,1),$D207),0),0)</f>
        <v/>
      </c>
      <c r="BI207" s="890">
        <f>IF(BI$5='Project Assumptions'!$D$15,MAX(MIN((-BI$164-BI$204)*$D207/MAX($D$208,1),$D207),0),0)</f>
        <v/>
      </c>
      <c r="BJ207" s="890">
        <f>IF(BJ$5='Project Assumptions'!$D$15,MAX(MIN((-BJ$164-BJ$204)*$D207/MAX($D$208,1),$D207),0),0)</f>
        <v/>
      </c>
      <c r="BK207" s="890">
        <f>IF(BK$5='Project Assumptions'!$D$15,MAX(MIN((-BK$164-BK$204)*$D207/MAX($D$208,1),$D207),0),0)</f>
        <v/>
      </c>
      <c r="BL207" s="890">
        <f>IF(BL$5='Project Assumptions'!$D$15,MAX(MIN((-BL$164-BL$204)*$D207/MAX($D$208,1),$D207),0),0)</f>
        <v/>
      </c>
      <c r="BM207" s="890">
        <f>IF(BM$5='Project Assumptions'!$D$15,MAX(MIN((-BM$164-BM$204)*$D207/MAX($D$208,1),$D207),0),0)</f>
        <v/>
      </c>
      <c r="BN207" s="890">
        <f>IF(BN$5='Project Assumptions'!$D$15,MAX(MIN((-BN$164-BN$204)*$D207/MAX($D$208,1),$D207),0),0)</f>
        <v/>
      </c>
      <c r="BO207" s="890">
        <f>IF(BO$5='Project Assumptions'!$D$15,MAX(MIN((-BO$164-BO$204)*$D207/MAX($D$208,1),$D207),0),0)</f>
        <v/>
      </c>
      <c r="BP207" s="890">
        <f>IF(BP$5='Project Assumptions'!$D$15,MAX(MIN((-BP$164-BP$204)*$D207/MAX($D$208,1),$D207),0),0)</f>
        <v/>
      </c>
      <c r="BQ207" s="890">
        <f>IF(BQ$5='Project Assumptions'!$D$15,MAX(MIN((-BQ$164-BQ$204)*$D207/MAX($D$208,1),$D207),0),0)</f>
        <v/>
      </c>
      <c r="BR207" s="890">
        <f>IF(BR$5='Project Assumptions'!$D$15,MAX(MIN((-BR$164-BR$204)*$D207/MAX($D$208,1),$D207),0),0)</f>
        <v/>
      </c>
      <c r="BS207" s="890">
        <f>IF(BS$5='Project Assumptions'!$D$15,MAX(MIN((-BS$164-BS$204)*$D207/MAX($D$208,1),$D207),0),0)</f>
        <v/>
      </c>
      <c r="BT207" s="890">
        <f>IF(BT$5='Project Assumptions'!$D$15,MAX(MIN((-BT$164-BT$204)*$D207/MAX($D$208,1),$D207),0),0)</f>
        <v/>
      </c>
      <c r="BU207" s="890">
        <f>IF(BU$5='Project Assumptions'!$D$15,MAX(MIN((-BU$164-BU$204)*$D207/MAX($D$208,1),$D207),0),0)</f>
        <v/>
      </c>
      <c r="BV207" s="890">
        <f>IF(BV$5='Project Assumptions'!$D$15,MAX(MIN((-BV$164-BV$204)*$D207/MAX($D$208,1),$D207),0),0)</f>
        <v/>
      </c>
      <c r="BW207" s="890">
        <f>IF(BW$5='Project Assumptions'!$D$15,MAX(MIN((-BW$164-BW$204)*$D207/MAX($D$208,1),$D207),0),0)</f>
        <v/>
      </c>
      <c r="BX207" s="890">
        <f>IF(BX$5='Project Assumptions'!$D$15,MAX(MIN((-BX$164-BX$204)*$D207/MAX($D$208,1),$D207),0),0)</f>
        <v/>
      </c>
      <c r="BY207" s="890">
        <f>IF(BY$5='Project Assumptions'!$D$15,MAX(MIN((-BY$164-BY$204)*$D207/MAX($D$208,1),$D207),0),0)</f>
        <v/>
      </c>
      <c r="BZ207" s="890">
        <f>IF(BZ$5='Project Assumptions'!$D$15,MAX(MIN((-BZ$164-BZ$204)*$D207/MAX($D$208,1),$D207),0),0)</f>
        <v/>
      </c>
      <c r="CA207" s="890">
        <f>IF(CA$5='Project Assumptions'!$D$15,MAX(MIN((-CA$164-CA$204)*$D207/MAX($D$208,1),$D207),0),0)</f>
        <v/>
      </c>
      <c r="CB207" s="890">
        <f>IF(CB$5='Project Assumptions'!$D$15,MAX(MIN((-CB$164-CB$204)*$D207/MAX($D$208,1),$D207),0),0)</f>
        <v/>
      </c>
      <c r="CC207" s="890">
        <f>IF(CC$5='Project Assumptions'!$D$15,MAX(MIN((-CC$164-CC$204)*$D207/MAX($D$208,1),$D207),0),0)</f>
        <v/>
      </c>
      <c r="CD207" s="890">
        <f>IF(CD$5='Project Assumptions'!$D$15,MAX(MIN((-CD$164-CD$204)*$D207/MAX($D$208,1),$D207),0),0)</f>
        <v/>
      </c>
      <c r="CE207" s="890">
        <f>IF(CE$5='Project Assumptions'!$D$15,MAX(MIN((-CE$164-CE$204)*$D207/MAX($D$208,1),$D207),0),0)</f>
        <v/>
      </c>
      <c r="CF207" s="890">
        <f>IF(CF$5='Project Assumptions'!$D$15,MAX(MIN((-CF$164-CF$204)*$D207/MAX($D$208,1),$D207),0),0)</f>
        <v/>
      </c>
      <c r="CG207" s="890">
        <f>IF(CG$5='Project Assumptions'!$D$15,MAX(MIN((-CG$164-CG$204)*$D207/MAX($D$208,1),$D207),0),0)</f>
        <v/>
      </c>
      <c r="CH207" s="890">
        <f>IF(CH$5='Project Assumptions'!$D$15,MAX(MIN((-CH$164-CH$204)*$D207/MAX($D$208,1),$D207),0),0)</f>
        <v/>
      </c>
      <c r="CI207" s="890">
        <f>IF(CI$5='Project Assumptions'!$D$15,MAX(MIN((-CI$164-CI$204)*$D207/MAX($D$208,1),$D207),0),0)</f>
        <v/>
      </c>
      <c r="CJ207" s="890">
        <f>IF(CJ$5='Project Assumptions'!$D$15,MAX(MIN((-CJ$164-CJ$204)*$D207/MAX($D$208,1),$D207),0),0)</f>
        <v/>
      </c>
      <c r="CK207" s="890">
        <f>IF(CK$5='Project Assumptions'!$D$15,MAX(MIN((-CK$164-CK$204)*$D207/MAX($D$208,1),$D207),0),0)</f>
        <v/>
      </c>
      <c r="CL207" s="890">
        <f>IF(CL$5='Project Assumptions'!$D$15,MAX(MIN((-CL$164-CL$204)*$D207/MAX($D$208,1),$D207),0),0)</f>
        <v/>
      </c>
      <c r="CM207" s="890">
        <f>IF(CM$5='Project Assumptions'!$D$15,MAX(MIN((-CM$164-CM$204)*$D207/MAX($D$208,1),$D207),0),0)</f>
        <v/>
      </c>
      <c r="CN207" s="890">
        <f>IF(CN$5='Project Assumptions'!$D$15,MAX(MIN((-CN$164-CN$204)*$D207/MAX($D$208,1),$D207),0),0)</f>
        <v/>
      </c>
      <c r="CO207" s="890">
        <f>IF(CO$5='Project Assumptions'!$D$15,MAX(MIN((-CO$164-CO$204)*$D207/MAX($D$208,1),$D207),0),0)</f>
        <v/>
      </c>
      <c r="CP207" s="890">
        <f>IF(CP$5='Project Assumptions'!$D$15,MAX(MIN((-CP$164-CP$204)*$D207/MAX($D$208,1),$D207),0),0)</f>
        <v/>
      </c>
      <c r="CQ207" s="890">
        <f>IF(CQ$5='Project Assumptions'!$D$15,MAX(MIN((-CQ$164-CQ$204)*$D207/MAX($D$208,1),$D207),0),0)</f>
        <v/>
      </c>
      <c r="CR207" s="890">
        <f>IF(CR$5='Project Assumptions'!$D$15,MAX(MIN((-CR$164-CR$204)*$D207/MAX($D$208,1),$D207),0),0)</f>
        <v/>
      </c>
      <c r="CS207" s="890">
        <f>IF(CS$5='Project Assumptions'!$D$15,MAX(MIN((-CS$164-CS$204)*$D207/MAX($D$208,1),$D207),0),0)</f>
        <v/>
      </c>
      <c r="CT207" s="890">
        <f>IF(CT$5='Project Assumptions'!$D$15,MAX(MIN((-CT$164-CT$204)*$D207/MAX($D$208,1),$D207),0),0)</f>
        <v/>
      </c>
      <c r="CU207" s="890">
        <f>IF(CU$5='Project Assumptions'!$D$15,MAX(MIN((-CU$164-CU$204)*$D207/MAX($D$208,1),$D207),0),0)</f>
        <v/>
      </c>
      <c r="CV207" s="890">
        <f>IF(CV$5='Project Assumptions'!$D$15,MAX(MIN((-CV$164-CV$204)*$D207/MAX($D$208,1),$D207),0),0)</f>
        <v/>
      </c>
      <c r="CW207" s="890">
        <f>IF(CW$5='Project Assumptions'!$D$15,MAX(MIN((-CW$164-CW$204)*$D207/MAX($D$208,1),$D207),0),0)</f>
        <v/>
      </c>
      <c r="CX207" s="890">
        <f>IF(CX$5='Project Assumptions'!$D$15,MAX(MIN((-CX$164-CX$204)*$D207/MAX($D$208,1),$D207),0),0)</f>
        <v/>
      </c>
      <c r="CY207" s="890">
        <f>IF(CY$5='Project Assumptions'!$D$15,MAX(MIN((-CY$164-CY$204)*$D207/MAX($D$208,1),$D207),0),0)</f>
        <v/>
      </c>
      <c r="CZ207" s="890">
        <f>IF(CZ$5='Project Assumptions'!$D$15,MAX(MIN((-CZ$164-CZ$204)*$D207/MAX($D$208,1),$D207),0),0)</f>
        <v/>
      </c>
      <c r="DA207" s="890">
        <f>IF(DA$5='Project Assumptions'!$D$15,MAX(MIN((-DA$164-DA$204)*$D207/MAX($D$208,1),$D207),0),0)</f>
        <v/>
      </c>
      <c r="DB207" s="890">
        <f>IF(DB$5='Project Assumptions'!$D$15,MAX(MIN((-DB$164-DB$204)*$D207/MAX($D$208,1),$D207),0),0)</f>
        <v/>
      </c>
      <c r="DC207" s="890" t="n"/>
      <c r="DD207" s="297">
        <f>MAX(F207:DB207)</f>
        <v/>
      </c>
    </row>
    <row r="208" hidden="1" outlineLevel="1">
      <c r="A208" s="15" t="inlineStr">
        <is>
          <t xml:space="preserve">   Total</t>
        </is>
      </c>
      <c r="B208" s="15" t="n"/>
      <c r="C208" s="724" t="n"/>
      <c r="D208" s="338">
        <f>SUM(D206:D207)</f>
        <v/>
      </c>
      <c r="E208" s="290" t="n"/>
      <c r="F208" s="291">
        <f>SUM(F206:F207)</f>
        <v/>
      </c>
      <c r="G208" s="291">
        <f>SUM(G206:G207)</f>
        <v/>
      </c>
      <c r="H208" s="291">
        <f>SUM(H206:H207)</f>
        <v/>
      </c>
      <c r="I208" s="291">
        <f>SUM(I206:I207)</f>
        <v/>
      </c>
      <c r="J208" s="291">
        <f>SUM(J206:J207)</f>
        <v/>
      </c>
      <c r="K208" s="291">
        <f>SUM(K206:K207)</f>
        <v/>
      </c>
      <c r="L208" s="291">
        <f>SUM(L206:L207)</f>
        <v/>
      </c>
      <c r="M208" s="291">
        <f>SUM(M206:M207)</f>
        <v/>
      </c>
      <c r="N208" s="291">
        <f>SUM(N206:N207)</f>
        <v/>
      </c>
      <c r="O208" s="291">
        <f>SUM(O206:O207)</f>
        <v/>
      </c>
      <c r="P208" s="291">
        <f>SUM(P206:P207)</f>
        <v/>
      </c>
      <c r="Q208" s="291">
        <f>SUM(Q206:Q207)</f>
        <v/>
      </c>
      <c r="R208" s="291">
        <f>SUM(R206:R207)</f>
        <v/>
      </c>
      <c r="S208" s="291">
        <f>SUM(S206:S207)</f>
        <v/>
      </c>
      <c r="T208" s="291">
        <f>SUM(T206:T207)</f>
        <v/>
      </c>
      <c r="U208" s="291">
        <f>SUM(U206:U207)</f>
        <v/>
      </c>
      <c r="V208" s="291">
        <f>SUM(V206:V207)</f>
        <v/>
      </c>
      <c r="W208" s="291">
        <f>SUM(W206:W207)</f>
        <v/>
      </c>
      <c r="X208" s="291">
        <f>SUM(X206:X207)</f>
        <v/>
      </c>
      <c r="Y208" s="291">
        <f>SUM(Y206:Y207)</f>
        <v/>
      </c>
      <c r="Z208" s="291">
        <f>SUM(Z206:Z207)</f>
        <v/>
      </c>
      <c r="AA208" s="291">
        <f>SUM(AA206:AA207)</f>
        <v/>
      </c>
      <c r="AB208" s="291">
        <f>SUM(AB206:AB207)</f>
        <v/>
      </c>
      <c r="AC208" s="291">
        <f>SUM(AC206:AC207)</f>
        <v/>
      </c>
      <c r="AD208" s="291">
        <f>SUM(AD206:AD207)</f>
        <v/>
      </c>
      <c r="AE208" s="291">
        <f>SUM(AE206:AE207)</f>
        <v/>
      </c>
      <c r="AF208" s="291">
        <f>SUM(AF206:AF207)</f>
        <v/>
      </c>
      <c r="AG208" s="291">
        <f>SUM(AG206:AG207)</f>
        <v/>
      </c>
      <c r="AH208" s="291">
        <f>SUM(AH206:AH207)</f>
        <v/>
      </c>
      <c r="AI208" s="291">
        <f>SUM(AI206:AI207)</f>
        <v/>
      </c>
      <c r="AJ208" s="291">
        <f>SUM(AJ206:AJ207)</f>
        <v/>
      </c>
      <c r="AK208" s="291">
        <f>SUM(AK206:AK207)</f>
        <v/>
      </c>
      <c r="AL208" s="291">
        <f>SUM(AL206:AL207)</f>
        <v/>
      </c>
      <c r="AM208" s="291">
        <f>SUM(AM206:AM207)</f>
        <v/>
      </c>
      <c r="AN208" s="291">
        <f>SUM(AN206:AN207)</f>
        <v/>
      </c>
      <c r="AO208" s="291">
        <f>SUM(AO206:AO207)</f>
        <v/>
      </c>
      <c r="AP208" s="291">
        <f>SUM(AP206:AP207)</f>
        <v/>
      </c>
      <c r="AQ208" s="291">
        <f>SUM(AQ206:AQ207)</f>
        <v/>
      </c>
      <c r="AR208" s="291">
        <f>SUM(AR206:AR207)</f>
        <v/>
      </c>
      <c r="AS208" s="291">
        <f>SUM(AS206:AS207)</f>
        <v/>
      </c>
      <c r="AT208" s="291">
        <f>SUM(AT206:AT207)</f>
        <v/>
      </c>
      <c r="AU208" s="291">
        <f>SUM(AU206:AU207)</f>
        <v/>
      </c>
      <c r="AV208" s="291">
        <f>SUM(AV206:AV207)</f>
        <v/>
      </c>
      <c r="AW208" s="291">
        <f>SUM(AW206:AW207)</f>
        <v/>
      </c>
      <c r="AX208" s="291">
        <f>SUM(AX206:AX207)</f>
        <v/>
      </c>
      <c r="AY208" s="291">
        <f>SUM(AY206:AY207)</f>
        <v/>
      </c>
      <c r="AZ208" s="291">
        <f>SUM(AZ206:AZ207)</f>
        <v/>
      </c>
      <c r="BA208" s="291">
        <f>SUM(BA206:BA207)</f>
        <v/>
      </c>
      <c r="BB208" s="291">
        <f>SUM(BB206:BB207)</f>
        <v/>
      </c>
      <c r="BC208" s="291">
        <f>SUM(BC206:BC207)</f>
        <v/>
      </c>
      <c r="BD208" s="291">
        <f>SUM(BD206:BD207)</f>
        <v/>
      </c>
      <c r="BE208" s="291">
        <f>SUM(BE206:BE207)</f>
        <v/>
      </c>
      <c r="BF208" s="291">
        <f>SUM(BF206:BF207)</f>
        <v/>
      </c>
      <c r="BG208" s="291">
        <f>SUM(BG206:BG207)</f>
        <v/>
      </c>
      <c r="BH208" s="291">
        <f>SUM(BH206:BH207)</f>
        <v/>
      </c>
      <c r="BI208" s="291">
        <f>SUM(BI206:BI207)</f>
        <v/>
      </c>
      <c r="BJ208" s="291">
        <f>SUM(BJ206:BJ207)</f>
        <v/>
      </c>
      <c r="BK208" s="291">
        <f>SUM(BK206:BK207)</f>
        <v/>
      </c>
      <c r="BL208" s="291">
        <f>SUM(BL206:BL207)</f>
        <v/>
      </c>
      <c r="BM208" s="291">
        <f>SUM(BM206:BM207)</f>
        <v/>
      </c>
      <c r="BN208" s="291">
        <f>SUM(BN206:BN207)</f>
        <v/>
      </c>
      <c r="BO208" s="291">
        <f>SUM(BO206:BO207)</f>
        <v/>
      </c>
      <c r="BP208" s="291">
        <f>SUM(BP206:BP207)</f>
        <v/>
      </c>
      <c r="BQ208" s="291">
        <f>SUM(BQ206:BQ207)</f>
        <v/>
      </c>
      <c r="BR208" s="291">
        <f>SUM(BR206:BR207)</f>
        <v/>
      </c>
      <c r="BS208" s="291">
        <f>SUM(BS206:BS207)</f>
        <v/>
      </c>
      <c r="BT208" s="291">
        <f>SUM(BT206:BT207)</f>
        <v/>
      </c>
      <c r="BU208" s="291">
        <f>SUM(BU206:BU207)</f>
        <v/>
      </c>
      <c r="BV208" s="291">
        <f>SUM(BV206:BV207)</f>
        <v/>
      </c>
      <c r="BW208" s="291">
        <f>SUM(BW206:BW207)</f>
        <v/>
      </c>
      <c r="BX208" s="291">
        <f>SUM(BX206:BX207)</f>
        <v/>
      </c>
      <c r="BY208" s="291">
        <f>SUM(BY206:BY207)</f>
        <v/>
      </c>
      <c r="BZ208" s="291">
        <f>SUM(BZ206:BZ207)</f>
        <v/>
      </c>
      <c r="CA208" s="291">
        <f>SUM(CA206:CA207)</f>
        <v/>
      </c>
      <c r="CB208" s="291">
        <f>SUM(CB206:CB207)</f>
        <v/>
      </c>
      <c r="CC208" s="291">
        <f>SUM(CC206:CC207)</f>
        <v/>
      </c>
      <c r="CD208" s="291">
        <f>SUM(CD206:CD207)</f>
        <v/>
      </c>
      <c r="CE208" s="291">
        <f>SUM(CE206:CE207)</f>
        <v/>
      </c>
      <c r="CF208" s="291">
        <f>SUM(CF206:CF207)</f>
        <v/>
      </c>
      <c r="CG208" s="291">
        <f>SUM(CG206:CG207)</f>
        <v/>
      </c>
      <c r="CH208" s="291">
        <f>SUM(CH206:CH207)</f>
        <v/>
      </c>
      <c r="CI208" s="291">
        <f>SUM(CI206:CI207)</f>
        <v/>
      </c>
      <c r="CJ208" s="291">
        <f>SUM(CJ206:CJ207)</f>
        <v/>
      </c>
      <c r="CK208" s="291">
        <f>SUM(CK206:CK207)</f>
        <v/>
      </c>
      <c r="CL208" s="291">
        <f>SUM(CL206:CL207)</f>
        <v/>
      </c>
      <c r="CM208" s="291">
        <f>SUM(CM206:CM207)</f>
        <v/>
      </c>
      <c r="CN208" s="291">
        <f>SUM(CN206:CN207)</f>
        <v/>
      </c>
      <c r="CO208" s="291">
        <f>SUM(CO206:CO207)</f>
        <v/>
      </c>
      <c r="CP208" s="291">
        <f>SUM(CP206:CP207)</f>
        <v/>
      </c>
      <c r="CQ208" s="291">
        <f>SUM(CQ206:CQ207)</f>
        <v/>
      </c>
      <c r="CR208" s="291">
        <f>SUM(CR206:CR207)</f>
        <v/>
      </c>
      <c r="CS208" s="291">
        <f>SUM(CS206:CS207)</f>
        <v/>
      </c>
      <c r="CT208" s="291">
        <f>SUM(CT206:CT207)</f>
        <v/>
      </c>
      <c r="CU208" s="291">
        <f>SUM(CU206:CU207)</f>
        <v/>
      </c>
      <c r="CV208" s="291">
        <f>SUM(CV206:CV207)</f>
        <v/>
      </c>
      <c r="CW208" s="291">
        <f>SUM(CW206:CW207)</f>
        <v/>
      </c>
      <c r="CX208" s="291">
        <f>SUM(CX206:CX207)</f>
        <v/>
      </c>
      <c r="CY208" s="291">
        <f>SUM(CY206:CY207)</f>
        <v/>
      </c>
      <c r="CZ208" s="291">
        <f>SUM(CZ206:CZ207)</f>
        <v/>
      </c>
      <c r="DA208" s="291">
        <f>SUM(DA206:DA207)</f>
        <v/>
      </c>
      <c r="DB208" s="291">
        <f>SUM(DB206:DB207)</f>
        <v/>
      </c>
      <c r="DC208" s="291" t="n"/>
      <c r="DD208" s="289">
        <f>MAX(F208:DB208)</f>
        <v/>
      </c>
    </row>
    <row r="209" hidden="1" outlineLevel="1">
      <c r="A209" s="15" t="inlineStr">
        <is>
          <t>Total Fundings</t>
        </is>
      </c>
      <c r="B209" s="15" t="n"/>
      <c r="C209" s="336">
        <f>SUM(C202:C208)</f>
        <v/>
      </c>
      <c r="D209" s="13" t="n"/>
      <c r="E209" s="271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  <c r="AP209" s="13" t="n"/>
      <c r="AQ209" s="13" t="n"/>
      <c r="AR209" s="13" t="n"/>
      <c r="AS209" s="13" t="n"/>
      <c r="AT209" s="13" t="n"/>
      <c r="AU209" s="13" t="n"/>
      <c r="AV209" s="13" t="n"/>
      <c r="AW209" s="13" t="n"/>
      <c r="AX209" s="13" t="n"/>
      <c r="AY209" s="13" t="n"/>
      <c r="AZ209" s="13" t="n"/>
      <c r="BA209" s="13" t="n"/>
      <c r="BB209" s="13" t="n"/>
      <c r="BC209" s="13" t="n"/>
      <c r="BD209" s="13" t="n"/>
      <c r="BE209" s="13" t="n"/>
      <c r="BF209" s="13" t="n"/>
      <c r="BG209" s="13" t="n"/>
      <c r="BH209" s="13" t="n"/>
      <c r="BI209" s="13" t="n"/>
      <c r="BJ209" s="13" t="n"/>
      <c r="BK209" s="13" t="n"/>
      <c r="BL209" s="13" t="n"/>
      <c r="BM209" s="13" t="n"/>
      <c r="BN209" s="13" t="n"/>
      <c r="BO209" s="13" t="n"/>
      <c r="BP209" s="13" t="n"/>
      <c r="BQ209" s="13" t="n"/>
      <c r="BR209" s="13" t="n"/>
      <c r="BS209" s="13" t="n"/>
      <c r="BT209" s="13" t="n"/>
      <c r="BU209" s="13" t="n"/>
      <c r="BV209" s="13" t="n"/>
      <c r="BW209" s="13" t="n"/>
      <c r="BX209" s="13" t="n"/>
      <c r="BY209" s="13" t="n"/>
      <c r="BZ209" s="13" t="n"/>
      <c r="CA209" s="13" t="n"/>
      <c r="CB209" s="13" t="n"/>
      <c r="CC209" s="13" t="n"/>
      <c r="CD209" s="13" t="n"/>
      <c r="CE209" s="13" t="n"/>
      <c r="CF209" s="13" t="n"/>
      <c r="CG209" s="13" t="n"/>
      <c r="CH209" s="13" t="n"/>
      <c r="CI209" s="13" t="n"/>
      <c r="CJ209" s="13" t="n"/>
      <c r="CK209" s="13" t="n"/>
      <c r="CL209" s="13" t="n"/>
      <c r="CM209" s="13" t="n"/>
      <c r="CN209" s="13" t="n"/>
      <c r="CO209" s="13" t="n"/>
      <c r="CP209" s="13" t="n"/>
      <c r="CQ209" s="13" t="n"/>
      <c r="CR209" s="13" t="n"/>
      <c r="CS209" s="13" t="n"/>
      <c r="CT209" s="13" t="n"/>
      <c r="CU209" s="13" t="n"/>
      <c r="CV209" s="13" t="n"/>
      <c r="CW209" s="13" t="n"/>
      <c r="CX209" s="13" t="n"/>
      <c r="CY209" s="13" t="n"/>
      <c r="CZ209" s="13" t="n"/>
      <c r="DA209" s="13" t="n"/>
      <c r="DB209" s="13" t="n"/>
      <c r="DC209" s="13" t="n"/>
      <c r="DD209" s="13" t="n"/>
    </row>
    <row r="210" collapsed="1">
      <c r="A210" s="13" t="n"/>
      <c r="B210" s="13" t="n"/>
      <c r="C210" s="13" t="n"/>
      <c r="D210" s="13" t="n"/>
      <c r="E210" s="271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  <c r="AS210" s="13" t="n"/>
      <c r="AT210" s="13" t="n"/>
      <c r="AU210" s="13" t="n"/>
      <c r="AV210" s="13" t="n"/>
      <c r="AW210" s="13" t="n"/>
      <c r="AX210" s="13" t="n"/>
      <c r="AY210" s="13" t="n"/>
      <c r="AZ210" s="13" t="n"/>
      <c r="BA210" s="13" t="n"/>
      <c r="BB210" s="13" t="n"/>
      <c r="BC210" s="13" t="n"/>
      <c r="BD210" s="13" t="n"/>
      <c r="BE210" s="13" t="n"/>
      <c r="BF210" s="13" t="n"/>
      <c r="BG210" s="13" t="n"/>
      <c r="BH210" s="13" t="n"/>
      <c r="BI210" s="13" t="n"/>
      <c r="BJ210" s="13" t="n"/>
      <c r="BK210" s="13" t="n"/>
      <c r="BL210" s="13" t="n"/>
      <c r="BM210" s="13" t="n"/>
      <c r="BN210" s="13" t="n"/>
      <c r="BO210" s="13" t="n"/>
      <c r="BP210" s="13" t="n"/>
      <c r="BQ210" s="13" t="n"/>
      <c r="BR210" s="13" t="n"/>
      <c r="BS210" s="13" t="n"/>
      <c r="BT210" s="13" t="n"/>
      <c r="BU210" s="13" t="n"/>
      <c r="BV210" s="13" t="n"/>
      <c r="BW210" s="13" t="n"/>
      <c r="BX210" s="13" t="n"/>
      <c r="BY210" s="13" t="n"/>
      <c r="BZ210" s="13" t="n"/>
      <c r="CA210" s="13" t="n"/>
      <c r="CB210" s="13" t="n"/>
      <c r="CC210" s="13" t="n"/>
      <c r="CD210" s="13" t="n"/>
      <c r="CE210" s="13" t="n"/>
      <c r="CF210" s="13" t="n"/>
      <c r="CG210" s="13" t="n"/>
      <c r="CH210" s="13" t="n"/>
      <c r="CI210" s="13" t="n"/>
      <c r="CJ210" s="13" t="n"/>
      <c r="CK210" s="13" t="n"/>
      <c r="CL210" s="13" t="n"/>
      <c r="CM210" s="13" t="n"/>
      <c r="CN210" s="13" t="n"/>
      <c r="CO210" s="13" t="n"/>
      <c r="CP210" s="13" t="n"/>
      <c r="CQ210" s="13" t="n"/>
      <c r="CR210" s="13" t="n"/>
      <c r="CS210" s="13" t="n"/>
      <c r="CT210" s="13" t="n"/>
      <c r="CU210" s="13" t="n"/>
      <c r="CV210" s="13" t="n"/>
      <c r="CW210" s="13" t="n"/>
      <c r="CX210" s="13" t="n"/>
      <c r="CY210" s="13" t="n"/>
      <c r="CZ210" s="13" t="n"/>
      <c r="DA210" s="13" t="n"/>
      <c r="DB210" s="13" t="n"/>
      <c r="DC210" s="13" t="n"/>
      <c r="DD210" s="13" t="n"/>
    </row>
    <row r="211">
      <c r="A211" s="13" t="n"/>
      <c r="B211" s="13" t="n"/>
      <c r="C211" s="13" t="n"/>
      <c r="D211" s="13" t="n"/>
      <c r="E211" s="271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  <c r="AS211" s="13" t="n"/>
      <c r="AT211" s="13" t="n"/>
      <c r="AU211" s="13" t="n"/>
      <c r="AV211" s="13" t="n"/>
      <c r="AW211" s="13" t="n"/>
      <c r="AX211" s="13" t="n"/>
      <c r="AY211" s="13" t="n"/>
      <c r="AZ211" s="13" t="n"/>
      <c r="BA211" s="13" t="n"/>
      <c r="BB211" s="13" t="n"/>
      <c r="BC211" s="13" t="n"/>
      <c r="BD211" s="13" t="n"/>
      <c r="BE211" s="13" t="n"/>
      <c r="BF211" s="13" t="n"/>
      <c r="BG211" s="13" t="n"/>
      <c r="BH211" s="13" t="n"/>
      <c r="BI211" s="13" t="n"/>
      <c r="BJ211" s="13" t="n"/>
      <c r="BK211" s="13" t="n"/>
      <c r="BL211" s="13" t="n"/>
      <c r="BM211" s="13" t="n"/>
      <c r="BN211" s="13" t="n"/>
      <c r="BO211" s="13" t="n"/>
      <c r="BP211" s="13" t="n"/>
      <c r="BQ211" s="13" t="n"/>
      <c r="BR211" s="13" t="n"/>
      <c r="BS211" s="13" t="n"/>
      <c r="BT211" s="13" t="n"/>
      <c r="BU211" s="13" t="n"/>
      <c r="BV211" s="13" t="n"/>
      <c r="BW211" s="13" t="n"/>
      <c r="BX211" s="13" t="n"/>
      <c r="BY211" s="13" t="n"/>
      <c r="BZ211" s="13" t="n"/>
      <c r="CA211" s="13" t="n"/>
      <c r="CB211" s="13" t="n"/>
      <c r="CC211" s="13" t="n"/>
      <c r="CD211" s="13" t="n"/>
      <c r="CE211" s="13" t="n"/>
      <c r="CF211" s="13" t="n"/>
      <c r="CG211" s="13" t="n"/>
      <c r="CH211" s="13" t="n"/>
      <c r="CI211" s="13" t="n"/>
      <c r="CJ211" s="13" t="n"/>
      <c r="CK211" s="13" t="n"/>
      <c r="CL211" s="13" t="n"/>
      <c r="CM211" s="13" t="n"/>
      <c r="CN211" s="13" t="n"/>
      <c r="CO211" s="13" t="n"/>
      <c r="CP211" s="13" t="n"/>
      <c r="CQ211" s="13" t="n"/>
      <c r="CR211" s="13" t="n"/>
      <c r="CS211" s="13" t="n"/>
      <c r="CT211" s="13" t="n"/>
      <c r="CU211" s="13" t="n"/>
      <c r="CV211" s="13" t="n"/>
      <c r="CW211" s="13" t="n"/>
      <c r="CX211" s="13" t="n"/>
      <c r="CY211" s="13" t="n"/>
      <c r="CZ211" s="13" t="n"/>
      <c r="DA211" s="13" t="n"/>
      <c r="DB211" s="13" t="n"/>
      <c r="DC211" s="13" t="n"/>
      <c r="DD211" s="13" t="n"/>
    </row>
    <row r="212">
      <c r="A212" s="257" t="inlineStr">
        <is>
          <t>Net Cumulative Outstanding</t>
        </is>
      </c>
      <c r="B212" s="257" t="n"/>
      <c r="C212" s="9" t="n"/>
      <c r="D212" s="339" t="n"/>
      <c r="E212" s="271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  <c r="AS212" s="13" t="n"/>
      <c r="AT212" s="13" t="n"/>
      <c r="AU212" s="13" t="n"/>
      <c r="AV212" s="13" t="n"/>
      <c r="AW212" s="13" t="n"/>
      <c r="AX212" s="13" t="n"/>
      <c r="AY212" s="13" t="n"/>
      <c r="AZ212" s="13" t="n"/>
      <c r="BA212" s="13" t="n"/>
      <c r="BB212" s="13" t="n"/>
      <c r="BC212" s="13" t="n"/>
      <c r="BD212" s="13" t="n"/>
      <c r="BE212" s="13" t="n"/>
      <c r="BF212" s="13" t="n"/>
      <c r="BG212" s="13" t="n"/>
      <c r="BH212" s="13" t="n"/>
      <c r="BI212" s="13" t="n"/>
      <c r="BJ212" s="13" t="n"/>
      <c r="BK212" s="13" t="n"/>
      <c r="BL212" s="13" t="n"/>
      <c r="BM212" s="13" t="n"/>
      <c r="BN212" s="13" t="n"/>
      <c r="BO212" s="13" t="n"/>
      <c r="BP212" s="13" t="n"/>
      <c r="BQ212" s="13" t="n"/>
      <c r="BR212" s="13" t="n"/>
      <c r="BS212" s="13" t="n"/>
      <c r="BT212" s="13" t="n"/>
      <c r="BU212" s="13" t="n"/>
      <c r="BV212" s="13" t="n"/>
      <c r="BW212" s="13" t="n"/>
      <c r="BX212" s="13" t="n"/>
      <c r="BY212" s="13" t="n"/>
      <c r="BZ212" s="13" t="n"/>
      <c r="CA212" s="13" t="n"/>
      <c r="CB212" s="13" t="n"/>
      <c r="CC212" s="13" t="n"/>
      <c r="CD212" s="13" t="n"/>
      <c r="CE212" s="13" t="n"/>
      <c r="CF212" s="13" t="n"/>
      <c r="CG212" s="13" t="n"/>
      <c r="CH212" s="13" t="n"/>
      <c r="CI212" s="13" t="n"/>
      <c r="CJ212" s="13" t="n"/>
      <c r="CK212" s="13" t="n"/>
      <c r="CL212" s="13" t="n"/>
      <c r="CM212" s="13" t="n"/>
      <c r="CN212" s="13" t="n"/>
      <c r="CO212" s="13" t="n"/>
      <c r="CP212" s="13" t="n"/>
      <c r="CQ212" s="13" t="n"/>
      <c r="CR212" s="13" t="n"/>
      <c r="CS212" s="13" t="n"/>
      <c r="CT212" s="13" t="n"/>
      <c r="CU212" s="13" t="n"/>
      <c r="CV212" s="13" t="n"/>
      <c r="CW212" s="13" t="n"/>
      <c r="CX212" s="13" t="n"/>
      <c r="CY212" s="13" t="n"/>
      <c r="CZ212" s="13" t="n"/>
      <c r="DA212" s="13" t="n"/>
      <c r="DB212" s="13" t="n"/>
      <c r="DC212" s="13" t="n"/>
      <c r="DD212" s="13" t="n"/>
    </row>
    <row r="213">
      <c r="A213" s="9" t="inlineStr">
        <is>
          <t xml:space="preserve">   Debt</t>
        </is>
      </c>
      <c r="B213" s="9" t="n"/>
      <c r="C213" s="9" t="n"/>
      <c r="D213" s="700">
        <f>DD213</f>
        <v/>
      </c>
      <c r="E213" s="641" t="n"/>
      <c r="F213" s="293">
        <f>IF(F$5&lt;='Project Assumptions'!$D$15,F169+F173,IF(F$5&lt;='Project Returns'!$F$32,F173,0))</f>
        <v/>
      </c>
      <c r="G213" s="293">
        <f>IF(G$5&lt;='Project Assumptions'!$D$15,G169,IF(G$5&lt;='Project Returns'!$F$32,G173,0))</f>
        <v/>
      </c>
      <c r="H213" s="293">
        <f>IF(H$5&lt;='Project Assumptions'!$D$15,H169,IF(H$5&lt;='Project Returns'!$F$32,H173,0))</f>
        <v/>
      </c>
      <c r="I213" s="293">
        <f>IF(I$5&lt;='Project Assumptions'!$D$15,I169,IF(I$5&lt;='Project Returns'!$F$32,I173,0))</f>
        <v/>
      </c>
      <c r="J213" s="293">
        <f>IF(J$5&lt;='Project Assumptions'!$D$15,J169,IF(J$5&lt;='Project Returns'!$F$32,J173,0))</f>
        <v/>
      </c>
      <c r="K213" s="293">
        <f>IF(K$5&lt;='Project Assumptions'!$D$15,K169,IF(K$5&lt;='Project Returns'!$F$32,K173,0))</f>
        <v/>
      </c>
      <c r="L213" s="293">
        <f>IF(L$5&lt;='Project Assumptions'!$D$15,L169,IF(L$5&lt;='Project Returns'!$F$32,L173,0))</f>
        <v/>
      </c>
      <c r="M213" s="293">
        <f>IF(M$5&lt;='Project Assumptions'!$D$15,M169,IF(M$5&lt;='Project Returns'!$F$32,M173,0))</f>
        <v/>
      </c>
      <c r="N213" s="293">
        <f>IF(N$5&lt;='Project Assumptions'!$D$15,N169,IF(N$5&lt;='Project Returns'!$F$32,N173,0))</f>
        <v/>
      </c>
      <c r="O213" s="293">
        <f>IF(O$5&lt;='Project Assumptions'!$D$15,O169,IF(O$5&lt;='Project Returns'!$F$32,O173,0))</f>
        <v/>
      </c>
      <c r="P213" s="293">
        <f>IF(P$5&lt;='Project Assumptions'!$D$15,P169,IF(P$5&lt;='Project Returns'!$F$32,P173,0))</f>
        <v/>
      </c>
      <c r="Q213" s="293">
        <f>IF(Q$5&lt;='Project Assumptions'!$D$15,Q169,IF(Q$5&lt;='Project Returns'!$F$32,Q173,0))</f>
        <v/>
      </c>
      <c r="R213" s="293">
        <f>IF(R$5&lt;='Project Assumptions'!$D$15,R169,IF(R$5&lt;='Project Returns'!$F$32,R173,0))</f>
        <v/>
      </c>
      <c r="S213" s="293">
        <f>IF(S$5&lt;='Project Assumptions'!$D$15,S169,IF(S$5&lt;='Project Returns'!$F$32,S173,0))</f>
        <v/>
      </c>
      <c r="T213" s="293">
        <f>IF(T$5&lt;='Project Assumptions'!$D$15,T169,IF(T$5&lt;='Project Returns'!$F$32,T173,0))</f>
        <v/>
      </c>
      <c r="U213" s="293">
        <f>IF(U$5&lt;='Project Assumptions'!$D$15,U169,IF(U$5&lt;='Project Returns'!$F$32,U173,0))</f>
        <v/>
      </c>
      <c r="V213" s="293">
        <f>IF(V$5&lt;='Project Assumptions'!$D$15,V169,IF(V$5&lt;='Project Returns'!$F$32,V173,0))</f>
        <v/>
      </c>
      <c r="W213" s="293">
        <f>IF(W$5&lt;='Project Assumptions'!$D$15,W169,IF(W$5&lt;='Project Returns'!$F$32,W173,0))</f>
        <v/>
      </c>
      <c r="X213" s="293">
        <f>IF(X$5&lt;='Project Assumptions'!$D$15,X169,IF(X$5&lt;='Project Returns'!$F$32,X173,0))</f>
        <v/>
      </c>
      <c r="Y213" s="293">
        <f>IF(Y$5&lt;='Project Assumptions'!$D$15,Y169,IF(Y$5&lt;='Project Returns'!$F$32,Y173,0))</f>
        <v/>
      </c>
      <c r="Z213" s="293">
        <f>IF(Z$5&lt;='Project Assumptions'!$D$15,Z169,IF(Z$5&lt;='Project Returns'!$F$32,Z173,0))</f>
        <v/>
      </c>
      <c r="AA213" s="293">
        <f>IF(AA$5&lt;='Project Assumptions'!$D$15,AA169,IF(AA$5&lt;='Project Returns'!$F$32,AA173,0))</f>
        <v/>
      </c>
      <c r="AB213" s="293">
        <f>IF(AB$5&lt;='Project Assumptions'!$D$15,AB169,IF(AB$5&lt;='Project Returns'!$F$32,AB173,0))</f>
        <v/>
      </c>
      <c r="AC213" s="293">
        <f>IF(AC$5&lt;='Project Assumptions'!$D$15,AC169,IF(AC$5&lt;='Project Returns'!$F$32,AC173,0))</f>
        <v/>
      </c>
      <c r="AD213" s="293">
        <f>IF(AD$5&lt;='Project Assumptions'!$D$15,AD169,IF(AD$5&lt;='Project Returns'!$F$32,AD173,0))</f>
        <v/>
      </c>
      <c r="AE213" s="293">
        <f>IF(AE$5&lt;='Project Assumptions'!$D$15,AE169,IF(AE$5&lt;='Project Returns'!$F$32,AE173,0))</f>
        <v/>
      </c>
      <c r="AF213" s="293">
        <f>IF(AF$5&lt;='Project Assumptions'!$D$15,AF169,IF(AF$5&lt;='Project Returns'!$F$32,AF173,0))</f>
        <v/>
      </c>
      <c r="AG213" s="293">
        <f>IF(AG$5&lt;='Project Assumptions'!$D$15,AG169,IF(AG$5&lt;='Project Returns'!$F$32,AG173,0))</f>
        <v/>
      </c>
      <c r="AH213" s="293">
        <f>IF(AH$5&lt;='Project Assumptions'!$D$15,AH169,IF(AH$5&lt;='Project Returns'!$F$32,AH173,0))</f>
        <v/>
      </c>
      <c r="AI213" s="293">
        <f>IF(AI$5&lt;='Project Assumptions'!$D$15,AI169,IF(AI$5&lt;='Project Returns'!$F$32,AI173,0))</f>
        <v/>
      </c>
      <c r="AJ213" s="293">
        <f>IF(AJ$5&lt;='Project Assumptions'!$D$15,AJ169,IF(AJ$5&lt;='Project Returns'!$F$32,AJ173,0))</f>
        <v/>
      </c>
      <c r="AK213" s="293">
        <f>IF(AK$5&lt;='Project Assumptions'!$D$15,AK169,IF(AK$5&lt;='Project Returns'!$F$32,AK173,0))</f>
        <v/>
      </c>
      <c r="AL213" s="293">
        <f>IF(AL$5&lt;='Project Assumptions'!$D$15,AL169,IF(AL$5&lt;='Project Returns'!$F$32,AL173,0))</f>
        <v/>
      </c>
      <c r="AM213" s="293">
        <f>IF(AM$5&lt;='Project Assumptions'!$D$15,AM169,IF(AM$5&lt;='Project Returns'!$F$32,AM173,0))</f>
        <v/>
      </c>
      <c r="AN213" s="293">
        <f>IF(AN$5&lt;='Project Assumptions'!$D$15,AN169,IF(AN$5&lt;='Project Returns'!$F$32,AN173,0))</f>
        <v/>
      </c>
      <c r="AO213" s="293">
        <f>IF(AO$5&lt;='Project Assumptions'!$D$15,AO169,IF(AO$5&lt;='Project Returns'!$F$32,AO173,0))</f>
        <v/>
      </c>
      <c r="AP213" s="293">
        <f>IF(AP$5&lt;='Project Assumptions'!$D$15,AP169,IF(AP$5&lt;='Project Returns'!$F$32,AP173,0))</f>
        <v/>
      </c>
      <c r="AQ213" s="293">
        <f>IF(AQ$5&lt;='Project Assumptions'!$D$15,AQ169,IF(AQ$5&lt;='Project Returns'!$F$32,AQ173,0))</f>
        <v/>
      </c>
      <c r="AR213" s="293">
        <f>IF(AR$5&lt;='Project Assumptions'!$D$15,AR169,IF(AR$5&lt;='Project Returns'!$F$32,AR173,0))</f>
        <v/>
      </c>
      <c r="AS213" s="293">
        <f>IF(AS$5&lt;='Project Assumptions'!$D$15,AS169,IF(AS$5&lt;='Project Returns'!$F$32,AS173,0))</f>
        <v/>
      </c>
      <c r="AT213" s="293">
        <f>IF(AT$5&lt;='Project Assumptions'!$D$15,AT169,IF(AT$5&lt;='Project Returns'!$F$32,AT173,0))</f>
        <v/>
      </c>
      <c r="AU213" s="293">
        <f>IF(AU$5&lt;='Project Assumptions'!$D$15,AU169,IF(AU$5&lt;='Project Returns'!$F$32,AU173,0))</f>
        <v/>
      </c>
      <c r="AV213" s="293">
        <f>IF(AV$5&lt;='Project Assumptions'!$D$15,AV169,IF(AV$5&lt;='Project Returns'!$F$32,AV173,0))</f>
        <v/>
      </c>
      <c r="AW213" s="293">
        <f>IF(AW$5&lt;='Project Assumptions'!$D$15,AW169,IF(AW$5&lt;='Project Returns'!$F$32,AW173,0))</f>
        <v/>
      </c>
      <c r="AX213" s="293">
        <f>IF(AX$5&lt;='Project Assumptions'!$D$15,AX169,IF(AX$5&lt;='Project Returns'!$F$32,AX173,0))</f>
        <v/>
      </c>
      <c r="AY213" s="293">
        <f>IF(AY$5&lt;='Project Assumptions'!$D$15,AY169,IF(AY$5&lt;='Project Returns'!$F$32,AY173,0))</f>
        <v/>
      </c>
      <c r="AZ213" s="293">
        <f>IF(AZ$5&lt;='Project Assumptions'!$D$15,AZ169,IF(AZ$5&lt;='Project Returns'!$F$32,AZ173,0))</f>
        <v/>
      </c>
      <c r="BA213" s="293">
        <f>IF(BA$5&lt;='Project Assumptions'!$D$15,BA169,IF(BA$5&lt;='Project Returns'!$F$32,BA173,0))</f>
        <v/>
      </c>
      <c r="BB213" s="293">
        <f>IF(BB$5&lt;='Project Assumptions'!$D$15,BB169,IF(BB$5&lt;='Project Returns'!$F$32,BB173,0))</f>
        <v/>
      </c>
      <c r="BC213" s="293">
        <f>IF(BC$5&lt;='Project Assumptions'!$D$15,BC169,IF(BC$5&lt;='Project Returns'!$F$32,BC173,0))</f>
        <v/>
      </c>
      <c r="BD213" s="293">
        <f>IF(BD$5&lt;='Project Assumptions'!$D$15,BD169,IF(BD$5&lt;='Project Returns'!$F$32,BD173,0))</f>
        <v/>
      </c>
      <c r="BE213" s="293">
        <f>IF(BE$5&lt;='Project Assumptions'!$D$15,BE169,IF(BE$5&lt;='Project Returns'!$F$32,BE173,0))</f>
        <v/>
      </c>
      <c r="BF213" s="293">
        <f>IF(BF$5&lt;='Project Assumptions'!$D$15,BF169,IF(BF$5&lt;='Project Returns'!$F$32,BF173,0))</f>
        <v/>
      </c>
      <c r="BG213" s="293">
        <f>IF(BG$5&lt;='Project Assumptions'!$D$15,BG169,IF(BG$5&lt;='Project Returns'!$F$32,BG173,0))</f>
        <v/>
      </c>
      <c r="BH213" s="293">
        <f>IF(BH$5&lt;='Project Assumptions'!$D$15,BH169,IF(BH$5&lt;='Project Returns'!$F$32,BH173,0))</f>
        <v/>
      </c>
      <c r="BI213" s="293">
        <f>IF(BI$5&lt;='Project Assumptions'!$D$15,BI169,IF(BI$5&lt;='Project Returns'!$F$32,BI173,0))</f>
        <v/>
      </c>
      <c r="BJ213" s="293">
        <f>IF(BJ$5&lt;='Project Assumptions'!$D$15,BJ169,IF(BJ$5&lt;='Project Returns'!$F$32,BJ173,0))</f>
        <v/>
      </c>
      <c r="BK213" s="293">
        <f>IF(BK$5&lt;='Project Assumptions'!$D$15,BK169,IF(BK$5&lt;='Project Returns'!$F$32,BK173,0))</f>
        <v/>
      </c>
      <c r="BL213" s="293">
        <f>IF(BL$5&lt;='Project Assumptions'!$D$15,BL169,IF(BL$5&lt;='Project Returns'!$F$32,BL173,0))</f>
        <v/>
      </c>
      <c r="BM213" s="293">
        <f>IF(BM$5&lt;='Project Assumptions'!$D$15,BM169,IF(BM$5&lt;='Project Returns'!$F$32,BM173,0))</f>
        <v/>
      </c>
      <c r="BN213" s="293">
        <f>IF(BN$5&lt;='Project Assumptions'!$D$15,BN169,IF(BN$5&lt;='Project Returns'!$F$32,BN173,0))</f>
        <v/>
      </c>
      <c r="BO213" s="293">
        <f>IF(BO$5&lt;='Project Assumptions'!$D$15,BO169,IF(BO$5&lt;='Project Returns'!$F$32,BO173,0))</f>
        <v/>
      </c>
      <c r="BP213" s="293">
        <f>IF(BP$5&lt;='Project Assumptions'!$D$15,BP169,IF(BP$5&lt;='Project Returns'!$F$32,BP173,0))</f>
        <v/>
      </c>
      <c r="BQ213" s="293">
        <f>IF(BQ$5&lt;='Project Assumptions'!$D$15,BQ169,IF(BQ$5&lt;='Project Returns'!$F$32,BQ173,0))</f>
        <v/>
      </c>
      <c r="BR213" s="293">
        <f>IF(BR$5&lt;='Project Assumptions'!$D$15,BR169,IF(BR$5&lt;='Project Returns'!$F$32,BR173,0))</f>
        <v/>
      </c>
      <c r="BS213" s="293">
        <f>IF(BS$5&lt;='Project Assumptions'!$D$15,BS169,IF(BS$5&lt;='Project Returns'!$F$32,BS173,0))</f>
        <v/>
      </c>
      <c r="BT213" s="293">
        <f>IF(BT$5&lt;='Project Assumptions'!$D$15,BT169,IF(BT$5&lt;='Project Returns'!$F$32,BT173,0))</f>
        <v/>
      </c>
      <c r="BU213" s="293">
        <f>IF(BU$5&lt;='Project Assumptions'!$D$15,BU169,IF(BU$5&lt;='Project Returns'!$F$32,BU173,0))</f>
        <v/>
      </c>
      <c r="BV213" s="293">
        <f>IF(BV$5&lt;='Project Assumptions'!$D$15,BV169,IF(BV$5&lt;='Project Returns'!$F$32,BV173,0))</f>
        <v/>
      </c>
      <c r="BW213" s="293">
        <f>IF(BW$5&lt;='Project Assumptions'!$D$15,BW169,IF(BW$5&lt;='Project Returns'!$F$32,BW173,0))</f>
        <v/>
      </c>
      <c r="BX213" s="293">
        <f>IF(BX$5&lt;='Project Assumptions'!$D$15,BX169,IF(BX$5&lt;='Project Returns'!$F$32,BX173,0))</f>
        <v/>
      </c>
      <c r="BY213" s="293">
        <f>IF(BY$5&lt;='Project Assumptions'!$D$15,BY169,IF(BY$5&lt;='Project Returns'!$F$32,BY173,0))</f>
        <v/>
      </c>
      <c r="BZ213" s="293">
        <f>IF(BZ$5&lt;='Project Assumptions'!$D$15,BZ169,IF(BZ$5&lt;='Project Returns'!$F$32,BZ173,0))</f>
        <v/>
      </c>
      <c r="CA213" s="293">
        <f>IF(CA$5&lt;='Project Assumptions'!$D$15,CA169,IF(CA$5&lt;='Project Returns'!$F$32,CA173,0))</f>
        <v/>
      </c>
      <c r="CB213" s="293">
        <f>IF(CB$5&lt;='Project Assumptions'!$D$15,CB169,IF(CB$5&lt;='Project Returns'!$F$32,CB173,0))</f>
        <v/>
      </c>
      <c r="CC213" s="293">
        <f>IF(CC$5&lt;='Project Assumptions'!$D$15,CC169,IF(CC$5&lt;='Project Returns'!$F$32,CC173,0))</f>
        <v/>
      </c>
      <c r="CD213" s="293">
        <f>IF(CD$5&lt;='Project Assumptions'!$D$15,CD169,IF(CD$5&lt;='Project Returns'!$F$32,CD173,0))</f>
        <v/>
      </c>
      <c r="CE213" s="293">
        <f>IF(CE$5&lt;='Project Assumptions'!$D$15,CE169,IF(CE$5&lt;='Project Returns'!$F$32,CE173,0))</f>
        <v/>
      </c>
      <c r="CF213" s="293">
        <f>IF(CF$5&lt;='Project Assumptions'!$D$15,CF169,IF(CF$5&lt;='Project Returns'!$F$32,CF173,0))</f>
        <v/>
      </c>
      <c r="CG213" s="293">
        <f>IF(CG$5&lt;='Project Assumptions'!$D$15,CG169,IF(CG$5&lt;='Project Returns'!$F$32,CG173,0))</f>
        <v/>
      </c>
      <c r="CH213" s="293">
        <f>IF(CH$5&lt;='Project Assumptions'!$D$15,CH169,IF(CH$5&lt;='Project Returns'!$F$32,CH173,0))</f>
        <v/>
      </c>
      <c r="CI213" s="293">
        <f>IF(CI$5&lt;='Project Assumptions'!$D$15,CI169,IF(CI$5&lt;='Project Returns'!$F$32,CI173,0))</f>
        <v/>
      </c>
      <c r="CJ213" s="293">
        <f>IF(CJ$5&lt;='Project Assumptions'!$D$15,CJ169,IF(CJ$5&lt;='Project Returns'!$F$32,CJ173,0))</f>
        <v/>
      </c>
      <c r="CK213" s="293">
        <f>IF(CK$5&lt;='Project Assumptions'!$D$15,CK169,IF(CK$5&lt;='Project Returns'!$F$32,CK173,0))</f>
        <v/>
      </c>
      <c r="CL213" s="293">
        <f>IF(CL$5&lt;='Project Assumptions'!$D$15,CL169,IF(CL$5&lt;='Project Returns'!$F$32,CL173,0))</f>
        <v/>
      </c>
      <c r="CM213" s="293">
        <f>IF(CM$5&lt;='Project Assumptions'!$D$15,CM169,IF(CM$5&lt;='Project Returns'!$F$32,CM173,0))</f>
        <v/>
      </c>
      <c r="CN213" s="293">
        <f>IF(CN$5&lt;='Project Assumptions'!$D$15,CN169,IF(CN$5&lt;='Project Returns'!$F$32,CN173,0))</f>
        <v/>
      </c>
      <c r="CO213" s="293">
        <f>IF(CO$5&lt;='Project Assumptions'!$D$15,CO169,IF(CO$5&lt;='Project Returns'!$F$32,CO173,0))</f>
        <v/>
      </c>
      <c r="CP213" s="293">
        <f>IF(CP$5&lt;='Project Assumptions'!$D$15,CP169,IF(CP$5&lt;='Project Returns'!$F$32,CP173,0))</f>
        <v/>
      </c>
      <c r="CQ213" s="293">
        <f>IF(CQ$5&lt;='Project Assumptions'!$D$15,CQ169,IF(CQ$5&lt;='Project Returns'!$F$32,CQ173,0))</f>
        <v/>
      </c>
      <c r="CR213" s="293">
        <f>IF(CR$5&lt;='Project Assumptions'!$D$15,CR169,IF(CR$5&lt;='Project Returns'!$F$32,CR173,0))</f>
        <v/>
      </c>
      <c r="CS213" s="293">
        <f>IF(CS$5&lt;='Project Assumptions'!$D$15,CS169,IF(CS$5&lt;='Project Returns'!$F$32,CS173,0))</f>
        <v/>
      </c>
      <c r="CT213" s="293">
        <f>IF(CT$5&lt;='Project Assumptions'!$D$15,CT169,IF(CT$5&lt;='Project Returns'!$F$32,CT173,0))</f>
        <v/>
      </c>
      <c r="CU213" s="293">
        <f>IF(CU$5&lt;='Project Assumptions'!$D$15,CU169,IF(CU$5&lt;='Project Returns'!$F$32,CU173,0))</f>
        <v/>
      </c>
      <c r="CV213" s="293">
        <f>IF(CV$5&lt;='Project Assumptions'!$D$15,CV169,IF(CV$5&lt;='Project Returns'!$F$32,CV173,0))</f>
        <v/>
      </c>
      <c r="CW213" s="293">
        <f>IF(CW$5&lt;='Project Assumptions'!$D$15,CW169,IF(CW$5&lt;='Project Returns'!$F$32,CW173,0))</f>
        <v/>
      </c>
      <c r="CX213" s="293">
        <f>IF(CX$5&lt;='Project Assumptions'!$D$15,CX169,IF(CX$5&lt;='Project Returns'!$F$32,CX173,0))</f>
        <v/>
      </c>
      <c r="CY213" s="293">
        <f>IF(CY$5&lt;='Project Assumptions'!$D$15,CY169,IF(CY$5&lt;='Project Returns'!$F$32,CY173,0))</f>
        <v/>
      </c>
      <c r="CZ213" s="293">
        <f>IF(CZ$5&lt;='Project Assumptions'!$D$15,CZ169,IF(CZ$5&lt;='Project Returns'!$F$32,CZ173,0))</f>
        <v/>
      </c>
      <c r="DA213" s="293">
        <f>IF(DA$5&lt;='Project Assumptions'!$D$15,DA169,IF(DA$5&lt;='Project Returns'!$F$32,DA173,0))</f>
        <v/>
      </c>
      <c r="DB213" s="293">
        <f>IF(DB$5&lt;='Project Assumptions'!$D$15,DB169,IF(DB$5&lt;='Project Returns'!$F$32,DB173,0))</f>
        <v/>
      </c>
      <c r="DC213" s="293" t="n"/>
      <c r="DD213" s="292">
        <f>MAX(F213:DB213)</f>
        <v/>
      </c>
    </row>
    <row r="214">
      <c r="A214" s="9" t="inlineStr">
        <is>
          <t xml:space="preserve">   Equity</t>
        </is>
      </c>
      <c r="B214" s="9" t="n"/>
      <c r="C214" s="9" t="n"/>
      <c r="D214" s="337">
        <f>DD214</f>
        <v/>
      </c>
      <c r="E214" s="276" t="n"/>
      <c r="F214" s="890">
        <f>IF(F5&lt;='Project Returns'!$F$32,F170+F174,0)</f>
        <v/>
      </c>
      <c r="G214" s="890">
        <f>IF(G5&lt;='Project Returns'!$F$32,G170+G174,0)</f>
        <v/>
      </c>
      <c r="H214" s="890">
        <f>IF(H5&lt;='Project Returns'!$F$32,H170+H174,0)</f>
        <v/>
      </c>
      <c r="I214" s="890">
        <f>IF(I5&lt;='Project Returns'!$F$32,I170+I174,0)</f>
        <v/>
      </c>
      <c r="J214" s="890">
        <f>IF(J5&lt;='Project Returns'!$F$32,J170+J174,0)</f>
        <v/>
      </c>
      <c r="K214" s="890">
        <f>IF(K5&lt;='Project Returns'!$F$32,K170+K174,0)</f>
        <v/>
      </c>
      <c r="L214" s="890">
        <f>IF(L5&lt;='Project Returns'!$F$32,L170+L174,0)</f>
        <v/>
      </c>
      <c r="M214" s="890">
        <f>IF(M5&lt;='Project Returns'!$F$32,M170+M174,0)</f>
        <v/>
      </c>
      <c r="N214" s="890">
        <f>IF(N5&lt;='Project Returns'!$F$32,N170+N174,0)</f>
        <v/>
      </c>
      <c r="O214" s="890">
        <f>IF(O5&lt;='Project Returns'!$F$32,O170+O174,0)</f>
        <v/>
      </c>
      <c r="P214" s="890">
        <f>IF(P5&lt;='Project Returns'!$F$32,P170+P174,0)</f>
        <v/>
      </c>
      <c r="Q214" s="890">
        <f>IF(Q5&lt;='Project Returns'!$F$32,Q170+Q174,0)</f>
        <v/>
      </c>
      <c r="R214" s="890">
        <f>IF(R5&lt;='Project Returns'!$F$32,R170+R174,0)</f>
        <v/>
      </c>
      <c r="S214" s="890">
        <f>IF(S5&lt;='Project Returns'!$F$32,S170+S174,0)</f>
        <v/>
      </c>
      <c r="T214" s="890">
        <f>IF(T5&lt;='Project Returns'!$F$32,T170+T174,0)</f>
        <v/>
      </c>
      <c r="U214" s="890">
        <f>IF(U5&lt;='Project Returns'!$F$32,U170+U174,0)</f>
        <v/>
      </c>
      <c r="V214" s="890">
        <f>IF(V5&lt;='Project Returns'!$F$32,V170+V174,0)</f>
        <v/>
      </c>
      <c r="W214" s="890">
        <f>IF(W5&lt;='Project Returns'!$F$32,W170+W174,0)</f>
        <v/>
      </c>
      <c r="X214" s="890">
        <f>IF(X5&lt;='Project Returns'!$F$32,X170+X174,0)</f>
        <v/>
      </c>
      <c r="Y214" s="890">
        <f>IF(Y5&lt;='Project Returns'!$F$32,Y170+Y174,0)</f>
        <v/>
      </c>
      <c r="Z214" s="890">
        <f>IF(Z5&lt;='Project Returns'!$F$32,Z170+Z174,0)</f>
        <v/>
      </c>
      <c r="AA214" s="890">
        <f>IF(AA5&lt;='Project Returns'!$F$32,AA170+AA174,0)</f>
        <v/>
      </c>
      <c r="AB214" s="890">
        <f>IF(AB5&lt;='Project Returns'!$F$32,AB170+AB174,0)</f>
        <v/>
      </c>
      <c r="AC214" s="890">
        <f>IF(AC5&lt;='Project Returns'!$F$32,AC170+AC174,0)</f>
        <v/>
      </c>
      <c r="AD214" s="890">
        <f>IF(AD5&lt;='Project Returns'!$F$32,AD170+AD174,0)</f>
        <v/>
      </c>
      <c r="AE214" s="890">
        <f>IF(AE5&lt;='Project Returns'!$F$32,AE170+AE174,0)</f>
        <v/>
      </c>
      <c r="AF214" s="890">
        <f>IF(AF5&lt;='Project Returns'!$F$32,AF170+AF174,0)</f>
        <v/>
      </c>
      <c r="AG214" s="890">
        <f>IF(AG5&lt;='Project Returns'!$F$32,AG170+AG174,0)</f>
        <v/>
      </c>
      <c r="AH214" s="890">
        <f>IF(AH5&lt;='Project Returns'!$F$32,AH170+AH174,0)</f>
        <v/>
      </c>
      <c r="AI214" s="890">
        <f>IF(AI5&lt;='Project Returns'!$F$32,AI170+AI174,0)</f>
        <v/>
      </c>
      <c r="AJ214" s="890">
        <f>IF(AJ5&lt;='Project Returns'!$F$32,AJ170+AJ174,0)</f>
        <v/>
      </c>
      <c r="AK214" s="890">
        <f>IF(AK5&lt;='Project Returns'!$F$32,AK170+AK174,0)</f>
        <v/>
      </c>
      <c r="AL214" s="890">
        <f>IF(AL5&lt;='Project Returns'!$F$32,AL170+AL174,0)</f>
        <v/>
      </c>
      <c r="AM214" s="890">
        <f>IF(AM5&lt;='Project Returns'!$F$32,AM170+AM174,0)</f>
        <v/>
      </c>
      <c r="AN214" s="890">
        <f>IF(AN5&lt;='Project Returns'!$F$32,AN170+AN174,0)</f>
        <v/>
      </c>
      <c r="AO214" s="890">
        <f>IF(AO5&lt;='Project Returns'!$F$32,AO170+AO174,0)</f>
        <v/>
      </c>
      <c r="AP214" s="890">
        <f>IF(AP5&lt;='Project Returns'!$F$32,AP170+AP174,0)</f>
        <v/>
      </c>
      <c r="AQ214" s="890">
        <f>IF(AQ5&lt;='Project Returns'!$F$32,AQ170+AQ174,0)</f>
        <v/>
      </c>
      <c r="AR214" s="890">
        <f>IF(AR5&lt;='Project Returns'!$F$32,AR170+AR174,0)</f>
        <v/>
      </c>
      <c r="AS214" s="890">
        <f>IF(AS5&lt;='Project Returns'!$F$32,AS170+AS174,0)</f>
        <v/>
      </c>
      <c r="AT214" s="890">
        <f>IF(AT5&lt;='Project Returns'!$F$32,AT170+AT174,0)</f>
        <v/>
      </c>
      <c r="AU214" s="890">
        <f>IF(AU5&lt;='Project Returns'!$F$32,AU170+AU174,0)</f>
        <v/>
      </c>
      <c r="AV214" s="890">
        <f>IF(AV5&lt;='Project Returns'!$F$32,AV170+AV174,0)</f>
        <v/>
      </c>
      <c r="AW214" s="890">
        <f>IF(AW5&lt;='Project Returns'!$F$32,AW170+AW174,0)</f>
        <v/>
      </c>
      <c r="AX214" s="890">
        <f>IF(AX5&lt;='Project Returns'!$F$32,AX170+AX174,0)</f>
        <v/>
      </c>
      <c r="AY214" s="890">
        <f>IF(AY5&lt;='Project Returns'!$F$32,AY170+AY174,0)</f>
        <v/>
      </c>
      <c r="AZ214" s="890">
        <f>IF(AZ5&lt;='Project Returns'!$F$32,AZ170+AZ174,0)</f>
        <v/>
      </c>
      <c r="BA214" s="890">
        <f>IF(BA5&lt;='Project Returns'!$F$32,BA170+BA174,0)</f>
        <v/>
      </c>
      <c r="BB214" s="890">
        <f>IF(BB5&lt;='Project Returns'!$F$32,BB170+BB174,0)</f>
        <v/>
      </c>
      <c r="BC214" s="890">
        <f>IF(BC5&lt;='Project Returns'!$F$32,BC170+BC174,0)</f>
        <v/>
      </c>
      <c r="BD214" s="890">
        <f>IF(BD5&lt;='Project Returns'!$F$32,BD170+BD174,0)</f>
        <v/>
      </c>
      <c r="BE214" s="890">
        <f>IF(BE5&lt;='Project Returns'!$F$32,BE170+BE174,0)</f>
        <v/>
      </c>
      <c r="BF214" s="890">
        <f>IF(BF5&lt;='Project Returns'!$F$32,BF170+BF174,0)</f>
        <v/>
      </c>
      <c r="BG214" s="890">
        <f>IF(BG5&lt;='Project Returns'!$F$32,BG170+BG174,0)</f>
        <v/>
      </c>
      <c r="BH214" s="890">
        <f>IF(BH5&lt;='Project Returns'!$F$32,BH170+BH174,0)</f>
        <v/>
      </c>
      <c r="BI214" s="890">
        <f>IF(BI5&lt;='Project Returns'!$F$32,BI170+BI174,0)</f>
        <v/>
      </c>
      <c r="BJ214" s="890">
        <f>IF(BJ5&lt;='Project Returns'!$F$32,BJ170+BJ174,0)</f>
        <v/>
      </c>
      <c r="BK214" s="890">
        <f>IF(BK5&lt;='Project Returns'!$F$32,BK170+BK174,0)</f>
        <v/>
      </c>
      <c r="BL214" s="890">
        <f>IF(BL5&lt;='Project Returns'!$F$32,BL170+BL174,0)</f>
        <v/>
      </c>
      <c r="BM214" s="890">
        <f>IF(BM5&lt;='Project Returns'!$F$32,BM170+BM174,0)</f>
        <v/>
      </c>
      <c r="BN214" s="890">
        <f>IF(BN5&lt;='Project Returns'!$F$32,BN170+BN174,0)</f>
        <v/>
      </c>
      <c r="BO214" s="890">
        <f>IF(BO5&lt;='Project Returns'!$F$32,BO170+BO174,0)</f>
        <v/>
      </c>
      <c r="BP214" s="890">
        <f>IF(BP5&lt;='Project Returns'!$F$32,BP170+BP174,0)</f>
        <v/>
      </c>
      <c r="BQ214" s="890">
        <f>IF(BQ5&lt;='Project Returns'!$F$32,BQ170+BQ174,0)</f>
        <v/>
      </c>
      <c r="BR214" s="890">
        <f>IF(BR5&lt;='Project Returns'!$F$32,BR170+BR174,0)</f>
        <v/>
      </c>
      <c r="BS214" s="890">
        <f>IF(BS5&lt;='Project Returns'!$F$32,BS170+BS174,0)</f>
        <v/>
      </c>
      <c r="BT214" s="890">
        <f>IF(BT5&lt;='Project Returns'!$F$32,BT170+BT174,0)</f>
        <v/>
      </c>
      <c r="BU214" s="890">
        <f>IF(BU5&lt;='Project Returns'!$F$32,BU170+BU174,0)</f>
        <v/>
      </c>
      <c r="BV214" s="890">
        <f>IF(BV5&lt;='Project Returns'!$F$32,BV170+BV174,0)</f>
        <v/>
      </c>
      <c r="BW214" s="890">
        <f>IF(BW5&lt;='Project Returns'!$F$32,BW170+BW174,0)</f>
        <v/>
      </c>
      <c r="BX214" s="890">
        <f>IF(BX5&lt;='Project Returns'!$F$32,BX170+BX174,0)</f>
        <v/>
      </c>
      <c r="BY214" s="890">
        <f>IF(BY5&lt;='Project Returns'!$F$32,BY170+BY174,0)</f>
        <v/>
      </c>
      <c r="BZ214" s="890">
        <f>IF(BZ5&lt;='Project Returns'!$F$32,BZ170+BZ174,0)</f>
        <v/>
      </c>
      <c r="CA214" s="890">
        <f>IF(CA5&lt;='Project Returns'!$F$32,CA170+CA174,0)</f>
        <v/>
      </c>
      <c r="CB214" s="890">
        <f>IF(CB5&lt;='Project Returns'!$F$32,CB170+CB174,0)</f>
        <v/>
      </c>
      <c r="CC214" s="890">
        <f>IF(CC5&lt;='Project Returns'!$F$32,CC170+CC174,0)</f>
        <v/>
      </c>
      <c r="CD214" s="890">
        <f>IF(CD5&lt;='Project Returns'!$F$32,CD170+CD174,0)</f>
        <v/>
      </c>
      <c r="CE214" s="890">
        <f>IF(CE5&lt;='Project Returns'!$F$32,CE170+CE174,0)</f>
        <v/>
      </c>
      <c r="CF214" s="890">
        <f>IF(CF5&lt;='Project Returns'!$F$32,CF170+CF174,0)</f>
        <v/>
      </c>
      <c r="CG214" s="890">
        <f>IF(CG5&lt;='Project Returns'!$F$32,CG170+CG174,0)</f>
        <v/>
      </c>
      <c r="CH214" s="890">
        <f>IF(CH5&lt;='Project Returns'!$F$32,CH170+CH174,0)</f>
        <v/>
      </c>
      <c r="CI214" s="890">
        <f>IF(CI5&lt;='Project Returns'!$F$32,CI170+CI174,0)</f>
        <v/>
      </c>
      <c r="CJ214" s="890">
        <f>IF(CJ5&lt;='Project Returns'!$F$32,CJ170+CJ174,0)</f>
        <v/>
      </c>
      <c r="CK214" s="890">
        <f>IF(CK5&lt;='Project Returns'!$F$32,CK170+CK174,0)</f>
        <v/>
      </c>
      <c r="CL214" s="890">
        <f>IF(CL5&lt;='Project Returns'!$F$32,CL170+CL174,0)</f>
        <v/>
      </c>
      <c r="CM214" s="890">
        <f>IF(CM5&lt;='Project Returns'!$F$32,CM170+CM174,0)</f>
        <v/>
      </c>
      <c r="CN214" s="890">
        <f>IF(CN5&lt;='Project Returns'!$F$32,CN170+CN174,0)</f>
        <v/>
      </c>
      <c r="CO214" s="890">
        <f>IF(CO5&lt;='Project Returns'!$F$32,CO170+CO174,0)</f>
        <v/>
      </c>
      <c r="CP214" s="890">
        <f>IF(CP5&lt;='Project Returns'!$F$32,CP170+CP174,0)</f>
        <v/>
      </c>
      <c r="CQ214" s="890">
        <f>IF(CQ5&lt;='Project Returns'!$F$32,CQ170+CQ174,0)</f>
        <v/>
      </c>
      <c r="CR214" s="890">
        <f>IF(CR5&lt;='Project Returns'!$F$32,CR170+CR174,0)</f>
        <v/>
      </c>
      <c r="CS214" s="890">
        <f>IF(CS5&lt;='Project Returns'!$F$32,CS170+CS174,0)</f>
        <v/>
      </c>
      <c r="CT214" s="890">
        <f>IF(CT5&lt;='Project Returns'!$F$32,CT170+CT174,0)</f>
        <v/>
      </c>
      <c r="CU214" s="890">
        <f>IF(CU5&lt;='Project Returns'!$F$32,CU170+CU174,0)</f>
        <v/>
      </c>
      <c r="CV214" s="890">
        <f>IF(CV5&lt;='Project Returns'!$F$32,CV170+CV174,0)</f>
        <v/>
      </c>
      <c r="CW214" s="890">
        <f>IF(CW5&lt;='Project Returns'!$F$32,CW170+CW174,0)</f>
        <v/>
      </c>
      <c r="CX214" s="890">
        <f>IF(CX5&lt;='Project Returns'!$F$32,CX170+CX174,0)</f>
        <v/>
      </c>
      <c r="CY214" s="890">
        <f>IF(CY5&lt;='Project Returns'!$F$32,CY170+CY174,0)</f>
        <v/>
      </c>
      <c r="CZ214" s="890">
        <f>IF(CZ5&lt;='Project Returns'!$F$32,CZ170+CZ174,0)</f>
        <v/>
      </c>
      <c r="DA214" s="890">
        <f>IF(DA5&lt;='Project Returns'!$F$32,DA170+DA174,0)</f>
        <v/>
      </c>
      <c r="DB214" s="890">
        <f>IF(DB5&lt;='Project Returns'!$F$32,DB170+DB174,0)</f>
        <v/>
      </c>
      <c r="DC214" s="890" t="n"/>
      <c r="DD214" s="297">
        <f>MAX(F214:DB214)</f>
        <v/>
      </c>
    </row>
    <row r="215" ht="14.1" customFormat="1" customHeight="1" s="321">
      <c r="A215" s="257" t="inlineStr">
        <is>
          <t xml:space="preserve">   Total</t>
        </is>
      </c>
      <c r="B215" s="257" t="n"/>
      <c r="C215" s="257" t="n"/>
      <c r="D215" s="340">
        <f>SUM(D213:D214)</f>
        <v/>
      </c>
      <c r="E215" s="281" t="n"/>
      <c r="F215" s="320">
        <f>SUM(F213:F214)</f>
        <v/>
      </c>
      <c r="G215" s="320">
        <f>SUM(G213:G214)</f>
        <v/>
      </c>
      <c r="H215" s="320">
        <f>SUM(H213:H214)</f>
        <v/>
      </c>
      <c r="I215" s="320">
        <f>SUM(I213:I214)</f>
        <v/>
      </c>
      <c r="J215" s="320">
        <f>SUM(J213:J214)</f>
        <v/>
      </c>
      <c r="K215" s="320">
        <f>SUM(K213:K214)</f>
        <v/>
      </c>
      <c r="L215" s="320">
        <f>SUM(L213:L214)</f>
        <v/>
      </c>
      <c r="M215" s="320">
        <f>SUM(M213:M214)</f>
        <v/>
      </c>
      <c r="N215" s="320">
        <f>SUM(N213:N214)</f>
        <v/>
      </c>
      <c r="O215" s="320">
        <f>SUM(O213:O214)</f>
        <v/>
      </c>
      <c r="P215" s="320">
        <f>SUM(P213:P214)</f>
        <v/>
      </c>
      <c r="Q215" s="320">
        <f>SUM(Q213:Q214)</f>
        <v/>
      </c>
      <c r="R215" s="320">
        <f>SUM(R213:R214)</f>
        <v/>
      </c>
      <c r="S215" s="320">
        <f>SUM(S213:S214)</f>
        <v/>
      </c>
      <c r="T215" s="320">
        <f>SUM(T213:T214)</f>
        <v/>
      </c>
      <c r="U215" s="320">
        <f>SUM(U213:U214)</f>
        <v/>
      </c>
      <c r="V215" s="320">
        <f>SUM(V213:V214)</f>
        <v/>
      </c>
      <c r="W215" s="320">
        <f>SUM(W213:W214)</f>
        <v/>
      </c>
      <c r="X215" s="320">
        <f>SUM(X213:X214)</f>
        <v/>
      </c>
      <c r="Y215" s="320">
        <f>SUM(Y213:Y214)</f>
        <v/>
      </c>
      <c r="Z215" s="320">
        <f>SUM(Z213:Z214)</f>
        <v/>
      </c>
      <c r="AA215" s="320">
        <f>SUM(AA213:AA214)</f>
        <v/>
      </c>
      <c r="AB215" s="320">
        <f>SUM(AB213:AB214)</f>
        <v/>
      </c>
      <c r="AC215" s="320">
        <f>SUM(AC213:AC214)</f>
        <v/>
      </c>
      <c r="AD215" s="320">
        <f>SUM(AD213:AD214)</f>
        <v/>
      </c>
      <c r="AE215" s="320">
        <f>SUM(AE213:AE214)</f>
        <v/>
      </c>
      <c r="AF215" s="320">
        <f>SUM(AF213:AF214)</f>
        <v/>
      </c>
      <c r="AG215" s="320">
        <f>SUM(AG213:AG214)</f>
        <v/>
      </c>
      <c r="AH215" s="320">
        <f>SUM(AH213:AH214)</f>
        <v/>
      </c>
      <c r="AI215" s="320">
        <f>SUM(AI213:AI214)</f>
        <v/>
      </c>
      <c r="AJ215" s="320">
        <f>SUM(AJ213:AJ214)</f>
        <v/>
      </c>
      <c r="AK215" s="320">
        <f>SUM(AK213:AK214)</f>
        <v/>
      </c>
      <c r="AL215" s="320">
        <f>SUM(AL213:AL214)</f>
        <v/>
      </c>
      <c r="AM215" s="320">
        <f>SUM(AM213:AM214)</f>
        <v/>
      </c>
      <c r="AN215" s="320">
        <f>SUM(AN213:AN214)</f>
        <v/>
      </c>
      <c r="AO215" s="320">
        <f>SUM(AO213:AO214)</f>
        <v/>
      </c>
      <c r="AP215" s="320">
        <f>SUM(AP213:AP214)</f>
        <v/>
      </c>
      <c r="AQ215" s="320">
        <f>SUM(AQ213:AQ214)</f>
        <v/>
      </c>
      <c r="AR215" s="320">
        <f>SUM(AR213:AR214)</f>
        <v/>
      </c>
      <c r="AS215" s="320">
        <f>SUM(AS213:AS214)</f>
        <v/>
      </c>
      <c r="AT215" s="320">
        <f>SUM(AT213:AT214)</f>
        <v/>
      </c>
      <c r="AU215" s="320">
        <f>SUM(AU213:AU214)</f>
        <v/>
      </c>
      <c r="AV215" s="320">
        <f>SUM(AV213:AV214)</f>
        <v/>
      </c>
      <c r="AW215" s="320">
        <f>SUM(AW213:AW214)</f>
        <v/>
      </c>
      <c r="AX215" s="320">
        <f>SUM(AX213:AX214)</f>
        <v/>
      </c>
      <c r="AY215" s="320">
        <f>SUM(AY213:AY214)</f>
        <v/>
      </c>
      <c r="AZ215" s="320">
        <f>SUM(AZ213:AZ214)</f>
        <v/>
      </c>
      <c r="BA215" s="320">
        <f>SUM(BA213:BA214)</f>
        <v/>
      </c>
      <c r="BB215" s="320">
        <f>SUM(BB213:BB214)</f>
        <v/>
      </c>
      <c r="BC215" s="320">
        <f>SUM(BC213:BC214)</f>
        <v/>
      </c>
      <c r="BD215" s="320">
        <f>SUM(BD213:BD214)</f>
        <v/>
      </c>
      <c r="BE215" s="320">
        <f>SUM(BE213:BE214)</f>
        <v/>
      </c>
      <c r="BF215" s="320">
        <f>SUM(BF213:BF214)</f>
        <v/>
      </c>
      <c r="BG215" s="320">
        <f>SUM(BG213:BG214)</f>
        <v/>
      </c>
      <c r="BH215" s="320">
        <f>SUM(BH213:BH214)</f>
        <v/>
      </c>
      <c r="BI215" s="320">
        <f>SUM(BI213:BI214)</f>
        <v/>
      </c>
      <c r="BJ215" s="320">
        <f>SUM(BJ213:BJ214)</f>
        <v/>
      </c>
      <c r="BK215" s="320">
        <f>SUM(BK213:BK214)</f>
        <v/>
      </c>
      <c r="BL215" s="320">
        <f>SUM(BL213:BL214)</f>
        <v/>
      </c>
      <c r="BM215" s="320">
        <f>SUM(BM213:BM214)</f>
        <v/>
      </c>
      <c r="BN215" s="320">
        <f>SUM(BN213:BN214)</f>
        <v/>
      </c>
      <c r="BO215" s="320">
        <f>SUM(BO213:BO214)</f>
        <v/>
      </c>
      <c r="BP215" s="320">
        <f>SUM(BP213:BP214)</f>
        <v/>
      </c>
      <c r="BQ215" s="320">
        <f>SUM(BQ213:BQ214)</f>
        <v/>
      </c>
      <c r="BR215" s="320">
        <f>SUM(BR213:BR214)</f>
        <v/>
      </c>
      <c r="BS215" s="320">
        <f>SUM(BS213:BS214)</f>
        <v/>
      </c>
      <c r="BT215" s="320">
        <f>SUM(BT213:BT214)</f>
        <v/>
      </c>
      <c r="BU215" s="320">
        <f>SUM(BU213:BU214)</f>
        <v/>
      </c>
      <c r="BV215" s="320">
        <f>SUM(BV213:BV214)</f>
        <v/>
      </c>
      <c r="BW215" s="320">
        <f>SUM(BW213:BW214)</f>
        <v/>
      </c>
      <c r="BX215" s="320">
        <f>SUM(BX213:BX214)</f>
        <v/>
      </c>
      <c r="BY215" s="320">
        <f>SUM(BY213:BY214)</f>
        <v/>
      </c>
      <c r="BZ215" s="320">
        <f>SUM(BZ213:BZ214)</f>
        <v/>
      </c>
      <c r="CA215" s="320">
        <f>SUM(CA213:CA214)</f>
        <v/>
      </c>
      <c r="CB215" s="320">
        <f>SUM(CB213:CB214)</f>
        <v/>
      </c>
      <c r="CC215" s="320">
        <f>SUM(CC213:CC214)</f>
        <v/>
      </c>
      <c r="CD215" s="320">
        <f>SUM(CD213:CD214)</f>
        <v/>
      </c>
      <c r="CE215" s="320">
        <f>SUM(CE213:CE214)</f>
        <v/>
      </c>
      <c r="CF215" s="320">
        <f>SUM(CF213:CF214)</f>
        <v/>
      </c>
      <c r="CG215" s="320">
        <f>SUM(CG213:CG214)</f>
        <v/>
      </c>
      <c r="CH215" s="320">
        <f>SUM(CH213:CH214)</f>
        <v/>
      </c>
      <c r="CI215" s="320">
        <f>SUM(CI213:CI214)</f>
        <v/>
      </c>
      <c r="CJ215" s="320">
        <f>SUM(CJ213:CJ214)</f>
        <v/>
      </c>
      <c r="CK215" s="320">
        <f>SUM(CK213:CK214)</f>
        <v/>
      </c>
      <c r="CL215" s="320">
        <f>SUM(CL213:CL214)</f>
        <v/>
      </c>
      <c r="CM215" s="320">
        <f>SUM(CM213:CM214)</f>
        <v/>
      </c>
      <c r="CN215" s="320">
        <f>SUM(CN213:CN214)</f>
        <v/>
      </c>
      <c r="CO215" s="320">
        <f>SUM(CO213:CO214)</f>
        <v/>
      </c>
      <c r="CP215" s="320">
        <f>SUM(CP213:CP214)</f>
        <v/>
      </c>
      <c r="CQ215" s="320">
        <f>SUM(CQ213:CQ214)</f>
        <v/>
      </c>
      <c r="CR215" s="320">
        <f>SUM(CR213:CR214)</f>
        <v/>
      </c>
      <c r="CS215" s="320">
        <f>SUM(CS213:CS214)</f>
        <v/>
      </c>
      <c r="CT215" s="320">
        <f>SUM(CT213:CT214)</f>
        <v/>
      </c>
      <c r="CU215" s="320">
        <f>SUM(CU213:CU214)</f>
        <v/>
      </c>
      <c r="CV215" s="320">
        <f>SUM(CV213:CV214)</f>
        <v/>
      </c>
      <c r="CW215" s="320">
        <f>SUM(CW213:CW214)</f>
        <v/>
      </c>
      <c r="CX215" s="320">
        <f>SUM(CX213:CX214)</f>
        <v/>
      </c>
      <c r="CY215" s="320">
        <f>SUM(CY213:CY214)</f>
        <v/>
      </c>
      <c r="CZ215" s="320">
        <f>SUM(CZ213:CZ214)</f>
        <v/>
      </c>
      <c r="DA215" s="320">
        <f>SUM(DA213:DA214)</f>
        <v/>
      </c>
      <c r="DB215" s="320">
        <f>SUM(DB213:DB214)</f>
        <v/>
      </c>
      <c r="DC215" s="320" t="n"/>
      <c r="DD215" s="319">
        <f>MAX(F215:DB215)</f>
        <v/>
      </c>
    </row>
    <row r="216">
      <c r="A216" s="13" t="n"/>
      <c r="B216" s="13" t="n"/>
      <c r="C216" s="13" t="n"/>
      <c r="D216" s="13" t="n"/>
      <c r="E216" s="271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  <c r="AS216" s="13" t="n"/>
      <c r="AT216" s="13" t="n"/>
      <c r="AU216" s="13" t="n"/>
      <c r="AV216" s="13" t="n"/>
      <c r="AW216" s="13" t="n"/>
      <c r="AX216" s="13" t="n"/>
      <c r="AY216" s="13" t="n"/>
      <c r="AZ216" s="13" t="n"/>
      <c r="BA216" s="13" t="n"/>
      <c r="BB216" s="13" t="n"/>
      <c r="BC216" s="13" t="n"/>
      <c r="BD216" s="13" t="n"/>
      <c r="BE216" s="13" t="n"/>
      <c r="BF216" s="13" t="n"/>
      <c r="BG216" s="13" t="n"/>
      <c r="BH216" s="13" t="n"/>
      <c r="BI216" s="13" t="n"/>
      <c r="BJ216" s="13" t="n"/>
      <c r="BK216" s="13" t="n"/>
      <c r="BL216" s="13" t="n"/>
      <c r="BM216" s="13" t="n"/>
      <c r="BN216" s="13" t="n"/>
      <c r="BO216" s="13" t="n"/>
      <c r="BP216" s="13" t="n"/>
      <c r="BQ216" s="13" t="n"/>
      <c r="BR216" s="13" t="n"/>
      <c r="BS216" s="13" t="n"/>
      <c r="BT216" s="13" t="n"/>
      <c r="BU216" s="13" t="n"/>
      <c r="BV216" s="13" t="n"/>
      <c r="BW216" s="13" t="n"/>
      <c r="BX216" s="13" t="n"/>
      <c r="BY216" s="13" t="n"/>
      <c r="BZ216" s="13" t="n"/>
      <c r="CA216" s="13" t="n"/>
      <c r="CB216" s="13" t="n"/>
      <c r="CC216" s="13" t="n"/>
      <c r="CD216" s="13" t="n"/>
      <c r="CE216" s="13" t="n"/>
      <c r="CF216" s="13" t="n"/>
      <c r="CG216" s="13" t="n"/>
      <c r="CH216" s="13" t="n"/>
      <c r="CI216" s="13" t="n"/>
      <c r="CJ216" s="13" t="n"/>
      <c r="CK216" s="13" t="n"/>
      <c r="CL216" s="13" t="n"/>
      <c r="CM216" s="13" t="n"/>
      <c r="CN216" s="13" t="n"/>
      <c r="CO216" s="13" t="n"/>
      <c r="CP216" s="13" t="n"/>
      <c r="CQ216" s="13" t="n"/>
      <c r="CR216" s="13" t="n"/>
      <c r="CS216" s="13" t="n"/>
      <c r="CT216" s="13" t="n"/>
      <c r="CU216" s="13" t="n"/>
      <c r="CV216" s="13" t="n"/>
      <c r="CW216" s="13" t="n"/>
      <c r="CX216" s="13" t="n"/>
      <c r="CY216" s="13" t="n"/>
      <c r="CZ216" s="13" t="n"/>
      <c r="DA216" s="13" t="n"/>
      <c r="DB216" s="13" t="n"/>
      <c r="DC216" s="13" t="n"/>
      <c r="DD216" s="13" t="n"/>
    </row>
    <row r="217">
      <c r="A217" s="13" t="n"/>
      <c r="B217" s="13" t="n"/>
      <c r="C217" s="13" t="n"/>
      <c r="D217" s="13" t="n"/>
      <c r="E217" s="271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  <c r="AS217" s="13" t="n"/>
      <c r="AT217" s="13" t="n"/>
      <c r="AU217" s="13" t="n"/>
      <c r="AV217" s="13" t="n"/>
      <c r="AW217" s="13" t="n"/>
      <c r="AX217" s="13" t="n"/>
      <c r="AY217" s="13" t="n"/>
      <c r="AZ217" s="13" t="n"/>
      <c r="BA217" s="13" t="n"/>
      <c r="BB217" s="13" t="n"/>
      <c r="BC217" s="13" t="n"/>
      <c r="BD217" s="13" t="n"/>
      <c r="BE217" s="13" t="n"/>
      <c r="BF217" s="13" t="n"/>
      <c r="BG217" s="13" t="n"/>
      <c r="BH217" s="13" t="n"/>
      <c r="BI217" s="13" t="n"/>
      <c r="BJ217" s="13" t="n"/>
      <c r="BK217" s="13" t="n"/>
      <c r="BL217" s="13" t="n"/>
      <c r="BM217" s="13" t="n"/>
      <c r="BN217" s="13" t="n"/>
      <c r="BO217" s="13" t="n"/>
      <c r="BP217" s="13" t="n"/>
      <c r="BQ217" s="13" t="n"/>
      <c r="BR217" s="13" t="n"/>
      <c r="BS217" s="13" t="n"/>
      <c r="BT217" s="13" t="n"/>
      <c r="BU217" s="13" t="n"/>
      <c r="BV217" s="13" t="n"/>
      <c r="BW217" s="13" t="n"/>
      <c r="BX217" s="13" t="n"/>
      <c r="BY217" s="13" t="n"/>
      <c r="BZ217" s="13" t="n"/>
      <c r="CA217" s="13" t="n"/>
      <c r="CB217" s="13" t="n"/>
      <c r="CC217" s="13" t="n"/>
      <c r="CD217" s="13" t="n"/>
      <c r="CE217" s="13" t="n"/>
      <c r="CF217" s="13" t="n"/>
      <c r="CG217" s="13" t="n"/>
      <c r="CH217" s="13" t="n"/>
      <c r="CI217" s="13" t="n"/>
      <c r="CJ217" s="13" t="n"/>
      <c r="CK217" s="13" t="n"/>
      <c r="CL217" s="13" t="n"/>
      <c r="CM217" s="13" t="n"/>
      <c r="CN217" s="13" t="n"/>
      <c r="CO217" s="13" t="n"/>
      <c r="CP217" s="13" t="n"/>
      <c r="CQ217" s="13" t="n"/>
      <c r="CR217" s="13" t="n"/>
      <c r="CS217" s="13" t="n"/>
      <c r="CT217" s="13" t="n"/>
      <c r="CU217" s="13" t="n"/>
      <c r="CV217" s="13" t="n"/>
      <c r="CW217" s="13" t="n"/>
      <c r="CX217" s="13" t="n"/>
      <c r="CY217" s="13" t="n"/>
      <c r="CZ217" s="13" t="n"/>
      <c r="DA217" s="13" t="n"/>
      <c r="DB217" s="13" t="n"/>
      <c r="DC217" s="13" t="n"/>
      <c r="DD217" s="13" t="n"/>
    </row>
    <row r="218" ht="14.1" customFormat="1" customHeight="1" s="287">
      <c r="A218" s="1230" t="inlineStr">
        <is>
          <t>Equity Returns</t>
        </is>
      </c>
      <c r="B218" s="1231" t="n"/>
      <c r="C218" s="1231" t="n"/>
      <c r="D218" s="1231" t="n"/>
      <c r="E218" s="286" t="n"/>
      <c r="F218" s="1231" t="n"/>
      <c r="G218" s="1231" t="n"/>
      <c r="H218" s="1231" t="n"/>
      <c r="I218" s="1231" t="n"/>
      <c r="J218" s="1231" t="n"/>
      <c r="K218" s="1231" t="n"/>
      <c r="L218" s="1231" t="n"/>
      <c r="M218" s="1231" t="n"/>
      <c r="N218" s="1231" t="n"/>
      <c r="O218" s="1231" t="n"/>
      <c r="P218" s="1231" t="n"/>
      <c r="Q218" s="1231" t="n"/>
      <c r="R218" s="1231" t="n"/>
      <c r="S218" s="1231" t="n"/>
      <c r="T218" s="1231" t="n"/>
      <c r="U218" s="1231" t="n"/>
      <c r="V218" s="1231" t="n"/>
      <c r="W218" s="1231" t="n"/>
      <c r="X218" s="1231" t="n"/>
      <c r="Y218" s="1231" t="n"/>
      <c r="Z218" s="1231" t="n"/>
      <c r="AA218" s="1231" t="n"/>
      <c r="AB218" s="1231" t="n"/>
      <c r="AC218" s="1231" t="n"/>
      <c r="AD218" s="1231" t="n"/>
      <c r="AE218" s="1231" t="n"/>
      <c r="AF218" s="1231" t="n"/>
      <c r="AG218" s="1231" t="n"/>
      <c r="AH218" s="1231" t="n"/>
      <c r="AI218" s="1231" t="n"/>
      <c r="AJ218" s="1231" t="n"/>
      <c r="AK218" s="1231" t="n"/>
      <c r="AL218" s="1231" t="n"/>
      <c r="AM218" s="1231" t="n"/>
      <c r="AN218" s="1231" t="n"/>
      <c r="AO218" s="1231" t="n"/>
      <c r="AP218" s="1231" t="n"/>
      <c r="AQ218" s="1231" t="n"/>
      <c r="AR218" s="1231" t="n"/>
      <c r="AS218" s="1231" t="n"/>
      <c r="AT218" s="1231" t="n"/>
      <c r="AU218" s="1231" t="n"/>
      <c r="AV218" s="1231" t="n"/>
      <c r="AW218" s="1231" t="n"/>
      <c r="AX218" s="1231" t="n"/>
      <c r="AY218" s="1231" t="n"/>
      <c r="AZ218" s="1231" t="n"/>
      <c r="BA218" s="1231" t="n"/>
      <c r="BB218" s="1231" t="n"/>
      <c r="BC218" s="1231" t="n"/>
      <c r="BD218" s="1231" t="n"/>
      <c r="BE218" s="1231" t="n"/>
      <c r="BF218" s="1231" t="n"/>
      <c r="BG218" s="1231" t="n"/>
      <c r="BH218" s="1231" t="n"/>
      <c r="BI218" s="1231" t="n"/>
      <c r="BJ218" s="1231" t="n"/>
      <c r="BK218" s="1231" t="n"/>
      <c r="BL218" s="1231" t="n"/>
      <c r="BM218" s="1231" t="n"/>
      <c r="BN218" s="1231" t="n"/>
      <c r="BO218" s="1231" t="n"/>
      <c r="BP218" s="1231" t="n"/>
      <c r="BQ218" s="1231" t="n"/>
      <c r="BR218" s="1231" t="n"/>
      <c r="BS218" s="1231" t="n"/>
      <c r="BT218" s="1231" t="n"/>
      <c r="BU218" s="1231" t="n"/>
      <c r="BV218" s="1231" t="n"/>
      <c r="BW218" s="1231" t="n"/>
      <c r="BX218" s="1231" t="n"/>
      <c r="BY218" s="1231" t="n"/>
      <c r="BZ218" s="1231" t="n"/>
      <c r="CA218" s="1231" t="n"/>
      <c r="CB218" s="1231" t="n"/>
      <c r="CC218" s="1231" t="n"/>
      <c r="CD218" s="1231" t="n"/>
      <c r="CE218" s="1231" t="n"/>
      <c r="CF218" s="1231" t="n"/>
      <c r="CG218" s="1231" t="n"/>
      <c r="CH218" s="1231" t="n"/>
      <c r="CI218" s="1231" t="n"/>
      <c r="CJ218" s="1231" t="n"/>
      <c r="CK218" s="1231" t="n"/>
      <c r="CL218" s="1231" t="n"/>
      <c r="CM218" s="1231" t="n"/>
      <c r="CN218" s="1231" t="n"/>
      <c r="CO218" s="1231" t="n"/>
      <c r="CP218" s="1231" t="n"/>
      <c r="CQ218" s="1231" t="n"/>
      <c r="CR218" s="1231" t="n"/>
      <c r="CS218" s="1231" t="n"/>
      <c r="CT218" s="1231" t="n"/>
      <c r="CU218" s="1231" t="n"/>
      <c r="CV218" s="1231" t="n"/>
      <c r="CW218" s="1231" t="n"/>
      <c r="CX218" s="1231" t="n"/>
      <c r="CY218" s="1231" t="n"/>
      <c r="CZ218" s="1231" t="n"/>
      <c r="DA218" s="1231" t="n"/>
      <c r="DB218" s="1231" t="n"/>
      <c r="DC218" s="1231" t="n"/>
      <c r="DD218" s="1231" t="n"/>
    </row>
    <row r="219">
      <c r="A219" s="9" t="n"/>
      <c r="B219" s="9" t="n"/>
      <c r="C219" s="9" t="n"/>
      <c r="D219" s="9" t="n"/>
      <c r="E219" s="271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  <c r="AS219" s="13" t="n"/>
      <c r="AT219" s="13" t="n"/>
      <c r="AU219" s="13" t="n"/>
      <c r="AV219" s="13" t="n"/>
      <c r="AW219" s="13" t="n"/>
      <c r="AX219" s="13" t="n"/>
      <c r="AY219" s="13" t="n"/>
      <c r="AZ219" s="13" t="n"/>
      <c r="BA219" s="13" t="n"/>
      <c r="BB219" s="13" t="n"/>
      <c r="BC219" s="13" t="n"/>
      <c r="BD219" s="13" t="n"/>
      <c r="BE219" s="13" t="n"/>
      <c r="BF219" s="13" t="n"/>
      <c r="BG219" s="13" t="n"/>
      <c r="BH219" s="13" t="n"/>
      <c r="BI219" s="13" t="n"/>
      <c r="BJ219" s="13" t="n"/>
      <c r="BK219" s="13" t="n"/>
      <c r="BL219" s="13" t="n"/>
      <c r="BM219" s="13" t="n"/>
      <c r="BN219" s="13" t="n"/>
      <c r="BO219" s="13" t="n"/>
      <c r="BP219" s="13" t="n"/>
      <c r="BQ219" s="13" t="n"/>
      <c r="BR219" s="13" t="n"/>
      <c r="BS219" s="13" t="n"/>
      <c r="BT219" s="13" t="n"/>
      <c r="BU219" s="13" t="n"/>
      <c r="BV219" s="13" t="n"/>
      <c r="BW219" s="13" t="n"/>
      <c r="BX219" s="13" t="n"/>
      <c r="BY219" s="13" t="n"/>
      <c r="BZ219" s="13" t="n"/>
      <c r="CA219" s="13" t="n"/>
      <c r="CB219" s="13" t="n"/>
      <c r="CC219" s="13" t="n"/>
      <c r="CD219" s="13" t="n"/>
      <c r="CE219" s="13" t="n"/>
      <c r="CF219" s="13" t="n"/>
      <c r="CG219" s="13" t="n"/>
      <c r="CH219" s="13" t="n"/>
      <c r="CI219" s="13" t="n"/>
      <c r="CJ219" s="13" t="n"/>
      <c r="CK219" s="13" t="n"/>
      <c r="CL219" s="13" t="n"/>
      <c r="CM219" s="13" t="n"/>
      <c r="CN219" s="13" t="n"/>
      <c r="CO219" s="13" t="n"/>
      <c r="CP219" s="13" t="n"/>
      <c r="CQ219" s="13" t="n"/>
      <c r="CR219" s="13" t="n"/>
      <c r="CS219" s="13" t="n"/>
      <c r="CT219" s="13" t="n"/>
      <c r="CU219" s="13" t="n"/>
      <c r="CV219" s="13" t="n"/>
      <c r="CW219" s="13" t="n"/>
      <c r="CX219" s="13" t="n"/>
      <c r="CY219" s="13" t="n"/>
      <c r="CZ219" s="13" t="n"/>
      <c r="DA219" s="13" t="n"/>
      <c r="DB219" s="13" t="n"/>
      <c r="DC219" s="13" t="n"/>
      <c r="DD219" s="13" t="n"/>
    </row>
    <row r="220">
      <c r="A220" s="9" t="inlineStr">
        <is>
          <t>Project Cash Flow thru Sale</t>
        </is>
      </c>
      <c r="B220" s="9" t="n"/>
      <c r="C220" s="9" t="n"/>
      <c r="D220" s="700">
        <f>DD220</f>
        <v/>
      </c>
      <c r="E220" s="641" t="n"/>
      <c r="F220" s="293">
        <f>IF(F5='Project Returns'!$F$32,MAX(0,$D$153-$D$154+MIN(0,'Project Returns'!$G$44-F213)),0)</f>
        <v/>
      </c>
      <c r="G220" s="293">
        <f>IF(G5='Project Returns'!$F$32,MAX(0,$D$153-$D$154+MIN(0,'Project Returns'!$G$44-G213)),0)</f>
        <v/>
      </c>
      <c r="H220" s="293">
        <f>IF(H5='Project Returns'!$F$32,MAX(0,$D$153-$D$154+MIN(0,'Project Returns'!$G$44-H213)),0)</f>
        <v/>
      </c>
      <c r="I220" s="293">
        <f>IF(I5='Project Returns'!$F$32,MAX(0,$D$153-$D$154+MIN(0,'Project Returns'!$G$44-I213)),0)</f>
        <v/>
      </c>
      <c r="J220" s="293">
        <f>IF(J5='Project Returns'!$F$32,MAX(0,$D$153-$D$154+MIN(0,'Project Returns'!$G$44-J213)),0)</f>
        <v/>
      </c>
      <c r="K220" s="293">
        <f>IF(K5='Project Returns'!$F$32,MAX(0,$D$153-$D$154+MIN(0,'Project Returns'!$G$44-K213)),0)</f>
        <v/>
      </c>
      <c r="L220" s="293">
        <f>IF(L5='Project Returns'!$F$32,MAX(0,$D$153-$D$154+MIN(0,'Project Returns'!$G$44-L213)),0)</f>
        <v/>
      </c>
      <c r="M220" s="293">
        <f>IF(M5='Project Returns'!$F$32,MAX(0,$D$153-$D$154+MIN(0,'Project Returns'!$G$44-M213)),0)</f>
        <v/>
      </c>
      <c r="N220" s="293">
        <f>IF(N5='Project Returns'!$F$32,MAX(0,$D$153-$D$154+MIN(0,'Project Returns'!$G$44-N213)),0)</f>
        <v/>
      </c>
      <c r="O220" s="293">
        <f>IF(O5='Project Returns'!$F$32,MAX(0,$D$153-$D$154+MIN(0,'Project Returns'!$G$44-O213)),0)</f>
        <v/>
      </c>
      <c r="P220" s="293">
        <f>IF(P5='Project Returns'!$F$32,MAX(0,$D$153-$D$154+MIN(0,'Project Returns'!$G$44-P213)),0)</f>
        <v/>
      </c>
      <c r="Q220" s="293">
        <f>IF(Q5='Project Returns'!$F$32,MAX(0,$D$153-$D$154+MIN(0,'Project Returns'!$G$44-Q213)),0)</f>
        <v/>
      </c>
      <c r="R220" s="293">
        <f>IF(R5='Project Returns'!$F$32,MAX(0,$D$153-$D$154+MIN(0,'Project Returns'!$G$44-R213)),0)</f>
        <v/>
      </c>
      <c r="S220" s="293">
        <f>IF(S5='Project Returns'!$F$32,MAX(0,$D$153-$D$154+MIN(0,'Project Returns'!$G$44-S213)),0)</f>
        <v/>
      </c>
      <c r="T220" s="293">
        <f>IF(T5='Project Returns'!$F$32,MAX(0,$D$153-$D$154+MIN(0,'Project Returns'!$G$44-T213)),0)</f>
        <v/>
      </c>
      <c r="U220" s="293">
        <f>IF(U5='Project Returns'!$F$32,MAX(0,$D$153-$D$154+MIN(0,'Project Returns'!$G$44-U213)),0)</f>
        <v/>
      </c>
      <c r="V220" s="293">
        <f>IF(V5='Project Returns'!$F$32,MAX(0,$D$153-$D$154+MIN(0,'Project Returns'!$G$44-V213)),0)</f>
        <v/>
      </c>
      <c r="W220" s="293">
        <f>IF(W5='Project Returns'!$F$32,MAX(0,$D$153-$D$154+MIN(0,'Project Returns'!$G$44-W213)),0)</f>
        <v/>
      </c>
      <c r="X220" s="293">
        <f>IF(X5='Project Returns'!$F$32,MAX(0,$D$153-$D$154+MIN(0,'Project Returns'!$G$44-X213)),0)</f>
        <v/>
      </c>
      <c r="Y220" s="293">
        <f>IF(Y5='Project Returns'!$F$32,MAX(0,$D$153-$D$154+MIN(0,'Project Returns'!$G$44-Y213)),0)</f>
        <v/>
      </c>
      <c r="Z220" s="293">
        <f>IF(Z5='Project Returns'!$F$32,MAX(0,$D$153-$D$154+MIN(0,'Project Returns'!$G$44-Z213)),0)</f>
        <v/>
      </c>
      <c r="AA220" s="293">
        <f>IF(AA5='Project Returns'!$F$32,MAX(0,$D$153-$D$154+MIN(0,'Project Returns'!$G$44-AA213)),0)</f>
        <v/>
      </c>
      <c r="AB220" s="293">
        <f>IF(AB5='Project Returns'!$F$32,MAX(0,$D$153-$D$154+MIN(0,'Project Returns'!$G$44-AB213)),0)</f>
        <v/>
      </c>
      <c r="AC220" s="293">
        <f>IF(AC5='Project Returns'!$F$32,MAX(0,$D$153-$D$154+MIN(0,'Project Returns'!$G$44-AC213)),0)</f>
        <v/>
      </c>
      <c r="AD220" s="293">
        <f>IF(AD5='Project Returns'!$F$32,MAX(0,$D$153-$D$154+MIN(0,'Project Returns'!$G$44-AD213)),0)</f>
        <v/>
      </c>
      <c r="AE220" s="293">
        <f>IF(AE5='Project Returns'!$F$32,MAX(0,$D$153-$D$154+MIN(0,'Project Returns'!$G$44-AE213)),0)</f>
        <v/>
      </c>
      <c r="AF220" s="293">
        <f>IF(AF5='Project Returns'!$F$32,MAX(0,$D$153-$D$154+MIN(0,'Project Returns'!$G$44-AF213)),0)</f>
        <v/>
      </c>
      <c r="AG220" s="293">
        <f>IF(AG5='Project Returns'!$F$32,MAX(0,$D$153-$D$154+MIN(0,'Project Returns'!$G$44-AG213)),0)</f>
        <v/>
      </c>
      <c r="AH220" s="293">
        <f>IF(AH5='Project Returns'!$F$32,MAX(0,$D$153-$D$154+MIN(0,'Project Returns'!$G$44-AH213)),0)</f>
        <v/>
      </c>
      <c r="AI220" s="293">
        <f>IF(AI5='Project Returns'!$F$32,MAX(0,$D$153-$D$154+MIN(0,'Project Returns'!$G$44-AI213)),0)</f>
        <v/>
      </c>
      <c r="AJ220" s="293">
        <f>IF(AJ5='Project Returns'!$F$32,MAX(0,$D$153-$D$154+MIN(0,'Project Returns'!$G$44-AJ213)),0)</f>
        <v/>
      </c>
      <c r="AK220" s="293">
        <f>IF(AK5='Project Returns'!$F$32,MAX(0,$D$153-$D$154+MIN(0,'Project Returns'!$G$44-AK213)),0)</f>
        <v/>
      </c>
      <c r="AL220" s="293">
        <f>IF(AL5='Project Returns'!$F$32,MAX(0,$D$153-$D$154+MIN(0,'Project Returns'!$G$44-AL213)),0)</f>
        <v/>
      </c>
      <c r="AM220" s="293">
        <f>IF(AM5='Project Returns'!$F$32,MAX(0,$D$153-$D$154+MIN(0,'Project Returns'!$G$44-AM213)),0)</f>
        <v/>
      </c>
      <c r="AN220" s="293">
        <f>IF(AN5='Project Returns'!$F$32,MAX(0,$D$153-$D$154+MIN(0,'Project Returns'!$G$44-AN213)),0)</f>
        <v/>
      </c>
      <c r="AO220" s="293">
        <f>IF(AO5='Project Returns'!$F$32,MAX(0,$D$153-$D$154+MIN(0,'Project Returns'!$G$44-AO213)),0)</f>
        <v/>
      </c>
      <c r="AP220" s="293">
        <f>IF(AP5='Project Returns'!$F$32,MAX(0,$D$153-$D$154+MIN(0,'Project Returns'!$G$44-AP213)),0)</f>
        <v/>
      </c>
      <c r="AQ220" s="293">
        <f>IF(AQ5='Project Returns'!$F$32,MAX(0,$D$153-$D$154+MIN(0,'Project Returns'!$G$44-AQ213)),0)</f>
        <v/>
      </c>
      <c r="AR220" s="293">
        <f>IF(AR5='Project Returns'!$F$32,MAX(0,$D$153-$D$154+MIN(0,'Project Returns'!$G$44-AR213)),0)</f>
        <v/>
      </c>
      <c r="AS220" s="293">
        <f>IF(AS5='Project Returns'!$F$32,MAX(0,$D$153-$D$154+MIN(0,'Project Returns'!$G$44-AS213)),0)</f>
        <v/>
      </c>
      <c r="AT220" s="293">
        <f>IF(AT5='Project Returns'!$F$32,MAX(0,$D$153-$D$154+MIN(0,'Project Returns'!$G$44-AT213)),0)</f>
        <v/>
      </c>
      <c r="AU220" s="293">
        <f>IF(AU5='Project Returns'!$F$32,MAX(0,$D$153-$D$154+MIN(0,'Project Returns'!$G$44-AU213)),0)</f>
        <v/>
      </c>
      <c r="AV220" s="293">
        <f>IF(AV5='Project Returns'!$F$32,MAX(0,$D$153-$D$154+MIN(0,'Project Returns'!$G$44-AV213)),0)</f>
        <v/>
      </c>
      <c r="AW220" s="293">
        <f>IF(AW5='Project Returns'!$F$32,MAX(0,$D$153-$D$154+MIN(0,'Project Returns'!$G$44-AW213)),0)</f>
        <v/>
      </c>
      <c r="AX220" s="293">
        <f>IF(AX5='Project Returns'!$F$32,MAX(0,$D$153-$D$154+MIN(0,'Project Returns'!$G$44-AX213)),0)</f>
        <v/>
      </c>
      <c r="AY220" s="293">
        <f>IF(AY5='Project Returns'!$F$32,MAX(0,$D$153-$D$154+MIN(0,'Project Returns'!$G$44-AY213)),0)</f>
        <v/>
      </c>
      <c r="AZ220" s="293">
        <f>IF(AZ5='Project Returns'!$F$32,MAX(0,$D$153-$D$154+MIN(0,'Project Returns'!$G$44-AZ213)),0)</f>
        <v/>
      </c>
      <c r="BA220" s="293">
        <f>IF(BA5='Project Returns'!$F$32,MAX(0,$D$153-$D$154+MIN(0,'Project Returns'!$G$44-BA213)),0)</f>
        <v/>
      </c>
      <c r="BB220" s="293">
        <f>IF(BB5='Project Returns'!$F$32,MAX(0,$D$153-$D$154+MIN(0,'Project Returns'!$G$44-BB213)),0)</f>
        <v/>
      </c>
      <c r="BC220" s="293">
        <f>IF(BC5='Project Returns'!$F$32,MAX(0,$D$153-$D$154+MIN(0,'Project Returns'!$G$44-BC213)),0)</f>
        <v/>
      </c>
      <c r="BD220" s="293">
        <f>IF(BD5='Project Returns'!$F$32,MAX(0,$D$153-$D$154+MIN(0,'Project Returns'!$G$44-BD213)),0)</f>
        <v/>
      </c>
      <c r="BE220" s="293">
        <f>IF(BE5='Project Returns'!$F$32,MAX(0,$D$153-$D$154+MIN(0,'Project Returns'!$G$44-BE213)),0)</f>
        <v/>
      </c>
      <c r="BF220" s="293">
        <f>IF(BF5='Project Returns'!$F$32,MAX(0,$D$153-$D$154+MIN(0,'Project Returns'!$G$44-BF213)),0)</f>
        <v/>
      </c>
      <c r="BG220" s="293">
        <f>IF(BG5='Project Returns'!$F$32,MAX(0,$D$153-$D$154+MIN(0,'Project Returns'!$G$44-BG213)),0)</f>
        <v/>
      </c>
      <c r="BH220" s="293">
        <f>IF(BH5='Project Returns'!$F$32,MAX(0,$D$153-$D$154+MIN(0,'Project Returns'!$G$44-BH213)),0)</f>
        <v/>
      </c>
      <c r="BI220" s="293">
        <f>IF(BI5='Project Returns'!$F$32,MAX(0,$D$153-$D$154+MIN(0,'Project Returns'!$G$44-BI213)),0)</f>
        <v/>
      </c>
      <c r="BJ220" s="293">
        <f>IF(BJ5='Project Returns'!$F$32,MAX(0,$D$153-$D$154+MIN(0,'Project Returns'!$G$44-BJ213)),0)</f>
        <v/>
      </c>
      <c r="BK220" s="293">
        <f>IF(BK5='Project Returns'!$F$32,MAX(0,$D$153-$D$154+MIN(0,'Project Returns'!$G$44-BK213)),0)</f>
        <v/>
      </c>
      <c r="BL220" s="293">
        <f>IF(BL5='Project Returns'!$F$32,MAX(0,$D$153-$D$154+MIN(0,'Project Returns'!$G$44-BL213)),0)</f>
        <v/>
      </c>
      <c r="BM220" s="293">
        <f>IF(BM5='Project Returns'!$F$32,MAX(0,$D$153-$D$154+MIN(0,'Project Returns'!$G$44-BM213)),0)</f>
        <v/>
      </c>
      <c r="BN220" s="293">
        <f>IF(BN5='Project Returns'!$F$32,MAX(0,$D$153-$D$154+MIN(0,'Project Returns'!$G$44-BN213)),0)</f>
        <v/>
      </c>
      <c r="BO220" s="293">
        <f>IF(BO5='Project Returns'!$F$32,MAX(0,$D$153-$D$154+MIN(0,'Project Returns'!$G$44-BO213)),0)</f>
        <v/>
      </c>
      <c r="BP220" s="293">
        <f>IF(BP5='Project Returns'!$F$32,MAX(0,$D$153-$D$154+MIN(0,'Project Returns'!$G$44-BP213)),0)</f>
        <v/>
      </c>
      <c r="BQ220" s="293">
        <f>IF(BQ5='Project Returns'!$F$32,MAX(0,$D$153-$D$154+MIN(0,'Project Returns'!$G$44-BQ213)),0)</f>
        <v/>
      </c>
      <c r="BR220" s="293">
        <f>IF(BR5='Project Returns'!$F$32,MAX(0,$D$153-$D$154+MIN(0,'Project Returns'!$G$44-BR213)),0)</f>
        <v/>
      </c>
      <c r="BS220" s="293">
        <f>IF(BS5='Project Returns'!$F$32,MAX(0,$D$153-$D$154+MIN(0,'Project Returns'!$G$44-BS213)),0)</f>
        <v/>
      </c>
      <c r="BT220" s="293">
        <f>IF(BT5='Project Returns'!$F$32,MAX(0,$D$153-$D$154+MIN(0,'Project Returns'!$G$44-BT213)),0)</f>
        <v/>
      </c>
      <c r="BU220" s="293">
        <f>IF(BU5='Project Returns'!$F$32,MAX(0,$D$153-$D$154+MIN(0,'Project Returns'!$G$44-BU213)),0)</f>
        <v/>
      </c>
      <c r="BV220" s="293">
        <f>IF(BV5='Project Returns'!$F$32,MAX(0,$D$153-$D$154+MIN(0,'Project Returns'!$G$44-BV213)),0)</f>
        <v/>
      </c>
      <c r="BW220" s="293">
        <f>IF(BW5='Project Returns'!$F$32,MAX(0,$D$153-$D$154+MIN(0,'Project Returns'!$G$44-BW213)),0)</f>
        <v/>
      </c>
      <c r="BX220" s="293">
        <f>IF(BX5='Project Returns'!$F$32,MAX(0,$D$153-$D$154+MIN(0,'Project Returns'!$G$44-BX213)),0)</f>
        <v/>
      </c>
      <c r="BY220" s="293">
        <f>IF(BY5='Project Returns'!$F$32,MAX(0,$D$153-$D$154+MIN(0,'Project Returns'!$G$44-BY213)),0)</f>
        <v/>
      </c>
      <c r="BZ220" s="293">
        <f>IF(BZ5='Project Returns'!$F$32,MAX(0,$D$153-$D$154+MIN(0,'Project Returns'!$G$44-BZ213)),0)</f>
        <v/>
      </c>
      <c r="CA220" s="293">
        <f>IF(CA5='Project Returns'!$F$32,MAX(0,$D$153-$D$154+MIN(0,'Project Returns'!$G$44-CA213)),0)</f>
        <v/>
      </c>
      <c r="CB220" s="293">
        <f>IF(CB5='Project Returns'!$F$32,MAX(0,$D$153-$D$154+MIN(0,'Project Returns'!$G$44-CB213)),0)</f>
        <v/>
      </c>
      <c r="CC220" s="293">
        <f>IF(CC5='Project Returns'!$F$32,MAX(0,$D$153-$D$154+MIN(0,'Project Returns'!$G$44-CC213)),0)</f>
        <v/>
      </c>
      <c r="CD220" s="293">
        <f>IF(CD5='Project Returns'!$F$32,MAX(0,$D$153-$D$154+MIN(0,'Project Returns'!$G$44-CD213)),0)</f>
        <v/>
      </c>
      <c r="CE220" s="293">
        <f>IF(CE5='Project Returns'!$F$32,MAX(0,$D$153-$D$154+MIN(0,'Project Returns'!$G$44-CE213)),0)</f>
        <v/>
      </c>
      <c r="CF220" s="293">
        <f>IF(CF5='Project Returns'!$F$32,MAX(0,$D$153-$D$154+MIN(0,'Project Returns'!$G$44-CF213)),0)</f>
        <v/>
      </c>
      <c r="CG220" s="293">
        <f>IF(CG5='Project Returns'!$F$32,MAX(0,$D$153-$D$154+MIN(0,'Project Returns'!$G$44-CG213)),0)</f>
        <v/>
      </c>
      <c r="CH220" s="293">
        <f>IF(CH5='Project Returns'!$F$32,MAX(0,$D$153-$D$154+MIN(0,'Project Returns'!$G$44-CH213)),0)</f>
        <v/>
      </c>
      <c r="CI220" s="293">
        <f>IF(CI5='Project Returns'!$F$32,MAX(0,$D$153-$D$154+MIN(0,'Project Returns'!$G$44-CI213)),0)</f>
        <v/>
      </c>
      <c r="CJ220" s="293">
        <f>IF(CJ5='Project Returns'!$F$32,MAX(0,$D$153-$D$154+MIN(0,'Project Returns'!$G$44-CJ213)),0)</f>
        <v/>
      </c>
      <c r="CK220" s="293">
        <f>IF(CK5='Project Returns'!$F$32,MAX(0,$D$153-$D$154+MIN(0,'Project Returns'!$G$44-CK213)),0)</f>
        <v/>
      </c>
      <c r="CL220" s="293">
        <f>IF(CL5='Project Returns'!$F$32,MAX(0,$D$153-$D$154+MIN(0,'Project Returns'!$G$44-CL213)),0)</f>
        <v/>
      </c>
      <c r="CM220" s="293">
        <f>IF(CM5='Project Returns'!$F$32,MAX(0,$D$153-$D$154+MIN(0,'Project Returns'!$G$44-CM213)),0)</f>
        <v/>
      </c>
      <c r="CN220" s="293">
        <f>IF(CN5='Project Returns'!$F$32,MAX(0,$D$153-$D$154+MIN(0,'Project Returns'!$G$44-CN213)),0)</f>
        <v/>
      </c>
      <c r="CO220" s="293">
        <f>IF(CO5='Project Returns'!$F$32,MAX(0,$D$153-$D$154+MIN(0,'Project Returns'!$G$44-CO213)),0)</f>
        <v/>
      </c>
      <c r="CP220" s="293">
        <f>IF(CP5='Project Returns'!$F$32,MAX(0,$D$153-$D$154+MIN(0,'Project Returns'!$G$44-CP213)),0)</f>
        <v/>
      </c>
      <c r="CQ220" s="293">
        <f>IF(CQ5='Project Returns'!$F$32,MAX(0,$D$153-$D$154+MIN(0,'Project Returns'!$G$44-CQ213)),0)</f>
        <v/>
      </c>
      <c r="CR220" s="293">
        <f>IF(CR5='Project Returns'!$F$32,MAX(0,$D$153-$D$154+MIN(0,'Project Returns'!$G$44-CR213)),0)</f>
        <v/>
      </c>
      <c r="CS220" s="293">
        <f>IF(CS5='Project Returns'!$F$32,MAX(0,$D$153-$D$154+MIN(0,'Project Returns'!$G$44-CS213)),0)</f>
        <v/>
      </c>
      <c r="CT220" s="293">
        <f>IF(CT5='Project Returns'!$F$32,MAX(0,$D$153-$D$154+MIN(0,'Project Returns'!$G$44-CT213)),0)</f>
        <v/>
      </c>
      <c r="CU220" s="293">
        <f>IF(CU5='Project Returns'!$F$32,MAX(0,$D$153-$D$154+MIN(0,'Project Returns'!$G$44-CU213)),0)</f>
        <v/>
      </c>
      <c r="CV220" s="293">
        <f>IF(CV5='Project Returns'!$F$32,MAX(0,$D$153-$D$154+MIN(0,'Project Returns'!$G$44-CV213)),0)</f>
        <v/>
      </c>
      <c r="CW220" s="293">
        <f>IF(CW5='Project Returns'!$F$32,MAX(0,$D$153-$D$154+MIN(0,'Project Returns'!$G$44-CW213)),0)</f>
        <v/>
      </c>
      <c r="CX220" s="293">
        <f>IF(CX5='Project Returns'!$F$32,MAX(0,$D$153-$D$154+MIN(0,'Project Returns'!$G$44-CX213)),0)</f>
        <v/>
      </c>
      <c r="CY220" s="293">
        <f>IF(CY5='Project Returns'!$F$32,MAX(0,$D$153-$D$154+MIN(0,'Project Returns'!$G$44-CY213)),0)</f>
        <v/>
      </c>
      <c r="CZ220" s="293">
        <f>IF(CZ5='Project Returns'!$F$32,MAX(0,$D$153-$D$154+MIN(0,'Project Returns'!$G$44-CZ213)),0)</f>
        <v/>
      </c>
      <c r="DA220" s="293">
        <f>IF(DA5='Project Returns'!$F$32,MAX(0,$D$153-$D$154+MIN(0,'Project Returns'!$G$44-DA213)),0)</f>
        <v/>
      </c>
      <c r="DB220" s="293">
        <f>IF(DB5='Project Returns'!$F$32,MAX(0,$D$153-$D$154+MIN(0,'Project Returns'!$G$44-DB213)),0)</f>
        <v/>
      </c>
      <c r="DC220" s="293" t="n"/>
      <c r="DD220" s="292">
        <f>SUM(F220:DB220)</f>
        <v/>
      </c>
    </row>
    <row r="221">
      <c r="A221" s="9" t="inlineStr">
        <is>
          <t>Final Sales Proceeds after Debt Repayment</t>
        </is>
      </c>
      <c r="B221" s="9" t="n"/>
      <c r="C221" s="9" t="n"/>
      <c r="D221" s="337">
        <f>DD221</f>
        <v/>
      </c>
      <c r="E221" s="276" t="n"/>
      <c r="F221" s="890">
        <f>IF(F5='Project Returns'!$F$32,MAX('Project Returns'!$G$44-F213,0),0)</f>
        <v/>
      </c>
      <c r="G221" s="890">
        <f>IF(G5='Project Returns'!$F$32,MAX('Project Returns'!$G$44-G213,0),0)</f>
        <v/>
      </c>
      <c r="H221" s="890">
        <f>IF(H5='Project Returns'!$F$32,MAX('Project Returns'!$G$44-H213,0),0)</f>
        <v/>
      </c>
      <c r="I221" s="890">
        <f>IF(I5='Project Returns'!$F$32,MAX('Project Returns'!$G$44-I213,0),0)</f>
        <v/>
      </c>
      <c r="J221" s="890">
        <f>IF(J5='Project Returns'!$F$32,MAX('Project Returns'!$G$44-J213,0),0)</f>
        <v/>
      </c>
      <c r="K221" s="890">
        <f>IF(K5='Project Returns'!$F$32,MAX('Project Returns'!$G$44-K213,0),0)</f>
        <v/>
      </c>
      <c r="L221" s="890">
        <f>IF(L5='Project Returns'!$F$32,MAX('Project Returns'!$G$44-L213,0),0)</f>
        <v/>
      </c>
      <c r="M221" s="890">
        <f>IF(M5='Project Returns'!$F$32,MAX('Project Returns'!$G$44-M213,0),0)</f>
        <v/>
      </c>
      <c r="N221" s="890">
        <f>IF(N5='Project Returns'!$F$32,MAX('Project Returns'!$G$44-N213,0),0)</f>
        <v/>
      </c>
      <c r="O221" s="890">
        <f>IF(O5='Project Returns'!$F$32,MAX('Project Returns'!$G$44-O213,0),0)</f>
        <v/>
      </c>
      <c r="P221" s="890">
        <f>IF(P5='Project Returns'!$F$32,MAX('Project Returns'!$G$44-P213,0),0)</f>
        <v/>
      </c>
      <c r="Q221" s="890">
        <f>IF(Q5='Project Returns'!$F$32,MAX('Project Returns'!$G$44-Q213,0),0)</f>
        <v/>
      </c>
      <c r="R221" s="890">
        <f>IF(R5='Project Returns'!$F$32,MAX('Project Returns'!$G$44-R213,0),0)</f>
        <v/>
      </c>
      <c r="S221" s="890">
        <f>IF(S5='Project Returns'!$F$32,MAX('Project Returns'!$G$44-S213,0),0)</f>
        <v/>
      </c>
      <c r="T221" s="890">
        <f>IF(T5='Project Returns'!$F$32,MAX('Project Returns'!$G$44-T213,0),0)</f>
        <v/>
      </c>
      <c r="U221" s="890">
        <f>IF(U5='Project Returns'!$F$32,MAX('Project Returns'!$G$44-U213,0),0)</f>
        <v/>
      </c>
      <c r="V221" s="890">
        <f>IF(V5='Project Returns'!$F$32,MAX('Project Returns'!$G$44-V213,0),0)</f>
        <v/>
      </c>
      <c r="W221" s="890">
        <f>IF(W5='Project Returns'!$F$32,MAX('Project Returns'!$G$44-W213,0),0)</f>
        <v/>
      </c>
      <c r="X221" s="890">
        <f>IF(X5='Project Returns'!$F$32,MAX('Project Returns'!$G$44-X213,0),0)</f>
        <v/>
      </c>
      <c r="Y221" s="890">
        <f>IF(Y5='Project Returns'!$F$32,MAX('Project Returns'!$G$44-Y213,0),0)</f>
        <v/>
      </c>
      <c r="Z221" s="890">
        <f>IF(Z5='Project Returns'!$F$32,MAX('Project Returns'!$G$44-Z213,0),0)</f>
        <v/>
      </c>
      <c r="AA221" s="890">
        <f>IF(AA5='Project Returns'!$F$32,MAX('Project Returns'!$G$44-AA213,0),0)</f>
        <v/>
      </c>
      <c r="AB221" s="890">
        <f>IF(AB5='Project Returns'!$F$32,MAX('Project Returns'!$G$44-AB213,0),0)</f>
        <v/>
      </c>
      <c r="AC221" s="890">
        <f>IF(AC5='Project Returns'!$F$32,MAX('Project Returns'!$G$44-AC213,0),0)</f>
        <v/>
      </c>
      <c r="AD221" s="890">
        <f>IF(AD5='Project Returns'!$F$32,MAX('Project Returns'!$G$44-AD213,0),0)</f>
        <v/>
      </c>
      <c r="AE221" s="890">
        <f>IF(AE5='Project Returns'!$F$32,MAX('Project Returns'!$G$44-AE213,0),0)</f>
        <v/>
      </c>
      <c r="AF221" s="890">
        <f>IF(AF5='Project Returns'!$F$32,MAX('Project Returns'!$G$44-AF213,0),0)</f>
        <v/>
      </c>
      <c r="AG221" s="890">
        <f>IF(AG5='Project Returns'!$F$32,MAX('Project Returns'!$G$44-AG213,0),0)</f>
        <v/>
      </c>
      <c r="AH221" s="890">
        <f>IF(AH5='Project Returns'!$F$32,MAX('Project Returns'!$G$44-AH213,0),0)</f>
        <v/>
      </c>
      <c r="AI221" s="890">
        <f>IF(AI5='Project Returns'!$F$32,MAX('Project Returns'!$G$44-AI213,0),0)</f>
        <v/>
      </c>
      <c r="AJ221" s="890">
        <f>IF(AJ5='Project Returns'!$F$32,MAX('Project Returns'!$G$44-AJ213,0),0)</f>
        <v/>
      </c>
      <c r="AK221" s="890">
        <f>IF(AK5='Project Returns'!$F$32,MAX('Project Returns'!$G$44-AK213,0),0)</f>
        <v/>
      </c>
      <c r="AL221" s="890">
        <f>IF(AL5='Project Returns'!$F$32,MAX('Project Returns'!$G$44-AL213,0),0)</f>
        <v/>
      </c>
      <c r="AM221" s="890">
        <f>IF(AM5='Project Returns'!$F$32,MAX('Project Returns'!$G$44-AM213,0),0)</f>
        <v/>
      </c>
      <c r="AN221" s="890">
        <f>IF(AN5='Project Returns'!$F$32,MAX('Project Returns'!$G$44-AN213,0),0)</f>
        <v/>
      </c>
      <c r="AO221" s="890">
        <f>IF(AO5='Project Returns'!$F$32,MAX('Project Returns'!$G$44-AO213,0),0)</f>
        <v/>
      </c>
      <c r="AP221" s="890">
        <f>IF(AP5='Project Returns'!$F$32,MAX('Project Returns'!$G$44-AP213,0),0)</f>
        <v/>
      </c>
      <c r="AQ221" s="890">
        <f>IF(AQ5='Project Returns'!$F$32,MAX('Project Returns'!$G$44-AQ213,0),0)</f>
        <v/>
      </c>
      <c r="AR221" s="890">
        <f>IF(AR5='Project Returns'!$F$32,MAX('Project Returns'!$G$44-AR213,0),0)</f>
        <v/>
      </c>
      <c r="AS221" s="890">
        <f>IF(AS5='Project Returns'!$F$32,MAX('Project Returns'!$G$44-AS213,0),0)</f>
        <v/>
      </c>
      <c r="AT221" s="890">
        <f>IF(AT5='Project Returns'!$F$32,MAX('Project Returns'!$G$44-AT213,0),0)</f>
        <v/>
      </c>
      <c r="AU221" s="890">
        <f>IF(AU5='Project Returns'!$F$32,MAX('Project Returns'!$G$44-AU213,0),0)</f>
        <v/>
      </c>
      <c r="AV221" s="890">
        <f>IF(AV5='Project Returns'!$F$32,MAX('Project Returns'!$G$44-AV213,0),0)</f>
        <v/>
      </c>
      <c r="AW221" s="890">
        <f>IF(AW5='Project Returns'!$F$32,MAX('Project Returns'!$G$44-AW213,0),0)</f>
        <v/>
      </c>
      <c r="AX221" s="890">
        <f>IF(AX5='Project Returns'!$F$32,MAX('Project Returns'!$G$44-AX213,0),0)</f>
        <v/>
      </c>
      <c r="AY221" s="890">
        <f>IF(AY5='Project Returns'!$F$32,MAX('Project Returns'!$G$44-AY213,0),0)</f>
        <v/>
      </c>
      <c r="AZ221" s="890">
        <f>IF(AZ5='Project Returns'!$F$32,MAX('Project Returns'!$G$44-AZ213,0),0)</f>
        <v/>
      </c>
      <c r="BA221" s="890">
        <f>IF(BA5='Project Returns'!$F$32,MAX('Project Returns'!$G$44-BA213,0),0)</f>
        <v/>
      </c>
      <c r="BB221" s="890">
        <f>IF(BB5='Project Returns'!$F$32,MAX('Project Returns'!$G$44-BB213,0),0)</f>
        <v/>
      </c>
      <c r="BC221" s="890">
        <f>IF(BC5='Project Returns'!$F$32,MAX('Project Returns'!$G$44-BC213,0),0)</f>
        <v/>
      </c>
      <c r="BD221" s="890">
        <f>IF(BD5='Project Returns'!$F$32,MAX('Project Returns'!$G$44-BD213,0),0)</f>
        <v/>
      </c>
      <c r="BE221" s="890">
        <f>IF(BE5='Project Returns'!$F$32,MAX('Project Returns'!$G$44-BE213,0),0)</f>
        <v/>
      </c>
      <c r="BF221" s="890">
        <f>IF(BF5='Project Returns'!$F$32,MAX('Project Returns'!$G$44-BF213,0),0)</f>
        <v/>
      </c>
      <c r="BG221" s="890">
        <f>IF(BG5='Project Returns'!$F$32,MAX('Project Returns'!$G$44-BG213,0),0)</f>
        <v/>
      </c>
      <c r="BH221" s="890">
        <f>IF(BH5='Project Returns'!$F$32,MAX('Project Returns'!$G$44-BH213,0),0)</f>
        <v/>
      </c>
      <c r="BI221" s="890">
        <f>IF(BI5='Project Returns'!$F$32,MAX('Project Returns'!$G$44-BI213,0),0)</f>
        <v/>
      </c>
      <c r="BJ221" s="890">
        <f>IF(BJ5='Project Returns'!$F$32,MAX('Project Returns'!$G$44-BJ213,0),0)</f>
        <v/>
      </c>
      <c r="BK221" s="890">
        <f>IF(BK5='Project Returns'!$F$32,MAX('Project Returns'!$G$44-BK213,0),0)</f>
        <v/>
      </c>
      <c r="BL221" s="890">
        <f>IF(BL5='Project Returns'!$F$32,MAX('Project Returns'!$G$44-BL213,0),0)</f>
        <v/>
      </c>
      <c r="BM221" s="890">
        <f>IF(BM5='Project Returns'!$F$32,MAX('Project Returns'!$G$44-BM213,0),0)</f>
        <v/>
      </c>
      <c r="BN221" s="890">
        <f>IF(BN5='Project Returns'!$F$32,MAX('Project Returns'!$G$44-BN213,0),0)</f>
        <v/>
      </c>
      <c r="BO221" s="890">
        <f>IF(BO5='Project Returns'!$F$32,MAX('Project Returns'!$G$44-BO213,0),0)</f>
        <v/>
      </c>
      <c r="BP221" s="890">
        <f>IF(BP5='Project Returns'!$F$32,MAX('Project Returns'!$G$44-BP213,0),0)</f>
        <v/>
      </c>
      <c r="BQ221" s="890">
        <f>IF(BQ5='Project Returns'!$F$32,MAX('Project Returns'!$G$44-BQ213,0),0)</f>
        <v/>
      </c>
      <c r="BR221" s="890">
        <f>IF(BR5='Project Returns'!$F$32,MAX('Project Returns'!$G$44-BR213,0),0)</f>
        <v/>
      </c>
      <c r="BS221" s="890">
        <f>IF(BS5='Project Returns'!$F$32,MAX('Project Returns'!$G$44-BS213,0),0)</f>
        <v/>
      </c>
      <c r="BT221" s="890">
        <f>IF(BT5='Project Returns'!$F$32,MAX('Project Returns'!$G$44-BT213,0),0)</f>
        <v/>
      </c>
      <c r="BU221" s="890">
        <f>IF(BU5='Project Returns'!$F$32,MAX('Project Returns'!$G$44-BU213,0),0)</f>
        <v/>
      </c>
      <c r="BV221" s="890">
        <f>IF(BV5='Project Returns'!$F$32,MAX('Project Returns'!$G$44-BV213,0),0)</f>
        <v/>
      </c>
      <c r="BW221" s="890">
        <f>IF(BW5='Project Returns'!$F$32,MAX('Project Returns'!$G$44-BW213,0),0)</f>
        <v/>
      </c>
      <c r="BX221" s="890">
        <f>IF(BX5='Project Returns'!$F$32,MAX('Project Returns'!$G$44-BX213,0),0)</f>
        <v/>
      </c>
      <c r="BY221" s="890">
        <f>IF(BY5='Project Returns'!$F$32,MAX('Project Returns'!$G$44-BY213,0),0)</f>
        <v/>
      </c>
      <c r="BZ221" s="890">
        <f>IF(BZ5='Project Returns'!$F$32,MAX('Project Returns'!$G$44-BZ213,0),0)</f>
        <v/>
      </c>
      <c r="CA221" s="890">
        <f>IF(CA5='Project Returns'!$F$32,MAX('Project Returns'!$G$44-CA213,0),0)</f>
        <v/>
      </c>
      <c r="CB221" s="890">
        <f>IF(CB5='Project Returns'!$F$32,MAX('Project Returns'!$G$44-CB213,0),0)</f>
        <v/>
      </c>
      <c r="CC221" s="890">
        <f>IF(CC5='Project Returns'!$F$32,MAX('Project Returns'!$G$44-CC213,0),0)</f>
        <v/>
      </c>
      <c r="CD221" s="890">
        <f>IF(CD5='Project Returns'!$F$32,MAX('Project Returns'!$G$44-CD213,0),0)</f>
        <v/>
      </c>
      <c r="CE221" s="890">
        <f>IF(CE5='Project Returns'!$F$32,MAX('Project Returns'!$G$44-CE213,0),0)</f>
        <v/>
      </c>
      <c r="CF221" s="890">
        <f>IF(CF5='Project Returns'!$F$32,MAX('Project Returns'!$G$44-CF213,0),0)</f>
        <v/>
      </c>
      <c r="CG221" s="890">
        <f>IF(CG5='Project Returns'!$F$32,MAX('Project Returns'!$G$44-CG213,0),0)</f>
        <v/>
      </c>
      <c r="CH221" s="890">
        <f>IF(CH5='Project Returns'!$F$32,MAX('Project Returns'!$G$44-CH213,0),0)</f>
        <v/>
      </c>
      <c r="CI221" s="890">
        <f>IF(CI5='Project Returns'!$F$32,MAX('Project Returns'!$G$44-CI213,0),0)</f>
        <v/>
      </c>
      <c r="CJ221" s="890">
        <f>IF(CJ5='Project Returns'!$F$32,MAX('Project Returns'!$G$44-CJ213,0),0)</f>
        <v/>
      </c>
      <c r="CK221" s="890">
        <f>IF(CK5='Project Returns'!$F$32,MAX('Project Returns'!$G$44-CK213,0),0)</f>
        <v/>
      </c>
      <c r="CL221" s="890">
        <f>IF(CL5='Project Returns'!$F$32,MAX('Project Returns'!$G$44-CL213,0),0)</f>
        <v/>
      </c>
      <c r="CM221" s="890">
        <f>IF(CM5='Project Returns'!$F$32,MAX('Project Returns'!$G$44-CM213,0),0)</f>
        <v/>
      </c>
      <c r="CN221" s="890">
        <f>IF(CN5='Project Returns'!$F$32,MAX('Project Returns'!$G$44-CN213,0),0)</f>
        <v/>
      </c>
      <c r="CO221" s="890">
        <f>IF(CO5='Project Returns'!$F$32,MAX('Project Returns'!$G$44-CO213,0),0)</f>
        <v/>
      </c>
      <c r="CP221" s="890">
        <f>IF(CP5='Project Returns'!$F$32,MAX('Project Returns'!$G$44-CP213,0),0)</f>
        <v/>
      </c>
      <c r="CQ221" s="890">
        <f>IF(CQ5='Project Returns'!$F$32,MAX('Project Returns'!$G$44-CQ213,0),0)</f>
        <v/>
      </c>
      <c r="CR221" s="890">
        <f>IF(CR5='Project Returns'!$F$32,MAX('Project Returns'!$G$44-CR213,0),0)</f>
        <v/>
      </c>
      <c r="CS221" s="890">
        <f>IF(CS5='Project Returns'!$F$32,MAX('Project Returns'!$G$44-CS213,0),0)</f>
        <v/>
      </c>
      <c r="CT221" s="890">
        <f>IF(CT5='Project Returns'!$F$32,MAX('Project Returns'!$G$44-CT213,0),0)</f>
        <v/>
      </c>
      <c r="CU221" s="890">
        <f>IF(CU5='Project Returns'!$F$32,MAX('Project Returns'!$G$44-CU213,0),0)</f>
        <v/>
      </c>
      <c r="CV221" s="890">
        <f>IF(CV5='Project Returns'!$F$32,MAX('Project Returns'!$G$44-CV213,0),0)</f>
        <v/>
      </c>
      <c r="CW221" s="890">
        <f>IF(CW5='Project Returns'!$F$32,MAX('Project Returns'!$G$44-CW213,0),0)</f>
        <v/>
      </c>
      <c r="CX221" s="890">
        <f>IF(CX5='Project Returns'!$F$32,MAX('Project Returns'!$G$44-CX213,0),0)</f>
        <v/>
      </c>
      <c r="CY221" s="890">
        <f>IF(CY5='Project Returns'!$F$32,MAX('Project Returns'!$G$44-CY213,0),0)</f>
        <v/>
      </c>
      <c r="CZ221" s="890">
        <f>IF(CZ5='Project Returns'!$F$32,MAX('Project Returns'!$G$44-CZ213,0),0)</f>
        <v/>
      </c>
      <c r="DA221" s="890">
        <f>IF(DA5='Project Returns'!$F$32,MAX('Project Returns'!$G$44-DA213,0),0)</f>
        <v/>
      </c>
      <c r="DB221" s="890">
        <f>IF(DB5='Project Returns'!$F$32,MAX('Project Returns'!$G$44-DB213,0),0)</f>
        <v/>
      </c>
      <c r="DC221" s="890" t="n"/>
      <c r="DD221" s="297">
        <f>SUM(F221:DB221)</f>
        <v/>
      </c>
    </row>
    <row r="222" customFormat="1" s="314">
      <c r="A222" s="788" t="inlineStr">
        <is>
          <t>Total Distributions to Equity</t>
        </is>
      </c>
      <c r="B222" s="788" t="n"/>
      <c r="C222" s="788" t="n"/>
      <c r="D222" s="338">
        <f>DD222</f>
        <v/>
      </c>
      <c r="E222" s="290" t="n"/>
      <c r="F222" s="291">
        <f>SUM(F220:F221)</f>
        <v/>
      </c>
      <c r="G222" s="291">
        <f>SUM(G220:G221)</f>
        <v/>
      </c>
      <c r="H222" s="291">
        <f>SUM(H220:H221)</f>
        <v/>
      </c>
      <c r="I222" s="291">
        <f>SUM(I220:I221)</f>
        <v/>
      </c>
      <c r="J222" s="291">
        <f>SUM(J220:J221)</f>
        <v/>
      </c>
      <c r="K222" s="291">
        <f>SUM(K220:K221)</f>
        <v/>
      </c>
      <c r="L222" s="291">
        <f>SUM(L220:L221)</f>
        <v/>
      </c>
      <c r="M222" s="291">
        <f>SUM(M220:M221)</f>
        <v/>
      </c>
      <c r="N222" s="291">
        <f>SUM(N220:N221)</f>
        <v/>
      </c>
      <c r="O222" s="291">
        <f>SUM(O220:O221)</f>
        <v/>
      </c>
      <c r="P222" s="291">
        <f>SUM(P220:P221)</f>
        <v/>
      </c>
      <c r="Q222" s="291">
        <f>SUM(Q220:Q221)</f>
        <v/>
      </c>
      <c r="R222" s="291">
        <f>SUM(R220:R221)</f>
        <v/>
      </c>
      <c r="S222" s="291">
        <f>SUM(S220:S221)</f>
        <v/>
      </c>
      <c r="T222" s="291">
        <f>SUM(T220:T221)</f>
        <v/>
      </c>
      <c r="U222" s="291">
        <f>SUM(U220:U221)</f>
        <v/>
      </c>
      <c r="V222" s="291">
        <f>SUM(V220:V221)</f>
        <v/>
      </c>
      <c r="W222" s="291">
        <f>SUM(W220:W221)</f>
        <v/>
      </c>
      <c r="X222" s="291">
        <f>SUM(X220:X221)</f>
        <v/>
      </c>
      <c r="Y222" s="291">
        <f>SUM(Y220:Y221)</f>
        <v/>
      </c>
      <c r="Z222" s="291">
        <f>SUM(Z220:Z221)</f>
        <v/>
      </c>
      <c r="AA222" s="291">
        <f>SUM(AA220:AA221)</f>
        <v/>
      </c>
      <c r="AB222" s="291">
        <f>SUM(AB220:AB221)</f>
        <v/>
      </c>
      <c r="AC222" s="291">
        <f>SUM(AC220:AC221)</f>
        <v/>
      </c>
      <c r="AD222" s="291">
        <f>SUM(AD220:AD221)</f>
        <v/>
      </c>
      <c r="AE222" s="291">
        <f>SUM(AE220:AE221)</f>
        <v/>
      </c>
      <c r="AF222" s="291">
        <f>SUM(AF220:AF221)</f>
        <v/>
      </c>
      <c r="AG222" s="291">
        <f>SUM(AG220:AG221)</f>
        <v/>
      </c>
      <c r="AH222" s="291">
        <f>SUM(AH220:AH221)</f>
        <v/>
      </c>
      <c r="AI222" s="291">
        <f>SUM(AI220:AI221)</f>
        <v/>
      </c>
      <c r="AJ222" s="291">
        <f>SUM(AJ220:AJ221)</f>
        <v/>
      </c>
      <c r="AK222" s="291">
        <f>SUM(AK220:AK221)</f>
        <v/>
      </c>
      <c r="AL222" s="291">
        <f>SUM(AL220:AL221)</f>
        <v/>
      </c>
      <c r="AM222" s="291">
        <f>SUM(AM220:AM221)</f>
        <v/>
      </c>
      <c r="AN222" s="291">
        <f>SUM(AN220:AN221)</f>
        <v/>
      </c>
      <c r="AO222" s="291">
        <f>SUM(AO220:AO221)</f>
        <v/>
      </c>
      <c r="AP222" s="291">
        <f>SUM(AP220:AP221)</f>
        <v/>
      </c>
      <c r="AQ222" s="291">
        <f>SUM(AQ220:AQ221)</f>
        <v/>
      </c>
      <c r="AR222" s="291">
        <f>SUM(AR220:AR221)</f>
        <v/>
      </c>
      <c r="AS222" s="291">
        <f>SUM(AS220:AS221)</f>
        <v/>
      </c>
      <c r="AT222" s="291">
        <f>SUM(AT220:AT221)</f>
        <v/>
      </c>
      <c r="AU222" s="291">
        <f>SUM(AU220:AU221)</f>
        <v/>
      </c>
      <c r="AV222" s="291">
        <f>SUM(AV220:AV221)</f>
        <v/>
      </c>
      <c r="AW222" s="291">
        <f>SUM(AW220:AW221)</f>
        <v/>
      </c>
      <c r="AX222" s="291">
        <f>SUM(AX220:AX221)</f>
        <v/>
      </c>
      <c r="AY222" s="291">
        <f>SUM(AY220:AY221)</f>
        <v/>
      </c>
      <c r="AZ222" s="291">
        <f>SUM(AZ220:AZ221)</f>
        <v/>
      </c>
      <c r="BA222" s="291">
        <f>SUM(BA220:BA221)</f>
        <v/>
      </c>
      <c r="BB222" s="291">
        <f>SUM(BB220:BB221)</f>
        <v/>
      </c>
      <c r="BC222" s="291">
        <f>SUM(BC220:BC221)</f>
        <v/>
      </c>
      <c r="BD222" s="291">
        <f>SUM(BD220:BD221)</f>
        <v/>
      </c>
      <c r="BE222" s="291">
        <f>SUM(BE220:BE221)</f>
        <v/>
      </c>
      <c r="BF222" s="291">
        <f>SUM(BF220:BF221)</f>
        <v/>
      </c>
      <c r="BG222" s="291">
        <f>SUM(BG220:BG221)</f>
        <v/>
      </c>
      <c r="BH222" s="291">
        <f>SUM(BH220:BH221)</f>
        <v/>
      </c>
      <c r="BI222" s="291">
        <f>SUM(BI220:BI221)</f>
        <v/>
      </c>
      <c r="BJ222" s="291">
        <f>SUM(BJ220:BJ221)</f>
        <v/>
      </c>
      <c r="BK222" s="291">
        <f>SUM(BK220:BK221)</f>
        <v/>
      </c>
      <c r="BL222" s="291">
        <f>SUM(BL220:BL221)</f>
        <v/>
      </c>
      <c r="BM222" s="291">
        <f>SUM(BM220:BM221)</f>
        <v/>
      </c>
      <c r="BN222" s="291">
        <f>SUM(BN220:BN221)</f>
        <v/>
      </c>
      <c r="BO222" s="291">
        <f>SUM(BO220:BO221)</f>
        <v/>
      </c>
      <c r="BP222" s="291">
        <f>SUM(BP220:BP221)</f>
        <v/>
      </c>
      <c r="BQ222" s="291">
        <f>SUM(BQ220:BQ221)</f>
        <v/>
      </c>
      <c r="BR222" s="291">
        <f>SUM(BR220:BR221)</f>
        <v/>
      </c>
      <c r="BS222" s="291">
        <f>SUM(BS220:BS221)</f>
        <v/>
      </c>
      <c r="BT222" s="291">
        <f>SUM(BT220:BT221)</f>
        <v/>
      </c>
      <c r="BU222" s="291">
        <f>SUM(BU220:BU221)</f>
        <v/>
      </c>
      <c r="BV222" s="291">
        <f>SUM(BV220:BV221)</f>
        <v/>
      </c>
      <c r="BW222" s="291">
        <f>SUM(BW220:BW221)</f>
        <v/>
      </c>
      <c r="BX222" s="291">
        <f>SUM(BX220:BX221)</f>
        <v/>
      </c>
      <c r="BY222" s="291">
        <f>SUM(BY220:BY221)</f>
        <v/>
      </c>
      <c r="BZ222" s="291">
        <f>SUM(BZ220:BZ221)</f>
        <v/>
      </c>
      <c r="CA222" s="291">
        <f>SUM(CA220:CA221)</f>
        <v/>
      </c>
      <c r="CB222" s="291">
        <f>SUM(CB220:CB221)</f>
        <v/>
      </c>
      <c r="CC222" s="291">
        <f>SUM(CC220:CC221)</f>
        <v/>
      </c>
      <c r="CD222" s="291">
        <f>SUM(CD220:CD221)</f>
        <v/>
      </c>
      <c r="CE222" s="291">
        <f>SUM(CE220:CE221)</f>
        <v/>
      </c>
      <c r="CF222" s="291">
        <f>SUM(CF220:CF221)</f>
        <v/>
      </c>
      <c r="CG222" s="291">
        <f>SUM(CG220:CG221)</f>
        <v/>
      </c>
      <c r="CH222" s="291">
        <f>SUM(CH220:CH221)</f>
        <v/>
      </c>
      <c r="CI222" s="291">
        <f>SUM(CI220:CI221)</f>
        <v/>
      </c>
      <c r="CJ222" s="291">
        <f>SUM(CJ220:CJ221)</f>
        <v/>
      </c>
      <c r="CK222" s="291">
        <f>SUM(CK220:CK221)</f>
        <v/>
      </c>
      <c r="CL222" s="291">
        <f>SUM(CL220:CL221)</f>
        <v/>
      </c>
      <c r="CM222" s="291">
        <f>SUM(CM220:CM221)</f>
        <v/>
      </c>
      <c r="CN222" s="291">
        <f>SUM(CN220:CN221)</f>
        <v/>
      </c>
      <c r="CO222" s="291">
        <f>SUM(CO220:CO221)</f>
        <v/>
      </c>
      <c r="CP222" s="291">
        <f>SUM(CP220:CP221)</f>
        <v/>
      </c>
      <c r="CQ222" s="291">
        <f>SUM(CQ220:CQ221)</f>
        <v/>
      </c>
      <c r="CR222" s="291">
        <f>SUM(CR220:CR221)</f>
        <v/>
      </c>
      <c r="CS222" s="291">
        <f>SUM(CS220:CS221)</f>
        <v/>
      </c>
      <c r="CT222" s="291">
        <f>SUM(CT220:CT221)</f>
        <v/>
      </c>
      <c r="CU222" s="291">
        <f>SUM(CU220:CU221)</f>
        <v/>
      </c>
      <c r="CV222" s="291">
        <f>SUM(CV220:CV221)</f>
        <v/>
      </c>
      <c r="CW222" s="291">
        <f>SUM(CW220:CW221)</f>
        <v/>
      </c>
      <c r="CX222" s="291">
        <f>SUM(CX220:CX221)</f>
        <v/>
      </c>
      <c r="CY222" s="291">
        <f>SUM(CY220:CY221)</f>
        <v/>
      </c>
      <c r="CZ222" s="291">
        <f>SUM(CZ220:CZ221)</f>
        <v/>
      </c>
      <c r="DA222" s="291">
        <f>SUM(DA220:DA221)</f>
        <v/>
      </c>
      <c r="DB222" s="291">
        <f>SUM(DB220:DB221)</f>
        <v/>
      </c>
      <c r="DC222" s="291" t="n"/>
      <c r="DD222" s="289">
        <f>SUM(F222:DB222)</f>
        <v/>
      </c>
    </row>
    <row r="223">
      <c r="A223" s="9" t="n"/>
      <c r="B223" s="9" t="n"/>
      <c r="C223" s="9" t="n"/>
      <c r="D223" s="339" t="n"/>
      <c r="E223" s="271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  <c r="AS223" s="13" t="n"/>
      <c r="AT223" s="13" t="n"/>
      <c r="AU223" s="13" t="n"/>
      <c r="AV223" s="13" t="n"/>
      <c r="AW223" s="13" t="n"/>
      <c r="AX223" s="13" t="n"/>
      <c r="AY223" s="13" t="n"/>
      <c r="AZ223" s="13" t="n"/>
      <c r="BA223" s="13" t="n"/>
      <c r="BB223" s="13" t="n"/>
      <c r="BC223" s="13" t="n"/>
      <c r="BD223" s="13" t="n"/>
      <c r="BE223" s="13" t="n"/>
      <c r="BF223" s="13" t="n"/>
      <c r="BG223" s="13" t="n"/>
      <c r="BH223" s="13" t="n"/>
      <c r="BI223" s="13" t="n"/>
      <c r="BJ223" s="13" t="n"/>
      <c r="BK223" s="13" t="n"/>
      <c r="BL223" s="13" t="n"/>
      <c r="BM223" s="13" t="n"/>
      <c r="BN223" s="13" t="n"/>
      <c r="BO223" s="13" t="n"/>
      <c r="BP223" s="13" t="n"/>
      <c r="BQ223" s="13" t="n"/>
      <c r="BR223" s="13" t="n"/>
      <c r="BS223" s="13" t="n"/>
      <c r="BT223" s="13" t="n"/>
      <c r="BU223" s="13" t="n"/>
      <c r="BV223" s="13" t="n"/>
      <c r="BW223" s="13" t="n"/>
      <c r="BX223" s="13" t="n"/>
      <c r="BY223" s="13" t="n"/>
      <c r="BZ223" s="13" t="n"/>
      <c r="CA223" s="13" t="n"/>
      <c r="CB223" s="13" t="n"/>
      <c r="CC223" s="13" t="n"/>
      <c r="CD223" s="13" t="n"/>
      <c r="CE223" s="13" t="n"/>
      <c r="CF223" s="13" t="n"/>
      <c r="CG223" s="13" t="n"/>
      <c r="CH223" s="13" t="n"/>
      <c r="CI223" s="13" t="n"/>
      <c r="CJ223" s="13" t="n"/>
      <c r="CK223" s="13" t="n"/>
      <c r="CL223" s="13" t="n"/>
      <c r="CM223" s="13" t="n"/>
      <c r="CN223" s="13" t="n"/>
      <c r="CO223" s="13" t="n"/>
      <c r="CP223" s="13" t="n"/>
      <c r="CQ223" s="13" t="n"/>
      <c r="CR223" s="13" t="n"/>
      <c r="CS223" s="13" t="n"/>
      <c r="CT223" s="13" t="n"/>
      <c r="CU223" s="13" t="n"/>
      <c r="CV223" s="13" t="n"/>
      <c r="CW223" s="13" t="n"/>
      <c r="CX223" s="13" t="n"/>
      <c r="CY223" s="13" t="n"/>
      <c r="CZ223" s="13" t="n"/>
      <c r="DA223" s="13" t="n"/>
      <c r="DB223" s="13" t="n"/>
      <c r="DC223" s="13" t="n"/>
      <c r="DD223" s="13" t="n"/>
    </row>
    <row r="224">
      <c r="A224" s="1128" t="inlineStr">
        <is>
          <t>Equity Partner 1</t>
        </is>
      </c>
      <c r="B224" s="1128" t="n"/>
      <c r="C224" s="9" t="n"/>
      <c r="D224" s="9" t="n"/>
      <c r="E224" s="271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  <c r="AS224" s="13" t="n"/>
      <c r="AT224" s="13" t="n"/>
      <c r="AU224" s="13" t="n"/>
      <c r="AV224" s="13" t="n"/>
      <c r="AW224" s="13" t="n"/>
      <c r="AX224" s="13" t="n"/>
      <c r="AY224" s="13" t="n"/>
      <c r="AZ224" s="13" t="n"/>
      <c r="BA224" s="13" t="n"/>
      <c r="BB224" s="13" t="n"/>
      <c r="BC224" s="13" t="n"/>
      <c r="BD224" s="13" t="n"/>
      <c r="BE224" s="13" t="n"/>
      <c r="BF224" s="13" t="n"/>
      <c r="BG224" s="13" t="n"/>
      <c r="BH224" s="13" t="n"/>
      <c r="BI224" s="13" t="n"/>
      <c r="BJ224" s="13" t="n"/>
      <c r="BK224" s="13" t="n"/>
      <c r="BL224" s="13" t="n"/>
      <c r="BM224" s="13" t="n"/>
      <c r="BN224" s="13" t="n"/>
      <c r="BO224" s="13" t="n"/>
      <c r="BP224" s="13" t="n"/>
      <c r="BQ224" s="13" t="n"/>
      <c r="BR224" s="13" t="n"/>
      <c r="BS224" s="13" t="n"/>
      <c r="BT224" s="13" t="n"/>
      <c r="BU224" s="13" t="n"/>
      <c r="BV224" s="13" t="n"/>
      <c r="BW224" s="13" t="n"/>
      <c r="BX224" s="13" t="n"/>
      <c r="BY224" s="13" t="n"/>
      <c r="BZ224" s="13" t="n"/>
      <c r="CA224" s="13" t="n"/>
      <c r="CB224" s="13" t="n"/>
      <c r="CC224" s="13" t="n"/>
      <c r="CD224" s="13" t="n"/>
      <c r="CE224" s="13" t="n"/>
      <c r="CF224" s="13" t="n"/>
      <c r="CG224" s="13" t="n"/>
      <c r="CH224" s="13" t="n"/>
      <c r="CI224" s="13" t="n"/>
      <c r="CJ224" s="13" t="n"/>
      <c r="CK224" s="13" t="n"/>
      <c r="CL224" s="13" t="n"/>
      <c r="CM224" s="13" t="n"/>
      <c r="CN224" s="13" t="n"/>
      <c r="CO224" s="13" t="n"/>
      <c r="CP224" s="13" t="n"/>
      <c r="CQ224" s="13" t="n"/>
      <c r="CR224" s="13" t="n"/>
      <c r="CS224" s="13" t="n"/>
      <c r="CT224" s="13" t="n"/>
      <c r="CU224" s="13" t="n"/>
      <c r="CV224" s="13" t="n"/>
      <c r="CW224" s="13" t="n"/>
      <c r="CX224" s="13" t="n"/>
      <c r="CY224" s="13" t="n"/>
      <c r="CZ224" s="13" t="n"/>
      <c r="DA224" s="13" t="n"/>
      <c r="DB224" s="13" t="n"/>
      <c r="DC224" s="13" t="n"/>
      <c r="DD224" s="13" t="n"/>
    </row>
    <row r="225">
      <c r="A225" s="9" t="inlineStr">
        <is>
          <t>Fundings, excl. cstr. loan distr.</t>
        </is>
      </c>
      <c r="B225" s="9" t="n"/>
      <c r="C225" s="342">
        <f>'Project Returns'!E59</f>
        <v/>
      </c>
      <c r="D225" s="700">
        <f>DD225</f>
        <v/>
      </c>
      <c r="E225" s="641" t="n"/>
      <c r="F225" s="293">
        <f>IF(F5&lt;='Project Returns'!$F$32,-(F170+F174)*$C$225-SUM($E$225:E225),0)</f>
        <v/>
      </c>
      <c r="G225" s="293">
        <f>IF(G5&lt;='Project Returns'!$F$32,-(G170+G174)*$C$225-SUM($E$225:F225),0)</f>
        <v/>
      </c>
      <c r="H225" s="293">
        <f>IF(H5&lt;='Project Returns'!$F$32,-(H170+H174)*$C$225-SUM($E$225:G225),0)</f>
        <v/>
      </c>
      <c r="I225" s="293">
        <f>IF(I5&lt;='Project Returns'!$F$32,-(I170+I174)*$C$225-SUM($E$225:H225),0)</f>
        <v/>
      </c>
      <c r="J225" s="293">
        <f>IF(J5&lt;='Project Returns'!$F$32,-(J170+J174)*$C$225-SUM($E$225:I225),0)</f>
        <v/>
      </c>
      <c r="K225" s="293">
        <f>IF(K5&lt;='Project Returns'!$F$32,-(K170+K174)*$C$225-SUM($E$225:J225),0)</f>
        <v/>
      </c>
      <c r="L225" s="293">
        <f>IF(L5&lt;='Project Returns'!$F$32,-(L170+L174)*$C$225-SUM($E$225:K225),0)</f>
        <v/>
      </c>
      <c r="M225" s="293">
        <f>IF(M5&lt;='Project Returns'!$F$32,-(M170+M174)*$C$225-SUM($E$225:L225),0)</f>
        <v/>
      </c>
      <c r="N225" s="293">
        <f>IF(N5&lt;='Project Returns'!$F$32,-(N170+N174)*$C$225-SUM($E$225:M225),0)</f>
        <v/>
      </c>
      <c r="O225" s="293">
        <f>IF(O5&lt;='Project Returns'!$F$32,-(O170+O174)*$C$225-SUM($E$225:N225),0)</f>
        <v/>
      </c>
      <c r="P225" s="293">
        <f>IF(P5&lt;='Project Returns'!$F$32,-(P170+P174)*$C$225-SUM($E$225:O225),0)</f>
        <v/>
      </c>
      <c r="Q225" s="293">
        <f>IF(Q5&lt;='Project Returns'!$F$32,-(Q170+Q174)*$C$225-SUM($E$225:P225),0)</f>
        <v/>
      </c>
      <c r="R225" s="293">
        <f>IF(R5&lt;='Project Returns'!$F$32,-(R170+R174)*$C$225-SUM($E$225:Q225),0)</f>
        <v/>
      </c>
      <c r="S225" s="293">
        <f>IF(S5&lt;='Project Returns'!$F$32,-(S170+S174)*$C$225-SUM($E$225:R225),0)</f>
        <v/>
      </c>
      <c r="T225" s="293">
        <f>IF(T5&lt;='Project Returns'!$F$32,-(T170+T174)*$C$225-SUM($E$225:S225),0)</f>
        <v/>
      </c>
      <c r="U225" s="293">
        <f>IF(U5&lt;='Project Returns'!$F$32,-(U170+U174)*$C$225-SUM($E$225:T225),0)</f>
        <v/>
      </c>
      <c r="V225" s="293">
        <f>IF(V5&lt;='Project Returns'!$F$32,-(V170+V174)*$C$225-SUM($E$225:U225),0)</f>
        <v/>
      </c>
      <c r="W225" s="293">
        <f>IF(W5&lt;='Project Returns'!$F$32,-(W170+W174)*$C$225-SUM($E$225:V225),0)</f>
        <v/>
      </c>
      <c r="X225" s="293">
        <f>IF(X5&lt;='Project Returns'!$F$32,-(X170+X174)*$C$225-SUM($E$225:W225),0)</f>
        <v/>
      </c>
      <c r="Y225" s="293">
        <f>IF(Y5&lt;='Project Returns'!$F$32,-(Y170+Y174)*$C$225-SUM($E$225:X225),0)</f>
        <v/>
      </c>
      <c r="Z225" s="293">
        <f>IF(Z5&lt;='Project Returns'!$F$32,-(Z170+Z174)*$C$225-SUM($E$225:Y225),0)</f>
        <v/>
      </c>
      <c r="AA225" s="293">
        <f>IF(AA5&lt;='Project Returns'!$F$32,-(AA170+AA174)*$C$225-SUM($E$225:Z225),0)</f>
        <v/>
      </c>
      <c r="AB225" s="293">
        <f>IF(AB5&lt;='Project Returns'!$F$32,-(AB170+AB174)*$C$225-SUM($E$225:AA225),0)</f>
        <v/>
      </c>
      <c r="AC225" s="293">
        <f>IF(AC5&lt;='Project Returns'!$F$32,-(AC170+AC174)*$C$225-SUM($E$225:AB225),0)</f>
        <v/>
      </c>
      <c r="AD225" s="293">
        <f>IF(AD5&lt;='Project Returns'!$F$32,-(AD170+AD174)*$C$225-SUM($E$225:AC225),0)</f>
        <v/>
      </c>
      <c r="AE225" s="293">
        <f>IF(AE5&lt;='Project Returns'!$F$32,-(AE170+AE174)*$C$225-SUM($E$225:AD225),0)</f>
        <v/>
      </c>
      <c r="AF225" s="293">
        <f>IF(AF5&lt;='Project Returns'!$F$32,-(AF170+AF174)*$C$225-SUM($E$225:AE225),0)</f>
        <v/>
      </c>
      <c r="AG225" s="293">
        <f>IF(AG5&lt;='Project Returns'!$F$32,-(AG170+AG174)*$C$225-SUM($E$225:AF225),0)</f>
        <v/>
      </c>
      <c r="AH225" s="293">
        <f>IF(AH5&lt;='Project Returns'!$F$32,-(AH170+AH174)*$C$225-SUM($E$225:AG225),0)</f>
        <v/>
      </c>
      <c r="AI225" s="293">
        <f>IF(AI5&lt;='Project Returns'!$F$32,-(AI170+AI174)*$C$225-SUM($E$225:AH225),0)</f>
        <v/>
      </c>
      <c r="AJ225" s="293">
        <f>IF(AJ5&lt;='Project Returns'!$F$32,-(AJ170+AJ174)*$C$225-SUM($E$225:AI225),0)</f>
        <v/>
      </c>
      <c r="AK225" s="293">
        <f>IF(AK5&lt;='Project Returns'!$F$32,-(AK170+AK174)*$C$225-SUM($E$225:AJ225),0)</f>
        <v/>
      </c>
      <c r="AL225" s="293">
        <f>IF(AL5&lt;='Project Returns'!$F$32,-(AL170+AL174)*$C$225-SUM($E$225:AK225),0)</f>
        <v/>
      </c>
      <c r="AM225" s="293">
        <f>IF(AM5&lt;='Project Returns'!$F$32,-(AM170+AM174)*$C$225-SUM($E$225:AL225),0)</f>
        <v/>
      </c>
      <c r="AN225" s="293">
        <f>IF(AN5&lt;='Project Returns'!$F$32,-(AN170+AN174)*$C$225-SUM($E$225:AM225),0)</f>
        <v/>
      </c>
      <c r="AO225" s="293">
        <f>IF(AO5&lt;='Project Returns'!$F$32,-(AO170+AO174)*$C$225-SUM($E$225:AN225),0)</f>
        <v/>
      </c>
      <c r="AP225" s="293">
        <f>IF(AP5&lt;='Project Returns'!$F$32,-(AP170+AP174)*$C$225-SUM($E$225:AO225),0)</f>
        <v/>
      </c>
      <c r="AQ225" s="293">
        <f>IF(AQ5&lt;='Project Returns'!$F$32,-(AQ170+AQ174)*$C$225-SUM($E$225:AP225),0)</f>
        <v/>
      </c>
      <c r="AR225" s="293">
        <f>IF(AR5&lt;='Project Returns'!$F$32,-(AR170+AR174)*$C$225-SUM($E$225:AQ225),0)</f>
        <v/>
      </c>
      <c r="AS225" s="293">
        <f>IF(AS5&lt;='Project Returns'!$F$32,-(AS170+AS174)*$C$225-SUM($E$225:AR225),0)</f>
        <v/>
      </c>
      <c r="AT225" s="293">
        <f>IF(AT5&lt;='Project Returns'!$F$32,-(AT170+AT174)*$C$225-SUM($E$225:AS225),0)</f>
        <v/>
      </c>
      <c r="AU225" s="293">
        <f>IF(AU5&lt;='Project Returns'!$F$32,-(AU170+AU174)*$C$225-SUM($E$225:AT225),0)</f>
        <v/>
      </c>
      <c r="AV225" s="293">
        <f>IF(AV5&lt;='Project Returns'!$F$32,-(AV170+AV174)*$C$225-SUM($E$225:AU225),0)</f>
        <v/>
      </c>
      <c r="AW225" s="293">
        <f>IF(AW5&lt;='Project Returns'!$F$32,-(AW170+AW174)*$C$225-SUM($E$225:AV225),0)</f>
        <v/>
      </c>
      <c r="AX225" s="293">
        <f>IF(AX5&lt;='Project Returns'!$F$32,-(AX170+AX174)*$C$225-SUM($E$225:AW225),0)</f>
        <v/>
      </c>
      <c r="AY225" s="293">
        <f>IF(AY5&lt;='Project Returns'!$F$32,-(AY170+AY174)*$C$225-SUM($E$225:AX225),0)</f>
        <v/>
      </c>
      <c r="AZ225" s="293">
        <f>IF(AZ5&lt;='Project Returns'!$F$32,-(AZ170+AZ174)*$C$225-SUM($E$225:AY225),0)</f>
        <v/>
      </c>
      <c r="BA225" s="293">
        <f>IF(BA5&lt;='Project Returns'!$F$32,-(BA170+BA174)*$C$225-SUM($E$225:AZ225),0)</f>
        <v/>
      </c>
      <c r="BB225" s="293">
        <f>IF(BB5&lt;='Project Returns'!$F$32,-(BB170+BB174)*$C$225-SUM($E$225:BA225),0)</f>
        <v/>
      </c>
      <c r="BC225" s="293">
        <f>IF(BC5&lt;='Project Returns'!$F$32,-(BC170+BC174)*$C$225-SUM($E$225:BB225),0)</f>
        <v/>
      </c>
      <c r="BD225" s="293">
        <f>IF(BD5&lt;='Project Returns'!$F$32,-(BD170+BD174)*$C$225-SUM($E$225:BC225),0)</f>
        <v/>
      </c>
      <c r="BE225" s="293">
        <f>IF(BE5&lt;='Project Returns'!$F$32,-(BE170+BE174)*$C$225-SUM($E$225:BD225),0)</f>
        <v/>
      </c>
      <c r="BF225" s="293">
        <f>IF(BF5&lt;='Project Returns'!$F$32,-(BF170+BF174)*$C$225-SUM($E$225:BE225),0)</f>
        <v/>
      </c>
      <c r="BG225" s="293">
        <f>IF(BG5&lt;='Project Returns'!$F$32,-(BG170+BG174)*$C$225-SUM($E$225:BF225),0)</f>
        <v/>
      </c>
      <c r="BH225" s="293">
        <f>IF(BH5&lt;='Project Returns'!$F$32,-(BH170+BH174)*$C$225-SUM($E$225:BG225),0)</f>
        <v/>
      </c>
      <c r="BI225" s="293">
        <f>IF(BI5&lt;='Project Returns'!$F$32,-(BI170+BI174)*$C$225-SUM($E$225:BH225),0)</f>
        <v/>
      </c>
      <c r="BJ225" s="293">
        <f>IF(BJ5&lt;='Project Returns'!$F$32,-(BJ170+BJ174)*$C$225-SUM($E$225:BI225),0)</f>
        <v/>
      </c>
      <c r="BK225" s="293">
        <f>IF(BK5&lt;='Project Returns'!$F$32,-(BK170+BK174)*$C$225-SUM($E$225:BJ225),0)</f>
        <v/>
      </c>
      <c r="BL225" s="293">
        <f>IF(BL5&lt;='Project Returns'!$F$32,-(BL170+BL174)*$C$225-SUM($E$225:BK225),0)</f>
        <v/>
      </c>
      <c r="BM225" s="293">
        <f>IF(BM5&lt;='Project Returns'!$F$32,-(BM170+BM174)*$C$225-SUM($E$225:BL225),0)</f>
        <v/>
      </c>
      <c r="BN225" s="293">
        <f>IF(BN5&lt;='Project Returns'!$F$32,-(BN170+BN174)*$C$225-SUM($E$225:BM225),0)</f>
        <v/>
      </c>
      <c r="BO225" s="293">
        <f>IF(BO5&lt;='Project Returns'!$F$32,-(BO170+BO174)*$C$225-SUM($E$225:BN225),0)</f>
        <v/>
      </c>
      <c r="BP225" s="293">
        <f>IF(BP5&lt;='Project Returns'!$F$32,-(BP170+BP174)*$C$225-SUM($E$225:BO225),0)</f>
        <v/>
      </c>
      <c r="BQ225" s="293">
        <f>IF(BQ5&lt;='Project Returns'!$F$32,-(BQ170+BQ174)*$C$225-SUM($E$225:BP225),0)</f>
        <v/>
      </c>
      <c r="BR225" s="293">
        <f>IF(BR5&lt;='Project Returns'!$F$32,-(BR170+BR174)*$C$225-SUM($E$225:BQ225),0)</f>
        <v/>
      </c>
      <c r="BS225" s="293">
        <f>IF(BS5&lt;='Project Returns'!$F$32,-(BS170+BS174)*$C$225-SUM($E$225:BR225),0)</f>
        <v/>
      </c>
      <c r="BT225" s="293">
        <f>IF(BT5&lt;='Project Returns'!$F$32,-(BT170+BT174)*$C$225-SUM($E$225:BS225),0)</f>
        <v/>
      </c>
      <c r="BU225" s="293">
        <f>IF(BU5&lt;='Project Returns'!$F$32,-(BU170+BU174)*$C$225-SUM($E$225:BT225),0)</f>
        <v/>
      </c>
      <c r="BV225" s="293">
        <f>IF(BV5&lt;='Project Returns'!$F$32,-(BV170+BV174)*$C$225-SUM($E$225:BU225),0)</f>
        <v/>
      </c>
      <c r="BW225" s="293">
        <f>IF(BW5&lt;='Project Returns'!$F$32,-(BW170+BW174)*$C$225-SUM($E$225:BV225),0)</f>
        <v/>
      </c>
      <c r="BX225" s="293">
        <f>IF(BX5&lt;='Project Returns'!$F$32,-(BX170+BX174)*$C$225-SUM($E$225:BW225),0)</f>
        <v/>
      </c>
      <c r="BY225" s="293">
        <f>IF(BY5&lt;='Project Returns'!$F$32,-(BY170+BY174)*$C$225-SUM($E$225:BX225),0)</f>
        <v/>
      </c>
      <c r="BZ225" s="293">
        <f>IF(BZ5&lt;='Project Returns'!$F$32,-(BZ170+BZ174)*$C$225-SUM($E$225:BY225),0)</f>
        <v/>
      </c>
      <c r="CA225" s="293">
        <f>IF(CA5&lt;='Project Returns'!$F$32,-(CA170+CA174)*$C$225-SUM($E$225:BZ225),0)</f>
        <v/>
      </c>
      <c r="CB225" s="293">
        <f>IF(CB5&lt;='Project Returns'!$F$32,-(CB170+CB174)*$C$225-SUM($E$225:CA225),0)</f>
        <v/>
      </c>
      <c r="CC225" s="293">
        <f>IF(CC5&lt;='Project Returns'!$F$32,-(CC170+CC174)*$C$225-SUM($E$225:CB225),0)</f>
        <v/>
      </c>
      <c r="CD225" s="293">
        <f>IF(CD5&lt;='Project Returns'!$F$32,-(CD170+CD174)*$C$225-SUM($E$225:CC225),0)</f>
        <v/>
      </c>
      <c r="CE225" s="293">
        <f>IF(CE5&lt;='Project Returns'!$F$32,-(CE170+CE174)*$C$225-SUM($E$225:CD225),0)</f>
        <v/>
      </c>
      <c r="CF225" s="293">
        <f>IF(CF5&lt;='Project Returns'!$F$32,-(CF170+CF174)*$C$225-SUM($E$225:CE225),0)</f>
        <v/>
      </c>
      <c r="CG225" s="293">
        <f>IF(CG5&lt;='Project Returns'!$F$32,-(CG170+CG174)*$C$225-SUM($E$225:CF225),0)</f>
        <v/>
      </c>
      <c r="CH225" s="293">
        <f>IF(CH5&lt;='Project Returns'!$F$32,-(CH170+CH174)*$C$225-SUM($E$225:CG225),0)</f>
        <v/>
      </c>
      <c r="CI225" s="293">
        <f>IF(CI5&lt;='Project Returns'!$F$32,-(CI170+CI174)*$C$225-SUM($E$225:CH225),0)</f>
        <v/>
      </c>
      <c r="CJ225" s="293">
        <f>IF(CJ5&lt;='Project Returns'!$F$32,-(CJ170+CJ174)*$C$225-SUM($E$225:CI225),0)</f>
        <v/>
      </c>
      <c r="CK225" s="293">
        <f>IF(CK5&lt;='Project Returns'!$F$32,-(CK170+CK174)*$C$225-SUM($E$225:CJ225),0)</f>
        <v/>
      </c>
      <c r="CL225" s="293">
        <f>IF(CL5&lt;='Project Returns'!$F$32,-(CL170+CL174)*$C$225-SUM($E$225:CK225),0)</f>
        <v/>
      </c>
      <c r="CM225" s="293">
        <f>IF(CM5&lt;='Project Returns'!$F$32,-(CM170+CM174)*$C$225-SUM($E$225:CL225),0)</f>
        <v/>
      </c>
      <c r="CN225" s="293">
        <f>IF(CN5&lt;='Project Returns'!$F$32,-(CN170+CN174)*$C$225-SUM($E$225:CM225),0)</f>
        <v/>
      </c>
      <c r="CO225" s="293">
        <f>IF(CO5&lt;='Project Returns'!$F$32,-(CO170+CO174)*$C$225-SUM($E$225:CN225),0)</f>
        <v/>
      </c>
      <c r="CP225" s="293">
        <f>IF(CP5&lt;='Project Returns'!$F$32,-(CP170+CP174)*$C$225-SUM($E$225:CO225),0)</f>
        <v/>
      </c>
      <c r="CQ225" s="293">
        <f>IF(CQ5&lt;='Project Returns'!$F$32,-(CQ170+CQ174)*$C$225-SUM($E$225:CP225),0)</f>
        <v/>
      </c>
      <c r="CR225" s="293">
        <f>IF(CR5&lt;='Project Returns'!$F$32,-(CR170+CR174)*$C$225-SUM($E$225:CQ225),0)</f>
        <v/>
      </c>
      <c r="CS225" s="293">
        <f>IF(CS5&lt;='Project Returns'!$F$32,-(CS170+CS174)*$C$225-SUM($E$225:CR225),0)</f>
        <v/>
      </c>
      <c r="CT225" s="293">
        <f>IF(CT5&lt;='Project Returns'!$F$32,-(CT170+CT174)*$C$225-SUM($E$225:CS225),0)</f>
        <v/>
      </c>
      <c r="CU225" s="293">
        <f>IF(CU5&lt;='Project Returns'!$F$32,-(CU170+CU174)*$C$225-SUM($E$225:CT225),0)</f>
        <v/>
      </c>
      <c r="CV225" s="293">
        <f>IF(CV5&lt;='Project Returns'!$F$32,-(CV170+CV174)*$C$225-SUM($E$225:CU225),0)</f>
        <v/>
      </c>
      <c r="CW225" s="293">
        <f>IF(CW5&lt;='Project Returns'!$F$32,-(CW170+CW174)*$C$225-SUM($E$225:CV225),0)</f>
        <v/>
      </c>
      <c r="CX225" s="293">
        <f>IF(CX5&lt;='Project Returns'!$F$32,-(CX170+CX174)*$C$225-SUM($E$225:CW225),0)</f>
        <v/>
      </c>
      <c r="CY225" s="293">
        <f>IF(CY5&lt;='Project Returns'!$F$32,-(CY170+CY174)*$C$225-SUM($E$225:CX225),0)</f>
        <v/>
      </c>
      <c r="CZ225" s="293">
        <f>IF(CZ5&lt;='Project Returns'!$F$32,-(CZ170+CZ174)*$C$225-SUM($E$225:CY225),0)</f>
        <v/>
      </c>
      <c r="DA225" s="293">
        <f>IF(DA5&lt;='Project Returns'!$F$32,-(DA170+DA174)*$C$225-SUM($E$225:CZ225),0)</f>
        <v/>
      </c>
      <c r="DB225" s="293">
        <f>IF(DB5&lt;='Project Returns'!$F$32,-(DB170+DB174)*$C$225-SUM($E$225:DA225),0)</f>
        <v/>
      </c>
      <c r="DC225" s="293" t="n"/>
      <c r="DD225" s="292">
        <f>SUM(F225:DB225)</f>
        <v/>
      </c>
    </row>
    <row r="226">
      <c r="A226" s="9" t="inlineStr">
        <is>
          <t>Preferred Return</t>
        </is>
      </c>
      <c r="B226" s="9" t="n"/>
      <c r="C226" s="342" t="n"/>
      <c r="D226" s="294">
        <f>DD226</f>
        <v/>
      </c>
      <c r="E226" s="274" t="n"/>
      <c r="F226" s="273" t="n"/>
      <c r="G226" s="273">
        <f>IF(MAX($G$170:G170)+G174&lt;$D$170+$D$174,MIN(MAX(0,SUM($G$222:G$222)-SUM($F$226:F$226)-SUM($F$234:F$234)-SUM($F$228:F$228)-SUM($F$236:F$236)-($D$170-MAX($F$170:F170)+$D$174-F174))*$C225,SUM($G$260:G$260)-SUM($F226:F226)),MIN((G$222)*$C225,SUM($G$260:G$260)-SUM($F226:F226)))</f>
        <v/>
      </c>
      <c r="H226" s="273">
        <f>IF(MAX($G$170:H170)+H174&lt;$D$170+$D$174,MIN(MAX(0,SUM($G$222:H$222)-SUM($F$226:G$226)-SUM($F$234:G$234)-SUM($F$228:G$228)-SUM($F$236:G$236)-($D$170-MAX($F$170:G170)+$D$174-G174))*$C225,SUM($G$260:H$260)-SUM($F226:G226)),MIN((H$222)*$C225,SUM($G$260:H$260)-SUM($F226:G226)))</f>
        <v/>
      </c>
      <c r="I226" s="273">
        <f>IF(MAX($G$170:I170)+I174&lt;$D$170+$D$174,MIN(MAX(0,SUM($G$222:I$222)-SUM($F$226:H$226)-SUM($F$234:H$234)-SUM($F$228:H$228)-SUM($F$236:H$236)-($D$170-MAX($F$170:H170)+$D$174-H174))*$C225,SUM($G$260:I$260)-SUM($F226:H226)),MIN((I$222)*$C225,SUM($G$260:I$260)-SUM($F226:H226)))</f>
        <v/>
      </c>
      <c r="J226" s="273">
        <f>IF(MAX($G$170:J170)+J174&lt;$D$170+$D$174,MIN(MAX(0,SUM($G$222:J$222)-SUM($F$226:I$226)-SUM($F$234:I$234)-SUM($F$228:I$228)-SUM($F$236:I$236)-($D$170-MAX($F$170:I170)+$D$174-I174))*$C225,SUM($G$260:J$260)-SUM($F226:I226)),MIN((J$222)*$C225,SUM($G$260:J$260)-SUM($F226:I226)))</f>
        <v/>
      </c>
      <c r="K226" s="273">
        <f>IF(MAX($G$170:K170)+K174&lt;$D$170+$D$174,MIN(MAX(0,SUM($G$222:K$222)-SUM($F$226:J$226)-SUM($F$234:J$234)-SUM($F$228:J$228)-SUM($F$236:J$236)-($D$170-MAX($F$170:J170)+$D$174-J174))*$C225,SUM($G$260:K$260)-SUM($F226:J226)),MIN((K$222)*$C225,SUM($G$260:K$260)-SUM($F226:J226)))</f>
        <v/>
      </c>
      <c r="L226" s="273">
        <f>IF(MAX($G$170:L170)+L174&lt;$D$170+$D$174,MIN(MAX(0,SUM($G$222:L$222)-SUM($F$226:K$226)-SUM($F$234:K$234)-SUM($F$228:K$228)-SUM($F$236:K$236)-($D$170-MAX($F$170:K170)+$D$174-K174))*$C225,SUM($G$260:L$260)-SUM($F226:K226)),MIN((L$222)*$C225,SUM($G$260:L$260)-SUM($F226:K226)))</f>
        <v/>
      </c>
      <c r="M226" s="273">
        <f>IF(MAX($G$170:M170)+M174&lt;$D$170+$D$174,MIN(MAX(0,SUM($G$222:M$222)-SUM($F$226:L$226)-SUM($F$234:L$234)-SUM($F$228:L$228)-SUM($F$236:L$236)-($D$170-MAX($F$170:L170)+$D$174-L174))*$C225,SUM($G$260:M$260)-SUM($F226:L226)),MIN((M$222)*$C225,SUM($G$260:M$260)-SUM($F226:L226)))</f>
        <v/>
      </c>
      <c r="N226" s="273">
        <f>IF(MAX($G$170:N170)+N174&lt;$D$170+$D$174,MIN(MAX(0,SUM($G$222:N$222)-SUM($F$226:M$226)-SUM($F$234:M$234)-SUM($F$228:M$228)-SUM($F$236:M$236)-($D$170-MAX($F$170:M170)+$D$174-M174))*$C225,SUM($G$260:N$260)-SUM($F226:M226)),MIN((N$222)*$C225,SUM($G$260:N$260)-SUM($F226:M226)))</f>
        <v/>
      </c>
      <c r="O226" s="273">
        <f>IF(MAX($G$170:O170)+O174&lt;$D$170+$D$174,MIN(MAX(0,SUM($G$222:O$222)-SUM($F$226:N$226)-SUM($F$234:N$234)-SUM($F$228:N$228)-SUM($F$236:N$236)-($D$170-MAX($F$170:N170)+$D$174-N174))*$C225,SUM($G$260:O$260)-SUM($F226:N226)),MIN((O$222)*$C225,SUM($G$260:O$260)-SUM($F226:N226)))</f>
        <v/>
      </c>
      <c r="P226" s="273">
        <f>IF(MAX($G$170:P170)+P174&lt;$D$170+$D$174,MIN(MAX(0,SUM($G$222:P$222)-SUM($F$226:O$226)-SUM($F$234:O$234)-SUM($F$228:O$228)-SUM($F$236:O$236)-($D$170-MAX($F$170:O170)+$D$174-O174))*$C225,SUM($G$260:P$260)-SUM($F226:O226)),MIN((P$222)*$C225,SUM($G$260:P$260)-SUM($F226:O226)))</f>
        <v/>
      </c>
      <c r="Q226" s="273">
        <f>IF(MAX($G$170:Q170)+Q174&lt;$D$170+$D$174,MIN(MAX(0,SUM($G$222:Q$222)-SUM($F$226:P$226)-SUM($F$234:P$234)-SUM($F$228:P$228)-SUM($F$236:P$236)-($D$170-MAX($F$170:P170)+$D$174-P174))*$C225,SUM($G$260:Q$260)-SUM($F226:P226)),MIN((Q$222)*$C225,SUM($G$260:Q$260)-SUM($F226:P226)))</f>
        <v/>
      </c>
      <c r="R226" s="273">
        <f>IF(MAX($G$170:R170)+R174&lt;$D$170+$D$174,MIN(MAX(0,SUM($G$222:R$222)-SUM($F$226:Q$226)-SUM($F$234:Q$234)-SUM($F$228:Q$228)-SUM($F$236:Q$236)-($D$170-MAX($F$170:Q170)+$D$174-Q174))*$C225,SUM($G$260:R$260)-SUM($F226:Q226)),MIN((R$222)*$C225,SUM($G$260:R$260)-SUM($F226:Q226)))</f>
        <v/>
      </c>
      <c r="S226" s="273">
        <f>IF(MAX($G$170:S170)+S174&lt;$D$170+$D$174,MIN(MAX(0,SUM($G$222:S$222)-SUM($F$226:R$226)-SUM($F$234:R$234)-SUM($F$228:R$228)-SUM($F$236:R$236)-($D$170-MAX($F$170:R170)+$D$174-R174))*$C225,SUM($G$260:S$260)-SUM($F226:R226)),MIN((S$222)*$C225,SUM($G$260:S$260)-SUM($F226:R226)))</f>
        <v/>
      </c>
      <c r="T226" s="273">
        <f>IF(MAX($G$170:T170)+T174&lt;$D$170+$D$174,MIN(MAX(0,SUM($G$222:T$222)-SUM($F$226:S$226)-SUM($F$234:S$234)-SUM($F$228:S$228)-SUM($F$236:S$236)-($D$170-MAX($F$170:S170)+$D$174-S174))*$C225,SUM($G$260:T$260)-SUM($F226:S226)),MIN((T$222)*$C225,SUM($G$260:T$260)-SUM($F226:S226)))</f>
        <v/>
      </c>
      <c r="U226" s="273">
        <f>IF(MAX($G$170:U170)+U174&lt;$D$170+$D$174,MIN(MAX(0,SUM($G$222:U$222)-SUM($F$226:T$226)-SUM($F$234:T$234)-SUM($F$228:T$228)-SUM($F$236:T$236)-($D$170-MAX($F$170:T170)+$D$174-T174))*$C225,SUM($G$260:U$260)-SUM($F226:T226)),MIN((U$222)*$C225,SUM($G$260:U$260)-SUM($F226:T226)))</f>
        <v/>
      </c>
      <c r="V226" s="273">
        <f>IF(MAX($G$170:V170)+V174&lt;$D$170+$D$174,MIN(MAX(0,SUM($G$222:V$222)-SUM($F$226:U$226)-SUM($F$234:U$234)-SUM($F$228:U$228)-SUM($F$236:U$236)-($D$170-MAX($F$170:U170)+$D$174-U174))*$C225,SUM($G$260:V$260)-SUM($F226:U226)),MIN((V$222)*$C225,SUM($G$260:V$260)-SUM($F226:U226)))</f>
        <v/>
      </c>
      <c r="W226" s="273">
        <f>IF(MAX($G$170:W170)+W174&lt;$D$170+$D$174,MIN(MAX(0,SUM($G$222:W$222)-SUM($F$226:V$226)-SUM($F$234:V$234)-SUM($F$228:V$228)-SUM($F$236:V$236)-($D$170-MAX($F$170:V170)+$D$174-V174))*$C225,SUM($G$260:W$260)-SUM($F226:V226)),MIN((W$222)*$C225,SUM($G$260:W$260)-SUM($F226:V226)))</f>
        <v/>
      </c>
      <c r="X226" s="273">
        <f>IF(MAX($G$170:X170)+X174&lt;$D$170+$D$174,MIN(MAX(0,SUM($G$222:X$222)-SUM($F$226:W$226)-SUM($F$234:W$234)-SUM($F$228:W$228)-SUM($F$236:W$236)-($D$170-MAX($F$170:W170)+$D$174-W174))*$C225,SUM($G$260:X$260)-SUM($F226:W226)),MIN((X$222)*$C225,SUM($G$260:X$260)-SUM($F226:W226)))</f>
        <v/>
      </c>
      <c r="Y226" s="273">
        <f>IF(MAX($G$170:Y170)+Y174&lt;$D$170+$D$174,MIN(MAX(0,SUM($G$222:Y$222)-SUM($F$226:X$226)-SUM($F$234:X$234)-SUM($F$228:X$228)-SUM($F$236:X$236)-($D$170-MAX($F$170:X170)+$D$174-X174))*$C225,SUM($G$260:Y$260)-SUM($F226:X226)),MIN((Y$222)*$C225,SUM($G$260:Y$260)-SUM($F226:X226)))</f>
        <v/>
      </c>
      <c r="Z226" s="273">
        <f>IF(MAX($G$170:Z170)+Z174&lt;$D$170+$D$174,MIN(MAX(0,SUM($G$222:Z$222)-SUM($F$226:Y$226)-SUM($F$234:Y$234)-SUM($F$228:Y$228)-SUM($F$236:Y$236)-($D$170-MAX($F$170:Y170)+$D$174-Y174))*$C225,SUM($G$260:Z$260)-SUM($F226:Y226)),MIN((Z$222)*$C225,SUM($G$260:Z$260)-SUM($F226:Y226)))</f>
        <v/>
      </c>
      <c r="AA226" s="273">
        <f>IF(MAX($G$170:AA170)+AA174&lt;$D$170+$D$174,MIN(MAX(0,SUM($G$222:AA$222)-SUM($F$226:Z$226)-SUM($F$234:Z$234)-SUM($F$228:Z$228)-SUM($F$236:Z$236)-($D$170-MAX($F$170:Z170)+$D$174-Z174))*$C225,SUM($G$260:AA$260)-SUM($F226:Z226)),MIN((AA$222)*$C225,SUM($G$260:AA$260)-SUM($F226:Z226)))</f>
        <v/>
      </c>
      <c r="AB226" s="273">
        <f>IF(MAX($G$170:AB170)+AB174&lt;$D$170+$D$174,MIN(MAX(0,SUM($G$222:AB$222)-SUM($F$226:AA$226)-SUM($F$234:AA$234)-SUM($F$228:AA$228)-SUM($F$236:AA$236)-($D$170-MAX($F$170:AA170)+$D$174-AA174))*$C225,SUM($G$260:AB$260)-SUM($F226:AA226)),MIN((AB$222)*$C225,SUM($G$260:AB$260)-SUM($F226:AA226)))</f>
        <v/>
      </c>
      <c r="AC226" s="273">
        <f>IF(MAX($G$170:AC170)+AC174&lt;$D$170+$D$174,MIN(MAX(0,SUM($G$222:AC$222)-SUM($F$226:AB$226)-SUM($F$234:AB$234)-SUM($F$228:AB$228)-SUM($F$236:AB$236)-($D$170-MAX($F$170:AB170)+$D$174-AB174))*$C225,SUM($G$260:AC$260)-SUM($F226:AB226)),MIN((AC$222)*$C225,SUM($G$260:AC$260)-SUM($F226:AB226)))</f>
        <v/>
      </c>
      <c r="AD226" s="273">
        <f>IF(MAX($G$170:AD170)+AD174&lt;$D$170+$D$174,MIN(MAX(0,SUM($G$222:AD$222)-SUM($F$226:AC$226)-SUM($F$234:AC$234)-SUM($F$228:AC$228)-SUM($F$236:AC$236)-($D$170-MAX($F$170:AC170)+$D$174-AC174))*$C225,SUM($G$260:AD$260)-SUM($F226:AC226)),MIN((AD$222)*$C225,SUM($G$260:AD$260)-SUM($F226:AC226)))</f>
        <v/>
      </c>
      <c r="AE226" s="273">
        <f>IF(MAX($G$170:AE170)+AE174&lt;$D$170+$D$174,MIN(MAX(0,SUM($G$222:AE$222)-SUM($F$226:AD$226)-SUM($F$234:AD$234)-SUM($F$228:AD$228)-SUM($F$236:AD$236)-($D$170-MAX($F$170:AD170)+$D$174-AD174))*$C225,SUM($G$260:AE$260)-SUM($F226:AD226)),MIN((AE$222)*$C225,SUM($G$260:AE$260)-SUM($F226:AD226)))</f>
        <v/>
      </c>
      <c r="AF226" s="273">
        <f>IF(MAX($G$170:AF170)+AF174&lt;$D$170+$D$174,MIN(MAX(0,SUM($G$222:AF$222)-SUM($F$226:AE$226)-SUM($F$234:AE$234)-SUM($F$228:AE$228)-SUM($F$236:AE$236)-($D$170-MAX($F$170:AE170)+$D$174-AE174))*$C225,SUM($G$260:AF$260)-SUM($F226:AE226)),MIN((AF$222)*$C225,SUM($G$260:AF$260)-SUM($F226:AE226)))</f>
        <v/>
      </c>
      <c r="AG226" s="273">
        <f>IF(MAX($G$170:AG170)+AG174&lt;$D$170+$D$174,MIN(MAX(0,SUM($G$222:AG$222)-SUM($F$226:AF$226)-SUM($F$234:AF$234)-SUM($F$228:AF$228)-SUM($F$236:AF$236)-($D$170-MAX($F$170:AF170)+$D$174-AF174))*$C225,SUM($G$260:AG$260)-SUM($F226:AF226)),MIN((AG$222)*$C225,SUM($G$260:AG$260)-SUM($F226:AF226)))</f>
        <v/>
      </c>
      <c r="AH226" s="273">
        <f>IF(MAX($G$170:AH170)+AH174&lt;$D$170+$D$174,MIN(MAX(0,SUM($G$222:AH$222)-SUM($F$226:AG$226)-SUM($F$234:AG$234)-SUM($F$228:AG$228)-SUM($F$236:AG$236)-($D$170-MAX($F$170:AG170)+$D$174-AG174))*$C225,SUM($G$260:AH$260)-SUM($F226:AG226)),MIN((AH$222)*$C225,SUM($G$260:AH$260)-SUM($F226:AG226)))</f>
        <v/>
      </c>
      <c r="AI226" s="273">
        <f>IF(MAX($G$170:AI170)+AI174&lt;$D$170+$D$174,MIN(MAX(0,SUM($G$222:AI$222)-SUM($F$226:AH$226)-SUM($F$234:AH$234)-SUM($F$228:AH$228)-SUM($F$236:AH$236)-($D$170-MAX($F$170:AH170)+$D$174-AH174))*$C225,SUM($G$260:AI$260)-SUM($F226:AH226)),MIN((AI$222)*$C225,SUM($G$260:AI$260)-SUM($F226:AH226)))</f>
        <v/>
      </c>
      <c r="AJ226" s="273">
        <f>IF(MAX($G$170:AJ170)+AJ174&lt;$D$170+$D$174,MIN(MAX(0,SUM($G$222:AJ$222)-SUM($F$226:AI$226)-SUM($F$234:AI$234)-SUM($F$228:AI$228)-SUM($F$236:AI$236)-($D$170-MAX($F$170:AI170)+$D$174-AI174))*$C225,SUM($G$260:AJ$260)-SUM($F226:AI226)),MIN((AJ$222)*$C225,SUM($G$260:AJ$260)-SUM($F226:AI226)))</f>
        <v/>
      </c>
      <c r="AK226" s="273">
        <f>IF(MAX($G$170:AK170)+AK174&lt;$D$170+$D$174,MIN(MAX(0,SUM($G$222:AK$222)-SUM($F$226:AJ$226)-SUM($F$234:AJ$234)-SUM($F$228:AJ$228)-SUM($F$236:AJ$236)-($D$170-MAX($F$170:AJ170)+$D$174-AJ174))*$C225,SUM($G$260:AK$260)-SUM($F226:AJ226)),MIN((AK$222)*$C225,SUM($G$260:AK$260)-SUM($F226:AJ226)))</f>
        <v/>
      </c>
      <c r="AL226" s="273">
        <f>IF(MAX($G$170:AL170)+AL174&lt;$D$170+$D$174,MIN(MAX(0,SUM($G$222:AL$222)-SUM($F$226:AK$226)-SUM($F$234:AK$234)-SUM($F$228:AK$228)-SUM($F$236:AK$236)-($D$170-MAX($F$170:AK170)+$D$174-AK174))*$C225,SUM($G$260:AL$260)-SUM($F226:AK226)),MIN((AL$222)*$C225,SUM($G$260:AL$260)-SUM($F226:AK226)))</f>
        <v/>
      </c>
      <c r="AM226" s="273">
        <f>IF(MAX($G$170:AM170)+AM174&lt;$D$170+$D$174,MIN(MAX(0,SUM($G$222:AM$222)-SUM($F$226:AL$226)-SUM($F$234:AL$234)-SUM($F$228:AL$228)-SUM($F$236:AL$236)-($D$170-MAX($F$170:AL170)+$D$174-AL174))*$C225,SUM($G$260:AM$260)-SUM($F226:AL226)),MIN((AM$222)*$C225,SUM($G$260:AM$260)-SUM($F226:AL226)))</f>
        <v/>
      </c>
      <c r="AN226" s="273">
        <f>IF(MAX($G$170:AN170)+AN174&lt;$D$170+$D$174,MIN(MAX(0,SUM($G$222:AN$222)-SUM($F$226:AM$226)-SUM($F$234:AM$234)-SUM($F$228:AM$228)-SUM($F$236:AM$236)-($D$170-MAX($F$170:AM170)+$D$174-AM174))*$C225,SUM($G$260:AN$260)-SUM($F226:AM226)),MIN((AN$222)*$C225,SUM($G$260:AN$260)-SUM($F226:AM226)))</f>
        <v/>
      </c>
      <c r="AO226" s="273">
        <f>IF(MAX($G$170:AO170)+AO174&lt;$D$170+$D$174,MIN(MAX(0,SUM($G$222:AO$222)-SUM($F$226:AN$226)-SUM($F$234:AN$234)-SUM($F$228:AN$228)-SUM($F$236:AN$236)-($D$170-MAX($F$170:AN170)+$D$174-AN174))*$C225,SUM($G$260:AO$260)-SUM($F226:AN226)),MIN((AO$222)*$C225,SUM($G$260:AO$260)-SUM($F226:AN226)))</f>
        <v/>
      </c>
      <c r="AP226" s="273">
        <f>IF(MAX($G$170:AP170)+AP174&lt;$D$170+$D$174,MIN(MAX(0,SUM($G$222:AP$222)-SUM($F$226:AO$226)-SUM($F$234:AO$234)-SUM($F$228:AO$228)-SUM($F$236:AO$236)-($D$170-MAX($F$170:AO170)+$D$174-AO174))*$C225,SUM($G$260:AP$260)-SUM($F226:AO226)),MIN((AP$222)*$C225,SUM($G$260:AP$260)-SUM($F226:AO226)))</f>
        <v/>
      </c>
      <c r="AQ226" s="273">
        <f>IF(MAX($G$170:AQ170)+AQ174&lt;$D$170+$D$174,MIN(MAX(0,SUM($G$222:AQ$222)-SUM($F$226:AP$226)-SUM($F$234:AP$234)-SUM($F$228:AP$228)-SUM($F$236:AP$236)-($D$170-MAX($F$170:AP170)+$D$174-AP174))*$C225,SUM($G$260:AQ$260)-SUM($F226:AP226)),MIN((AQ$222)*$C225,SUM($G$260:AQ$260)-SUM($F226:AP226)))</f>
        <v/>
      </c>
      <c r="AR226" s="273">
        <f>IF(MAX($G$170:AR170)+AR174&lt;$D$170+$D$174,MIN(MAX(0,SUM($G$222:AR$222)-SUM($F$226:AQ$226)-SUM($F$234:AQ$234)-SUM($F$228:AQ$228)-SUM($F$236:AQ$236)-($D$170-MAX($F$170:AQ170)+$D$174-AQ174))*$C225,SUM($G$260:AR$260)-SUM($F226:AQ226)),MIN((AR$222)*$C225,SUM($G$260:AR$260)-SUM($F226:AQ226)))</f>
        <v/>
      </c>
      <c r="AS226" s="273">
        <f>IF(MAX($G$170:AS170)+AS174&lt;$D$170+$D$174,MIN(MAX(0,SUM($G$222:AS$222)-SUM($F$226:AR$226)-SUM($F$234:AR$234)-SUM($F$228:AR$228)-SUM($F$236:AR$236)-($D$170-MAX($F$170:AR170)+$D$174-AR174))*$C225,SUM($G$260:AS$260)-SUM($F226:AR226)),MIN((AS$222)*$C225,SUM($G$260:AS$260)-SUM($F226:AR226)))</f>
        <v/>
      </c>
      <c r="AT226" s="273">
        <f>IF(MAX($G$170:AT170)+AT174&lt;$D$170+$D$174,MIN(MAX(0,SUM($G$222:AT$222)-SUM($F$226:AS$226)-SUM($F$234:AS$234)-SUM($F$228:AS$228)-SUM($F$236:AS$236)-($D$170-MAX($F$170:AS170)+$D$174-AS174))*$C225,SUM($G$260:AT$260)-SUM($F226:AS226)),MIN((AT$222)*$C225,SUM($G$260:AT$260)-SUM($F226:AS226)))</f>
        <v/>
      </c>
      <c r="AU226" s="273">
        <f>IF(MAX($G$170:AU170)+AU174&lt;$D$170+$D$174,MIN(MAX(0,SUM($G$222:AU$222)-SUM($F$226:AT$226)-SUM($F$234:AT$234)-SUM($F$228:AT$228)-SUM($F$236:AT$236)-($D$170-MAX($F$170:AT170)+$D$174-AT174))*$C225,SUM($G$260:AU$260)-SUM($F226:AT226)),MIN((AU$222)*$C225,SUM($G$260:AU$260)-SUM($F226:AT226)))</f>
        <v/>
      </c>
      <c r="AV226" s="273">
        <f>IF(MAX($G$170:AV170)+AV174&lt;$D$170+$D$174,MIN(MAX(0,SUM($G$222:AV$222)-SUM($F$226:AU$226)-SUM($F$234:AU$234)-SUM($F$228:AU$228)-SUM($F$236:AU$236)-($D$170-MAX($F$170:AU170)+$D$174-AU174))*$C225,SUM($G$260:AV$260)-SUM($F226:AU226)),MIN((AV$222)*$C225,SUM($G$260:AV$260)-SUM($F226:AU226)))</f>
        <v/>
      </c>
      <c r="AW226" s="273">
        <f>IF(MAX($G$170:AW170)+AW174&lt;$D$170+$D$174,MIN(MAX(0,SUM($G$222:AW$222)-SUM($F$226:AV$226)-SUM($F$234:AV$234)-SUM($F$228:AV$228)-SUM($F$236:AV$236)-($D$170-MAX($F$170:AV170)+$D$174-AV174))*$C225,SUM($G$260:AW$260)-SUM($F226:AV226)),MIN((AW$222)*$C225,SUM($G$260:AW$260)-SUM($F226:AV226)))</f>
        <v/>
      </c>
      <c r="AX226" s="273">
        <f>IF(MAX($G$170:AX170)+AX174&lt;$D$170+$D$174,MIN(MAX(0,SUM($G$222:AX$222)-SUM($F$226:AW$226)-SUM($F$234:AW$234)-SUM($F$228:AW$228)-SUM($F$236:AW$236)-($D$170-MAX($F$170:AW170)+$D$174-AW174))*$C225,SUM($G$260:AX$260)-SUM($F226:AW226)),MIN((AX$222)*$C225,SUM($G$260:AX$260)-SUM($F226:AW226)))</f>
        <v/>
      </c>
      <c r="AY226" s="273">
        <f>IF(MAX($G$170:AY170)+AY174&lt;$D$170+$D$174,MIN(MAX(0,SUM($G$222:AY$222)-SUM($F$226:AX$226)-SUM($F$234:AX$234)-SUM($F$228:AX$228)-SUM($F$236:AX$236)-($D$170-MAX($F$170:AX170)+$D$174-AX174))*$C225,SUM($G$260:AY$260)-SUM($F226:AX226)),MIN((AY$222)*$C225,SUM($G$260:AY$260)-SUM($F226:AX226)))</f>
        <v/>
      </c>
      <c r="AZ226" s="273">
        <f>IF(MAX($G$170:AZ170)+AZ174&lt;$D$170+$D$174,MIN(MAX(0,SUM($G$222:AZ$222)-SUM($F$226:AY$226)-SUM($F$234:AY$234)-SUM($F$228:AY$228)-SUM($F$236:AY$236)-($D$170-MAX($F$170:AY170)+$D$174-AY174))*$C225,SUM($G$260:AZ$260)-SUM($F226:AY226)),MIN((AZ$222)*$C225,SUM($G$260:AZ$260)-SUM($F226:AY226)))</f>
        <v/>
      </c>
      <c r="BA226" s="273">
        <f>IF(MAX($G$170:BA170)+BA174&lt;$D$170+$D$174,MIN(MAX(0,SUM($G$222:BA$222)-SUM($F$226:AZ$226)-SUM($F$234:AZ$234)-SUM($F$228:AZ$228)-SUM($F$236:AZ$236)-($D$170-MAX($F$170:AZ170)+$D$174-AZ174))*$C225,SUM($G$260:BA$260)-SUM($F226:AZ226)),MIN((BA$222)*$C225,SUM($G$260:BA$260)-SUM($F226:AZ226)))</f>
        <v/>
      </c>
      <c r="BB226" s="273">
        <f>IF(MAX($G$170:BB170)+BB174&lt;$D$170+$D$174,MIN(MAX(0,SUM($G$222:BB$222)-SUM($F$226:BA$226)-SUM($F$234:BA$234)-SUM($F$228:BA$228)-SUM($F$236:BA$236)-($D$170-MAX($F$170:BA170)+$D$174-BA174))*$C225,SUM($G$260:BB$260)-SUM($F226:BA226)),MIN((BB$222)*$C225,SUM($G$260:BB$260)-SUM($F226:BA226)))</f>
        <v/>
      </c>
      <c r="BC226" s="273">
        <f>IF(MAX($G$170:BC170)+BC174&lt;$D$170+$D$174,MIN(MAX(0,SUM($G$222:BC$222)-SUM($F$226:BB$226)-SUM($F$234:BB$234)-SUM($F$228:BB$228)-SUM($F$236:BB$236)-($D$170-MAX($F$170:BB170)+$D$174-BB174))*$C225,SUM($G$260:BC$260)-SUM($F226:BB226)),MIN((BC$222)*$C225,SUM($G$260:BC$260)-SUM($F226:BB226)))</f>
        <v/>
      </c>
      <c r="BD226" s="273">
        <f>IF(MAX($G$170:BD170)+BD174&lt;$D$170+$D$174,MIN(MAX(0,SUM($G$222:BD$222)-SUM($F$226:BC$226)-SUM($F$234:BC$234)-SUM($F$228:BC$228)-SUM($F$236:BC$236)-($D$170-MAX($F$170:BC170)+$D$174-BC174))*$C225,SUM($G$260:BD$260)-SUM($F226:BC226)),MIN((BD$222)*$C225,SUM($G$260:BD$260)-SUM($F226:BC226)))</f>
        <v/>
      </c>
      <c r="BE226" s="273">
        <f>IF(MAX($G$170:BE170)+BE174&lt;$D$170+$D$174,MIN(MAX(0,SUM($G$222:BE$222)-SUM($F$226:BD$226)-SUM($F$234:BD$234)-SUM($F$228:BD$228)-SUM($F$236:BD$236)-($D$170-MAX($F$170:BD170)+$D$174-BD174))*$C225,SUM($G$260:BE$260)-SUM($F226:BD226)),MIN((BE$222)*$C225,SUM($G$260:BE$260)-SUM($F226:BD226)))</f>
        <v/>
      </c>
      <c r="BF226" s="273">
        <f>IF(MAX($G$170:BF170)+BF174&lt;$D$170+$D$174,MIN(MAX(0,SUM($G$222:BF$222)-SUM($F$226:BE$226)-SUM($F$234:BE$234)-SUM($F$228:BE$228)-SUM($F$236:BE$236)-($D$170-MAX($F$170:BE170)+$D$174-BE174))*$C225,SUM($G$260:BF$260)-SUM($F226:BE226)),MIN((BF$222)*$C225,SUM($G$260:BF$260)-SUM($F226:BE226)))</f>
        <v/>
      </c>
      <c r="BG226" s="273">
        <f>IF(MAX($G$170:BG170)+BG174&lt;$D$170+$D$174,MIN(MAX(0,SUM($G$222:BG$222)-SUM($F$226:BF$226)-SUM($F$234:BF$234)-SUM($F$228:BF$228)-SUM($F$236:BF$236)-($D$170-MAX($F$170:BF170)+$D$174-BF174))*$C225,SUM($G$260:BG$260)-SUM($F226:BF226)),MIN((BG$222)*$C225,SUM($G$260:BG$260)-SUM($F226:BF226)))</f>
        <v/>
      </c>
      <c r="BH226" s="273">
        <f>IF(MAX($G$170:BH170)+BH174&lt;$D$170+$D$174,MIN(MAX(0,SUM($G$222:BH$222)-SUM($F$226:BG$226)-SUM($F$234:BG$234)-SUM($F$228:BG$228)-SUM($F$236:BG$236)-($D$170-MAX($F$170:BG170)+$D$174-BG174))*$C225,SUM($G$260:BH$260)-SUM($F226:BG226)),MIN((BH$222)*$C225,SUM($G$260:BH$260)-SUM($F226:BG226)))</f>
        <v/>
      </c>
      <c r="BI226" s="273">
        <f>IF(MAX($G$170:BI170)+BI174&lt;$D$170+$D$174,MIN(MAX(0,SUM($G$222:BI$222)-SUM($F$226:BH$226)-SUM($F$234:BH$234)-SUM($F$228:BH$228)-SUM($F$236:BH$236)-($D$170-MAX($F$170:BH170)+$D$174-BH174))*$C225,SUM($G$260:BI$260)-SUM($F226:BH226)),MIN((BI$222)*$C225,SUM($G$260:BI$260)-SUM($F226:BH226)))</f>
        <v/>
      </c>
      <c r="BJ226" s="273">
        <f>IF(MAX($G$170:BJ170)+BJ174&lt;$D$170+$D$174,MIN(MAX(0,SUM($G$222:BJ$222)-SUM($F$226:BI$226)-SUM($F$234:BI$234)-SUM($F$228:BI$228)-SUM($F$236:BI$236)-($D$170-MAX($F$170:BI170)+$D$174-BI174))*$C225,SUM($G$260:BJ$260)-SUM($F226:BI226)),MIN((BJ$222)*$C225,SUM($G$260:BJ$260)-SUM($F226:BI226)))</f>
        <v/>
      </c>
      <c r="BK226" s="273">
        <f>IF(MAX($G$170:BK170)+BK174&lt;$D$170+$D$174,MIN(MAX(0,SUM($G$222:BK$222)-SUM($F$226:BJ$226)-SUM($F$234:BJ$234)-SUM($F$228:BJ$228)-SUM($F$236:BJ$236)-($D$170-MAX($F$170:BJ170)+$D$174-BJ174))*$C225,SUM($G$260:BK$260)-SUM($F226:BJ226)),MIN((BK$222)*$C225,SUM($G$260:BK$260)-SUM($F226:BJ226)))</f>
        <v/>
      </c>
      <c r="BL226" s="273">
        <f>IF(MAX($G$170:BL170)+BL174&lt;$D$170+$D$174,MIN(MAX(0,SUM($G$222:BL$222)-SUM($F$226:BK$226)-SUM($F$234:BK$234)-SUM($F$228:BK$228)-SUM($F$236:BK$236)-($D$170-MAX($F$170:BK170)+$D$174-BK174))*$C225,SUM($G$260:BL$260)-SUM($F226:BK226)),MIN((BL$222)*$C225,SUM($G$260:BL$260)-SUM($F226:BK226)))</f>
        <v/>
      </c>
      <c r="BM226" s="273">
        <f>IF(MAX($G$170:BM170)+BM174&lt;$D$170+$D$174,MIN(MAX(0,SUM($G$222:BM$222)-SUM($F$226:BL$226)-SUM($F$234:BL$234)-SUM($F$228:BL$228)-SUM($F$236:BL$236)-($D$170-MAX($F$170:BL170)+$D$174-BL174))*$C225,SUM($G$260:BM$260)-SUM($F226:BL226)),MIN((BM$222)*$C225,SUM($G$260:BM$260)-SUM($F226:BL226)))</f>
        <v/>
      </c>
      <c r="BN226" s="273">
        <f>IF(MAX($G$170:BN170)+BN174&lt;$D$170+$D$174,MIN(MAX(0,SUM($G$222:BN$222)-SUM($F$226:BM$226)-SUM($F$234:BM$234)-SUM($F$228:BM$228)-SUM($F$236:BM$236)-($D$170-MAX($F$170:BM170)+$D$174-BM174))*$C225,SUM($G$260:BN$260)-SUM($F226:BM226)),MIN((BN$222)*$C225,SUM($G$260:BN$260)-SUM($F226:BM226)))</f>
        <v/>
      </c>
      <c r="BO226" s="273">
        <f>IF(MAX($G$170:BO170)+BO174&lt;$D$170+$D$174,MIN(MAX(0,SUM($G$222:BO$222)-SUM($F$226:BN$226)-SUM($F$234:BN$234)-SUM($F$228:BN$228)-SUM($F$236:BN$236)-($D$170-MAX($F$170:BN170)+$D$174-BN174))*$C225,SUM($G$260:BO$260)-SUM($F226:BN226)),MIN((BO$222)*$C225,SUM($G$260:BO$260)-SUM($F226:BN226)))</f>
        <v/>
      </c>
      <c r="BP226" s="273">
        <f>IF(MAX($G$170:BP170)+BP174&lt;$D$170+$D$174,MIN(MAX(0,SUM($G$222:BP$222)-SUM($F$226:BO$226)-SUM($F$234:BO$234)-SUM($F$228:BO$228)-SUM($F$236:BO$236)-($D$170-MAX($F$170:BO170)+$D$174-BO174))*$C225,SUM($G$260:BP$260)-SUM($F226:BO226)),MIN((BP$222)*$C225,SUM($G$260:BP$260)-SUM($F226:BO226)))</f>
        <v/>
      </c>
      <c r="BQ226" s="273">
        <f>IF(MAX($G$170:BQ170)+BQ174&lt;$D$170+$D$174,MIN(MAX(0,SUM($G$222:BQ$222)-SUM($F$226:BP$226)-SUM($F$234:BP$234)-SUM($F$228:BP$228)-SUM($F$236:BP$236)-($D$170-MAX($F$170:BP170)+$D$174-BP174))*$C225,SUM($G$260:BQ$260)-SUM($F226:BP226)),MIN((BQ$222)*$C225,SUM($G$260:BQ$260)-SUM($F226:BP226)))</f>
        <v/>
      </c>
      <c r="BR226" s="273">
        <f>IF(MAX($G$170:BR170)+BR174&lt;$D$170+$D$174,MIN(MAX(0,SUM($G$222:BR$222)-SUM($F$226:BQ$226)-SUM($F$234:BQ$234)-SUM($F$228:BQ$228)-SUM($F$236:BQ$236)-($D$170-MAX($F$170:BQ170)+$D$174-BQ174))*$C225,SUM($G$260:BR$260)-SUM($F226:BQ226)),MIN((BR$222)*$C225,SUM($G$260:BR$260)-SUM($F226:BQ226)))</f>
        <v/>
      </c>
      <c r="BS226" s="273">
        <f>IF(MAX($G$170:BS170)+BS174&lt;$D$170+$D$174,MIN(MAX(0,SUM($G$222:BS$222)-SUM($F$226:BR$226)-SUM($F$234:BR$234)-SUM($F$228:BR$228)-SUM($F$236:BR$236)-($D$170-MAX($F$170:BR170)+$D$174-BR174))*$C225,SUM($G$260:BS$260)-SUM($F226:BR226)),MIN((BS$222)*$C225,SUM($G$260:BS$260)-SUM($F226:BR226)))</f>
        <v/>
      </c>
      <c r="BT226" s="273">
        <f>IF(MAX($G$170:BT170)+BT174&lt;$D$170+$D$174,MIN(MAX(0,SUM($G$222:BT$222)-SUM($F$226:BS$226)-SUM($F$234:BS$234)-SUM($F$228:BS$228)-SUM($F$236:BS$236)-($D$170-MAX($F$170:BS170)+$D$174-BS174))*$C225,SUM($G$260:BT$260)-SUM($F226:BS226)),MIN((BT$222)*$C225,SUM($G$260:BT$260)-SUM($F226:BS226)))</f>
        <v/>
      </c>
      <c r="BU226" s="273">
        <f>IF(MAX($G$170:BU170)+BU174&lt;$D$170+$D$174,MIN(MAX(0,SUM($G$222:BU$222)-SUM($F$226:BT$226)-SUM($F$234:BT$234)-SUM($F$228:BT$228)-SUM($F$236:BT$236)-($D$170-MAX($F$170:BT170)+$D$174-BT174))*$C225,SUM($G$260:BU$260)-SUM($F226:BT226)),MIN((BU$222)*$C225,SUM($G$260:BU$260)-SUM($F226:BT226)))</f>
        <v/>
      </c>
      <c r="BV226" s="273">
        <f>IF(MAX($G$170:BV170)+BV174&lt;$D$170+$D$174,MIN(MAX(0,SUM($G$222:BV$222)-SUM($F$226:BU$226)-SUM($F$234:BU$234)-SUM($F$228:BU$228)-SUM($F$236:BU$236)-($D$170-MAX($F$170:BU170)+$D$174-BU174))*$C225,SUM($G$260:BV$260)-SUM($F226:BU226)),MIN((BV$222)*$C225,SUM($G$260:BV$260)-SUM($F226:BU226)))</f>
        <v/>
      </c>
      <c r="BW226" s="273">
        <f>IF(MAX($G$170:BW170)+BW174&lt;$D$170+$D$174,MIN(MAX(0,SUM($G$222:BW$222)-SUM($F$226:BV$226)-SUM($F$234:BV$234)-SUM($F$228:BV$228)-SUM($F$236:BV$236)-($D$170-MAX($F$170:BV170)+$D$174-BV174))*$C225,SUM($G$260:BW$260)-SUM($F226:BV226)),MIN((BW$222)*$C225,SUM($G$260:BW$260)-SUM($F226:BV226)))</f>
        <v/>
      </c>
      <c r="BX226" s="273">
        <f>IF(MAX($G$170:BX170)+BX174&lt;$D$170+$D$174,MIN(MAX(0,SUM($G$222:BX$222)-SUM($F$226:BW$226)-SUM($F$234:BW$234)-SUM($F$228:BW$228)-SUM($F$236:BW$236)-($D$170-MAX($F$170:BW170)+$D$174-BW174))*$C225,SUM($G$260:BX$260)-SUM($F226:BW226)),MIN((BX$222)*$C225,SUM($G$260:BX$260)-SUM($F226:BW226)))</f>
        <v/>
      </c>
      <c r="BY226" s="273">
        <f>IF(MAX($G$170:BY170)+BY174&lt;$D$170+$D$174,MIN(MAX(0,SUM($G$222:BY$222)-SUM($F$226:BX$226)-SUM($F$234:BX$234)-SUM($F$228:BX$228)-SUM($F$236:BX$236)-($D$170-MAX($F$170:BX170)+$D$174-BX174))*$C225,SUM($G$260:BY$260)-SUM($F226:BX226)),MIN((BY$222)*$C225,SUM($G$260:BY$260)-SUM($F226:BX226)))</f>
        <v/>
      </c>
      <c r="BZ226" s="273">
        <f>IF(MAX($G$170:BZ170)+BZ174&lt;$D$170+$D$174,MIN(MAX(0,SUM($G$222:BZ$222)-SUM($F$226:BY$226)-SUM($F$234:BY$234)-SUM($F$228:BY$228)-SUM($F$236:BY$236)-($D$170-MAX($F$170:BY170)+$D$174-BY174))*$C225,SUM($G$260:BZ$260)-SUM($F226:BY226)),MIN((BZ$222)*$C225,SUM($G$260:BZ$260)-SUM($F226:BY226)))</f>
        <v/>
      </c>
      <c r="CA226" s="273">
        <f>IF(MAX($G$170:CA170)+CA174&lt;$D$170+$D$174,MIN(MAX(0,SUM($G$222:CA$222)-SUM($F$226:BZ$226)-SUM($F$234:BZ$234)-SUM($F$228:BZ$228)-SUM($F$236:BZ$236)-($D$170-MAX($F$170:BZ170)+$D$174-BZ174))*$C225,SUM($G$260:CA$260)-SUM($F226:BZ226)),MIN((CA$222)*$C225,SUM($G$260:CA$260)-SUM($F226:BZ226)))</f>
        <v/>
      </c>
      <c r="CB226" s="273">
        <f>IF(MAX($G$170:CB170)+CB174&lt;$D$170+$D$174,MIN(MAX(0,SUM($G$222:CB$222)-SUM($F$226:CA$226)-SUM($F$234:CA$234)-SUM($F$228:CA$228)-SUM($F$236:CA$236)-($D$170-MAX($F$170:CA170)+$D$174-CA174))*$C225,SUM($G$260:CB$260)-SUM($F226:CA226)),MIN((CB$222)*$C225,SUM($G$260:CB$260)-SUM($F226:CA226)))</f>
        <v/>
      </c>
      <c r="CC226" s="273">
        <f>IF(MAX($G$170:CC170)+CC174&lt;$D$170+$D$174,MIN(MAX(0,SUM($G$222:CC$222)-SUM($F$226:CB$226)-SUM($F$234:CB$234)-SUM($F$228:CB$228)-SUM($F$236:CB$236)-($D$170-MAX($F$170:CB170)+$D$174-CB174))*$C225,SUM($G$260:CC$260)-SUM($F226:CB226)),MIN((CC$222)*$C225,SUM($G$260:CC$260)-SUM($F226:CB226)))</f>
        <v/>
      </c>
      <c r="CD226" s="273">
        <f>IF(MAX($G$170:CD170)+CD174&lt;$D$170+$D$174,MIN(MAX(0,SUM($G$222:CD$222)-SUM($F$226:CC$226)-SUM($F$234:CC$234)-SUM($F$228:CC$228)-SUM($F$236:CC$236)-($D$170-MAX($F$170:CC170)+$D$174-CC174))*$C225,SUM($G$260:CD$260)-SUM($F226:CC226)),MIN((CD$222)*$C225,SUM($G$260:CD$260)-SUM($F226:CC226)))</f>
        <v/>
      </c>
      <c r="CE226" s="273">
        <f>IF(MAX($G$170:CE170)+CE174&lt;$D$170+$D$174,MIN(MAX(0,SUM($G$222:CE$222)-SUM($F$226:CD$226)-SUM($F$234:CD$234)-SUM($F$228:CD$228)-SUM($F$236:CD$236)-($D$170-MAX($F$170:CD170)+$D$174-CD174))*$C225,SUM($G$260:CE$260)-SUM($F226:CD226)),MIN((CE$222)*$C225,SUM($G$260:CE$260)-SUM($F226:CD226)))</f>
        <v/>
      </c>
      <c r="CF226" s="273">
        <f>IF(MAX($G$170:CF170)+CF174&lt;$D$170+$D$174,MIN(MAX(0,SUM($G$222:CF$222)-SUM($F$226:CE$226)-SUM($F$234:CE$234)-SUM($F$228:CE$228)-SUM($F$236:CE$236)-($D$170-MAX($F$170:CE170)+$D$174-CE174))*$C225,SUM($G$260:CF$260)-SUM($F226:CE226)),MIN((CF$222)*$C225,SUM($G$260:CF$260)-SUM($F226:CE226)))</f>
        <v/>
      </c>
      <c r="CG226" s="273">
        <f>IF(MAX($G$170:CG170)+CG174&lt;$D$170+$D$174,MIN(MAX(0,SUM($G$222:CG$222)-SUM($F$226:CF$226)-SUM($F$234:CF$234)-SUM($F$228:CF$228)-SUM($F$236:CF$236)-($D$170-MAX($F$170:CF170)+$D$174-CF174))*$C225,SUM($G$260:CG$260)-SUM($F226:CF226)),MIN((CG$222)*$C225,SUM($G$260:CG$260)-SUM($F226:CF226)))</f>
        <v/>
      </c>
      <c r="CH226" s="273">
        <f>IF(MAX($G$170:CH170)+CH174&lt;$D$170+$D$174,MIN(MAX(0,SUM($G$222:CH$222)-SUM($F$226:CG$226)-SUM($F$234:CG$234)-SUM($F$228:CG$228)-SUM($F$236:CG$236)-($D$170-MAX($F$170:CG170)+$D$174-CG174))*$C225,SUM($G$260:CH$260)-SUM($F226:CG226)),MIN((CH$222)*$C225,SUM($G$260:CH$260)-SUM($F226:CG226)))</f>
        <v/>
      </c>
      <c r="CI226" s="273">
        <f>IF(MAX($G$170:CI170)+CI174&lt;$D$170+$D$174,MIN(MAX(0,SUM($G$222:CI$222)-SUM($F$226:CH$226)-SUM($F$234:CH$234)-SUM($F$228:CH$228)-SUM($F$236:CH$236)-($D$170-MAX($F$170:CH170)+$D$174-CH174))*$C225,SUM($G$260:CI$260)-SUM($F226:CH226)),MIN((CI$222)*$C225,SUM($G$260:CI$260)-SUM($F226:CH226)))</f>
        <v/>
      </c>
      <c r="CJ226" s="273">
        <f>IF(MAX($G$170:CJ170)+CJ174&lt;$D$170+$D$174,MIN(MAX(0,SUM($G$222:CJ$222)-SUM($F$226:CI$226)-SUM($F$234:CI$234)-SUM($F$228:CI$228)-SUM($F$236:CI$236)-($D$170-MAX($F$170:CI170)+$D$174-CI174))*$C225,SUM($G$260:CJ$260)-SUM($F226:CI226)),MIN((CJ$222)*$C225,SUM($G$260:CJ$260)-SUM($F226:CI226)))</f>
        <v/>
      </c>
      <c r="CK226" s="273">
        <f>IF(MAX($G$170:CK170)+CK174&lt;$D$170+$D$174,MIN(MAX(0,SUM($G$222:CK$222)-SUM($F$226:CJ$226)-SUM($F$234:CJ$234)-SUM($F$228:CJ$228)-SUM($F$236:CJ$236)-($D$170-MAX($F$170:CJ170)+$D$174-CJ174))*$C225,SUM($G$260:CK$260)-SUM($F226:CJ226)),MIN((CK$222)*$C225,SUM($G$260:CK$260)-SUM($F226:CJ226)))</f>
        <v/>
      </c>
      <c r="CL226" s="273">
        <f>IF(MAX($G$170:CL170)+CL174&lt;$D$170+$D$174,MIN(MAX(0,SUM($G$222:CL$222)-SUM($F$226:CK$226)-SUM($F$234:CK$234)-SUM($F$228:CK$228)-SUM($F$236:CK$236)-($D$170-MAX($F$170:CK170)+$D$174-CK174))*$C225,SUM($G$260:CL$260)-SUM($F226:CK226)),MIN((CL$222)*$C225,SUM($G$260:CL$260)-SUM($F226:CK226)))</f>
        <v/>
      </c>
      <c r="CM226" s="273">
        <f>IF(MAX($G$170:CM170)+CM174&lt;$D$170+$D$174,MIN(MAX(0,SUM($G$222:CM$222)-SUM($F$226:CL$226)-SUM($F$234:CL$234)-SUM($F$228:CL$228)-SUM($F$236:CL$236)-($D$170-MAX($F$170:CL170)+$D$174-CL174))*$C225,SUM($G$260:CM$260)-SUM($F226:CL226)),MIN((CM$222)*$C225,SUM($G$260:CM$260)-SUM($F226:CL226)))</f>
        <v/>
      </c>
      <c r="CN226" s="273">
        <f>IF(MAX($G$170:CN170)+CN174&lt;$D$170+$D$174,MIN(MAX(0,SUM($G$222:CN$222)-SUM($F$226:CM$226)-SUM($F$234:CM$234)-SUM($F$228:CM$228)-SUM($F$236:CM$236)-($D$170-MAX($F$170:CM170)+$D$174-CM174))*$C225,SUM($G$260:CN$260)-SUM($F226:CM226)),MIN((CN$222)*$C225,SUM($G$260:CN$260)-SUM($F226:CM226)))</f>
        <v/>
      </c>
      <c r="CO226" s="273">
        <f>IF(MAX($G$170:CO170)+CO174&lt;$D$170+$D$174,MIN(MAX(0,SUM($G$222:CO$222)-SUM($F$226:CN$226)-SUM($F$234:CN$234)-SUM($F$228:CN$228)-SUM($F$236:CN$236)-($D$170-MAX($F$170:CN170)+$D$174-CN174))*$C225,SUM($G$260:CO$260)-SUM($F226:CN226)),MIN((CO$222)*$C225,SUM($G$260:CO$260)-SUM($F226:CN226)))</f>
        <v/>
      </c>
      <c r="CP226" s="273">
        <f>IF(MAX($G$170:CP170)+CP174&lt;$D$170+$D$174,MIN(MAX(0,SUM($G$222:CP$222)-SUM($F$226:CO$226)-SUM($F$234:CO$234)-SUM($F$228:CO$228)-SUM($F$236:CO$236)-($D$170-MAX($F$170:CO170)+$D$174-CO174))*$C225,SUM($G$260:CP$260)-SUM($F226:CO226)),MIN((CP$222)*$C225,SUM($G$260:CP$260)-SUM($F226:CO226)))</f>
        <v/>
      </c>
      <c r="CQ226" s="273">
        <f>IF(MAX($G$170:CQ170)+CQ174&lt;$D$170+$D$174,MIN(MAX(0,SUM($G$222:CQ$222)-SUM($F$226:CP$226)-SUM($F$234:CP$234)-SUM($F$228:CP$228)-SUM($F$236:CP$236)-($D$170-MAX($F$170:CP170)+$D$174-CP174))*$C225,SUM($G$260:CQ$260)-SUM($F226:CP226)),MIN((CQ$222)*$C225,SUM($G$260:CQ$260)-SUM($F226:CP226)))</f>
        <v/>
      </c>
      <c r="CR226" s="273">
        <f>IF(MAX($G$170:CR170)+CR174&lt;$D$170+$D$174,MIN(MAX(0,SUM($G$222:CR$222)-SUM($F$226:CQ$226)-SUM($F$234:CQ$234)-SUM($F$228:CQ$228)-SUM($F$236:CQ$236)-($D$170-MAX($F$170:CQ170)+$D$174-CQ174))*$C225,SUM($G$260:CR$260)-SUM($F226:CQ226)),MIN((CR$222)*$C225,SUM($G$260:CR$260)-SUM($F226:CQ226)))</f>
        <v/>
      </c>
      <c r="CS226" s="273">
        <f>IF(MAX($G$170:CS170)+CS174&lt;$D$170+$D$174,MIN(MAX(0,SUM($G$222:CS$222)-SUM($F$226:CR$226)-SUM($F$234:CR$234)-SUM($F$228:CR$228)-SUM($F$236:CR$236)-($D$170-MAX($F$170:CR170)+$D$174-CR174))*$C225,SUM($G$260:CS$260)-SUM($F226:CR226)),MIN((CS$222)*$C225,SUM($G$260:CS$260)-SUM($F226:CR226)))</f>
        <v/>
      </c>
      <c r="CT226" s="273">
        <f>IF(MAX($G$170:CT170)+CT174&lt;$D$170+$D$174,MIN(MAX(0,SUM($G$222:CT$222)-SUM($F$226:CS$226)-SUM($F$234:CS$234)-SUM($F$228:CS$228)-SUM($F$236:CS$236)-($D$170-MAX($F$170:CS170)+$D$174-CS174))*$C225,SUM($G$260:CT$260)-SUM($F226:CS226)),MIN((CT$222)*$C225,SUM($G$260:CT$260)-SUM($F226:CS226)))</f>
        <v/>
      </c>
      <c r="CU226" s="273">
        <f>IF(MAX($G$170:CU170)+CU174&lt;$D$170+$D$174,MIN(MAX(0,SUM($G$222:CU$222)-SUM($F$226:CT$226)-SUM($F$234:CT$234)-SUM($F$228:CT$228)-SUM($F$236:CT$236)-($D$170-MAX($F$170:CT170)+$D$174-CT174))*$C225,SUM($G$260:CU$260)-SUM($F226:CT226)),MIN((CU$222)*$C225,SUM($G$260:CU$260)-SUM($F226:CT226)))</f>
        <v/>
      </c>
      <c r="CV226" s="273">
        <f>IF(MAX($G$170:CV170)+CV174&lt;$D$170+$D$174,MIN(MAX(0,SUM($G$222:CV$222)-SUM($F$226:CU$226)-SUM($F$234:CU$234)-SUM($F$228:CU$228)-SUM($F$236:CU$236)-($D$170-MAX($F$170:CU170)+$D$174-CU174))*$C225,SUM($G$260:CV$260)-SUM($F226:CU226)),MIN((CV$222)*$C225,SUM($G$260:CV$260)-SUM($F226:CU226)))</f>
        <v/>
      </c>
      <c r="CW226" s="273">
        <f>IF(MAX($G$170:CW170)+CW174&lt;$D$170+$D$174,MIN(MAX(0,SUM($G$222:CW$222)-SUM($F$226:CV$226)-SUM($F$234:CV$234)-SUM($F$228:CV$228)-SUM($F$236:CV$236)-($D$170-MAX($F$170:CV170)+$D$174-CV174))*$C225,SUM($G$260:CW$260)-SUM($F226:CV226)),MIN((CW$222)*$C225,SUM($G$260:CW$260)-SUM($F226:CV226)))</f>
        <v/>
      </c>
      <c r="CX226" s="273">
        <f>IF(MAX($G$170:CX170)+CX174&lt;$D$170+$D$174,MIN(MAX(0,SUM($G$222:CX$222)-SUM($F$226:CW$226)-SUM($F$234:CW$234)-SUM($F$228:CW$228)-SUM($F$236:CW$236)-($D$170-MAX($F$170:CW170)+$D$174-CW174))*$C225,SUM($G$260:CX$260)-SUM($F226:CW226)),MIN((CX$222)*$C225,SUM($G$260:CX$260)-SUM($F226:CW226)))</f>
        <v/>
      </c>
      <c r="CY226" s="273">
        <f>IF(MAX($G$170:CY170)+CY174&lt;$D$170+$D$174,MIN(MAX(0,SUM($G$222:CY$222)-SUM($F$226:CX$226)-SUM($F$234:CX$234)-SUM($F$228:CX$228)-SUM($F$236:CX$236)-($D$170-MAX($F$170:CX170)+$D$174-CX174))*$C225,SUM($G$260:CY$260)-SUM($F226:CX226)),MIN((CY$222)*$C225,SUM($G$260:CY$260)-SUM($F226:CX226)))</f>
        <v/>
      </c>
      <c r="CZ226" s="273">
        <f>IF(MAX($G$170:CZ170)+CZ174&lt;$D$170+$D$174,MIN(MAX(0,SUM($G$222:CZ$222)-SUM($F$226:CY$226)-SUM($F$234:CY$234)-SUM($F$228:CY$228)-SUM($F$236:CY$236)-($D$170-MAX($F$170:CY170)+$D$174-CY174))*$C225,SUM($G$260:CZ$260)-SUM($F226:CY226)),MIN((CZ$222)*$C225,SUM($G$260:CZ$260)-SUM($F226:CY226)))</f>
        <v/>
      </c>
      <c r="DA226" s="273">
        <f>IF(MAX($G$170:DA170)+DA174&lt;$D$170+$D$174,MIN(MAX(0,SUM($G$222:DA$222)-SUM($F$226:CZ$226)-SUM($F$234:CZ$234)-SUM($F$228:CZ$228)-SUM($F$236:CZ$236)-($D$170-MAX($F$170:CZ170)+$D$174-CZ174))*$C225,SUM($G$260:DA$260)-SUM($F226:CZ226)),MIN((DA$222)*$C225,SUM($G$260:DA$260)-SUM($F226:CZ226)))</f>
        <v/>
      </c>
      <c r="DB226" s="273">
        <f>IF(MAX($G$170:DB170)+DB174&lt;$D$170+$D$174,MIN(MAX(0,SUM($G$222:DB$222)-SUM($F$226:DA$226)-SUM($F$234:DA$234)-SUM($F$228:DA$228)-SUM($F$236:DA$236)-($D$170-MAX($F$170:DA170)+$D$174-DA174))*$C225,SUM($G$260:DB$260)-SUM($F226:DA226)),MIN((DB$222)*$C225,SUM($G$260:DB$260)-SUM($F226:DA226)))</f>
        <v/>
      </c>
      <c r="DC226" s="273" t="n"/>
      <c r="DD226" s="295">
        <f>SUM(F226:DB226)</f>
        <v/>
      </c>
    </row>
    <row r="227" ht="14.1" customFormat="1" customHeight="1" s="302">
      <c r="A227" s="15" t="inlineStr">
        <is>
          <t>Equity Repayment Available</t>
        </is>
      </c>
      <c r="B227" s="15" t="n"/>
      <c r="C227" s="336" t="n"/>
      <c r="D227" s="298">
        <f>DD227</f>
        <v/>
      </c>
      <c r="E227" s="300" t="n"/>
      <c r="F227" s="301">
        <f>MIN(-$D225-SUM($E227:E227),(F$222-F$226-F$234)*$C225)</f>
        <v/>
      </c>
      <c r="G227" s="301">
        <f>MIN(-$D225-SUM($E227:F227),(G$222-G$226-G$234)*$C225)</f>
        <v/>
      </c>
      <c r="H227" s="301">
        <f>MIN(-$D225-SUM($E227:G227),(H$222-H$226-H$234)*$C225)</f>
        <v/>
      </c>
      <c r="I227" s="301">
        <f>MIN(-$D225-SUM($E227:H227),(I$222-I$226-I$234)*$C225)</f>
        <v/>
      </c>
      <c r="J227" s="301">
        <f>MIN(-$D225-SUM($E227:I227),(J$222-J$226-J$234)*$C225)</f>
        <v/>
      </c>
      <c r="K227" s="301">
        <f>MIN(-$D225-SUM($E227:J227),(K$222-K$226-K$234)*$C225)</f>
        <v/>
      </c>
      <c r="L227" s="301">
        <f>MIN(-$D225-SUM($E227:K227),(L$222-L$226-L$234)*$C225)</f>
        <v/>
      </c>
      <c r="M227" s="301">
        <f>MIN(-$D225-SUM($E227:L227),(M$222-M$226-M$234)*$C225)</f>
        <v/>
      </c>
      <c r="N227" s="301">
        <f>MIN(-$D225-SUM($E227:M227),(N$222-N$226-N$234)*$C225)</f>
        <v/>
      </c>
      <c r="O227" s="301">
        <f>MIN(-$D225-SUM($E227:N227),(O$222-O$226-O$234)*$C225)</f>
        <v/>
      </c>
      <c r="P227" s="301">
        <f>MIN(-$D225-SUM($E227:O227),(P$222-P$226-P$234)*$C225)</f>
        <v/>
      </c>
      <c r="Q227" s="301">
        <f>MIN(-$D225-SUM($E227:P227),(Q$222-Q$226-Q$234)*$C225)</f>
        <v/>
      </c>
      <c r="R227" s="301">
        <f>MIN(-$D225-SUM($E227:Q227),(R$222-R$226-R$234)*$C225)</f>
        <v/>
      </c>
      <c r="S227" s="301">
        <f>MIN(-$D225-SUM($E227:R227),(S$222-S$226-S$234)*$C225)</f>
        <v/>
      </c>
      <c r="T227" s="301">
        <f>MIN(-$D225-SUM($E227:S227),(T$222-T$226-T$234)*$C225)</f>
        <v/>
      </c>
      <c r="U227" s="301">
        <f>MIN(-$D225-SUM($E227:T227),(U$222-U$226-U$234)*$C225)</f>
        <v/>
      </c>
      <c r="V227" s="301">
        <f>MIN(-$D225-SUM($E227:U227),(V$222-V$226-V$234)*$C225)</f>
        <v/>
      </c>
      <c r="W227" s="301">
        <f>MIN(-$D225-SUM($E227:V227),(W$222-W$226-W$234)*$C225)</f>
        <v/>
      </c>
      <c r="X227" s="301">
        <f>MIN(-$D225-SUM($E227:W227),(X$222-X$226-X$234)*$C225)</f>
        <v/>
      </c>
      <c r="Y227" s="301">
        <f>MIN(-$D225-SUM($E227:X227),(Y$222-Y$226-Y$234)*$C225)</f>
        <v/>
      </c>
      <c r="Z227" s="301">
        <f>MIN(-$D225-SUM($E227:Y227),(Z$222-Z$226-Z$234)*$C225)</f>
        <v/>
      </c>
      <c r="AA227" s="301">
        <f>MIN(-$D225-SUM($E227:Z227),(AA$222-AA$226-AA$234)*$C225)</f>
        <v/>
      </c>
      <c r="AB227" s="301">
        <f>MIN(-$D225-SUM($E227:AA227),(AB$222-AB$226-AB$234)*$C225)</f>
        <v/>
      </c>
      <c r="AC227" s="301">
        <f>MIN(-$D225-SUM($E227:AB227),(AC$222-AC$226-AC$234)*$C225)</f>
        <v/>
      </c>
      <c r="AD227" s="301">
        <f>MIN(-$D225-SUM($E227:AC227),(AD$222-AD$226-AD$234)*$C225)</f>
        <v/>
      </c>
      <c r="AE227" s="301">
        <f>MIN(-$D225-SUM($E227:AD227),(AE$222-AE$226-AE$234)*$C225)</f>
        <v/>
      </c>
      <c r="AF227" s="301">
        <f>MIN(-$D225-SUM($E227:AE227),(AF$222-AF$226-AF$234)*$C225)</f>
        <v/>
      </c>
      <c r="AG227" s="301">
        <f>MIN(-$D225-SUM($E227:AF227),(AG$222-AG$226-AG$234)*$C225)</f>
        <v/>
      </c>
      <c r="AH227" s="301">
        <f>MIN(-$D225-SUM($E227:AG227),(AH$222-AH$226-AH$234)*$C225)</f>
        <v/>
      </c>
      <c r="AI227" s="301">
        <f>MIN(-$D225-SUM($E227:AH227),(AI$222-AI$226-AI$234)*$C225)</f>
        <v/>
      </c>
      <c r="AJ227" s="301">
        <f>MIN(-$D225-SUM($E227:AI227),(AJ$222-AJ$226-AJ$234)*$C225)</f>
        <v/>
      </c>
      <c r="AK227" s="301">
        <f>MIN(-$D225-SUM($E227:AJ227),(AK$222-AK$226-AK$234)*$C225)</f>
        <v/>
      </c>
      <c r="AL227" s="301">
        <f>MIN(-$D225-SUM($E227:AK227),(AL$222-AL$226-AL$234)*$C225)</f>
        <v/>
      </c>
      <c r="AM227" s="301">
        <f>MIN(-$D225-SUM($E227:AL227),(AM$222-AM$226-AM$234)*$C225)</f>
        <v/>
      </c>
      <c r="AN227" s="301">
        <f>MIN(-$D225-SUM($E227:AM227),(AN$222-AN$226-AN$234)*$C225)</f>
        <v/>
      </c>
      <c r="AO227" s="301">
        <f>MIN(-$D225-SUM($E227:AN227),(AO$222-AO$226-AO$234)*$C225)</f>
        <v/>
      </c>
      <c r="AP227" s="301">
        <f>MIN(-$D225-SUM($E227:AO227),(AP$222-AP$226-AP$234)*$C225)</f>
        <v/>
      </c>
      <c r="AQ227" s="301">
        <f>MIN(-$D225-SUM($E227:AP227),(AQ$222-AQ$226-AQ$234)*$C225)</f>
        <v/>
      </c>
      <c r="AR227" s="301">
        <f>MIN(-$D225-SUM($E227:AQ227),(AR$222-AR$226-AR$234)*$C225)</f>
        <v/>
      </c>
      <c r="AS227" s="301">
        <f>MIN(-$D225-SUM($E227:AR227),(AS$222-AS$226-AS$234)*$C225)</f>
        <v/>
      </c>
      <c r="AT227" s="301">
        <f>MIN(-$D225-SUM($E227:AS227),(AT$222-AT$226-AT$234)*$C225)</f>
        <v/>
      </c>
      <c r="AU227" s="301">
        <f>MIN(-$D225-SUM($E227:AT227),(AU$222-AU$226-AU$234)*$C225)</f>
        <v/>
      </c>
      <c r="AV227" s="301">
        <f>MIN(-$D225-SUM($E227:AU227),(AV$222-AV$226-AV$234)*$C225)</f>
        <v/>
      </c>
      <c r="AW227" s="301">
        <f>MIN(-$D225-SUM($E227:AV227),(AW$222-AW$226-AW$234)*$C225)</f>
        <v/>
      </c>
      <c r="AX227" s="301">
        <f>MIN(-$D225-SUM($E227:AW227),(AX$222-AX$226-AX$234)*$C225)</f>
        <v/>
      </c>
      <c r="AY227" s="301">
        <f>MIN(-$D225-SUM($E227:AX227),(AY$222-AY$226-AY$234)*$C225)</f>
        <v/>
      </c>
      <c r="AZ227" s="301">
        <f>MIN(-$D225-SUM($E227:AY227),(AZ$222-AZ$226-AZ$234)*$C225)</f>
        <v/>
      </c>
      <c r="BA227" s="301">
        <f>MIN(-$D225-SUM($E227:AZ227),(BA$222-BA$226-BA$234)*$C225)</f>
        <v/>
      </c>
      <c r="BB227" s="301">
        <f>MIN(-$D225-SUM($E227:BA227),(BB$222-BB$226-BB$234)*$C225)</f>
        <v/>
      </c>
      <c r="BC227" s="301">
        <f>MIN(-$D225-SUM($E227:BB227),(BC$222-BC$226-BC$234)*$C225)</f>
        <v/>
      </c>
      <c r="BD227" s="301">
        <f>MIN(-$D225-SUM($E227:BC227),(BD$222-BD$226-BD$234)*$C225)</f>
        <v/>
      </c>
      <c r="BE227" s="301">
        <f>MIN(-$D225-SUM($E227:BD227),(BE$222-BE$226-BE$234)*$C225)</f>
        <v/>
      </c>
      <c r="BF227" s="301">
        <f>MIN(-$D225-SUM($E227:BE227),(BF$222-BF$226-BF$234)*$C225)</f>
        <v/>
      </c>
      <c r="BG227" s="301">
        <f>MIN(-$D225-SUM($E227:BF227),(BG$222-BG$226-BG$234)*$C225)</f>
        <v/>
      </c>
      <c r="BH227" s="301">
        <f>MIN(-$D225-SUM($E227:BG227),(BH$222-BH$226-BH$234)*$C225)</f>
        <v/>
      </c>
      <c r="BI227" s="301">
        <f>MIN(-$D225-SUM($E227:BH227),(BI$222-BI$226-BI$234)*$C225)</f>
        <v/>
      </c>
      <c r="BJ227" s="301">
        <f>MIN(-$D225-SUM($E227:BI227),(BJ$222-BJ$226-BJ$234)*$C225)</f>
        <v/>
      </c>
      <c r="BK227" s="301">
        <f>MIN(-$D225-SUM($E227:BJ227),(BK$222-BK$226-BK$234)*$C225)</f>
        <v/>
      </c>
      <c r="BL227" s="301">
        <f>MIN(-$D225-SUM($E227:BK227),(BL$222-BL$226-BL$234)*$C225)</f>
        <v/>
      </c>
      <c r="BM227" s="301">
        <f>MIN(-$D225-SUM($E227:BL227),(BM$222-BM$226-BM$234)*$C225)</f>
        <v/>
      </c>
      <c r="BN227" s="301">
        <f>MIN(-$D225-SUM($E227:BM227),(BN$222-BN$226-BN$234)*$C225)</f>
        <v/>
      </c>
      <c r="BO227" s="301">
        <f>MIN(-$D225-SUM($E227:BN227),(BO$222-BO$226-BO$234)*$C225)</f>
        <v/>
      </c>
      <c r="BP227" s="301">
        <f>MIN(-$D225-SUM($E227:BO227),(BP$222-BP$226-BP$234)*$C225)</f>
        <v/>
      </c>
      <c r="BQ227" s="301">
        <f>MIN(-$D225-SUM($E227:BP227),(BQ$222-BQ$226-BQ$234)*$C225)</f>
        <v/>
      </c>
      <c r="BR227" s="301">
        <f>MIN(-$D225-SUM($E227:BQ227),(BR$222-BR$226-BR$234)*$C225)</f>
        <v/>
      </c>
      <c r="BS227" s="301">
        <f>MIN(-$D225-SUM($E227:BR227),(BS$222-BS$226-BS$234)*$C225)</f>
        <v/>
      </c>
      <c r="BT227" s="301">
        <f>MIN(-$D225-SUM($E227:BS227),(BT$222-BT$226-BT$234)*$C225)</f>
        <v/>
      </c>
      <c r="BU227" s="301">
        <f>MIN(-$D225-SUM($E227:BT227),(BU$222-BU$226-BU$234)*$C225)</f>
        <v/>
      </c>
      <c r="BV227" s="301">
        <f>MIN(-$D225-SUM($E227:BU227),(BV$222-BV$226-BV$234)*$C225)</f>
        <v/>
      </c>
      <c r="BW227" s="301">
        <f>MIN(-$D225-SUM($E227:BV227),(BW$222-BW$226-BW$234)*$C225)</f>
        <v/>
      </c>
      <c r="BX227" s="301">
        <f>MIN(-$D225-SUM($E227:BW227),(BX$222-BX$226-BX$234)*$C225)</f>
        <v/>
      </c>
      <c r="BY227" s="301">
        <f>MIN(-$D225-SUM($E227:BX227),(BY$222-BY$226-BY$234)*$C225)</f>
        <v/>
      </c>
      <c r="BZ227" s="301">
        <f>MIN(-$D225-SUM($E227:BY227),(BZ$222-BZ$226-BZ$234)*$C225)</f>
        <v/>
      </c>
      <c r="CA227" s="301">
        <f>MIN(-$D225-SUM($E227:BZ227),(CA$222-CA$226-CA$234)*$C225)</f>
        <v/>
      </c>
      <c r="CB227" s="301">
        <f>MIN(-$D225-SUM($E227:CA227),(CB$222-CB$226-CB$234)*$C225)</f>
        <v/>
      </c>
      <c r="CC227" s="301">
        <f>MIN(-$D225-SUM($E227:CB227),(CC$222-CC$226-CC$234)*$C225)</f>
        <v/>
      </c>
      <c r="CD227" s="301">
        <f>MIN(-$D225-SUM($E227:CC227),(CD$222-CD$226-CD$234)*$C225)</f>
        <v/>
      </c>
      <c r="CE227" s="301">
        <f>MIN(-$D225-SUM($E227:CD227),(CE$222-CE$226-CE$234)*$C225)</f>
        <v/>
      </c>
      <c r="CF227" s="301">
        <f>MIN(-$D225-SUM($E227:CE227),(CF$222-CF$226-CF$234)*$C225)</f>
        <v/>
      </c>
      <c r="CG227" s="301">
        <f>MIN(-$D225-SUM($E227:CF227),(CG$222-CG$226-CG$234)*$C225)</f>
        <v/>
      </c>
      <c r="CH227" s="301">
        <f>MIN(-$D225-SUM($E227:CG227),(CH$222-CH$226-CH$234)*$C225)</f>
        <v/>
      </c>
      <c r="CI227" s="301">
        <f>MIN(-$D225-SUM($E227:CH227),(CI$222-CI$226-CI$234)*$C225)</f>
        <v/>
      </c>
      <c r="CJ227" s="301">
        <f>MIN(-$D225-SUM($E227:CI227),(CJ$222-CJ$226-CJ$234)*$C225)</f>
        <v/>
      </c>
      <c r="CK227" s="301">
        <f>MIN(-$D225-SUM($E227:CJ227),(CK$222-CK$226-CK$234)*$C225)</f>
        <v/>
      </c>
      <c r="CL227" s="301">
        <f>MIN(-$D225-SUM($E227:CK227),(CL$222-CL$226-CL$234)*$C225)</f>
        <v/>
      </c>
      <c r="CM227" s="301">
        <f>MIN(-$D225-SUM($E227:CL227),(CM$222-CM$226-CM$234)*$C225)</f>
        <v/>
      </c>
      <c r="CN227" s="301">
        <f>MIN(-$D225-SUM($E227:CM227),(CN$222-CN$226-CN$234)*$C225)</f>
        <v/>
      </c>
      <c r="CO227" s="301">
        <f>MIN(-$D225-SUM($E227:CN227),(CO$222-CO$226-CO$234)*$C225)</f>
        <v/>
      </c>
      <c r="CP227" s="301">
        <f>MIN(-$D225-SUM($E227:CO227),(CP$222-CP$226-CP$234)*$C225)</f>
        <v/>
      </c>
      <c r="CQ227" s="301">
        <f>MIN(-$D225-SUM($E227:CP227),(CQ$222-CQ$226-CQ$234)*$C225)</f>
        <v/>
      </c>
      <c r="CR227" s="301">
        <f>MIN(-$D225-SUM($E227:CQ227),(CR$222-CR$226-CR$234)*$C225)</f>
        <v/>
      </c>
      <c r="CS227" s="301">
        <f>MIN(-$D225-SUM($E227:CR227),(CS$222-CS$226-CS$234)*$C225)</f>
        <v/>
      </c>
      <c r="CT227" s="301">
        <f>MIN(-$D225-SUM($E227:CS227),(CT$222-CT$226-CT$234)*$C225)</f>
        <v/>
      </c>
      <c r="CU227" s="301">
        <f>MIN(-$D225-SUM($E227:CT227),(CU$222-CU$226-CU$234)*$C225)</f>
        <v/>
      </c>
      <c r="CV227" s="301">
        <f>MIN(-$D225-SUM($E227:CU227),(CV$222-CV$226-CV$234)*$C225)</f>
        <v/>
      </c>
      <c r="CW227" s="301">
        <f>MIN(-$D225-SUM($E227:CV227),(CW$222-CW$226-CW$234)*$C225)</f>
        <v/>
      </c>
      <c r="CX227" s="301">
        <f>MIN(-$D225-SUM($E227:CW227),(CX$222-CX$226-CX$234)*$C225)</f>
        <v/>
      </c>
      <c r="CY227" s="301">
        <f>MIN(-$D225-SUM($E227:CX227),(CY$222-CY$226-CY$234)*$C225)</f>
        <v/>
      </c>
      <c r="CZ227" s="301">
        <f>MIN(-$D225-SUM($E227:CY227),(CZ$222-CZ$226-CZ$234)*$C225)</f>
        <v/>
      </c>
      <c r="DA227" s="301">
        <f>MIN(-$D225-SUM($E227:CZ227),(DA$222-DA$226-DA$234)*$C225)</f>
        <v/>
      </c>
      <c r="DB227" s="301">
        <f>MIN(-$D225-SUM($E227:DA227),(DB$222-DB$226-DB$234)*$C225)</f>
        <v/>
      </c>
      <c r="DC227" s="301" t="n"/>
      <c r="DD227" s="299">
        <f>SUM(F227:DB227)</f>
        <v/>
      </c>
    </row>
    <row r="228">
      <c r="A228" s="9" t="inlineStr">
        <is>
          <t>Equity Repayment Applied</t>
        </is>
      </c>
      <c r="B228" s="9" t="n"/>
      <c r="C228" s="342" t="n"/>
      <c r="D228" s="294">
        <f>DD228</f>
        <v/>
      </c>
      <c r="E228" s="274" t="n"/>
      <c r="F228" s="273">
        <f>MIN(SUM($F227:F227)-SUM($E228:E228),MIN(-SUM($F225:F225),MAX(SUM($F227:F227)-SUM($E228:E228)+SUM(G225:$DB225),-F225,0)))</f>
        <v/>
      </c>
      <c r="G228" s="273">
        <f>MIN(SUM($F227:G227)-SUM($E228:F228),MIN(-SUM($F225:G225),MAX(SUM($F227:G227)-SUM($E228:F228)+SUM(H225:$DB225),-G225,0)))</f>
        <v/>
      </c>
      <c r="H228" s="273">
        <f>MIN(SUM($F227:H227)-SUM($E228:G228),MIN(-SUM($F225:H225),MAX(SUM($F227:H227)-SUM($E228:G228)+SUM(I225:$DB225),-H225,0)))</f>
        <v/>
      </c>
      <c r="I228" s="273">
        <f>MIN(SUM($F227:I227)-SUM($E228:H228),MIN(-SUM($F225:I225),MAX(SUM($F227:I227)-SUM($E228:H228)+SUM(J225:$DB225),-I225,0)))</f>
        <v/>
      </c>
      <c r="J228" s="273">
        <f>MIN(SUM($F227:J227)-SUM($E228:I228),MIN(-SUM($F225:J225),MAX(SUM($F227:J227)-SUM($E228:I228)+SUM(K225:$DB225),-J225,0)))</f>
        <v/>
      </c>
      <c r="K228" s="273">
        <f>MIN(SUM($F227:K227)-SUM($E228:J228),MIN(-SUM($F225:K225),MAX(SUM($F227:K227)-SUM($E228:J228)+SUM(L225:$DB225),-K225,0)))</f>
        <v/>
      </c>
      <c r="L228" s="273">
        <f>MIN(SUM($F227:L227)-SUM($E228:K228),MIN(-SUM($F225:L225),MAX(SUM($F227:L227)-SUM($E228:K228)+SUM(M225:$DB225),-L225,0)))</f>
        <v/>
      </c>
      <c r="M228" s="273">
        <f>MIN(SUM($F227:M227)-SUM($E228:L228),MIN(-SUM($F225:M225),MAX(SUM($F227:M227)-SUM($E228:L228)+SUM(N225:$DB225),-M225,0)))</f>
        <v/>
      </c>
      <c r="N228" s="273">
        <f>MIN(SUM($F227:N227)-SUM($E228:M228),MIN(-SUM($F225:N225),MAX(SUM($F227:N227)-SUM($E228:M228)+SUM(O225:$DB225),-N225,0)))</f>
        <v/>
      </c>
      <c r="O228" s="273">
        <f>MIN(SUM($F227:O227)-SUM($E228:N228),MIN(-SUM($F225:O225),MAX(SUM($F227:O227)-SUM($E228:N228)+SUM(P225:$DB225),-O225,0)))</f>
        <v/>
      </c>
      <c r="P228" s="273">
        <f>MIN(SUM($F227:P227)-SUM($E228:O228),MIN(-SUM($F225:P225),MAX(SUM($F227:P227)-SUM($E228:O228)+SUM(Q225:$DB225),-P225,0)))</f>
        <v/>
      </c>
      <c r="Q228" s="273">
        <f>MIN(SUM($F227:Q227)-SUM($E228:P228),MIN(-SUM($F225:Q225),MAX(SUM($F227:Q227)-SUM($E228:P228)+SUM(R225:$DB225),-Q225,0)))</f>
        <v/>
      </c>
      <c r="R228" s="273">
        <f>MIN(SUM($F227:R227)-SUM($E228:Q228),MIN(-SUM($F225:R225),MAX(SUM($F227:R227)-SUM($E228:Q228)+SUM(S225:$DB225),-R225,0)))</f>
        <v/>
      </c>
      <c r="S228" s="273">
        <f>MIN(SUM($F227:S227)-SUM($E228:R228),MIN(-SUM($F225:S225),MAX(SUM($F227:S227)-SUM($E228:R228)+SUM(T225:$DB225),-S225,0)))</f>
        <v/>
      </c>
      <c r="T228" s="273">
        <f>MIN(SUM($F227:T227)-SUM($E228:S228),MIN(-SUM($F225:T225),MAX(SUM($F227:T227)-SUM($E228:S228)+SUM(U225:$DB225),-T225,0)))</f>
        <v/>
      </c>
      <c r="U228" s="273">
        <f>MIN(SUM($F227:U227)-SUM($E228:T228),MIN(-SUM($F225:U225),MAX(SUM($F227:U227)-SUM($E228:T228)+SUM(V225:$DB225),-U225,0)))</f>
        <v/>
      </c>
      <c r="V228" s="273">
        <f>MIN(SUM($F227:V227)-SUM($E228:U228),MIN(-SUM($F225:V225),MAX(SUM($F227:V227)-SUM($E228:U228)+SUM(W225:$DB225),-V225,0)))</f>
        <v/>
      </c>
      <c r="W228" s="273">
        <f>MIN(SUM($F227:W227)-SUM($E228:V228),MIN(-SUM($F225:W225),MAX(SUM($F227:W227)-SUM($E228:V228)+SUM(X225:$DB225),-W225,0)))</f>
        <v/>
      </c>
      <c r="X228" s="273">
        <f>MIN(SUM($F227:X227)-SUM($E228:W228),MIN(-SUM($F225:X225),MAX(SUM($F227:X227)-SUM($E228:W228)+SUM(Y225:$DB225),-X225,0)))</f>
        <v/>
      </c>
      <c r="Y228" s="273">
        <f>MIN(SUM($F227:Y227)-SUM($E228:X228),MIN(-SUM($F225:Y225),MAX(SUM($F227:Y227)-SUM($E228:X228)+SUM(Z225:$DB225),-Y225,0)))</f>
        <v/>
      </c>
      <c r="Z228" s="273">
        <f>MIN(SUM($F227:Z227)-SUM($E228:Y228),MIN(-SUM($F225:Z225),MAX(SUM($F227:Z227)-SUM($E228:Y228)+SUM(AA225:$DB225),-Z225,0)))</f>
        <v/>
      </c>
      <c r="AA228" s="273">
        <f>MIN(SUM($F227:AA227)-SUM($E228:Z228),MIN(-SUM($F225:AA225),MAX(SUM($F227:AA227)-SUM($E228:Z228)+SUM(AB225:$DB225),-AA225,0)))</f>
        <v/>
      </c>
      <c r="AB228" s="273">
        <f>MIN(SUM($F227:AB227)-SUM($E228:AA228),MIN(-SUM($F225:AB225),MAX(SUM($F227:AB227)-SUM($E228:AA228)+SUM(AC225:$DB225),-AB225,0)))</f>
        <v/>
      </c>
      <c r="AC228" s="273">
        <f>MIN(SUM($F227:AC227)-SUM($E228:AB228),MIN(-SUM($F225:AC225),MAX(SUM($F227:AC227)-SUM($E228:AB228)+SUM(AD225:$DB225),-AC225,0)))</f>
        <v/>
      </c>
      <c r="AD228" s="273">
        <f>MIN(SUM($F227:AD227)-SUM($E228:AC228),MIN(-SUM($F225:AD225),MAX(SUM($F227:AD227)-SUM($E228:AC228)+SUM(AE225:$DB225),-AD225,0)))</f>
        <v/>
      </c>
      <c r="AE228" s="273">
        <f>MIN(SUM($F227:AE227)-SUM($E228:AD228),MIN(-SUM($F225:AE225),MAX(SUM($F227:AE227)-SUM($E228:AD228)+SUM(AF225:$DB225),-AE225,0)))</f>
        <v/>
      </c>
      <c r="AF228" s="273">
        <f>MIN(SUM($F227:AF227)-SUM($E228:AE228),MIN(-SUM($F225:AF225),MAX(SUM($F227:AF227)-SUM($E228:AE228)+SUM(AG225:$DB225),-AF225,0)))</f>
        <v/>
      </c>
      <c r="AG228" s="273">
        <f>MIN(SUM($F227:AG227)-SUM($E228:AF228),MIN(-SUM($F225:AG225),MAX(SUM($F227:AG227)-SUM($E228:AF228)+SUM(AH225:$DB225),-AG225,0)))</f>
        <v/>
      </c>
      <c r="AH228" s="273">
        <f>MIN(SUM($F227:AH227)-SUM($E228:AG228),MIN(-SUM($F225:AH225),MAX(SUM($F227:AH227)-SUM($E228:AG228)+SUM(AI225:$DB225),-AH225,0)))</f>
        <v/>
      </c>
      <c r="AI228" s="273">
        <f>MIN(SUM($F227:AI227)-SUM($E228:AH228),MIN(-SUM($F225:AI225),MAX(SUM($F227:AI227)-SUM($E228:AH228)+SUM(AJ225:$DB225),-AI225,0)))</f>
        <v/>
      </c>
      <c r="AJ228" s="273">
        <f>MIN(SUM($F227:AJ227)-SUM($E228:AI228),MIN(-SUM($F225:AJ225),MAX(SUM($F227:AJ227)-SUM($E228:AI228)+SUM(AK225:$DB225),-AJ225,0)))</f>
        <v/>
      </c>
      <c r="AK228" s="273">
        <f>MIN(SUM($F227:AK227)-SUM($E228:AJ228),MIN(-SUM($F225:AK225),MAX(SUM($F227:AK227)-SUM($E228:AJ228)+SUM(AL225:$DB225),-AK225,0)))</f>
        <v/>
      </c>
      <c r="AL228" s="273">
        <f>MIN(SUM($F227:AL227)-SUM($E228:AK228),MIN(-SUM($F225:AL225),MAX(SUM($F227:AL227)-SUM($E228:AK228)+SUM(AM225:$DB225),-AL225,0)))</f>
        <v/>
      </c>
      <c r="AM228" s="273">
        <f>MIN(SUM($F227:AM227)-SUM($E228:AL228),MIN(-SUM($F225:AM225),MAX(SUM($F227:AM227)-SUM($E228:AL228)+SUM(AN225:$DB225),-AM225,0)))</f>
        <v/>
      </c>
      <c r="AN228" s="273">
        <f>MIN(SUM($F227:AN227)-SUM($E228:AM228),MIN(-SUM($F225:AN225),MAX(SUM($F227:AN227)-SUM($E228:AM228)+SUM(AO225:$DB225),-AN225,0)))</f>
        <v/>
      </c>
      <c r="AO228" s="273">
        <f>MIN(SUM($F227:AO227)-SUM($E228:AN228),MIN(-SUM($F225:AO225),MAX(SUM($F227:AO227)-SUM($E228:AN228)+SUM(AP225:$DB225),-AO225,0)))</f>
        <v/>
      </c>
      <c r="AP228" s="273">
        <f>MIN(SUM($F227:AP227)-SUM($E228:AO228),MIN(-SUM($F225:AP225),MAX(SUM($F227:AP227)-SUM($E228:AO228)+SUM(AQ225:$DB225),-AP225,0)))</f>
        <v/>
      </c>
      <c r="AQ228" s="273">
        <f>MIN(SUM($F227:AQ227)-SUM($E228:AP228),MIN(-SUM($F225:AQ225),MAX(SUM($F227:AQ227)-SUM($E228:AP228)+SUM(AR225:$DB225),-AQ225,0)))</f>
        <v/>
      </c>
      <c r="AR228" s="273">
        <f>MIN(SUM($F227:AR227)-SUM($E228:AQ228),MIN(-SUM($F225:AR225),MAX(SUM($F227:AR227)-SUM($E228:AQ228)+SUM(AS225:$DB225),-AR225,0)))</f>
        <v/>
      </c>
      <c r="AS228" s="273">
        <f>MIN(SUM($F227:AS227)-SUM($E228:AR228),MIN(-SUM($F225:AS225),MAX(SUM($F227:AS227)-SUM($E228:AR228)+SUM(AT225:$DB225),-AS225,0)))</f>
        <v/>
      </c>
      <c r="AT228" s="273">
        <f>MIN(SUM($F227:AT227)-SUM($E228:AS228),MIN(-SUM($F225:AT225),MAX(SUM($F227:AT227)-SUM($E228:AS228)+SUM(AU225:$DB225),-AT225,0)))</f>
        <v/>
      </c>
      <c r="AU228" s="273">
        <f>MIN(SUM($F227:AU227)-SUM($E228:AT228),MIN(-SUM($F225:AU225),MAX(SUM($F227:AU227)-SUM($E228:AT228)+SUM(AV225:$DB225),-AU225,0)))</f>
        <v/>
      </c>
      <c r="AV228" s="273">
        <f>MIN(SUM($F227:AV227)-SUM($E228:AU228),MIN(-SUM($F225:AV225),MAX(SUM($F227:AV227)-SUM($E228:AU228)+SUM(AW225:$DB225),-AV225,0)))</f>
        <v/>
      </c>
      <c r="AW228" s="273">
        <f>MIN(SUM($F227:AW227)-SUM($E228:AV228),MIN(-SUM($F225:AW225),MAX(SUM($F227:AW227)-SUM($E228:AV228)+SUM(AX225:$DB225),-AW225,0)))</f>
        <v/>
      </c>
      <c r="AX228" s="273">
        <f>MIN(SUM($F227:AX227)-SUM($E228:AW228),MIN(-SUM($F225:AX225),MAX(SUM($F227:AX227)-SUM($E228:AW228)+SUM(AY225:$DB225),-AX225,0)))</f>
        <v/>
      </c>
      <c r="AY228" s="273">
        <f>MIN(SUM($F227:AY227)-SUM($E228:AX228),MIN(-SUM($F225:AY225),MAX(SUM($F227:AY227)-SUM($E228:AX228)+SUM(AZ225:$DB225),-AY225,0)))</f>
        <v/>
      </c>
      <c r="AZ228" s="273">
        <f>MIN(SUM($F227:AZ227)-SUM($E228:AY228),MIN(-SUM($F225:AZ225),MAX(SUM($F227:AZ227)-SUM($E228:AY228)+SUM(BA225:$DB225),-AZ225,0)))</f>
        <v/>
      </c>
      <c r="BA228" s="273">
        <f>MIN(SUM($F227:BA227)-SUM($E228:AZ228),MIN(-SUM($F225:BA225),MAX(SUM($F227:BA227)-SUM($E228:AZ228)+SUM(BB225:$DB225),-BA225,0)))</f>
        <v/>
      </c>
      <c r="BB228" s="273">
        <f>MIN(SUM($F227:BB227)-SUM($E228:BA228),MIN(-SUM($F225:BB225),MAX(SUM($F227:BB227)-SUM($E228:BA228)+SUM(BC225:$DB225),-BB225,0)))</f>
        <v/>
      </c>
      <c r="BC228" s="273">
        <f>MIN(SUM($F227:BC227)-SUM($E228:BB228),MIN(-SUM($F225:BC225),MAX(SUM($F227:BC227)-SUM($E228:BB228)+SUM(BD225:$DB225),-BC225,0)))</f>
        <v/>
      </c>
      <c r="BD228" s="273">
        <f>MIN(SUM($F227:BD227)-SUM($E228:BC228),MIN(-SUM($F225:BD225),MAX(SUM($F227:BD227)-SUM($E228:BC228)+SUM(BE225:$DB225),-BD225,0)))</f>
        <v/>
      </c>
      <c r="BE228" s="273">
        <f>MIN(SUM($F227:BE227)-SUM($E228:BD228),MIN(-SUM($F225:BE225),MAX(SUM($F227:BE227)-SUM($E228:BD228)+SUM(BF225:$DB225),-BE225,0)))</f>
        <v/>
      </c>
      <c r="BF228" s="273">
        <f>MIN(SUM($F227:BF227)-SUM($E228:BE228),MIN(-SUM($F225:BF225),MAX(SUM($F227:BF227)-SUM($E228:BE228)+SUM(BG225:$DB225),-BF225,0)))</f>
        <v/>
      </c>
      <c r="BG228" s="273">
        <f>MIN(SUM($F227:BG227)-SUM($E228:BF228),MIN(-SUM($F225:BG225),MAX(SUM($F227:BG227)-SUM($E228:BF228)+SUM(BH225:$DB225),-BG225,0)))</f>
        <v/>
      </c>
      <c r="BH228" s="273">
        <f>MIN(SUM($F227:BH227)-SUM($E228:BG228),MIN(-SUM($F225:BH225),MAX(SUM($F227:BH227)-SUM($E228:BG228)+SUM(BI225:$DB225),-BH225,0)))</f>
        <v/>
      </c>
      <c r="BI228" s="273">
        <f>MIN(SUM($F227:BI227)-SUM($E228:BH228),MIN(-SUM($F225:BI225),MAX(SUM($F227:BI227)-SUM($E228:BH228)+SUM(BJ225:$DB225),-BI225,0)))</f>
        <v/>
      </c>
      <c r="BJ228" s="273">
        <f>MIN(SUM($F227:BJ227)-SUM($E228:BI228),MIN(-SUM($F225:BJ225),MAX(SUM($F227:BJ227)-SUM($E228:BI228)+SUM(BK225:$DB225),-BJ225,0)))</f>
        <v/>
      </c>
      <c r="BK228" s="273">
        <f>MIN(SUM($F227:BK227)-SUM($E228:BJ228),MIN(-SUM($F225:BK225),MAX(SUM($F227:BK227)-SUM($E228:BJ228)+SUM(BL225:$DB225),-BK225,0)))</f>
        <v/>
      </c>
      <c r="BL228" s="273">
        <f>MIN(SUM($F227:BL227)-SUM($E228:BK228),MIN(-SUM($F225:BL225),MAX(SUM($F227:BL227)-SUM($E228:BK228)+SUM(BM225:$DB225),-BL225,0)))</f>
        <v/>
      </c>
      <c r="BM228" s="273">
        <f>MIN(SUM($F227:BM227)-SUM($E228:BL228),MIN(-SUM($F225:BM225),MAX(SUM($F227:BM227)-SUM($E228:BL228)+SUM(BN225:$DB225),-BM225,0)))</f>
        <v/>
      </c>
      <c r="BN228" s="273">
        <f>MIN(SUM($F227:BN227)-SUM($E228:BM228),MIN(-SUM($F225:BN225),MAX(SUM($F227:BN227)-SUM($E228:BM228)+SUM(BO225:$DB225),-BN225,0)))</f>
        <v/>
      </c>
      <c r="BO228" s="273">
        <f>MIN(SUM($F227:BO227)-SUM($E228:BN228),MIN(-SUM($F225:BO225),MAX(SUM($F227:BO227)-SUM($E228:BN228)+SUM(BP225:$DB225),-BO225,0)))</f>
        <v/>
      </c>
      <c r="BP228" s="273">
        <f>MIN(SUM($F227:BP227)-SUM($E228:BO228),MIN(-SUM($F225:BP225),MAX(SUM($F227:BP227)-SUM($E228:BO228)+SUM(BQ225:$DB225),-BP225,0)))</f>
        <v/>
      </c>
      <c r="BQ228" s="273">
        <f>MIN(SUM($F227:BQ227)-SUM($E228:BP228),MIN(-SUM($F225:BQ225),MAX(SUM($F227:BQ227)-SUM($E228:BP228)+SUM(BR225:$DB225),-BQ225,0)))</f>
        <v/>
      </c>
      <c r="BR228" s="273">
        <f>MIN(SUM($F227:BR227)-SUM($E228:BQ228),MIN(-SUM($F225:BR225),MAX(SUM($F227:BR227)-SUM($E228:BQ228)+SUM(BS225:$DB225),-BR225,0)))</f>
        <v/>
      </c>
      <c r="BS228" s="273">
        <f>MIN(SUM($F227:BS227)-SUM($E228:BR228),MIN(-SUM($F225:BS225),MAX(SUM($F227:BS227)-SUM($E228:BR228)+SUM(BT225:$DB225),-BS225,0)))</f>
        <v/>
      </c>
      <c r="BT228" s="273">
        <f>MIN(SUM($F227:BT227)-SUM($E228:BS228),MIN(-SUM($F225:BT225),MAX(SUM($F227:BT227)-SUM($E228:BS228)+SUM(BU225:$DB225),-BT225,0)))</f>
        <v/>
      </c>
      <c r="BU228" s="273">
        <f>MIN(SUM($F227:BU227)-SUM($E228:BT228),MIN(-SUM($F225:BU225),MAX(SUM($F227:BU227)-SUM($E228:BT228)+SUM(BV225:$DB225),-BU225,0)))</f>
        <v/>
      </c>
      <c r="BV228" s="273">
        <f>MIN(SUM($F227:BV227)-SUM($E228:BU228),MIN(-SUM($F225:BV225),MAX(SUM($F227:BV227)-SUM($E228:BU228)+SUM(BW225:$DB225),-BV225,0)))</f>
        <v/>
      </c>
      <c r="BW228" s="273">
        <f>MIN(SUM($F227:BW227)-SUM($E228:BV228),MIN(-SUM($F225:BW225),MAX(SUM($F227:BW227)-SUM($E228:BV228)+SUM(BX225:$DB225),-BW225,0)))</f>
        <v/>
      </c>
      <c r="BX228" s="273">
        <f>MIN(SUM($F227:BX227)-SUM($E228:BW228),MIN(-SUM($F225:BX225),MAX(SUM($F227:BX227)-SUM($E228:BW228)+SUM(BY225:$DB225),-BX225,0)))</f>
        <v/>
      </c>
      <c r="BY228" s="273">
        <f>MIN(SUM($F227:BY227)-SUM($E228:BX228),MIN(-SUM($F225:BY225),MAX(SUM($F227:BY227)-SUM($E228:BX228)+SUM(BZ225:$DB225),-BY225,0)))</f>
        <v/>
      </c>
      <c r="BZ228" s="273">
        <f>MIN(SUM($F227:BZ227)-SUM($E228:BY228),MIN(-SUM($F225:BZ225),MAX(SUM($F227:BZ227)-SUM($E228:BY228)+SUM(CA225:$DB225),-BZ225,0)))</f>
        <v/>
      </c>
      <c r="CA228" s="273">
        <f>MIN(SUM($F227:CA227)-SUM($E228:BZ228),MIN(-SUM($F225:CA225),MAX(SUM($F227:CA227)-SUM($E228:BZ228)+SUM(CB225:$DB225),-CA225,0)))</f>
        <v/>
      </c>
      <c r="CB228" s="273">
        <f>MIN(SUM($F227:CB227)-SUM($E228:CA228),MIN(-SUM($F225:CB225),MAX(SUM($F227:CB227)-SUM($E228:CA228)+SUM(CC225:$DB225),-CB225,0)))</f>
        <v/>
      </c>
      <c r="CC228" s="273">
        <f>MIN(SUM($F227:CC227)-SUM($E228:CB228),MIN(-SUM($F225:CC225),MAX(SUM($F227:CC227)-SUM($E228:CB228)+SUM(CD225:$DB225),-CC225,0)))</f>
        <v/>
      </c>
      <c r="CD228" s="273">
        <f>MIN(SUM($F227:CD227)-SUM($E228:CC228),MIN(-SUM($F225:CD225),MAX(SUM($F227:CD227)-SUM($E228:CC228)+SUM(CE225:$DB225),-CD225,0)))</f>
        <v/>
      </c>
      <c r="CE228" s="273">
        <f>MIN(SUM($F227:CE227)-SUM($E228:CD228),MIN(-SUM($F225:CE225),MAX(SUM($F227:CE227)-SUM($E228:CD228)+SUM(CF225:$DB225),-CE225,0)))</f>
        <v/>
      </c>
      <c r="CF228" s="273">
        <f>MIN(SUM($F227:CF227)-SUM($E228:CE228),MIN(-SUM($F225:CF225),MAX(SUM($F227:CF227)-SUM($E228:CE228)+SUM(CG225:$DB225),-CF225,0)))</f>
        <v/>
      </c>
      <c r="CG228" s="273">
        <f>MIN(SUM($F227:CG227)-SUM($E228:CF228),MIN(-SUM($F225:CG225),MAX(SUM($F227:CG227)-SUM($E228:CF228)+SUM(CH225:$DB225),-CG225,0)))</f>
        <v/>
      </c>
      <c r="CH228" s="273">
        <f>MIN(SUM($F227:CH227)-SUM($E228:CG228),MIN(-SUM($F225:CH225),MAX(SUM($F227:CH227)-SUM($E228:CG228)+SUM(CI225:$DB225),-CH225,0)))</f>
        <v/>
      </c>
      <c r="CI228" s="273">
        <f>MIN(SUM($F227:CI227)-SUM($E228:CH228),MIN(-SUM($F225:CI225),MAX(SUM($F227:CI227)-SUM($E228:CH228)+SUM(CJ225:$DB225),-CI225,0)))</f>
        <v/>
      </c>
      <c r="CJ228" s="273">
        <f>MIN(SUM($F227:CJ227)-SUM($E228:CI228),MIN(-SUM($F225:CJ225),MAX(SUM($F227:CJ227)-SUM($E228:CI228)+SUM(CK225:$DB225),-CJ225,0)))</f>
        <v/>
      </c>
      <c r="CK228" s="273">
        <f>MIN(SUM($F227:CK227)-SUM($E228:CJ228),MIN(-SUM($F225:CK225),MAX(SUM($F227:CK227)-SUM($E228:CJ228)+SUM(CL225:$DB225),-CK225,0)))</f>
        <v/>
      </c>
      <c r="CL228" s="273">
        <f>MIN(SUM($F227:CL227)-SUM($E228:CK228),MIN(-SUM($F225:CL225),MAX(SUM($F227:CL227)-SUM($E228:CK228)+SUM(CM225:$DB225),-CL225,0)))</f>
        <v/>
      </c>
      <c r="CM228" s="273">
        <f>MIN(SUM($F227:CM227)-SUM($E228:CL228),MIN(-SUM($F225:CM225),MAX(SUM($F227:CM227)-SUM($E228:CL228)+SUM(CN225:$DB225),-CM225,0)))</f>
        <v/>
      </c>
      <c r="CN228" s="273">
        <f>MIN(SUM($F227:CN227)-SUM($E228:CM228),MIN(-SUM($F225:CN225),MAX(SUM($F227:CN227)-SUM($E228:CM228)+SUM(CO225:$DB225),-CN225,0)))</f>
        <v/>
      </c>
      <c r="CO228" s="273">
        <f>MIN(SUM($F227:CO227)-SUM($E228:CN228),MIN(-SUM($F225:CO225),MAX(SUM($F227:CO227)-SUM($E228:CN228)+SUM(CP225:$DB225),-CO225,0)))</f>
        <v/>
      </c>
      <c r="CP228" s="273">
        <f>MIN(SUM($F227:CP227)-SUM($E228:CO228),MIN(-SUM($F225:CP225),MAX(SUM($F227:CP227)-SUM($E228:CO228)+SUM(CQ225:$DB225),-CP225,0)))</f>
        <v/>
      </c>
      <c r="CQ228" s="273">
        <f>MIN(SUM($F227:CQ227)-SUM($E228:CP228),MIN(-SUM($F225:CQ225),MAX(SUM($F227:CQ227)-SUM($E228:CP228)+SUM(CR225:$DB225),-CQ225,0)))</f>
        <v/>
      </c>
      <c r="CR228" s="273">
        <f>MIN(SUM($F227:CR227)-SUM($E228:CQ228),MIN(-SUM($F225:CR225),MAX(SUM($F227:CR227)-SUM($E228:CQ228)+SUM(CS225:$DB225),-CR225,0)))</f>
        <v/>
      </c>
      <c r="CS228" s="273">
        <f>MIN(SUM($F227:CS227)-SUM($E228:CR228),MIN(-SUM($F225:CS225),MAX(SUM($F227:CS227)-SUM($E228:CR228)+SUM(CT225:$DB225),-CS225,0)))</f>
        <v/>
      </c>
      <c r="CT228" s="273">
        <f>MIN(SUM($F227:CT227)-SUM($E228:CS228),MIN(-SUM($F225:CT225),MAX(SUM($F227:CT227)-SUM($E228:CS228)+SUM(CU225:$DB225),-CT225,0)))</f>
        <v/>
      </c>
      <c r="CU228" s="273">
        <f>MIN(SUM($F227:CU227)-SUM($E228:CT228),MIN(-SUM($F225:CU225),MAX(SUM($F227:CU227)-SUM($E228:CT228)+SUM(CV225:$DB225),-CU225,0)))</f>
        <v/>
      </c>
      <c r="CV228" s="273">
        <f>MIN(SUM($F227:CV227)-SUM($E228:CU228),MIN(-SUM($F225:CV225),MAX(SUM($F227:CV227)-SUM($E228:CU228)+SUM(CW225:$DB225),-CV225,0)))</f>
        <v/>
      </c>
      <c r="CW228" s="273">
        <f>MIN(SUM($F227:CW227)-SUM($E228:CV228),MIN(-SUM($F225:CW225),MAX(SUM($F227:CW227)-SUM($E228:CV228)+SUM(CX225:$DB225),-CW225,0)))</f>
        <v/>
      </c>
      <c r="CX228" s="273">
        <f>MIN(SUM($F227:CX227)-SUM($E228:CW228),MIN(-SUM($F225:CX225),MAX(SUM($F227:CX227)-SUM($E228:CW228)+SUM(CY225:$DB225),-CX225,0)))</f>
        <v/>
      </c>
      <c r="CY228" s="273">
        <f>MIN(SUM($F227:CY227)-SUM($E228:CX228),MIN(-SUM($F225:CY225),MAX(SUM($F227:CY227)-SUM($E228:CX228)+SUM(CZ225:$DB225),-CY225,0)))</f>
        <v/>
      </c>
      <c r="CZ228" s="273">
        <f>MIN(SUM($F227:CZ227)-SUM($E228:CY228),MIN(-SUM($F225:CZ225),MAX(SUM($F227:CZ227)-SUM($E228:CY228)+SUM(DA225:$DB225),-CZ225,0)))</f>
        <v/>
      </c>
      <c r="DA228" s="273">
        <f>MIN(SUM($F227:DA227)-SUM($E228:CZ228),MIN(-SUM($F225:DA225),MAX(SUM($F227:DA227)-SUM($E228:CZ228)+SUM(DB225:$DB225),-DA225,0)))</f>
        <v/>
      </c>
      <c r="DB228" s="273">
        <f>MIN(SUM($F227:DB227)-SUM($E228:DA228),MIN(-SUM($F225:DB225),MAX(SUM($F227:DB227)-SUM($E228:DA228)+SUM($DB225:DC225),-DB225,0)))</f>
        <v/>
      </c>
      <c r="DC228" s="273" t="n"/>
      <c r="DD228" s="295">
        <f>SUM(F228:DB228)</f>
        <v/>
      </c>
    </row>
    <row r="229">
      <c r="A229" s="9" t="inlineStr">
        <is>
          <t>Remaining Cash Flow</t>
        </is>
      </c>
      <c r="B229" s="9" t="n"/>
      <c r="C229" s="342" t="n"/>
      <c r="D229" s="337">
        <f>DD229</f>
        <v/>
      </c>
      <c r="E229" s="276" t="n"/>
      <c r="F229" s="890">
        <f>F271+F285+F295</f>
        <v/>
      </c>
      <c r="G229" s="890">
        <f>G271+G285+G295</f>
        <v/>
      </c>
      <c r="H229" s="890">
        <f>H271+H285+H295</f>
        <v/>
      </c>
      <c r="I229" s="890">
        <f>I271+I285+I295</f>
        <v/>
      </c>
      <c r="J229" s="890">
        <f>J271+J285+J295</f>
        <v/>
      </c>
      <c r="K229" s="890">
        <f>K271+K285+K295</f>
        <v/>
      </c>
      <c r="L229" s="890">
        <f>L271+L285+L295</f>
        <v/>
      </c>
      <c r="M229" s="890">
        <f>M271+M285+M295</f>
        <v/>
      </c>
      <c r="N229" s="890">
        <f>N271+N285+N295</f>
        <v/>
      </c>
      <c r="O229" s="890">
        <f>O271+O285+O295</f>
        <v/>
      </c>
      <c r="P229" s="890">
        <f>P271+P285+P295</f>
        <v/>
      </c>
      <c r="Q229" s="890">
        <f>Q271+Q285+Q295</f>
        <v/>
      </c>
      <c r="R229" s="890">
        <f>R271+R285+R295</f>
        <v/>
      </c>
      <c r="S229" s="890">
        <f>S271+S285+S295</f>
        <v/>
      </c>
      <c r="T229" s="890">
        <f>T271+T285+T295</f>
        <v/>
      </c>
      <c r="U229" s="890">
        <f>U271+U285+U295</f>
        <v/>
      </c>
      <c r="V229" s="890">
        <f>V271+V285+V295</f>
        <v/>
      </c>
      <c r="W229" s="890">
        <f>W271+W285+W295</f>
        <v/>
      </c>
      <c r="X229" s="890">
        <f>X271+X285+X295</f>
        <v/>
      </c>
      <c r="Y229" s="890">
        <f>Y271+Y285+Y295</f>
        <v/>
      </c>
      <c r="Z229" s="890">
        <f>Z271+Z285+Z295</f>
        <v/>
      </c>
      <c r="AA229" s="890">
        <f>AA271+AA285+AA295</f>
        <v/>
      </c>
      <c r="AB229" s="890">
        <f>AB271+AB285+AB295</f>
        <v/>
      </c>
      <c r="AC229" s="890">
        <f>AC271+AC285+AC295</f>
        <v/>
      </c>
      <c r="AD229" s="890">
        <f>AD271+AD285+AD295</f>
        <v/>
      </c>
      <c r="AE229" s="890">
        <f>AE271+AE285+AE295</f>
        <v/>
      </c>
      <c r="AF229" s="890">
        <f>AF271+AF285+AF295</f>
        <v/>
      </c>
      <c r="AG229" s="890">
        <f>AG271+AG285+AG295</f>
        <v/>
      </c>
      <c r="AH229" s="890">
        <f>AH271+AH285+AH295</f>
        <v/>
      </c>
      <c r="AI229" s="890">
        <f>AI271+AI285+AI295</f>
        <v/>
      </c>
      <c r="AJ229" s="890">
        <f>AJ271+AJ285+AJ295</f>
        <v/>
      </c>
      <c r="AK229" s="890">
        <f>AK271+AK285+AK295</f>
        <v/>
      </c>
      <c r="AL229" s="890">
        <f>AL271+AL285+AL295</f>
        <v/>
      </c>
      <c r="AM229" s="890">
        <f>AM271+AM285+AM295</f>
        <v/>
      </c>
      <c r="AN229" s="890">
        <f>AN271+AN285+AN295</f>
        <v/>
      </c>
      <c r="AO229" s="890">
        <f>AO271+AO285+AO295</f>
        <v/>
      </c>
      <c r="AP229" s="890">
        <f>AP271+AP285+AP295</f>
        <v/>
      </c>
      <c r="AQ229" s="890">
        <f>AQ271+AQ285+AQ295</f>
        <v/>
      </c>
      <c r="AR229" s="890">
        <f>AR271+AR285+AR295</f>
        <v/>
      </c>
      <c r="AS229" s="890">
        <f>AS271+AS285+AS295</f>
        <v/>
      </c>
      <c r="AT229" s="890">
        <f>AT271+AT285+AT295</f>
        <v/>
      </c>
      <c r="AU229" s="890">
        <f>AU271+AU285+AU295</f>
        <v/>
      </c>
      <c r="AV229" s="890">
        <f>AV271+AV285+AV295</f>
        <v/>
      </c>
      <c r="AW229" s="890">
        <f>AW271+AW285+AW295</f>
        <v/>
      </c>
      <c r="AX229" s="890">
        <f>AX271+AX285+AX295</f>
        <v/>
      </c>
      <c r="AY229" s="890">
        <f>AY271+AY285+AY295</f>
        <v/>
      </c>
      <c r="AZ229" s="890">
        <f>AZ271+AZ285+AZ295</f>
        <v/>
      </c>
      <c r="BA229" s="890">
        <f>BA271+BA285+BA295</f>
        <v/>
      </c>
      <c r="BB229" s="890">
        <f>BB271+BB285+BB295</f>
        <v/>
      </c>
      <c r="BC229" s="890">
        <f>BC271+BC285+BC295</f>
        <v/>
      </c>
      <c r="BD229" s="890">
        <f>BD271+BD285+BD295</f>
        <v/>
      </c>
      <c r="BE229" s="890">
        <f>BE271+BE285+BE295</f>
        <v/>
      </c>
      <c r="BF229" s="890">
        <f>BF271+BF285+BF295</f>
        <v/>
      </c>
      <c r="BG229" s="890">
        <f>BG271+BG285+BG295</f>
        <v/>
      </c>
      <c r="BH229" s="890">
        <f>BH271+BH285+BH295</f>
        <v/>
      </c>
      <c r="BI229" s="890">
        <f>BI271+BI285+BI295</f>
        <v/>
      </c>
      <c r="BJ229" s="890">
        <f>BJ271+BJ285+BJ295</f>
        <v/>
      </c>
      <c r="BK229" s="890">
        <f>BK271+BK285+BK295</f>
        <v/>
      </c>
      <c r="BL229" s="890">
        <f>BL271+BL285+BL295</f>
        <v/>
      </c>
      <c r="BM229" s="890">
        <f>BM271+BM285+BM295</f>
        <v/>
      </c>
      <c r="BN229" s="890">
        <f>BN271+BN285+BN295</f>
        <v/>
      </c>
      <c r="BO229" s="890">
        <f>BO271+BO285+BO295</f>
        <v/>
      </c>
      <c r="BP229" s="890">
        <f>BP271+BP285+BP295</f>
        <v/>
      </c>
      <c r="BQ229" s="890">
        <f>BQ271+BQ285+BQ295</f>
        <v/>
      </c>
      <c r="BR229" s="890">
        <f>BR271+BR285+BR295</f>
        <v/>
      </c>
      <c r="BS229" s="890">
        <f>BS271+BS285+BS295</f>
        <v/>
      </c>
      <c r="BT229" s="890">
        <f>BT271+BT285+BT295</f>
        <v/>
      </c>
      <c r="BU229" s="890">
        <f>BU271+BU285+BU295</f>
        <v/>
      </c>
      <c r="BV229" s="890">
        <f>BV271+BV285+BV295</f>
        <v/>
      </c>
      <c r="BW229" s="890">
        <f>BW271+BW285+BW295</f>
        <v/>
      </c>
      <c r="BX229" s="890">
        <f>BX271+BX285+BX295</f>
        <v/>
      </c>
      <c r="BY229" s="890">
        <f>BY271+BY285+BY295</f>
        <v/>
      </c>
      <c r="BZ229" s="890">
        <f>BZ271+BZ285+BZ295</f>
        <v/>
      </c>
      <c r="CA229" s="890">
        <f>CA271+CA285+CA295</f>
        <v/>
      </c>
      <c r="CB229" s="890">
        <f>CB271+CB285+CB295</f>
        <v/>
      </c>
      <c r="CC229" s="890">
        <f>CC271+CC285+CC295</f>
        <v/>
      </c>
      <c r="CD229" s="890">
        <f>CD271+CD285+CD295</f>
        <v/>
      </c>
      <c r="CE229" s="890">
        <f>CE271+CE285+CE295</f>
        <v/>
      </c>
      <c r="CF229" s="890">
        <f>CF271+CF285+CF295</f>
        <v/>
      </c>
      <c r="CG229" s="890">
        <f>CG271+CG285+CG295</f>
        <v/>
      </c>
      <c r="CH229" s="890">
        <f>CH271+CH285+CH295</f>
        <v/>
      </c>
      <c r="CI229" s="890">
        <f>CI271+CI285+CI295</f>
        <v/>
      </c>
      <c r="CJ229" s="890">
        <f>CJ271+CJ285+CJ295</f>
        <v/>
      </c>
      <c r="CK229" s="890">
        <f>CK271+CK285+CK295</f>
        <v/>
      </c>
      <c r="CL229" s="890">
        <f>CL271+CL285+CL295</f>
        <v/>
      </c>
      <c r="CM229" s="890">
        <f>CM271+CM285+CM295</f>
        <v/>
      </c>
      <c r="CN229" s="890">
        <f>CN271+CN285+CN295</f>
        <v/>
      </c>
      <c r="CO229" s="890">
        <f>CO271+CO285+CO295</f>
        <v/>
      </c>
      <c r="CP229" s="890">
        <f>CP271+CP285+CP295</f>
        <v/>
      </c>
      <c r="CQ229" s="890">
        <f>CQ271+CQ285+CQ295</f>
        <v/>
      </c>
      <c r="CR229" s="890">
        <f>CR271+CR285+CR295</f>
        <v/>
      </c>
      <c r="CS229" s="890">
        <f>CS271+CS285+CS295</f>
        <v/>
      </c>
      <c r="CT229" s="890">
        <f>CT271+CT285+CT295</f>
        <v/>
      </c>
      <c r="CU229" s="890">
        <f>CU271+CU285+CU295</f>
        <v/>
      </c>
      <c r="CV229" s="890">
        <f>CV271+CV285+CV295</f>
        <v/>
      </c>
      <c r="CW229" s="890">
        <f>CW271+CW285+CW295</f>
        <v/>
      </c>
      <c r="CX229" s="890">
        <f>CX271+CX285+CX295</f>
        <v/>
      </c>
      <c r="CY229" s="890">
        <f>CY271+CY285+CY295</f>
        <v/>
      </c>
      <c r="CZ229" s="890">
        <f>CZ271+CZ285+CZ295</f>
        <v/>
      </c>
      <c r="DA229" s="890">
        <f>DA271+DA285+DA295</f>
        <v/>
      </c>
      <c r="DB229" s="890">
        <f>DB271+DB285+DB295</f>
        <v/>
      </c>
      <c r="DC229" s="890" t="n"/>
      <c r="DD229" s="297">
        <f>SUM(F229:DB229)</f>
        <v/>
      </c>
    </row>
    <row r="230" ht="14.1" customFormat="1" customHeight="1" s="345">
      <c r="A230" s="1129" t="inlineStr">
        <is>
          <t>Equity Partner 1</t>
        </is>
      </c>
      <c r="B230" s="1129" t="n"/>
      <c r="C230" s="1130">
        <f>(1+IRR(F230:DB230,0.001))^12-1</f>
        <v/>
      </c>
      <c r="D230" s="343">
        <f>DD230</f>
        <v/>
      </c>
      <c r="E230" s="281" t="n"/>
      <c r="F230" s="344">
        <f>F225+F226+F228+F229</f>
        <v/>
      </c>
      <c r="G230" s="344">
        <f>G225+G226+G228+G229</f>
        <v/>
      </c>
      <c r="H230" s="344">
        <f>H225+H226+H228+H229</f>
        <v/>
      </c>
      <c r="I230" s="344">
        <f>I225+I226+I228+I229</f>
        <v/>
      </c>
      <c r="J230" s="344">
        <f>J225+J226+J228+J229</f>
        <v/>
      </c>
      <c r="K230" s="344">
        <f>K225+K226+K228+K229</f>
        <v/>
      </c>
      <c r="L230" s="344">
        <f>L225+L226+L228+L229</f>
        <v/>
      </c>
      <c r="M230" s="344">
        <f>M225+M226+M228+M229</f>
        <v/>
      </c>
      <c r="N230" s="344">
        <f>N225+N226+N228+N229</f>
        <v/>
      </c>
      <c r="O230" s="344">
        <f>O225+O226+O228+O229</f>
        <v/>
      </c>
      <c r="P230" s="344">
        <f>P225+P226+P228+P229</f>
        <v/>
      </c>
      <c r="Q230" s="344">
        <f>Q225+Q226+Q228+Q229</f>
        <v/>
      </c>
      <c r="R230" s="344">
        <f>R225+R226+R228+R229</f>
        <v/>
      </c>
      <c r="S230" s="344">
        <f>S225+S226+S228+S229</f>
        <v/>
      </c>
      <c r="T230" s="344">
        <f>T225+T226+T228+T229</f>
        <v/>
      </c>
      <c r="U230" s="344">
        <f>U225+U226+U228+U229</f>
        <v/>
      </c>
      <c r="V230" s="344">
        <f>V225+V226+V228+V229</f>
        <v/>
      </c>
      <c r="W230" s="344">
        <f>W225+W226+W228+W229</f>
        <v/>
      </c>
      <c r="X230" s="344">
        <f>X225+X226+X228+X229</f>
        <v/>
      </c>
      <c r="Y230" s="344">
        <f>Y225+Y226+Y228+Y229</f>
        <v/>
      </c>
      <c r="Z230" s="344">
        <f>Z225+Z226+Z228+Z229</f>
        <v/>
      </c>
      <c r="AA230" s="344">
        <f>AA225+AA226+AA228+AA229</f>
        <v/>
      </c>
      <c r="AB230" s="344">
        <f>AB225+AB226+AB228+AB229</f>
        <v/>
      </c>
      <c r="AC230" s="344">
        <f>AC225+AC226+AC228+AC229</f>
        <v/>
      </c>
      <c r="AD230" s="344">
        <f>AD225+AD226+AD228+AD229</f>
        <v/>
      </c>
      <c r="AE230" s="344">
        <f>AE225+AE226+AE228+AE229</f>
        <v/>
      </c>
      <c r="AF230" s="344">
        <f>AF225+AF226+AF228+AF229</f>
        <v/>
      </c>
      <c r="AG230" s="344">
        <f>AG225+AG226+AG228+AG229</f>
        <v/>
      </c>
      <c r="AH230" s="344">
        <f>AH225+AH226+AH228+AH229</f>
        <v/>
      </c>
      <c r="AI230" s="344">
        <f>AI225+AI226+AI228+AI229</f>
        <v/>
      </c>
      <c r="AJ230" s="344">
        <f>AJ225+AJ226+AJ228+AJ229</f>
        <v/>
      </c>
      <c r="AK230" s="344">
        <f>AK225+AK226+AK228+AK229</f>
        <v/>
      </c>
      <c r="AL230" s="344">
        <f>AL225+AL226+AL228+AL229</f>
        <v/>
      </c>
      <c r="AM230" s="344">
        <f>AM225+AM226+AM228+AM229</f>
        <v/>
      </c>
      <c r="AN230" s="344">
        <f>AN225+AN226+AN228+AN229</f>
        <v/>
      </c>
      <c r="AO230" s="344">
        <f>AO225+AO226+AO228+AO229</f>
        <v/>
      </c>
      <c r="AP230" s="344">
        <f>AP225+AP226+AP228+AP229</f>
        <v/>
      </c>
      <c r="AQ230" s="344">
        <f>AQ225+AQ226+AQ228+AQ229</f>
        <v/>
      </c>
      <c r="AR230" s="344">
        <f>AR225+AR226+AR228+AR229</f>
        <v/>
      </c>
      <c r="AS230" s="344">
        <f>AS225+AS226+AS228+AS229</f>
        <v/>
      </c>
      <c r="AT230" s="344">
        <f>AT225+AT226+AT228+AT229</f>
        <v/>
      </c>
      <c r="AU230" s="344">
        <f>AU225+AU226+AU228+AU229</f>
        <v/>
      </c>
      <c r="AV230" s="344">
        <f>AV225+AV226+AV228+AV229</f>
        <v/>
      </c>
      <c r="AW230" s="344">
        <f>AW225+AW226+AW228+AW229</f>
        <v/>
      </c>
      <c r="AX230" s="344">
        <f>AX225+AX226+AX228+AX229</f>
        <v/>
      </c>
      <c r="AY230" s="344">
        <f>AY225+AY226+AY228+AY229</f>
        <v/>
      </c>
      <c r="AZ230" s="344">
        <f>AZ225+AZ226+AZ228+AZ229</f>
        <v/>
      </c>
      <c r="BA230" s="344">
        <f>BA225+BA226+BA228+BA229</f>
        <v/>
      </c>
      <c r="BB230" s="344">
        <f>BB225+BB226+BB228+BB229</f>
        <v/>
      </c>
      <c r="BC230" s="344">
        <f>BC225+BC226+BC228+BC229</f>
        <v/>
      </c>
      <c r="BD230" s="344">
        <f>BD225+BD226+BD228+BD229</f>
        <v/>
      </c>
      <c r="BE230" s="344">
        <f>BE225+BE226+BE228+BE229</f>
        <v/>
      </c>
      <c r="BF230" s="344">
        <f>BF225+BF226+BF228+BF229</f>
        <v/>
      </c>
      <c r="BG230" s="344">
        <f>BG225+BG226+BG228+BG229</f>
        <v/>
      </c>
      <c r="BH230" s="344">
        <f>BH225+BH226+BH228+BH229</f>
        <v/>
      </c>
      <c r="BI230" s="344">
        <f>BI225+BI226+BI228+BI229</f>
        <v/>
      </c>
      <c r="BJ230" s="344">
        <f>BJ225+BJ226+BJ228+BJ229</f>
        <v/>
      </c>
      <c r="BK230" s="344">
        <f>BK225+BK226+BK228+BK229</f>
        <v/>
      </c>
      <c r="BL230" s="344">
        <f>BL225+BL226+BL228+BL229</f>
        <v/>
      </c>
      <c r="BM230" s="344">
        <f>BM225+BM226+BM228+BM229</f>
        <v/>
      </c>
      <c r="BN230" s="344">
        <f>BN225+BN226+BN228+BN229</f>
        <v/>
      </c>
      <c r="BO230" s="344">
        <f>BO225+BO226+BO228+BO229</f>
        <v/>
      </c>
      <c r="BP230" s="344">
        <f>BP225+BP226+BP228+BP229</f>
        <v/>
      </c>
      <c r="BQ230" s="344">
        <f>BQ225+BQ226+BQ228+BQ229</f>
        <v/>
      </c>
      <c r="BR230" s="344">
        <f>BR225+BR226+BR228+BR229</f>
        <v/>
      </c>
      <c r="BS230" s="344">
        <f>BS225+BS226+BS228+BS229</f>
        <v/>
      </c>
      <c r="BT230" s="344">
        <f>BT225+BT226+BT228+BT229</f>
        <v/>
      </c>
      <c r="BU230" s="344">
        <f>BU225+BU226+BU228+BU229</f>
        <v/>
      </c>
      <c r="BV230" s="344">
        <f>BV225+BV226+BV228+BV229</f>
        <v/>
      </c>
      <c r="BW230" s="344">
        <f>BW225+BW226+BW228+BW229</f>
        <v/>
      </c>
      <c r="BX230" s="344">
        <f>BX225+BX226+BX228+BX229</f>
        <v/>
      </c>
      <c r="BY230" s="344">
        <f>BY225+BY226+BY228+BY229</f>
        <v/>
      </c>
      <c r="BZ230" s="344">
        <f>BZ225+BZ226+BZ228+BZ229</f>
        <v/>
      </c>
      <c r="CA230" s="344">
        <f>CA225+CA226+CA228+CA229</f>
        <v/>
      </c>
      <c r="CB230" s="344">
        <f>CB225+CB226+CB228+CB229</f>
        <v/>
      </c>
      <c r="CC230" s="344">
        <f>CC225+CC226+CC228+CC229</f>
        <v/>
      </c>
      <c r="CD230" s="344">
        <f>CD225+CD226+CD228+CD229</f>
        <v/>
      </c>
      <c r="CE230" s="344">
        <f>CE225+CE226+CE228+CE229</f>
        <v/>
      </c>
      <c r="CF230" s="344">
        <f>CF225+CF226+CF228+CF229</f>
        <v/>
      </c>
      <c r="CG230" s="344">
        <f>CG225+CG226+CG228+CG229</f>
        <v/>
      </c>
      <c r="CH230" s="344">
        <f>CH225+CH226+CH228+CH229</f>
        <v/>
      </c>
      <c r="CI230" s="344">
        <f>CI225+CI226+CI228+CI229</f>
        <v/>
      </c>
      <c r="CJ230" s="344">
        <f>CJ225+CJ226+CJ228+CJ229</f>
        <v/>
      </c>
      <c r="CK230" s="344">
        <f>CK225+CK226+CK228+CK229</f>
        <v/>
      </c>
      <c r="CL230" s="344">
        <f>CL225+CL226+CL228+CL229</f>
        <v/>
      </c>
      <c r="CM230" s="344">
        <f>CM225+CM226+CM228+CM229</f>
        <v/>
      </c>
      <c r="CN230" s="344">
        <f>CN225+CN226+CN228+CN229</f>
        <v/>
      </c>
      <c r="CO230" s="344">
        <f>CO225+CO226+CO228+CO229</f>
        <v/>
      </c>
      <c r="CP230" s="344">
        <f>CP225+CP226+CP228+CP229</f>
        <v/>
      </c>
      <c r="CQ230" s="344">
        <f>CQ225+CQ226+CQ228+CQ229</f>
        <v/>
      </c>
      <c r="CR230" s="344">
        <f>CR225+CR226+CR228+CR229</f>
        <v/>
      </c>
      <c r="CS230" s="344">
        <f>CS225+CS226+CS228+CS229</f>
        <v/>
      </c>
      <c r="CT230" s="344">
        <f>CT225+CT226+CT228+CT229</f>
        <v/>
      </c>
      <c r="CU230" s="344">
        <f>CU225+CU226+CU228+CU229</f>
        <v/>
      </c>
      <c r="CV230" s="344">
        <f>CV225+CV226+CV228+CV229</f>
        <v/>
      </c>
      <c r="CW230" s="344">
        <f>CW225+CW226+CW228+CW229</f>
        <v/>
      </c>
      <c r="CX230" s="344">
        <f>CX225+CX226+CX228+CX229</f>
        <v/>
      </c>
      <c r="CY230" s="344">
        <f>CY225+CY226+CY228+CY229</f>
        <v/>
      </c>
      <c r="CZ230" s="344">
        <f>CZ225+CZ226+CZ228+CZ229</f>
        <v/>
      </c>
      <c r="DA230" s="344">
        <f>DA225+DA226+DA228+DA229</f>
        <v/>
      </c>
      <c r="DB230" s="344">
        <f>DB225+DB226+DB228+DB229</f>
        <v/>
      </c>
      <c r="DC230" s="344" t="n"/>
      <c r="DD230" s="727">
        <f>SUM(F230:DB230)</f>
        <v/>
      </c>
    </row>
    <row r="231">
      <c r="A231" s="9" t="n"/>
      <c r="B231" s="9" t="n"/>
      <c r="C231" s="9" t="n"/>
      <c r="D231" s="339" t="n"/>
      <c r="E231" s="271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  <c r="AP231" s="13" t="n"/>
      <c r="AQ231" s="13" t="n"/>
      <c r="AR231" s="13" t="n"/>
      <c r="AS231" s="13" t="n"/>
      <c r="AT231" s="13" t="n"/>
      <c r="AU231" s="13" t="n"/>
      <c r="AV231" s="13" t="n"/>
      <c r="AW231" s="13" t="n"/>
      <c r="AX231" s="13" t="n"/>
      <c r="AY231" s="13" t="n"/>
      <c r="AZ231" s="13" t="n"/>
      <c r="BA231" s="13" t="n"/>
      <c r="BB231" s="13" t="n"/>
      <c r="BC231" s="13" t="n"/>
      <c r="BD231" s="13" t="n"/>
      <c r="BE231" s="13" t="n"/>
      <c r="BF231" s="13" t="n"/>
      <c r="BG231" s="13" t="n"/>
      <c r="BH231" s="13" t="n"/>
      <c r="BI231" s="13" t="n"/>
      <c r="BJ231" s="13" t="n"/>
      <c r="BK231" s="13" t="n"/>
      <c r="BL231" s="13" t="n"/>
      <c r="BM231" s="13" t="n"/>
      <c r="BN231" s="13" t="n"/>
      <c r="BO231" s="13" t="n"/>
      <c r="BP231" s="13" t="n"/>
      <c r="BQ231" s="13" t="n"/>
      <c r="BR231" s="13" t="n"/>
      <c r="BS231" s="13" t="n"/>
      <c r="BT231" s="13" t="n"/>
      <c r="BU231" s="13" t="n"/>
      <c r="BV231" s="13" t="n"/>
      <c r="BW231" s="13" t="n"/>
      <c r="BX231" s="13" t="n"/>
      <c r="BY231" s="13" t="n"/>
      <c r="BZ231" s="13" t="n"/>
      <c r="CA231" s="13" t="n"/>
      <c r="CB231" s="13" t="n"/>
      <c r="CC231" s="13" t="n"/>
      <c r="CD231" s="13" t="n"/>
      <c r="CE231" s="13" t="n"/>
      <c r="CF231" s="13" t="n"/>
      <c r="CG231" s="13" t="n"/>
      <c r="CH231" s="13" t="n"/>
      <c r="CI231" s="13" t="n"/>
      <c r="CJ231" s="13" t="n"/>
      <c r="CK231" s="13" t="n"/>
      <c r="CL231" s="13" t="n"/>
      <c r="CM231" s="13" t="n"/>
      <c r="CN231" s="13" t="n"/>
      <c r="CO231" s="13" t="n"/>
      <c r="CP231" s="13" t="n"/>
      <c r="CQ231" s="13" t="n"/>
      <c r="CR231" s="13" t="n"/>
      <c r="CS231" s="13" t="n"/>
      <c r="CT231" s="13" t="n"/>
      <c r="CU231" s="13" t="n"/>
      <c r="CV231" s="13" t="n"/>
      <c r="CW231" s="13" t="n"/>
      <c r="CX231" s="13" t="n"/>
      <c r="CY231" s="13" t="n"/>
      <c r="CZ231" s="13" t="n"/>
      <c r="DA231" s="13" t="n"/>
      <c r="DB231" s="13" t="n"/>
      <c r="DC231" s="13" t="n"/>
      <c r="DD231" s="13" t="n"/>
    </row>
    <row r="232">
      <c r="A232" s="1128" t="inlineStr">
        <is>
          <t>Developer Equity Cash Flow</t>
        </is>
      </c>
      <c r="B232" s="1128" t="n"/>
      <c r="C232" s="9" t="n"/>
      <c r="D232" s="9" t="n"/>
      <c r="E232" s="271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  <c r="AP232" s="13" t="n"/>
      <c r="AQ232" s="13" t="n"/>
      <c r="AR232" s="13" t="n"/>
      <c r="AS232" s="13" t="n"/>
      <c r="AT232" s="13" t="n"/>
      <c r="AU232" s="13" t="n"/>
      <c r="AV232" s="13" t="n"/>
      <c r="AW232" s="13" t="n"/>
      <c r="AX232" s="13" t="n"/>
      <c r="AY232" s="13" t="n"/>
      <c r="AZ232" s="13" t="n"/>
      <c r="BA232" s="13" t="n"/>
      <c r="BB232" s="13" t="n"/>
      <c r="BC232" s="13" t="n"/>
      <c r="BD232" s="13" t="n"/>
      <c r="BE232" s="13" t="n"/>
      <c r="BF232" s="13" t="n"/>
      <c r="BG232" s="13" t="n"/>
      <c r="BH232" s="13" t="n"/>
      <c r="BI232" s="13" t="n"/>
      <c r="BJ232" s="13" t="n"/>
      <c r="BK232" s="13" t="n"/>
      <c r="BL232" s="13" t="n"/>
      <c r="BM232" s="13" t="n"/>
      <c r="BN232" s="13" t="n"/>
      <c r="BO232" s="13" t="n"/>
      <c r="BP232" s="13" t="n"/>
      <c r="BQ232" s="13" t="n"/>
      <c r="BR232" s="13" t="n"/>
      <c r="BS232" s="13" t="n"/>
      <c r="BT232" s="13" t="n"/>
      <c r="BU232" s="13" t="n"/>
      <c r="BV232" s="13" t="n"/>
      <c r="BW232" s="13" t="n"/>
      <c r="BX232" s="13" t="n"/>
      <c r="BY232" s="13" t="n"/>
      <c r="BZ232" s="13" t="n"/>
      <c r="CA232" s="13" t="n"/>
      <c r="CB232" s="13" t="n"/>
      <c r="CC232" s="13" t="n"/>
      <c r="CD232" s="13" t="n"/>
      <c r="CE232" s="13" t="n"/>
      <c r="CF232" s="13" t="n"/>
      <c r="CG232" s="13" t="n"/>
      <c r="CH232" s="13" t="n"/>
      <c r="CI232" s="13" t="n"/>
      <c r="CJ232" s="13" t="n"/>
      <c r="CK232" s="13" t="n"/>
      <c r="CL232" s="13" t="n"/>
      <c r="CM232" s="13" t="n"/>
      <c r="CN232" s="13" t="n"/>
      <c r="CO232" s="13" t="n"/>
      <c r="CP232" s="13" t="n"/>
      <c r="CQ232" s="13" t="n"/>
      <c r="CR232" s="13" t="n"/>
      <c r="CS232" s="13" t="n"/>
      <c r="CT232" s="13" t="n"/>
      <c r="CU232" s="13" t="n"/>
      <c r="CV232" s="13" t="n"/>
      <c r="CW232" s="13" t="n"/>
      <c r="CX232" s="13" t="n"/>
      <c r="CY232" s="13" t="n"/>
      <c r="CZ232" s="13" t="n"/>
      <c r="DA232" s="13" t="n"/>
      <c r="DB232" s="13" t="n"/>
      <c r="DC232" s="13" t="n"/>
      <c r="DD232" s="13" t="n"/>
    </row>
    <row r="233">
      <c r="A233" s="9" t="inlineStr">
        <is>
          <t>Fundings, excl. cstr. loan distr.</t>
        </is>
      </c>
      <c r="B233" s="9" t="n"/>
      <c r="C233" s="342">
        <f>'Project Returns'!E60</f>
        <v/>
      </c>
      <c r="D233" s="700">
        <f>DD233</f>
        <v/>
      </c>
      <c r="E233" s="641" t="n"/>
      <c r="F233" s="293">
        <f>IF(F5&lt;='Project Returns'!$F$32,-(F170+F174)*$C$233-SUM($E$233:E233),0)</f>
        <v/>
      </c>
      <c r="G233" s="293">
        <f>IF(G5&lt;='Project Returns'!$F$32,-(G170+G174)*$C$233-SUM($E$233:F233),0)</f>
        <v/>
      </c>
      <c r="H233" s="293">
        <f>IF(H5&lt;='Project Returns'!$F$32,-(H170+H174)*$C$233-SUM($E$233:G233),0)</f>
        <v/>
      </c>
      <c r="I233" s="293">
        <f>IF(I5&lt;='Project Returns'!$F$32,-(I170+I174)*$C$233-SUM($E$233:H233),0)</f>
        <v/>
      </c>
      <c r="J233" s="293">
        <f>IF(J5&lt;='Project Returns'!$F$32,-(J170+J174)*$C$233-SUM($E$233:I233),0)</f>
        <v/>
      </c>
      <c r="K233" s="293">
        <f>IF(K5&lt;='Project Returns'!$F$32,-(K170+K174)*$C$233-SUM($E$233:J233),0)</f>
        <v/>
      </c>
      <c r="L233" s="293">
        <f>IF(L5&lt;='Project Returns'!$F$32,-(L170+L174)*$C$233-SUM($E$233:K233),0)</f>
        <v/>
      </c>
      <c r="M233" s="293">
        <f>IF(M5&lt;='Project Returns'!$F$32,-(M170+M174)*$C$233-SUM($E$233:L233),0)</f>
        <v/>
      </c>
      <c r="N233" s="293">
        <f>IF(N5&lt;='Project Returns'!$F$32,-(N170+N174)*$C$233-SUM($E$233:M233),0)</f>
        <v/>
      </c>
      <c r="O233" s="293">
        <f>IF(O5&lt;='Project Returns'!$F$32,-(O170+O174)*$C$233-SUM($E$233:N233),0)</f>
        <v/>
      </c>
      <c r="P233" s="293">
        <f>IF(P5&lt;='Project Returns'!$F$32,-(P170+P174)*$C$233-SUM($E$233:O233),0)</f>
        <v/>
      </c>
      <c r="Q233" s="293">
        <f>IF(Q5&lt;='Project Returns'!$F$32,-(Q170+Q174)*$C$233-SUM($E$233:P233),0)</f>
        <v/>
      </c>
      <c r="R233" s="293">
        <f>IF(R5&lt;='Project Returns'!$F$32,-(R170+R174)*$C$233-SUM($E$233:Q233),0)</f>
        <v/>
      </c>
      <c r="S233" s="293">
        <f>IF(S5&lt;='Project Returns'!$F$32,-(S170+S174)*$C$233-SUM($E$233:R233),0)</f>
        <v/>
      </c>
      <c r="T233" s="293">
        <f>IF(T5&lt;='Project Returns'!$F$32,-(T170+T174)*$C$233-SUM($E$233:S233),0)</f>
        <v/>
      </c>
      <c r="U233" s="293">
        <f>IF(U5&lt;='Project Returns'!$F$32,-(U170+U174)*$C$233-SUM($E$233:T233),0)</f>
        <v/>
      </c>
      <c r="V233" s="293">
        <f>IF(V5&lt;='Project Returns'!$F$32,-(V170+V174)*$C$233-SUM($E$233:U233),0)</f>
        <v/>
      </c>
      <c r="W233" s="293">
        <f>IF(W5&lt;='Project Returns'!$F$32,-(W170+W174)*$C$233-SUM($E$233:V233),0)</f>
        <v/>
      </c>
      <c r="X233" s="293">
        <f>IF(X5&lt;='Project Returns'!$F$32,-(X170+X174)*$C$233-SUM($E$233:W233),0)</f>
        <v/>
      </c>
      <c r="Y233" s="293">
        <f>IF(Y5&lt;='Project Returns'!$F$32,-(Y170+Y174)*$C$233-SUM($E$233:X233),0)</f>
        <v/>
      </c>
      <c r="Z233" s="293">
        <f>IF(Z5&lt;='Project Returns'!$F$32,-(Z170+Z174)*$C$233-SUM($E$233:Y233),0)</f>
        <v/>
      </c>
      <c r="AA233" s="293">
        <f>IF(AA5&lt;='Project Returns'!$F$32,-(AA170+AA174)*$C$233-SUM($E$233:Z233),0)</f>
        <v/>
      </c>
      <c r="AB233" s="293">
        <f>IF(AB5&lt;='Project Returns'!$F$32,-(AB170+AB174)*$C$233-SUM($E$233:AA233),0)</f>
        <v/>
      </c>
      <c r="AC233" s="293">
        <f>IF(AC5&lt;='Project Returns'!$F$32,-(AC170+AC174)*$C$233-SUM($E$233:AB233),0)</f>
        <v/>
      </c>
      <c r="AD233" s="293">
        <f>IF(AD5&lt;='Project Returns'!$F$32,-(AD170+AD174)*$C$233-SUM($E$233:AC233),0)</f>
        <v/>
      </c>
      <c r="AE233" s="293">
        <f>IF(AE5&lt;='Project Returns'!$F$32,-(AE170+AE174)*$C$233-SUM($E$233:AD233),0)</f>
        <v/>
      </c>
      <c r="AF233" s="293">
        <f>IF(AF5&lt;='Project Returns'!$F$32,-(AF170+AF174)*$C$233-SUM($E$233:AE233),0)</f>
        <v/>
      </c>
      <c r="AG233" s="293">
        <f>IF(AG5&lt;='Project Returns'!$F$32,-(AG170+AG174)*$C$233-SUM($E$233:AF233),0)</f>
        <v/>
      </c>
      <c r="AH233" s="293">
        <f>IF(AH5&lt;='Project Returns'!$F$32,-(AH170+AH174)*$C$233-SUM($E$233:AG233),0)</f>
        <v/>
      </c>
      <c r="AI233" s="293">
        <f>IF(AI5&lt;='Project Returns'!$F$32,-(AI170+AI174)*$C$233-SUM($E$233:AH233),0)</f>
        <v/>
      </c>
      <c r="AJ233" s="293">
        <f>IF(AJ5&lt;='Project Returns'!$F$32,-(AJ170+AJ174)*$C$233-SUM($E$233:AI233),0)</f>
        <v/>
      </c>
      <c r="AK233" s="293">
        <f>IF(AK5&lt;='Project Returns'!$F$32,-(AK170+AK174)*$C$233-SUM($E$233:AJ233),0)</f>
        <v/>
      </c>
      <c r="AL233" s="293">
        <f>IF(AL5&lt;='Project Returns'!$F$32,-(AL170+AL174)*$C$233-SUM($E$233:AK233),0)</f>
        <v/>
      </c>
      <c r="AM233" s="293">
        <f>IF(AM5&lt;='Project Returns'!$F$32,-(AM170+AM174)*$C$233-SUM($E$233:AL233),0)</f>
        <v/>
      </c>
      <c r="AN233" s="293">
        <f>IF(AN5&lt;='Project Returns'!$F$32,-(AN170+AN174)*$C$233-SUM($E$233:AM233),0)</f>
        <v/>
      </c>
      <c r="AO233" s="293">
        <f>IF(AO5&lt;='Project Returns'!$F$32,-(AO170+AO174)*$C$233-SUM($E$233:AN233),0)</f>
        <v/>
      </c>
      <c r="AP233" s="293">
        <f>IF(AP5&lt;='Project Returns'!$F$32,-(AP170+AP174)*$C$233-SUM($E$233:AO233),0)</f>
        <v/>
      </c>
      <c r="AQ233" s="293">
        <f>IF(AQ5&lt;='Project Returns'!$F$32,-(AQ170+AQ174)*$C$233-SUM($E$233:AP233),0)</f>
        <v/>
      </c>
      <c r="AR233" s="293">
        <f>IF(AR5&lt;='Project Returns'!$F$32,-(AR170+AR174)*$C$233-SUM($E$233:AQ233),0)</f>
        <v/>
      </c>
      <c r="AS233" s="293">
        <f>IF(AS5&lt;='Project Returns'!$F$32,-(AS170+AS174)*$C$233-SUM($E$233:AR233),0)</f>
        <v/>
      </c>
      <c r="AT233" s="293">
        <f>IF(AT5&lt;='Project Returns'!$F$32,-(AT170+AT174)*$C$233-SUM($E$233:AS233),0)</f>
        <v/>
      </c>
      <c r="AU233" s="293">
        <f>IF(AU5&lt;='Project Returns'!$F$32,-(AU170+AU174)*$C$233-SUM($E$233:AT233),0)</f>
        <v/>
      </c>
      <c r="AV233" s="293">
        <f>IF(AV5&lt;='Project Returns'!$F$32,-(AV170+AV174)*$C$233-SUM($E$233:AU233),0)</f>
        <v/>
      </c>
      <c r="AW233" s="293">
        <f>IF(AW5&lt;='Project Returns'!$F$32,-(AW170+AW174)*$C$233-SUM($E$233:AV233),0)</f>
        <v/>
      </c>
      <c r="AX233" s="293">
        <f>IF(AX5&lt;='Project Returns'!$F$32,-(AX170+AX174)*$C$233-SUM($E$233:AW233),0)</f>
        <v/>
      </c>
      <c r="AY233" s="293">
        <f>IF(AY5&lt;='Project Returns'!$F$32,-(AY170+AY174)*$C$233-SUM($E$233:AX233),0)</f>
        <v/>
      </c>
      <c r="AZ233" s="293">
        <f>IF(AZ5&lt;='Project Returns'!$F$32,-(AZ170+AZ174)*$C$233-SUM($E$233:AY233),0)</f>
        <v/>
      </c>
      <c r="BA233" s="293">
        <f>IF(BA5&lt;='Project Returns'!$F$32,-(BA170+BA174)*$C$233-SUM($E$233:AZ233),0)</f>
        <v/>
      </c>
      <c r="BB233" s="293">
        <f>IF(BB5&lt;='Project Returns'!$F$32,-(BB170+BB174)*$C$233-SUM($E$233:BA233),0)</f>
        <v/>
      </c>
      <c r="BC233" s="293">
        <f>IF(BC5&lt;='Project Returns'!$F$32,-(BC170+BC174)*$C$233-SUM($E$233:BB233),0)</f>
        <v/>
      </c>
      <c r="BD233" s="293">
        <f>IF(BD5&lt;='Project Returns'!$F$32,-(BD170+BD174)*$C$233-SUM($E$233:BC233),0)</f>
        <v/>
      </c>
      <c r="BE233" s="293">
        <f>IF(BE5&lt;='Project Returns'!$F$32,-(BE170+BE174)*$C$233-SUM($E$233:BD233),0)</f>
        <v/>
      </c>
      <c r="BF233" s="293">
        <f>IF(BF5&lt;='Project Returns'!$F$32,-(BF170+BF174)*$C$233-SUM($E$233:BE233),0)</f>
        <v/>
      </c>
      <c r="BG233" s="293">
        <f>IF(BG5&lt;='Project Returns'!$F$32,-(BG170+BG174)*$C$233-SUM($E$233:BF233),0)</f>
        <v/>
      </c>
      <c r="BH233" s="293">
        <f>IF(BH5&lt;='Project Returns'!$F$32,-(BH170+BH174)*$C$233-SUM($E$233:BG233),0)</f>
        <v/>
      </c>
      <c r="BI233" s="293">
        <f>IF(BI5&lt;='Project Returns'!$F$32,-(BI170+BI174)*$C$233-SUM($E$233:BH233),0)</f>
        <v/>
      </c>
      <c r="BJ233" s="293">
        <f>IF(BJ5&lt;='Project Returns'!$F$32,-(BJ170+BJ174)*$C$233-SUM($E$233:BI233),0)</f>
        <v/>
      </c>
      <c r="BK233" s="293">
        <f>IF(BK5&lt;='Project Returns'!$F$32,-(BK170+BK174)*$C$233-SUM($E$233:BJ233),0)</f>
        <v/>
      </c>
      <c r="BL233" s="293">
        <f>IF(BL5&lt;='Project Returns'!$F$32,-(BL170+BL174)*$C$233-SUM($E$233:BK233),0)</f>
        <v/>
      </c>
      <c r="BM233" s="293">
        <f>IF(BM5&lt;='Project Returns'!$F$32,-(BM170+BM174)*$C$233-SUM($E$233:BL233),0)</f>
        <v/>
      </c>
      <c r="BN233" s="293">
        <f>IF(BN5&lt;='Project Returns'!$F$32,-(BN170+BN174)*$C$233-SUM($E$233:BM233),0)</f>
        <v/>
      </c>
      <c r="BO233" s="293">
        <f>IF(BO5&lt;='Project Returns'!$F$32,-(BO170+BO174)*$C$233-SUM($E$233:BN233),0)</f>
        <v/>
      </c>
      <c r="BP233" s="293">
        <f>IF(BP5&lt;='Project Returns'!$F$32,-(BP170+BP174)*$C$233-SUM($E$233:BO233),0)</f>
        <v/>
      </c>
      <c r="BQ233" s="293">
        <f>IF(BQ5&lt;='Project Returns'!$F$32,-(BQ170+BQ174)*$C$233-SUM($E$233:BP233),0)</f>
        <v/>
      </c>
      <c r="BR233" s="293">
        <f>IF(BR5&lt;='Project Returns'!$F$32,-(BR170+BR174)*$C$233-SUM($E$233:BQ233),0)</f>
        <v/>
      </c>
      <c r="BS233" s="293">
        <f>IF(BS5&lt;='Project Returns'!$F$32,-(BS170+BS174)*$C$233-SUM($E$233:BR233),0)</f>
        <v/>
      </c>
      <c r="BT233" s="293">
        <f>IF(BT5&lt;='Project Returns'!$F$32,-(BT170+BT174)*$C$233-SUM($E$233:BS233),0)</f>
        <v/>
      </c>
      <c r="BU233" s="293">
        <f>IF(BU5&lt;='Project Returns'!$F$32,-(BU170+BU174)*$C$233-SUM($E$233:BT233),0)</f>
        <v/>
      </c>
      <c r="BV233" s="293">
        <f>IF(BV5&lt;='Project Returns'!$F$32,-(BV170+BV174)*$C$233-SUM($E$233:BU233),0)</f>
        <v/>
      </c>
      <c r="BW233" s="293">
        <f>IF(BW5&lt;='Project Returns'!$F$32,-(BW170+BW174)*$C$233-SUM($E$233:BV233),0)</f>
        <v/>
      </c>
      <c r="BX233" s="293">
        <f>IF(BX5&lt;='Project Returns'!$F$32,-(BX170+BX174)*$C$233-SUM($E$233:BW233),0)</f>
        <v/>
      </c>
      <c r="BY233" s="293">
        <f>IF(BY5&lt;='Project Returns'!$F$32,-(BY170+BY174)*$C$233-SUM($E$233:BX233),0)</f>
        <v/>
      </c>
      <c r="BZ233" s="293">
        <f>IF(BZ5&lt;='Project Returns'!$F$32,-(BZ170+BZ174)*$C$233-SUM($E$233:BY233),0)</f>
        <v/>
      </c>
      <c r="CA233" s="293">
        <f>IF(CA5&lt;='Project Returns'!$F$32,-(CA170+CA174)*$C$233-SUM($E$233:BZ233),0)</f>
        <v/>
      </c>
      <c r="CB233" s="293">
        <f>IF(CB5&lt;='Project Returns'!$F$32,-(CB170+CB174)*$C$233-SUM($E$233:CA233),0)</f>
        <v/>
      </c>
      <c r="CC233" s="293">
        <f>IF(CC5&lt;='Project Returns'!$F$32,-(CC170+CC174)*$C$233-SUM($E$233:CB233),0)</f>
        <v/>
      </c>
      <c r="CD233" s="293">
        <f>IF(CD5&lt;='Project Returns'!$F$32,-(CD170+CD174)*$C$233-SUM($E$233:CC233),0)</f>
        <v/>
      </c>
      <c r="CE233" s="293">
        <f>IF(CE5&lt;='Project Returns'!$F$32,-(CE170+CE174)*$C$233-SUM($E$233:CD233),0)</f>
        <v/>
      </c>
      <c r="CF233" s="293">
        <f>IF(CF5&lt;='Project Returns'!$F$32,-(CF170+CF174)*$C$233-SUM($E$233:CE233),0)</f>
        <v/>
      </c>
      <c r="CG233" s="293">
        <f>IF(CG5&lt;='Project Returns'!$F$32,-(CG170+CG174)*$C$233-SUM($E$233:CF233),0)</f>
        <v/>
      </c>
      <c r="CH233" s="293">
        <f>IF(CH5&lt;='Project Returns'!$F$32,-(CH170+CH174)*$C$233-SUM($E$233:CG233),0)</f>
        <v/>
      </c>
      <c r="CI233" s="293">
        <f>IF(CI5&lt;='Project Returns'!$F$32,-(CI170+CI174)*$C$233-SUM($E$233:CH233),0)</f>
        <v/>
      </c>
      <c r="CJ233" s="293">
        <f>IF(CJ5&lt;='Project Returns'!$F$32,-(CJ170+CJ174)*$C$233-SUM($E$233:CI233),0)</f>
        <v/>
      </c>
      <c r="CK233" s="293">
        <f>IF(CK5&lt;='Project Returns'!$F$32,-(CK170+CK174)*$C$233-SUM($E$233:CJ233),0)</f>
        <v/>
      </c>
      <c r="CL233" s="293">
        <f>IF(CL5&lt;='Project Returns'!$F$32,-(CL170+CL174)*$C$233-SUM($E$233:CK233),0)</f>
        <v/>
      </c>
      <c r="CM233" s="293">
        <f>IF(CM5&lt;='Project Returns'!$F$32,-(CM170+CM174)*$C$233-SUM($E$233:CL233),0)</f>
        <v/>
      </c>
      <c r="CN233" s="293">
        <f>IF(CN5&lt;='Project Returns'!$F$32,-(CN170+CN174)*$C$233-SUM($E$233:CM233),0)</f>
        <v/>
      </c>
      <c r="CO233" s="293">
        <f>IF(CO5&lt;='Project Returns'!$F$32,-(CO170+CO174)*$C$233-SUM($E$233:CN233),0)</f>
        <v/>
      </c>
      <c r="CP233" s="293">
        <f>IF(CP5&lt;='Project Returns'!$F$32,-(CP170+CP174)*$C$233-SUM($E$233:CO233),0)</f>
        <v/>
      </c>
      <c r="CQ233" s="293">
        <f>IF(CQ5&lt;='Project Returns'!$F$32,-(CQ170+CQ174)*$C$233-SUM($E$233:CP233),0)</f>
        <v/>
      </c>
      <c r="CR233" s="293">
        <f>IF(CR5&lt;='Project Returns'!$F$32,-(CR170+CR174)*$C$233-SUM($E$233:CQ233),0)</f>
        <v/>
      </c>
      <c r="CS233" s="293">
        <f>IF(CS5&lt;='Project Returns'!$F$32,-(CS170+CS174)*$C$233-SUM($E$233:CR233),0)</f>
        <v/>
      </c>
      <c r="CT233" s="293">
        <f>IF(CT5&lt;='Project Returns'!$F$32,-(CT170+CT174)*$C$233-SUM($E$233:CS233),0)</f>
        <v/>
      </c>
      <c r="CU233" s="293">
        <f>IF(CU5&lt;='Project Returns'!$F$32,-(CU170+CU174)*$C$233-SUM($E$233:CT233),0)</f>
        <v/>
      </c>
      <c r="CV233" s="293">
        <f>IF(CV5&lt;='Project Returns'!$F$32,-(CV170+CV174)*$C$233-SUM($E$233:CU233),0)</f>
        <v/>
      </c>
      <c r="CW233" s="293">
        <f>IF(CW5&lt;='Project Returns'!$F$32,-(CW170+CW174)*$C$233-SUM($E$233:CV233),0)</f>
        <v/>
      </c>
      <c r="CX233" s="293">
        <f>IF(CX5&lt;='Project Returns'!$F$32,-(CX170+CX174)*$C$233-SUM($E$233:CW233),0)</f>
        <v/>
      </c>
      <c r="CY233" s="293">
        <f>IF(CY5&lt;='Project Returns'!$F$32,-(CY170+CY174)*$C$233-SUM($E$233:CX233),0)</f>
        <v/>
      </c>
      <c r="CZ233" s="293">
        <f>IF(CZ5&lt;='Project Returns'!$F$32,-(CZ170+CZ174)*$C$233-SUM($E$233:CY233),0)</f>
        <v/>
      </c>
      <c r="DA233" s="293">
        <f>IF(DA5&lt;='Project Returns'!$F$32,-(DA170+DA174)*$C$233-SUM($E$233:CZ233),0)</f>
        <v/>
      </c>
      <c r="DB233" s="293">
        <f>IF(DB5&lt;='Project Returns'!$F$32,-(DB170+DB174)*$C$233-SUM($E$233:DA233),0)</f>
        <v/>
      </c>
      <c r="DC233" s="293" t="n"/>
      <c r="DD233" s="292">
        <f>SUM(F233:DB233)</f>
        <v/>
      </c>
    </row>
    <row r="234">
      <c r="A234" s="9" t="inlineStr">
        <is>
          <t>Preferred Return</t>
        </is>
      </c>
      <c r="B234" s="9" t="n"/>
      <c r="C234" s="342" t="n"/>
      <c r="D234" s="294">
        <f>DD234</f>
        <v/>
      </c>
      <c r="E234" s="274" t="n"/>
      <c r="F234" s="273" t="n"/>
      <c r="G234" s="273">
        <f>IF(MAX($G$170:G170)+G174&lt;$D$170+$D$174,MIN(MAX(0,SUM($G$222:G$222)-SUM($F$234:F$234)-SUM($F$234:F$234)-SUM($F$228:F$228)-SUM($F$236:F$236)-($D$170-MAX($F$170:F170)+$D$174-F174))*$C233,SUM($G$261:G$261)-SUM($F234:F234)),MIN((G$222)*$C233,SUM($G$261:G$261)-SUM($F234:F234)))</f>
        <v/>
      </c>
      <c r="H234" s="273">
        <f>IF(MAX($G$170:H170)+H174&lt;$D$170+$D$174,MIN(MAX(0,SUM($G$222:H$222)-SUM($F$234:G$234)-SUM($F$234:G$234)-SUM($F$228:G$228)-SUM($F$236:G$236)-($D$170-MAX($F$170:G170)+$D$174-G174))*$C233,SUM($G$261:H$261)-SUM($F234:G234)),MIN((H$222)*$C233,SUM($G$261:H$261)-SUM($F234:G234)))</f>
        <v/>
      </c>
      <c r="I234" s="273">
        <f>IF(MAX($G$170:I170)+I174&lt;$D$170+$D$174,MIN(MAX(0,SUM($G$222:I$222)-SUM($F$234:H$234)-SUM($F$234:H$234)-SUM($F$228:H$228)-SUM($F$236:H$236)-($D$170-MAX($F$170:H170)+$D$174-H174))*$C233,SUM($G$261:I$261)-SUM($F234:H234)),MIN((I$222)*$C233,SUM($G$261:I$261)-SUM($F234:H234)))</f>
        <v/>
      </c>
      <c r="J234" s="273">
        <f>IF(MAX($G$170:J170)+J174&lt;$D$170+$D$174,MIN(MAX(0,SUM($G$222:J$222)-SUM($F$234:I$234)-SUM($F$234:I$234)-SUM($F$228:I$228)-SUM($F$236:I$236)-($D$170-MAX($F$170:I170)+$D$174-I174))*$C233,SUM($G$261:J$261)-SUM($F234:I234)),MIN((J$222)*$C233,SUM($G$261:J$261)-SUM($F234:I234)))</f>
        <v/>
      </c>
      <c r="K234" s="273">
        <f>IF(MAX($G$170:K170)+K174&lt;$D$170+$D$174,MIN(MAX(0,SUM($G$222:K$222)-SUM($F$234:J$234)-SUM($F$234:J$234)-SUM($F$228:J$228)-SUM($F$236:J$236)-($D$170-MAX($F$170:J170)+$D$174-J174))*$C233,SUM($G$261:K$261)-SUM($F234:J234)),MIN((K$222)*$C233,SUM($G$261:K$261)-SUM($F234:J234)))</f>
        <v/>
      </c>
      <c r="L234" s="273">
        <f>IF(MAX($G$170:L170)+L174&lt;$D$170+$D$174,MIN(MAX(0,SUM($G$222:L$222)-SUM($F$234:K$234)-SUM($F$234:K$234)-SUM($F$228:K$228)-SUM($F$236:K$236)-($D$170-MAX($F$170:K170)+$D$174-K174))*$C233,SUM($G$261:L$261)-SUM($F234:K234)),MIN((L$222)*$C233,SUM($G$261:L$261)-SUM($F234:K234)))</f>
        <v/>
      </c>
      <c r="M234" s="273">
        <f>IF(MAX($G$170:M170)+M174&lt;$D$170+$D$174,MIN(MAX(0,SUM($G$222:M$222)-SUM($F$234:L$234)-SUM($F$234:L$234)-SUM($F$228:L$228)-SUM($F$236:L$236)-($D$170-MAX($F$170:L170)+$D$174-L174))*$C233,SUM($G$261:M$261)-SUM($F234:L234)),MIN((M$222)*$C233,SUM($G$261:M$261)-SUM($F234:L234)))</f>
        <v/>
      </c>
      <c r="N234" s="273">
        <f>IF(MAX($G$170:N170)+N174&lt;$D$170+$D$174,MIN(MAX(0,SUM($G$222:N$222)-SUM($F$234:M$234)-SUM($F$234:M$234)-SUM($F$228:M$228)-SUM($F$236:M$236)-($D$170-MAX($F$170:M170)+$D$174-M174))*$C233,SUM($G$261:N$261)-SUM($F234:M234)),MIN((N$222)*$C233,SUM($G$261:N$261)-SUM($F234:M234)))</f>
        <v/>
      </c>
      <c r="O234" s="273">
        <f>IF(MAX($G$170:O170)+O174&lt;$D$170+$D$174,MIN(MAX(0,SUM($G$222:O$222)-SUM($F$234:N$234)-SUM($F$234:N$234)-SUM($F$228:N$228)-SUM($F$236:N$236)-($D$170-MAX($F$170:N170)+$D$174-N174))*$C233,SUM($G$261:O$261)-SUM($F234:N234)),MIN((O$222)*$C233,SUM($G$261:O$261)-SUM($F234:N234)))</f>
        <v/>
      </c>
      <c r="P234" s="273">
        <f>IF(MAX($G$170:P170)+P174&lt;$D$170+$D$174,MIN(MAX(0,SUM($G$222:P$222)-SUM($F$234:O$234)-SUM($F$234:O$234)-SUM($F$228:O$228)-SUM($F$236:O$236)-($D$170-MAX($F$170:O170)+$D$174-O174))*$C233,SUM($G$261:P$261)-SUM($F234:O234)),MIN((P$222)*$C233,SUM($G$261:P$261)-SUM($F234:O234)))</f>
        <v/>
      </c>
      <c r="Q234" s="273">
        <f>IF(MAX($G$170:Q170)+Q174&lt;$D$170+$D$174,MIN(MAX(0,SUM($G$222:Q$222)-SUM($F$234:P$234)-SUM($F$234:P$234)-SUM($F$228:P$228)-SUM($F$236:P$236)-($D$170-MAX($F$170:P170)+$D$174-P174))*$C233,SUM($G$261:Q$261)-SUM($F234:P234)),MIN((Q$222)*$C233,SUM($G$261:Q$261)-SUM($F234:P234)))</f>
        <v/>
      </c>
      <c r="R234" s="273">
        <f>IF(MAX($G$170:R170)+R174&lt;$D$170+$D$174,MIN(MAX(0,SUM($G$222:R$222)-SUM($F$234:Q$234)-SUM($F$234:Q$234)-SUM($F$228:Q$228)-SUM($F$236:Q$236)-($D$170-MAX($F$170:Q170)+$D$174-Q174))*$C233,SUM($G$261:R$261)-SUM($F234:Q234)),MIN((R$222)*$C233,SUM($G$261:R$261)-SUM($F234:Q234)))</f>
        <v/>
      </c>
      <c r="S234" s="273">
        <f>IF(MAX($G$170:S170)+S174&lt;$D$170+$D$174,MIN(MAX(0,SUM($G$222:S$222)-SUM($F$234:R$234)-SUM($F$234:R$234)-SUM($F$228:R$228)-SUM($F$236:R$236)-($D$170-MAX($F$170:R170)+$D$174-R174))*$C233,SUM($G$261:S$261)-SUM($F234:R234)),MIN((S$222)*$C233,SUM($G$261:S$261)-SUM($F234:R234)))</f>
        <v/>
      </c>
      <c r="T234" s="273">
        <f>IF(MAX($G$170:T170)+T174&lt;$D$170+$D$174,MIN(MAX(0,SUM($G$222:T$222)-SUM($F$234:S$234)-SUM($F$234:S$234)-SUM($F$228:S$228)-SUM($F$236:S$236)-($D$170-MAX($F$170:S170)+$D$174-S174))*$C233,SUM($G$261:T$261)-SUM($F234:S234)),MIN((T$222)*$C233,SUM($G$261:T$261)-SUM($F234:S234)))</f>
        <v/>
      </c>
      <c r="U234" s="273">
        <f>IF(MAX($G$170:U170)+U174&lt;$D$170+$D$174,MIN(MAX(0,SUM($G$222:U$222)-SUM($F$234:T$234)-SUM($F$234:T$234)-SUM($F$228:T$228)-SUM($F$236:T$236)-($D$170-MAX($F$170:T170)+$D$174-T174))*$C233,SUM($G$261:U$261)-SUM($F234:T234)),MIN((U$222)*$C233,SUM($G$261:U$261)-SUM($F234:T234)))</f>
        <v/>
      </c>
      <c r="V234" s="273">
        <f>IF(MAX($G$170:V170)+V174&lt;$D$170+$D$174,MIN(MAX(0,SUM($G$222:V$222)-SUM($F$234:U$234)-SUM($F$234:U$234)-SUM($F$228:U$228)-SUM($F$236:U$236)-($D$170-MAX($F$170:U170)+$D$174-U174))*$C233,SUM($G$261:V$261)-SUM($F234:U234)),MIN((V$222)*$C233,SUM($G$261:V$261)-SUM($F234:U234)))</f>
        <v/>
      </c>
      <c r="W234" s="273">
        <f>IF(MAX($G$170:W170)+W174&lt;$D$170+$D$174,MIN(MAX(0,SUM($G$222:W$222)-SUM($F$234:V$234)-SUM($F$234:V$234)-SUM($F$228:V$228)-SUM($F$236:V$236)-($D$170-MAX($F$170:V170)+$D$174-V174))*$C233,SUM($G$261:W$261)-SUM($F234:V234)),MIN((W$222)*$C233,SUM($G$261:W$261)-SUM($F234:V234)))</f>
        <v/>
      </c>
      <c r="X234" s="273">
        <f>IF(MAX($G$170:X170)+X174&lt;$D$170+$D$174,MIN(MAX(0,SUM($G$222:X$222)-SUM($F$234:W$234)-SUM($F$234:W$234)-SUM($F$228:W$228)-SUM($F$236:W$236)-($D$170-MAX($F$170:W170)+$D$174-W174))*$C233,SUM($G$261:X$261)-SUM($F234:W234)),MIN((X$222)*$C233,SUM($G$261:X$261)-SUM($F234:W234)))</f>
        <v/>
      </c>
      <c r="Y234" s="273">
        <f>IF(MAX($G$170:Y170)+Y174&lt;$D$170+$D$174,MIN(MAX(0,SUM($G$222:Y$222)-SUM($F$234:X$234)-SUM($F$234:X$234)-SUM($F$228:X$228)-SUM($F$236:X$236)-($D$170-MAX($F$170:X170)+$D$174-X174))*$C233,SUM($G$261:Y$261)-SUM($F234:X234)),MIN((Y$222)*$C233,SUM($G$261:Y$261)-SUM($F234:X234)))</f>
        <v/>
      </c>
      <c r="Z234" s="273">
        <f>IF(MAX($G$170:Z170)+Z174&lt;$D$170+$D$174,MIN(MAX(0,SUM($G$222:Z$222)-SUM($F$234:Y$234)-SUM($F$234:Y$234)-SUM($F$228:Y$228)-SUM($F$236:Y$236)-($D$170-MAX($F$170:Y170)+$D$174-Y174))*$C233,SUM($G$261:Z$261)-SUM($F234:Y234)),MIN((Z$222)*$C233,SUM($G$261:Z$261)-SUM($F234:Y234)))</f>
        <v/>
      </c>
      <c r="AA234" s="273">
        <f>IF(MAX($G$170:AA170)+AA174&lt;$D$170+$D$174,MIN(MAX(0,SUM($G$222:AA$222)-SUM($F$234:Z$234)-SUM($F$234:Z$234)-SUM($F$228:Z$228)-SUM($F$236:Z$236)-($D$170-MAX($F$170:Z170)+$D$174-Z174))*$C233,SUM($G$261:AA$261)-SUM($F234:Z234)),MIN((AA$222)*$C233,SUM($G$261:AA$261)-SUM($F234:Z234)))</f>
        <v/>
      </c>
      <c r="AB234" s="273">
        <f>IF(MAX($G$170:AB170)+AB174&lt;$D$170+$D$174,MIN(MAX(0,SUM($G$222:AB$222)-SUM($F$234:AA$234)-SUM($F$234:AA$234)-SUM($F$228:AA$228)-SUM($F$236:AA$236)-($D$170-MAX($F$170:AA170)+$D$174-AA174))*$C233,SUM($G$261:AB$261)-SUM($F234:AA234)),MIN((AB$222)*$C233,SUM($G$261:AB$261)-SUM($F234:AA234)))</f>
        <v/>
      </c>
      <c r="AC234" s="273">
        <f>IF(MAX($G$170:AC170)+AC174&lt;$D$170+$D$174,MIN(MAX(0,SUM($G$222:AC$222)-SUM($F$234:AB$234)-SUM($F$234:AB$234)-SUM($F$228:AB$228)-SUM($F$236:AB$236)-($D$170-MAX($F$170:AB170)+$D$174-AB174))*$C233,SUM($G$261:AC$261)-SUM($F234:AB234)),MIN((AC$222)*$C233,SUM($G$261:AC$261)-SUM($F234:AB234)))</f>
        <v/>
      </c>
      <c r="AD234" s="273">
        <f>IF(MAX($G$170:AD170)+AD174&lt;$D$170+$D$174,MIN(MAX(0,SUM($G$222:AD$222)-SUM($F$234:AC$234)-SUM($F$234:AC$234)-SUM($F$228:AC$228)-SUM($F$236:AC$236)-($D$170-MAX($F$170:AC170)+$D$174-AC174))*$C233,SUM($G$261:AD$261)-SUM($F234:AC234)),MIN((AD$222)*$C233,SUM($G$261:AD$261)-SUM($F234:AC234)))</f>
        <v/>
      </c>
      <c r="AE234" s="273">
        <f>IF(MAX($G$170:AE170)+AE174&lt;$D$170+$D$174,MIN(MAX(0,SUM($G$222:AE$222)-SUM($F$234:AD$234)-SUM($F$234:AD$234)-SUM($F$228:AD$228)-SUM($F$236:AD$236)-($D$170-MAX($F$170:AD170)+$D$174-AD174))*$C233,SUM($G$261:AE$261)-SUM($F234:AD234)),MIN((AE$222)*$C233,SUM($G$261:AE$261)-SUM($F234:AD234)))</f>
        <v/>
      </c>
      <c r="AF234" s="273">
        <f>IF(MAX($G$170:AF170)+AF174&lt;$D$170+$D$174,MIN(MAX(0,SUM($G$222:AF$222)-SUM($F$234:AE$234)-SUM($F$234:AE$234)-SUM($F$228:AE$228)-SUM($F$236:AE$236)-($D$170-MAX($F$170:AE170)+$D$174-AE174))*$C233,SUM($G$261:AF$261)-SUM($F234:AE234)),MIN((AF$222)*$C233,SUM($G$261:AF$261)-SUM($F234:AE234)))</f>
        <v/>
      </c>
      <c r="AG234" s="273">
        <f>IF(MAX($G$170:AG170)+AG174&lt;$D$170+$D$174,MIN(MAX(0,SUM($G$222:AG$222)-SUM($F$234:AF$234)-SUM($F$234:AF$234)-SUM($F$228:AF$228)-SUM($F$236:AF$236)-($D$170-MAX($F$170:AF170)+$D$174-AF174))*$C233,SUM($G$261:AG$261)-SUM($F234:AF234)),MIN((AG$222)*$C233,SUM($G$261:AG$261)-SUM($F234:AF234)))</f>
        <v/>
      </c>
      <c r="AH234" s="273">
        <f>IF(MAX($G$170:AH170)+AH174&lt;$D$170+$D$174,MIN(MAX(0,SUM($G$222:AH$222)-SUM($F$234:AG$234)-SUM($F$234:AG$234)-SUM($F$228:AG$228)-SUM($F$236:AG$236)-($D$170-MAX($F$170:AG170)+$D$174-AG174))*$C233,SUM($G$261:AH$261)-SUM($F234:AG234)),MIN((AH$222)*$C233,SUM($G$261:AH$261)-SUM($F234:AG234)))</f>
        <v/>
      </c>
      <c r="AI234" s="273">
        <f>IF(MAX($G$170:AI170)+AI174&lt;$D$170+$D$174,MIN(MAX(0,SUM($G$222:AI$222)-SUM($F$234:AH$234)-SUM($F$234:AH$234)-SUM($F$228:AH$228)-SUM($F$236:AH$236)-($D$170-MAX($F$170:AH170)+$D$174-AH174))*$C233,SUM($G$261:AI$261)-SUM($F234:AH234)),MIN((AI$222)*$C233,SUM($G$261:AI$261)-SUM($F234:AH234)))</f>
        <v/>
      </c>
      <c r="AJ234" s="273">
        <f>IF(MAX($G$170:AJ170)+AJ174&lt;$D$170+$D$174,MIN(MAX(0,SUM($G$222:AJ$222)-SUM($F$234:AI$234)-SUM($F$234:AI$234)-SUM($F$228:AI$228)-SUM($F$236:AI$236)-($D$170-MAX($F$170:AI170)+$D$174-AI174))*$C233,SUM($G$261:AJ$261)-SUM($F234:AI234)),MIN((AJ$222)*$C233,SUM($G$261:AJ$261)-SUM($F234:AI234)))</f>
        <v/>
      </c>
      <c r="AK234" s="273">
        <f>IF(MAX($G$170:AK170)+AK174&lt;$D$170+$D$174,MIN(MAX(0,SUM($G$222:AK$222)-SUM($F$234:AJ$234)-SUM($F$234:AJ$234)-SUM($F$228:AJ$228)-SUM($F$236:AJ$236)-($D$170-MAX($F$170:AJ170)+$D$174-AJ174))*$C233,SUM($G$261:AK$261)-SUM($F234:AJ234)),MIN((AK$222)*$C233,SUM($G$261:AK$261)-SUM($F234:AJ234)))</f>
        <v/>
      </c>
      <c r="AL234" s="273">
        <f>IF(MAX($G$170:AL170)+AL174&lt;$D$170+$D$174,MIN(MAX(0,SUM($G$222:AL$222)-SUM($F$234:AK$234)-SUM($F$234:AK$234)-SUM($F$228:AK$228)-SUM($F$236:AK$236)-($D$170-MAX($F$170:AK170)+$D$174-AK174))*$C233,SUM($G$261:AL$261)-SUM($F234:AK234)),MIN((AL$222)*$C233,SUM($G$261:AL$261)-SUM($F234:AK234)))</f>
        <v/>
      </c>
      <c r="AM234" s="273">
        <f>IF(MAX($G$170:AM170)+AM174&lt;$D$170+$D$174,MIN(MAX(0,SUM($G$222:AM$222)-SUM($F$234:AL$234)-SUM($F$234:AL$234)-SUM($F$228:AL$228)-SUM($F$236:AL$236)-($D$170-MAX($F$170:AL170)+$D$174-AL174))*$C233,SUM($G$261:AM$261)-SUM($F234:AL234)),MIN((AM$222)*$C233,SUM($G$261:AM$261)-SUM($F234:AL234)))</f>
        <v/>
      </c>
      <c r="AN234" s="273">
        <f>IF(MAX($G$170:AN170)+AN174&lt;$D$170+$D$174,MIN(MAX(0,SUM($G$222:AN$222)-SUM($F$234:AM$234)-SUM($F$234:AM$234)-SUM($F$228:AM$228)-SUM($F$236:AM$236)-($D$170-MAX($F$170:AM170)+$D$174-AM174))*$C233,SUM($G$261:AN$261)-SUM($F234:AM234)),MIN((AN$222)*$C233,SUM($G$261:AN$261)-SUM($F234:AM234)))</f>
        <v/>
      </c>
      <c r="AO234" s="273">
        <f>IF(MAX($G$170:AO170)+AO174&lt;$D$170+$D$174,MIN(MAX(0,SUM($G$222:AO$222)-SUM($F$234:AN$234)-SUM($F$234:AN$234)-SUM($F$228:AN$228)-SUM($F$236:AN$236)-($D$170-MAX($F$170:AN170)+$D$174-AN174))*$C233,SUM($G$261:AO$261)-SUM($F234:AN234)),MIN((AO$222)*$C233,SUM($G$261:AO$261)-SUM($F234:AN234)))</f>
        <v/>
      </c>
      <c r="AP234" s="273">
        <f>IF(MAX($G$170:AP170)+AP174&lt;$D$170+$D$174,MIN(MAX(0,SUM($G$222:AP$222)-SUM($F$234:AO$234)-SUM($F$234:AO$234)-SUM($F$228:AO$228)-SUM($F$236:AO$236)-($D$170-MAX($F$170:AO170)+$D$174-AO174))*$C233,SUM($G$261:AP$261)-SUM($F234:AO234)),MIN((AP$222)*$C233,SUM($G$261:AP$261)-SUM($F234:AO234)))</f>
        <v/>
      </c>
      <c r="AQ234" s="273">
        <f>IF(MAX($G$170:AQ170)+AQ174&lt;$D$170+$D$174,MIN(MAX(0,SUM($G$222:AQ$222)-SUM($F$234:AP$234)-SUM($F$234:AP$234)-SUM($F$228:AP$228)-SUM($F$236:AP$236)-($D$170-MAX($F$170:AP170)+$D$174-AP174))*$C233,SUM($G$261:AQ$261)-SUM($F234:AP234)),MIN((AQ$222)*$C233,SUM($G$261:AQ$261)-SUM($F234:AP234)))</f>
        <v/>
      </c>
      <c r="AR234" s="273">
        <f>IF(MAX($G$170:AR170)+AR174&lt;$D$170+$D$174,MIN(MAX(0,SUM($G$222:AR$222)-SUM($F$234:AQ$234)-SUM($F$234:AQ$234)-SUM($F$228:AQ$228)-SUM($F$236:AQ$236)-($D$170-MAX($F$170:AQ170)+$D$174-AQ174))*$C233,SUM($G$261:AR$261)-SUM($F234:AQ234)),MIN((AR$222)*$C233,SUM($G$261:AR$261)-SUM($F234:AQ234)))</f>
        <v/>
      </c>
      <c r="AS234" s="273">
        <f>IF(MAX($G$170:AS170)+AS174&lt;$D$170+$D$174,MIN(MAX(0,SUM($G$222:AS$222)-SUM($F$234:AR$234)-SUM($F$234:AR$234)-SUM($F$228:AR$228)-SUM($F$236:AR$236)-($D$170-MAX($F$170:AR170)+$D$174-AR174))*$C233,SUM($G$261:AS$261)-SUM($F234:AR234)),MIN((AS$222)*$C233,SUM($G$261:AS$261)-SUM($F234:AR234)))</f>
        <v/>
      </c>
      <c r="AT234" s="273">
        <f>IF(MAX($G$170:AT170)+AT174&lt;$D$170+$D$174,MIN(MAX(0,SUM($G$222:AT$222)-SUM($F$234:AS$234)-SUM($F$234:AS$234)-SUM($F$228:AS$228)-SUM($F$236:AS$236)-($D$170-MAX($F$170:AS170)+$D$174-AS174))*$C233,SUM($G$261:AT$261)-SUM($F234:AS234)),MIN((AT$222)*$C233,SUM($G$261:AT$261)-SUM($F234:AS234)))</f>
        <v/>
      </c>
      <c r="AU234" s="273">
        <f>IF(MAX($G$170:AU170)+AU174&lt;$D$170+$D$174,MIN(MAX(0,SUM($G$222:AU$222)-SUM($F$234:AT$234)-SUM($F$234:AT$234)-SUM($F$228:AT$228)-SUM($F$236:AT$236)-($D$170-MAX($F$170:AT170)+$D$174-AT174))*$C233,SUM($G$261:AU$261)-SUM($F234:AT234)),MIN((AU$222)*$C233,SUM($G$261:AU$261)-SUM($F234:AT234)))</f>
        <v/>
      </c>
      <c r="AV234" s="273">
        <f>IF(MAX($G$170:AV170)+AV174&lt;$D$170+$D$174,MIN(MAX(0,SUM($G$222:AV$222)-SUM($F$234:AU$234)-SUM($F$234:AU$234)-SUM($F$228:AU$228)-SUM($F$236:AU$236)-($D$170-MAX($F$170:AU170)+$D$174-AU174))*$C233,SUM($G$261:AV$261)-SUM($F234:AU234)),MIN((AV$222)*$C233,SUM($G$261:AV$261)-SUM($F234:AU234)))</f>
        <v/>
      </c>
      <c r="AW234" s="273">
        <f>IF(MAX($G$170:AW170)+AW174&lt;$D$170+$D$174,MIN(MAX(0,SUM($G$222:AW$222)-SUM($F$234:AV$234)-SUM($F$234:AV$234)-SUM($F$228:AV$228)-SUM($F$236:AV$236)-($D$170-MAX($F$170:AV170)+$D$174-AV174))*$C233,SUM($G$261:AW$261)-SUM($F234:AV234)),MIN((AW$222)*$C233,SUM($G$261:AW$261)-SUM($F234:AV234)))</f>
        <v/>
      </c>
      <c r="AX234" s="273">
        <f>IF(MAX($G$170:AX170)+AX174&lt;$D$170+$D$174,MIN(MAX(0,SUM($G$222:AX$222)-SUM($F$234:AW$234)-SUM($F$234:AW$234)-SUM($F$228:AW$228)-SUM($F$236:AW$236)-($D$170-MAX($F$170:AW170)+$D$174-AW174))*$C233,SUM($G$261:AX$261)-SUM($F234:AW234)),MIN((AX$222)*$C233,SUM($G$261:AX$261)-SUM($F234:AW234)))</f>
        <v/>
      </c>
      <c r="AY234" s="273">
        <f>IF(MAX($G$170:AY170)+AY174&lt;$D$170+$D$174,MIN(MAX(0,SUM($G$222:AY$222)-SUM($F$234:AX$234)-SUM($F$234:AX$234)-SUM($F$228:AX$228)-SUM($F$236:AX$236)-($D$170-MAX($F$170:AX170)+$D$174-AX174))*$C233,SUM($G$261:AY$261)-SUM($F234:AX234)),MIN((AY$222)*$C233,SUM($G$261:AY$261)-SUM($F234:AX234)))</f>
        <v/>
      </c>
      <c r="AZ234" s="273">
        <f>IF(MAX($G$170:AZ170)+AZ174&lt;$D$170+$D$174,MIN(MAX(0,SUM($G$222:AZ$222)-SUM($F$234:AY$234)-SUM($F$234:AY$234)-SUM($F$228:AY$228)-SUM($F$236:AY$236)-($D$170-MAX($F$170:AY170)+$D$174-AY174))*$C233,SUM($G$261:AZ$261)-SUM($F234:AY234)),MIN((AZ$222)*$C233,SUM($G$261:AZ$261)-SUM($F234:AY234)))</f>
        <v/>
      </c>
      <c r="BA234" s="273">
        <f>IF(MAX($G$170:BA170)+BA174&lt;$D$170+$D$174,MIN(MAX(0,SUM($G$222:BA$222)-SUM($F$234:AZ$234)-SUM($F$234:AZ$234)-SUM($F$228:AZ$228)-SUM($F$236:AZ$236)-($D$170-MAX($F$170:AZ170)+$D$174-AZ174))*$C233,SUM($G$261:BA$261)-SUM($F234:AZ234)),MIN((BA$222)*$C233,SUM($G$261:BA$261)-SUM($F234:AZ234)))</f>
        <v/>
      </c>
      <c r="BB234" s="273">
        <f>IF(MAX($G$170:BB170)+BB174&lt;$D$170+$D$174,MIN(MAX(0,SUM($G$222:BB$222)-SUM($F$234:BA$234)-SUM($F$234:BA$234)-SUM($F$228:BA$228)-SUM($F$236:BA$236)-($D$170-MAX($F$170:BA170)+$D$174-BA174))*$C233,SUM($G$261:BB$261)-SUM($F234:BA234)),MIN((BB$222)*$C233,SUM($G$261:BB$261)-SUM($F234:BA234)))</f>
        <v/>
      </c>
      <c r="BC234" s="273">
        <f>IF(MAX($G$170:BC170)+BC174&lt;$D$170+$D$174,MIN(MAX(0,SUM($G$222:BC$222)-SUM($F$234:BB$234)-SUM($F$234:BB$234)-SUM($F$228:BB$228)-SUM($F$236:BB$236)-($D$170-MAX($F$170:BB170)+$D$174-BB174))*$C233,SUM($G$261:BC$261)-SUM($F234:BB234)),MIN((BC$222)*$C233,SUM($G$261:BC$261)-SUM($F234:BB234)))</f>
        <v/>
      </c>
      <c r="BD234" s="273">
        <f>IF(MAX($G$170:BD170)+BD174&lt;$D$170+$D$174,MIN(MAX(0,SUM($G$222:BD$222)-SUM($F$234:BC$234)-SUM($F$234:BC$234)-SUM($F$228:BC$228)-SUM($F$236:BC$236)-($D$170-MAX($F$170:BC170)+$D$174-BC174))*$C233,SUM($G$261:BD$261)-SUM($F234:BC234)),MIN((BD$222)*$C233,SUM($G$261:BD$261)-SUM($F234:BC234)))</f>
        <v/>
      </c>
      <c r="BE234" s="273">
        <f>IF(MAX($G$170:BE170)+BE174&lt;$D$170+$D$174,MIN(MAX(0,SUM($G$222:BE$222)-SUM($F$234:BD$234)-SUM($F$234:BD$234)-SUM($F$228:BD$228)-SUM($F$236:BD$236)-($D$170-MAX($F$170:BD170)+$D$174-BD174))*$C233,SUM($G$261:BE$261)-SUM($F234:BD234)),MIN((BE$222)*$C233,SUM($G$261:BE$261)-SUM($F234:BD234)))</f>
        <v/>
      </c>
      <c r="BF234" s="273">
        <f>IF(MAX($G$170:BF170)+BF174&lt;$D$170+$D$174,MIN(MAX(0,SUM($G$222:BF$222)-SUM($F$234:BE$234)-SUM($F$234:BE$234)-SUM($F$228:BE$228)-SUM($F$236:BE$236)-($D$170-MAX($F$170:BE170)+$D$174-BE174))*$C233,SUM($G$261:BF$261)-SUM($F234:BE234)),MIN((BF$222)*$C233,SUM($G$261:BF$261)-SUM($F234:BE234)))</f>
        <v/>
      </c>
      <c r="BG234" s="273">
        <f>IF(MAX($G$170:BG170)+BG174&lt;$D$170+$D$174,MIN(MAX(0,SUM($G$222:BG$222)-SUM($F$234:BF$234)-SUM($F$234:BF$234)-SUM($F$228:BF$228)-SUM($F$236:BF$236)-($D$170-MAX($F$170:BF170)+$D$174-BF174))*$C233,SUM($G$261:BG$261)-SUM($F234:BF234)),MIN((BG$222)*$C233,SUM($G$261:BG$261)-SUM($F234:BF234)))</f>
        <v/>
      </c>
      <c r="BH234" s="273">
        <f>IF(MAX($G$170:BH170)+BH174&lt;$D$170+$D$174,MIN(MAX(0,SUM($G$222:BH$222)-SUM($F$234:BG$234)-SUM($F$234:BG$234)-SUM($F$228:BG$228)-SUM($F$236:BG$236)-($D$170-MAX($F$170:BG170)+$D$174-BG174))*$C233,SUM($G$261:BH$261)-SUM($F234:BG234)),MIN((BH$222)*$C233,SUM($G$261:BH$261)-SUM($F234:BG234)))</f>
        <v/>
      </c>
      <c r="BI234" s="273">
        <f>IF(MAX($G$170:BI170)+BI174&lt;$D$170+$D$174,MIN(MAX(0,SUM($G$222:BI$222)-SUM($F$234:BH$234)-SUM($F$234:BH$234)-SUM($F$228:BH$228)-SUM($F$236:BH$236)-($D$170-MAX($F$170:BH170)+$D$174-BH174))*$C233,SUM($G$261:BI$261)-SUM($F234:BH234)),MIN((BI$222)*$C233,SUM($G$261:BI$261)-SUM($F234:BH234)))</f>
        <v/>
      </c>
      <c r="BJ234" s="273">
        <f>IF(MAX($G$170:BJ170)+BJ174&lt;$D$170+$D$174,MIN(MAX(0,SUM($G$222:BJ$222)-SUM($F$234:BI$234)-SUM($F$234:BI$234)-SUM($F$228:BI$228)-SUM($F$236:BI$236)-($D$170-MAX($F$170:BI170)+$D$174-BI174))*$C233,SUM($G$261:BJ$261)-SUM($F234:BI234)),MIN((BJ$222)*$C233,SUM($G$261:BJ$261)-SUM($F234:BI234)))</f>
        <v/>
      </c>
      <c r="BK234" s="273">
        <f>IF(MAX($G$170:BK170)+BK174&lt;$D$170+$D$174,MIN(MAX(0,SUM($G$222:BK$222)-SUM($F$234:BJ$234)-SUM($F$234:BJ$234)-SUM($F$228:BJ$228)-SUM($F$236:BJ$236)-($D$170-MAX($F$170:BJ170)+$D$174-BJ174))*$C233,SUM($G$261:BK$261)-SUM($F234:BJ234)),MIN((BK$222)*$C233,SUM($G$261:BK$261)-SUM($F234:BJ234)))</f>
        <v/>
      </c>
      <c r="BL234" s="273">
        <f>IF(MAX($G$170:BL170)+BL174&lt;$D$170+$D$174,MIN(MAX(0,SUM($G$222:BL$222)-SUM($F$234:BK$234)-SUM($F$234:BK$234)-SUM($F$228:BK$228)-SUM($F$236:BK$236)-($D$170-MAX($F$170:BK170)+$D$174-BK174))*$C233,SUM($G$261:BL$261)-SUM($F234:BK234)),MIN((BL$222)*$C233,SUM($G$261:BL$261)-SUM($F234:BK234)))</f>
        <v/>
      </c>
      <c r="BM234" s="273">
        <f>IF(MAX($G$170:BM170)+BM174&lt;$D$170+$D$174,MIN(MAX(0,SUM($G$222:BM$222)-SUM($F$234:BL$234)-SUM($F$234:BL$234)-SUM($F$228:BL$228)-SUM($F$236:BL$236)-($D$170-MAX($F$170:BL170)+$D$174-BL174))*$C233,SUM($G$261:BM$261)-SUM($F234:BL234)),MIN((BM$222)*$C233,SUM($G$261:BM$261)-SUM($F234:BL234)))</f>
        <v/>
      </c>
      <c r="BN234" s="273">
        <f>IF(MAX($G$170:BN170)+BN174&lt;$D$170+$D$174,MIN(MAX(0,SUM($G$222:BN$222)-SUM($F$234:BM$234)-SUM($F$234:BM$234)-SUM($F$228:BM$228)-SUM($F$236:BM$236)-($D$170-MAX($F$170:BM170)+$D$174-BM174))*$C233,SUM($G$261:BN$261)-SUM($F234:BM234)),MIN((BN$222)*$C233,SUM($G$261:BN$261)-SUM($F234:BM234)))</f>
        <v/>
      </c>
      <c r="BO234" s="273">
        <f>IF(MAX($G$170:BO170)+BO174&lt;$D$170+$D$174,MIN(MAX(0,SUM($G$222:BO$222)-SUM($F$234:BN$234)-SUM($F$234:BN$234)-SUM($F$228:BN$228)-SUM($F$236:BN$236)-($D$170-MAX($F$170:BN170)+$D$174-BN174))*$C233,SUM($G$261:BO$261)-SUM($F234:BN234)),MIN((BO$222)*$C233,SUM($G$261:BO$261)-SUM($F234:BN234)))</f>
        <v/>
      </c>
      <c r="BP234" s="273">
        <f>IF(MAX($G$170:BP170)+BP174&lt;$D$170+$D$174,MIN(MAX(0,SUM($G$222:BP$222)-SUM($F$234:BO$234)-SUM($F$234:BO$234)-SUM($F$228:BO$228)-SUM($F$236:BO$236)-($D$170-MAX($F$170:BO170)+$D$174-BO174))*$C233,SUM($G$261:BP$261)-SUM($F234:BO234)),MIN((BP$222)*$C233,SUM($G$261:BP$261)-SUM($F234:BO234)))</f>
        <v/>
      </c>
      <c r="BQ234" s="273">
        <f>IF(MAX($G$170:BQ170)+BQ174&lt;$D$170+$D$174,MIN(MAX(0,SUM($G$222:BQ$222)-SUM($F$234:BP$234)-SUM($F$234:BP$234)-SUM($F$228:BP$228)-SUM($F$236:BP$236)-($D$170-MAX($F$170:BP170)+$D$174-BP174))*$C233,SUM($G$261:BQ$261)-SUM($F234:BP234)),MIN((BQ$222)*$C233,SUM($G$261:BQ$261)-SUM($F234:BP234)))</f>
        <v/>
      </c>
      <c r="BR234" s="273">
        <f>IF(MAX($G$170:BR170)+BR174&lt;$D$170+$D$174,MIN(MAX(0,SUM($G$222:BR$222)-SUM($F$234:BQ$234)-SUM($F$234:BQ$234)-SUM($F$228:BQ$228)-SUM($F$236:BQ$236)-($D$170-MAX($F$170:BQ170)+$D$174-BQ174))*$C233,SUM($G$261:BR$261)-SUM($F234:BQ234)),MIN((BR$222)*$C233,SUM($G$261:BR$261)-SUM($F234:BQ234)))</f>
        <v/>
      </c>
      <c r="BS234" s="273">
        <f>IF(MAX($G$170:BS170)+BS174&lt;$D$170+$D$174,MIN(MAX(0,SUM($G$222:BS$222)-SUM($F$234:BR$234)-SUM($F$234:BR$234)-SUM($F$228:BR$228)-SUM($F$236:BR$236)-($D$170-MAX($F$170:BR170)+$D$174-BR174))*$C233,SUM($G$261:BS$261)-SUM($F234:BR234)),MIN((BS$222)*$C233,SUM($G$261:BS$261)-SUM($F234:BR234)))</f>
        <v/>
      </c>
      <c r="BT234" s="273">
        <f>IF(MAX($G$170:BT170)+BT174&lt;$D$170+$D$174,MIN(MAX(0,SUM($G$222:BT$222)-SUM($F$234:BS$234)-SUM($F$234:BS$234)-SUM($F$228:BS$228)-SUM($F$236:BS$236)-($D$170-MAX($F$170:BS170)+$D$174-BS174))*$C233,SUM($G$261:BT$261)-SUM($F234:BS234)),MIN((BT$222)*$C233,SUM($G$261:BT$261)-SUM($F234:BS234)))</f>
        <v/>
      </c>
      <c r="BU234" s="273">
        <f>IF(MAX($G$170:BU170)+BU174&lt;$D$170+$D$174,MIN(MAX(0,SUM($G$222:BU$222)-SUM($F$234:BT$234)-SUM($F$234:BT$234)-SUM($F$228:BT$228)-SUM($F$236:BT$236)-($D$170-MAX($F$170:BT170)+$D$174-BT174))*$C233,SUM($G$261:BU$261)-SUM($F234:BT234)),MIN((BU$222)*$C233,SUM($G$261:BU$261)-SUM($F234:BT234)))</f>
        <v/>
      </c>
      <c r="BV234" s="273">
        <f>IF(MAX($G$170:BV170)+BV174&lt;$D$170+$D$174,MIN(MAX(0,SUM($G$222:BV$222)-SUM($F$234:BU$234)-SUM($F$234:BU$234)-SUM($F$228:BU$228)-SUM($F$236:BU$236)-($D$170-MAX($F$170:BU170)+$D$174-BU174))*$C233,SUM($G$261:BV$261)-SUM($F234:BU234)),MIN((BV$222)*$C233,SUM($G$261:BV$261)-SUM($F234:BU234)))</f>
        <v/>
      </c>
      <c r="BW234" s="273">
        <f>IF(MAX($G$170:BW170)+BW174&lt;$D$170+$D$174,MIN(MAX(0,SUM($G$222:BW$222)-SUM($F$234:BV$234)-SUM($F$234:BV$234)-SUM($F$228:BV$228)-SUM($F$236:BV$236)-($D$170-MAX($F$170:BV170)+$D$174-BV174))*$C233,SUM($G$261:BW$261)-SUM($F234:BV234)),MIN((BW$222)*$C233,SUM($G$261:BW$261)-SUM($F234:BV234)))</f>
        <v/>
      </c>
      <c r="BX234" s="273">
        <f>IF(MAX($G$170:BX170)+BX174&lt;$D$170+$D$174,MIN(MAX(0,SUM($G$222:BX$222)-SUM($F$234:BW$234)-SUM($F$234:BW$234)-SUM($F$228:BW$228)-SUM($F$236:BW$236)-($D$170-MAX($F$170:BW170)+$D$174-BW174))*$C233,SUM($G$261:BX$261)-SUM($F234:BW234)),MIN((BX$222)*$C233,SUM($G$261:BX$261)-SUM($F234:BW234)))</f>
        <v/>
      </c>
      <c r="BY234" s="273">
        <f>IF(MAX($G$170:BY170)+BY174&lt;$D$170+$D$174,MIN(MAX(0,SUM($G$222:BY$222)-SUM($F$234:BX$234)-SUM($F$234:BX$234)-SUM($F$228:BX$228)-SUM($F$236:BX$236)-($D$170-MAX($F$170:BX170)+$D$174-BX174))*$C233,SUM($G$261:BY$261)-SUM($F234:BX234)),MIN((BY$222)*$C233,SUM($G$261:BY$261)-SUM($F234:BX234)))</f>
        <v/>
      </c>
      <c r="BZ234" s="273">
        <f>IF(MAX($G$170:BZ170)+BZ174&lt;$D$170+$D$174,MIN(MAX(0,SUM($G$222:BZ$222)-SUM($F$234:BY$234)-SUM($F$234:BY$234)-SUM($F$228:BY$228)-SUM($F$236:BY$236)-($D$170-MAX($F$170:BY170)+$D$174-BY174))*$C233,SUM($G$261:BZ$261)-SUM($F234:BY234)),MIN((BZ$222)*$C233,SUM($G$261:BZ$261)-SUM($F234:BY234)))</f>
        <v/>
      </c>
      <c r="CA234" s="273">
        <f>IF(MAX($G$170:CA170)+CA174&lt;$D$170+$D$174,MIN(MAX(0,SUM($G$222:CA$222)-SUM($F$234:BZ$234)-SUM($F$234:BZ$234)-SUM($F$228:BZ$228)-SUM($F$236:BZ$236)-($D$170-MAX($F$170:BZ170)+$D$174-BZ174))*$C233,SUM($G$261:CA$261)-SUM($F234:BZ234)),MIN((CA$222)*$C233,SUM($G$261:CA$261)-SUM($F234:BZ234)))</f>
        <v/>
      </c>
      <c r="CB234" s="273">
        <f>IF(MAX($G$170:CB170)+CB174&lt;$D$170+$D$174,MIN(MAX(0,SUM($G$222:CB$222)-SUM($F$234:CA$234)-SUM($F$234:CA$234)-SUM($F$228:CA$228)-SUM($F$236:CA$236)-($D$170-MAX($F$170:CA170)+$D$174-CA174))*$C233,SUM($G$261:CB$261)-SUM($F234:CA234)),MIN((CB$222)*$C233,SUM($G$261:CB$261)-SUM($F234:CA234)))</f>
        <v/>
      </c>
      <c r="CC234" s="273">
        <f>IF(MAX($G$170:CC170)+CC174&lt;$D$170+$D$174,MIN(MAX(0,SUM($G$222:CC$222)-SUM($F$234:CB$234)-SUM($F$234:CB$234)-SUM($F$228:CB$228)-SUM($F$236:CB$236)-($D$170-MAX($F$170:CB170)+$D$174-CB174))*$C233,SUM($G$261:CC$261)-SUM($F234:CB234)),MIN((CC$222)*$C233,SUM($G$261:CC$261)-SUM($F234:CB234)))</f>
        <v/>
      </c>
      <c r="CD234" s="273">
        <f>IF(MAX($G$170:CD170)+CD174&lt;$D$170+$D$174,MIN(MAX(0,SUM($G$222:CD$222)-SUM($F$234:CC$234)-SUM($F$234:CC$234)-SUM($F$228:CC$228)-SUM($F$236:CC$236)-($D$170-MAX($F$170:CC170)+$D$174-CC174))*$C233,SUM($G$261:CD$261)-SUM($F234:CC234)),MIN((CD$222)*$C233,SUM($G$261:CD$261)-SUM($F234:CC234)))</f>
        <v/>
      </c>
      <c r="CE234" s="273">
        <f>IF(MAX($G$170:CE170)+CE174&lt;$D$170+$D$174,MIN(MAX(0,SUM($G$222:CE$222)-SUM($F$234:CD$234)-SUM($F$234:CD$234)-SUM($F$228:CD$228)-SUM($F$236:CD$236)-($D$170-MAX($F$170:CD170)+$D$174-CD174))*$C233,SUM($G$261:CE$261)-SUM($F234:CD234)),MIN((CE$222)*$C233,SUM($G$261:CE$261)-SUM($F234:CD234)))</f>
        <v/>
      </c>
      <c r="CF234" s="273">
        <f>IF(MAX($G$170:CF170)+CF174&lt;$D$170+$D$174,MIN(MAX(0,SUM($G$222:CF$222)-SUM($F$234:CE$234)-SUM($F$234:CE$234)-SUM($F$228:CE$228)-SUM($F$236:CE$236)-($D$170-MAX($F$170:CE170)+$D$174-CE174))*$C233,SUM($G$261:CF$261)-SUM($F234:CE234)),MIN((CF$222)*$C233,SUM($G$261:CF$261)-SUM($F234:CE234)))</f>
        <v/>
      </c>
      <c r="CG234" s="273">
        <f>IF(MAX($G$170:CG170)+CG174&lt;$D$170+$D$174,MIN(MAX(0,SUM($G$222:CG$222)-SUM($F$234:CF$234)-SUM($F$234:CF$234)-SUM($F$228:CF$228)-SUM($F$236:CF$236)-($D$170-MAX($F$170:CF170)+$D$174-CF174))*$C233,SUM($G$261:CG$261)-SUM($F234:CF234)),MIN((CG$222)*$C233,SUM($G$261:CG$261)-SUM($F234:CF234)))</f>
        <v/>
      </c>
      <c r="CH234" s="273">
        <f>IF(MAX($G$170:CH170)+CH174&lt;$D$170+$D$174,MIN(MAX(0,SUM($G$222:CH$222)-SUM($F$234:CG$234)-SUM($F$234:CG$234)-SUM($F$228:CG$228)-SUM($F$236:CG$236)-($D$170-MAX($F$170:CG170)+$D$174-CG174))*$C233,SUM($G$261:CH$261)-SUM($F234:CG234)),MIN((CH$222)*$C233,SUM($G$261:CH$261)-SUM($F234:CG234)))</f>
        <v/>
      </c>
      <c r="CI234" s="273">
        <f>IF(MAX($G$170:CI170)+CI174&lt;$D$170+$D$174,MIN(MAX(0,SUM($G$222:CI$222)-SUM($F$234:CH$234)-SUM($F$234:CH$234)-SUM($F$228:CH$228)-SUM($F$236:CH$236)-($D$170-MAX($F$170:CH170)+$D$174-CH174))*$C233,SUM($G$261:CI$261)-SUM($F234:CH234)),MIN((CI$222)*$C233,SUM($G$261:CI$261)-SUM($F234:CH234)))</f>
        <v/>
      </c>
      <c r="CJ234" s="273">
        <f>IF(MAX($G$170:CJ170)+CJ174&lt;$D$170+$D$174,MIN(MAX(0,SUM($G$222:CJ$222)-SUM($F$234:CI$234)-SUM($F$234:CI$234)-SUM($F$228:CI$228)-SUM($F$236:CI$236)-($D$170-MAX($F$170:CI170)+$D$174-CI174))*$C233,SUM($G$261:CJ$261)-SUM($F234:CI234)),MIN((CJ$222)*$C233,SUM($G$261:CJ$261)-SUM($F234:CI234)))</f>
        <v/>
      </c>
      <c r="CK234" s="273">
        <f>IF(MAX($G$170:CK170)+CK174&lt;$D$170+$D$174,MIN(MAX(0,SUM($G$222:CK$222)-SUM($F$234:CJ$234)-SUM($F$234:CJ$234)-SUM($F$228:CJ$228)-SUM($F$236:CJ$236)-($D$170-MAX($F$170:CJ170)+$D$174-CJ174))*$C233,SUM($G$261:CK$261)-SUM($F234:CJ234)),MIN((CK$222)*$C233,SUM($G$261:CK$261)-SUM($F234:CJ234)))</f>
        <v/>
      </c>
      <c r="CL234" s="273">
        <f>IF(MAX($G$170:CL170)+CL174&lt;$D$170+$D$174,MIN(MAX(0,SUM($G$222:CL$222)-SUM($F$234:CK$234)-SUM($F$234:CK$234)-SUM($F$228:CK$228)-SUM($F$236:CK$236)-($D$170-MAX($F$170:CK170)+$D$174-CK174))*$C233,SUM($G$261:CL$261)-SUM($F234:CK234)),MIN((CL$222)*$C233,SUM($G$261:CL$261)-SUM($F234:CK234)))</f>
        <v/>
      </c>
      <c r="CM234" s="273">
        <f>IF(MAX($G$170:CM170)+CM174&lt;$D$170+$D$174,MIN(MAX(0,SUM($G$222:CM$222)-SUM($F$234:CL$234)-SUM($F$234:CL$234)-SUM($F$228:CL$228)-SUM($F$236:CL$236)-($D$170-MAX($F$170:CL170)+$D$174-CL174))*$C233,SUM($G$261:CM$261)-SUM($F234:CL234)),MIN((CM$222)*$C233,SUM($G$261:CM$261)-SUM($F234:CL234)))</f>
        <v/>
      </c>
      <c r="CN234" s="273">
        <f>IF(MAX($G$170:CN170)+CN174&lt;$D$170+$D$174,MIN(MAX(0,SUM($G$222:CN$222)-SUM($F$234:CM$234)-SUM($F$234:CM$234)-SUM($F$228:CM$228)-SUM($F$236:CM$236)-($D$170-MAX($F$170:CM170)+$D$174-CM174))*$C233,SUM($G$261:CN$261)-SUM($F234:CM234)),MIN((CN$222)*$C233,SUM($G$261:CN$261)-SUM($F234:CM234)))</f>
        <v/>
      </c>
      <c r="CO234" s="273">
        <f>IF(MAX($G$170:CO170)+CO174&lt;$D$170+$D$174,MIN(MAX(0,SUM($G$222:CO$222)-SUM($F$234:CN$234)-SUM($F$234:CN$234)-SUM($F$228:CN$228)-SUM($F$236:CN$236)-($D$170-MAX($F$170:CN170)+$D$174-CN174))*$C233,SUM($G$261:CO$261)-SUM($F234:CN234)),MIN((CO$222)*$C233,SUM($G$261:CO$261)-SUM($F234:CN234)))</f>
        <v/>
      </c>
      <c r="CP234" s="273">
        <f>IF(MAX($G$170:CP170)+CP174&lt;$D$170+$D$174,MIN(MAX(0,SUM($G$222:CP$222)-SUM($F$234:CO$234)-SUM($F$234:CO$234)-SUM($F$228:CO$228)-SUM($F$236:CO$236)-($D$170-MAX($F$170:CO170)+$D$174-CO174))*$C233,SUM($G$261:CP$261)-SUM($F234:CO234)),MIN((CP$222)*$C233,SUM($G$261:CP$261)-SUM($F234:CO234)))</f>
        <v/>
      </c>
      <c r="CQ234" s="273">
        <f>IF(MAX($G$170:CQ170)+CQ174&lt;$D$170+$D$174,MIN(MAX(0,SUM($G$222:CQ$222)-SUM($F$234:CP$234)-SUM($F$234:CP$234)-SUM($F$228:CP$228)-SUM($F$236:CP$236)-($D$170-MAX($F$170:CP170)+$D$174-CP174))*$C233,SUM($G$261:CQ$261)-SUM($F234:CP234)),MIN((CQ$222)*$C233,SUM($G$261:CQ$261)-SUM($F234:CP234)))</f>
        <v/>
      </c>
      <c r="CR234" s="273">
        <f>IF(MAX($G$170:CR170)+CR174&lt;$D$170+$D$174,MIN(MAX(0,SUM($G$222:CR$222)-SUM($F$234:CQ$234)-SUM($F$234:CQ$234)-SUM($F$228:CQ$228)-SUM($F$236:CQ$236)-($D$170-MAX($F$170:CQ170)+$D$174-CQ174))*$C233,SUM($G$261:CR$261)-SUM($F234:CQ234)),MIN((CR$222)*$C233,SUM($G$261:CR$261)-SUM($F234:CQ234)))</f>
        <v/>
      </c>
      <c r="CS234" s="273">
        <f>IF(MAX($G$170:CS170)+CS174&lt;$D$170+$D$174,MIN(MAX(0,SUM($G$222:CS$222)-SUM($F$234:CR$234)-SUM($F$234:CR$234)-SUM($F$228:CR$228)-SUM($F$236:CR$236)-($D$170-MAX($F$170:CR170)+$D$174-CR174))*$C233,SUM($G$261:CS$261)-SUM($F234:CR234)),MIN((CS$222)*$C233,SUM($G$261:CS$261)-SUM($F234:CR234)))</f>
        <v/>
      </c>
      <c r="CT234" s="273">
        <f>IF(MAX($G$170:CT170)+CT174&lt;$D$170+$D$174,MIN(MAX(0,SUM($G$222:CT$222)-SUM($F$234:CS$234)-SUM($F$234:CS$234)-SUM($F$228:CS$228)-SUM($F$236:CS$236)-($D$170-MAX($F$170:CS170)+$D$174-CS174))*$C233,SUM($G$261:CT$261)-SUM($F234:CS234)),MIN((CT$222)*$C233,SUM($G$261:CT$261)-SUM($F234:CS234)))</f>
        <v/>
      </c>
      <c r="CU234" s="273">
        <f>IF(MAX($G$170:CU170)+CU174&lt;$D$170+$D$174,MIN(MAX(0,SUM($G$222:CU$222)-SUM($F$234:CT$234)-SUM($F$234:CT$234)-SUM($F$228:CT$228)-SUM($F$236:CT$236)-($D$170-MAX($F$170:CT170)+$D$174-CT174))*$C233,SUM($G$261:CU$261)-SUM($F234:CT234)),MIN((CU$222)*$C233,SUM($G$261:CU$261)-SUM($F234:CT234)))</f>
        <v/>
      </c>
      <c r="CV234" s="273">
        <f>IF(MAX($G$170:CV170)+CV174&lt;$D$170+$D$174,MIN(MAX(0,SUM($G$222:CV$222)-SUM($F$234:CU$234)-SUM($F$234:CU$234)-SUM($F$228:CU$228)-SUM($F$236:CU$236)-($D$170-MAX($F$170:CU170)+$D$174-CU174))*$C233,SUM($G$261:CV$261)-SUM($F234:CU234)),MIN((CV$222)*$C233,SUM($G$261:CV$261)-SUM($F234:CU234)))</f>
        <v/>
      </c>
      <c r="CW234" s="273">
        <f>IF(MAX($G$170:CW170)+CW174&lt;$D$170+$D$174,MIN(MAX(0,SUM($G$222:CW$222)-SUM($F$234:CV$234)-SUM($F$234:CV$234)-SUM($F$228:CV$228)-SUM($F$236:CV$236)-($D$170-MAX($F$170:CV170)+$D$174-CV174))*$C233,SUM($G$261:CW$261)-SUM($F234:CV234)),MIN((CW$222)*$C233,SUM($G$261:CW$261)-SUM($F234:CV234)))</f>
        <v/>
      </c>
      <c r="CX234" s="273">
        <f>IF(MAX($G$170:CX170)+CX174&lt;$D$170+$D$174,MIN(MAX(0,SUM($G$222:CX$222)-SUM($F$234:CW$234)-SUM($F$234:CW$234)-SUM($F$228:CW$228)-SUM($F$236:CW$236)-($D$170-MAX($F$170:CW170)+$D$174-CW174))*$C233,SUM($G$261:CX$261)-SUM($F234:CW234)),MIN((CX$222)*$C233,SUM($G$261:CX$261)-SUM($F234:CW234)))</f>
        <v/>
      </c>
      <c r="CY234" s="273">
        <f>IF(MAX($G$170:CY170)+CY174&lt;$D$170+$D$174,MIN(MAX(0,SUM($G$222:CY$222)-SUM($F$234:CX$234)-SUM($F$234:CX$234)-SUM($F$228:CX$228)-SUM($F$236:CX$236)-($D$170-MAX($F$170:CX170)+$D$174-CX174))*$C233,SUM($G$261:CY$261)-SUM($F234:CX234)),MIN((CY$222)*$C233,SUM($G$261:CY$261)-SUM($F234:CX234)))</f>
        <v/>
      </c>
      <c r="CZ234" s="273">
        <f>IF(MAX($G$170:CZ170)+CZ174&lt;$D$170+$D$174,MIN(MAX(0,SUM($G$222:CZ$222)-SUM($F$234:CY$234)-SUM($F$234:CY$234)-SUM($F$228:CY$228)-SUM($F$236:CY$236)-($D$170-MAX($F$170:CY170)+$D$174-CY174))*$C233,SUM($G$261:CZ$261)-SUM($F234:CY234)),MIN((CZ$222)*$C233,SUM($G$261:CZ$261)-SUM($F234:CY234)))</f>
        <v/>
      </c>
      <c r="DA234" s="273">
        <f>IF(MAX($G$170:DA170)+DA174&lt;$D$170+$D$174,MIN(MAX(0,SUM($G$222:DA$222)-SUM($F$234:CZ$234)-SUM($F$234:CZ$234)-SUM($F$228:CZ$228)-SUM($F$236:CZ$236)-($D$170-MAX($F$170:CZ170)+$D$174-CZ174))*$C233,SUM($G$261:DA$261)-SUM($F234:CZ234)),MIN((DA$222)*$C233,SUM($G$261:DA$261)-SUM($F234:CZ234)))</f>
        <v/>
      </c>
      <c r="DB234" s="273">
        <f>IF(MAX($G$170:DB170)+DB174&lt;$D$170+$D$174,MIN(MAX(0,SUM($G$222:DB$222)-SUM($F$234:DA$234)-SUM($F$234:DA$234)-SUM($F$228:DA$228)-SUM($F$236:DA$236)-($D$170-MAX($F$170:DA170)+$D$174-DA174))*$C233,SUM($G$261:DB$261)-SUM($F234:DA234)),MIN((DB$222)*$C233,SUM($G$261:DB$261)-SUM($F234:DA234)))</f>
        <v/>
      </c>
      <c r="DC234" s="273" t="n"/>
      <c r="DD234" s="295">
        <f>SUM(F234:DB234)</f>
        <v/>
      </c>
    </row>
    <row r="235" ht="14.1" customFormat="1" customHeight="1" s="302">
      <c r="A235" s="15" t="inlineStr">
        <is>
          <t>Equity Repayment Available</t>
        </is>
      </c>
      <c r="B235" s="15" t="n"/>
      <c r="C235" s="336" t="n"/>
      <c r="D235" s="298">
        <f>DD235</f>
        <v/>
      </c>
      <c r="E235" s="300" t="n"/>
      <c r="F235" s="301">
        <f>MIN(-$D233-SUM($E235:E235),(F$222-F$226-F$234)*$C233)</f>
        <v/>
      </c>
      <c r="G235" s="301">
        <f>MIN(-$D233-SUM($E235:F235),(G$222-G$226-G$234)*$C233)</f>
        <v/>
      </c>
      <c r="H235" s="301">
        <f>MIN(-$D233-SUM($E235:G235),(H$222-H$226-H$234)*$C233)</f>
        <v/>
      </c>
      <c r="I235" s="301">
        <f>MIN(-$D233-SUM($E235:H235),(I$222-I$226-I$234)*$C233)</f>
        <v/>
      </c>
      <c r="J235" s="301">
        <f>MIN(-$D233-SUM($E235:I235),(J$222-J$226-J$234)*$C233)</f>
        <v/>
      </c>
      <c r="K235" s="301">
        <f>MIN(-$D233-SUM($E235:J235),(K$222-K$226-K$234)*$C233)</f>
        <v/>
      </c>
      <c r="L235" s="301">
        <f>MIN(-$D233-SUM($E235:K235),(L$222-L$226-L$234)*$C233)</f>
        <v/>
      </c>
      <c r="M235" s="301">
        <f>MIN(-$D233-SUM($E235:L235),(M$222-M$226-M$234)*$C233)</f>
        <v/>
      </c>
      <c r="N235" s="301">
        <f>MIN(-$D233-SUM($E235:M235),(N$222-N$226-N$234)*$C233)</f>
        <v/>
      </c>
      <c r="O235" s="301">
        <f>MIN(-$D233-SUM($E235:N235),(O$222-O$226-O$234)*$C233)</f>
        <v/>
      </c>
      <c r="P235" s="301">
        <f>MIN(-$D233-SUM($E235:O235),(P$222-P$226-P$234)*$C233)</f>
        <v/>
      </c>
      <c r="Q235" s="301">
        <f>MIN(-$D233-SUM($E235:P235),(Q$222-Q$226-Q$234)*$C233)</f>
        <v/>
      </c>
      <c r="R235" s="301">
        <f>MIN(-$D233-SUM($E235:Q235),(R$222-R$226-R$234)*$C233)</f>
        <v/>
      </c>
      <c r="S235" s="301">
        <f>MIN(-$D233-SUM($E235:R235),(S$222-S$226-S$234)*$C233)</f>
        <v/>
      </c>
      <c r="T235" s="301">
        <f>MIN(-$D233-SUM($E235:S235),(T$222-T$226-T$234)*$C233)</f>
        <v/>
      </c>
      <c r="U235" s="301">
        <f>MIN(-$D233-SUM($E235:T235),(U$222-U$226-U$234)*$C233)</f>
        <v/>
      </c>
      <c r="V235" s="301">
        <f>MIN(-$D233-SUM($E235:U235),(V$222-V$226-V$234)*$C233)</f>
        <v/>
      </c>
      <c r="W235" s="301">
        <f>MIN(-$D233-SUM($E235:V235),(W$222-W$226-W$234)*$C233)</f>
        <v/>
      </c>
      <c r="X235" s="301">
        <f>MIN(-$D233-SUM($E235:W235),(X$222-X$226-X$234)*$C233)</f>
        <v/>
      </c>
      <c r="Y235" s="301">
        <f>MIN(-$D233-SUM($E235:X235),(Y$222-Y$226-Y$234)*$C233)</f>
        <v/>
      </c>
      <c r="Z235" s="301">
        <f>MIN(-$D233-SUM($E235:Y235),(Z$222-Z$226-Z$234)*$C233)</f>
        <v/>
      </c>
      <c r="AA235" s="301">
        <f>MIN(-$D233-SUM($E235:Z235),(AA$222-AA$226-AA$234)*$C233)</f>
        <v/>
      </c>
      <c r="AB235" s="301">
        <f>MIN(-$D233-SUM($E235:AA235),(AB$222-AB$226-AB$234)*$C233)</f>
        <v/>
      </c>
      <c r="AC235" s="301">
        <f>MIN(-$D233-SUM($E235:AB235),(AC$222-AC$226-AC$234)*$C233)</f>
        <v/>
      </c>
      <c r="AD235" s="301">
        <f>MIN(-$D233-SUM($E235:AC235),(AD$222-AD$226-AD$234)*$C233)</f>
        <v/>
      </c>
      <c r="AE235" s="301">
        <f>MIN(-$D233-SUM($E235:AD235),(AE$222-AE$226-AE$234)*$C233)</f>
        <v/>
      </c>
      <c r="AF235" s="301">
        <f>MIN(-$D233-SUM($E235:AE235),(AF$222-AF$226-AF$234)*$C233)</f>
        <v/>
      </c>
      <c r="AG235" s="301">
        <f>MIN(-$D233-SUM($E235:AF235),(AG$222-AG$226-AG$234)*$C233)</f>
        <v/>
      </c>
      <c r="AH235" s="301">
        <f>MIN(-$D233-SUM($E235:AG235),(AH$222-AH$226-AH$234)*$C233)</f>
        <v/>
      </c>
      <c r="AI235" s="301">
        <f>MIN(-$D233-SUM($E235:AH235),(AI$222-AI$226-AI$234)*$C233)</f>
        <v/>
      </c>
      <c r="AJ235" s="301">
        <f>MIN(-$D233-SUM($E235:AI235),(AJ$222-AJ$226-AJ$234)*$C233)</f>
        <v/>
      </c>
      <c r="AK235" s="301">
        <f>MIN(-$D233-SUM($E235:AJ235),(AK$222-AK$226-AK$234)*$C233)</f>
        <v/>
      </c>
      <c r="AL235" s="301">
        <f>MIN(-$D233-SUM($E235:AK235),(AL$222-AL$226-AL$234)*$C233)</f>
        <v/>
      </c>
      <c r="AM235" s="301">
        <f>MIN(-$D233-SUM($E235:AL235),(AM$222-AM$226-AM$234)*$C233)</f>
        <v/>
      </c>
      <c r="AN235" s="301">
        <f>MIN(-$D233-SUM($E235:AM235),(AN$222-AN$226-AN$234)*$C233)</f>
        <v/>
      </c>
      <c r="AO235" s="301">
        <f>MIN(-$D233-SUM($E235:AN235),(AO$222-AO$226-AO$234)*$C233)</f>
        <v/>
      </c>
      <c r="AP235" s="301">
        <f>MIN(-$D233-SUM($E235:AO235),(AP$222-AP$226-AP$234)*$C233)</f>
        <v/>
      </c>
      <c r="AQ235" s="301">
        <f>MIN(-$D233-SUM($E235:AP235),(AQ$222-AQ$226-AQ$234)*$C233)</f>
        <v/>
      </c>
      <c r="AR235" s="301">
        <f>MIN(-$D233-SUM($E235:AQ235),(AR$222-AR$226-AR$234)*$C233)</f>
        <v/>
      </c>
      <c r="AS235" s="301">
        <f>MIN(-$D233-SUM($E235:AR235),(AS$222-AS$226-AS$234)*$C233)</f>
        <v/>
      </c>
      <c r="AT235" s="301">
        <f>MIN(-$D233-SUM($E235:AS235),(AT$222-AT$226-AT$234)*$C233)</f>
        <v/>
      </c>
      <c r="AU235" s="301">
        <f>MIN(-$D233-SUM($E235:AT235),(AU$222-AU$226-AU$234)*$C233)</f>
        <v/>
      </c>
      <c r="AV235" s="301">
        <f>MIN(-$D233-SUM($E235:AU235),(AV$222-AV$226-AV$234)*$C233)</f>
        <v/>
      </c>
      <c r="AW235" s="301">
        <f>MIN(-$D233-SUM($E235:AV235),(AW$222-AW$226-AW$234)*$C233)</f>
        <v/>
      </c>
      <c r="AX235" s="301">
        <f>MIN(-$D233-SUM($E235:AW235),(AX$222-AX$226-AX$234)*$C233)</f>
        <v/>
      </c>
      <c r="AY235" s="301">
        <f>MIN(-$D233-SUM($E235:AX235),(AY$222-AY$226-AY$234)*$C233)</f>
        <v/>
      </c>
      <c r="AZ235" s="301">
        <f>MIN(-$D233-SUM($E235:AY235),(AZ$222-AZ$226-AZ$234)*$C233)</f>
        <v/>
      </c>
      <c r="BA235" s="301">
        <f>MIN(-$D233-SUM($E235:AZ235),(BA$222-BA$226-BA$234)*$C233)</f>
        <v/>
      </c>
      <c r="BB235" s="301">
        <f>MIN(-$D233-SUM($E235:BA235),(BB$222-BB$226-BB$234)*$C233)</f>
        <v/>
      </c>
      <c r="BC235" s="301">
        <f>MIN(-$D233-SUM($E235:BB235),(BC$222-BC$226-BC$234)*$C233)</f>
        <v/>
      </c>
      <c r="BD235" s="301">
        <f>MIN(-$D233-SUM($E235:BC235),(BD$222-BD$226-BD$234)*$C233)</f>
        <v/>
      </c>
      <c r="BE235" s="301">
        <f>MIN(-$D233-SUM($E235:BD235),(BE$222-BE$226-BE$234)*$C233)</f>
        <v/>
      </c>
      <c r="BF235" s="301">
        <f>MIN(-$D233-SUM($E235:BE235),(BF$222-BF$226-BF$234)*$C233)</f>
        <v/>
      </c>
      <c r="BG235" s="301">
        <f>MIN(-$D233-SUM($E235:BF235),(BG$222-BG$226-BG$234)*$C233)</f>
        <v/>
      </c>
      <c r="BH235" s="301">
        <f>MIN(-$D233-SUM($E235:BG235),(BH$222-BH$226-BH$234)*$C233)</f>
        <v/>
      </c>
      <c r="BI235" s="301">
        <f>MIN(-$D233-SUM($E235:BH235),(BI$222-BI$226-BI$234)*$C233)</f>
        <v/>
      </c>
      <c r="BJ235" s="301">
        <f>MIN(-$D233-SUM($E235:BI235),(BJ$222-BJ$226-BJ$234)*$C233)</f>
        <v/>
      </c>
      <c r="BK235" s="301">
        <f>MIN(-$D233-SUM($E235:BJ235),(BK$222-BK$226-BK$234)*$C233)</f>
        <v/>
      </c>
      <c r="BL235" s="301">
        <f>MIN(-$D233-SUM($E235:BK235),(BL$222-BL$226-BL$234)*$C233)</f>
        <v/>
      </c>
      <c r="BM235" s="301">
        <f>MIN(-$D233-SUM($E235:BL235),(BM$222-BM$226-BM$234)*$C233)</f>
        <v/>
      </c>
      <c r="BN235" s="301">
        <f>MIN(-$D233-SUM($E235:BM235),(BN$222-BN$226-BN$234)*$C233)</f>
        <v/>
      </c>
      <c r="BO235" s="301">
        <f>MIN(-$D233-SUM($E235:BN235),(BO$222-BO$226-BO$234)*$C233)</f>
        <v/>
      </c>
      <c r="BP235" s="301">
        <f>MIN(-$D233-SUM($E235:BO235),(BP$222-BP$226-BP$234)*$C233)</f>
        <v/>
      </c>
      <c r="BQ235" s="301">
        <f>MIN(-$D233-SUM($E235:BP235),(BQ$222-BQ$226-BQ$234)*$C233)</f>
        <v/>
      </c>
      <c r="BR235" s="301">
        <f>MIN(-$D233-SUM($E235:BQ235),(BR$222-BR$226-BR$234)*$C233)</f>
        <v/>
      </c>
      <c r="BS235" s="301">
        <f>MIN(-$D233-SUM($E235:BR235),(BS$222-BS$226-BS$234)*$C233)</f>
        <v/>
      </c>
      <c r="BT235" s="301">
        <f>MIN(-$D233-SUM($E235:BS235),(BT$222-BT$226-BT$234)*$C233)</f>
        <v/>
      </c>
      <c r="BU235" s="301">
        <f>MIN(-$D233-SUM($E235:BT235),(BU$222-BU$226-BU$234)*$C233)</f>
        <v/>
      </c>
      <c r="BV235" s="301">
        <f>MIN(-$D233-SUM($E235:BU235),(BV$222-BV$226-BV$234)*$C233)</f>
        <v/>
      </c>
      <c r="BW235" s="301">
        <f>MIN(-$D233-SUM($E235:BV235),(BW$222-BW$226-BW$234)*$C233)</f>
        <v/>
      </c>
      <c r="BX235" s="301">
        <f>MIN(-$D233-SUM($E235:BW235),(BX$222-BX$226-BX$234)*$C233)</f>
        <v/>
      </c>
      <c r="BY235" s="301">
        <f>MIN(-$D233-SUM($E235:BX235),(BY$222-BY$226-BY$234)*$C233)</f>
        <v/>
      </c>
      <c r="BZ235" s="301">
        <f>MIN(-$D233-SUM($E235:BY235),(BZ$222-BZ$226-BZ$234)*$C233)</f>
        <v/>
      </c>
      <c r="CA235" s="301">
        <f>MIN(-$D233-SUM($E235:BZ235),(CA$222-CA$226-CA$234)*$C233)</f>
        <v/>
      </c>
      <c r="CB235" s="301">
        <f>MIN(-$D233-SUM($E235:CA235),(CB$222-CB$226-CB$234)*$C233)</f>
        <v/>
      </c>
      <c r="CC235" s="301">
        <f>MIN(-$D233-SUM($E235:CB235),(CC$222-CC$226-CC$234)*$C233)</f>
        <v/>
      </c>
      <c r="CD235" s="301">
        <f>MIN(-$D233-SUM($E235:CC235),(CD$222-CD$226-CD$234)*$C233)</f>
        <v/>
      </c>
      <c r="CE235" s="301">
        <f>MIN(-$D233-SUM($E235:CD235),(CE$222-CE$226-CE$234)*$C233)</f>
        <v/>
      </c>
      <c r="CF235" s="301">
        <f>MIN(-$D233-SUM($E235:CE235),(CF$222-CF$226-CF$234)*$C233)</f>
        <v/>
      </c>
      <c r="CG235" s="301">
        <f>MIN(-$D233-SUM($E235:CF235),(CG$222-CG$226-CG$234)*$C233)</f>
        <v/>
      </c>
      <c r="CH235" s="301">
        <f>MIN(-$D233-SUM($E235:CG235),(CH$222-CH$226-CH$234)*$C233)</f>
        <v/>
      </c>
      <c r="CI235" s="301">
        <f>MIN(-$D233-SUM($E235:CH235),(CI$222-CI$226-CI$234)*$C233)</f>
        <v/>
      </c>
      <c r="CJ235" s="301">
        <f>MIN(-$D233-SUM($E235:CI235),(CJ$222-CJ$226-CJ$234)*$C233)</f>
        <v/>
      </c>
      <c r="CK235" s="301">
        <f>MIN(-$D233-SUM($E235:CJ235),(CK$222-CK$226-CK$234)*$C233)</f>
        <v/>
      </c>
      <c r="CL235" s="301">
        <f>MIN(-$D233-SUM($E235:CK235),(CL$222-CL$226-CL$234)*$C233)</f>
        <v/>
      </c>
      <c r="CM235" s="301">
        <f>MIN(-$D233-SUM($E235:CL235),(CM$222-CM$226-CM$234)*$C233)</f>
        <v/>
      </c>
      <c r="CN235" s="301">
        <f>MIN(-$D233-SUM($E235:CM235),(CN$222-CN$226-CN$234)*$C233)</f>
        <v/>
      </c>
      <c r="CO235" s="301">
        <f>MIN(-$D233-SUM($E235:CN235),(CO$222-CO$226-CO$234)*$C233)</f>
        <v/>
      </c>
      <c r="CP235" s="301">
        <f>MIN(-$D233-SUM($E235:CO235),(CP$222-CP$226-CP$234)*$C233)</f>
        <v/>
      </c>
      <c r="CQ235" s="301">
        <f>MIN(-$D233-SUM($E235:CP235),(CQ$222-CQ$226-CQ$234)*$C233)</f>
        <v/>
      </c>
      <c r="CR235" s="301">
        <f>MIN(-$D233-SUM($E235:CQ235),(CR$222-CR$226-CR$234)*$C233)</f>
        <v/>
      </c>
      <c r="CS235" s="301">
        <f>MIN(-$D233-SUM($E235:CR235),(CS$222-CS$226-CS$234)*$C233)</f>
        <v/>
      </c>
      <c r="CT235" s="301">
        <f>MIN(-$D233-SUM($E235:CS235),(CT$222-CT$226-CT$234)*$C233)</f>
        <v/>
      </c>
      <c r="CU235" s="301">
        <f>MIN(-$D233-SUM($E235:CT235),(CU$222-CU$226-CU$234)*$C233)</f>
        <v/>
      </c>
      <c r="CV235" s="301">
        <f>MIN(-$D233-SUM($E235:CU235),(CV$222-CV$226-CV$234)*$C233)</f>
        <v/>
      </c>
      <c r="CW235" s="301">
        <f>MIN(-$D233-SUM($E235:CV235),(CW$222-CW$226-CW$234)*$C233)</f>
        <v/>
      </c>
      <c r="CX235" s="301">
        <f>MIN(-$D233-SUM($E235:CW235),(CX$222-CX$226-CX$234)*$C233)</f>
        <v/>
      </c>
      <c r="CY235" s="301">
        <f>MIN(-$D233-SUM($E235:CX235),(CY$222-CY$226-CY$234)*$C233)</f>
        <v/>
      </c>
      <c r="CZ235" s="301">
        <f>MIN(-$D233-SUM($E235:CY235),(CZ$222-CZ$226-CZ$234)*$C233)</f>
        <v/>
      </c>
      <c r="DA235" s="301">
        <f>MIN(-$D233-SUM($E235:CZ235),(DA$222-DA$226-DA$234)*$C233)</f>
        <v/>
      </c>
      <c r="DB235" s="301">
        <f>MIN(-$D233-SUM($E235:DA235),(DB$222-DB$226-DB$234)*$C233)</f>
        <v/>
      </c>
      <c r="DC235" s="301" t="n"/>
      <c r="DD235" s="299">
        <f>SUM(F235:DB235)</f>
        <v/>
      </c>
    </row>
    <row r="236">
      <c r="A236" s="9" t="inlineStr">
        <is>
          <t>Equity Repayment Applied</t>
        </is>
      </c>
      <c r="B236" s="9" t="n"/>
      <c r="C236" s="342" t="n"/>
      <c r="D236" s="294">
        <f>DD236</f>
        <v/>
      </c>
      <c r="E236" s="274" t="n"/>
      <c r="F236" s="273">
        <f>MIN(SUM($F235:F235)-SUM($E236:E236),MIN(-SUM($F233:F233),MAX(SUM($F235:F235)-SUM($E236:E236)+SUM(G233:$DB233),-F233,0)))</f>
        <v/>
      </c>
      <c r="G236" s="273">
        <f>MIN(SUM($F235:G235)-SUM($E236:F236),MIN(-SUM($F233:G233),MAX(SUM($F235:G235)-SUM($E236:F236)+SUM(H233:$DB233),-G233,0)))</f>
        <v/>
      </c>
      <c r="H236" s="273">
        <f>MIN(SUM($F235:H235)-SUM($E236:G236),MIN(-SUM($F233:H233),MAX(SUM($F235:H235)-SUM($E236:G236)+SUM(I233:$DB233),-H233,0)))</f>
        <v/>
      </c>
      <c r="I236" s="273">
        <f>MIN(SUM($F235:I235)-SUM($E236:H236),MIN(-SUM($F233:I233),MAX(SUM($F235:I235)-SUM($E236:H236)+SUM(J233:$DB233),-I233,0)))</f>
        <v/>
      </c>
      <c r="J236" s="273">
        <f>MIN(SUM($F235:J235)-SUM($E236:I236),MIN(-SUM($F233:J233),MAX(SUM($F235:J235)-SUM($E236:I236)+SUM(K233:$DB233),-J233,0)))</f>
        <v/>
      </c>
      <c r="K236" s="273">
        <f>MIN(SUM($F235:K235)-SUM($E236:J236),MIN(-SUM($F233:K233),MAX(SUM($F235:K235)-SUM($E236:J236)+SUM(L233:$DB233),-K233,0)))</f>
        <v/>
      </c>
      <c r="L236" s="273">
        <f>MIN(SUM($F235:L235)-SUM($E236:K236),MIN(-SUM($F233:L233),MAX(SUM($F235:L235)-SUM($E236:K236)+SUM(M233:$DB233),-L233,0)))</f>
        <v/>
      </c>
      <c r="M236" s="273">
        <f>MIN(SUM($F235:M235)-SUM($E236:L236),MIN(-SUM($F233:M233),MAX(SUM($F235:M235)-SUM($E236:L236)+SUM(N233:$DB233),-M233,0)))</f>
        <v/>
      </c>
      <c r="N236" s="273">
        <f>MIN(SUM($F235:N235)-SUM($E236:M236),MIN(-SUM($F233:N233),MAX(SUM($F235:N235)-SUM($E236:M236)+SUM(O233:$DB233),-N233,0)))</f>
        <v/>
      </c>
      <c r="O236" s="273">
        <f>MIN(SUM($F235:O235)-SUM($E236:N236),MIN(-SUM($F233:O233),MAX(SUM($F235:O235)-SUM($E236:N236)+SUM(P233:$DB233),-O233,0)))</f>
        <v/>
      </c>
      <c r="P236" s="273">
        <f>MIN(SUM($F235:P235)-SUM($E236:O236),MIN(-SUM($F233:P233),MAX(SUM($F235:P235)-SUM($E236:O236)+SUM(Q233:$DB233),-P233,0)))</f>
        <v/>
      </c>
      <c r="Q236" s="273">
        <f>MIN(SUM($F235:Q235)-SUM($E236:P236),MIN(-SUM($F233:Q233),MAX(SUM($F235:Q235)-SUM($E236:P236)+SUM(R233:$DB233),-Q233,0)))</f>
        <v/>
      </c>
      <c r="R236" s="273">
        <f>MIN(SUM($F235:R235)-SUM($E236:Q236),MIN(-SUM($F233:R233),MAX(SUM($F235:R235)-SUM($E236:Q236)+SUM(S233:$DB233),-R233,0)))</f>
        <v/>
      </c>
      <c r="S236" s="273">
        <f>MIN(SUM($F235:S235)-SUM($E236:R236),MIN(-SUM($F233:S233),MAX(SUM($F235:S235)-SUM($E236:R236)+SUM(T233:$DB233),-S233,0)))</f>
        <v/>
      </c>
      <c r="T236" s="273">
        <f>MIN(SUM($F235:T235)-SUM($E236:S236),MIN(-SUM($F233:T233),MAX(SUM($F235:T235)-SUM($E236:S236)+SUM(U233:$DB233),-T233,0)))</f>
        <v/>
      </c>
      <c r="U236" s="273">
        <f>MIN(SUM($F235:U235)-SUM($E236:T236),MIN(-SUM($F233:U233),MAX(SUM($F235:U235)-SUM($E236:T236)+SUM(V233:$DB233),-U233,0)))</f>
        <v/>
      </c>
      <c r="V236" s="273">
        <f>MIN(SUM($F235:V235)-SUM($E236:U236),MIN(-SUM($F233:V233),MAX(SUM($F235:V235)-SUM($E236:U236)+SUM(W233:$DB233),-V233,0)))</f>
        <v/>
      </c>
      <c r="W236" s="273">
        <f>MIN(SUM($F235:W235)-SUM($E236:V236),MIN(-SUM($F233:W233),MAX(SUM($F235:W235)-SUM($E236:V236)+SUM(X233:$DB233),-W233,0)))</f>
        <v/>
      </c>
      <c r="X236" s="273">
        <f>MIN(SUM($F235:X235)-SUM($E236:W236),MIN(-SUM($F233:X233),MAX(SUM($F235:X235)-SUM($E236:W236)+SUM(Y233:$DB233),-X233,0)))</f>
        <v/>
      </c>
      <c r="Y236" s="273">
        <f>MIN(SUM($F235:Y235)-SUM($E236:X236),MIN(-SUM($F233:Y233),MAX(SUM($F235:Y235)-SUM($E236:X236)+SUM(Z233:$DB233),-Y233,0)))</f>
        <v/>
      </c>
      <c r="Z236" s="273">
        <f>MIN(SUM($F235:Z235)-SUM($E236:Y236),MIN(-SUM($F233:Z233),MAX(SUM($F235:Z235)-SUM($E236:Y236)+SUM(AA233:$DB233),-Z233,0)))</f>
        <v/>
      </c>
      <c r="AA236" s="273">
        <f>MIN(SUM($F235:AA235)-SUM($E236:Z236),MIN(-SUM($F233:AA233),MAX(SUM($F235:AA235)-SUM($E236:Z236)+SUM(AB233:$DB233),-AA233,0)))</f>
        <v/>
      </c>
      <c r="AB236" s="273">
        <f>MIN(SUM($F235:AB235)-SUM($E236:AA236),MIN(-SUM($F233:AB233),MAX(SUM($F235:AB235)-SUM($E236:AA236)+SUM(AC233:$DB233),-AB233,0)))</f>
        <v/>
      </c>
      <c r="AC236" s="273">
        <f>MIN(SUM($F235:AC235)-SUM($E236:AB236),MIN(-SUM($F233:AC233),MAX(SUM($F235:AC235)-SUM($E236:AB236)+SUM(AD233:$DB233),-AC233,0)))</f>
        <v/>
      </c>
      <c r="AD236" s="273">
        <f>MIN(SUM($F235:AD235)-SUM($E236:AC236),MIN(-SUM($F233:AD233),MAX(SUM($F235:AD235)-SUM($E236:AC236)+SUM(AE233:$DB233),-AD233,0)))</f>
        <v/>
      </c>
      <c r="AE236" s="273">
        <f>MIN(SUM($F235:AE235)-SUM($E236:AD236),MIN(-SUM($F233:AE233),MAX(SUM($F235:AE235)-SUM($E236:AD236)+SUM(AF233:$DB233),-AE233,0)))</f>
        <v/>
      </c>
      <c r="AF236" s="273">
        <f>MIN(SUM($F235:AF235)-SUM($E236:AE236),MIN(-SUM($F233:AF233),MAX(SUM($F235:AF235)-SUM($E236:AE236)+SUM(AG233:$DB233),-AF233,0)))</f>
        <v/>
      </c>
      <c r="AG236" s="273">
        <f>MIN(SUM($F235:AG235)-SUM($E236:AF236),MIN(-SUM($F233:AG233),MAX(SUM($F235:AG235)-SUM($E236:AF236)+SUM(AH233:$DB233),-AG233,0)))</f>
        <v/>
      </c>
      <c r="AH236" s="273">
        <f>MIN(SUM($F235:AH235)-SUM($E236:AG236),MIN(-SUM($F233:AH233),MAX(SUM($F235:AH235)-SUM($E236:AG236)+SUM(AI233:$DB233),-AH233,0)))</f>
        <v/>
      </c>
      <c r="AI236" s="273">
        <f>MIN(SUM($F235:AI235)-SUM($E236:AH236),MIN(-SUM($F233:AI233),MAX(SUM($F235:AI235)-SUM($E236:AH236)+SUM(AJ233:$DB233),-AI233,0)))</f>
        <v/>
      </c>
      <c r="AJ236" s="273">
        <f>MIN(SUM($F235:AJ235)-SUM($E236:AI236),MIN(-SUM($F233:AJ233),MAX(SUM($F235:AJ235)-SUM($E236:AI236)+SUM(AK233:$DB233),-AJ233,0)))</f>
        <v/>
      </c>
      <c r="AK236" s="273">
        <f>MIN(SUM($F235:AK235)-SUM($E236:AJ236),MIN(-SUM($F233:AK233),MAX(SUM($F235:AK235)-SUM($E236:AJ236)+SUM(AL233:$DB233),-AK233,0)))</f>
        <v/>
      </c>
      <c r="AL236" s="273">
        <f>MIN(SUM($F235:AL235)-SUM($E236:AK236),MIN(-SUM($F233:AL233),MAX(SUM($F235:AL235)-SUM($E236:AK236)+SUM(AM233:$DB233),-AL233,0)))</f>
        <v/>
      </c>
      <c r="AM236" s="273">
        <f>MIN(SUM($F235:AM235)-SUM($E236:AL236),MIN(-SUM($F233:AM233),MAX(SUM($F235:AM235)-SUM($E236:AL236)+SUM(AN233:$DB233),-AM233,0)))</f>
        <v/>
      </c>
      <c r="AN236" s="273">
        <f>MIN(SUM($F235:AN235)-SUM($E236:AM236),MIN(-SUM($F233:AN233),MAX(SUM($F235:AN235)-SUM($E236:AM236)+SUM(AO233:$DB233),-AN233,0)))</f>
        <v/>
      </c>
      <c r="AO236" s="273">
        <f>MIN(SUM($F235:AO235)-SUM($E236:AN236),MIN(-SUM($F233:AO233),MAX(SUM($F235:AO235)-SUM($E236:AN236)+SUM(AP233:$DB233),-AO233,0)))</f>
        <v/>
      </c>
      <c r="AP236" s="273">
        <f>MIN(SUM($F235:AP235)-SUM($E236:AO236),MIN(-SUM($F233:AP233),MAX(SUM($F235:AP235)-SUM($E236:AO236)+SUM(AQ233:$DB233),-AP233,0)))</f>
        <v/>
      </c>
      <c r="AQ236" s="273">
        <f>MIN(SUM($F235:AQ235)-SUM($E236:AP236),MIN(-SUM($F233:AQ233),MAX(SUM($F235:AQ235)-SUM($E236:AP236)+SUM(AR233:$DB233),-AQ233,0)))</f>
        <v/>
      </c>
      <c r="AR236" s="273">
        <f>MIN(SUM($F235:AR235)-SUM($E236:AQ236),MIN(-SUM($F233:AR233),MAX(SUM($F235:AR235)-SUM($E236:AQ236)+SUM(AS233:$DB233),-AR233,0)))</f>
        <v/>
      </c>
      <c r="AS236" s="273">
        <f>MIN(SUM($F235:AS235)-SUM($E236:AR236),MIN(-SUM($F233:AS233),MAX(SUM($F235:AS235)-SUM($E236:AR236)+SUM(AT233:$DB233),-AS233,0)))</f>
        <v/>
      </c>
      <c r="AT236" s="273">
        <f>MIN(SUM($F235:AT235)-SUM($E236:AS236),MIN(-SUM($F233:AT233),MAX(SUM($F235:AT235)-SUM($E236:AS236)+SUM(AU233:$DB233),-AT233,0)))</f>
        <v/>
      </c>
      <c r="AU236" s="273">
        <f>MIN(SUM($F235:AU235)-SUM($E236:AT236),MIN(-SUM($F233:AU233),MAX(SUM($F235:AU235)-SUM($E236:AT236)+SUM(AV233:$DB233),-AU233,0)))</f>
        <v/>
      </c>
      <c r="AV236" s="273">
        <f>MIN(SUM($F235:AV235)-SUM($E236:AU236),MIN(-SUM($F233:AV233),MAX(SUM($F235:AV235)-SUM($E236:AU236)+SUM(AW233:$DB233),-AV233,0)))</f>
        <v/>
      </c>
      <c r="AW236" s="273">
        <f>MIN(SUM($F235:AW235)-SUM($E236:AV236),MIN(-SUM($F233:AW233),MAX(SUM($F235:AW235)-SUM($E236:AV236)+SUM(AX233:$DB233),-AW233,0)))</f>
        <v/>
      </c>
      <c r="AX236" s="273">
        <f>MIN(SUM($F235:AX235)-SUM($E236:AW236),MIN(-SUM($F233:AX233),MAX(SUM($F235:AX235)-SUM($E236:AW236)+SUM(AY233:$DB233),-AX233,0)))</f>
        <v/>
      </c>
      <c r="AY236" s="273">
        <f>MIN(SUM($F235:AY235)-SUM($E236:AX236),MIN(-SUM($F233:AY233),MAX(SUM($F235:AY235)-SUM($E236:AX236)+SUM(AZ233:$DB233),-AY233,0)))</f>
        <v/>
      </c>
      <c r="AZ236" s="273">
        <f>MIN(SUM($F235:AZ235)-SUM($E236:AY236),MIN(-SUM($F233:AZ233),MAX(SUM($F235:AZ235)-SUM($E236:AY236)+SUM(BA233:$DB233),-AZ233,0)))</f>
        <v/>
      </c>
      <c r="BA236" s="273">
        <f>MIN(SUM($F235:BA235)-SUM($E236:AZ236),MIN(-SUM($F233:BA233),MAX(SUM($F235:BA235)-SUM($E236:AZ236)+SUM(BB233:$DB233),-BA233,0)))</f>
        <v/>
      </c>
      <c r="BB236" s="273">
        <f>MIN(SUM($F235:BB235)-SUM($E236:BA236),MIN(-SUM($F233:BB233),MAX(SUM($F235:BB235)-SUM($E236:BA236)+SUM(BC233:$DB233),-BB233,0)))</f>
        <v/>
      </c>
      <c r="BC236" s="273">
        <f>MIN(SUM($F235:BC235)-SUM($E236:BB236),MIN(-SUM($F233:BC233),MAX(SUM($F235:BC235)-SUM($E236:BB236)+SUM(BD233:$DB233),-BC233,0)))</f>
        <v/>
      </c>
      <c r="BD236" s="273">
        <f>MIN(SUM($F235:BD235)-SUM($E236:BC236),MIN(-SUM($F233:BD233),MAX(SUM($F235:BD235)-SUM($E236:BC236)+SUM(BE233:$DB233),-BD233,0)))</f>
        <v/>
      </c>
      <c r="BE236" s="273">
        <f>MIN(SUM($F235:BE235)-SUM($E236:BD236),MIN(-SUM($F233:BE233),MAX(SUM($F235:BE235)-SUM($E236:BD236)+SUM(BF233:$DB233),-BE233,0)))</f>
        <v/>
      </c>
      <c r="BF236" s="273">
        <f>MIN(SUM($F235:BF235)-SUM($E236:BE236),MIN(-SUM($F233:BF233),MAX(SUM($F235:BF235)-SUM($E236:BE236)+SUM(BG233:$DB233),-BF233,0)))</f>
        <v/>
      </c>
      <c r="BG236" s="273">
        <f>MIN(SUM($F235:BG235)-SUM($E236:BF236),MIN(-SUM($F233:BG233),MAX(SUM($F235:BG235)-SUM($E236:BF236)+SUM(BH233:$DB233),-BG233,0)))</f>
        <v/>
      </c>
      <c r="BH236" s="273">
        <f>MIN(SUM($F235:BH235)-SUM($E236:BG236),MIN(-SUM($F233:BH233),MAX(SUM($F235:BH235)-SUM($E236:BG236)+SUM(BI233:$DB233),-BH233,0)))</f>
        <v/>
      </c>
      <c r="BI236" s="273">
        <f>MIN(SUM($F235:BI235)-SUM($E236:BH236),MIN(-SUM($F233:BI233),MAX(SUM($F235:BI235)-SUM($E236:BH236)+SUM(BJ233:$DB233),-BI233,0)))</f>
        <v/>
      </c>
      <c r="BJ236" s="273">
        <f>MIN(SUM($F235:BJ235)-SUM($E236:BI236),MIN(-SUM($F233:BJ233),MAX(SUM($F235:BJ235)-SUM($E236:BI236)+SUM(BK233:$DB233),-BJ233,0)))</f>
        <v/>
      </c>
      <c r="BK236" s="273">
        <f>MIN(SUM($F235:BK235)-SUM($E236:BJ236),MIN(-SUM($F233:BK233),MAX(SUM($F235:BK235)-SUM($E236:BJ236)+SUM(BL233:$DB233),-BK233,0)))</f>
        <v/>
      </c>
      <c r="BL236" s="273">
        <f>MIN(SUM($F235:BL235)-SUM($E236:BK236),MIN(-SUM($F233:BL233),MAX(SUM($F235:BL235)-SUM($E236:BK236)+SUM(BM233:$DB233),-BL233,0)))</f>
        <v/>
      </c>
      <c r="BM236" s="273">
        <f>MIN(SUM($F235:BM235)-SUM($E236:BL236),MIN(-SUM($F233:BM233),MAX(SUM($F235:BM235)-SUM($E236:BL236)+SUM(BN233:$DB233),-BM233,0)))</f>
        <v/>
      </c>
      <c r="BN236" s="273">
        <f>MIN(SUM($F235:BN235)-SUM($E236:BM236),MIN(-SUM($F233:BN233),MAX(SUM($F235:BN235)-SUM($E236:BM236)+SUM(BO233:$DB233),-BN233,0)))</f>
        <v/>
      </c>
      <c r="BO236" s="273">
        <f>MIN(SUM($F235:BO235)-SUM($E236:BN236),MIN(-SUM($F233:BO233),MAX(SUM($F235:BO235)-SUM($E236:BN236)+SUM(BP233:$DB233),-BO233,0)))</f>
        <v/>
      </c>
      <c r="BP236" s="273">
        <f>MIN(SUM($F235:BP235)-SUM($E236:BO236),MIN(-SUM($F233:BP233),MAX(SUM($F235:BP235)-SUM($E236:BO236)+SUM(BQ233:$DB233),-BP233,0)))</f>
        <v/>
      </c>
      <c r="BQ236" s="273">
        <f>MIN(SUM($F235:BQ235)-SUM($E236:BP236),MIN(-SUM($F233:BQ233),MAX(SUM($F235:BQ235)-SUM($E236:BP236)+SUM(BR233:$DB233),-BQ233,0)))</f>
        <v/>
      </c>
      <c r="BR236" s="273">
        <f>MIN(SUM($F235:BR235)-SUM($E236:BQ236),MIN(-SUM($F233:BR233),MAX(SUM($F235:BR235)-SUM($E236:BQ236)+SUM(BS233:$DB233),-BR233,0)))</f>
        <v/>
      </c>
      <c r="BS236" s="273">
        <f>MIN(SUM($F235:BS235)-SUM($E236:BR236),MIN(-SUM($F233:BS233),MAX(SUM($F235:BS235)-SUM($E236:BR236)+SUM(BT233:$DB233),-BS233,0)))</f>
        <v/>
      </c>
      <c r="BT236" s="273">
        <f>MIN(SUM($F235:BT235)-SUM($E236:BS236),MIN(-SUM($F233:BT233),MAX(SUM($F235:BT235)-SUM($E236:BS236)+SUM(BU233:$DB233),-BT233,0)))</f>
        <v/>
      </c>
      <c r="BU236" s="273">
        <f>MIN(SUM($F235:BU235)-SUM($E236:BT236),MIN(-SUM($F233:BU233),MAX(SUM($F235:BU235)-SUM($E236:BT236)+SUM(BV233:$DB233),-BU233,0)))</f>
        <v/>
      </c>
      <c r="BV236" s="273">
        <f>MIN(SUM($F235:BV235)-SUM($E236:BU236),MIN(-SUM($F233:BV233),MAX(SUM($F235:BV235)-SUM($E236:BU236)+SUM(BW233:$DB233),-BV233,0)))</f>
        <v/>
      </c>
      <c r="BW236" s="273">
        <f>MIN(SUM($F235:BW235)-SUM($E236:BV236),MIN(-SUM($F233:BW233),MAX(SUM($F235:BW235)-SUM($E236:BV236)+SUM(BX233:$DB233),-BW233,0)))</f>
        <v/>
      </c>
      <c r="BX236" s="273">
        <f>MIN(SUM($F235:BX235)-SUM($E236:BW236),MIN(-SUM($F233:BX233),MAX(SUM($F235:BX235)-SUM($E236:BW236)+SUM(BY233:$DB233),-BX233,0)))</f>
        <v/>
      </c>
      <c r="BY236" s="273">
        <f>MIN(SUM($F235:BY235)-SUM($E236:BX236),MIN(-SUM($F233:BY233),MAX(SUM($F235:BY235)-SUM($E236:BX236)+SUM(BZ233:$DB233),-BY233,0)))</f>
        <v/>
      </c>
      <c r="BZ236" s="273">
        <f>MIN(SUM($F235:BZ235)-SUM($E236:BY236),MIN(-SUM($F233:BZ233),MAX(SUM($F235:BZ235)-SUM($E236:BY236)+SUM(CA233:$DB233),-BZ233,0)))</f>
        <v/>
      </c>
      <c r="CA236" s="273">
        <f>MIN(SUM($F235:CA235)-SUM($E236:BZ236),MIN(-SUM($F233:CA233),MAX(SUM($F235:CA235)-SUM($E236:BZ236)+SUM(CB233:$DB233),-CA233,0)))</f>
        <v/>
      </c>
      <c r="CB236" s="273">
        <f>MIN(SUM($F235:CB235)-SUM($E236:CA236),MIN(-SUM($F233:CB233),MAX(SUM($F235:CB235)-SUM($E236:CA236)+SUM(CC233:$DB233),-CB233,0)))</f>
        <v/>
      </c>
      <c r="CC236" s="273">
        <f>MIN(SUM($F235:CC235)-SUM($E236:CB236),MIN(-SUM($F233:CC233),MAX(SUM($F235:CC235)-SUM($E236:CB236)+SUM(CD233:$DB233),-CC233,0)))</f>
        <v/>
      </c>
      <c r="CD236" s="273">
        <f>MIN(SUM($F235:CD235)-SUM($E236:CC236),MIN(-SUM($F233:CD233),MAX(SUM($F235:CD235)-SUM($E236:CC236)+SUM(CE233:$DB233),-CD233,0)))</f>
        <v/>
      </c>
      <c r="CE236" s="273">
        <f>MIN(SUM($F235:CE235)-SUM($E236:CD236),MIN(-SUM($F233:CE233),MAX(SUM($F235:CE235)-SUM($E236:CD236)+SUM(CF233:$DB233),-CE233,0)))</f>
        <v/>
      </c>
      <c r="CF236" s="273">
        <f>MIN(SUM($F235:CF235)-SUM($E236:CE236),MIN(-SUM($F233:CF233),MAX(SUM($F235:CF235)-SUM($E236:CE236)+SUM(CG233:$DB233),-CF233,0)))</f>
        <v/>
      </c>
      <c r="CG236" s="273">
        <f>MIN(SUM($F235:CG235)-SUM($E236:CF236),MIN(-SUM($F233:CG233),MAX(SUM($F235:CG235)-SUM($E236:CF236)+SUM(CH233:$DB233),-CG233,0)))</f>
        <v/>
      </c>
      <c r="CH236" s="273">
        <f>MIN(SUM($F235:CH235)-SUM($E236:CG236),MIN(-SUM($F233:CH233),MAX(SUM($F235:CH235)-SUM($E236:CG236)+SUM(CI233:$DB233),-CH233,0)))</f>
        <v/>
      </c>
      <c r="CI236" s="273">
        <f>MIN(SUM($F235:CI235)-SUM($E236:CH236),MIN(-SUM($F233:CI233),MAX(SUM($F235:CI235)-SUM($E236:CH236)+SUM(CJ233:$DB233),-CI233,0)))</f>
        <v/>
      </c>
      <c r="CJ236" s="273">
        <f>MIN(SUM($F235:CJ235)-SUM($E236:CI236),MIN(-SUM($F233:CJ233),MAX(SUM($F235:CJ235)-SUM($E236:CI236)+SUM(CK233:$DB233),-CJ233,0)))</f>
        <v/>
      </c>
      <c r="CK236" s="273">
        <f>MIN(SUM($F235:CK235)-SUM($E236:CJ236),MIN(-SUM($F233:CK233),MAX(SUM($F235:CK235)-SUM($E236:CJ236)+SUM(CL233:$DB233),-CK233,0)))</f>
        <v/>
      </c>
      <c r="CL236" s="273">
        <f>MIN(SUM($F235:CL235)-SUM($E236:CK236),MIN(-SUM($F233:CL233),MAX(SUM($F235:CL235)-SUM($E236:CK236)+SUM(CM233:$DB233),-CL233,0)))</f>
        <v/>
      </c>
      <c r="CM236" s="273">
        <f>MIN(SUM($F235:CM235)-SUM($E236:CL236),MIN(-SUM($F233:CM233),MAX(SUM($F235:CM235)-SUM($E236:CL236)+SUM(CN233:$DB233),-CM233,0)))</f>
        <v/>
      </c>
      <c r="CN236" s="273">
        <f>MIN(SUM($F235:CN235)-SUM($E236:CM236),MIN(-SUM($F233:CN233),MAX(SUM($F235:CN235)-SUM($E236:CM236)+SUM(CO233:$DB233),-CN233,0)))</f>
        <v/>
      </c>
      <c r="CO236" s="273">
        <f>MIN(SUM($F235:CO235)-SUM($E236:CN236),MIN(-SUM($F233:CO233),MAX(SUM($F235:CO235)-SUM($E236:CN236)+SUM(CP233:$DB233),-CO233,0)))</f>
        <v/>
      </c>
      <c r="CP236" s="273">
        <f>MIN(SUM($F235:CP235)-SUM($E236:CO236),MIN(-SUM($F233:CP233),MAX(SUM($F235:CP235)-SUM($E236:CO236)+SUM(CQ233:$DB233),-CP233,0)))</f>
        <v/>
      </c>
      <c r="CQ236" s="273">
        <f>MIN(SUM($F235:CQ235)-SUM($E236:CP236),MIN(-SUM($F233:CQ233),MAX(SUM($F235:CQ235)-SUM($E236:CP236)+SUM(CR233:$DB233),-CQ233,0)))</f>
        <v/>
      </c>
      <c r="CR236" s="273">
        <f>MIN(SUM($F235:CR235)-SUM($E236:CQ236),MIN(-SUM($F233:CR233),MAX(SUM($F235:CR235)-SUM($E236:CQ236)+SUM(CS233:$DB233),-CR233,0)))</f>
        <v/>
      </c>
      <c r="CS236" s="273">
        <f>MIN(SUM($F235:CS235)-SUM($E236:CR236),MIN(-SUM($F233:CS233),MAX(SUM($F235:CS235)-SUM($E236:CR236)+SUM(CT233:$DB233),-CS233,0)))</f>
        <v/>
      </c>
      <c r="CT236" s="273">
        <f>MIN(SUM($F235:CT235)-SUM($E236:CS236),MIN(-SUM($F233:CT233),MAX(SUM($F235:CT235)-SUM($E236:CS236)+SUM(CU233:$DB233),-CT233,0)))</f>
        <v/>
      </c>
      <c r="CU236" s="273">
        <f>MIN(SUM($F235:CU235)-SUM($E236:CT236),MIN(-SUM($F233:CU233),MAX(SUM($F235:CU235)-SUM($E236:CT236)+SUM(CV233:$DB233),-CU233,0)))</f>
        <v/>
      </c>
      <c r="CV236" s="273">
        <f>MIN(SUM($F235:CV235)-SUM($E236:CU236),MIN(-SUM($F233:CV233),MAX(SUM($F235:CV235)-SUM($E236:CU236)+SUM(CW233:$DB233),-CV233,0)))</f>
        <v/>
      </c>
      <c r="CW236" s="273">
        <f>MIN(SUM($F235:CW235)-SUM($E236:CV236),MIN(-SUM($F233:CW233),MAX(SUM($F235:CW235)-SUM($E236:CV236)+SUM(CX233:$DB233),-CW233,0)))</f>
        <v/>
      </c>
      <c r="CX236" s="273">
        <f>MIN(SUM($F235:CX235)-SUM($E236:CW236),MIN(-SUM($F233:CX233),MAX(SUM($F235:CX235)-SUM($E236:CW236)+SUM(CY233:$DB233),-CX233,0)))</f>
        <v/>
      </c>
      <c r="CY236" s="273">
        <f>MIN(SUM($F235:CY235)-SUM($E236:CX236),MIN(-SUM($F233:CY233),MAX(SUM($F235:CY235)-SUM($E236:CX236)+SUM(CZ233:$DB233),-CY233,0)))</f>
        <v/>
      </c>
      <c r="CZ236" s="273">
        <f>MIN(SUM($F235:CZ235)-SUM($E236:CY236),MIN(-SUM($F233:CZ233),MAX(SUM($F235:CZ235)-SUM($E236:CY236)+SUM(DA233:$DB233),-CZ233,0)))</f>
        <v/>
      </c>
      <c r="DA236" s="273">
        <f>MIN(SUM($F235:DA235)-SUM($E236:CZ236),MIN(-SUM($F233:DA233),MAX(SUM($F235:DA235)-SUM($E236:CZ236)+SUM(DB233:$DB233),-DA233,0)))</f>
        <v/>
      </c>
      <c r="DB236" s="273">
        <f>MIN(SUM($F235:DB235)-SUM($E236:DA236),MIN(-SUM($F233:DB233),MAX(SUM($F235:DB235)-SUM($E236:DA236)+SUM($DB233:DC233),-DB233,0)))</f>
        <v/>
      </c>
      <c r="DC236" s="273" t="n"/>
      <c r="DD236" s="295">
        <f>SUM(F236:DB236)</f>
        <v/>
      </c>
    </row>
    <row r="237">
      <c r="A237" s="9" t="inlineStr">
        <is>
          <t>Remaining Cash Flow</t>
        </is>
      </c>
      <c r="B237" s="9" t="n"/>
      <c r="C237" s="342" t="n"/>
      <c r="D237" s="337">
        <f>DD237</f>
        <v/>
      </c>
      <c r="E237" s="276" t="n"/>
      <c r="F237" s="890">
        <f>F272+F286+F296</f>
        <v/>
      </c>
      <c r="G237" s="890">
        <f>G272+G286+G296</f>
        <v/>
      </c>
      <c r="H237" s="890">
        <f>H272+H286+H296</f>
        <v/>
      </c>
      <c r="I237" s="890">
        <f>I272+I286+I296</f>
        <v/>
      </c>
      <c r="J237" s="890">
        <f>J272+J286+J296</f>
        <v/>
      </c>
      <c r="K237" s="890">
        <f>K272+K286+K296</f>
        <v/>
      </c>
      <c r="L237" s="890">
        <f>L272+L286+L296</f>
        <v/>
      </c>
      <c r="M237" s="890">
        <f>M272+M286+M296</f>
        <v/>
      </c>
      <c r="N237" s="890">
        <f>N272+N286+N296</f>
        <v/>
      </c>
      <c r="O237" s="890">
        <f>O272+O286+O296</f>
        <v/>
      </c>
      <c r="P237" s="890">
        <f>P272+P286+P296</f>
        <v/>
      </c>
      <c r="Q237" s="890">
        <f>Q272+Q286+Q296</f>
        <v/>
      </c>
      <c r="R237" s="890">
        <f>R272+R286+R296</f>
        <v/>
      </c>
      <c r="S237" s="890">
        <f>S272+S286+S296</f>
        <v/>
      </c>
      <c r="T237" s="890">
        <f>T272+T286+T296</f>
        <v/>
      </c>
      <c r="U237" s="890">
        <f>U272+U286+U296</f>
        <v/>
      </c>
      <c r="V237" s="890">
        <f>V272+V286+V296</f>
        <v/>
      </c>
      <c r="W237" s="890">
        <f>W272+W286+W296</f>
        <v/>
      </c>
      <c r="X237" s="890">
        <f>X272+X286+X296</f>
        <v/>
      </c>
      <c r="Y237" s="890">
        <f>Y272+Y286+Y296</f>
        <v/>
      </c>
      <c r="Z237" s="890">
        <f>Z272+Z286+Z296</f>
        <v/>
      </c>
      <c r="AA237" s="890">
        <f>AA272+AA286+AA296</f>
        <v/>
      </c>
      <c r="AB237" s="890">
        <f>AB272+AB286+AB296</f>
        <v/>
      </c>
      <c r="AC237" s="890">
        <f>AC272+AC286+AC296</f>
        <v/>
      </c>
      <c r="AD237" s="890">
        <f>AD272+AD286+AD296</f>
        <v/>
      </c>
      <c r="AE237" s="890">
        <f>AE272+AE286+AE296</f>
        <v/>
      </c>
      <c r="AF237" s="890">
        <f>AF272+AF286+AF296</f>
        <v/>
      </c>
      <c r="AG237" s="890">
        <f>AG272+AG286+AG296</f>
        <v/>
      </c>
      <c r="AH237" s="890">
        <f>AH272+AH286+AH296</f>
        <v/>
      </c>
      <c r="AI237" s="890">
        <f>AI272+AI286+AI296</f>
        <v/>
      </c>
      <c r="AJ237" s="890">
        <f>AJ272+AJ286+AJ296</f>
        <v/>
      </c>
      <c r="AK237" s="890">
        <f>AK272+AK286+AK296</f>
        <v/>
      </c>
      <c r="AL237" s="890">
        <f>AL272+AL286+AL296</f>
        <v/>
      </c>
      <c r="AM237" s="890">
        <f>AM272+AM286+AM296</f>
        <v/>
      </c>
      <c r="AN237" s="890">
        <f>AN272+AN286+AN296</f>
        <v/>
      </c>
      <c r="AO237" s="890">
        <f>AO272+AO286+AO296</f>
        <v/>
      </c>
      <c r="AP237" s="890">
        <f>AP272+AP286+AP296</f>
        <v/>
      </c>
      <c r="AQ237" s="890">
        <f>AQ272+AQ286+AQ296</f>
        <v/>
      </c>
      <c r="AR237" s="890">
        <f>AR272+AR286+AR296</f>
        <v/>
      </c>
      <c r="AS237" s="890">
        <f>AS272+AS286+AS296</f>
        <v/>
      </c>
      <c r="AT237" s="890">
        <f>AT272+AT286+AT296</f>
        <v/>
      </c>
      <c r="AU237" s="890">
        <f>AU272+AU286+AU296</f>
        <v/>
      </c>
      <c r="AV237" s="890">
        <f>AV272+AV286+AV296</f>
        <v/>
      </c>
      <c r="AW237" s="890">
        <f>AW272+AW286+AW296</f>
        <v/>
      </c>
      <c r="AX237" s="890">
        <f>AX272+AX286+AX296</f>
        <v/>
      </c>
      <c r="AY237" s="890">
        <f>AY272+AY286+AY296</f>
        <v/>
      </c>
      <c r="AZ237" s="890">
        <f>AZ272+AZ286+AZ296</f>
        <v/>
      </c>
      <c r="BA237" s="890">
        <f>BA272+BA286+BA296</f>
        <v/>
      </c>
      <c r="BB237" s="890">
        <f>BB272+BB286+BB296</f>
        <v/>
      </c>
      <c r="BC237" s="890">
        <f>BC272+BC286+BC296</f>
        <v/>
      </c>
      <c r="BD237" s="890">
        <f>BD272+BD286+BD296</f>
        <v/>
      </c>
      <c r="BE237" s="890">
        <f>BE272+BE286+BE296</f>
        <v/>
      </c>
      <c r="BF237" s="890">
        <f>BF272+BF286+BF296</f>
        <v/>
      </c>
      <c r="BG237" s="890">
        <f>BG272+BG286+BG296</f>
        <v/>
      </c>
      <c r="BH237" s="890">
        <f>BH272+BH286+BH296</f>
        <v/>
      </c>
      <c r="BI237" s="890">
        <f>BI272+BI286+BI296</f>
        <v/>
      </c>
      <c r="BJ237" s="890">
        <f>BJ272+BJ286+BJ296</f>
        <v/>
      </c>
      <c r="BK237" s="890">
        <f>BK272+BK286+BK296</f>
        <v/>
      </c>
      <c r="BL237" s="890">
        <f>BL272+BL286+BL296</f>
        <v/>
      </c>
      <c r="BM237" s="890">
        <f>BM272+BM286+BM296</f>
        <v/>
      </c>
      <c r="BN237" s="890">
        <f>BN272+BN286+BN296</f>
        <v/>
      </c>
      <c r="BO237" s="890">
        <f>BO272+BO286+BO296</f>
        <v/>
      </c>
      <c r="BP237" s="890">
        <f>BP272+BP286+BP296</f>
        <v/>
      </c>
      <c r="BQ237" s="890">
        <f>BQ272+BQ286+BQ296</f>
        <v/>
      </c>
      <c r="BR237" s="890">
        <f>BR272+BR286+BR296</f>
        <v/>
      </c>
      <c r="BS237" s="890">
        <f>BS272+BS286+BS296</f>
        <v/>
      </c>
      <c r="BT237" s="890">
        <f>BT272+BT286+BT296</f>
        <v/>
      </c>
      <c r="BU237" s="890">
        <f>BU272+BU286+BU296</f>
        <v/>
      </c>
      <c r="BV237" s="890">
        <f>BV272+BV286+BV296</f>
        <v/>
      </c>
      <c r="BW237" s="890">
        <f>BW272+BW286+BW296</f>
        <v/>
      </c>
      <c r="BX237" s="890">
        <f>BX272+BX286+BX296</f>
        <v/>
      </c>
      <c r="BY237" s="890">
        <f>BY272+BY286+BY296</f>
        <v/>
      </c>
      <c r="BZ237" s="890">
        <f>BZ272+BZ286+BZ296</f>
        <v/>
      </c>
      <c r="CA237" s="890">
        <f>CA272+CA286+CA296</f>
        <v/>
      </c>
      <c r="CB237" s="890">
        <f>CB272+CB286+CB296</f>
        <v/>
      </c>
      <c r="CC237" s="890">
        <f>CC272+CC286+CC296</f>
        <v/>
      </c>
      <c r="CD237" s="890">
        <f>CD272+CD286+CD296</f>
        <v/>
      </c>
      <c r="CE237" s="890">
        <f>CE272+CE286+CE296</f>
        <v/>
      </c>
      <c r="CF237" s="890">
        <f>CF272+CF286+CF296</f>
        <v/>
      </c>
      <c r="CG237" s="890">
        <f>CG272+CG286+CG296</f>
        <v/>
      </c>
      <c r="CH237" s="890">
        <f>CH272+CH286+CH296</f>
        <v/>
      </c>
      <c r="CI237" s="890">
        <f>CI272+CI286+CI296</f>
        <v/>
      </c>
      <c r="CJ237" s="890">
        <f>CJ272+CJ286+CJ296</f>
        <v/>
      </c>
      <c r="CK237" s="890">
        <f>CK272+CK286+CK296</f>
        <v/>
      </c>
      <c r="CL237" s="890">
        <f>CL272+CL286+CL296</f>
        <v/>
      </c>
      <c r="CM237" s="890">
        <f>CM272+CM286+CM296</f>
        <v/>
      </c>
      <c r="CN237" s="890">
        <f>CN272+CN286+CN296</f>
        <v/>
      </c>
      <c r="CO237" s="890">
        <f>CO272+CO286+CO296</f>
        <v/>
      </c>
      <c r="CP237" s="890">
        <f>CP272+CP286+CP296</f>
        <v/>
      </c>
      <c r="CQ237" s="890">
        <f>CQ272+CQ286+CQ296</f>
        <v/>
      </c>
      <c r="CR237" s="890">
        <f>CR272+CR286+CR296</f>
        <v/>
      </c>
      <c r="CS237" s="890">
        <f>CS272+CS286+CS296</f>
        <v/>
      </c>
      <c r="CT237" s="890">
        <f>CT272+CT286+CT296</f>
        <v/>
      </c>
      <c r="CU237" s="890">
        <f>CU272+CU286+CU296</f>
        <v/>
      </c>
      <c r="CV237" s="890">
        <f>CV272+CV286+CV296</f>
        <v/>
      </c>
      <c r="CW237" s="890">
        <f>CW272+CW286+CW296</f>
        <v/>
      </c>
      <c r="CX237" s="890">
        <f>CX272+CX286+CX296</f>
        <v/>
      </c>
      <c r="CY237" s="890">
        <f>CY272+CY286+CY296</f>
        <v/>
      </c>
      <c r="CZ237" s="890">
        <f>CZ272+CZ286+CZ296</f>
        <v/>
      </c>
      <c r="DA237" s="890">
        <f>DA272+DA286+DA296</f>
        <v/>
      </c>
      <c r="DB237" s="890">
        <f>DB272+DB286+DB296</f>
        <v/>
      </c>
      <c r="DC237" s="890" t="n"/>
      <c r="DD237" s="297">
        <f>SUM(F237:DB237)</f>
        <v/>
      </c>
    </row>
    <row r="238" ht="14.1" customFormat="1" customHeight="1" s="345">
      <c r="A238" s="1129" t="inlineStr">
        <is>
          <t>Developer Equity IRR/Cash Flow</t>
        </is>
      </c>
      <c r="B238" s="1129" t="n"/>
      <c r="C238" s="1130">
        <f>(1+IRR(F238:DB238,0.001))^12-1</f>
        <v/>
      </c>
      <c r="D238" s="343">
        <f>DD238</f>
        <v/>
      </c>
      <c r="E238" s="281" t="n"/>
      <c r="F238" s="344">
        <f>F233+F234+F236+F237</f>
        <v/>
      </c>
      <c r="G238" s="344">
        <f>G233+G234+G236+G237</f>
        <v/>
      </c>
      <c r="H238" s="344">
        <f>H233+H234+H236+H237</f>
        <v/>
      </c>
      <c r="I238" s="344">
        <f>I233+I234+I236+I237</f>
        <v/>
      </c>
      <c r="J238" s="344">
        <f>J233+J234+J236+J237</f>
        <v/>
      </c>
      <c r="K238" s="344">
        <f>K233+K234+K236+K237</f>
        <v/>
      </c>
      <c r="L238" s="344">
        <f>L233+L234+L236+L237</f>
        <v/>
      </c>
      <c r="M238" s="344">
        <f>M233+M234+M236+M237</f>
        <v/>
      </c>
      <c r="N238" s="344">
        <f>N233+N234+N236+N237</f>
        <v/>
      </c>
      <c r="O238" s="344">
        <f>O233+O234+O236+O237</f>
        <v/>
      </c>
      <c r="P238" s="344">
        <f>P233+P234+P236+P237</f>
        <v/>
      </c>
      <c r="Q238" s="344">
        <f>Q233+Q234+Q236+Q237</f>
        <v/>
      </c>
      <c r="R238" s="344">
        <f>R233+R234+R236+R237</f>
        <v/>
      </c>
      <c r="S238" s="344">
        <f>S233+S234+S236+S237</f>
        <v/>
      </c>
      <c r="T238" s="344">
        <f>T233+T234+T236+T237</f>
        <v/>
      </c>
      <c r="U238" s="344">
        <f>U233+U234+U236+U237</f>
        <v/>
      </c>
      <c r="V238" s="344">
        <f>V233+V234+V236+V237</f>
        <v/>
      </c>
      <c r="W238" s="344">
        <f>W233+W234+W236+W237</f>
        <v/>
      </c>
      <c r="X238" s="344">
        <f>X233+X234+X236+X237</f>
        <v/>
      </c>
      <c r="Y238" s="344">
        <f>Y233+Y234+Y236+Y237</f>
        <v/>
      </c>
      <c r="Z238" s="344">
        <f>Z233+Z234+Z236+Z237</f>
        <v/>
      </c>
      <c r="AA238" s="344">
        <f>AA233+AA234+AA236+AA237</f>
        <v/>
      </c>
      <c r="AB238" s="344">
        <f>AB233+AB234+AB236+AB237</f>
        <v/>
      </c>
      <c r="AC238" s="344">
        <f>AC233+AC234+AC236+AC237</f>
        <v/>
      </c>
      <c r="AD238" s="344">
        <f>AD233+AD234+AD236+AD237</f>
        <v/>
      </c>
      <c r="AE238" s="344">
        <f>AE233+AE234+AE236+AE237</f>
        <v/>
      </c>
      <c r="AF238" s="344">
        <f>AF233+AF234+AF236+AF237</f>
        <v/>
      </c>
      <c r="AG238" s="344">
        <f>AG233+AG234+AG236+AG237</f>
        <v/>
      </c>
      <c r="AH238" s="344">
        <f>AH233+AH234+AH236+AH237</f>
        <v/>
      </c>
      <c r="AI238" s="344">
        <f>AI233+AI234+AI236+AI237</f>
        <v/>
      </c>
      <c r="AJ238" s="344">
        <f>AJ233+AJ234+AJ236+AJ237</f>
        <v/>
      </c>
      <c r="AK238" s="344">
        <f>AK233+AK234+AK236+AK237</f>
        <v/>
      </c>
      <c r="AL238" s="344">
        <f>AL233+AL234+AL236+AL237</f>
        <v/>
      </c>
      <c r="AM238" s="344">
        <f>AM233+AM234+AM236+AM237</f>
        <v/>
      </c>
      <c r="AN238" s="344">
        <f>AN233+AN234+AN236+AN237</f>
        <v/>
      </c>
      <c r="AO238" s="344">
        <f>AO233+AO234+AO236+AO237</f>
        <v/>
      </c>
      <c r="AP238" s="344">
        <f>AP233+AP234+AP236+AP237</f>
        <v/>
      </c>
      <c r="AQ238" s="344">
        <f>AQ233+AQ234+AQ236+AQ237</f>
        <v/>
      </c>
      <c r="AR238" s="344">
        <f>AR233+AR234+AR236+AR237</f>
        <v/>
      </c>
      <c r="AS238" s="344">
        <f>AS233+AS234+AS236+AS237</f>
        <v/>
      </c>
      <c r="AT238" s="344">
        <f>AT233+AT234+AT236+AT237</f>
        <v/>
      </c>
      <c r="AU238" s="344">
        <f>AU233+AU234+AU236+AU237</f>
        <v/>
      </c>
      <c r="AV238" s="344">
        <f>AV233+AV234+AV236+AV237</f>
        <v/>
      </c>
      <c r="AW238" s="344">
        <f>AW233+AW234+AW236+AW237</f>
        <v/>
      </c>
      <c r="AX238" s="344">
        <f>AX233+AX234+AX236+AX237</f>
        <v/>
      </c>
      <c r="AY238" s="344">
        <f>AY233+AY234+AY236+AY237</f>
        <v/>
      </c>
      <c r="AZ238" s="344">
        <f>AZ233+AZ234+AZ236+AZ237</f>
        <v/>
      </c>
      <c r="BA238" s="344">
        <f>BA233+BA234+BA236+BA237</f>
        <v/>
      </c>
      <c r="BB238" s="344">
        <f>BB233+BB234+BB236+BB237</f>
        <v/>
      </c>
      <c r="BC238" s="344">
        <f>BC233+BC234+BC236+BC237</f>
        <v/>
      </c>
      <c r="BD238" s="344">
        <f>BD233+BD234+BD236+BD237</f>
        <v/>
      </c>
      <c r="BE238" s="344">
        <f>BE233+BE234+BE236+BE237</f>
        <v/>
      </c>
      <c r="BF238" s="344">
        <f>BF233+BF234+BF236+BF237</f>
        <v/>
      </c>
      <c r="BG238" s="344">
        <f>BG233+BG234+BG236+BG237</f>
        <v/>
      </c>
      <c r="BH238" s="344">
        <f>BH233+BH234+BH236+BH237</f>
        <v/>
      </c>
      <c r="BI238" s="344">
        <f>BI233+BI234+BI236+BI237</f>
        <v/>
      </c>
      <c r="BJ238" s="344">
        <f>BJ233+BJ234+BJ236+BJ237</f>
        <v/>
      </c>
      <c r="BK238" s="344">
        <f>BK233+BK234+BK236+BK237</f>
        <v/>
      </c>
      <c r="BL238" s="344">
        <f>BL233+BL234+BL236+BL237</f>
        <v/>
      </c>
      <c r="BM238" s="344">
        <f>BM233+BM234+BM236+BM237</f>
        <v/>
      </c>
      <c r="BN238" s="344">
        <f>BN233+BN234+BN236+BN237</f>
        <v/>
      </c>
      <c r="BO238" s="344">
        <f>BO233+BO234+BO236+BO237</f>
        <v/>
      </c>
      <c r="BP238" s="344">
        <f>BP233+BP234+BP236+BP237</f>
        <v/>
      </c>
      <c r="BQ238" s="344">
        <f>BQ233+BQ234+BQ236+BQ237</f>
        <v/>
      </c>
      <c r="BR238" s="344">
        <f>BR233+BR234+BR236+BR237</f>
        <v/>
      </c>
      <c r="BS238" s="344">
        <f>BS233+BS234+BS236+BS237</f>
        <v/>
      </c>
      <c r="BT238" s="344">
        <f>BT233+BT234+BT236+BT237</f>
        <v/>
      </c>
      <c r="BU238" s="344">
        <f>BU233+BU234+BU236+BU237</f>
        <v/>
      </c>
      <c r="BV238" s="344">
        <f>BV233+BV234+BV236+BV237</f>
        <v/>
      </c>
      <c r="BW238" s="344">
        <f>BW233+BW234+BW236+BW237</f>
        <v/>
      </c>
      <c r="BX238" s="344">
        <f>BX233+BX234+BX236+BX237</f>
        <v/>
      </c>
      <c r="BY238" s="344">
        <f>BY233+BY234+BY236+BY237</f>
        <v/>
      </c>
      <c r="BZ238" s="344">
        <f>BZ233+BZ234+BZ236+BZ237</f>
        <v/>
      </c>
      <c r="CA238" s="344">
        <f>CA233+CA234+CA236+CA237</f>
        <v/>
      </c>
      <c r="CB238" s="344">
        <f>CB233+CB234+CB236+CB237</f>
        <v/>
      </c>
      <c r="CC238" s="344">
        <f>CC233+CC234+CC236+CC237</f>
        <v/>
      </c>
      <c r="CD238" s="344">
        <f>CD233+CD234+CD236+CD237</f>
        <v/>
      </c>
      <c r="CE238" s="344">
        <f>CE233+CE234+CE236+CE237</f>
        <v/>
      </c>
      <c r="CF238" s="344">
        <f>CF233+CF234+CF236+CF237</f>
        <v/>
      </c>
      <c r="CG238" s="344">
        <f>CG233+CG234+CG236+CG237</f>
        <v/>
      </c>
      <c r="CH238" s="344">
        <f>CH233+CH234+CH236+CH237</f>
        <v/>
      </c>
      <c r="CI238" s="344">
        <f>CI233+CI234+CI236+CI237</f>
        <v/>
      </c>
      <c r="CJ238" s="344">
        <f>CJ233+CJ234+CJ236+CJ237</f>
        <v/>
      </c>
      <c r="CK238" s="344">
        <f>CK233+CK234+CK236+CK237</f>
        <v/>
      </c>
      <c r="CL238" s="344">
        <f>CL233+CL234+CL236+CL237</f>
        <v/>
      </c>
      <c r="CM238" s="344">
        <f>CM233+CM234+CM236+CM237</f>
        <v/>
      </c>
      <c r="CN238" s="344">
        <f>CN233+CN234+CN236+CN237</f>
        <v/>
      </c>
      <c r="CO238" s="344">
        <f>CO233+CO234+CO236+CO237</f>
        <v/>
      </c>
      <c r="CP238" s="344">
        <f>CP233+CP234+CP236+CP237</f>
        <v/>
      </c>
      <c r="CQ238" s="344">
        <f>CQ233+CQ234+CQ236+CQ237</f>
        <v/>
      </c>
      <c r="CR238" s="344">
        <f>CR233+CR234+CR236+CR237</f>
        <v/>
      </c>
      <c r="CS238" s="344">
        <f>CS233+CS234+CS236+CS237</f>
        <v/>
      </c>
      <c r="CT238" s="344">
        <f>CT233+CT234+CT236+CT237</f>
        <v/>
      </c>
      <c r="CU238" s="344">
        <f>CU233+CU234+CU236+CU237</f>
        <v/>
      </c>
      <c r="CV238" s="344">
        <f>CV233+CV234+CV236+CV237</f>
        <v/>
      </c>
      <c r="CW238" s="344">
        <f>CW233+CW234+CW236+CW237</f>
        <v/>
      </c>
      <c r="CX238" s="344">
        <f>CX233+CX234+CX236+CX237</f>
        <v/>
      </c>
      <c r="CY238" s="344">
        <f>CY233+CY234+CY236+CY237</f>
        <v/>
      </c>
      <c r="CZ238" s="344">
        <f>CZ233+CZ234+CZ236+CZ237</f>
        <v/>
      </c>
      <c r="DA238" s="344">
        <f>DA233+DA234+DA236+DA237</f>
        <v/>
      </c>
      <c r="DB238" s="344">
        <f>DB233+DB234+DB236+DB237</f>
        <v/>
      </c>
      <c r="DC238" s="344" t="n"/>
      <c r="DD238" s="727">
        <f>SUM(F238:DB238)</f>
        <v/>
      </c>
    </row>
    <row r="239" customFormat="1" s="314">
      <c r="A239" s="786" t="n"/>
      <c r="B239" s="786" t="n"/>
      <c r="C239" s="1131" t="n"/>
      <c r="D239" s="895" t="n"/>
      <c r="E239" s="346" t="n"/>
      <c r="F239" s="789" t="n"/>
      <c r="G239" s="789" t="n"/>
      <c r="H239" s="789" t="n"/>
      <c r="I239" s="789" t="n"/>
      <c r="J239" s="789" t="n"/>
      <c r="K239" s="789" t="n"/>
      <c r="L239" s="789" t="n"/>
      <c r="M239" s="789" t="n"/>
      <c r="N239" s="789" t="n"/>
      <c r="O239" s="789" t="n"/>
      <c r="P239" s="789" t="n"/>
      <c r="Q239" s="789" t="n"/>
      <c r="R239" s="789" t="n"/>
      <c r="S239" s="789" t="n"/>
      <c r="T239" s="789" t="n"/>
      <c r="U239" s="789" t="n"/>
      <c r="V239" s="789" t="n"/>
      <c r="W239" s="789" t="n"/>
      <c r="X239" s="789" t="n"/>
      <c r="Y239" s="789" t="n"/>
      <c r="Z239" s="789" t="n"/>
      <c r="AA239" s="789" t="n"/>
      <c r="AB239" s="789" t="n"/>
      <c r="AC239" s="789" t="n"/>
      <c r="AD239" s="789" t="n"/>
      <c r="AE239" s="789" t="n"/>
      <c r="AF239" s="789" t="n"/>
      <c r="AG239" s="789" t="n"/>
      <c r="AH239" s="789" t="n"/>
      <c r="AI239" s="789" t="n"/>
      <c r="AJ239" s="789" t="n"/>
      <c r="AK239" s="789" t="n"/>
      <c r="AL239" s="789" t="n"/>
      <c r="AM239" s="789" t="n"/>
      <c r="AN239" s="789" t="n"/>
      <c r="AO239" s="789" t="n"/>
      <c r="AP239" s="789" t="n"/>
      <c r="AQ239" s="789" t="n"/>
      <c r="AR239" s="789" t="n"/>
      <c r="AS239" s="789" t="n"/>
      <c r="AT239" s="789" t="n"/>
      <c r="AU239" s="789" t="n"/>
      <c r="AV239" s="789" t="n"/>
      <c r="AW239" s="789" t="n"/>
      <c r="AX239" s="789" t="n"/>
      <c r="AY239" s="789" t="n"/>
      <c r="AZ239" s="789" t="n"/>
      <c r="BA239" s="789" t="n"/>
      <c r="BB239" s="789" t="n"/>
      <c r="BC239" s="789" t="n"/>
      <c r="BD239" s="789" t="n"/>
      <c r="BE239" s="789" t="n"/>
      <c r="BF239" s="789" t="n"/>
      <c r="BG239" s="789" t="n"/>
      <c r="BH239" s="789" t="n"/>
      <c r="BI239" s="789" t="n"/>
      <c r="BJ239" s="789" t="n"/>
      <c r="BK239" s="789" t="n"/>
      <c r="BL239" s="789" t="n"/>
      <c r="BM239" s="789" t="n"/>
      <c r="BN239" s="789" t="n"/>
      <c r="BO239" s="789" t="n"/>
      <c r="BP239" s="789" t="n"/>
      <c r="BQ239" s="789" t="n"/>
      <c r="BR239" s="789" t="n"/>
      <c r="BS239" s="789" t="n"/>
      <c r="BT239" s="789" t="n"/>
      <c r="BU239" s="789" t="n"/>
      <c r="BV239" s="789" t="n"/>
      <c r="BW239" s="789" t="n"/>
      <c r="BX239" s="789" t="n"/>
      <c r="BY239" s="789" t="n"/>
      <c r="BZ239" s="789" t="n"/>
      <c r="CA239" s="789" t="n"/>
      <c r="CB239" s="789" t="n"/>
      <c r="CC239" s="789" t="n"/>
      <c r="CD239" s="789" t="n"/>
      <c r="CE239" s="789" t="n"/>
      <c r="CF239" s="789" t="n"/>
      <c r="CG239" s="789" t="n"/>
      <c r="CH239" s="789" t="n"/>
      <c r="CI239" s="789" t="n"/>
      <c r="CJ239" s="789" t="n"/>
      <c r="CK239" s="789" t="n"/>
      <c r="CL239" s="789" t="n"/>
      <c r="CM239" s="789" t="n"/>
      <c r="CN239" s="789" t="n"/>
      <c r="CO239" s="789" t="n"/>
      <c r="CP239" s="789" t="n"/>
      <c r="CQ239" s="789" t="n"/>
      <c r="CR239" s="789" t="n"/>
      <c r="CS239" s="789" t="n"/>
      <c r="CT239" s="789" t="n"/>
      <c r="CU239" s="789" t="n"/>
      <c r="CV239" s="789" t="n"/>
      <c r="CW239" s="789" t="n"/>
      <c r="CX239" s="789" t="n"/>
      <c r="CY239" s="789" t="n"/>
      <c r="CZ239" s="789" t="n"/>
      <c r="DA239" s="789" t="n"/>
      <c r="DB239" s="789" t="n"/>
      <c r="DC239" s="789" t="n"/>
      <c r="DD239" s="789" t="n"/>
    </row>
    <row r="240" customFormat="1" s="349">
      <c r="A240" s="258" t="inlineStr">
        <is>
          <t>Developer Promote</t>
        </is>
      </c>
      <c r="B240" s="258" t="n"/>
      <c r="C240" s="1132" t="n"/>
      <c r="D240" s="728">
        <f>DD240</f>
        <v/>
      </c>
      <c r="E240" s="271" t="n"/>
      <c r="F240" s="348" t="n"/>
      <c r="G240" s="896">
        <f>G270+G284+G294</f>
        <v/>
      </c>
      <c r="H240" s="896">
        <f>H270+H284+H294</f>
        <v/>
      </c>
      <c r="I240" s="896">
        <f>I270+I284+I294</f>
        <v/>
      </c>
      <c r="J240" s="896">
        <f>J270+J284+J294</f>
        <v/>
      </c>
      <c r="K240" s="896">
        <f>K270+K284+K294</f>
        <v/>
      </c>
      <c r="L240" s="896">
        <f>L270+L284+L294</f>
        <v/>
      </c>
      <c r="M240" s="896">
        <f>M270+M284+M294</f>
        <v/>
      </c>
      <c r="N240" s="896">
        <f>N270+N284+N294</f>
        <v/>
      </c>
      <c r="O240" s="896">
        <f>O270+O284+O294</f>
        <v/>
      </c>
      <c r="P240" s="896">
        <f>P270+P284+P294</f>
        <v/>
      </c>
      <c r="Q240" s="896">
        <f>Q270+Q284+Q294</f>
        <v/>
      </c>
      <c r="R240" s="896">
        <f>R270+R284+R294</f>
        <v/>
      </c>
      <c r="S240" s="896">
        <f>S270+S284+S294</f>
        <v/>
      </c>
      <c r="T240" s="896">
        <f>T270+T284+T294</f>
        <v/>
      </c>
      <c r="U240" s="896">
        <f>U270+U284+U294</f>
        <v/>
      </c>
      <c r="V240" s="896">
        <f>V270+V284+V294</f>
        <v/>
      </c>
      <c r="W240" s="896">
        <f>W270+W284+W294</f>
        <v/>
      </c>
      <c r="X240" s="896">
        <f>X270+X284+X294</f>
        <v/>
      </c>
      <c r="Y240" s="896">
        <f>Y270+Y284+Y294</f>
        <v/>
      </c>
      <c r="Z240" s="896">
        <f>Z270+Z284+Z294</f>
        <v/>
      </c>
      <c r="AA240" s="896">
        <f>AA270+AA284+AA294</f>
        <v/>
      </c>
      <c r="AB240" s="896">
        <f>AB270+AB284+AB294</f>
        <v/>
      </c>
      <c r="AC240" s="896">
        <f>AC270+AC284+AC294</f>
        <v/>
      </c>
      <c r="AD240" s="896">
        <f>AD270+AD284+AD294</f>
        <v/>
      </c>
      <c r="AE240" s="896">
        <f>AE270+AE284+AE294</f>
        <v/>
      </c>
      <c r="AF240" s="896">
        <f>AF270+AF284+AF294</f>
        <v/>
      </c>
      <c r="AG240" s="896">
        <f>AG270+AG284+AG294</f>
        <v/>
      </c>
      <c r="AH240" s="896">
        <f>AH270+AH284+AH294</f>
        <v/>
      </c>
      <c r="AI240" s="896">
        <f>AI270+AI284+AI294</f>
        <v/>
      </c>
      <c r="AJ240" s="896">
        <f>AJ270+AJ284+AJ294</f>
        <v/>
      </c>
      <c r="AK240" s="896">
        <f>AK270+AK284+AK294</f>
        <v/>
      </c>
      <c r="AL240" s="896">
        <f>AL270+AL284+AL294</f>
        <v/>
      </c>
      <c r="AM240" s="896">
        <f>AM270+AM284+AM294</f>
        <v/>
      </c>
      <c r="AN240" s="896">
        <f>AN270+AN284+AN294</f>
        <v/>
      </c>
      <c r="AO240" s="896">
        <f>AO270+AO284+AO294</f>
        <v/>
      </c>
      <c r="AP240" s="896">
        <f>AP270+AP284+AP294</f>
        <v/>
      </c>
      <c r="AQ240" s="896">
        <f>AQ270+AQ284+AQ294</f>
        <v/>
      </c>
      <c r="AR240" s="896">
        <f>AR270+AR284+AR294</f>
        <v/>
      </c>
      <c r="AS240" s="896">
        <f>AS270+AS284+AS294</f>
        <v/>
      </c>
      <c r="AT240" s="896">
        <f>AT270+AT284+AT294</f>
        <v/>
      </c>
      <c r="AU240" s="896">
        <f>AU270+AU284+AU294</f>
        <v/>
      </c>
      <c r="AV240" s="896">
        <f>AV270+AV284+AV294</f>
        <v/>
      </c>
      <c r="AW240" s="896">
        <f>AW270+AW284+AW294</f>
        <v/>
      </c>
      <c r="AX240" s="896">
        <f>AX270+AX284+AX294</f>
        <v/>
      </c>
      <c r="AY240" s="896">
        <f>AY270+AY284+AY294</f>
        <v/>
      </c>
      <c r="AZ240" s="896">
        <f>AZ270+AZ284+AZ294</f>
        <v/>
      </c>
      <c r="BA240" s="896">
        <f>BA270+BA284+BA294</f>
        <v/>
      </c>
      <c r="BB240" s="896">
        <f>BB270+BB284+BB294</f>
        <v/>
      </c>
      <c r="BC240" s="896">
        <f>BC270+BC284+BC294</f>
        <v/>
      </c>
      <c r="BD240" s="896">
        <f>BD270+BD284+BD294</f>
        <v/>
      </c>
      <c r="BE240" s="896">
        <f>BE270+BE284+BE294</f>
        <v/>
      </c>
      <c r="BF240" s="896">
        <f>BF270+BF284+BF294</f>
        <v/>
      </c>
      <c r="BG240" s="896">
        <f>BG270+BG284+BG294</f>
        <v/>
      </c>
      <c r="BH240" s="896">
        <f>BH270+BH284+BH294</f>
        <v/>
      </c>
      <c r="BI240" s="896">
        <f>BI270+BI284+BI294</f>
        <v/>
      </c>
      <c r="BJ240" s="896">
        <f>BJ270+BJ284+BJ294</f>
        <v/>
      </c>
      <c r="BK240" s="896">
        <f>BK270+BK284+BK294</f>
        <v/>
      </c>
      <c r="BL240" s="896">
        <f>BL270+BL284+BL294</f>
        <v/>
      </c>
      <c r="BM240" s="896">
        <f>BM270+BM284+BM294</f>
        <v/>
      </c>
      <c r="BN240" s="896">
        <f>BN270+BN284+BN294</f>
        <v/>
      </c>
      <c r="BO240" s="896">
        <f>BO270+BO284+BO294</f>
        <v/>
      </c>
      <c r="BP240" s="896">
        <f>BP270+BP284+BP294</f>
        <v/>
      </c>
      <c r="BQ240" s="896">
        <f>BQ270+BQ284+BQ294</f>
        <v/>
      </c>
      <c r="BR240" s="896">
        <f>BR270+BR284+BR294</f>
        <v/>
      </c>
      <c r="BS240" s="896">
        <f>BS270+BS284+BS294</f>
        <v/>
      </c>
      <c r="BT240" s="896">
        <f>BT270+BT284+BT294</f>
        <v/>
      </c>
      <c r="BU240" s="896">
        <f>BU270+BU284+BU294</f>
        <v/>
      </c>
      <c r="BV240" s="896">
        <f>BV270+BV284+BV294</f>
        <v/>
      </c>
      <c r="BW240" s="896">
        <f>BW270+BW284+BW294</f>
        <v/>
      </c>
      <c r="BX240" s="896">
        <f>BX270+BX284+BX294</f>
        <v/>
      </c>
      <c r="BY240" s="896">
        <f>BY270+BY284+BY294</f>
        <v/>
      </c>
      <c r="BZ240" s="896">
        <f>BZ270+BZ284+BZ294</f>
        <v/>
      </c>
      <c r="CA240" s="896">
        <f>CA270+CA284+CA294</f>
        <v/>
      </c>
      <c r="CB240" s="896">
        <f>CB270+CB284+CB294</f>
        <v/>
      </c>
      <c r="CC240" s="896">
        <f>CC270+CC284+CC294</f>
        <v/>
      </c>
      <c r="CD240" s="896">
        <f>CD270+CD284+CD294</f>
        <v/>
      </c>
      <c r="CE240" s="896">
        <f>CE270+CE284+CE294</f>
        <v/>
      </c>
      <c r="CF240" s="896">
        <f>CF270+CF284+CF294</f>
        <v/>
      </c>
      <c r="CG240" s="896">
        <f>CG270+CG284+CG294</f>
        <v/>
      </c>
      <c r="CH240" s="896">
        <f>CH270+CH284+CH294</f>
        <v/>
      </c>
      <c r="CI240" s="896">
        <f>CI270+CI284+CI294</f>
        <v/>
      </c>
      <c r="CJ240" s="896">
        <f>CJ270+CJ284+CJ294</f>
        <v/>
      </c>
      <c r="CK240" s="896">
        <f>CK270+CK284+CK294</f>
        <v/>
      </c>
      <c r="CL240" s="896">
        <f>CL270+CL284+CL294</f>
        <v/>
      </c>
      <c r="CM240" s="896">
        <f>CM270+CM284+CM294</f>
        <v/>
      </c>
      <c r="CN240" s="896">
        <f>CN270+CN284+CN294</f>
        <v/>
      </c>
      <c r="CO240" s="896">
        <f>CO270+CO284+CO294</f>
        <v/>
      </c>
      <c r="CP240" s="896">
        <f>CP270+CP284+CP294</f>
        <v/>
      </c>
      <c r="CQ240" s="896">
        <f>CQ270+CQ284+CQ294</f>
        <v/>
      </c>
      <c r="CR240" s="896">
        <f>CR270+CR284+CR294</f>
        <v/>
      </c>
      <c r="CS240" s="896">
        <f>CS270+CS284+CS294</f>
        <v/>
      </c>
      <c r="CT240" s="896">
        <f>CT270+CT284+CT294</f>
        <v/>
      </c>
      <c r="CU240" s="896">
        <f>CU270+CU284+CU294</f>
        <v/>
      </c>
      <c r="CV240" s="896">
        <f>CV270+CV284+CV294</f>
        <v/>
      </c>
      <c r="CW240" s="896">
        <f>CW270+CW284+CW294</f>
        <v/>
      </c>
      <c r="CX240" s="896">
        <f>CX270+CX284+CX294</f>
        <v/>
      </c>
      <c r="CY240" s="896">
        <f>CY270+CY284+CY294</f>
        <v/>
      </c>
      <c r="CZ240" s="896">
        <f>CZ270+CZ284+CZ294</f>
        <v/>
      </c>
      <c r="DA240" s="896">
        <f>DA270+DA284+DA294</f>
        <v/>
      </c>
      <c r="DB240" s="896">
        <f>DB270+DB284+DB294</f>
        <v/>
      </c>
      <c r="DC240" s="348" t="n"/>
      <c r="DD240" s="348">
        <f>SUM(F240:DB240)</f>
        <v/>
      </c>
    </row>
    <row r="241" ht="14.1" customFormat="1" customHeight="1" s="352">
      <c r="A241" s="897" t="inlineStr">
        <is>
          <t>Developer Total IRR/Cash Flow</t>
        </is>
      </c>
      <c r="B241" s="897" t="n"/>
      <c r="C241" s="1133">
        <f>(1+IRR(F241:DB241,0.001))^12-1</f>
        <v/>
      </c>
      <c r="D241" s="350">
        <f>DD241</f>
        <v/>
      </c>
      <c r="E241" s="351" t="n"/>
      <c r="F241" s="896">
        <f>F238+F240</f>
        <v/>
      </c>
      <c r="G241" s="896">
        <f>G238+G240</f>
        <v/>
      </c>
      <c r="H241" s="896">
        <f>H238+H240</f>
        <v/>
      </c>
      <c r="I241" s="896">
        <f>I238+I240</f>
        <v/>
      </c>
      <c r="J241" s="896">
        <f>J238+J240</f>
        <v/>
      </c>
      <c r="K241" s="896">
        <f>K238+K240</f>
        <v/>
      </c>
      <c r="L241" s="896">
        <f>L238+L240</f>
        <v/>
      </c>
      <c r="M241" s="896">
        <f>M238+M240</f>
        <v/>
      </c>
      <c r="N241" s="896">
        <f>N238+N240</f>
        <v/>
      </c>
      <c r="O241" s="896">
        <f>O238+O240</f>
        <v/>
      </c>
      <c r="P241" s="896">
        <f>P238+P240</f>
        <v/>
      </c>
      <c r="Q241" s="896">
        <f>Q238+Q240</f>
        <v/>
      </c>
      <c r="R241" s="896">
        <f>R238+R240</f>
        <v/>
      </c>
      <c r="S241" s="896">
        <f>S238+S240</f>
        <v/>
      </c>
      <c r="T241" s="896">
        <f>T238+T240</f>
        <v/>
      </c>
      <c r="U241" s="896">
        <f>U238+U240</f>
        <v/>
      </c>
      <c r="V241" s="896">
        <f>V238+V240</f>
        <v/>
      </c>
      <c r="W241" s="896">
        <f>W238+W240</f>
        <v/>
      </c>
      <c r="X241" s="896">
        <f>X238+X240</f>
        <v/>
      </c>
      <c r="Y241" s="896">
        <f>Y238+Y240</f>
        <v/>
      </c>
      <c r="Z241" s="896">
        <f>Z238+Z240</f>
        <v/>
      </c>
      <c r="AA241" s="896">
        <f>AA238+AA240</f>
        <v/>
      </c>
      <c r="AB241" s="896">
        <f>AB238+AB240</f>
        <v/>
      </c>
      <c r="AC241" s="896">
        <f>AC238+AC240</f>
        <v/>
      </c>
      <c r="AD241" s="896">
        <f>AD238+AD240</f>
        <v/>
      </c>
      <c r="AE241" s="896">
        <f>AE238+AE240</f>
        <v/>
      </c>
      <c r="AF241" s="896">
        <f>AF238+AF240</f>
        <v/>
      </c>
      <c r="AG241" s="896">
        <f>AG238+AG240</f>
        <v/>
      </c>
      <c r="AH241" s="896">
        <f>AH238+AH240</f>
        <v/>
      </c>
      <c r="AI241" s="896">
        <f>AI238+AI240</f>
        <v/>
      </c>
      <c r="AJ241" s="896">
        <f>AJ238+AJ240</f>
        <v/>
      </c>
      <c r="AK241" s="896">
        <f>AK238+AK240</f>
        <v/>
      </c>
      <c r="AL241" s="896">
        <f>AL238+AL240</f>
        <v/>
      </c>
      <c r="AM241" s="896">
        <f>AM238+AM240</f>
        <v/>
      </c>
      <c r="AN241" s="896">
        <f>AN238+AN240</f>
        <v/>
      </c>
      <c r="AO241" s="896">
        <f>AO238+AO240</f>
        <v/>
      </c>
      <c r="AP241" s="896">
        <f>AP238+AP240</f>
        <v/>
      </c>
      <c r="AQ241" s="896">
        <f>AQ238+AQ240</f>
        <v/>
      </c>
      <c r="AR241" s="896">
        <f>AR238+AR240</f>
        <v/>
      </c>
      <c r="AS241" s="896">
        <f>AS238+AS240</f>
        <v/>
      </c>
      <c r="AT241" s="896">
        <f>AT238+AT240</f>
        <v/>
      </c>
      <c r="AU241" s="896">
        <f>AU238+AU240</f>
        <v/>
      </c>
      <c r="AV241" s="896">
        <f>AV238+AV240</f>
        <v/>
      </c>
      <c r="AW241" s="896">
        <f>AW238+AW240</f>
        <v/>
      </c>
      <c r="AX241" s="896">
        <f>AX238+AX240</f>
        <v/>
      </c>
      <c r="AY241" s="896">
        <f>AY238+AY240</f>
        <v/>
      </c>
      <c r="AZ241" s="896">
        <f>AZ238+AZ240</f>
        <v/>
      </c>
      <c r="BA241" s="896">
        <f>BA238+BA240</f>
        <v/>
      </c>
      <c r="BB241" s="896">
        <f>BB238+BB240</f>
        <v/>
      </c>
      <c r="BC241" s="896">
        <f>BC238+BC240</f>
        <v/>
      </c>
      <c r="BD241" s="896">
        <f>BD238+BD240</f>
        <v/>
      </c>
      <c r="BE241" s="896">
        <f>BE238+BE240</f>
        <v/>
      </c>
      <c r="BF241" s="896">
        <f>BF238+BF240</f>
        <v/>
      </c>
      <c r="BG241" s="896">
        <f>BG238+BG240</f>
        <v/>
      </c>
      <c r="BH241" s="896">
        <f>BH238+BH240</f>
        <v/>
      </c>
      <c r="BI241" s="896">
        <f>BI238+BI240</f>
        <v/>
      </c>
      <c r="BJ241" s="896">
        <f>BJ238+BJ240</f>
        <v/>
      </c>
      <c r="BK241" s="896">
        <f>BK238+BK240</f>
        <v/>
      </c>
      <c r="BL241" s="896">
        <f>BL238+BL240</f>
        <v/>
      </c>
      <c r="BM241" s="896">
        <f>BM238+BM240</f>
        <v/>
      </c>
      <c r="BN241" s="896">
        <f>BN238+BN240</f>
        <v/>
      </c>
      <c r="BO241" s="896">
        <f>BO238+BO240</f>
        <v/>
      </c>
      <c r="BP241" s="896">
        <f>BP238+BP240</f>
        <v/>
      </c>
      <c r="BQ241" s="896">
        <f>BQ238+BQ240</f>
        <v/>
      </c>
      <c r="BR241" s="896">
        <f>BR238+BR240</f>
        <v/>
      </c>
      <c r="BS241" s="896">
        <f>BS238+BS240</f>
        <v/>
      </c>
      <c r="BT241" s="896">
        <f>BT238+BT240</f>
        <v/>
      </c>
      <c r="BU241" s="896">
        <f>BU238+BU240</f>
        <v/>
      </c>
      <c r="BV241" s="896">
        <f>BV238+BV240</f>
        <v/>
      </c>
      <c r="BW241" s="896">
        <f>BW238+BW240</f>
        <v/>
      </c>
      <c r="BX241" s="896">
        <f>BX238+BX240</f>
        <v/>
      </c>
      <c r="BY241" s="896">
        <f>BY238+BY240</f>
        <v/>
      </c>
      <c r="BZ241" s="896">
        <f>BZ238+BZ240</f>
        <v/>
      </c>
      <c r="CA241" s="896">
        <f>CA238+CA240</f>
        <v/>
      </c>
      <c r="CB241" s="896">
        <f>CB238+CB240</f>
        <v/>
      </c>
      <c r="CC241" s="896">
        <f>CC238+CC240</f>
        <v/>
      </c>
      <c r="CD241" s="896">
        <f>CD238+CD240</f>
        <v/>
      </c>
      <c r="CE241" s="896">
        <f>CE238+CE240</f>
        <v/>
      </c>
      <c r="CF241" s="896">
        <f>CF238+CF240</f>
        <v/>
      </c>
      <c r="CG241" s="896">
        <f>CG238+CG240</f>
        <v/>
      </c>
      <c r="CH241" s="896">
        <f>CH238+CH240</f>
        <v/>
      </c>
      <c r="CI241" s="896">
        <f>CI238+CI240</f>
        <v/>
      </c>
      <c r="CJ241" s="896">
        <f>CJ238+CJ240</f>
        <v/>
      </c>
      <c r="CK241" s="896">
        <f>CK238+CK240</f>
        <v/>
      </c>
      <c r="CL241" s="896">
        <f>CL238+CL240</f>
        <v/>
      </c>
      <c r="CM241" s="896">
        <f>CM238+CM240</f>
        <v/>
      </c>
      <c r="CN241" s="896">
        <f>CN238+CN240</f>
        <v/>
      </c>
      <c r="CO241" s="896">
        <f>CO238+CO240</f>
        <v/>
      </c>
      <c r="CP241" s="896">
        <f>CP238+CP240</f>
        <v/>
      </c>
      <c r="CQ241" s="896">
        <f>CQ238+CQ240</f>
        <v/>
      </c>
      <c r="CR241" s="896">
        <f>CR238+CR240</f>
        <v/>
      </c>
      <c r="CS241" s="896">
        <f>CS238+CS240</f>
        <v/>
      </c>
      <c r="CT241" s="896">
        <f>CT238+CT240</f>
        <v/>
      </c>
      <c r="CU241" s="896">
        <f>CU238+CU240</f>
        <v/>
      </c>
      <c r="CV241" s="896">
        <f>CV238+CV240</f>
        <v/>
      </c>
      <c r="CW241" s="896">
        <f>CW238+CW240</f>
        <v/>
      </c>
      <c r="CX241" s="896">
        <f>CX238+CX240</f>
        <v/>
      </c>
      <c r="CY241" s="896">
        <f>CY238+CY240</f>
        <v/>
      </c>
      <c r="CZ241" s="896">
        <f>CZ238+CZ240</f>
        <v/>
      </c>
      <c r="DA241" s="896">
        <f>DA238+DA240</f>
        <v/>
      </c>
      <c r="DB241" s="896">
        <f>DB238+DB240</f>
        <v/>
      </c>
      <c r="DC241" s="899" t="n"/>
      <c r="DD241" s="896">
        <f>SUM(F241:DB241)</f>
        <v/>
      </c>
    </row>
    <row r="242" customFormat="1" s="314">
      <c r="A242" s="789" t="n"/>
      <c r="B242" s="789" t="n"/>
      <c r="C242" s="789" t="n"/>
      <c r="D242" s="789" t="n"/>
      <c r="E242" s="346" t="n"/>
      <c r="F242" s="789" t="n"/>
      <c r="G242" s="789" t="n"/>
      <c r="H242" s="789" t="n"/>
      <c r="I242" s="789" t="n"/>
      <c r="J242" s="789" t="n"/>
      <c r="K242" s="789" t="n"/>
      <c r="L242" s="789" t="n"/>
      <c r="M242" s="789" t="n"/>
      <c r="N242" s="789" t="n"/>
      <c r="O242" s="789" t="n"/>
      <c r="P242" s="789" t="n"/>
      <c r="Q242" s="789" t="n"/>
      <c r="R242" s="789" t="n"/>
      <c r="S242" s="789" t="n"/>
      <c r="T242" s="789" t="n"/>
      <c r="U242" s="789" t="n"/>
      <c r="V242" s="789" t="n"/>
      <c r="W242" s="789" t="n"/>
      <c r="X242" s="789" t="n"/>
      <c r="Y242" s="789" t="n"/>
      <c r="Z242" s="789" t="n"/>
      <c r="AA242" s="789" t="n"/>
      <c r="AB242" s="789" t="n"/>
      <c r="AC242" s="789" t="n"/>
      <c r="AD242" s="789" t="n"/>
      <c r="AE242" s="789" t="n"/>
      <c r="AF242" s="789" t="n"/>
      <c r="AG242" s="789" t="n"/>
      <c r="AH242" s="789" t="n"/>
      <c r="AI242" s="789" t="n"/>
      <c r="AJ242" s="789" t="n"/>
      <c r="AK242" s="789" t="n"/>
      <c r="AL242" s="789" t="n"/>
      <c r="AM242" s="789" t="n"/>
      <c r="AN242" s="789" t="n"/>
      <c r="AO242" s="789" t="n"/>
      <c r="AP242" s="789" t="n"/>
      <c r="AQ242" s="789" t="n"/>
      <c r="AR242" s="789" t="n"/>
      <c r="AS242" s="789" t="n"/>
      <c r="AT242" s="789" t="n"/>
      <c r="AU242" s="789" t="n"/>
      <c r="AV242" s="789" t="n"/>
      <c r="AW242" s="789" t="n"/>
      <c r="AX242" s="789" t="n"/>
      <c r="AY242" s="789" t="n"/>
      <c r="AZ242" s="789" t="n"/>
      <c r="BA242" s="789" t="n"/>
      <c r="BB242" s="789" t="n"/>
      <c r="BC242" s="789" t="n"/>
      <c r="BD242" s="789" t="n"/>
      <c r="BE242" s="789" t="n"/>
      <c r="BF242" s="789" t="n"/>
      <c r="BG242" s="789" t="n"/>
      <c r="BH242" s="789" t="n"/>
      <c r="BI242" s="789" t="n"/>
      <c r="BJ242" s="789" t="n"/>
      <c r="BK242" s="789" t="n"/>
      <c r="BL242" s="789" t="n"/>
      <c r="BM242" s="789" t="n"/>
      <c r="BN242" s="789" t="n"/>
      <c r="BO242" s="789" t="n"/>
      <c r="BP242" s="789" t="n"/>
      <c r="BQ242" s="789" t="n"/>
      <c r="BR242" s="789" t="n"/>
      <c r="BS242" s="789" t="n"/>
      <c r="BT242" s="789" t="n"/>
      <c r="BU242" s="789" t="n"/>
      <c r="BV242" s="789" t="n"/>
      <c r="BW242" s="789" t="n"/>
      <c r="BX242" s="789" t="n"/>
      <c r="BY242" s="789" t="n"/>
      <c r="BZ242" s="789" t="n"/>
      <c r="CA242" s="789" t="n"/>
      <c r="CB242" s="789" t="n"/>
      <c r="CC242" s="789" t="n"/>
      <c r="CD242" s="789" t="n"/>
      <c r="CE242" s="789" t="n"/>
      <c r="CF242" s="789" t="n"/>
      <c r="CG242" s="789" t="n"/>
      <c r="CH242" s="789" t="n"/>
      <c r="CI242" s="789" t="n"/>
      <c r="CJ242" s="789" t="n"/>
      <c r="CK242" s="789" t="n"/>
      <c r="CL242" s="789" t="n"/>
      <c r="CM242" s="789" t="n"/>
      <c r="CN242" s="789" t="n"/>
      <c r="CO242" s="789" t="n"/>
      <c r="CP242" s="789" t="n"/>
      <c r="CQ242" s="789" t="n"/>
      <c r="CR242" s="789" t="n"/>
      <c r="CS242" s="789" t="n"/>
      <c r="CT242" s="789" t="n"/>
      <c r="CU242" s="789" t="n"/>
      <c r="CV242" s="789" t="n"/>
      <c r="CW242" s="789" t="n"/>
      <c r="CX242" s="789" t="n"/>
      <c r="CY242" s="789" t="n"/>
      <c r="CZ242" s="789" t="n"/>
      <c r="DA242" s="789" t="n"/>
      <c r="DB242" s="789" t="n"/>
      <c r="DC242" s="789" t="n"/>
      <c r="DD242" s="789" t="n"/>
    </row>
    <row r="243" ht="14.1" customFormat="1" customHeight="1" s="302">
      <c r="A243" s="15" t="inlineStr">
        <is>
          <t>Positive Cash Flow thru Stabilization</t>
        </is>
      </c>
      <c r="B243" s="15" t="n"/>
      <c r="C243" s="336" t="n"/>
      <c r="D243" s="298">
        <f>DD243</f>
        <v/>
      </c>
      <c r="E243" s="300" t="n"/>
      <c r="F243" s="301" t="n"/>
      <c r="G243" s="301">
        <f>IF(G5&lt;='Project Returns'!$F$31,G153-G154,0)</f>
        <v/>
      </c>
      <c r="H243" s="301">
        <f>IF(H5&lt;='Project Returns'!$F$31,H153-H154,0)</f>
        <v/>
      </c>
      <c r="I243" s="301">
        <f>IF(I5&lt;='Project Returns'!$F$31,I153-I154,0)</f>
        <v/>
      </c>
      <c r="J243" s="301">
        <f>IF(J5&lt;='Project Returns'!$F$31,J153-J154,0)</f>
        <v/>
      </c>
      <c r="K243" s="301">
        <f>IF(K5&lt;='Project Returns'!$F$31,K153-K154,0)</f>
        <v/>
      </c>
      <c r="L243" s="301">
        <f>IF(L5&lt;='Project Returns'!$F$31,L153-L154,0)</f>
        <v/>
      </c>
      <c r="M243" s="301">
        <f>IF(M5&lt;='Project Returns'!$F$31,M153-M154,0)</f>
        <v/>
      </c>
      <c r="N243" s="301">
        <f>IF(N5&lt;='Project Returns'!$F$31,N153-N154,0)</f>
        <v/>
      </c>
      <c r="O243" s="301">
        <f>IF(O5&lt;='Project Returns'!$F$31,O153-O154,0)</f>
        <v/>
      </c>
      <c r="P243" s="301">
        <f>IF(P5&lt;='Project Returns'!$F$31,P153-P154,0)</f>
        <v/>
      </c>
      <c r="Q243" s="301">
        <f>IF(Q5&lt;='Project Returns'!$F$31,Q153-Q154,0)</f>
        <v/>
      </c>
      <c r="R243" s="301">
        <f>IF(R5&lt;='Project Returns'!$F$31,R153-R154,0)</f>
        <v/>
      </c>
      <c r="S243" s="301">
        <f>IF(S5&lt;='Project Returns'!$F$31,S153-S154,0)</f>
        <v/>
      </c>
      <c r="T243" s="301">
        <f>IF(T5&lt;='Project Returns'!$F$31,T153-T154,0)</f>
        <v/>
      </c>
      <c r="U243" s="301">
        <f>IF(U5&lt;='Project Returns'!$F$31,U153-U154,0)</f>
        <v/>
      </c>
      <c r="V243" s="301">
        <f>IF(V5&lt;='Project Returns'!$F$31,V153-V154,0)</f>
        <v/>
      </c>
      <c r="W243" s="301">
        <f>IF(W5&lt;='Project Returns'!$F$31,W153-W154,0)</f>
        <v/>
      </c>
      <c r="X243" s="301">
        <f>IF(X5&lt;='Project Returns'!$F$31,X153-X154,0)</f>
        <v/>
      </c>
      <c r="Y243" s="301">
        <f>IF(Y5&lt;='Project Returns'!$F$31,Y153-Y154,0)</f>
        <v/>
      </c>
      <c r="Z243" s="301">
        <f>IF(Z5&lt;='Project Returns'!$F$31,Z153-Z154,0)</f>
        <v/>
      </c>
      <c r="AA243" s="301">
        <f>IF(AA5&lt;='Project Returns'!$F$31,AA153-AA154,0)</f>
        <v/>
      </c>
      <c r="AB243" s="301">
        <f>IF(AB5&lt;='Project Returns'!$F$31,AB153-AB154,0)</f>
        <v/>
      </c>
      <c r="AC243" s="301">
        <f>IF(AC5&lt;='Project Returns'!$F$31,AC153-AC154,0)</f>
        <v/>
      </c>
      <c r="AD243" s="301">
        <f>IF(AD5&lt;='Project Returns'!$F$31,AD153-AD154,0)</f>
        <v/>
      </c>
      <c r="AE243" s="301">
        <f>IF(AE5&lt;='Project Returns'!$F$31,AE153-AE154,0)</f>
        <v/>
      </c>
      <c r="AF243" s="301">
        <f>IF(AF5&lt;='Project Returns'!$F$31,AF153-AF154,0)</f>
        <v/>
      </c>
      <c r="AG243" s="301">
        <f>IF(AG5&lt;='Project Returns'!$F$31,AG153-AG154,0)</f>
        <v/>
      </c>
      <c r="AH243" s="301">
        <f>IF(AH5&lt;='Project Returns'!$F$31,AH153-AH154,0)</f>
        <v/>
      </c>
      <c r="AI243" s="301">
        <f>IF(AI5&lt;='Project Returns'!$F$31,AI153-AI154,0)</f>
        <v/>
      </c>
      <c r="AJ243" s="301">
        <f>IF(AJ5&lt;='Project Returns'!$F$31,AJ153-AJ154,0)</f>
        <v/>
      </c>
      <c r="AK243" s="301">
        <f>IF(AK5&lt;='Project Returns'!$F$31,AK153-AK154,0)</f>
        <v/>
      </c>
      <c r="AL243" s="301">
        <f>IF(AL5&lt;='Project Returns'!$F$31,AL153-AL154,0)</f>
        <v/>
      </c>
      <c r="AM243" s="301">
        <f>IF(AM5&lt;='Project Returns'!$F$31,AM153-AM154,0)</f>
        <v/>
      </c>
      <c r="AN243" s="301">
        <f>IF(AN5&lt;='Project Returns'!$F$31,AN153-AN154,0)</f>
        <v/>
      </c>
      <c r="AO243" s="301">
        <f>IF(AO5&lt;='Project Returns'!$F$31,AO153-AO154,0)</f>
        <v/>
      </c>
      <c r="AP243" s="301">
        <f>IF(AP5&lt;='Project Returns'!$F$31,AP153-AP154,0)</f>
        <v/>
      </c>
      <c r="AQ243" s="301">
        <f>IF(AQ5&lt;='Project Returns'!$F$31,AQ153-AQ154,0)</f>
        <v/>
      </c>
      <c r="AR243" s="301">
        <f>IF(AR5&lt;='Project Returns'!$F$31,AR153-AR154,0)</f>
        <v/>
      </c>
      <c r="AS243" s="301">
        <f>IF(AS5&lt;='Project Returns'!$F$31,AS153-AS154,0)</f>
        <v/>
      </c>
      <c r="AT243" s="301">
        <f>IF(AT5&lt;='Project Returns'!$F$31,AT153-AT154,0)</f>
        <v/>
      </c>
      <c r="AU243" s="301">
        <f>IF(AU5&lt;='Project Returns'!$F$31,AU153-AU154,0)</f>
        <v/>
      </c>
      <c r="AV243" s="301">
        <f>IF(AV5&lt;='Project Returns'!$F$31,AV153-AV154,0)</f>
        <v/>
      </c>
      <c r="AW243" s="301">
        <f>IF(AW5&lt;='Project Returns'!$F$31,AW153-AW154,0)</f>
        <v/>
      </c>
      <c r="AX243" s="301">
        <f>IF(AX5&lt;='Project Returns'!$F$31,AX153-AX154,0)</f>
        <v/>
      </c>
      <c r="AY243" s="301">
        <f>IF(AY5&lt;='Project Returns'!$F$31,AY153-AY154,0)</f>
        <v/>
      </c>
      <c r="AZ243" s="301">
        <f>IF(AZ5&lt;='Project Returns'!$F$31,AZ153-AZ154,0)</f>
        <v/>
      </c>
      <c r="BA243" s="301">
        <f>IF(BA5&lt;='Project Returns'!$F$31,BA153-BA154,0)</f>
        <v/>
      </c>
      <c r="BB243" s="301">
        <f>IF(BB5&lt;='Project Returns'!$F$31,BB153-BB154,0)</f>
        <v/>
      </c>
      <c r="BC243" s="301">
        <f>IF(BC5&lt;='Project Returns'!$F$31,BC153-BC154,0)</f>
        <v/>
      </c>
      <c r="BD243" s="301">
        <f>IF(BD5&lt;='Project Returns'!$F$31,BD153-BD154,0)</f>
        <v/>
      </c>
      <c r="BE243" s="301">
        <f>IF(BE5&lt;='Project Returns'!$F$31,BE153-BE154,0)</f>
        <v/>
      </c>
      <c r="BF243" s="301">
        <f>IF(BF5&lt;='Project Returns'!$F$31,BF153-BF154,0)</f>
        <v/>
      </c>
      <c r="BG243" s="301">
        <f>IF(BG5&lt;='Project Returns'!$F$31,BG153-BG154,0)</f>
        <v/>
      </c>
      <c r="BH243" s="301">
        <f>IF(BH5&lt;='Project Returns'!$F$31,BH153-BH154,0)</f>
        <v/>
      </c>
      <c r="BI243" s="301">
        <f>IF(BI5&lt;='Project Returns'!$F$31,BI153-BI154,0)</f>
        <v/>
      </c>
      <c r="BJ243" s="301">
        <f>IF(BJ5&lt;='Project Returns'!$F$31,BJ153-BJ154,0)</f>
        <v/>
      </c>
      <c r="BK243" s="301">
        <f>IF(BK5&lt;='Project Returns'!$F$31,BK153-BK154,0)</f>
        <v/>
      </c>
      <c r="BL243" s="301">
        <f>IF(BL5&lt;='Project Returns'!$F$31,BL153-BL154,0)</f>
        <v/>
      </c>
      <c r="BM243" s="301">
        <f>IF(BM5&lt;='Project Returns'!$F$31,BM153-BM154,0)</f>
        <v/>
      </c>
      <c r="BN243" s="301">
        <f>IF(BN5&lt;='Project Returns'!$F$31,BN153-BN154,0)</f>
        <v/>
      </c>
      <c r="BO243" s="301">
        <f>IF(BO5&lt;='Project Returns'!$F$31,BO153-BO154,0)</f>
        <v/>
      </c>
      <c r="BP243" s="301">
        <f>IF(BP5&lt;='Project Returns'!$F$31,BP153-BP154,0)</f>
        <v/>
      </c>
      <c r="BQ243" s="301">
        <f>IF(BQ5&lt;='Project Returns'!$F$31,BQ153-BQ154,0)</f>
        <v/>
      </c>
      <c r="BR243" s="301">
        <f>IF(BR5&lt;='Project Returns'!$F$31,BR153-BR154,0)</f>
        <v/>
      </c>
      <c r="BS243" s="301">
        <f>IF(BS5&lt;='Project Returns'!$F$31,BS153-BS154,0)</f>
        <v/>
      </c>
      <c r="BT243" s="301">
        <f>IF(BT5&lt;='Project Returns'!$F$31,BT153-BT154,0)</f>
        <v/>
      </c>
      <c r="BU243" s="301">
        <f>IF(BU5&lt;='Project Returns'!$F$31,BU153-BU154,0)</f>
        <v/>
      </c>
      <c r="BV243" s="301">
        <f>IF(BV5&lt;='Project Returns'!$F$31,BV153-BV154,0)</f>
        <v/>
      </c>
      <c r="BW243" s="301">
        <f>IF(BW5&lt;='Project Returns'!$F$31,BW153-BW154,0)</f>
        <v/>
      </c>
      <c r="BX243" s="301">
        <f>IF(BX5&lt;='Project Returns'!$F$31,BX153-BX154,0)</f>
        <v/>
      </c>
      <c r="BY243" s="301">
        <f>IF(BY5&lt;='Project Returns'!$F$31,BY153-BY154,0)</f>
        <v/>
      </c>
      <c r="BZ243" s="301">
        <f>IF(BZ5&lt;='Project Returns'!$F$31,BZ153-BZ154,0)</f>
        <v/>
      </c>
      <c r="CA243" s="301">
        <f>IF(CA5&lt;='Project Returns'!$F$31,CA153-CA154,0)</f>
        <v/>
      </c>
      <c r="CB243" s="301">
        <f>IF(CB5&lt;='Project Returns'!$F$31,CB153-CB154,0)</f>
        <v/>
      </c>
      <c r="CC243" s="301">
        <f>IF(CC5&lt;='Project Returns'!$F$31,CC153-CC154,0)</f>
        <v/>
      </c>
      <c r="CD243" s="301">
        <f>IF(CD5&lt;='Project Returns'!$F$31,CD153-CD154,0)</f>
        <v/>
      </c>
      <c r="CE243" s="301">
        <f>IF(CE5&lt;='Project Returns'!$F$31,CE153-CE154,0)</f>
        <v/>
      </c>
      <c r="CF243" s="301">
        <f>IF(CF5&lt;='Project Returns'!$F$31,CF153-CF154,0)</f>
        <v/>
      </c>
      <c r="CG243" s="301">
        <f>IF(CG5&lt;='Project Returns'!$F$31,CG153-CG154,0)</f>
        <v/>
      </c>
      <c r="CH243" s="301">
        <f>IF(CH5&lt;='Project Returns'!$F$31,CH153-CH154,0)</f>
        <v/>
      </c>
      <c r="CI243" s="301">
        <f>IF(CI5&lt;='Project Returns'!$F$31,CI153-CI154,0)</f>
        <v/>
      </c>
      <c r="CJ243" s="301">
        <f>IF(CJ5&lt;='Project Returns'!$F$31,CJ153-CJ154,0)</f>
        <v/>
      </c>
      <c r="CK243" s="301">
        <f>IF(CK5&lt;='Project Returns'!$F$31,CK153-CK154,0)</f>
        <v/>
      </c>
      <c r="CL243" s="301">
        <f>IF(CL5&lt;='Project Returns'!$F$31,CL153-CL154,0)</f>
        <v/>
      </c>
      <c r="CM243" s="301">
        <f>IF(CM5&lt;='Project Returns'!$F$31,CM153-CM154,0)</f>
        <v/>
      </c>
      <c r="CN243" s="301">
        <f>IF(CN5&lt;='Project Returns'!$F$31,CN153-CN154,0)</f>
        <v/>
      </c>
      <c r="CO243" s="301">
        <f>IF(CO5&lt;='Project Returns'!$F$31,CO153-CO154,0)</f>
        <v/>
      </c>
      <c r="CP243" s="301">
        <f>IF(CP5&lt;='Project Returns'!$F$31,CP153-CP154,0)</f>
        <v/>
      </c>
      <c r="CQ243" s="301">
        <f>IF(CQ5&lt;='Project Returns'!$F$31,CQ153-CQ154,0)</f>
        <v/>
      </c>
      <c r="CR243" s="301">
        <f>IF(CR5&lt;='Project Returns'!$F$31,CR153-CR154,0)</f>
        <v/>
      </c>
      <c r="CS243" s="301">
        <f>IF(CS5&lt;='Project Returns'!$F$31,CS153-CS154,0)</f>
        <v/>
      </c>
      <c r="CT243" s="301">
        <f>IF(CT5&lt;='Project Returns'!$F$31,CT153-CT154,0)</f>
        <v/>
      </c>
      <c r="CU243" s="301">
        <f>IF(CU5&lt;='Project Returns'!$F$31,CU153-CU154,0)</f>
        <v/>
      </c>
      <c r="CV243" s="301">
        <f>IF(CV5&lt;='Project Returns'!$F$31,CV153-CV154,0)</f>
        <v/>
      </c>
      <c r="CW243" s="301">
        <f>IF(CW5&lt;='Project Returns'!$F$31,CW153-CW154,0)</f>
        <v/>
      </c>
      <c r="CX243" s="301">
        <f>IF(CX5&lt;='Project Returns'!$F$31,CX153-CX154,0)</f>
        <v/>
      </c>
      <c r="CY243" s="301">
        <f>IF(CY5&lt;='Project Returns'!$F$31,CY153-CY154,0)</f>
        <v/>
      </c>
      <c r="CZ243" s="301">
        <f>IF(CZ5&lt;='Project Returns'!$F$31,CZ153-CZ154,0)</f>
        <v/>
      </c>
      <c r="DA243" s="301">
        <f>IF(DA5&lt;='Project Returns'!$F$31,DA153-DA154,0)</f>
        <v/>
      </c>
      <c r="DB243" s="301">
        <f>IF(DB5&lt;='Project Returns'!$F$31,DB153-DB154,0)</f>
        <v/>
      </c>
      <c r="DC243" s="301" t="n"/>
      <c r="DD243" s="299">
        <f>SUM(F243:DB243)</f>
        <v/>
      </c>
    </row>
    <row r="244" ht="14.1" customFormat="1" customHeight="1" s="354">
      <c r="A244" s="893" t="inlineStr">
        <is>
          <t>Equity Preferred Return</t>
        </is>
      </c>
      <c r="B244" s="893" t="n"/>
      <c r="C244" s="900" t="n"/>
      <c r="D244" s="353">
        <f>DD244</f>
        <v/>
      </c>
      <c r="E244" s="306" t="n"/>
      <c r="F244" s="891" t="n"/>
      <c r="G244" s="891">
        <f>IF(G5&lt;='Project Returns'!$F$31,G260+G261,0)</f>
        <v/>
      </c>
      <c r="H244" s="891">
        <f>IF(H5&lt;='Project Returns'!$F$31,H260+H261,0)</f>
        <v/>
      </c>
      <c r="I244" s="891">
        <f>IF(I5&lt;='Project Returns'!$F$31,I260+I261,0)</f>
        <v/>
      </c>
      <c r="J244" s="891">
        <f>IF(J5&lt;='Project Returns'!$F$31,J260+J261,0)</f>
        <v/>
      </c>
      <c r="K244" s="891">
        <f>IF(K5&lt;='Project Returns'!$F$31,K260+K261,0)</f>
        <v/>
      </c>
      <c r="L244" s="891">
        <f>IF(L5&lt;='Project Returns'!$F$31,L260+L261,0)</f>
        <v/>
      </c>
      <c r="M244" s="891">
        <f>IF(M5&lt;='Project Returns'!$F$31,M260+M261,0)</f>
        <v/>
      </c>
      <c r="N244" s="891">
        <f>IF(N5&lt;='Project Returns'!$F$31,N260+N261,0)</f>
        <v/>
      </c>
      <c r="O244" s="891">
        <f>IF(O5&lt;='Project Returns'!$F$31,O260+O261,0)</f>
        <v/>
      </c>
      <c r="P244" s="891">
        <f>IF(P5&lt;='Project Returns'!$F$31,P260+P261,0)</f>
        <v/>
      </c>
      <c r="Q244" s="891">
        <f>IF(Q5&lt;='Project Returns'!$F$31,Q260+Q261,0)</f>
        <v/>
      </c>
      <c r="R244" s="891">
        <f>IF(R5&lt;='Project Returns'!$F$31,R260+R261,0)</f>
        <v/>
      </c>
      <c r="S244" s="891">
        <f>IF(S5&lt;='Project Returns'!$F$31,S260+S261,0)</f>
        <v/>
      </c>
      <c r="T244" s="891">
        <f>IF(T5&lt;='Project Returns'!$F$31,T260+T261,0)</f>
        <v/>
      </c>
      <c r="U244" s="891">
        <f>IF(U5&lt;='Project Returns'!$F$31,U260+U261,0)</f>
        <v/>
      </c>
      <c r="V244" s="891">
        <f>IF(V5&lt;='Project Returns'!$F$31,V260+V261,0)</f>
        <v/>
      </c>
      <c r="W244" s="891">
        <f>IF(W5&lt;='Project Returns'!$F$31,W260+W261,0)</f>
        <v/>
      </c>
      <c r="X244" s="891">
        <f>IF(X5&lt;='Project Returns'!$F$31,X260+X261,0)</f>
        <v/>
      </c>
      <c r="Y244" s="891">
        <f>IF(Y5&lt;='Project Returns'!$F$31,Y260+Y261,0)</f>
        <v/>
      </c>
      <c r="Z244" s="891">
        <f>IF(Z5&lt;='Project Returns'!$F$31,Z260+Z261,0)</f>
        <v/>
      </c>
      <c r="AA244" s="891">
        <f>IF(AA5&lt;='Project Returns'!$F$31,AA260+AA261,0)</f>
        <v/>
      </c>
      <c r="AB244" s="891">
        <f>IF(AB5&lt;='Project Returns'!$F$31,AB260+AB261,0)</f>
        <v/>
      </c>
      <c r="AC244" s="891">
        <f>IF(AC5&lt;='Project Returns'!$F$31,AC260+AC261,0)</f>
        <v/>
      </c>
      <c r="AD244" s="891">
        <f>IF(AD5&lt;='Project Returns'!$F$31,AD260+AD261,0)</f>
        <v/>
      </c>
      <c r="AE244" s="891">
        <f>IF(AE5&lt;='Project Returns'!$F$31,AE260+AE261,0)</f>
        <v/>
      </c>
      <c r="AF244" s="891">
        <f>IF(AF5&lt;='Project Returns'!$F$31,AF260+AF261,0)</f>
        <v/>
      </c>
      <c r="AG244" s="891">
        <f>IF(AG5&lt;='Project Returns'!$F$31,AG260+AG261,0)</f>
        <v/>
      </c>
      <c r="AH244" s="891">
        <f>IF(AH5&lt;='Project Returns'!$F$31,AH260+AH261,0)</f>
        <v/>
      </c>
      <c r="AI244" s="891">
        <f>IF(AI5&lt;='Project Returns'!$F$31,AI260+AI261,0)</f>
        <v/>
      </c>
      <c r="AJ244" s="891">
        <f>IF(AJ5&lt;='Project Returns'!$F$31,AJ260+AJ261,0)</f>
        <v/>
      </c>
      <c r="AK244" s="891">
        <f>IF(AK5&lt;='Project Returns'!$F$31,AK260+AK261,0)</f>
        <v/>
      </c>
      <c r="AL244" s="891">
        <f>IF(AL5&lt;='Project Returns'!$F$31,AL260+AL261,0)</f>
        <v/>
      </c>
      <c r="AM244" s="891">
        <f>IF(AM5&lt;='Project Returns'!$F$31,AM260+AM261,0)</f>
        <v/>
      </c>
      <c r="AN244" s="891">
        <f>IF(AN5&lt;='Project Returns'!$F$31,AN260+AN261,0)</f>
        <v/>
      </c>
      <c r="AO244" s="891">
        <f>IF(AO5&lt;='Project Returns'!$F$31,AO260+AO261,0)</f>
        <v/>
      </c>
      <c r="AP244" s="891">
        <f>IF(AP5&lt;='Project Returns'!$F$31,AP260+AP261,0)</f>
        <v/>
      </c>
      <c r="AQ244" s="891">
        <f>IF(AQ5&lt;='Project Returns'!$F$31,AQ260+AQ261,0)</f>
        <v/>
      </c>
      <c r="AR244" s="891">
        <f>IF(AR5&lt;='Project Returns'!$F$31,AR260+AR261,0)</f>
        <v/>
      </c>
      <c r="AS244" s="891">
        <f>IF(AS5&lt;='Project Returns'!$F$31,AS260+AS261,0)</f>
        <v/>
      </c>
      <c r="AT244" s="891">
        <f>IF(AT5&lt;='Project Returns'!$F$31,AT260+AT261,0)</f>
        <v/>
      </c>
      <c r="AU244" s="891">
        <f>IF(AU5&lt;='Project Returns'!$F$31,AU260+AU261,0)</f>
        <v/>
      </c>
      <c r="AV244" s="891">
        <f>IF(AV5&lt;='Project Returns'!$F$31,AV260+AV261,0)</f>
        <v/>
      </c>
      <c r="AW244" s="891">
        <f>IF(AW5&lt;='Project Returns'!$F$31,AW260+AW261,0)</f>
        <v/>
      </c>
      <c r="AX244" s="891">
        <f>IF(AX5&lt;='Project Returns'!$F$31,AX260+AX261,0)</f>
        <v/>
      </c>
      <c r="AY244" s="891">
        <f>IF(AY5&lt;='Project Returns'!$F$31,AY260+AY261,0)</f>
        <v/>
      </c>
      <c r="AZ244" s="891">
        <f>IF(AZ5&lt;='Project Returns'!$F$31,AZ260+AZ261,0)</f>
        <v/>
      </c>
      <c r="BA244" s="891">
        <f>IF(BA5&lt;='Project Returns'!$F$31,BA260+BA261,0)</f>
        <v/>
      </c>
      <c r="BB244" s="891">
        <f>IF(BB5&lt;='Project Returns'!$F$31,BB260+BB261,0)</f>
        <v/>
      </c>
      <c r="BC244" s="891">
        <f>IF(BC5&lt;='Project Returns'!$F$31,BC260+BC261,0)</f>
        <v/>
      </c>
      <c r="BD244" s="891">
        <f>IF(BD5&lt;='Project Returns'!$F$31,BD260+BD261,0)</f>
        <v/>
      </c>
      <c r="BE244" s="891">
        <f>IF(BE5&lt;='Project Returns'!$F$31,BE260+BE261,0)</f>
        <v/>
      </c>
      <c r="BF244" s="891">
        <f>IF(BF5&lt;='Project Returns'!$F$31,BF260+BF261,0)</f>
        <v/>
      </c>
      <c r="BG244" s="891">
        <f>IF(BG5&lt;='Project Returns'!$F$31,BG260+BG261,0)</f>
        <v/>
      </c>
      <c r="BH244" s="891">
        <f>IF(BH5&lt;='Project Returns'!$F$31,BH260+BH261,0)</f>
        <v/>
      </c>
      <c r="BI244" s="891">
        <f>IF(BI5&lt;='Project Returns'!$F$31,BI260+BI261,0)</f>
        <v/>
      </c>
      <c r="BJ244" s="891">
        <f>IF(BJ5&lt;='Project Returns'!$F$31,BJ260+BJ261,0)</f>
        <v/>
      </c>
      <c r="BK244" s="891">
        <f>IF(BK5&lt;='Project Returns'!$F$31,BK260+BK261,0)</f>
        <v/>
      </c>
      <c r="BL244" s="891">
        <f>IF(BL5&lt;='Project Returns'!$F$31,BL260+BL261,0)</f>
        <v/>
      </c>
      <c r="BM244" s="891">
        <f>IF(BM5&lt;='Project Returns'!$F$31,BM260+BM261,0)</f>
        <v/>
      </c>
      <c r="BN244" s="891">
        <f>IF(BN5&lt;='Project Returns'!$F$31,BN260+BN261,0)</f>
        <v/>
      </c>
      <c r="BO244" s="891">
        <f>IF(BO5&lt;='Project Returns'!$F$31,BO260+BO261,0)</f>
        <v/>
      </c>
      <c r="BP244" s="891">
        <f>IF(BP5&lt;='Project Returns'!$F$31,BP260+BP261,0)</f>
        <v/>
      </c>
      <c r="BQ244" s="891">
        <f>IF(BQ5&lt;='Project Returns'!$F$31,BQ260+BQ261,0)</f>
        <v/>
      </c>
      <c r="BR244" s="891">
        <f>IF(BR5&lt;='Project Returns'!$F$31,BR260+BR261,0)</f>
        <v/>
      </c>
      <c r="BS244" s="891">
        <f>IF(BS5&lt;='Project Returns'!$F$31,BS260+BS261,0)</f>
        <v/>
      </c>
      <c r="BT244" s="891">
        <f>IF(BT5&lt;='Project Returns'!$F$31,BT260+BT261,0)</f>
        <v/>
      </c>
      <c r="BU244" s="891">
        <f>IF(BU5&lt;='Project Returns'!$F$31,BU260+BU261,0)</f>
        <v/>
      </c>
      <c r="BV244" s="891">
        <f>IF(BV5&lt;='Project Returns'!$F$31,BV260+BV261,0)</f>
        <v/>
      </c>
      <c r="BW244" s="891">
        <f>IF(BW5&lt;='Project Returns'!$F$31,BW260+BW261,0)</f>
        <v/>
      </c>
      <c r="BX244" s="891">
        <f>IF(BX5&lt;='Project Returns'!$F$31,BX260+BX261,0)</f>
        <v/>
      </c>
      <c r="BY244" s="891">
        <f>IF(BY5&lt;='Project Returns'!$F$31,BY260+BY261,0)</f>
        <v/>
      </c>
      <c r="BZ244" s="891">
        <f>IF(BZ5&lt;='Project Returns'!$F$31,BZ260+BZ261,0)</f>
        <v/>
      </c>
      <c r="CA244" s="891">
        <f>IF(CA5&lt;='Project Returns'!$F$31,CA260+CA261,0)</f>
        <v/>
      </c>
      <c r="CB244" s="891">
        <f>IF(CB5&lt;='Project Returns'!$F$31,CB260+CB261,0)</f>
        <v/>
      </c>
      <c r="CC244" s="891">
        <f>IF(CC5&lt;='Project Returns'!$F$31,CC260+CC261,0)</f>
        <v/>
      </c>
      <c r="CD244" s="891">
        <f>IF(CD5&lt;='Project Returns'!$F$31,CD260+CD261,0)</f>
        <v/>
      </c>
      <c r="CE244" s="891">
        <f>IF(CE5&lt;='Project Returns'!$F$31,CE260+CE261,0)</f>
        <v/>
      </c>
      <c r="CF244" s="891">
        <f>IF(CF5&lt;='Project Returns'!$F$31,CF260+CF261,0)</f>
        <v/>
      </c>
      <c r="CG244" s="891">
        <f>IF(CG5&lt;='Project Returns'!$F$31,CG260+CG261,0)</f>
        <v/>
      </c>
      <c r="CH244" s="891">
        <f>IF(CH5&lt;='Project Returns'!$F$31,CH260+CH261,0)</f>
        <v/>
      </c>
      <c r="CI244" s="891">
        <f>IF(CI5&lt;='Project Returns'!$F$31,CI260+CI261,0)</f>
        <v/>
      </c>
      <c r="CJ244" s="891">
        <f>IF(CJ5&lt;='Project Returns'!$F$31,CJ260+CJ261,0)</f>
        <v/>
      </c>
      <c r="CK244" s="891">
        <f>IF(CK5&lt;='Project Returns'!$F$31,CK260+CK261,0)</f>
        <v/>
      </c>
      <c r="CL244" s="891">
        <f>IF(CL5&lt;='Project Returns'!$F$31,CL260+CL261,0)</f>
        <v/>
      </c>
      <c r="CM244" s="891">
        <f>IF(CM5&lt;='Project Returns'!$F$31,CM260+CM261,0)</f>
        <v/>
      </c>
      <c r="CN244" s="891">
        <f>IF(CN5&lt;='Project Returns'!$F$31,CN260+CN261,0)</f>
        <v/>
      </c>
      <c r="CO244" s="891">
        <f>IF(CO5&lt;='Project Returns'!$F$31,CO260+CO261,0)</f>
        <v/>
      </c>
      <c r="CP244" s="891">
        <f>IF(CP5&lt;='Project Returns'!$F$31,CP260+CP261,0)</f>
        <v/>
      </c>
      <c r="CQ244" s="891">
        <f>IF(CQ5&lt;='Project Returns'!$F$31,CQ260+CQ261,0)</f>
        <v/>
      </c>
      <c r="CR244" s="891">
        <f>IF(CR5&lt;='Project Returns'!$F$31,CR260+CR261,0)</f>
        <v/>
      </c>
      <c r="CS244" s="891">
        <f>IF(CS5&lt;='Project Returns'!$F$31,CS260+CS261,0)</f>
        <v/>
      </c>
      <c r="CT244" s="891">
        <f>IF(CT5&lt;='Project Returns'!$F$31,CT260+CT261,0)</f>
        <v/>
      </c>
      <c r="CU244" s="891">
        <f>IF(CU5&lt;='Project Returns'!$F$31,CU260+CU261,0)</f>
        <v/>
      </c>
      <c r="CV244" s="891">
        <f>IF(CV5&lt;='Project Returns'!$F$31,CV260+CV261,0)</f>
        <v/>
      </c>
      <c r="CW244" s="891">
        <f>IF(CW5&lt;='Project Returns'!$F$31,CW260+CW261,0)</f>
        <v/>
      </c>
      <c r="CX244" s="891">
        <f>IF(CX5&lt;='Project Returns'!$F$31,CX260+CX261,0)</f>
        <v/>
      </c>
      <c r="CY244" s="891">
        <f>IF(CY5&lt;='Project Returns'!$F$31,CY260+CY261,0)</f>
        <v/>
      </c>
      <c r="CZ244" s="891">
        <f>IF(CZ5&lt;='Project Returns'!$F$31,CZ260+CZ261,0)</f>
        <v/>
      </c>
      <c r="DA244" s="891">
        <f>IF(DA5&lt;='Project Returns'!$F$31,DA260+DA261,0)</f>
        <v/>
      </c>
      <c r="DB244" s="891">
        <f>IF(DB5&lt;='Project Returns'!$F$31,DB260+DB261,0)</f>
        <v/>
      </c>
      <c r="DC244" s="891" t="n"/>
      <c r="DD244" s="305">
        <f>SUM(F244:DB244)</f>
        <v/>
      </c>
    </row>
    <row r="245">
      <c r="A245" s="13" t="n"/>
      <c r="B245" s="13" t="n"/>
      <c r="C245" s="13" t="n"/>
      <c r="D245" s="13" t="n"/>
      <c r="E245" s="271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  <c r="AP245" s="13" t="n"/>
      <c r="AQ245" s="13" t="n"/>
      <c r="AR245" s="13" t="n"/>
      <c r="AS245" s="13" t="n"/>
      <c r="AT245" s="13" t="n"/>
      <c r="AU245" s="13" t="n"/>
      <c r="AV245" s="13" t="n"/>
      <c r="AW245" s="13" t="n"/>
      <c r="AX245" s="13" t="n"/>
      <c r="AY245" s="13" t="n"/>
      <c r="AZ245" s="13" t="n"/>
      <c r="BA245" s="13" t="n"/>
      <c r="BB245" s="13" t="n"/>
      <c r="BC245" s="13" t="n"/>
      <c r="BD245" s="13" t="n"/>
      <c r="BE245" s="13" t="n"/>
      <c r="BF245" s="13" t="n"/>
      <c r="BG245" s="13" t="n"/>
      <c r="BH245" s="13" t="n"/>
      <c r="BI245" s="13" t="n"/>
      <c r="BJ245" s="13" t="n"/>
      <c r="BK245" s="13" t="n"/>
      <c r="BL245" s="13" t="n"/>
      <c r="BM245" s="13" t="n"/>
      <c r="BN245" s="13" t="n"/>
      <c r="BO245" s="13" t="n"/>
      <c r="BP245" s="13" t="n"/>
      <c r="BQ245" s="13" t="n"/>
      <c r="BR245" s="13" t="n"/>
      <c r="BS245" s="13" t="n"/>
      <c r="BT245" s="13" t="n"/>
      <c r="BU245" s="13" t="n"/>
      <c r="BV245" s="13" t="n"/>
      <c r="BW245" s="13" t="n"/>
      <c r="BX245" s="13" t="n"/>
      <c r="BY245" s="13" t="n"/>
      <c r="BZ245" s="13" t="n"/>
      <c r="CA245" s="13" t="n"/>
      <c r="CB245" s="13" t="n"/>
      <c r="CC245" s="13" t="n"/>
      <c r="CD245" s="13" t="n"/>
      <c r="CE245" s="13" t="n"/>
      <c r="CF245" s="13" t="n"/>
      <c r="CG245" s="13" t="n"/>
      <c r="CH245" s="13" t="n"/>
      <c r="CI245" s="13" t="n"/>
      <c r="CJ245" s="13" t="n"/>
      <c r="CK245" s="13" t="n"/>
      <c r="CL245" s="13" t="n"/>
      <c r="CM245" s="13" t="n"/>
      <c r="CN245" s="13" t="n"/>
      <c r="CO245" s="13" t="n"/>
      <c r="CP245" s="13" t="n"/>
      <c r="CQ245" s="13" t="n"/>
      <c r="CR245" s="13" t="n"/>
      <c r="CS245" s="13" t="n"/>
      <c r="CT245" s="13" t="n"/>
      <c r="CU245" s="13" t="n"/>
      <c r="CV245" s="13" t="n"/>
      <c r="CW245" s="13" t="n"/>
      <c r="CX245" s="13" t="n"/>
      <c r="CY245" s="13" t="n"/>
      <c r="CZ245" s="13" t="n"/>
      <c r="DA245" s="13" t="n"/>
      <c r="DB245" s="13" t="n"/>
      <c r="DC245" s="13" t="n"/>
      <c r="DD245" s="13" t="n"/>
    </row>
    <row r="246">
      <c r="A246" s="355" t="inlineStr">
        <is>
          <t>Total Deal - Unlevered - Cash Flow</t>
        </is>
      </c>
      <c r="B246" s="356" t="n"/>
      <c r="C246" s="13" t="n"/>
      <c r="D246" s="13" t="n"/>
      <c r="E246" s="271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  <c r="AP246" s="13" t="n"/>
      <c r="AQ246" s="13" t="n"/>
      <c r="AR246" s="13" t="n"/>
      <c r="AS246" s="13" t="n"/>
      <c r="AT246" s="13" t="n"/>
      <c r="AU246" s="13" t="n"/>
      <c r="AV246" s="13" t="n"/>
      <c r="AW246" s="13" t="n"/>
      <c r="AX246" s="13" t="n"/>
      <c r="AY246" s="13" t="n"/>
      <c r="AZ246" s="13" t="n"/>
      <c r="BA246" s="13" t="n"/>
      <c r="BB246" s="13" t="n"/>
      <c r="BC246" s="13" t="n"/>
      <c r="BD246" s="13" t="n"/>
      <c r="BE246" s="13" t="n"/>
      <c r="BF246" s="13" t="n"/>
      <c r="BG246" s="13" t="n"/>
      <c r="BH246" s="13" t="n"/>
      <c r="BI246" s="13" t="n"/>
      <c r="BJ246" s="13" t="n"/>
      <c r="BK246" s="13" t="n"/>
      <c r="BL246" s="13" t="n"/>
      <c r="BM246" s="13" t="n"/>
      <c r="BN246" s="13" t="n"/>
      <c r="BO246" s="13" t="n"/>
      <c r="BP246" s="13" t="n"/>
      <c r="BQ246" s="13" t="n"/>
      <c r="BR246" s="13" t="n"/>
      <c r="BS246" s="13" t="n"/>
      <c r="BT246" s="13" t="n"/>
      <c r="BU246" s="13" t="n"/>
      <c r="BV246" s="13" t="n"/>
      <c r="BW246" s="13" t="n"/>
      <c r="BX246" s="13" t="n"/>
      <c r="BY246" s="13" t="n"/>
      <c r="BZ246" s="13" t="n"/>
      <c r="CA246" s="13" t="n"/>
      <c r="CB246" s="13" t="n"/>
      <c r="CC246" s="13" t="n"/>
      <c r="CD246" s="13" t="n"/>
      <c r="CE246" s="13" t="n"/>
      <c r="CF246" s="13" t="n"/>
      <c r="CG246" s="13" t="n"/>
      <c r="CH246" s="13" t="n"/>
      <c r="CI246" s="13" t="n"/>
      <c r="CJ246" s="13" t="n"/>
      <c r="CK246" s="13" t="n"/>
      <c r="CL246" s="13" t="n"/>
      <c r="CM246" s="13" t="n"/>
      <c r="CN246" s="13" t="n"/>
      <c r="CO246" s="13" t="n"/>
      <c r="CP246" s="13" t="n"/>
      <c r="CQ246" s="13" t="n"/>
      <c r="CR246" s="13" t="n"/>
      <c r="CS246" s="13" t="n"/>
      <c r="CT246" s="13" t="n"/>
      <c r="CU246" s="13" t="n"/>
      <c r="CV246" s="13" t="n"/>
      <c r="CW246" s="13" t="n"/>
      <c r="CX246" s="13" t="n"/>
      <c r="CY246" s="13" t="n"/>
      <c r="CZ246" s="13" t="n"/>
      <c r="DA246" s="13" t="n"/>
      <c r="DB246" s="13" t="n"/>
      <c r="DC246" s="13" t="n"/>
      <c r="DD246" s="13" t="n"/>
    </row>
    <row r="247">
      <c r="A247" s="9" t="inlineStr">
        <is>
          <t>Construction Costs excl. Interest &amp; Finance Fees</t>
        </is>
      </c>
      <c r="B247" s="9" t="n"/>
      <c r="C247" s="13" t="n"/>
      <c r="D247" s="700">
        <f>DD247</f>
        <v/>
      </c>
      <c r="E247" s="641" t="n"/>
      <c r="F247" s="293">
        <f>F106-SUM(F100:F102)</f>
        <v/>
      </c>
      <c r="G247" s="293">
        <f>G106-SUM(G100:G102)</f>
        <v/>
      </c>
      <c r="H247" s="293">
        <f>H106-SUM(H100:H102)</f>
        <v/>
      </c>
      <c r="I247" s="293">
        <f>I106-SUM(I100:I102)</f>
        <v/>
      </c>
      <c r="J247" s="293">
        <f>J106-SUM(J100:J102)</f>
        <v/>
      </c>
      <c r="K247" s="293">
        <f>K106-SUM(K100:K102)</f>
        <v/>
      </c>
      <c r="L247" s="293">
        <f>L106-SUM(L100:L102)</f>
        <v/>
      </c>
      <c r="M247" s="293">
        <f>M106-SUM(M100:M102)</f>
        <v/>
      </c>
      <c r="N247" s="293">
        <f>N106-SUM(N100:N102)</f>
        <v/>
      </c>
      <c r="O247" s="293">
        <f>O106-SUM(O100:O102)</f>
        <v/>
      </c>
      <c r="P247" s="293">
        <f>P106-SUM(P100:P102)</f>
        <v/>
      </c>
      <c r="Q247" s="293">
        <f>Q106-SUM(Q100:Q102)</f>
        <v/>
      </c>
      <c r="R247" s="293">
        <f>R106-SUM(R100:R102)</f>
        <v/>
      </c>
      <c r="S247" s="293">
        <f>S106-SUM(S100:S102)</f>
        <v/>
      </c>
      <c r="T247" s="293">
        <f>T106-SUM(T100:T102)</f>
        <v/>
      </c>
      <c r="U247" s="293">
        <f>U106-SUM(U100:U102)</f>
        <v/>
      </c>
      <c r="V247" s="293">
        <f>V106-SUM(V100:V102)</f>
        <v/>
      </c>
      <c r="W247" s="293">
        <f>W106-SUM(W100:W102)</f>
        <v/>
      </c>
      <c r="X247" s="293">
        <f>X106-SUM(X100:X102)</f>
        <v/>
      </c>
      <c r="Y247" s="293">
        <f>Y106-SUM(Y100:Y102)</f>
        <v/>
      </c>
      <c r="Z247" s="293">
        <f>Z106-SUM(Z100:Z102)</f>
        <v/>
      </c>
      <c r="AA247" s="293">
        <f>AA106-SUM(AA100:AA102)</f>
        <v/>
      </c>
      <c r="AB247" s="293">
        <f>AB106-SUM(AB100:AB102)</f>
        <v/>
      </c>
      <c r="AC247" s="293">
        <f>AC106-SUM(AC100:AC102)</f>
        <v/>
      </c>
      <c r="AD247" s="293">
        <f>AD106-SUM(AD100:AD102)</f>
        <v/>
      </c>
      <c r="AE247" s="293">
        <f>AE106-SUM(AE100:AE102)</f>
        <v/>
      </c>
      <c r="AF247" s="293">
        <f>AF106-SUM(AF100:AF102)</f>
        <v/>
      </c>
      <c r="AG247" s="293">
        <f>AG106-SUM(AG100:AG102)</f>
        <v/>
      </c>
      <c r="AH247" s="293">
        <f>AH106-SUM(AH100:AH102)</f>
        <v/>
      </c>
      <c r="AI247" s="293">
        <f>AI106-SUM(AI100:AI102)</f>
        <v/>
      </c>
      <c r="AJ247" s="293">
        <f>AJ106-SUM(AJ100:AJ102)</f>
        <v/>
      </c>
      <c r="AK247" s="293">
        <f>AK106-SUM(AK100:AK102)</f>
        <v/>
      </c>
      <c r="AL247" s="293">
        <f>AL106-SUM(AL100:AL102)</f>
        <v/>
      </c>
      <c r="AM247" s="293">
        <f>AM106-SUM(AM100:AM102)</f>
        <v/>
      </c>
      <c r="AN247" s="293">
        <f>AN106-SUM(AN100:AN102)</f>
        <v/>
      </c>
      <c r="AO247" s="293">
        <f>AO106-SUM(AO100:AO102)</f>
        <v/>
      </c>
      <c r="AP247" s="293">
        <f>AP106-SUM(AP100:AP102)</f>
        <v/>
      </c>
      <c r="AQ247" s="293">
        <f>AQ106-SUM(AQ100:AQ102)</f>
        <v/>
      </c>
      <c r="AR247" s="293">
        <f>AR106-SUM(AR100:AR102)</f>
        <v/>
      </c>
      <c r="AS247" s="293">
        <f>AS106-SUM(AS100:AS102)</f>
        <v/>
      </c>
      <c r="AT247" s="293">
        <f>AT106-SUM(AT100:AT102)</f>
        <v/>
      </c>
      <c r="AU247" s="293">
        <f>AU106-SUM(AU100:AU102)</f>
        <v/>
      </c>
      <c r="AV247" s="293">
        <f>AV106-SUM(AV100:AV102)</f>
        <v/>
      </c>
      <c r="AW247" s="293">
        <f>AW106-SUM(AW100:AW102)</f>
        <v/>
      </c>
      <c r="AX247" s="293">
        <f>AX106-SUM(AX100:AX102)</f>
        <v/>
      </c>
      <c r="AY247" s="293">
        <f>AY106-SUM(AY100:AY102)</f>
        <v/>
      </c>
      <c r="AZ247" s="293">
        <f>AZ106-SUM(AZ100:AZ102)</f>
        <v/>
      </c>
      <c r="BA247" s="293">
        <f>BA106-SUM(BA100:BA102)</f>
        <v/>
      </c>
      <c r="BB247" s="293">
        <f>BB106-SUM(BB100:BB102)</f>
        <v/>
      </c>
      <c r="BC247" s="293">
        <f>BC106-SUM(BC100:BC102)</f>
        <v/>
      </c>
      <c r="BD247" s="293">
        <f>BD106-SUM(BD100:BD102)</f>
        <v/>
      </c>
      <c r="BE247" s="293">
        <f>BE106-SUM(BE100:BE102)</f>
        <v/>
      </c>
      <c r="BF247" s="293">
        <f>BF106-SUM(BF100:BF102)</f>
        <v/>
      </c>
      <c r="BG247" s="293">
        <f>BG106-SUM(BG100:BG102)</f>
        <v/>
      </c>
      <c r="BH247" s="293">
        <f>BH106-SUM(BH100:BH102)</f>
        <v/>
      </c>
      <c r="BI247" s="293">
        <f>BI106-SUM(BI100:BI102)</f>
        <v/>
      </c>
      <c r="BJ247" s="293">
        <f>BJ106-SUM(BJ100:BJ102)</f>
        <v/>
      </c>
      <c r="BK247" s="293">
        <f>BK106-SUM(BK100:BK102)</f>
        <v/>
      </c>
      <c r="BL247" s="293">
        <f>BL106-SUM(BL100:BL102)</f>
        <v/>
      </c>
      <c r="BM247" s="293">
        <f>BM106-SUM(BM100:BM102)</f>
        <v/>
      </c>
      <c r="BN247" s="293">
        <f>BN106-SUM(BN100:BN102)</f>
        <v/>
      </c>
      <c r="BO247" s="293">
        <f>BO106-SUM(BO100:BO102)</f>
        <v/>
      </c>
      <c r="BP247" s="293">
        <f>BP106-SUM(BP100:BP102)</f>
        <v/>
      </c>
      <c r="BQ247" s="293">
        <f>BQ106-SUM(BQ100:BQ102)</f>
        <v/>
      </c>
      <c r="BR247" s="293">
        <f>BR106-SUM(BR100:BR102)</f>
        <v/>
      </c>
      <c r="BS247" s="293">
        <f>BS106-SUM(BS100:BS102)</f>
        <v/>
      </c>
      <c r="BT247" s="293">
        <f>BT106-SUM(BT100:BT102)</f>
        <v/>
      </c>
      <c r="BU247" s="293">
        <f>BU106-SUM(BU100:BU102)</f>
        <v/>
      </c>
      <c r="BV247" s="293">
        <f>BV106-SUM(BV100:BV102)</f>
        <v/>
      </c>
      <c r="BW247" s="293">
        <f>BW106-SUM(BW100:BW102)</f>
        <v/>
      </c>
      <c r="BX247" s="293">
        <f>BX106-SUM(BX100:BX102)</f>
        <v/>
      </c>
      <c r="BY247" s="293">
        <f>BY106-SUM(BY100:BY102)</f>
        <v/>
      </c>
      <c r="BZ247" s="293">
        <f>BZ106-SUM(BZ100:BZ102)</f>
        <v/>
      </c>
      <c r="CA247" s="293">
        <f>CA106-SUM(CA100:CA102)</f>
        <v/>
      </c>
      <c r="CB247" s="293">
        <f>CB106-SUM(CB100:CB102)</f>
        <v/>
      </c>
      <c r="CC247" s="293">
        <f>CC106-SUM(CC100:CC102)</f>
        <v/>
      </c>
      <c r="CD247" s="293">
        <f>CD106-SUM(CD100:CD102)</f>
        <v/>
      </c>
      <c r="CE247" s="293">
        <f>CE106-SUM(CE100:CE102)</f>
        <v/>
      </c>
      <c r="CF247" s="293">
        <f>CF106-SUM(CF100:CF102)</f>
        <v/>
      </c>
      <c r="CG247" s="293">
        <f>CG106-SUM(CG100:CG102)</f>
        <v/>
      </c>
      <c r="CH247" s="293">
        <f>CH106-SUM(CH100:CH102)</f>
        <v/>
      </c>
      <c r="CI247" s="293">
        <f>CI106-SUM(CI100:CI102)</f>
        <v/>
      </c>
      <c r="CJ247" s="293">
        <f>CJ106-SUM(CJ100:CJ102)</f>
        <v/>
      </c>
      <c r="CK247" s="293">
        <f>CK106-SUM(CK100:CK102)</f>
        <v/>
      </c>
      <c r="CL247" s="293">
        <f>CL106-SUM(CL100:CL102)</f>
        <v/>
      </c>
      <c r="CM247" s="293">
        <f>CM106-SUM(CM100:CM102)</f>
        <v/>
      </c>
      <c r="CN247" s="293">
        <f>CN106-SUM(CN100:CN102)</f>
        <v/>
      </c>
      <c r="CO247" s="293">
        <f>CO106-SUM(CO100:CO102)</f>
        <v/>
      </c>
      <c r="CP247" s="293">
        <f>CP106-SUM(CP100:CP102)</f>
        <v/>
      </c>
      <c r="CQ247" s="293">
        <f>CQ106-SUM(CQ100:CQ102)</f>
        <v/>
      </c>
      <c r="CR247" s="293">
        <f>CR106-SUM(CR100:CR102)</f>
        <v/>
      </c>
      <c r="CS247" s="293">
        <f>CS106-SUM(CS100:CS102)</f>
        <v/>
      </c>
      <c r="CT247" s="293">
        <f>CT106-SUM(CT100:CT102)</f>
        <v/>
      </c>
      <c r="CU247" s="293">
        <f>CU106-SUM(CU100:CU102)</f>
        <v/>
      </c>
      <c r="CV247" s="293">
        <f>CV106-SUM(CV100:CV102)</f>
        <v/>
      </c>
      <c r="CW247" s="293">
        <f>CW106-SUM(CW100:CW102)</f>
        <v/>
      </c>
      <c r="CX247" s="293">
        <f>CX106-SUM(CX100:CX102)</f>
        <v/>
      </c>
      <c r="CY247" s="293">
        <f>CY106-SUM(CY100:CY102)</f>
        <v/>
      </c>
      <c r="CZ247" s="293">
        <f>CZ106-SUM(CZ100:CZ102)</f>
        <v/>
      </c>
      <c r="DA247" s="293">
        <f>DA106-SUM(DA100:DA102)</f>
        <v/>
      </c>
      <c r="DB247" s="293">
        <f>DB106-SUM(DB100:DB102)</f>
        <v/>
      </c>
      <c r="DC247" s="293" t="n"/>
      <c r="DD247" s="292">
        <f>SUM(F247:DB247)</f>
        <v/>
      </c>
    </row>
    <row r="248">
      <c r="A248" s="9" t="inlineStr">
        <is>
          <t>Project Cash Flow excluding Interest</t>
        </is>
      </c>
      <c r="B248" s="9" t="n"/>
      <c r="C248" s="13" t="n"/>
      <c r="D248" s="294">
        <f>DD248</f>
        <v/>
      </c>
      <c r="E248" s="274" t="n"/>
      <c r="F248" s="273">
        <f>F153-F125</f>
        <v/>
      </c>
      <c r="G248" s="273">
        <f>G153-G125</f>
        <v/>
      </c>
      <c r="H248" s="273">
        <f>H153-H125</f>
        <v/>
      </c>
      <c r="I248" s="273">
        <f>I153-I125</f>
        <v/>
      </c>
      <c r="J248" s="273">
        <f>J153-J125</f>
        <v/>
      </c>
      <c r="K248" s="273">
        <f>K153-K125</f>
        <v/>
      </c>
      <c r="L248" s="273">
        <f>L153-L125</f>
        <v/>
      </c>
      <c r="M248" s="273">
        <f>M153-M125</f>
        <v/>
      </c>
      <c r="N248" s="273">
        <f>N153-N125</f>
        <v/>
      </c>
      <c r="O248" s="273">
        <f>O153-O125</f>
        <v/>
      </c>
      <c r="P248" s="273">
        <f>P153-P125</f>
        <v/>
      </c>
      <c r="Q248" s="273">
        <f>Q153-Q125</f>
        <v/>
      </c>
      <c r="R248" s="273">
        <f>R153-R125</f>
        <v/>
      </c>
      <c r="S248" s="273">
        <f>S153-S125</f>
        <v/>
      </c>
      <c r="T248" s="273">
        <f>T153-T125</f>
        <v/>
      </c>
      <c r="U248" s="273">
        <f>U153-U125</f>
        <v/>
      </c>
      <c r="V248" s="273">
        <f>V153-V125</f>
        <v/>
      </c>
      <c r="W248" s="273">
        <f>W153-W125</f>
        <v/>
      </c>
      <c r="X248" s="273">
        <f>X153-X125</f>
        <v/>
      </c>
      <c r="Y248" s="273">
        <f>Y153-Y125</f>
        <v/>
      </c>
      <c r="Z248" s="273">
        <f>Z153-Z125</f>
        <v/>
      </c>
      <c r="AA248" s="273">
        <f>AA153-AA125</f>
        <v/>
      </c>
      <c r="AB248" s="273">
        <f>AB153-AB125</f>
        <v/>
      </c>
      <c r="AC248" s="273">
        <f>AC153-AC125</f>
        <v/>
      </c>
      <c r="AD248" s="273">
        <f>AD153-AD125</f>
        <v/>
      </c>
      <c r="AE248" s="273">
        <f>AE153-AE125</f>
        <v/>
      </c>
      <c r="AF248" s="273">
        <f>AF153-AF125</f>
        <v/>
      </c>
      <c r="AG248" s="273">
        <f>AG153-AG125</f>
        <v/>
      </c>
      <c r="AH248" s="273">
        <f>AH153-AH125</f>
        <v/>
      </c>
      <c r="AI248" s="273">
        <f>AI153-AI125</f>
        <v/>
      </c>
      <c r="AJ248" s="273">
        <f>AJ153-AJ125</f>
        <v/>
      </c>
      <c r="AK248" s="273">
        <f>AK153-AK125</f>
        <v/>
      </c>
      <c r="AL248" s="273">
        <f>AL153-AL125</f>
        <v/>
      </c>
      <c r="AM248" s="273">
        <f>AM153-AM125</f>
        <v/>
      </c>
      <c r="AN248" s="273">
        <f>AN153-AN125</f>
        <v/>
      </c>
      <c r="AO248" s="273">
        <f>AO153-AO125</f>
        <v/>
      </c>
      <c r="AP248" s="273">
        <f>AP153-AP125</f>
        <v/>
      </c>
      <c r="AQ248" s="273">
        <f>AQ153-AQ125</f>
        <v/>
      </c>
      <c r="AR248" s="273">
        <f>AR153-AR125</f>
        <v/>
      </c>
      <c r="AS248" s="273">
        <f>AS153-AS125</f>
        <v/>
      </c>
      <c r="AT248" s="273">
        <f>AT153-AT125</f>
        <v/>
      </c>
      <c r="AU248" s="273">
        <f>AU153-AU125</f>
        <v/>
      </c>
      <c r="AV248" s="273">
        <f>AV153-AV125</f>
        <v/>
      </c>
      <c r="AW248" s="273">
        <f>AW153-AW125</f>
        <v/>
      </c>
      <c r="AX248" s="273">
        <f>AX153-AX125</f>
        <v/>
      </c>
      <c r="AY248" s="273">
        <f>AY153-AY125</f>
        <v/>
      </c>
      <c r="AZ248" s="273">
        <f>AZ153-AZ125</f>
        <v/>
      </c>
      <c r="BA248" s="273">
        <f>BA153-BA125</f>
        <v/>
      </c>
      <c r="BB248" s="273">
        <f>BB153-BB125</f>
        <v/>
      </c>
      <c r="BC248" s="273">
        <f>BC153-BC125</f>
        <v/>
      </c>
      <c r="BD248" s="273">
        <f>BD153-BD125</f>
        <v/>
      </c>
      <c r="BE248" s="273">
        <f>BE153-BE125</f>
        <v/>
      </c>
      <c r="BF248" s="273">
        <f>BF153-BF125</f>
        <v/>
      </c>
      <c r="BG248" s="273">
        <f>BG153-BG125</f>
        <v/>
      </c>
      <c r="BH248" s="273">
        <f>BH153-BH125</f>
        <v/>
      </c>
      <c r="BI248" s="273">
        <f>BI153-BI125</f>
        <v/>
      </c>
      <c r="BJ248" s="273">
        <f>BJ153-BJ125</f>
        <v/>
      </c>
      <c r="BK248" s="273">
        <f>BK153-BK125</f>
        <v/>
      </c>
      <c r="BL248" s="273">
        <f>BL153-BL125</f>
        <v/>
      </c>
      <c r="BM248" s="273">
        <f>BM153-BM125</f>
        <v/>
      </c>
      <c r="BN248" s="273">
        <f>BN153-BN125</f>
        <v/>
      </c>
      <c r="BO248" s="273">
        <f>BO153-BO125</f>
        <v/>
      </c>
      <c r="BP248" s="273">
        <f>BP153-BP125</f>
        <v/>
      </c>
      <c r="BQ248" s="273">
        <f>BQ153-BQ125</f>
        <v/>
      </c>
      <c r="BR248" s="273">
        <f>BR153-BR125</f>
        <v/>
      </c>
      <c r="BS248" s="273">
        <f>BS153-BS125</f>
        <v/>
      </c>
      <c r="BT248" s="273">
        <f>BT153-BT125</f>
        <v/>
      </c>
      <c r="BU248" s="273">
        <f>BU153-BU125</f>
        <v/>
      </c>
      <c r="BV248" s="273">
        <f>BV153-BV125</f>
        <v/>
      </c>
      <c r="BW248" s="273">
        <f>BW153-BW125</f>
        <v/>
      </c>
      <c r="BX248" s="273">
        <f>BX153-BX125</f>
        <v/>
      </c>
      <c r="BY248" s="273">
        <f>BY153-BY125</f>
        <v/>
      </c>
      <c r="BZ248" s="273">
        <f>BZ153-BZ125</f>
        <v/>
      </c>
      <c r="CA248" s="273">
        <f>CA153-CA125</f>
        <v/>
      </c>
      <c r="CB248" s="273">
        <f>CB153-CB125</f>
        <v/>
      </c>
      <c r="CC248" s="273">
        <f>CC153-CC125</f>
        <v/>
      </c>
      <c r="CD248" s="273">
        <f>CD153-CD125</f>
        <v/>
      </c>
      <c r="CE248" s="273">
        <f>CE153-CE125</f>
        <v/>
      </c>
      <c r="CF248" s="273">
        <f>CF153-CF125</f>
        <v/>
      </c>
      <c r="CG248" s="273">
        <f>CG153-CG125</f>
        <v/>
      </c>
      <c r="CH248" s="273">
        <f>CH153-CH125</f>
        <v/>
      </c>
      <c r="CI248" s="273">
        <f>CI153-CI125</f>
        <v/>
      </c>
      <c r="CJ248" s="273">
        <f>CJ153-CJ125</f>
        <v/>
      </c>
      <c r="CK248" s="273">
        <f>CK153-CK125</f>
        <v/>
      </c>
      <c r="CL248" s="273">
        <f>CL153-CL125</f>
        <v/>
      </c>
      <c r="CM248" s="273">
        <f>CM153-CM125</f>
        <v/>
      </c>
      <c r="CN248" s="273">
        <f>CN153-CN125</f>
        <v/>
      </c>
      <c r="CO248" s="273">
        <f>CO153-CO125</f>
        <v/>
      </c>
      <c r="CP248" s="273">
        <f>CP153-CP125</f>
        <v/>
      </c>
      <c r="CQ248" s="273">
        <f>CQ153-CQ125</f>
        <v/>
      </c>
      <c r="CR248" s="273">
        <f>CR153-CR125</f>
        <v/>
      </c>
      <c r="CS248" s="273">
        <f>CS153-CS125</f>
        <v/>
      </c>
      <c r="CT248" s="273">
        <f>CT153-CT125</f>
        <v/>
      </c>
      <c r="CU248" s="273">
        <f>CU153-CU125</f>
        <v/>
      </c>
      <c r="CV248" s="273">
        <f>CV153-CV125</f>
        <v/>
      </c>
      <c r="CW248" s="273">
        <f>CW153-CW125</f>
        <v/>
      </c>
      <c r="CX248" s="273">
        <f>CX153-CX125</f>
        <v/>
      </c>
      <c r="CY248" s="273">
        <f>CY153-CY125</f>
        <v/>
      </c>
      <c r="CZ248" s="273">
        <f>CZ153-CZ125</f>
        <v/>
      </c>
      <c r="DA248" s="273">
        <f>DA153-DA125</f>
        <v/>
      </c>
      <c r="DB248" s="273">
        <f>DB153-DB125</f>
        <v/>
      </c>
      <c r="DC248" s="273" t="n"/>
      <c r="DD248" s="295">
        <f>SUM(F248:DB248)</f>
        <v/>
      </c>
    </row>
    <row r="249">
      <c r="A249" s="9" t="inlineStr">
        <is>
          <t>Sales Proceeds</t>
        </is>
      </c>
      <c r="B249" s="9" t="n"/>
      <c r="C249" s="13" t="n"/>
      <c r="D249" s="298">
        <f>DD249</f>
        <v/>
      </c>
      <c r="E249" s="300" t="n"/>
      <c r="F249" s="301">
        <f>IF(F5='Project Returns'!$F$32,'Project Returns'!$G$44,0)</f>
        <v/>
      </c>
      <c r="G249" s="301">
        <f>IF(G5='Project Returns'!$F$32,'Project Returns'!$G$44,0)</f>
        <v/>
      </c>
      <c r="H249" s="301">
        <f>IF(H5='Project Returns'!$F$32,'Project Returns'!$G$44,0)</f>
        <v/>
      </c>
      <c r="I249" s="301">
        <f>IF(I5='Project Returns'!$F$32,'Project Returns'!$G$44,0)</f>
        <v/>
      </c>
      <c r="J249" s="301">
        <f>IF(J5='Project Returns'!$F$32,'Project Returns'!$G$44,0)</f>
        <v/>
      </c>
      <c r="K249" s="301">
        <f>IF(K5='Project Returns'!$F$32,'Project Returns'!$G$44,0)</f>
        <v/>
      </c>
      <c r="L249" s="301">
        <f>IF(L5='Project Returns'!$F$32,'Project Returns'!$G$44,0)</f>
        <v/>
      </c>
      <c r="M249" s="301">
        <f>IF(M5='Project Returns'!$F$32,'Project Returns'!$G$44,0)</f>
        <v/>
      </c>
      <c r="N249" s="301">
        <f>IF(N5='Project Returns'!$F$32,'Project Returns'!$G$44,0)</f>
        <v/>
      </c>
      <c r="O249" s="301">
        <f>IF(O5='Project Returns'!$F$32,'Project Returns'!$G$44,0)</f>
        <v/>
      </c>
      <c r="P249" s="301">
        <f>IF(P5='Project Returns'!$F$32,'Project Returns'!$G$44,0)</f>
        <v/>
      </c>
      <c r="Q249" s="301">
        <f>IF(Q5='Project Returns'!$F$32,'Project Returns'!$G$44,0)</f>
        <v/>
      </c>
      <c r="R249" s="301">
        <f>IF(R5='Project Returns'!$F$32,'Project Returns'!$G$44,0)</f>
        <v/>
      </c>
      <c r="S249" s="301">
        <f>IF(S5='Project Returns'!$F$32,'Project Returns'!$G$44,0)</f>
        <v/>
      </c>
      <c r="T249" s="301">
        <f>IF(T5='Project Returns'!$F$32,'Project Returns'!$G$44,0)</f>
        <v/>
      </c>
      <c r="U249" s="301">
        <f>IF(U5='Project Returns'!$F$32,'Project Returns'!$G$44,0)</f>
        <v/>
      </c>
      <c r="V249" s="301">
        <f>IF(V5='Project Returns'!$F$32,'Project Returns'!$G$44,0)</f>
        <v/>
      </c>
      <c r="W249" s="301">
        <f>IF(W5='Project Returns'!$F$32,'Project Returns'!$G$44,0)</f>
        <v/>
      </c>
      <c r="X249" s="301">
        <f>IF(X5='Project Returns'!$F$32,'Project Returns'!$G$44,0)</f>
        <v/>
      </c>
      <c r="Y249" s="301">
        <f>IF(Y5='Project Returns'!$F$32,'Project Returns'!$G$44,0)</f>
        <v/>
      </c>
      <c r="Z249" s="301">
        <f>IF(Z5='Project Returns'!$F$32,'Project Returns'!$G$44,0)</f>
        <v/>
      </c>
      <c r="AA249" s="301">
        <f>IF(AA5='Project Returns'!$F$32,'Project Returns'!$G$44,0)</f>
        <v/>
      </c>
      <c r="AB249" s="301">
        <f>IF(AB5='Project Returns'!$F$32,'Project Returns'!$G$44,0)</f>
        <v/>
      </c>
      <c r="AC249" s="301">
        <f>IF(AC5='Project Returns'!$F$32,'Project Returns'!$G$44,0)</f>
        <v/>
      </c>
      <c r="AD249" s="301">
        <f>IF(AD5='Project Returns'!$F$32,'Project Returns'!$G$44,0)</f>
        <v/>
      </c>
      <c r="AE249" s="301">
        <f>IF(AE5='Project Returns'!$F$32,'Project Returns'!$G$44,0)</f>
        <v/>
      </c>
      <c r="AF249" s="301">
        <f>IF(AF5='Project Returns'!$F$32,'Project Returns'!$G$44,0)</f>
        <v/>
      </c>
      <c r="AG249" s="301">
        <f>IF(AG5='Project Returns'!$F$32,'Project Returns'!$G$44,0)</f>
        <v/>
      </c>
      <c r="AH249" s="301">
        <f>IF(AH5='Project Returns'!$F$32,'Project Returns'!$G$44,0)</f>
        <v/>
      </c>
      <c r="AI249" s="301">
        <f>IF(AI5='Project Returns'!$F$32,'Project Returns'!$G$44,0)</f>
        <v/>
      </c>
      <c r="AJ249" s="301">
        <f>IF(AJ5='Project Returns'!$F$32,'Project Returns'!$G$44,0)</f>
        <v/>
      </c>
      <c r="AK249" s="301">
        <f>IF(AK5='Project Returns'!$F$32,'Project Returns'!$G$44,0)</f>
        <v/>
      </c>
      <c r="AL249" s="301">
        <f>IF(AL5='Project Returns'!$F$32,'Project Returns'!$G$44,0)</f>
        <v/>
      </c>
      <c r="AM249" s="301">
        <f>IF(AM5='Project Returns'!$F$32,'Project Returns'!$G$44,0)</f>
        <v/>
      </c>
      <c r="AN249" s="301">
        <f>IF(AN5='Project Returns'!$F$32,'Project Returns'!$G$44,0)</f>
        <v/>
      </c>
      <c r="AO249" s="301">
        <f>IF(AO5='Project Returns'!$F$32,'Project Returns'!$G$44,0)</f>
        <v/>
      </c>
      <c r="AP249" s="301">
        <f>IF(AP5='Project Returns'!$F$32,'Project Returns'!$G$44,0)</f>
        <v/>
      </c>
      <c r="AQ249" s="301">
        <f>IF(AQ5='Project Returns'!$F$32,'Project Returns'!$G$44,0)</f>
        <v/>
      </c>
      <c r="AR249" s="301">
        <f>IF(AR5='Project Returns'!$F$32,'Project Returns'!$G$44,0)</f>
        <v/>
      </c>
      <c r="AS249" s="301">
        <f>IF(AS5='Project Returns'!$F$32,'Project Returns'!$G$44,0)</f>
        <v/>
      </c>
      <c r="AT249" s="301">
        <f>IF(AT5='Project Returns'!$F$32,'Project Returns'!$G$44,0)</f>
        <v/>
      </c>
      <c r="AU249" s="301">
        <f>IF(AU5='Project Returns'!$F$32,'Project Returns'!$G$44,0)</f>
        <v/>
      </c>
      <c r="AV249" s="301">
        <f>IF(AV5='Project Returns'!$F$32,'Project Returns'!$G$44,0)</f>
        <v/>
      </c>
      <c r="AW249" s="301">
        <f>IF(AW5='Project Returns'!$F$32,'Project Returns'!$G$44,0)</f>
        <v/>
      </c>
      <c r="AX249" s="301">
        <f>IF(AX5='Project Returns'!$F$32,'Project Returns'!$G$44,0)</f>
        <v/>
      </c>
      <c r="AY249" s="301">
        <f>IF(AY5='Project Returns'!$F$32,'Project Returns'!$G$44,0)</f>
        <v/>
      </c>
      <c r="AZ249" s="301">
        <f>IF(AZ5='Project Returns'!$F$32,'Project Returns'!$G$44,0)</f>
        <v/>
      </c>
      <c r="BA249" s="301">
        <f>IF(BA5='Project Returns'!$F$32,'Project Returns'!$G$44,0)</f>
        <v/>
      </c>
      <c r="BB249" s="301">
        <f>IF(BB5='Project Returns'!$F$32,'Project Returns'!$G$44,0)</f>
        <v/>
      </c>
      <c r="BC249" s="301">
        <f>IF(BC5='Project Returns'!$F$32,'Project Returns'!$G$44,0)</f>
        <v/>
      </c>
      <c r="BD249" s="301">
        <f>IF(BD5='Project Returns'!$F$32,'Project Returns'!$G$44,0)</f>
        <v/>
      </c>
      <c r="BE249" s="301">
        <f>IF(BE5='Project Returns'!$F$32,'Project Returns'!$G$44,0)</f>
        <v/>
      </c>
      <c r="BF249" s="301">
        <f>IF(BF5='Project Returns'!$F$32,'Project Returns'!$G$44,0)</f>
        <v/>
      </c>
      <c r="BG249" s="301">
        <f>IF(BG5='Project Returns'!$F$32,'Project Returns'!$G$44,0)</f>
        <v/>
      </c>
      <c r="BH249" s="301">
        <f>IF(BH5='Project Returns'!$F$32,'Project Returns'!$G$44,0)</f>
        <v/>
      </c>
      <c r="BI249" s="301">
        <f>IF(BI5='Project Returns'!$F$32,'Project Returns'!$G$44,0)</f>
        <v/>
      </c>
      <c r="BJ249" s="301">
        <f>IF(BJ5='Project Returns'!$F$32,'Project Returns'!$G$44,0)</f>
        <v/>
      </c>
      <c r="BK249" s="301">
        <f>IF(BK5='Project Returns'!$F$32,'Project Returns'!$G$44,0)</f>
        <v/>
      </c>
      <c r="BL249" s="301">
        <f>IF(BL5='Project Returns'!$F$32,'Project Returns'!$G$44,0)</f>
        <v/>
      </c>
      <c r="BM249" s="301">
        <f>IF(BM5='Project Returns'!$F$32,'Project Returns'!$G$44,0)</f>
        <v/>
      </c>
      <c r="BN249" s="301">
        <f>IF(BN5='Project Returns'!$F$32,'Project Returns'!$G$44,0)</f>
        <v/>
      </c>
      <c r="BO249" s="301">
        <f>IF(BO5='Project Returns'!$F$32,'Project Returns'!$G$44,0)</f>
        <v/>
      </c>
      <c r="BP249" s="301">
        <f>IF(BP5='Project Returns'!$F$32,'Project Returns'!$G$44,0)</f>
        <v/>
      </c>
      <c r="BQ249" s="301">
        <f>IF(BQ5='Project Returns'!$F$32,'Project Returns'!$G$44,0)</f>
        <v/>
      </c>
      <c r="BR249" s="301">
        <f>IF(BR5='Project Returns'!$F$32,'Project Returns'!$G$44,0)</f>
        <v/>
      </c>
      <c r="BS249" s="301">
        <f>IF(BS5='Project Returns'!$F$32,'Project Returns'!$G$44,0)</f>
        <v/>
      </c>
      <c r="BT249" s="301">
        <f>IF(BT5='Project Returns'!$F$32,'Project Returns'!$G$44,0)</f>
        <v/>
      </c>
      <c r="BU249" s="301">
        <f>IF(BU5='Project Returns'!$F$32,'Project Returns'!$G$44,0)</f>
        <v/>
      </c>
      <c r="BV249" s="301">
        <f>IF(BV5='Project Returns'!$F$32,'Project Returns'!$G$44,0)</f>
        <v/>
      </c>
      <c r="BW249" s="301">
        <f>IF(BW5='Project Returns'!$F$32,'Project Returns'!$G$44,0)</f>
        <v/>
      </c>
      <c r="BX249" s="301">
        <f>IF(BX5='Project Returns'!$F$32,'Project Returns'!$G$44,0)</f>
        <v/>
      </c>
      <c r="BY249" s="301">
        <f>IF(BY5='Project Returns'!$F$32,'Project Returns'!$G$44,0)</f>
        <v/>
      </c>
      <c r="BZ249" s="301">
        <f>IF(BZ5='Project Returns'!$F$32,'Project Returns'!$G$44,0)</f>
        <v/>
      </c>
      <c r="CA249" s="301">
        <f>IF(CA5='Project Returns'!$F$32,'Project Returns'!$G$44,0)</f>
        <v/>
      </c>
      <c r="CB249" s="301">
        <f>IF(CB5='Project Returns'!$F$32,'Project Returns'!$G$44,0)</f>
        <v/>
      </c>
      <c r="CC249" s="301">
        <f>IF(CC5='Project Returns'!$F$32,'Project Returns'!$G$44,0)</f>
        <v/>
      </c>
      <c r="CD249" s="301">
        <f>IF(CD5='Project Returns'!$F$32,'Project Returns'!$G$44,0)</f>
        <v/>
      </c>
      <c r="CE249" s="301">
        <f>IF(CE5='Project Returns'!$F$32,'Project Returns'!$G$44,0)</f>
        <v/>
      </c>
      <c r="CF249" s="301">
        <f>IF(CF5='Project Returns'!$F$32,'Project Returns'!$G$44,0)</f>
        <v/>
      </c>
      <c r="CG249" s="301">
        <f>IF(CG5='Project Returns'!$F$32,'Project Returns'!$G$44,0)</f>
        <v/>
      </c>
      <c r="CH249" s="301">
        <f>IF(CH5='Project Returns'!$F$32,'Project Returns'!$G$44,0)</f>
        <v/>
      </c>
      <c r="CI249" s="301">
        <f>IF(CI5='Project Returns'!$F$32,'Project Returns'!$G$44,0)</f>
        <v/>
      </c>
      <c r="CJ249" s="301">
        <f>IF(CJ5='Project Returns'!$F$32,'Project Returns'!$G$44,0)</f>
        <v/>
      </c>
      <c r="CK249" s="301">
        <f>IF(CK5='Project Returns'!$F$32,'Project Returns'!$G$44,0)</f>
        <v/>
      </c>
      <c r="CL249" s="301">
        <f>IF(CL5='Project Returns'!$F$32,'Project Returns'!$G$44,0)</f>
        <v/>
      </c>
      <c r="CM249" s="301">
        <f>IF(CM5='Project Returns'!$F$32,'Project Returns'!$G$44,0)</f>
        <v/>
      </c>
      <c r="CN249" s="301">
        <f>IF(CN5='Project Returns'!$F$32,'Project Returns'!$G$44,0)</f>
        <v/>
      </c>
      <c r="CO249" s="301">
        <f>IF(CO5='Project Returns'!$F$32,'Project Returns'!$G$44,0)</f>
        <v/>
      </c>
      <c r="CP249" s="301">
        <f>IF(CP5='Project Returns'!$F$32,'Project Returns'!$G$44,0)</f>
        <v/>
      </c>
      <c r="CQ249" s="301">
        <f>IF(CQ5='Project Returns'!$F$32,'Project Returns'!$G$44,0)</f>
        <v/>
      </c>
      <c r="CR249" s="301">
        <f>IF(CR5='Project Returns'!$F$32,'Project Returns'!$G$44,0)</f>
        <v/>
      </c>
      <c r="CS249" s="301">
        <f>IF(CS5='Project Returns'!$F$32,'Project Returns'!$G$44,0)</f>
        <v/>
      </c>
      <c r="CT249" s="301">
        <f>IF(CT5='Project Returns'!$F$32,'Project Returns'!$G$44,0)</f>
        <v/>
      </c>
      <c r="CU249" s="301">
        <f>IF(CU5='Project Returns'!$F$32,'Project Returns'!$G$44,0)</f>
        <v/>
      </c>
      <c r="CV249" s="301">
        <f>IF(CV5='Project Returns'!$F$32,'Project Returns'!$G$44,0)</f>
        <v/>
      </c>
      <c r="CW249" s="301">
        <f>IF(CW5='Project Returns'!$F$32,'Project Returns'!$G$44,0)</f>
        <v/>
      </c>
      <c r="CX249" s="301">
        <f>IF(CX5='Project Returns'!$F$32,'Project Returns'!$G$44,0)</f>
        <v/>
      </c>
      <c r="CY249" s="301">
        <f>IF(CY5='Project Returns'!$F$32,'Project Returns'!$G$44,0)</f>
        <v/>
      </c>
      <c r="CZ249" s="301">
        <f>IF(CZ5='Project Returns'!$F$32,'Project Returns'!$G$44,0)</f>
        <v/>
      </c>
      <c r="DA249" s="301">
        <f>IF(DA5='Project Returns'!$F$32,'Project Returns'!$G$44,0)</f>
        <v/>
      </c>
      <c r="DB249" s="301">
        <f>IF(DB5='Project Returns'!$F$32,'Project Returns'!$G$44,0)</f>
        <v/>
      </c>
      <c r="DC249" s="301" t="n"/>
      <c r="DD249" s="299">
        <f>SUM(F249:DB249)</f>
        <v/>
      </c>
    </row>
    <row r="250" ht="14.1" customFormat="1" customHeight="1" s="345">
      <c r="A250" s="1129" t="inlineStr">
        <is>
          <t>Deal - Unlevered IRR/Cash Flow</t>
        </is>
      </c>
      <c r="B250" s="1129" t="n"/>
      <c r="C250" s="1130">
        <f>(1+IRR(F250:DB250,0.001))^12-1</f>
        <v/>
      </c>
      <c r="D250" s="343">
        <f>DD250</f>
        <v/>
      </c>
      <c r="E250" s="281" t="n"/>
      <c r="F250" s="344">
        <f>SUM(F247:F249)</f>
        <v/>
      </c>
      <c r="G250" s="344">
        <f>SUM(G247:G249)</f>
        <v/>
      </c>
      <c r="H250" s="344">
        <f>SUM(H247:H249)</f>
        <v/>
      </c>
      <c r="I250" s="344">
        <f>SUM(I247:I249)</f>
        <v/>
      </c>
      <c r="J250" s="344">
        <f>SUM(J247:J249)</f>
        <v/>
      </c>
      <c r="K250" s="344">
        <f>SUM(K247:K249)</f>
        <v/>
      </c>
      <c r="L250" s="344">
        <f>SUM(L247:L249)</f>
        <v/>
      </c>
      <c r="M250" s="344">
        <f>SUM(M247:M249)</f>
        <v/>
      </c>
      <c r="N250" s="344">
        <f>SUM(N247:N249)</f>
        <v/>
      </c>
      <c r="O250" s="344">
        <f>SUM(O247:O249)</f>
        <v/>
      </c>
      <c r="P250" s="344">
        <f>SUM(P247:P249)</f>
        <v/>
      </c>
      <c r="Q250" s="344">
        <f>SUM(Q247:Q249)</f>
        <v/>
      </c>
      <c r="R250" s="344">
        <f>SUM(R247:R249)</f>
        <v/>
      </c>
      <c r="S250" s="344">
        <f>SUM(S247:S249)</f>
        <v/>
      </c>
      <c r="T250" s="344">
        <f>SUM(T247:T249)</f>
        <v/>
      </c>
      <c r="U250" s="344">
        <f>SUM(U247:U249)</f>
        <v/>
      </c>
      <c r="V250" s="344">
        <f>SUM(V247:V249)</f>
        <v/>
      </c>
      <c r="W250" s="344">
        <f>SUM(W247:W249)</f>
        <v/>
      </c>
      <c r="X250" s="344">
        <f>SUM(X247:X249)</f>
        <v/>
      </c>
      <c r="Y250" s="344">
        <f>SUM(Y247:Y249)</f>
        <v/>
      </c>
      <c r="Z250" s="344">
        <f>SUM(Z247:Z249)</f>
        <v/>
      </c>
      <c r="AA250" s="344">
        <f>SUM(AA247:AA249)</f>
        <v/>
      </c>
      <c r="AB250" s="344">
        <f>SUM(AB247:AB249)</f>
        <v/>
      </c>
      <c r="AC250" s="344">
        <f>SUM(AC247:AC249)</f>
        <v/>
      </c>
      <c r="AD250" s="344">
        <f>SUM(AD247:AD249)</f>
        <v/>
      </c>
      <c r="AE250" s="344">
        <f>SUM(AE247:AE249)</f>
        <v/>
      </c>
      <c r="AF250" s="344">
        <f>SUM(AF247:AF249)</f>
        <v/>
      </c>
      <c r="AG250" s="344">
        <f>SUM(AG247:AG249)</f>
        <v/>
      </c>
      <c r="AH250" s="344">
        <f>SUM(AH247:AH249)</f>
        <v/>
      </c>
      <c r="AI250" s="344">
        <f>SUM(AI247:AI249)</f>
        <v/>
      </c>
      <c r="AJ250" s="344">
        <f>SUM(AJ247:AJ249)</f>
        <v/>
      </c>
      <c r="AK250" s="344">
        <f>SUM(AK247:AK249)</f>
        <v/>
      </c>
      <c r="AL250" s="344">
        <f>SUM(AL247:AL249)</f>
        <v/>
      </c>
      <c r="AM250" s="344">
        <f>SUM(AM247:AM249)</f>
        <v/>
      </c>
      <c r="AN250" s="344">
        <f>SUM(AN247:AN249)</f>
        <v/>
      </c>
      <c r="AO250" s="344">
        <f>SUM(AO247:AO249)</f>
        <v/>
      </c>
      <c r="AP250" s="344">
        <f>SUM(AP247:AP249)</f>
        <v/>
      </c>
      <c r="AQ250" s="344">
        <f>SUM(AQ247:AQ249)</f>
        <v/>
      </c>
      <c r="AR250" s="344">
        <f>SUM(AR247:AR249)</f>
        <v/>
      </c>
      <c r="AS250" s="344">
        <f>SUM(AS247:AS249)</f>
        <v/>
      </c>
      <c r="AT250" s="344">
        <f>SUM(AT247:AT249)</f>
        <v/>
      </c>
      <c r="AU250" s="344">
        <f>SUM(AU247:AU249)</f>
        <v/>
      </c>
      <c r="AV250" s="344">
        <f>SUM(AV247:AV249)</f>
        <v/>
      </c>
      <c r="AW250" s="344">
        <f>SUM(AW247:AW249)</f>
        <v/>
      </c>
      <c r="AX250" s="344">
        <f>SUM(AX247:AX249)</f>
        <v/>
      </c>
      <c r="AY250" s="344">
        <f>SUM(AY247:AY249)</f>
        <v/>
      </c>
      <c r="AZ250" s="344">
        <f>SUM(AZ247:AZ249)</f>
        <v/>
      </c>
      <c r="BA250" s="344">
        <f>SUM(BA247:BA249)</f>
        <v/>
      </c>
      <c r="BB250" s="344">
        <f>SUM(BB247:BB249)</f>
        <v/>
      </c>
      <c r="BC250" s="344">
        <f>SUM(BC247:BC249)</f>
        <v/>
      </c>
      <c r="BD250" s="344">
        <f>SUM(BD247:BD249)</f>
        <v/>
      </c>
      <c r="BE250" s="344">
        <f>SUM(BE247:BE249)</f>
        <v/>
      </c>
      <c r="BF250" s="344">
        <f>SUM(BF247:BF249)</f>
        <v/>
      </c>
      <c r="BG250" s="344">
        <f>SUM(BG247:BG249)</f>
        <v/>
      </c>
      <c r="BH250" s="344">
        <f>SUM(BH247:BH249)</f>
        <v/>
      </c>
      <c r="BI250" s="344">
        <f>SUM(BI247:BI249)</f>
        <v/>
      </c>
      <c r="BJ250" s="344">
        <f>SUM(BJ247:BJ249)</f>
        <v/>
      </c>
      <c r="BK250" s="344">
        <f>SUM(BK247:BK249)</f>
        <v/>
      </c>
      <c r="BL250" s="344">
        <f>SUM(BL247:BL249)</f>
        <v/>
      </c>
      <c r="BM250" s="344">
        <f>SUM(BM247:BM249)</f>
        <v/>
      </c>
      <c r="BN250" s="344">
        <f>SUM(BN247:BN249)</f>
        <v/>
      </c>
      <c r="BO250" s="344">
        <f>SUM(BO247:BO249)</f>
        <v/>
      </c>
      <c r="BP250" s="344">
        <f>SUM(BP247:BP249)</f>
        <v/>
      </c>
      <c r="BQ250" s="344">
        <f>SUM(BQ247:BQ249)</f>
        <v/>
      </c>
      <c r="BR250" s="344">
        <f>SUM(BR247:BR249)</f>
        <v/>
      </c>
      <c r="BS250" s="344">
        <f>SUM(BS247:BS249)</f>
        <v/>
      </c>
      <c r="BT250" s="344">
        <f>SUM(BT247:BT249)</f>
        <v/>
      </c>
      <c r="BU250" s="344">
        <f>SUM(BU247:BU249)</f>
        <v/>
      </c>
      <c r="BV250" s="344">
        <f>SUM(BV247:BV249)</f>
        <v/>
      </c>
      <c r="BW250" s="344">
        <f>SUM(BW247:BW249)</f>
        <v/>
      </c>
      <c r="BX250" s="344">
        <f>SUM(BX247:BX249)</f>
        <v/>
      </c>
      <c r="BY250" s="344">
        <f>SUM(BY247:BY249)</f>
        <v/>
      </c>
      <c r="BZ250" s="344">
        <f>SUM(BZ247:BZ249)</f>
        <v/>
      </c>
      <c r="CA250" s="344">
        <f>SUM(CA247:CA249)</f>
        <v/>
      </c>
      <c r="CB250" s="344">
        <f>SUM(CB247:CB249)</f>
        <v/>
      </c>
      <c r="CC250" s="344">
        <f>SUM(CC247:CC249)</f>
        <v/>
      </c>
      <c r="CD250" s="344">
        <f>SUM(CD247:CD249)</f>
        <v/>
      </c>
      <c r="CE250" s="344">
        <f>SUM(CE247:CE249)</f>
        <v/>
      </c>
      <c r="CF250" s="344">
        <f>SUM(CF247:CF249)</f>
        <v/>
      </c>
      <c r="CG250" s="344">
        <f>SUM(CG247:CG249)</f>
        <v/>
      </c>
      <c r="CH250" s="344">
        <f>SUM(CH247:CH249)</f>
        <v/>
      </c>
      <c r="CI250" s="344">
        <f>SUM(CI247:CI249)</f>
        <v/>
      </c>
      <c r="CJ250" s="344">
        <f>SUM(CJ247:CJ249)</f>
        <v/>
      </c>
      <c r="CK250" s="344">
        <f>SUM(CK247:CK249)</f>
        <v/>
      </c>
      <c r="CL250" s="344">
        <f>SUM(CL247:CL249)</f>
        <v/>
      </c>
      <c r="CM250" s="344">
        <f>SUM(CM247:CM249)</f>
        <v/>
      </c>
      <c r="CN250" s="344">
        <f>SUM(CN247:CN249)</f>
        <v/>
      </c>
      <c r="CO250" s="344">
        <f>SUM(CO247:CO249)</f>
        <v/>
      </c>
      <c r="CP250" s="344">
        <f>SUM(CP247:CP249)</f>
        <v/>
      </c>
      <c r="CQ250" s="344">
        <f>SUM(CQ247:CQ249)</f>
        <v/>
      </c>
      <c r="CR250" s="344">
        <f>SUM(CR247:CR249)</f>
        <v/>
      </c>
      <c r="CS250" s="344">
        <f>SUM(CS247:CS249)</f>
        <v/>
      </c>
      <c r="CT250" s="344">
        <f>SUM(CT247:CT249)</f>
        <v/>
      </c>
      <c r="CU250" s="344">
        <f>SUM(CU247:CU249)</f>
        <v/>
      </c>
      <c r="CV250" s="344">
        <f>SUM(CV247:CV249)</f>
        <v/>
      </c>
      <c r="CW250" s="344">
        <f>SUM(CW247:CW249)</f>
        <v/>
      </c>
      <c r="CX250" s="344">
        <f>SUM(CX247:CX249)</f>
        <v/>
      </c>
      <c r="CY250" s="344">
        <f>SUM(CY247:CY249)</f>
        <v/>
      </c>
      <c r="CZ250" s="344">
        <f>SUM(CZ247:CZ249)</f>
        <v/>
      </c>
      <c r="DA250" s="344">
        <f>SUM(DA247:DA249)</f>
        <v/>
      </c>
      <c r="DB250" s="344">
        <f>SUM(DB247:DB249)</f>
        <v/>
      </c>
      <c r="DC250" s="344" t="n"/>
      <c r="DD250" s="727">
        <f>SUM(F250:DB250)</f>
        <v/>
      </c>
    </row>
    <row r="251">
      <c r="A251" s="257" t="n"/>
      <c r="B251" s="257" t="n"/>
      <c r="C251" s="1134" t="n"/>
      <c r="D251" s="358" t="n"/>
      <c r="E251" s="271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  <c r="AP251" s="13" t="n"/>
      <c r="AQ251" s="13" t="n"/>
      <c r="AR251" s="13" t="n"/>
      <c r="AS251" s="13" t="n"/>
      <c r="AT251" s="13" t="n"/>
      <c r="AU251" s="13" t="n"/>
      <c r="AV251" s="13" t="n"/>
      <c r="AW251" s="13" t="n"/>
      <c r="AX251" s="13" t="n"/>
      <c r="AY251" s="13" t="n"/>
      <c r="AZ251" s="13" t="n"/>
      <c r="BA251" s="13" t="n"/>
      <c r="BB251" s="13" t="n"/>
      <c r="BC251" s="13" t="n"/>
      <c r="BD251" s="13" t="n"/>
      <c r="BE251" s="13" t="n"/>
      <c r="BF251" s="13" t="n"/>
      <c r="BG251" s="13" t="n"/>
      <c r="BH251" s="13" t="n"/>
      <c r="BI251" s="13" t="n"/>
      <c r="BJ251" s="13" t="n"/>
      <c r="BK251" s="13" t="n"/>
      <c r="BL251" s="13" t="n"/>
      <c r="BM251" s="13" t="n"/>
      <c r="BN251" s="13" t="n"/>
      <c r="BO251" s="13" t="n"/>
      <c r="BP251" s="13" t="n"/>
      <c r="BQ251" s="13" t="n"/>
      <c r="BR251" s="13" t="n"/>
      <c r="BS251" s="13" t="n"/>
      <c r="BT251" s="13" t="n"/>
      <c r="BU251" s="13" t="n"/>
      <c r="BV251" s="13" t="n"/>
      <c r="BW251" s="13" t="n"/>
      <c r="BX251" s="13" t="n"/>
      <c r="BY251" s="13" t="n"/>
      <c r="BZ251" s="13" t="n"/>
      <c r="CA251" s="13" t="n"/>
      <c r="CB251" s="13" t="n"/>
      <c r="CC251" s="13" t="n"/>
      <c r="CD251" s="13" t="n"/>
      <c r="CE251" s="13" t="n"/>
      <c r="CF251" s="13" t="n"/>
      <c r="CG251" s="13" t="n"/>
      <c r="CH251" s="13" t="n"/>
      <c r="CI251" s="13" t="n"/>
      <c r="CJ251" s="13" t="n"/>
      <c r="CK251" s="13" t="n"/>
      <c r="CL251" s="13" t="n"/>
      <c r="CM251" s="13" t="n"/>
      <c r="CN251" s="13" t="n"/>
      <c r="CO251" s="13" t="n"/>
      <c r="CP251" s="13" t="n"/>
      <c r="CQ251" s="13" t="n"/>
      <c r="CR251" s="13" t="n"/>
      <c r="CS251" s="13" t="n"/>
      <c r="CT251" s="13" t="n"/>
      <c r="CU251" s="13" t="n"/>
      <c r="CV251" s="13" t="n"/>
      <c r="CW251" s="13" t="n"/>
      <c r="CX251" s="13" t="n"/>
      <c r="CY251" s="13" t="n"/>
      <c r="CZ251" s="13" t="n"/>
      <c r="DA251" s="13" t="n"/>
      <c r="DB251" s="13" t="n"/>
      <c r="DC251" s="13" t="n"/>
      <c r="DD251" s="13" t="n"/>
    </row>
    <row r="252">
      <c r="A252" s="9" t="inlineStr">
        <is>
          <t>Debt Cash Flow</t>
        </is>
      </c>
      <c r="B252" s="9" t="n"/>
      <c r="C252" s="1134" t="n"/>
      <c r="D252" s="338">
        <f>DD252</f>
        <v/>
      </c>
      <c r="E252" s="359" t="n"/>
      <c r="F252" s="291">
        <f>IF(F5&lt;='Project Returns'!$F$32,-F213+E213-F17-F109-F110-F125,0)+IF(F5='Project Returns'!$F$32,SUM('Project Returns'!$G$51:$G$51)-SUM('Project Returns'!$E$101:$E$102)-SUM('Project Returns'!$E$111:$E$112)-SUM('Project Returns'!$E$121:$E$122),0)</f>
        <v/>
      </c>
      <c r="G252" s="291">
        <f>IF(G5&lt;='Project Returns'!$F$32,-G213+F213-G17-G109-G110-G125,0)+IF(G5='Project Returns'!$F$32,SUM('Project Returns'!$G$51:$G$51)-SUM('Project Returns'!$E$101:$E$102)-SUM('Project Returns'!$E$111:$E$112)-SUM('Project Returns'!$E$121:$E$122),0)</f>
        <v/>
      </c>
      <c r="H252" s="291">
        <f>IF(H5&lt;='Project Returns'!$F$32,-H213+G213-H17-H109-H110-H125,0)+IF(H5='Project Returns'!$F$32,SUM('Project Returns'!$G$51:$G$51)-SUM('Project Returns'!$E$101:$E$102)-SUM('Project Returns'!$E$111:$E$112)-SUM('Project Returns'!$E$121:$E$122),0)</f>
        <v/>
      </c>
      <c r="I252" s="291">
        <f>IF(I5&lt;='Project Returns'!$F$32,-I213+H213-I17-I109-I110-I125,0)+IF(I5='Project Returns'!$F$32,SUM('Project Returns'!$G$51:$G$51)-SUM('Project Returns'!$E$101:$E$102)-SUM('Project Returns'!$E$111:$E$112)-SUM('Project Returns'!$E$121:$E$122),0)</f>
        <v/>
      </c>
      <c r="J252" s="291">
        <f>IF(J5&lt;='Project Returns'!$F$32,-J213+I213-J17-J109-J110-J125,0)+IF(J5='Project Returns'!$F$32,SUM('Project Returns'!$G$51:$G$51)-SUM('Project Returns'!$E$101:$E$102)-SUM('Project Returns'!$E$111:$E$112)-SUM('Project Returns'!$E$121:$E$122),0)</f>
        <v/>
      </c>
      <c r="K252" s="291">
        <f>IF(K5&lt;='Project Returns'!$F$32,-K213+J213-K17-K109-K110-K125,0)+IF(K5='Project Returns'!$F$32,SUM('Project Returns'!$G$51:$G$51)-SUM('Project Returns'!$E$101:$E$102)-SUM('Project Returns'!$E$111:$E$112)-SUM('Project Returns'!$E$121:$E$122),0)</f>
        <v/>
      </c>
      <c r="L252" s="291">
        <f>IF(L5&lt;='Project Returns'!$F$32,-L213+K213-L17-L109-L110-L125,0)+IF(L5='Project Returns'!$F$32,SUM('Project Returns'!$G$51:$G$51)-SUM('Project Returns'!$E$101:$E$102)-SUM('Project Returns'!$E$111:$E$112)-SUM('Project Returns'!$E$121:$E$122),0)</f>
        <v/>
      </c>
      <c r="M252" s="291">
        <f>IF(M5&lt;='Project Returns'!$F$32,-M213+L213-M17-M109-M110-M125,0)+IF(M5='Project Returns'!$F$32,SUM('Project Returns'!$G$51:$G$51)-SUM('Project Returns'!$E$101:$E$102)-SUM('Project Returns'!$E$111:$E$112)-SUM('Project Returns'!$E$121:$E$122),0)</f>
        <v/>
      </c>
      <c r="N252" s="291">
        <f>IF(N5&lt;='Project Returns'!$F$32,-N213+M213-N17-N109-N110-N125,0)+IF(N5='Project Returns'!$F$32,SUM('Project Returns'!$G$51:$G$51)-SUM('Project Returns'!$E$101:$E$102)-SUM('Project Returns'!$E$111:$E$112)-SUM('Project Returns'!$E$121:$E$122),0)</f>
        <v/>
      </c>
      <c r="O252" s="291">
        <f>IF(O5&lt;='Project Returns'!$F$32,-O213+N213-O17-O109-O110-O125,0)+IF(O5='Project Returns'!$F$32,SUM('Project Returns'!$G$51:$G$51)-SUM('Project Returns'!$E$101:$E$102)-SUM('Project Returns'!$E$111:$E$112)-SUM('Project Returns'!$E$121:$E$122),0)</f>
        <v/>
      </c>
      <c r="P252" s="291">
        <f>IF(P5&lt;='Project Returns'!$F$32,-P213+O213-P17-P109-P110-P125,0)+IF(P5='Project Returns'!$F$32,SUM('Project Returns'!$G$51:$G$51)-SUM('Project Returns'!$E$101:$E$102)-SUM('Project Returns'!$E$111:$E$112)-SUM('Project Returns'!$E$121:$E$122),0)</f>
        <v/>
      </c>
      <c r="Q252" s="291">
        <f>IF(Q5&lt;='Project Returns'!$F$32,-Q213+P213-Q17-Q109-Q110-Q125,0)+IF(Q5='Project Returns'!$F$32,SUM('Project Returns'!$G$51:$G$51)-SUM('Project Returns'!$E$101:$E$102)-SUM('Project Returns'!$E$111:$E$112)-SUM('Project Returns'!$E$121:$E$122),0)</f>
        <v/>
      </c>
      <c r="R252" s="291">
        <f>IF(R5&lt;='Project Returns'!$F$32,-R213+Q213-R17-R109-R110-R125,0)+IF(R5='Project Returns'!$F$32,SUM('Project Returns'!$G$51:$G$51)-SUM('Project Returns'!$E$101:$E$102)-SUM('Project Returns'!$E$111:$E$112)-SUM('Project Returns'!$E$121:$E$122),0)</f>
        <v/>
      </c>
      <c r="S252" s="291">
        <f>IF(S5&lt;='Project Returns'!$F$32,-S213+R213-S17-S109-S110-S125,0)+IF(S5='Project Returns'!$F$32,SUM('Project Returns'!$G$51:$G$51)-SUM('Project Returns'!$E$101:$E$102)-SUM('Project Returns'!$E$111:$E$112)-SUM('Project Returns'!$E$121:$E$122),0)</f>
        <v/>
      </c>
      <c r="T252" s="291">
        <f>IF(T5&lt;='Project Returns'!$F$32,-T213+S213-T17-T109-T110-T125,0)+IF(T5='Project Returns'!$F$32,SUM('Project Returns'!$G$51:$G$51)-SUM('Project Returns'!$E$101:$E$102)-SUM('Project Returns'!$E$111:$E$112)-SUM('Project Returns'!$E$121:$E$122),0)</f>
        <v/>
      </c>
      <c r="U252" s="291">
        <f>IF(U5&lt;='Project Returns'!$F$32,-U213+T213-U17-U109-U110-U125,0)+IF(U5='Project Returns'!$F$32,SUM('Project Returns'!$G$51:$G$51)-SUM('Project Returns'!$E$101:$E$102)-SUM('Project Returns'!$E$111:$E$112)-SUM('Project Returns'!$E$121:$E$122),0)</f>
        <v/>
      </c>
      <c r="V252" s="291">
        <f>IF(V5&lt;='Project Returns'!$F$32,-V213+U213-V17-V109-V110-V125,0)+IF(V5='Project Returns'!$F$32,SUM('Project Returns'!$G$51:$G$51)-SUM('Project Returns'!$E$101:$E$102)-SUM('Project Returns'!$E$111:$E$112)-SUM('Project Returns'!$E$121:$E$122),0)</f>
        <v/>
      </c>
      <c r="W252" s="291">
        <f>IF(W5&lt;='Project Returns'!$F$32,-W213+V213-W17-W109-W110-W125,0)+IF(W5='Project Returns'!$F$32,SUM('Project Returns'!$G$51:$G$51)-SUM('Project Returns'!$E$101:$E$102)-SUM('Project Returns'!$E$111:$E$112)-SUM('Project Returns'!$E$121:$E$122),0)</f>
        <v/>
      </c>
      <c r="X252" s="291">
        <f>IF(X5&lt;='Project Returns'!$F$32,-X213+W213-X17-X109-X110-X125,0)+IF(X5='Project Returns'!$F$32,SUM('Project Returns'!$G$51:$G$51)-SUM('Project Returns'!$E$101:$E$102)-SUM('Project Returns'!$E$111:$E$112)-SUM('Project Returns'!$E$121:$E$122),0)</f>
        <v/>
      </c>
      <c r="Y252" s="291">
        <f>IF(Y5&lt;='Project Returns'!$F$32,-Y213+X213-Y17-Y109-Y110-Y125,0)+IF(Y5='Project Returns'!$F$32,SUM('Project Returns'!$G$51:$G$51)-SUM('Project Returns'!$E$101:$E$102)-SUM('Project Returns'!$E$111:$E$112)-SUM('Project Returns'!$E$121:$E$122),0)</f>
        <v/>
      </c>
      <c r="Z252" s="291">
        <f>IF(Z5&lt;='Project Returns'!$F$32,-Z213+Y213-Z17-Z109-Z110-Z125,0)+IF(Z5='Project Returns'!$F$32,SUM('Project Returns'!$G$51:$G$51)-SUM('Project Returns'!$E$101:$E$102)-SUM('Project Returns'!$E$111:$E$112)-SUM('Project Returns'!$E$121:$E$122),0)</f>
        <v/>
      </c>
      <c r="AA252" s="291">
        <f>IF(AA5&lt;='Project Returns'!$F$32,-AA213+Z213-AA17-AA109-AA110-AA125,0)+IF(AA5='Project Returns'!$F$32,SUM('Project Returns'!$G$51:$G$51)-SUM('Project Returns'!$E$101:$E$102)-SUM('Project Returns'!$E$111:$E$112)-SUM('Project Returns'!$E$121:$E$122),0)</f>
        <v/>
      </c>
      <c r="AB252" s="291">
        <f>IF(AB5&lt;='Project Returns'!$F$32,-AB213+AA213-AB17-AB109-AB110-AB125,0)+IF(AB5='Project Returns'!$F$32,SUM('Project Returns'!$G$51:$G$51)-SUM('Project Returns'!$E$101:$E$102)-SUM('Project Returns'!$E$111:$E$112)-SUM('Project Returns'!$E$121:$E$122),0)</f>
        <v/>
      </c>
      <c r="AC252" s="291">
        <f>IF(AC5&lt;='Project Returns'!$F$32,-AC213+AB213-AC17-AC109-AC110-AC125,0)+IF(AC5='Project Returns'!$F$32,SUM('Project Returns'!$G$51:$G$51)-SUM('Project Returns'!$E$101:$E$102)-SUM('Project Returns'!$E$111:$E$112)-SUM('Project Returns'!$E$121:$E$122),0)</f>
        <v/>
      </c>
      <c r="AD252" s="291">
        <f>IF(AD5&lt;='Project Returns'!$F$32,-AD213+AC213-AD17-AD109-AD110-AD125,0)+IF(AD5='Project Returns'!$F$32,SUM('Project Returns'!$G$51:$G$51)-SUM('Project Returns'!$E$101:$E$102)-SUM('Project Returns'!$E$111:$E$112)-SUM('Project Returns'!$E$121:$E$122),0)</f>
        <v/>
      </c>
      <c r="AE252" s="291">
        <f>IF(AE5&lt;='Project Returns'!$F$32,-AE213+AD213-AE17-AE109-AE110-AE125,0)+IF(AE5='Project Returns'!$F$32,SUM('Project Returns'!$G$51:$G$51)-SUM('Project Returns'!$E$101:$E$102)-SUM('Project Returns'!$E$111:$E$112)-SUM('Project Returns'!$E$121:$E$122),0)</f>
        <v/>
      </c>
      <c r="AF252" s="291">
        <f>IF(AF5&lt;='Project Returns'!$F$32,-AF213+AE213-AF17-AF109-AF110-AF125,0)+IF(AF5='Project Returns'!$F$32,SUM('Project Returns'!$G$51:$G$51)-SUM('Project Returns'!$E$101:$E$102)-SUM('Project Returns'!$E$111:$E$112)-SUM('Project Returns'!$E$121:$E$122),0)</f>
        <v/>
      </c>
      <c r="AG252" s="291">
        <f>IF(AG5&lt;='Project Returns'!$F$32,-AG213+AF213-AG17-AG109-AG110-AG125,0)+IF(AG5='Project Returns'!$F$32,SUM('Project Returns'!$G$51:$G$51)-SUM('Project Returns'!$E$101:$E$102)-SUM('Project Returns'!$E$111:$E$112)-SUM('Project Returns'!$E$121:$E$122),0)</f>
        <v/>
      </c>
      <c r="AH252" s="291">
        <f>IF(AH5&lt;='Project Returns'!$F$32,-AH213+AG213-AH17-AH109-AH110-AH125,0)+IF(AH5='Project Returns'!$F$32,SUM('Project Returns'!$G$51:$G$51)-SUM('Project Returns'!$E$101:$E$102)-SUM('Project Returns'!$E$111:$E$112)-SUM('Project Returns'!$E$121:$E$122),0)</f>
        <v/>
      </c>
      <c r="AI252" s="291">
        <f>IF(AI5&lt;='Project Returns'!$F$32,-AI213+AH213-AI17-AI109-AI110-AI125,0)+IF(AI5='Project Returns'!$F$32,SUM('Project Returns'!$G$51:$G$51)-SUM('Project Returns'!$E$101:$E$102)-SUM('Project Returns'!$E$111:$E$112)-SUM('Project Returns'!$E$121:$E$122),0)</f>
        <v/>
      </c>
      <c r="AJ252" s="291">
        <f>IF(AJ5&lt;='Project Returns'!$F$32,-AJ213+AI213-AJ17-AJ109-AJ110-AJ125,0)+IF(AJ5='Project Returns'!$F$32,SUM('Project Returns'!$G$51:$G$51)-SUM('Project Returns'!$E$101:$E$102)-SUM('Project Returns'!$E$111:$E$112)-SUM('Project Returns'!$E$121:$E$122),0)</f>
        <v/>
      </c>
      <c r="AK252" s="291">
        <f>IF(AK5&lt;='Project Returns'!$F$32,-AK213+AJ213-AK17-AK109-AK110-AK125,0)+IF(AK5='Project Returns'!$F$32,SUM('Project Returns'!$G$51:$G$51)-SUM('Project Returns'!$E$101:$E$102)-SUM('Project Returns'!$E$111:$E$112)-SUM('Project Returns'!$E$121:$E$122),0)</f>
        <v/>
      </c>
      <c r="AL252" s="291">
        <f>IF(AL5&lt;='Project Returns'!$F$32,-AL213+AK213-AL17-AL109-AL110-AL125,0)+IF(AL5='Project Returns'!$F$32,SUM('Project Returns'!$G$51:$G$51)-SUM('Project Returns'!$E$101:$E$102)-SUM('Project Returns'!$E$111:$E$112)-SUM('Project Returns'!$E$121:$E$122),0)</f>
        <v/>
      </c>
      <c r="AM252" s="291">
        <f>IF(AM5&lt;='Project Returns'!$F$32,-AM213+AL213-AM17-AM109-AM110-AM125,0)+IF(AM5='Project Returns'!$F$32,SUM('Project Returns'!$G$51:$G$51)-SUM('Project Returns'!$E$101:$E$102)-SUM('Project Returns'!$E$111:$E$112)-SUM('Project Returns'!$E$121:$E$122),0)</f>
        <v/>
      </c>
      <c r="AN252" s="291">
        <f>IF(AN5&lt;='Project Returns'!$F$32,-AN213+AM213-AN17-AN109-AN110-AN125,0)+IF(AN5='Project Returns'!$F$32,SUM('Project Returns'!$G$51:$G$51)-SUM('Project Returns'!$E$101:$E$102)-SUM('Project Returns'!$E$111:$E$112)-SUM('Project Returns'!$E$121:$E$122),0)</f>
        <v/>
      </c>
      <c r="AO252" s="291">
        <f>IF(AO5&lt;='Project Returns'!$F$32,-AO213+AN213-AO17-AO109-AO110-AO125,0)+IF(AO5='Project Returns'!$F$32,SUM('Project Returns'!$G$51:$G$51)-SUM('Project Returns'!$E$101:$E$102)-SUM('Project Returns'!$E$111:$E$112)-SUM('Project Returns'!$E$121:$E$122),0)</f>
        <v/>
      </c>
      <c r="AP252" s="291">
        <f>IF(AP5&lt;='Project Returns'!$F$32,-AP213+AO213-AP17-AP109-AP110-AP125,0)+IF(AP5='Project Returns'!$F$32,SUM('Project Returns'!$G$51:$G$51)-SUM('Project Returns'!$E$101:$E$102)-SUM('Project Returns'!$E$111:$E$112)-SUM('Project Returns'!$E$121:$E$122),0)</f>
        <v/>
      </c>
      <c r="AQ252" s="291">
        <f>IF(AQ5&lt;='Project Returns'!$F$32,-AQ213+AP213-AQ17-AQ109-AQ110-AQ125,0)+IF(AQ5='Project Returns'!$F$32,SUM('Project Returns'!$G$51:$G$51)-SUM('Project Returns'!$E$101:$E$102)-SUM('Project Returns'!$E$111:$E$112)-SUM('Project Returns'!$E$121:$E$122),0)</f>
        <v/>
      </c>
      <c r="AR252" s="291">
        <f>IF(AR5&lt;='Project Returns'!$F$32,-AR213+AQ213-AR17-AR109-AR110-AR125,0)+IF(AR5='Project Returns'!$F$32,SUM('Project Returns'!$G$51:$G$51)-SUM('Project Returns'!$E$101:$E$102)-SUM('Project Returns'!$E$111:$E$112)-SUM('Project Returns'!$E$121:$E$122),0)</f>
        <v/>
      </c>
      <c r="AS252" s="291">
        <f>IF(AS5&lt;='Project Returns'!$F$32,-AS213+AR213-AS17-AS109-AS110-AS125,0)+IF(AS5='Project Returns'!$F$32,SUM('Project Returns'!$G$51:$G$51)-SUM('Project Returns'!$E$101:$E$102)-SUM('Project Returns'!$E$111:$E$112)-SUM('Project Returns'!$E$121:$E$122),0)</f>
        <v/>
      </c>
      <c r="AT252" s="291">
        <f>IF(AT5&lt;='Project Returns'!$F$32,-AT213+AS213-AT17-AT109-AT110-AT125,0)+IF(AT5='Project Returns'!$F$32,SUM('Project Returns'!$G$51:$G$51)-SUM('Project Returns'!$E$101:$E$102)-SUM('Project Returns'!$E$111:$E$112)-SUM('Project Returns'!$E$121:$E$122),0)</f>
        <v/>
      </c>
      <c r="AU252" s="291">
        <f>IF(AU5&lt;='Project Returns'!$F$32,-AU213+AT213-AU17-AU109-AU110-AU125,0)+IF(AU5='Project Returns'!$F$32,SUM('Project Returns'!$G$51:$G$51)-SUM('Project Returns'!$E$101:$E$102)-SUM('Project Returns'!$E$111:$E$112)-SUM('Project Returns'!$E$121:$E$122),0)</f>
        <v/>
      </c>
      <c r="AV252" s="291">
        <f>IF(AV5&lt;='Project Returns'!$F$32,-AV213+AU213-AV17-AV109-AV110-AV125,0)+IF(AV5='Project Returns'!$F$32,SUM('Project Returns'!$G$51:$G$51)-SUM('Project Returns'!$E$101:$E$102)-SUM('Project Returns'!$E$111:$E$112)-SUM('Project Returns'!$E$121:$E$122),0)</f>
        <v/>
      </c>
      <c r="AW252" s="291">
        <f>IF(AW5&lt;='Project Returns'!$F$32,-AW213+AV213-AW17-AW109-AW110-AW125,0)+IF(AW5='Project Returns'!$F$32,SUM('Project Returns'!$G$51:$G$51)-SUM('Project Returns'!$E$101:$E$102)-SUM('Project Returns'!$E$111:$E$112)-SUM('Project Returns'!$E$121:$E$122),0)</f>
        <v/>
      </c>
      <c r="AX252" s="291">
        <f>IF(AX5&lt;='Project Returns'!$F$32,-AX213+AW213-AX17-AX109-AX110-AX125,0)+IF(AX5='Project Returns'!$F$32,SUM('Project Returns'!$G$51:$G$51)-SUM('Project Returns'!$E$101:$E$102)-SUM('Project Returns'!$E$111:$E$112)-SUM('Project Returns'!$E$121:$E$122),0)</f>
        <v/>
      </c>
      <c r="AY252" s="291">
        <f>IF(AY5&lt;='Project Returns'!$F$32,-AY213+AX213-AY17-AY109-AY110-AY125,0)+IF(AY5='Project Returns'!$F$32,SUM('Project Returns'!$G$51:$G$51)-SUM('Project Returns'!$E$101:$E$102)-SUM('Project Returns'!$E$111:$E$112)-SUM('Project Returns'!$E$121:$E$122),0)</f>
        <v/>
      </c>
      <c r="AZ252" s="291">
        <f>IF(AZ5&lt;='Project Returns'!$F$32,-AZ213+AY213-AZ17-AZ109-AZ110-AZ125,0)+IF(AZ5='Project Returns'!$F$32,SUM('Project Returns'!$G$51:$G$51)-SUM('Project Returns'!$E$101:$E$102)-SUM('Project Returns'!$E$111:$E$112)-SUM('Project Returns'!$E$121:$E$122),0)</f>
        <v/>
      </c>
      <c r="BA252" s="291">
        <f>IF(BA5&lt;='Project Returns'!$F$32,-BA213+AZ213-BA17-BA109-BA110-BA125,0)+IF(BA5='Project Returns'!$F$32,SUM('Project Returns'!$G$51:$G$51)-SUM('Project Returns'!$E$101:$E$102)-SUM('Project Returns'!$E$111:$E$112)-SUM('Project Returns'!$E$121:$E$122),0)</f>
        <v/>
      </c>
      <c r="BB252" s="291">
        <f>IF(BB5&lt;='Project Returns'!$F$32,-BB213+BA213-BB17-BB109-BB110-BB125,0)+IF(BB5='Project Returns'!$F$32,SUM('Project Returns'!$G$51:$G$51)-SUM('Project Returns'!$E$101:$E$102)-SUM('Project Returns'!$E$111:$E$112)-SUM('Project Returns'!$E$121:$E$122),0)</f>
        <v/>
      </c>
      <c r="BC252" s="291">
        <f>IF(BC5&lt;='Project Returns'!$F$32,-BC213+BB213-BC17-BC109-BC110-BC125,0)+IF(BC5='Project Returns'!$F$32,SUM('Project Returns'!$G$51:$G$51)-SUM('Project Returns'!$E$101:$E$102)-SUM('Project Returns'!$E$111:$E$112)-SUM('Project Returns'!$E$121:$E$122),0)</f>
        <v/>
      </c>
      <c r="BD252" s="291">
        <f>IF(BD5&lt;='Project Returns'!$F$32,-BD213+BC213-BD17-BD109-BD110-BD125,0)+IF(BD5='Project Returns'!$F$32,SUM('Project Returns'!$G$51:$G$51)-SUM('Project Returns'!$E$101:$E$102)-SUM('Project Returns'!$E$111:$E$112)-SUM('Project Returns'!$E$121:$E$122),0)</f>
        <v/>
      </c>
      <c r="BE252" s="291">
        <f>IF(BE5&lt;='Project Returns'!$F$32,-BE213+BD213-BE17-BE109-BE110-BE125,0)+IF(BE5='Project Returns'!$F$32,SUM('Project Returns'!$G$51:$G$51)-SUM('Project Returns'!$E$101:$E$102)-SUM('Project Returns'!$E$111:$E$112)-SUM('Project Returns'!$E$121:$E$122),0)</f>
        <v/>
      </c>
      <c r="BF252" s="291">
        <f>IF(BF5&lt;='Project Returns'!$F$32,-BF213+BE213-BF17-BF109-BF110-BF125,0)+IF(BF5='Project Returns'!$F$32,SUM('Project Returns'!$G$51:$G$51)-SUM('Project Returns'!$E$101:$E$102)-SUM('Project Returns'!$E$111:$E$112)-SUM('Project Returns'!$E$121:$E$122),0)</f>
        <v/>
      </c>
      <c r="BG252" s="291">
        <f>IF(BG5&lt;='Project Returns'!$F$32,-BG213+BF213-BG17-BG109-BG110-BG125,0)+IF(BG5='Project Returns'!$F$32,SUM('Project Returns'!$G$51:$G$51)-SUM('Project Returns'!$E$101:$E$102)-SUM('Project Returns'!$E$111:$E$112)-SUM('Project Returns'!$E$121:$E$122),0)</f>
        <v/>
      </c>
      <c r="BH252" s="291">
        <f>IF(BH5&lt;='Project Returns'!$F$32,-BH213+BG213-BH17-BH109-BH110-BH125,0)+IF(BH5='Project Returns'!$F$32,SUM('Project Returns'!$G$51:$G$51)-SUM('Project Returns'!$E$101:$E$102)-SUM('Project Returns'!$E$111:$E$112)-SUM('Project Returns'!$E$121:$E$122),0)</f>
        <v/>
      </c>
      <c r="BI252" s="291">
        <f>IF(BI5&lt;='Project Returns'!$F$32,-BI213+BH213-BI17-BI109-BI110-BI125,0)+IF(BI5='Project Returns'!$F$32,SUM('Project Returns'!$G$51:$G$51)-SUM('Project Returns'!$E$101:$E$102)-SUM('Project Returns'!$E$111:$E$112)-SUM('Project Returns'!$E$121:$E$122),0)</f>
        <v/>
      </c>
      <c r="BJ252" s="291">
        <f>IF(BJ5&lt;='Project Returns'!$F$32,-BJ213+BI213-BJ17-BJ109-BJ110-BJ125,0)+IF(BJ5='Project Returns'!$F$32,SUM('Project Returns'!$G$51:$G$51)-SUM('Project Returns'!$E$101:$E$102)-SUM('Project Returns'!$E$111:$E$112)-SUM('Project Returns'!$E$121:$E$122),0)</f>
        <v/>
      </c>
      <c r="BK252" s="291">
        <f>IF(BK5&lt;='Project Returns'!$F$32,-BK213+BJ213-BK17-BK109-BK110-BK125,0)+IF(BK5='Project Returns'!$F$32,SUM('Project Returns'!$G$51:$G$51)-SUM('Project Returns'!$E$101:$E$102)-SUM('Project Returns'!$E$111:$E$112)-SUM('Project Returns'!$E$121:$E$122),0)</f>
        <v/>
      </c>
      <c r="BL252" s="291">
        <f>IF(BL5&lt;='Project Returns'!$F$32,-BL213+BK213-BL17-BL109-BL110-BL125,0)+IF(BL5='Project Returns'!$F$32,SUM('Project Returns'!$G$51:$G$51)-SUM('Project Returns'!$E$101:$E$102)-SUM('Project Returns'!$E$111:$E$112)-SUM('Project Returns'!$E$121:$E$122),0)</f>
        <v/>
      </c>
      <c r="BM252" s="291">
        <f>IF(BM5&lt;='Project Returns'!$F$32,-BM213+BL213-BM17-BM109-BM110-BM125,0)+IF(BM5='Project Returns'!$F$32,SUM('Project Returns'!$G$51:$G$51)-SUM('Project Returns'!$E$101:$E$102)-SUM('Project Returns'!$E$111:$E$112)-SUM('Project Returns'!$E$121:$E$122),0)</f>
        <v/>
      </c>
      <c r="BN252" s="291">
        <f>IF(BN5&lt;='Project Returns'!$F$32,-BN213+BM213-BN17-BN109-BN110-BN125,0)+IF(BN5='Project Returns'!$F$32,SUM('Project Returns'!$G$51:$G$51)-SUM('Project Returns'!$E$101:$E$102)-SUM('Project Returns'!$E$111:$E$112)-SUM('Project Returns'!$E$121:$E$122),0)</f>
        <v/>
      </c>
      <c r="BO252" s="291">
        <f>IF(BO5&lt;='Project Returns'!$F$32,-BO213+BN213-BO17-BO109-BO110-BO125,0)+IF(BO5='Project Returns'!$F$32,SUM('Project Returns'!$G$51:$G$51)-SUM('Project Returns'!$E$101:$E$102)-SUM('Project Returns'!$E$111:$E$112)-SUM('Project Returns'!$E$121:$E$122),0)</f>
        <v/>
      </c>
      <c r="BP252" s="291">
        <f>IF(BP5&lt;='Project Returns'!$F$32,-BP213+BO213-BP17-BP109-BP110-BP125,0)+IF(BP5='Project Returns'!$F$32,SUM('Project Returns'!$G$51:$G$51)-SUM('Project Returns'!$E$101:$E$102)-SUM('Project Returns'!$E$111:$E$112)-SUM('Project Returns'!$E$121:$E$122),0)</f>
        <v/>
      </c>
      <c r="BQ252" s="291">
        <f>IF(BQ5&lt;='Project Returns'!$F$32,-BQ213+BP213-BQ17-BQ109-BQ110-BQ125,0)+IF(BQ5='Project Returns'!$F$32,SUM('Project Returns'!$G$51:$G$51)-SUM('Project Returns'!$E$101:$E$102)-SUM('Project Returns'!$E$111:$E$112)-SUM('Project Returns'!$E$121:$E$122),0)</f>
        <v/>
      </c>
      <c r="BR252" s="291">
        <f>IF(BR5&lt;='Project Returns'!$F$32,-BR213+BQ213-BR17-BR109-BR110-BR125,0)+IF(BR5='Project Returns'!$F$32,SUM('Project Returns'!$G$51:$G$51)-SUM('Project Returns'!$E$101:$E$102)-SUM('Project Returns'!$E$111:$E$112)-SUM('Project Returns'!$E$121:$E$122),0)</f>
        <v/>
      </c>
      <c r="BS252" s="291">
        <f>IF(BS5&lt;='Project Returns'!$F$32,-BS213+BR213-BS17-BS109-BS110-BS125,0)+IF(BS5='Project Returns'!$F$32,SUM('Project Returns'!$G$51:$G$51)-SUM('Project Returns'!$E$101:$E$102)-SUM('Project Returns'!$E$111:$E$112)-SUM('Project Returns'!$E$121:$E$122),0)</f>
        <v/>
      </c>
      <c r="BT252" s="291">
        <f>IF(BT5&lt;='Project Returns'!$F$32,-BT213+BS213-BT17-BT109-BT110-BT125,0)+IF(BT5='Project Returns'!$F$32,SUM('Project Returns'!$G$51:$G$51)-SUM('Project Returns'!$E$101:$E$102)-SUM('Project Returns'!$E$111:$E$112)-SUM('Project Returns'!$E$121:$E$122),0)</f>
        <v/>
      </c>
      <c r="BU252" s="291">
        <f>IF(BU5&lt;='Project Returns'!$F$32,-BU213+BT213-BU17-BU109-BU110-BU125,0)+IF(BU5='Project Returns'!$F$32,SUM('Project Returns'!$G$51:$G$51)-SUM('Project Returns'!$E$101:$E$102)-SUM('Project Returns'!$E$111:$E$112)-SUM('Project Returns'!$E$121:$E$122),0)</f>
        <v/>
      </c>
      <c r="BV252" s="291">
        <f>IF(BV5&lt;='Project Returns'!$F$32,-BV213+BU213-BV17-BV109-BV110-BV125,0)+IF(BV5='Project Returns'!$F$32,SUM('Project Returns'!$G$51:$G$51)-SUM('Project Returns'!$E$101:$E$102)-SUM('Project Returns'!$E$111:$E$112)-SUM('Project Returns'!$E$121:$E$122),0)</f>
        <v/>
      </c>
      <c r="BW252" s="291">
        <f>IF(BW5&lt;='Project Returns'!$F$32,-BW213+BV213-BW17-BW109-BW110-BW125,0)+IF(BW5='Project Returns'!$F$32,SUM('Project Returns'!$G$51:$G$51)-SUM('Project Returns'!$E$101:$E$102)-SUM('Project Returns'!$E$111:$E$112)-SUM('Project Returns'!$E$121:$E$122),0)</f>
        <v/>
      </c>
      <c r="BX252" s="291">
        <f>IF(BX5&lt;='Project Returns'!$F$32,-BX213+BW213-BX17-BX109-BX110-BX125,0)+IF(BX5='Project Returns'!$F$32,SUM('Project Returns'!$G$51:$G$51)-SUM('Project Returns'!$E$101:$E$102)-SUM('Project Returns'!$E$111:$E$112)-SUM('Project Returns'!$E$121:$E$122),0)</f>
        <v/>
      </c>
      <c r="BY252" s="291">
        <f>IF(BY5&lt;='Project Returns'!$F$32,-BY213+BX213-BY17-BY109-BY110-BY125,0)+IF(BY5='Project Returns'!$F$32,SUM('Project Returns'!$G$51:$G$51)-SUM('Project Returns'!$E$101:$E$102)-SUM('Project Returns'!$E$111:$E$112)-SUM('Project Returns'!$E$121:$E$122),0)</f>
        <v/>
      </c>
      <c r="BZ252" s="291">
        <f>IF(BZ5&lt;='Project Returns'!$F$32,-BZ213+BY213-BZ17-BZ109-BZ110-BZ125,0)+IF(BZ5='Project Returns'!$F$32,SUM('Project Returns'!$G$51:$G$51)-SUM('Project Returns'!$E$101:$E$102)-SUM('Project Returns'!$E$111:$E$112)-SUM('Project Returns'!$E$121:$E$122),0)</f>
        <v/>
      </c>
      <c r="CA252" s="291">
        <f>IF(CA5&lt;='Project Returns'!$F$32,-CA213+BZ213-CA17-CA109-CA110-CA125,0)+IF(CA5='Project Returns'!$F$32,SUM('Project Returns'!$G$51:$G$51)-SUM('Project Returns'!$E$101:$E$102)-SUM('Project Returns'!$E$111:$E$112)-SUM('Project Returns'!$E$121:$E$122),0)</f>
        <v/>
      </c>
      <c r="CB252" s="291">
        <f>IF(CB5&lt;='Project Returns'!$F$32,-CB213+CA213-CB17-CB109-CB110-CB125,0)+IF(CB5='Project Returns'!$F$32,SUM('Project Returns'!$G$51:$G$51)-SUM('Project Returns'!$E$101:$E$102)-SUM('Project Returns'!$E$111:$E$112)-SUM('Project Returns'!$E$121:$E$122),0)</f>
        <v/>
      </c>
      <c r="CC252" s="291">
        <f>IF(CC5&lt;='Project Returns'!$F$32,-CC213+CB213-CC17-CC109-CC110-CC125,0)+IF(CC5='Project Returns'!$F$32,SUM('Project Returns'!$G$51:$G$51)-SUM('Project Returns'!$E$101:$E$102)-SUM('Project Returns'!$E$111:$E$112)-SUM('Project Returns'!$E$121:$E$122),0)</f>
        <v/>
      </c>
      <c r="CD252" s="291">
        <f>IF(CD5&lt;='Project Returns'!$F$32,-CD213+CC213-CD17-CD109-CD110-CD125,0)+IF(CD5='Project Returns'!$F$32,SUM('Project Returns'!$G$51:$G$51)-SUM('Project Returns'!$E$101:$E$102)-SUM('Project Returns'!$E$111:$E$112)-SUM('Project Returns'!$E$121:$E$122),0)</f>
        <v/>
      </c>
      <c r="CE252" s="291">
        <f>IF(CE5&lt;='Project Returns'!$F$32,-CE213+CD213-CE17-CE109-CE110-CE125,0)+IF(CE5='Project Returns'!$F$32,SUM('Project Returns'!$G$51:$G$51)-SUM('Project Returns'!$E$101:$E$102)-SUM('Project Returns'!$E$111:$E$112)-SUM('Project Returns'!$E$121:$E$122),0)</f>
        <v/>
      </c>
      <c r="CF252" s="291">
        <f>IF(CF5&lt;='Project Returns'!$F$32,-CF213+CE213-CF17-CF109-CF110-CF125,0)+IF(CF5='Project Returns'!$F$32,SUM('Project Returns'!$G$51:$G$51)-SUM('Project Returns'!$E$101:$E$102)-SUM('Project Returns'!$E$111:$E$112)-SUM('Project Returns'!$E$121:$E$122),0)</f>
        <v/>
      </c>
      <c r="CG252" s="291">
        <f>IF(CG5&lt;='Project Returns'!$F$32,-CG213+CF213-CG17-CG109-CG110-CG125,0)+IF(CG5='Project Returns'!$F$32,SUM('Project Returns'!$G$51:$G$51)-SUM('Project Returns'!$E$101:$E$102)-SUM('Project Returns'!$E$111:$E$112)-SUM('Project Returns'!$E$121:$E$122),0)</f>
        <v/>
      </c>
      <c r="CH252" s="291">
        <f>IF(CH5&lt;='Project Returns'!$F$32,-CH213+CG213-CH17-CH109-CH110-CH125,0)+IF(CH5='Project Returns'!$F$32,SUM('Project Returns'!$G$51:$G$51)-SUM('Project Returns'!$E$101:$E$102)-SUM('Project Returns'!$E$111:$E$112)-SUM('Project Returns'!$E$121:$E$122),0)</f>
        <v/>
      </c>
      <c r="CI252" s="291">
        <f>IF(CI5&lt;='Project Returns'!$F$32,-CI213+CH213-CI17-CI109-CI110-CI125,0)+IF(CI5='Project Returns'!$F$32,SUM('Project Returns'!$G$51:$G$51)-SUM('Project Returns'!$E$101:$E$102)-SUM('Project Returns'!$E$111:$E$112)-SUM('Project Returns'!$E$121:$E$122),0)</f>
        <v/>
      </c>
      <c r="CJ252" s="291">
        <f>IF(CJ5&lt;='Project Returns'!$F$32,-CJ213+CI213-CJ17-CJ109-CJ110-CJ125,0)+IF(CJ5='Project Returns'!$F$32,SUM('Project Returns'!$G$51:$G$51)-SUM('Project Returns'!$E$101:$E$102)-SUM('Project Returns'!$E$111:$E$112)-SUM('Project Returns'!$E$121:$E$122),0)</f>
        <v/>
      </c>
      <c r="CK252" s="291">
        <f>IF(CK5&lt;='Project Returns'!$F$32,-CK213+CJ213-CK17-CK109-CK110-CK125,0)+IF(CK5='Project Returns'!$F$32,SUM('Project Returns'!$G$51:$G$51)-SUM('Project Returns'!$E$101:$E$102)-SUM('Project Returns'!$E$111:$E$112)-SUM('Project Returns'!$E$121:$E$122),0)</f>
        <v/>
      </c>
      <c r="CL252" s="291">
        <f>IF(CL5&lt;='Project Returns'!$F$32,-CL213+CK213-CL17-CL109-CL110-CL125,0)+IF(CL5='Project Returns'!$F$32,SUM('Project Returns'!$G$51:$G$51)-SUM('Project Returns'!$E$101:$E$102)-SUM('Project Returns'!$E$111:$E$112)-SUM('Project Returns'!$E$121:$E$122),0)</f>
        <v/>
      </c>
      <c r="CM252" s="291">
        <f>IF(CM5&lt;='Project Returns'!$F$32,-CM213+CL213-CM17-CM109-CM110-CM125,0)+IF(CM5='Project Returns'!$F$32,SUM('Project Returns'!$G$51:$G$51)-SUM('Project Returns'!$E$101:$E$102)-SUM('Project Returns'!$E$111:$E$112)-SUM('Project Returns'!$E$121:$E$122),0)</f>
        <v/>
      </c>
      <c r="CN252" s="291">
        <f>IF(CN5&lt;='Project Returns'!$F$32,-CN213+CM213-CN17-CN109-CN110-CN125,0)+IF(CN5='Project Returns'!$F$32,SUM('Project Returns'!$G$51:$G$51)-SUM('Project Returns'!$E$101:$E$102)-SUM('Project Returns'!$E$111:$E$112)-SUM('Project Returns'!$E$121:$E$122),0)</f>
        <v/>
      </c>
      <c r="CO252" s="291">
        <f>IF(CO5&lt;='Project Returns'!$F$32,-CO213+CN213-CO17-CO109-CO110-CO125,0)+IF(CO5='Project Returns'!$F$32,SUM('Project Returns'!$G$51:$G$51)-SUM('Project Returns'!$E$101:$E$102)-SUM('Project Returns'!$E$111:$E$112)-SUM('Project Returns'!$E$121:$E$122),0)</f>
        <v/>
      </c>
      <c r="CP252" s="291">
        <f>IF(CP5&lt;='Project Returns'!$F$32,-CP213+CO213-CP17-CP109-CP110-CP125,0)+IF(CP5='Project Returns'!$F$32,SUM('Project Returns'!$G$51:$G$51)-SUM('Project Returns'!$E$101:$E$102)-SUM('Project Returns'!$E$111:$E$112)-SUM('Project Returns'!$E$121:$E$122),0)</f>
        <v/>
      </c>
      <c r="CQ252" s="291">
        <f>IF(CQ5&lt;='Project Returns'!$F$32,-CQ213+CP213-CQ17-CQ109-CQ110-CQ125,0)+IF(CQ5='Project Returns'!$F$32,SUM('Project Returns'!$G$51:$G$51)-SUM('Project Returns'!$E$101:$E$102)-SUM('Project Returns'!$E$111:$E$112)-SUM('Project Returns'!$E$121:$E$122),0)</f>
        <v/>
      </c>
      <c r="CR252" s="291">
        <f>IF(CR5&lt;='Project Returns'!$F$32,-CR213+CQ213-CR17-CR109-CR110-CR125,0)+IF(CR5='Project Returns'!$F$32,SUM('Project Returns'!$G$51:$G$51)-SUM('Project Returns'!$E$101:$E$102)-SUM('Project Returns'!$E$111:$E$112)-SUM('Project Returns'!$E$121:$E$122),0)</f>
        <v/>
      </c>
      <c r="CS252" s="291">
        <f>IF(CS5&lt;='Project Returns'!$F$32,-CS213+CR213-CS17-CS109-CS110-CS125,0)+IF(CS5='Project Returns'!$F$32,SUM('Project Returns'!$G$51:$G$51)-SUM('Project Returns'!$E$101:$E$102)-SUM('Project Returns'!$E$111:$E$112)-SUM('Project Returns'!$E$121:$E$122),0)</f>
        <v/>
      </c>
      <c r="CT252" s="291">
        <f>IF(CT5&lt;='Project Returns'!$F$32,-CT213+CS213-CT17-CT109-CT110-CT125,0)+IF(CT5='Project Returns'!$F$32,SUM('Project Returns'!$G$51:$G$51)-SUM('Project Returns'!$E$101:$E$102)-SUM('Project Returns'!$E$111:$E$112)-SUM('Project Returns'!$E$121:$E$122),0)</f>
        <v/>
      </c>
      <c r="CU252" s="291">
        <f>IF(CU5&lt;='Project Returns'!$F$32,-CU213+CT213-CU17-CU109-CU110-CU125,0)+IF(CU5='Project Returns'!$F$32,SUM('Project Returns'!$G$51:$G$51)-SUM('Project Returns'!$E$101:$E$102)-SUM('Project Returns'!$E$111:$E$112)-SUM('Project Returns'!$E$121:$E$122),0)</f>
        <v/>
      </c>
      <c r="CV252" s="291">
        <f>IF(CV5&lt;='Project Returns'!$F$32,-CV213+CU213-CV17-CV109-CV110-CV125,0)+IF(CV5='Project Returns'!$F$32,SUM('Project Returns'!$G$51:$G$51)-SUM('Project Returns'!$E$101:$E$102)-SUM('Project Returns'!$E$111:$E$112)-SUM('Project Returns'!$E$121:$E$122),0)</f>
        <v/>
      </c>
      <c r="CW252" s="291">
        <f>IF(CW5&lt;='Project Returns'!$F$32,-CW213+CV213-CW17-CW109-CW110-CW125,0)+IF(CW5='Project Returns'!$F$32,SUM('Project Returns'!$G$51:$G$51)-SUM('Project Returns'!$E$101:$E$102)-SUM('Project Returns'!$E$111:$E$112)-SUM('Project Returns'!$E$121:$E$122),0)</f>
        <v/>
      </c>
      <c r="CX252" s="291">
        <f>IF(CX5&lt;='Project Returns'!$F$32,-CX213+CW213-CX17-CX109-CX110-CX125,0)+IF(CX5='Project Returns'!$F$32,SUM('Project Returns'!$G$51:$G$51)-SUM('Project Returns'!$E$101:$E$102)-SUM('Project Returns'!$E$111:$E$112)-SUM('Project Returns'!$E$121:$E$122),0)</f>
        <v/>
      </c>
      <c r="CY252" s="291">
        <f>IF(CY5&lt;='Project Returns'!$F$32,-CY213+CX213-CY17-CY109-CY110-CY125,0)+IF(CY5='Project Returns'!$F$32,SUM('Project Returns'!$G$51:$G$51)-SUM('Project Returns'!$E$101:$E$102)-SUM('Project Returns'!$E$111:$E$112)-SUM('Project Returns'!$E$121:$E$122),0)</f>
        <v/>
      </c>
      <c r="CZ252" s="291">
        <f>IF(CZ5&lt;='Project Returns'!$F$32,-CZ213+CY213-CZ17-CZ109-CZ110-CZ125,0)+IF(CZ5='Project Returns'!$F$32,SUM('Project Returns'!$G$51:$G$51)-SUM('Project Returns'!$E$101:$E$102)-SUM('Project Returns'!$E$111:$E$112)-SUM('Project Returns'!$E$121:$E$122),0)</f>
        <v/>
      </c>
      <c r="DA252" s="291">
        <f>IF(DA5&lt;='Project Returns'!$F$32,-DA213+CZ213-DA17-DA109-DA110-DA125,0)+IF(DA5='Project Returns'!$F$32,SUM('Project Returns'!$G$51:$G$51)-SUM('Project Returns'!$E$101:$E$102)-SUM('Project Returns'!$E$111:$E$112)-SUM('Project Returns'!$E$121:$E$122),0)</f>
        <v/>
      </c>
      <c r="DB252" s="291">
        <f>IF(DB5&lt;='Project Returns'!$F$32,-DB213+DA213-DB17-DB109-DB110-DB125,0)+IF(DB5='Project Returns'!$F$32,SUM('Project Returns'!$G$51:$G$51)-SUM('Project Returns'!$E$101:$E$102)-SUM('Project Returns'!$E$111:$E$112)-SUM('Project Returns'!$E$121:$E$122),0)</f>
        <v/>
      </c>
      <c r="DC252" s="360" t="n"/>
      <c r="DD252" s="289">
        <f>SUM(F252:DB252)</f>
        <v/>
      </c>
    </row>
    <row r="253" ht="14.1" customFormat="1" customHeight="1" s="361">
      <c r="A253" s="729" t="inlineStr">
        <is>
          <t>Deal - Levered IRR/Cash Flow</t>
        </is>
      </c>
      <c r="B253" s="729" t="n"/>
      <c r="C253" s="1135">
        <f>(1+IRR(F253:DB253,0.001))^12-1</f>
        <v/>
      </c>
      <c r="D253" s="343">
        <f>DD253</f>
        <v/>
      </c>
      <c r="E253" s="281" t="n"/>
      <c r="F253" s="344">
        <f>F230+F238+F240</f>
        <v/>
      </c>
      <c r="G253" s="344">
        <f>G230+G238+G240</f>
        <v/>
      </c>
      <c r="H253" s="344">
        <f>H230+H238+H240</f>
        <v/>
      </c>
      <c r="I253" s="344">
        <f>I230+I238+I240</f>
        <v/>
      </c>
      <c r="J253" s="344">
        <f>J230+J238+J240</f>
        <v/>
      </c>
      <c r="K253" s="344">
        <f>K230+K238+K240</f>
        <v/>
      </c>
      <c r="L253" s="344">
        <f>L230+L238+L240</f>
        <v/>
      </c>
      <c r="M253" s="344">
        <f>M230+M238+M240</f>
        <v/>
      </c>
      <c r="N253" s="344">
        <f>N230+N238+N240</f>
        <v/>
      </c>
      <c r="O253" s="344">
        <f>O230+O238+O240</f>
        <v/>
      </c>
      <c r="P253" s="344">
        <f>P230+P238+P240</f>
        <v/>
      </c>
      <c r="Q253" s="344">
        <f>Q230+Q238+Q240</f>
        <v/>
      </c>
      <c r="R253" s="344">
        <f>R230+R238+R240</f>
        <v/>
      </c>
      <c r="S253" s="344">
        <f>S230+S238+S240</f>
        <v/>
      </c>
      <c r="T253" s="344">
        <f>T230+T238+T240</f>
        <v/>
      </c>
      <c r="U253" s="344">
        <f>U230+U238+U240</f>
        <v/>
      </c>
      <c r="V253" s="344">
        <f>V230+V238+V240</f>
        <v/>
      </c>
      <c r="W253" s="344">
        <f>W230+W238+W240</f>
        <v/>
      </c>
      <c r="X253" s="344">
        <f>X230+X238+X240</f>
        <v/>
      </c>
      <c r="Y253" s="344">
        <f>Y230+Y238+Y240</f>
        <v/>
      </c>
      <c r="Z253" s="344">
        <f>Z230+Z238+Z240</f>
        <v/>
      </c>
      <c r="AA253" s="344">
        <f>AA230+AA238+AA240</f>
        <v/>
      </c>
      <c r="AB253" s="344">
        <f>AB230+AB238+AB240</f>
        <v/>
      </c>
      <c r="AC253" s="344">
        <f>AC230+AC238+AC240</f>
        <v/>
      </c>
      <c r="AD253" s="344">
        <f>AD230+AD238+AD240</f>
        <v/>
      </c>
      <c r="AE253" s="344">
        <f>AE230+AE238+AE240</f>
        <v/>
      </c>
      <c r="AF253" s="344">
        <f>AF230+AF238+AF240</f>
        <v/>
      </c>
      <c r="AG253" s="344">
        <f>AG230+AG238+AG240</f>
        <v/>
      </c>
      <c r="AH253" s="344">
        <f>AH230+AH238+AH240</f>
        <v/>
      </c>
      <c r="AI253" s="344">
        <f>AI230+AI238+AI240</f>
        <v/>
      </c>
      <c r="AJ253" s="344">
        <f>AJ230+AJ238+AJ240</f>
        <v/>
      </c>
      <c r="AK253" s="344">
        <f>AK230+AK238+AK240</f>
        <v/>
      </c>
      <c r="AL253" s="344">
        <f>AL230+AL238+AL240</f>
        <v/>
      </c>
      <c r="AM253" s="344">
        <f>AM230+AM238+AM240</f>
        <v/>
      </c>
      <c r="AN253" s="344">
        <f>AN230+AN238+AN240</f>
        <v/>
      </c>
      <c r="AO253" s="344">
        <f>AO230+AO238+AO240</f>
        <v/>
      </c>
      <c r="AP253" s="344">
        <f>AP230+AP238+AP240</f>
        <v/>
      </c>
      <c r="AQ253" s="344">
        <f>AQ230+AQ238+AQ240</f>
        <v/>
      </c>
      <c r="AR253" s="344">
        <f>AR230+AR238+AR240</f>
        <v/>
      </c>
      <c r="AS253" s="344">
        <f>AS230+AS238+AS240</f>
        <v/>
      </c>
      <c r="AT253" s="344">
        <f>AT230+AT238+AT240</f>
        <v/>
      </c>
      <c r="AU253" s="344">
        <f>AU230+AU238+AU240</f>
        <v/>
      </c>
      <c r="AV253" s="344">
        <f>AV230+AV238+AV240</f>
        <v/>
      </c>
      <c r="AW253" s="344">
        <f>AW230+AW238+AW240</f>
        <v/>
      </c>
      <c r="AX253" s="344">
        <f>AX230+AX238+AX240</f>
        <v/>
      </c>
      <c r="AY253" s="344">
        <f>AY230+AY238+AY240</f>
        <v/>
      </c>
      <c r="AZ253" s="344">
        <f>AZ230+AZ238+AZ240</f>
        <v/>
      </c>
      <c r="BA253" s="344">
        <f>BA230+BA238+BA240</f>
        <v/>
      </c>
      <c r="BB253" s="344">
        <f>BB230+BB238+BB240</f>
        <v/>
      </c>
      <c r="BC253" s="344">
        <f>BC230+BC238+BC240</f>
        <v/>
      </c>
      <c r="BD253" s="344">
        <f>BD230+BD238+BD240</f>
        <v/>
      </c>
      <c r="BE253" s="344">
        <f>BE230+BE238+BE240</f>
        <v/>
      </c>
      <c r="BF253" s="344">
        <f>BF230+BF238+BF240</f>
        <v/>
      </c>
      <c r="BG253" s="344">
        <f>BG230+BG238+BG240</f>
        <v/>
      </c>
      <c r="BH253" s="344">
        <f>BH230+BH238+BH240</f>
        <v/>
      </c>
      <c r="BI253" s="344">
        <f>BI230+BI238+BI240</f>
        <v/>
      </c>
      <c r="BJ253" s="344">
        <f>BJ230+BJ238+BJ240</f>
        <v/>
      </c>
      <c r="BK253" s="344">
        <f>BK230+BK238+BK240</f>
        <v/>
      </c>
      <c r="BL253" s="344">
        <f>BL230+BL238+BL240</f>
        <v/>
      </c>
      <c r="BM253" s="344">
        <f>BM230+BM238+BM240</f>
        <v/>
      </c>
      <c r="BN253" s="344">
        <f>BN230+BN238+BN240</f>
        <v/>
      </c>
      <c r="BO253" s="344">
        <f>BO230+BO238+BO240</f>
        <v/>
      </c>
      <c r="BP253" s="344">
        <f>BP230+BP238+BP240</f>
        <v/>
      </c>
      <c r="BQ253" s="344">
        <f>BQ230+BQ238+BQ240</f>
        <v/>
      </c>
      <c r="BR253" s="344">
        <f>BR230+BR238+BR240</f>
        <v/>
      </c>
      <c r="BS253" s="344">
        <f>BS230+BS238+BS240</f>
        <v/>
      </c>
      <c r="BT253" s="344">
        <f>BT230+BT238+BT240</f>
        <v/>
      </c>
      <c r="BU253" s="344">
        <f>BU230+BU238+BU240</f>
        <v/>
      </c>
      <c r="BV253" s="344">
        <f>BV230+BV238+BV240</f>
        <v/>
      </c>
      <c r="BW253" s="344">
        <f>BW230+BW238+BW240</f>
        <v/>
      </c>
      <c r="BX253" s="344">
        <f>BX230+BX238+BX240</f>
        <v/>
      </c>
      <c r="BY253" s="344">
        <f>BY230+BY238+BY240</f>
        <v/>
      </c>
      <c r="BZ253" s="344">
        <f>BZ230+BZ238+BZ240</f>
        <v/>
      </c>
      <c r="CA253" s="344">
        <f>CA230+CA238+CA240</f>
        <v/>
      </c>
      <c r="CB253" s="344">
        <f>CB230+CB238+CB240</f>
        <v/>
      </c>
      <c r="CC253" s="344">
        <f>CC230+CC238+CC240</f>
        <v/>
      </c>
      <c r="CD253" s="344">
        <f>CD230+CD238+CD240</f>
        <v/>
      </c>
      <c r="CE253" s="344">
        <f>CE230+CE238+CE240</f>
        <v/>
      </c>
      <c r="CF253" s="344">
        <f>CF230+CF238+CF240</f>
        <v/>
      </c>
      <c r="CG253" s="344">
        <f>CG230+CG238+CG240</f>
        <v/>
      </c>
      <c r="CH253" s="344">
        <f>CH230+CH238+CH240</f>
        <v/>
      </c>
      <c r="CI253" s="344">
        <f>CI230+CI238+CI240</f>
        <v/>
      </c>
      <c r="CJ253" s="344">
        <f>CJ230+CJ238+CJ240</f>
        <v/>
      </c>
      <c r="CK253" s="344">
        <f>CK230+CK238+CK240</f>
        <v/>
      </c>
      <c r="CL253" s="344">
        <f>CL230+CL238+CL240</f>
        <v/>
      </c>
      <c r="CM253" s="344">
        <f>CM230+CM238+CM240</f>
        <v/>
      </c>
      <c r="CN253" s="344">
        <f>CN230+CN238+CN240</f>
        <v/>
      </c>
      <c r="CO253" s="344">
        <f>CO230+CO238+CO240</f>
        <v/>
      </c>
      <c r="CP253" s="344">
        <f>CP230+CP238+CP240</f>
        <v/>
      </c>
      <c r="CQ253" s="344">
        <f>CQ230+CQ238+CQ240</f>
        <v/>
      </c>
      <c r="CR253" s="344">
        <f>CR230+CR238+CR240</f>
        <v/>
      </c>
      <c r="CS253" s="344">
        <f>CS230+CS238+CS240</f>
        <v/>
      </c>
      <c r="CT253" s="344">
        <f>CT230+CT238+CT240</f>
        <v/>
      </c>
      <c r="CU253" s="344">
        <f>CU230+CU238+CU240</f>
        <v/>
      </c>
      <c r="CV253" s="344">
        <f>CV230+CV238+CV240</f>
        <v/>
      </c>
      <c r="CW253" s="344">
        <f>CW230+CW238+CW240</f>
        <v/>
      </c>
      <c r="CX253" s="344">
        <f>CX230+CX238+CX240</f>
        <v/>
      </c>
      <c r="CY253" s="344">
        <f>CY230+CY238+CY240</f>
        <v/>
      </c>
      <c r="CZ253" s="344">
        <f>CZ230+CZ238+CZ240</f>
        <v/>
      </c>
      <c r="DA253" s="344">
        <f>DA230+DA238+DA240</f>
        <v/>
      </c>
      <c r="DB253" s="344">
        <f>DB230+DB238+DB240</f>
        <v/>
      </c>
      <c r="DC253" s="344" t="n"/>
      <c r="DD253" s="727">
        <f>SUM(F253:DB253)</f>
        <v/>
      </c>
    </row>
    <row r="254">
      <c r="A254" s="175" t="n"/>
      <c r="B254" s="175" t="n"/>
      <c r="D254" s="362" t="n"/>
    </row>
    <row r="255">
      <c r="A255" s="175" t="n"/>
      <c r="B255" s="175" t="n"/>
      <c r="D255" s="362" t="n"/>
    </row>
    <row r="256" hidden="1" outlineLevel="1" customFormat="1" s="366">
      <c r="A256" s="1232" t="inlineStr">
        <is>
          <t>Detailed Calculations for Equity Returns</t>
        </is>
      </c>
      <c r="B256" s="1232" t="n"/>
      <c r="C256" s="1232" t="n"/>
      <c r="D256" s="1232" t="n"/>
      <c r="E256" s="365" t="n"/>
      <c r="F256" s="1232" t="n"/>
      <c r="G256" s="1232" t="n"/>
      <c r="H256" s="1232" t="n"/>
      <c r="I256" s="1232" t="n"/>
      <c r="J256" s="1232" t="n"/>
      <c r="K256" s="1232" t="n"/>
      <c r="L256" s="1232" t="n"/>
      <c r="M256" s="1232" t="n"/>
      <c r="N256" s="1232" t="n"/>
      <c r="O256" s="1232" t="n"/>
      <c r="P256" s="1232" t="n"/>
      <c r="Q256" s="1232" t="n"/>
      <c r="R256" s="1232" t="n"/>
      <c r="S256" s="1232" t="n"/>
      <c r="T256" s="1232" t="n"/>
      <c r="U256" s="1232" t="n"/>
      <c r="V256" s="1232" t="n"/>
      <c r="W256" s="1232" t="n"/>
      <c r="X256" s="1232" t="n"/>
      <c r="Y256" s="1232" t="n"/>
      <c r="Z256" s="1232" t="n"/>
      <c r="AA256" s="1232" t="n"/>
      <c r="AB256" s="1232" t="n"/>
      <c r="AC256" s="1232" t="n"/>
      <c r="AD256" s="1232" t="n"/>
      <c r="AE256" s="1232" t="n"/>
      <c r="AF256" s="1232" t="n"/>
      <c r="AG256" s="1232" t="n"/>
      <c r="AH256" s="1232" t="n"/>
      <c r="AI256" s="1232" t="n"/>
      <c r="AJ256" s="1232" t="n"/>
      <c r="AK256" s="1232" t="n"/>
      <c r="AL256" s="1232" t="n"/>
      <c r="AM256" s="1232" t="n"/>
      <c r="AN256" s="1232" t="n"/>
      <c r="AO256" s="1232" t="n"/>
      <c r="AP256" s="1232" t="n"/>
      <c r="AQ256" s="1232" t="n"/>
      <c r="AR256" s="1232" t="n"/>
      <c r="AS256" s="1232" t="n"/>
      <c r="AT256" s="1232" t="n"/>
      <c r="AU256" s="1232" t="n"/>
      <c r="AV256" s="1232" t="n"/>
      <c r="AW256" s="1232" t="n"/>
      <c r="AX256" s="1232" t="n"/>
      <c r="AY256" s="1232" t="n"/>
      <c r="AZ256" s="1232" t="n"/>
      <c r="BA256" s="1232" t="n"/>
      <c r="BB256" s="1232" t="n"/>
      <c r="BC256" s="1232" t="n"/>
      <c r="BD256" s="1232" t="n"/>
      <c r="BE256" s="1232" t="n"/>
      <c r="BF256" s="1232" t="n"/>
      <c r="BG256" s="1232" t="n"/>
      <c r="BH256" s="1232" t="n"/>
      <c r="BI256" s="1232" t="n"/>
      <c r="BJ256" s="1232" t="n"/>
      <c r="BK256" s="1232" t="n"/>
      <c r="BL256" s="1232" t="n"/>
      <c r="BM256" s="1232" t="n"/>
      <c r="BN256" s="1232" t="n"/>
      <c r="BO256" s="1232" t="n"/>
      <c r="BP256" s="1232" t="n"/>
      <c r="BQ256" s="1232" t="n"/>
      <c r="BR256" s="1232" t="n"/>
      <c r="BS256" s="1232" t="n"/>
      <c r="BT256" s="1232" t="n"/>
      <c r="BU256" s="1232" t="n"/>
      <c r="BV256" s="1232" t="n"/>
      <c r="BW256" s="1232" t="n"/>
      <c r="BX256" s="1232" t="n"/>
      <c r="BY256" s="1232" t="n"/>
      <c r="BZ256" s="1232" t="n"/>
      <c r="CA256" s="1232" t="n"/>
      <c r="CB256" s="1232" t="n"/>
      <c r="CC256" s="1232" t="n"/>
      <c r="CD256" s="1232" t="n"/>
      <c r="CE256" s="1232" t="n"/>
      <c r="CF256" s="1232" t="n"/>
      <c r="CG256" s="1232" t="n"/>
      <c r="CH256" s="1232" t="n"/>
      <c r="CI256" s="1232" t="n"/>
      <c r="CJ256" s="1232" t="n"/>
      <c r="CK256" s="1232" t="n"/>
      <c r="CL256" s="1232" t="n"/>
      <c r="CM256" s="1232" t="n"/>
      <c r="CN256" s="1232" t="n"/>
      <c r="CO256" s="1232" t="n"/>
      <c r="CP256" s="1232" t="n"/>
      <c r="CQ256" s="1232" t="n"/>
      <c r="CR256" s="1232" t="n"/>
      <c r="CS256" s="1232" t="n"/>
      <c r="CT256" s="1232" t="n"/>
      <c r="CU256" s="1232" t="n"/>
      <c r="CV256" s="1232" t="n"/>
      <c r="CW256" s="1232" t="n"/>
      <c r="CX256" s="1232" t="n"/>
      <c r="CY256" s="1232" t="n"/>
      <c r="CZ256" s="1232" t="n"/>
      <c r="DA256" s="1232" t="n"/>
      <c r="DB256" s="1232" t="n"/>
      <c r="DC256" s="1232" t="n"/>
      <c r="DD256" s="1232" t="n"/>
    </row>
    <row r="257" hidden="1" outlineLevel="1">
      <c r="A257" s="175" t="n"/>
      <c r="B257" s="175" t="n"/>
      <c r="D257" s="362" t="n"/>
    </row>
    <row r="258" hidden="1" outlineLevel="1">
      <c r="A258" s="367" t="inlineStr">
        <is>
          <t>Preferred Return Calculations</t>
        </is>
      </c>
      <c r="B258" s="367" t="n"/>
      <c r="C258" s="1136">
        <f>'Project Returns'!E53</f>
        <v/>
      </c>
      <c r="D258" s="362" t="n"/>
    </row>
    <row r="259" hidden="1" outlineLevel="1">
      <c r="C259" s="1136">
        <f>'Project Returns'!E54</f>
        <v/>
      </c>
      <c r="D259" s="362" t="n"/>
    </row>
    <row r="260" hidden="1" outlineLevel="1" ht="14.1" customHeight="1">
      <c r="A260" s="369" t="inlineStr">
        <is>
          <t>Equity Partner 1</t>
        </is>
      </c>
      <c r="B260" s="369" t="n"/>
      <c r="C260" s="1137" t="n"/>
      <c r="D260" s="731">
        <f>DD260</f>
        <v/>
      </c>
      <c r="E260" s="371" t="n"/>
      <c r="F260" s="372" t="n"/>
      <c r="G260" s="372">
        <f>MAX(IF(G5&lt;='Project Returns'!$F$32,(-SUM($F$225:F225)+SUM($F$260:F260)-SUM($F$226:F226)-SUM($F$228:F228))*IF('Project Returns'!$E$55="Annual",((1+IF(G5&lt;='Project Assumptions'!$D$15,$C$258,$C$259))^(1/12)-1),IF(G5&lt;='Project Assumptions'!$D$15,$C$258,$C$259)/12),0),0)</f>
        <v/>
      </c>
      <c r="H260" s="372">
        <f>MAX(IF(H5&lt;='Project Returns'!$F$32,(-SUM($F$225:G225)+SUM($F$260:G260)-SUM($F$226:G226)-SUM($F$228:G228))*IF('Project Returns'!$E$55="Annual",((1+IF(H5&lt;='Project Assumptions'!$D$15,$C$258,$C$259))^(1/12)-1),IF(H5&lt;='Project Assumptions'!$D$15,$C$258,$C$259)/12),0),0)</f>
        <v/>
      </c>
      <c r="I260" s="372">
        <f>MAX(IF(I5&lt;='Project Returns'!$F$32,(-SUM($F$225:H225)+SUM($F$260:H260)-SUM($F$226:H226)-SUM($F$228:H228))*IF('Project Returns'!$E$55="Annual",((1+IF(I5&lt;='Project Assumptions'!$D$15,$C$258,$C$259))^(1/12)-1),IF(I5&lt;='Project Assumptions'!$D$15,$C$258,$C$259)/12),0),0)</f>
        <v/>
      </c>
      <c r="J260" s="372">
        <f>MAX(IF(J5&lt;='Project Returns'!$F$32,(-SUM($F$225:I225)+SUM($F$260:I260)-SUM($F$226:I226)-SUM($F$228:I228))*IF('Project Returns'!$E$55="Annual",((1+IF(J5&lt;='Project Assumptions'!$D$15,$C$258,$C$259))^(1/12)-1),IF(J5&lt;='Project Assumptions'!$D$15,$C$258,$C$259)/12),0),0)</f>
        <v/>
      </c>
      <c r="K260" s="372">
        <f>MAX(IF(K5&lt;='Project Returns'!$F$32,(-SUM($F$225:J225)+SUM($F$260:J260)-SUM($F$226:J226)-SUM($F$228:J228))*IF('Project Returns'!$E$55="Annual",((1+IF(K5&lt;='Project Assumptions'!$D$15,$C$258,$C$259))^(1/12)-1),IF(K5&lt;='Project Assumptions'!$D$15,$C$258,$C$259)/12),0),0)</f>
        <v/>
      </c>
      <c r="L260" s="372">
        <f>MAX(IF(L5&lt;='Project Returns'!$F$32,(-SUM($F$225:K225)+SUM($F$260:K260)-SUM($F$226:K226)-SUM($F$228:K228))*IF('Project Returns'!$E$55="Annual",((1+IF(L5&lt;='Project Assumptions'!$D$15,$C$258,$C$259))^(1/12)-1),IF(L5&lt;='Project Assumptions'!$D$15,$C$258,$C$259)/12),0),0)</f>
        <v/>
      </c>
      <c r="M260" s="372">
        <f>MAX(IF(M5&lt;='Project Returns'!$F$32,(-SUM($F$225:L225)+SUM($F$260:L260)-SUM($F$226:L226)-SUM($F$228:L228))*IF('Project Returns'!$E$55="Annual",((1+IF(M5&lt;='Project Assumptions'!$D$15,$C$258,$C$259))^(1/12)-1),IF(M5&lt;='Project Assumptions'!$D$15,$C$258,$C$259)/12),0),0)</f>
        <v/>
      </c>
      <c r="N260" s="372">
        <f>MAX(IF(N5&lt;='Project Returns'!$F$32,(-SUM($F$225:M225)+SUM($F$260:M260)-SUM($F$226:M226)-SUM($F$228:M228))*IF('Project Returns'!$E$55="Annual",((1+IF(N5&lt;='Project Assumptions'!$D$15,$C$258,$C$259))^(1/12)-1),IF(N5&lt;='Project Assumptions'!$D$15,$C$258,$C$259)/12),0),0)</f>
        <v/>
      </c>
      <c r="O260" s="372">
        <f>MAX(IF(O5&lt;='Project Returns'!$F$32,(-SUM($F$225:N225)+SUM($F$260:N260)-SUM($F$226:N226)-SUM($F$228:N228))*IF('Project Returns'!$E$55="Annual",((1+IF(O5&lt;='Project Assumptions'!$D$15,$C$258,$C$259))^(1/12)-1),IF(O5&lt;='Project Assumptions'!$D$15,$C$258,$C$259)/12),0),0)</f>
        <v/>
      </c>
      <c r="P260" s="372">
        <f>MAX(IF(P5&lt;='Project Returns'!$F$32,(-SUM($F$225:O225)+SUM($F$260:O260)-SUM($F$226:O226)-SUM($F$228:O228))*IF('Project Returns'!$E$55="Annual",((1+IF(P5&lt;='Project Assumptions'!$D$15,$C$258,$C$259))^(1/12)-1),IF(P5&lt;='Project Assumptions'!$D$15,$C$258,$C$259)/12),0),0)</f>
        <v/>
      </c>
      <c r="Q260" s="372">
        <f>MAX(IF(Q5&lt;='Project Returns'!$F$32,(-SUM($F$225:P225)+SUM($F$260:P260)-SUM($F$226:P226)-SUM($F$228:P228))*IF('Project Returns'!$E$55="Annual",((1+IF(Q5&lt;='Project Assumptions'!$D$15,$C$258,$C$259))^(1/12)-1),IF(Q5&lt;='Project Assumptions'!$D$15,$C$258,$C$259)/12),0),0)</f>
        <v/>
      </c>
      <c r="R260" s="372">
        <f>MAX(IF(R5&lt;='Project Returns'!$F$32,(-SUM($F$225:Q225)+SUM($F$260:Q260)-SUM($F$226:Q226)-SUM($F$228:Q228))*IF('Project Returns'!$E$55="Annual",((1+IF(R5&lt;='Project Assumptions'!$D$15,$C$258,$C$259))^(1/12)-1),IF(R5&lt;='Project Assumptions'!$D$15,$C$258,$C$259)/12),0),0)</f>
        <v/>
      </c>
      <c r="S260" s="372">
        <f>MAX(IF(S5&lt;='Project Returns'!$F$32,(-SUM($F$225:R225)+SUM($F$260:R260)-SUM($F$226:R226)-SUM($F$228:R228))*IF('Project Returns'!$E$55="Annual",((1+IF(S5&lt;='Project Assumptions'!$D$15,$C$258,$C$259))^(1/12)-1),IF(S5&lt;='Project Assumptions'!$D$15,$C$258,$C$259)/12),0),0)</f>
        <v/>
      </c>
      <c r="T260" s="372">
        <f>MAX(IF(T5&lt;='Project Returns'!$F$32,(-SUM($F$225:S225)+SUM($F$260:S260)-SUM($F$226:S226)-SUM($F$228:S228))*IF('Project Returns'!$E$55="Annual",((1+IF(T5&lt;='Project Assumptions'!$D$15,$C$258,$C$259))^(1/12)-1),IF(T5&lt;='Project Assumptions'!$D$15,$C$258,$C$259)/12),0),0)</f>
        <v/>
      </c>
      <c r="U260" s="372">
        <f>MAX(IF(U5&lt;='Project Returns'!$F$32,(-SUM($F$225:T225)+SUM($F$260:T260)-SUM($F$226:T226)-SUM($F$228:T228))*IF('Project Returns'!$E$55="Annual",((1+IF(U5&lt;='Project Assumptions'!$D$15,$C$258,$C$259))^(1/12)-1),IF(U5&lt;='Project Assumptions'!$D$15,$C$258,$C$259)/12),0),0)</f>
        <v/>
      </c>
      <c r="V260" s="372">
        <f>MAX(IF(V5&lt;='Project Returns'!$F$32,(-SUM($F$225:U225)+SUM($F$260:U260)-SUM($F$226:U226)-SUM($F$228:U228))*IF('Project Returns'!$E$55="Annual",((1+IF(V5&lt;='Project Assumptions'!$D$15,$C$258,$C$259))^(1/12)-1),IF(V5&lt;='Project Assumptions'!$D$15,$C$258,$C$259)/12),0),0)</f>
        <v/>
      </c>
      <c r="W260" s="372">
        <f>MAX(IF(W5&lt;='Project Returns'!$F$32,(-SUM($F$225:V225)+SUM($F$260:V260)-SUM($F$226:V226)-SUM($F$228:V228))*IF('Project Returns'!$E$55="Annual",((1+IF(W5&lt;='Project Assumptions'!$D$15,$C$258,$C$259))^(1/12)-1),IF(W5&lt;='Project Assumptions'!$D$15,$C$258,$C$259)/12),0),0)</f>
        <v/>
      </c>
      <c r="X260" s="372">
        <f>MAX(IF(X5&lt;='Project Returns'!$F$32,(-SUM($F$225:W225)+SUM($F$260:W260)-SUM($F$226:W226)-SUM($F$228:W228))*IF('Project Returns'!$E$55="Annual",((1+IF(X5&lt;='Project Assumptions'!$D$15,$C$258,$C$259))^(1/12)-1),IF(X5&lt;='Project Assumptions'!$D$15,$C$258,$C$259)/12),0),0)</f>
        <v/>
      </c>
      <c r="Y260" s="372">
        <f>MAX(IF(Y5&lt;='Project Returns'!$F$32,(-SUM($F$225:X225)+SUM($F$260:X260)-SUM($F$226:X226)-SUM($F$228:X228))*IF('Project Returns'!$E$55="Annual",((1+IF(Y5&lt;='Project Assumptions'!$D$15,$C$258,$C$259))^(1/12)-1),IF(Y5&lt;='Project Assumptions'!$D$15,$C$258,$C$259)/12),0),0)</f>
        <v/>
      </c>
      <c r="Z260" s="372">
        <f>MAX(IF(Z5&lt;='Project Returns'!$F$32,(-SUM($F$225:Y225)+SUM($F$260:Y260)-SUM($F$226:Y226)-SUM($F$228:Y228))*IF('Project Returns'!$E$55="Annual",((1+IF(Z5&lt;='Project Assumptions'!$D$15,$C$258,$C$259))^(1/12)-1),IF(Z5&lt;='Project Assumptions'!$D$15,$C$258,$C$259)/12),0),0)</f>
        <v/>
      </c>
      <c r="AA260" s="372">
        <f>MAX(IF(AA5&lt;='Project Returns'!$F$32,(-SUM($F$225:Z225)+SUM($F$260:Z260)-SUM($F$226:Z226)-SUM($F$228:Z228))*IF('Project Returns'!$E$55="Annual",((1+IF(AA5&lt;='Project Assumptions'!$D$15,$C$258,$C$259))^(1/12)-1),IF(AA5&lt;='Project Assumptions'!$D$15,$C$258,$C$259)/12),0),0)</f>
        <v/>
      </c>
      <c r="AB260" s="372">
        <f>MAX(IF(AB5&lt;='Project Returns'!$F$32,(-SUM($F$225:AA225)+SUM($F$260:AA260)-SUM($F$226:AA226)-SUM($F$228:AA228))*IF('Project Returns'!$E$55="Annual",((1+IF(AB5&lt;='Project Assumptions'!$D$15,$C$258,$C$259))^(1/12)-1),IF(AB5&lt;='Project Assumptions'!$D$15,$C$258,$C$259)/12),0),0)</f>
        <v/>
      </c>
      <c r="AC260" s="372">
        <f>MAX(IF(AC5&lt;='Project Returns'!$F$32,(-SUM($F$225:AB225)+SUM($F$260:AB260)-SUM($F$226:AB226)-SUM($F$228:AB228))*IF('Project Returns'!$E$55="Annual",((1+IF(AC5&lt;='Project Assumptions'!$D$15,$C$258,$C$259))^(1/12)-1),IF(AC5&lt;='Project Assumptions'!$D$15,$C$258,$C$259)/12),0),0)</f>
        <v/>
      </c>
      <c r="AD260" s="372">
        <f>MAX(IF(AD5&lt;='Project Returns'!$F$32,(-SUM($F$225:AC225)+SUM($F$260:AC260)-SUM($F$226:AC226)-SUM($F$228:AC228))*IF('Project Returns'!$E$55="Annual",((1+IF(AD5&lt;='Project Assumptions'!$D$15,$C$258,$C$259))^(1/12)-1),IF(AD5&lt;='Project Assumptions'!$D$15,$C$258,$C$259)/12),0),0)</f>
        <v/>
      </c>
      <c r="AE260" s="372">
        <f>MAX(IF(AE5&lt;='Project Returns'!$F$32,(-SUM($F$225:AD225)+SUM($F$260:AD260)-SUM($F$226:AD226)-SUM($F$228:AD228))*IF('Project Returns'!$E$55="Annual",((1+IF(AE5&lt;='Project Assumptions'!$D$15,$C$258,$C$259))^(1/12)-1),IF(AE5&lt;='Project Assumptions'!$D$15,$C$258,$C$259)/12),0),0)</f>
        <v/>
      </c>
      <c r="AF260" s="372">
        <f>MAX(IF(AF5&lt;='Project Returns'!$F$32,(-SUM($F$225:AE225)+SUM($F$260:AE260)-SUM($F$226:AE226)-SUM($F$228:AE228))*IF('Project Returns'!$E$55="Annual",((1+IF(AF5&lt;='Project Assumptions'!$D$15,$C$258,$C$259))^(1/12)-1),IF(AF5&lt;='Project Assumptions'!$D$15,$C$258,$C$259)/12),0),0)</f>
        <v/>
      </c>
      <c r="AG260" s="372">
        <f>MAX(IF(AG5&lt;='Project Returns'!$F$32,(-SUM($F$225:AF225)+SUM($F$260:AF260)-SUM($F$226:AF226)-SUM($F$228:AF228))*IF('Project Returns'!$E$55="Annual",((1+IF(AG5&lt;='Project Assumptions'!$D$15,$C$258,$C$259))^(1/12)-1),IF(AG5&lt;='Project Assumptions'!$D$15,$C$258,$C$259)/12),0),0)</f>
        <v/>
      </c>
      <c r="AH260" s="372">
        <f>MAX(IF(AH5&lt;='Project Returns'!$F$32,(-SUM($F$225:AG225)+SUM($F$260:AG260)-SUM($F$226:AG226)-SUM($F$228:AG228))*IF('Project Returns'!$E$55="Annual",((1+IF(AH5&lt;='Project Assumptions'!$D$15,$C$258,$C$259))^(1/12)-1),IF(AH5&lt;='Project Assumptions'!$D$15,$C$258,$C$259)/12),0),0)</f>
        <v/>
      </c>
      <c r="AI260" s="372">
        <f>MAX(IF(AI5&lt;='Project Returns'!$F$32,(-SUM($F$225:AH225)+SUM($F$260:AH260)-SUM($F$226:AH226)-SUM($F$228:AH228))*IF('Project Returns'!$E$55="Annual",((1+IF(AI5&lt;='Project Assumptions'!$D$15,$C$258,$C$259))^(1/12)-1),IF(AI5&lt;='Project Assumptions'!$D$15,$C$258,$C$259)/12),0),0)</f>
        <v/>
      </c>
      <c r="AJ260" s="372">
        <f>MAX(IF(AJ5&lt;='Project Returns'!$F$32,(-SUM($F$225:AI225)+SUM($F$260:AI260)-SUM($F$226:AI226)-SUM($F$228:AI228))*IF('Project Returns'!$E$55="Annual",((1+IF(AJ5&lt;='Project Assumptions'!$D$15,$C$258,$C$259))^(1/12)-1),IF(AJ5&lt;='Project Assumptions'!$D$15,$C$258,$C$259)/12),0),0)</f>
        <v/>
      </c>
      <c r="AK260" s="372">
        <f>MAX(IF(AK5&lt;='Project Returns'!$F$32,(-SUM($F$225:AJ225)+SUM($F$260:AJ260)-SUM($F$226:AJ226)-SUM($F$228:AJ228))*IF('Project Returns'!$E$55="Annual",((1+IF(AK5&lt;='Project Assumptions'!$D$15,$C$258,$C$259))^(1/12)-1),IF(AK5&lt;='Project Assumptions'!$D$15,$C$258,$C$259)/12),0),0)</f>
        <v/>
      </c>
      <c r="AL260" s="372">
        <f>MAX(IF(AL5&lt;='Project Returns'!$F$32,(-SUM($F$225:AK225)+SUM($F$260:AK260)-SUM($F$226:AK226)-SUM($F$228:AK228))*IF('Project Returns'!$E$55="Annual",((1+IF(AL5&lt;='Project Assumptions'!$D$15,$C$258,$C$259))^(1/12)-1),IF(AL5&lt;='Project Assumptions'!$D$15,$C$258,$C$259)/12),0),0)</f>
        <v/>
      </c>
      <c r="AM260" s="372">
        <f>MAX(IF(AM5&lt;='Project Returns'!$F$32,(-SUM($F$225:AL225)+SUM($F$260:AL260)-SUM($F$226:AL226)-SUM($F$228:AL228))*IF('Project Returns'!$E$55="Annual",((1+IF(AM5&lt;='Project Assumptions'!$D$15,$C$258,$C$259))^(1/12)-1),IF(AM5&lt;='Project Assumptions'!$D$15,$C$258,$C$259)/12),0),0)</f>
        <v/>
      </c>
      <c r="AN260" s="372">
        <f>MAX(IF(AN5&lt;='Project Returns'!$F$32,(-SUM($F$225:AM225)+SUM($F$260:AM260)-SUM($F$226:AM226)-SUM($F$228:AM228))*IF('Project Returns'!$E$55="Annual",((1+IF(AN5&lt;='Project Assumptions'!$D$15,$C$258,$C$259))^(1/12)-1),IF(AN5&lt;='Project Assumptions'!$D$15,$C$258,$C$259)/12),0),0)</f>
        <v/>
      </c>
      <c r="AO260" s="372">
        <f>MAX(IF(AO5&lt;='Project Returns'!$F$32,(-SUM($F$225:AN225)+SUM($F$260:AN260)-SUM($F$226:AN226)-SUM($F$228:AN228))*IF('Project Returns'!$E$55="Annual",((1+IF(AO5&lt;='Project Assumptions'!$D$15,$C$258,$C$259))^(1/12)-1),IF(AO5&lt;='Project Assumptions'!$D$15,$C$258,$C$259)/12),0),0)</f>
        <v/>
      </c>
      <c r="AP260" s="372">
        <f>MAX(IF(AP5&lt;='Project Returns'!$F$32,(-SUM($F$225:AO225)+SUM($F$260:AO260)-SUM($F$226:AO226)-SUM($F$228:AO228))*IF('Project Returns'!$E$55="Annual",((1+IF(AP5&lt;='Project Assumptions'!$D$15,$C$258,$C$259))^(1/12)-1),IF(AP5&lt;='Project Assumptions'!$D$15,$C$258,$C$259)/12),0),0)</f>
        <v/>
      </c>
      <c r="AQ260" s="372">
        <f>MAX(IF(AQ5&lt;='Project Returns'!$F$32,(-SUM($F$225:AP225)+SUM($F$260:AP260)-SUM($F$226:AP226)-SUM($F$228:AP228))*IF('Project Returns'!$E$55="Annual",((1+IF(AQ5&lt;='Project Assumptions'!$D$15,$C$258,$C$259))^(1/12)-1),IF(AQ5&lt;='Project Assumptions'!$D$15,$C$258,$C$259)/12),0),0)</f>
        <v/>
      </c>
      <c r="AR260" s="372">
        <f>MAX(IF(AR5&lt;='Project Returns'!$F$32,(-SUM($F$225:AQ225)+SUM($F$260:AQ260)-SUM($F$226:AQ226)-SUM($F$228:AQ228))*IF('Project Returns'!$E$55="Annual",((1+IF(AR5&lt;='Project Assumptions'!$D$15,$C$258,$C$259))^(1/12)-1),IF(AR5&lt;='Project Assumptions'!$D$15,$C$258,$C$259)/12),0),0)</f>
        <v/>
      </c>
      <c r="AS260" s="372">
        <f>MAX(IF(AS5&lt;='Project Returns'!$F$32,(-SUM($F$225:AR225)+SUM($F$260:AR260)-SUM($F$226:AR226)-SUM($F$228:AR228))*IF('Project Returns'!$E$55="Annual",((1+IF(AS5&lt;='Project Assumptions'!$D$15,$C$258,$C$259))^(1/12)-1),IF(AS5&lt;='Project Assumptions'!$D$15,$C$258,$C$259)/12),0),0)</f>
        <v/>
      </c>
      <c r="AT260" s="372">
        <f>MAX(IF(AT5&lt;='Project Returns'!$F$32,(-SUM($F$225:AS225)+SUM($F$260:AS260)-SUM($F$226:AS226)-SUM($F$228:AS228))*IF('Project Returns'!$E$55="Annual",((1+IF(AT5&lt;='Project Assumptions'!$D$15,$C$258,$C$259))^(1/12)-1),IF(AT5&lt;='Project Assumptions'!$D$15,$C$258,$C$259)/12),0),0)</f>
        <v/>
      </c>
      <c r="AU260" s="372">
        <f>MAX(IF(AU5&lt;='Project Returns'!$F$32,(-SUM($F$225:AT225)+SUM($F$260:AT260)-SUM($F$226:AT226)-SUM($F$228:AT228))*IF('Project Returns'!$E$55="Annual",((1+IF(AU5&lt;='Project Assumptions'!$D$15,$C$258,$C$259))^(1/12)-1),IF(AU5&lt;='Project Assumptions'!$D$15,$C$258,$C$259)/12),0),0)</f>
        <v/>
      </c>
      <c r="AV260" s="372">
        <f>MAX(IF(AV5&lt;='Project Returns'!$F$32,(-SUM($F$225:AU225)+SUM($F$260:AU260)-SUM($F$226:AU226)-SUM($F$228:AU228))*IF('Project Returns'!$E$55="Annual",((1+IF(AV5&lt;='Project Assumptions'!$D$15,$C$258,$C$259))^(1/12)-1),IF(AV5&lt;='Project Assumptions'!$D$15,$C$258,$C$259)/12),0),0)</f>
        <v/>
      </c>
      <c r="AW260" s="372">
        <f>MAX(IF(AW5&lt;='Project Returns'!$F$32,(-SUM($F$225:AV225)+SUM($F$260:AV260)-SUM($F$226:AV226)-SUM($F$228:AV228))*IF('Project Returns'!$E$55="Annual",((1+IF(AW5&lt;='Project Assumptions'!$D$15,$C$258,$C$259))^(1/12)-1),IF(AW5&lt;='Project Assumptions'!$D$15,$C$258,$C$259)/12),0),0)</f>
        <v/>
      </c>
      <c r="AX260" s="372">
        <f>MAX(IF(AX5&lt;='Project Returns'!$F$32,(-SUM($F$225:AW225)+SUM($F$260:AW260)-SUM($F$226:AW226)-SUM($F$228:AW228))*IF('Project Returns'!$E$55="Annual",((1+IF(AX5&lt;='Project Assumptions'!$D$15,$C$258,$C$259))^(1/12)-1),IF(AX5&lt;='Project Assumptions'!$D$15,$C$258,$C$259)/12),0),0)</f>
        <v/>
      </c>
      <c r="AY260" s="372">
        <f>MAX(IF(AY5&lt;='Project Returns'!$F$32,(-SUM($F$225:AX225)+SUM($F$260:AX260)-SUM($F$226:AX226)-SUM($F$228:AX228))*IF('Project Returns'!$E$55="Annual",((1+IF(AY5&lt;='Project Assumptions'!$D$15,$C$258,$C$259))^(1/12)-1),IF(AY5&lt;='Project Assumptions'!$D$15,$C$258,$C$259)/12),0),0)</f>
        <v/>
      </c>
      <c r="AZ260" s="372">
        <f>MAX(IF(AZ5&lt;='Project Returns'!$F$32,(-SUM($F$225:AY225)+SUM($F$260:AY260)-SUM($F$226:AY226)-SUM($F$228:AY228))*IF('Project Returns'!$E$55="Annual",((1+IF(AZ5&lt;='Project Assumptions'!$D$15,$C$258,$C$259))^(1/12)-1),IF(AZ5&lt;='Project Assumptions'!$D$15,$C$258,$C$259)/12),0),0)</f>
        <v/>
      </c>
      <c r="BA260" s="372">
        <f>MAX(IF(BA5&lt;='Project Returns'!$F$32,(-SUM($F$225:AZ225)+SUM($F$260:AZ260)-SUM($F$226:AZ226)-SUM($F$228:AZ228))*IF('Project Returns'!$E$55="Annual",((1+IF(BA5&lt;='Project Assumptions'!$D$15,$C$258,$C$259))^(1/12)-1),IF(BA5&lt;='Project Assumptions'!$D$15,$C$258,$C$259)/12),0),0)</f>
        <v/>
      </c>
      <c r="BB260" s="372">
        <f>MAX(IF(BB5&lt;='Project Returns'!$F$32,(-SUM($F$225:BA225)+SUM($F$260:BA260)-SUM($F$226:BA226)-SUM($F$228:BA228))*IF('Project Returns'!$E$55="Annual",((1+IF(BB5&lt;='Project Assumptions'!$D$15,$C$258,$C$259))^(1/12)-1),IF(BB5&lt;='Project Assumptions'!$D$15,$C$258,$C$259)/12),0),0)</f>
        <v/>
      </c>
      <c r="BC260" s="372">
        <f>MAX(IF(BC5&lt;='Project Returns'!$F$32,(-SUM($F$225:BB225)+SUM($F$260:BB260)-SUM($F$226:BB226)-SUM($F$228:BB228))*IF('Project Returns'!$E$55="Annual",((1+IF(BC5&lt;='Project Assumptions'!$D$15,$C$258,$C$259))^(1/12)-1),IF(BC5&lt;='Project Assumptions'!$D$15,$C$258,$C$259)/12),0),0)</f>
        <v/>
      </c>
      <c r="BD260" s="372">
        <f>MAX(IF(BD5&lt;='Project Returns'!$F$32,(-SUM($F$225:BC225)+SUM($F$260:BC260)-SUM($F$226:BC226)-SUM($F$228:BC228))*IF('Project Returns'!$E$55="Annual",((1+IF(BD5&lt;='Project Assumptions'!$D$15,$C$258,$C$259))^(1/12)-1),IF(BD5&lt;='Project Assumptions'!$D$15,$C$258,$C$259)/12),0),0)</f>
        <v/>
      </c>
      <c r="BE260" s="372">
        <f>MAX(IF(BE5&lt;='Project Returns'!$F$32,(-SUM($F$225:BD225)+SUM($F$260:BD260)-SUM($F$226:BD226)-SUM($F$228:BD228))*IF('Project Returns'!$E$55="Annual",((1+IF(BE5&lt;='Project Assumptions'!$D$15,$C$258,$C$259))^(1/12)-1),IF(BE5&lt;='Project Assumptions'!$D$15,$C$258,$C$259)/12),0),0)</f>
        <v/>
      </c>
      <c r="BF260" s="372">
        <f>MAX(IF(BF5&lt;='Project Returns'!$F$32,(-SUM($F$225:BE225)+SUM($F$260:BE260)-SUM($F$226:BE226)-SUM($F$228:BE228))*IF('Project Returns'!$E$55="Annual",((1+IF(BF5&lt;='Project Assumptions'!$D$15,$C$258,$C$259))^(1/12)-1),IF(BF5&lt;='Project Assumptions'!$D$15,$C$258,$C$259)/12),0),0)</f>
        <v/>
      </c>
      <c r="BG260" s="372">
        <f>MAX(IF(BG5&lt;='Project Returns'!$F$32,(-SUM($F$225:BF225)+SUM($F$260:BF260)-SUM($F$226:BF226)-SUM($F$228:BF228))*IF('Project Returns'!$E$55="Annual",((1+IF(BG5&lt;='Project Assumptions'!$D$15,$C$258,$C$259))^(1/12)-1),IF(BG5&lt;='Project Assumptions'!$D$15,$C$258,$C$259)/12),0),0)</f>
        <v/>
      </c>
      <c r="BH260" s="372">
        <f>MAX(IF(BH5&lt;='Project Returns'!$F$32,(-SUM($F$225:BG225)+SUM($F$260:BG260)-SUM($F$226:BG226)-SUM($F$228:BG228))*IF('Project Returns'!$E$55="Annual",((1+IF(BH5&lt;='Project Assumptions'!$D$15,$C$258,$C$259))^(1/12)-1),IF(BH5&lt;='Project Assumptions'!$D$15,$C$258,$C$259)/12),0),0)</f>
        <v/>
      </c>
      <c r="BI260" s="372">
        <f>MAX(IF(BI5&lt;='Project Returns'!$F$32,(-SUM($F$225:BH225)+SUM($F$260:BH260)-SUM($F$226:BH226)-SUM($F$228:BH228))*IF('Project Returns'!$E$55="Annual",((1+IF(BI5&lt;='Project Assumptions'!$D$15,$C$258,$C$259))^(1/12)-1),IF(BI5&lt;='Project Assumptions'!$D$15,$C$258,$C$259)/12),0),0)</f>
        <v/>
      </c>
      <c r="BJ260" s="372">
        <f>MAX(IF(BJ5&lt;='Project Returns'!$F$32,(-SUM($F$225:BI225)+SUM($F$260:BI260)-SUM($F$226:BI226)-SUM($F$228:BI228))*IF('Project Returns'!$E$55="Annual",((1+IF(BJ5&lt;='Project Assumptions'!$D$15,$C$258,$C$259))^(1/12)-1),IF(BJ5&lt;='Project Assumptions'!$D$15,$C$258,$C$259)/12),0),0)</f>
        <v/>
      </c>
      <c r="BK260" s="372">
        <f>MAX(IF(BK5&lt;='Project Returns'!$F$32,(-SUM($F$225:BJ225)+SUM($F$260:BJ260)-SUM($F$226:BJ226)-SUM($F$228:BJ228))*IF('Project Returns'!$E$55="Annual",((1+IF(BK5&lt;='Project Assumptions'!$D$15,$C$258,$C$259))^(1/12)-1),IF(BK5&lt;='Project Assumptions'!$D$15,$C$258,$C$259)/12),0),0)</f>
        <v/>
      </c>
      <c r="BL260" s="372">
        <f>MAX(IF(BL5&lt;='Project Returns'!$F$32,(-SUM($F$225:BK225)+SUM($F$260:BK260)-SUM($F$226:BK226)-SUM($F$228:BK228))*IF('Project Returns'!$E$55="Annual",((1+IF(BL5&lt;='Project Assumptions'!$D$15,$C$258,$C$259))^(1/12)-1),IF(BL5&lt;='Project Assumptions'!$D$15,$C$258,$C$259)/12),0),0)</f>
        <v/>
      </c>
      <c r="BM260" s="372">
        <f>MAX(IF(BM5&lt;='Project Returns'!$F$32,(-SUM($F$225:BL225)+SUM($F$260:BL260)-SUM($F$226:BL226)-SUM($F$228:BL228))*IF('Project Returns'!$E$55="Annual",((1+IF(BM5&lt;='Project Assumptions'!$D$15,$C$258,$C$259))^(1/12)-1),IF(BM5&lt;='Project Assumptions'!$D$15,$C$258,$C$259)/12),0),0)</f>
        <v/>
      </c>
      <c r="BN260" s="372">
        <f>MAX(IF(BN5&lt;='Project Returns'!$F$32,(-SUM($F$225:BM225)+SUM($F$260:BM260)-SUM($F$226:BM226)-SUM($F$228:BM228))*IF('Project Returns'!$E$55="Annual",((1+IF(BN5&lt;='Project Assumptions'!$D$15,$C$258,$C$259))^(1/12)-1),IF(BN5&lt;='Project Assumptions'!$D$15,$C$258,$C$259)/12),0),0)</f>
        <v/>
      </c>
      <c r="BO260" s="372">
        <f>MAX(IF(BO5&lt;='Project Returns'!$F$32,(-SUM($F$225:BN225)+SUM($F$260:BN260)-SUM($F$226:BN226)-SUM($F$228:BN228))*IF('Project Returns'!$E$55="Annual",((1+IF(BO5&lt;='Project Assumptions'!$D$15,$C$258,$C$259))^(1/12)-1),IF(BO5&lt;='Project Assumptions'!$D$15,$C$258,$C$259)/12),0),0)</f>
        <v/>
      </c>
      <c r="BP260" s="372">
        <f>MAX(IF(BP5&lt;='Project Returns'!$F$32,(-SUM($F$225:BO225)+SUM($F$260:BO260)-SUM($F$226:BO226)-SUM($F$228:BO228))*IF('Project Returns'!$E$55="Annual",((1+IF(BP5&lt;='Project Assumptions'!$D$15,$C$258,$C$259))^(1/12)-1),IF(BP5&lt;='Project Assumptions'!$D$15,$C$258,$C$259)/12),0),0)</f>
        <v/>
      </c>
      <c r="BQ260" s="372">
        <f>MAX(IF(BQ5&lt;='Project Returns'!$F$32,(-SUM($F$225:BP225)+SUM($F$260:BP260)-SUM($F$226:BP226)-SUM($F$228:BP228))*IF('Project Returns'!$E$55="Annual",((1+IF(BQ5&lt;='Project Assumptions'!$D$15,$C$258,$C$259))^(1/12)-1),IF(BQ5&lt;='Project Assumptions'!$D$15,$C$258,$C$259)/12),0),0)</f>
        <v/>
      </c>
      <c r="BR260" s="372">
        <f>MAX(IF(BR5&lt;='Project Returns'!$F$32,(-SUM($F$225:BQ225)+SUM($F$260:BQ260)-SUM($F$226:BQ226)-SUM($F$228:BQ228))*IF('Project Returns'!$E$55="Annual",((1+IF(BR5&lt;='Project Assumptions'!$D$15,$C$258,$C$259))^(1/12)-1),IF(BR5&lt;='Project Assumptions'!$D$15,$C$258,$C$259)/12),0),0)</f>
        <v/>
      </c>
      <c r="BS260" s="372">
        <f>MAX(IF(BS5&lt;='Project Returns'!$F$32,(-SUM($F$225:BR225)+SUM($F$260:BR260)-SUM($F$226:BR226)-SUM($F$228:BR228))*IF('Project Returns'!$E$55="Annual",((1+IF(BS5&lt;='Project Assumptions'!$D$15,$C$258,$C$259))^(1/12)-1),IF(BS5&lt;='Project Assumptions'!$D$15,$C$258,$C$259)/12),0),0)</f>
        <v/>
      </c>
      <c r="BT260" s="372">
        <f>MAX(IF(BT5&lt;='Project Returns'!$F$32,(-SUM($F$225:BS225)+SUM($F$260:BS260)-SUM($F$226:BS226)-SUM($F$228:BS228))*IF('Project Returns'!$E$55="Annual",((1+IF(BT5&lt;='Project Assumptions'!$D$15,$C$258,$C$259))^(1/12)-1),IF(BT5&lt;='Project Assumptions'!$D$15,$C$258,$C$259)/12),0),0)</f>
        <v/>
      </c>
      <c r="BU260" s="372">
        <f>MAX(IF(BU5&lt;='Project Returns'!$F$32,(-SUM($F$225:BT225)+SUM($F$260:BT260)-SUM($F$226:BT226)-SUM($F$228:BT228))*IF('Project Returns'!$E$55="Annual",((1+IF(BU5&lt;='Project Assumptions'!$D$15,$C$258,$C$259))^(1/12)-1),IF(BU5&lt;='Project Assumptions'!$D$15,$C$258,$C$259)/12),0),0)</f>
        <v/>
      </c>
      <c r="BV260" s="372">
        <f>MAX(IF(BV5&lt;='Project Returns'!$F$32,(-SUM($F$225:BU225)+SUM($F$260:BU260)-SUM($F$226:BU226)-SUM($F$228:BU228))*IF('Project Returns'!$E$55="Annual",((1+IF(BV5&lt;='Project Assumptions'!$D$15,$C$258,$C$259))^(1/12)-1),IF(BV5&lt;='Project Assumptions'!$D$15,$C$258,$C$259)/12),0),0)</f>
        <v/>
      </c>
      <c r="BW260" s="372">
        <f>MAX(IF(BW5&lt;='Project Returns'!$F$32,(-SUM($F$225:BV225)+SUM($F$260:BV260)-SUM($F$226:BV226)-SUM($F$228:BV228))*IF('Project Returns'!$E$55="Annual",((1+IF(BW5&lt;='Project Assumptions'!$D$15,$C$258,$C$259))^(1/12)-1),IF(BW5&lt;='Project Assumptions'!$D$15,$C$258,$C$259)/12),0),0)</f>
        <v/>
      </c>
      <c r="BX260" s="372">
        <f>MAX(IF(BX5&lt;='Project Returns'!$F$32,(-SUM($F$225:BW225)+SUM($F$260:BW260)-SUM($F$226:BW226)-SUM($F$228:BW228))*IF('Project Returns'!$E$55="Annual",((1+IF(BX5&lt;='Project Assumptions'!$D$15,$C$258,$C$259))^(1/12)-1),IF(BX5&lt;='Project Assumptions'!$D$15,$C$258,$C$259)/12),0),0)</f>
        <v/>
      </c>
      <c r="BY260" s="372">
        <f>MAX(IF(BY5&lt;='Project Returns'!$F$32,(-SUM($F$225:BX225)+SUM($F$260:BX260)-SUM($F$226:BX226)-SUM($F$228:BX228))*IF('Project Returns'!$E$55="Annual",((1+IF(BY5&lt;='Project Assumptions'!$D$15,$C$258,$C$259))^(1/12)-1),IF(BY5&lt;='Project Assumptions'!$D$15,$C$258,$C$259)/12),0),0)</f>
        <v/>
      </c>
      <c r="BZ260" s="372">
        <f>MAX(IF(BZ5&lt;='Project Returns'!$F$32,(-SUM($F$225:BY225)+SUM($F$260:BY260)-SUM($F$226:BY226)-SUM($F$228:BY228))*IF('Project Returns'!$E$55="Annual",((1+IF(BZ5&lt;='Project Assumptions'!$D$15,$C$258,$C$259))^(1/12)-1),IF(BZ5&lt;='Project Assumptions'!$D$15,$C$258,$C$259)/12),0),0)</f>
        <v/>
      </c>
      <c r="CA260" s="372">
        <f>MAX(IF(CA5&lt;='Project Returns'!$F$32,(-SUM($F$225:BZ225)+SUM($F$260:BZ260)-SUM($F$226:BZ226)-SUM($F$228:BZ228))*IF('Project Returns'!$E$55="Annual",((1+IF(CA5&lt;='Project Assumptions'!$D$15,$C$258,$C$259))^(1/12)-1),IF(CA5&lt;='Project Assumptions'!$D$15,$C$258,$C$259)/12),0),0)</f>
        <v/>
      </c>
      <c r="CB260" s="372">
        <f>MAX(IF(CB5&lt;='Project Returns'!$F$32,(-SUM($F$225:CA225)+SUM($F$260:CA260)-SUM($F$226:CA226)-SUM($F$228:CA228))*IF('Project Returns'!$E$55="Annual",((1+IF(CB5&lt;='Project Assumptions'!$D$15,$C$258,$C$259))^(1/12)-1),IF(CB5&lt;='Project Assumptions'!$D$15,$C$258,$C$259)/12),0),0)</f>
        <v/>
      </c>
      <c r="CC260" s="372">
        <f>MAX(IF(CC5&lt;='Project Returns'!$F$32,(-SUM($F$225:CB225)+SUM($F$260:CB260)-SUM($F$226:CB226)-SUM($F$228:CB228))*IF('Project Returns'!$E$55="Annual",((1+IF(CC5&lt;='Project Assumptions'!$D$15,$C$258,$C$259))^(1/12)-1),IF(CC5&lt;='Project Assumptions'!$D$15,$C$258,$C$259)/12),0),0)</f>
        <v/>
      </c>
      <c r="CD260" s="372">
        <f>MAX(IF(CD5&lt;='Project Returns'!$F$32,(-SUM($F$225:CC225)+SUM($F$260:CC260)-SUM($F$226:CC226)-SUM($F$228:CC228))*IF('Project Returns'!$E$55="Annual",((1+IF(CD5&lt;='Project Assumptions'!$D$15,$C$258,$C$259))^(1/12)-1),IF(CD5&lt;='Project Assumptions'!$D$15,$C$258,$C$259)/12),0),0)</f>
        <v/>
      </c>
      <c r="CE260" s="372">
        <f>MAX(IF(CE5&lt;='Project Returns'!$F$32,(-SUM($F$225:CD225)+SUM($F$260:CD260)-SUM($F$226:CD226)-SUM($F$228:CD228))*IF('Project Returns'!$E$55="Annual",((1+IF(CE5&lt;='Project Assumptions'!$D$15,$C$258,$C$259))^(1/12)-1),IF(CE5&lt;='Project Assumptions'!$D$15,$C$258,$C$259)/12),0),0)</f>
        <v/>
      </c>
      <c r="CF260" s="372">
        <f>MAX(IF(CF5&lt;='Project Returns'!$F$32,(-SUM($F$225:CE225)+SUM($F$260:CE260)-SUM($F$226:CE226)-SUM($F$228:CE228))*IF('Project Returns'!$E$55="Annual",((1+IF(CF5&lt;='Project Assumptions'!$D$15,$C$258,$C$259))^(1/12)-1),IF(CF5&lt;='Project Assumptions'!$D$15,$C$258,$C$259)/12),0),0)</f>
        <v/>
      </c>
      <c r="CG260" s="372">
        <f>MAX(IF(CG5&lt;='Project Returns'!$F$32,(-SUM($F$225:CF225)+SUM($F$260:CF260)-SUM($F$226:CF226)-SUM($F$228:CF228))*IF('Project Returns'!$E$55="Annual",((1+IF(CG5&lt;='Project Assumptions'!$D$15,$C$258,$C$259))^(1/12)-1),IF(CG5&lt;='Project Assumptions'!$D$15,$C$258,$C$259)/12),0),0)</f>
        <v/>
      </c>
      <c r="CH260" s="372">
        <f>MAX(IF(CH5&lt;='Project Returns'!$F$32,(-SUM($F$225:CG225)+SUM($F$260:CG260)-SUM($F$226:CG226)-SUM($F$228:CG228))*IF('Project Returns'!$E$55="Annual",((1+IF(CH5&lt;='Project Assumptions'!$D$15,$C$258,$C$259))^(1/12)-1),IF(CH5&lt;='Project Assumptions'!$D$15,$C$258,$C$259)/12),0),0)</f>
        <v/>
      </c>
      <c r="CI260" s="372">
        <f>MAX(IF(CI5&lt;='Project Returns'!$F$32,(-SUM($F$225:CH225)+SUM($F$260:CH260)-SUM($F$226:CH226)-SUM($F$228:CH228))*IF('Project Returns'!$E$55="Annual",((1+IF(CI5&lt;='Project Assumptions'!$D$15,$C$258,$C$259))^(1/12)-1),IF(CI5&lt;='Project Assumptions'!$D$15,$C$258,$C$259)/12),0),0)</f>
        <v/>
      </c>
      <c r="CJ260" s="372">
        <f>MAX(IF(CJ5&lt;='Project Returns'!$F$32,(-SUM($F$225:CI225)+SUM($F$260:CI260)-SUM($F$226:CI226)-SUM($F$228:CI228))*IF('Project Returns'!$E$55="Annual",((1+IF(CJ5&lt;='Project Assumptions'!$D$15,$C$258,$C$259))^(1/12)-1),IF(CJ5&lt;='Project Assumptions'!$D$15,$C$258,$C$259)/12),0),0)</f>
        <v/>
      </c>
      <c r="CK260" s="372">
        <f>MAX(IF(CK5&lt;='Project Returns'!$F$32,(-SUM($F$225:CJ225)+SUM($F$260:CJ260)-SUM($F$226:CJ226)-SUM($F$228:CJ228))*IF('Project Returns'!$E$55="Annual",((1+IF(CK5&lt;='Project Assumptions'!$D$15,$C$258,$C$259))^(1/12)-1),IF(CK5&lt;='Project Assumptions'!$D$15,$C$258,$C$259)/12),0),0)</f>
        <v/>
      </c>
      <c r="CL260" s="372">
        <f>MAX(IF(CL5&lt;='Project Returns'!$F$32,(-SUM($F$225:CK225)+SUM($F$260:CK260)-SUM($F$226:CK226)-SUM($F$228:CK228))*IF('Project Returns'!$E$55="Annual",((1+IF(CL5&lt;='Project Assumptions'!$D$15,$C$258,$C$259))^(1/12)-1),IF(CL5&lt;='Project Assumptions'!$D$15,$C$258,$C$259)/12),0),0)</f>
        <v/>
      </c>
      <c r="CM260" s="372">
        <f>MAX(IF(CM5&lt;='Project Returns'!$F$32,(-SUM($F$225:CL225)+SUM($F$260:CL260)-SUM($F$226:CL226)-SUM($F$228:CL228))*IF('Project Returns'!$E$55="Annual",((1+IF(CM5&lt;='Project Assumptions'!$D$15,$C$258,$C$259))^(1/12)-1),IF(CM5&lt;='Project Assumptions'!$D$15,$C$258,$C$259)/12),0),0)</f>
        <v/>
      </c>
      <c r="CN260" s="372">
        <f>MAX(IF(CN5&lt;='Project Returns'!$F$32,(-SUM($F$225:CM225)+SUM($F$260:CM260)-SUM($F$226:CM226)-SUM($F$228:CM228))*IF('Project Returns'!$E$55="Annual",((1+IF(CN5&lt;='Project Assumptions'!$D$15,$C$258,$C$259))^(1/12)-1),IF(CN5&lt;='Project Assumptions'!$D$15,$C$258,$C$259)/12),0),0)</f>
        <v/>
      </c>
      <c r="CO260" s="372">
        <f>MAX(IF(CO5&lt;='Project Returns'!$F$32,(-SUM($F$225:CN225)+SUM($F$260:CN260)-SUM($F$226:CN226)-SUM($F$228:CN228))*IF('Project Returns'!$E$55="Annual",((1+IF(CO5&lt;='Project Assumptions'!$D$15,$C$258,$C$259))^(1/12)-1),IF(CO5&lt;='Project Assumptions'!$D$15,$C$258,$C$259)/12),0),0)</f>
        <v/>
      </c>
      <c r="CP260" s="372">
        <f>MAX(IF(CP5&lt;='Project Returns'!$F$32,(-SUM($F$225:CO225)+SUM($F$260:CO260)-SUM($F$226:CO226)-SUM($F$228:CO228))*IF('Project Returns'!$E$55="Annual",((1+IF(CP5&lt;='Project Assumptions'!$D$15,$C$258,$C$259))^(1/12)-1),IF(CP5&lt;='Project Assumptions'!$D$15,$C$258,$C$259)/12),0),0)</f>
        <v/>
      </c>
      <c r="CQ260" s="372">
        <f>MAX(IF(CQ5&lt;='Project Returns'!$F$32,(-SUM($F$225:CP225)+SUM($F$260:CP260)-SUM($F$226:CP226)-SUM($F$228:CP228))*IF('Project Returns'!$E$55="Annual",((1+IF(CQ5&lt;='Project Assumptions'!$D$15,$C$258,$C$259))^(1/12)-1),IF(CQ5&lt;='Project Assumptions'!$D$15,$C$258,$C$259)/12),0),0)</f>
        <v/>
      </c>
      <c r="CR260" s="372">
        <f>MAX(IF(CR5&lt;='Project Returns'!$F$32,(-SUM($F$225:CQ225)+SUM($F$260:CQ260)-SUM($F$226:CQ226)-SUM($F$228:CQ228))*IF('Project Returns'!$E$55="Annual",((1+IF(CR5&lt;='Project Assumptions'!$D$15,$C$258,$C$259))^(1/12)-1),IF(CR5&lt;='Project Assumptions'!$D$15,$C$258,$C$259)/12),0),0)</f>
        <v/>
      </c>
      <c r="CS260" s="372">
        <f>MAX(IF(CS5&lt;='Project Returns'!$F$32,(-SUM($F$225:CR225)+SUM($F$260:CR260)-SUM($F$226:CR226)-SUM($F$228:CR228))*IF('Project Returns'!$E$55="Annual",((1+IF(CS5&lt;='Project Assumptions'!$D$15,$C$258,$C$259))^(1/12)-1),IF(CS5&lt;='Project Assumptions'!$D$15,$C$258,$C$259)/12),0),0)</f>
        <v/>
      </c>
      <c r="CT260" s="372">
        <f>MAX(IF(CT5&lt;='Project Returns'!$F$32,(-SUM($F$225:CS225)+SUM($F$260:CS260)-SUM($F$226:CS226)-SUM($F$228:CS228))*IF('Project Returns'!$E$55="Annual",((1+IF(CT5&lt;='Project Assumptions'!$D$15,$C$258,$C$259))^(1/12)-1),IF(CT5&lt;='Project Assumptions'!$D$15,$C$258,$C$259)/12),0),0)</f>
        <v/>
      </c>
      <c r="CU260" s="372">
        <f>MAX(IF(CU5&lt;='Project Returns'!$F$32,(-SUM($F$225:CT225)+SUM($F$260:CT260)-SUM($F$226:CT226)-SUM($F$228:CT228))*IF('Project Returns'!$E$55="Annual",((1+IF(CU5&lt;='Project Assumptions'!$D$15,$C$258,$C$259))^(1/12)-1),IF(CU5&lt;='Project Assumptions'!$D$15,$C$258,$C$259)/12),0),0)</f>
        <v/>
      </c>
      <c r="CV260" s="372">
        <f>MAX(IF(CV5&lt;='Project Returns'!$F$32,(-SUM($F$225:CU225)+SUM($F$260:CU260)-SUM($F$226:CU226)-SUM($F$228:CU228))*IF('Project Returns'!$E$55="Annual",((1+IF(CV5&lt;='Project Assumptions'!$D$15,$C$258,$C$259))^(1/12)-1),IF(CV5&lt;='Project Assumptions'!$D$15,$C$258,$C$259)/12),0),0)</f>
        <v/>
      </c>
      <c r="CW260" s="372">
        <f>MAX(IF(CW5&lt;='Project Returns'!$F$32,(-SUM($F$225:CV225)+SUM($F$260:CV260)-SUM($F$226:CV226)-SUM($F$228:CV228))*IF('Project Returns'!$E$55="Annual",((1+IF(CW5&lt;='Project Assumptions'!$D$15,$C$258,$C$259))^(1/12)-1),IF(CW5&lt;='Project Assumptions'!$D$15,$C$258,$C$259)/12),0),0)</f>
        <v/>
      </c>
      <c r="CX260" s="372">
        <f>MAX(IF(CX5&lt;='Project Returns'!$F$32,(-SUM($F$225:CW225)+SUM($F$260:CW260)-SUM($F$226:CW226)-SUM($F$228:CW228))*IF('Project Returns'!$E$55="Annual",((1+IF(CX5&lt;='Project Assumptions'!$D$15,$C$258,$C$259))^(1/12)-1),IF(CX5&lt;='Project Assumptions'!$D$15,$C$258,$C$259)/12),0),0)</f>
        <v/>
      </c>
      <c r="CY260" s="372">
        <f>MAX(IF(CY5&lt;='Project Returns'!$F$32,(-SUM($F$225:CX225)+SUM($F$260:CX260)-SUM($F$226:CX226)-SUM($F$228:CX228))*IF('Project Returns'!$E$55="Annual",((1+IF(CY5&lt;='Project Assumptions'!$D$15,$C$258,$C$259))^(1/12)-1),IF(CY5&lt;='Project Assumptions'!$D$15,$C$258,$C$259)/12),0),0)</f>
        <v/>
      </c>
      <c r="CZ260" s="372">
        <f>MAX(IF(CZ5&lt;='Project Returns'!$F$32,(-SUM($F$225:CY225)+SUM($F$260:CY260)-SUM($F$226:CY226)-SUM($F$228:CY228))*IF('Project Returns'!$E$55="Annual",((1+IF(CZ5&lt;='Project Assumptions'!$D$15,$C$258,$C$259))^(1/12)-1),IF(CZ5&lt;='Project Assumptions'!$D$15,$C$258,$C$259)/12),0),0)</f>
        <v/>
      </c>
      <c r="DA260" s="372">
        <f>MAX(IF(DA5&lt;='Project Returns'!$F$32,(-SUM($F$225:CZ225)+SUM($F$260:CZ260)-SUM($F$226:CZ226)-SUM($F$228:CZ228))*IF('Project Returns'!$E$55="Annual",((1+IF(DA5&lt;='Project Assumptions'!$D$15,$C$258,$C$259))^(1/12)-1),IF(DA5&lt;='Project Assumptions'!$D$15,$C$258,$C$259)/12),0),0)</f>
        <v/>
      </c>
      <c r="DB260" s="372">
        <f>MAX(IF(DB5&lt;='Project Returns'!$F$32,(-SUM($F$225:DA225)+SUM($F$260:DA260)-SUM($F$226:DA226)-SUM($F$228:DA228))*IF('Project Returns'!$E$55="Annual",((1+IF(DB5&lt;='Project Assumptions'!$D$15,$C$258,$C$259))^(1/12)-1),IF(DB5&lt;='Project Assumptions'!$D$15,$C$258,$C$259)/12),0),0)</f>
        <v/>
      </c>
      <c r="DC260" s="372" t="n"/>
      <c r="DD260" s="731">
        <f>SUM(F260:DB260)</f>
        <v/>
      </c>
    </row>
    <row r="261" hidden="1" outlineLevel="1" ht="14.1" customHeight="1">
      <c r="A261" s="901" t="inlineStr">
        <is>
          <t>Developer</t>
        </is>
      </c>
      <c r="B261" s="901" t="n"/>
      <c r="C261" s="1138" t="n"/>
      <c r="D261" s="373">
        <f>DD261</f>
        <v/>
      </c>
      <c r="E261" s="903" t="n"/>
      <c r="F261" s="904" t="n"/>
      <c r="G261" s="904">
        <f>MAX(IF(G5&lt;='Project Returns'!$F$32,(-SUM($F$233:F233)+SUM($F$261:F261)-SUM($F$234:F234)-SUM($F$236:F236))*IF('Project Returns'!$E$55="Annual",((1+IF(G5&lt;='Project Assumptions'!$D$15,$C$258,$C$259))^(1/12)-1),IF(G5&lt;='Project Assumptions'!$D$15,$C$258,$C$259)/12),0),0)</f>
        <v/>
      </c>
      <c r="H261" s="904">
        <f>MAX(IF(H5&lt;='Project Returns'!$F$32,(-SUM($F$233:G233)+SUM($F$261:G261)-SUM($F$234:G234)-SUM($F$236:G236))*IF('Project Returns'!$E$55="Annual",((1+IF(H5&lt;='Project Assumptions'!$D$15,$C$258,$C$259))^(1/12)-1),IF(H5&lt;='Project Assumptions'!$D$15,$C$258,$C$259)/12),0),0)</f>
        <v/>
      </c>
      <c r="I261" s="904">
        <f>MAX(IF(I5&lt;='Project Returns'!$F$32,(-SUM($F$233:H233)+SUM($F$261:H261)-SUM($F$234:H234)-SUM($F$236:H236))*IF('Project Returns'!$E$55="Annual",((1+IF(I5&lt;='Project Assumptions'!$D$15,$C$258,$C$259))^(1/12)-1),IF(I5&lt;='Project Assumptions'!$D$15,$C$258,$C$259)/12),0),0)</f>
        <v/>
      </c>
      <c r="J261" s="904">
        <f>MAX(IF(J5&lt;='Project Returns'!$F$32,(-SUM($F$233:I233)+SUM($F$261:I261)-SUM($F$234:I234)-SUM($F$236:I236))*IF('Project Returns'!$E$55="Annual",((1+IF(J5&lt;='Project Assumptions'!$D$15,$C$258,$C$259))^(1/12)-1),IF(J5&lt;='Project Assumptions'!$D$15,$C$258,$C$259)/12),0),0)</f>
        <v/>
      </c>
      <c r="K261" s="904">
        <f>MAX(IF(K5&lt;='Project Returns'!$F$32,(-SUM($F$233:J233)+SUM($F$261:J261)-SUM($F$234:J234)-SUM($F$236:J236))*IF('Project Returns'!$E$55="Annual",((1+IF(K5&lt;='Project Assumptions'!$D$15,$C$258,$C$259))^(1/12)-1),IF(K5&lt;='Project Assumptions'!$D$15,$C$258,$C$259)/12),0),0)</f>
        <v/>
      </c>
      <c r="L261" s="904">
        <f>MAX(IF(L5&lt;='Project Returns'!$F$32,(-SUM($F$233:K233)+SUM($F$261:K261)-SUM($F$234:K234)-SUM($F$236:K236))*IF('Project Returns'!$E$55="Annual",((1+IF(L5&lt;='Project Assumptions'!$D$15,$C$258,$C$259))^(1/12)-1),IF(L5&lt;='Project Assumptions'!$D$15,$C$258,$C$259)/12),0),0)</f>
        <v/>
      </c>
      <c r="M261" s="904">
        <f>MAX(IF(M5&lt;='Project Returns'!$F$32,(-SUM($F$233:L233)+SUM($F$261:L261)-SUM($F$234:L234)-SUM($F$236:L236))*IF('Project Returns'!$E$55="Annual",((1+IF(M5&lt;='Project Assumptions'!$D$15,$C$258,$C$259))^(1/12)-1),IF(M5&lt;='Project Assumptions'!$D$15,$C$258,$C$259)/12),0),0)</f>
        <v/>
      </c>
      <c r="N261" s="904">
        <f>MAX(IF(N5&lt;='Project Returns'!$F$32,(-SUM($F$233:M233)+SUM($F$261:M261)-SUM($F$234:M234)-SUM($F$236:M236))*IF('Project Returns'!$E$55="Annual",((1+IF(N5&lt;='Project Assumptions'!$D$15,$C$258,$C$259))^(1/12)-1),IF(N5&lt;='Project Assumptions'!$D$15,$C$258,$C$259)/12),0),0)</f>
        <v/>
      </c>
      <c r="O261" s="904">
        <f>MAX(IF(O5&lt;='Project Returns'!$F$32,(-SUM($F$233:N233)+SUM($F$261:N261)-SUM($F$234:N234)-SUM($F$236:N236))*IF('Project Returns'!$E$55="Annual",((1+IF(O5&lt;='Project Assumptions'!$D$15,$C$258,$C$259))^(1/12)-1),IF(O5&lt;='Project Assumptions'!$D$15,$C$258,$C$259)/12),0),0)</f>
        <v/>
      </c>
      <c r="P261" s="904">
        <f>MAX(IF(P5&lt;='Project Returns'!$F$32,(-SUM($F$233:O233)+SUM($F$261:O261)-SUM($F$234:O234)-SUM($F$236:O236))*IF('Project Returns'!$E$55="Annual",((1+IF(P5&lt;='Project Assumptions'!$D$15,$C$258,$C$259))^(1/12)-1),IF(P5&lt;='Project Assumptions'!$D$15,$C$258,$C$259)/12),0),0)</f>
        <v/>
      </c>
      <c r="Q261" s="904">
        <f>MAX(IF(Q5&lt;='Project Returns'!$F$32,(-SUM($F$233:P233)+SUM($F$261:P261)-SUM($F$234:P234)-SUM($F$236:P236))*IF('Project Returns'!$E$55="Annual",((1+IF(Q5&lt;='Project Assumptions'!$D$15,$C$258,$C$259))^(1/12)-1),IF(Q5&lt;='Project Assumptions'!$D$15,$C$258,$C$259)/12),0),0)</f>
        <v/>
      </c>
      <c r="R261" s="904">
        <f>MAX(IF(R5&lt;='Project Returns'!$F$32,(-SUM($F$233:Q233)+SUM($F$261:Q261)-SUM($F$234:Q234)-SUM($F$236:Q236))*IF('Project Returns'!$E$55="Annual",((1+IF(R5&lt;='Project Assumptions'!$D$15,$C$258,$C$259))^(1/12)-1),IF(R5&lt;='Project Assumptions'!$D$15,$C$258,$C$259)/12),0),0)</f>
        <v/>
      </c>
      <c r="S261" s="904">
        <f>MAX(IF(S5&lt;='Project Returns'!$F$32,(-SUM($F$233:R233)+SUM($F$261:R261)-SUM($F$234:R234)-SUM($F$236:R236))*IF('Project Returns'!$E$55="Annual",((1+IF(S5&lt;='Project Assumptions'!$D$15,$C$258,$C$259))^(1/12)-1),IF(S5&lt;='Project Assumptions'!$D$15,$C$258,$C$259)/12),0),0)</f>
        <v/>
      </c>
      <c r="T261" s="904">
        <f>MAX(IF(T5&lt;='Project Returns'!$F$32,(-SUM($F$233:S233)+SUM($F$261:S261)-SUM($F$234:S234)-SUM($F$236:S236))*IF('Project Returns'!$E$55="Annual",((1+IF(T5&lt;='Project Assumptions'!$D$15,$C$258,$C$259))^(1/12)-1),IF(T5&lt;='Project Assumptions'!$D$15,$C$258,$C$259)/12),0),0)</f>
        <v/>
      </c>
      <c r="U261" s="904">
        <f>MAX(IF(U5&lt;='Project Returns'!$F$32,(-SUM($F$233:T233)+SUM($F$261:T261)-SUM($F$234:T234)-SUM($F$236:T236))*IF('Project Returns'!$E$55="Annual",((1+IF(U5&lt;='Project Assumptions'!$D$15,$C$258,$C$259))^(1/12)-1),IF(U5&lt;='Project Assumptions'!$D$15,$C$258,$C$259)/12),0),0)</f>
        <v/>
      </c>
      <c r="V261" s="904">
        <f>MAX(IF(V5&lt;='Project Returns'!$F$32,(-SUM($F$233:U233)+SUM($F$261:U261)-SUM($F$234:U234)-SUM($F$236:U236))*IF('Project Returns'!$E$55="Annual",((1+IF(V5&lt;='Project Assumptions'!$D$15,$C$258,$C$259))^(1/12)-1),IF(V5&lt;='Project Assumptions'!$D$15,$C$258,$C$259)/12),0),0)</f>
        <v/>
      </c>
      <c r="W261" s="904">
        <f>MAX(IF(W5&lt;='Project Returns'!$F$32,(-SUM($F$233:V233)+SUM($F$261:V261)-SUM($F$234:V234)-SUM($F$236:V236))*IF('Project Returns'!$E$55="Annual",((1+IF(W5&lt;='Project Assumptions'!$D$15,$C$258,$C$259))^(1/12)-1),IF(W5&lt;='Project Assumptions'!$D$15,$C$258,$C$259)/12),0),0)</f>
        <v/>
      </c>
      <c r="X261" s="904">
        <f>MAX(IF(X5&lt;='Project Returns'!$F$32,(-SUM($F$233:W233)+SUM($F$261:W261)-SUM($F$234:W234)-SUM($F$236:W236))*IF('Project Returns'!$E$55="Annual",((1+IF(X5&lt;='Project Assumptions'!$D$15,$C$258,$C$259))^(1/12)-1),IF(X5&lt;='Project Assumptions'!$D$15,$C$258,$C$259)/12),0),0)</f>
        <v/>
      </c>
      <c r="Y261" s="904">
        <f>MAX(IF(Y5&lt;='Project Returns'!$F$32,(-SUM($F$233:X233)+SUM($F$261:X261)-SUM($F$234:X234)-SUM($F$236:X236))*IF('Project Returns'!$E$55="Annual",((1+IF(Y5&lt;='Project Assumptions'!$D$15,$C$258,$C$259))^(1/12)-1),IF(Y5&lt;='Project Assumptions'!$D$15,$C$258,$C$259)/12),0),0)</f>
        <v/>
      </c>
      <c r="Z261" s="904">
        <f>MAX(IF(Z5&lt;='Project Returns'!$F$32,(-SUM($F$233:Y233)+SUM($F$261:Y261)-SUM($F$234:Y234)-SUM($F$236:Y236))*IF('Project Returns'!$E$55="Annual",((1+IF(Z5&lt;='Project Assumptions'!$D$15,$C$258,$C$259))^(1/12)-1),IF(Z5&lt;='Project Assumptions'!$D$15,$C$258,$C$259)/12),0),0)</f>
        <v/>
      </c>
      <c r="AA261" s="904">
        <f>MAX(IF(AA5&lt;='Project Returns'!$F$32,(-SUM($F$233:Z233)+SUM($F$261:Z261)-SUM($F$234:Z234)-SUM($F$236:Z236))*IF('Project Returns'!$E$55="Annual",((1+IF(AA5&lt;='Project Assumptions'!$D$15,$C$258,$C$259))^(1/12)-1),IF(AA5&lt;='Project Assumptions'!$D$15,$C$258,$C$259)/12),0),0)</f>
        <v/>
      </c>
      <c r="AB261" s="904">
        <f>MAX(IF(AB5&lt;='Project Returns'!$F$32,(-SUM($F$233:AA233)+SUM($F$261:AA261)-SUM($F$234:AA234)-SUM($F$236:AA236))*IF('Project Returns'!$E$55="Annual",((1+IF(AB5&lt;='Project Assumptions'!$D$15,$C$258,$C$259))^(1/12)-1),IF(AB5&lt;='Project Assumptions'!$D$15,$C$258,$C$259)/12),0),0)</f>
        <v/>
      </c>
      <c r="AC261" s="904">
        <f>MAX(IF(AC5&lt;='Project Returns'!$F$32,(-SUM($F$233:AB233)+SUM($F$261:AB261)-SUM($F$234:AB234)-SUM($F$236:AB236))*IF('Project Returns'!$E$55="Annual",((1+IF(AC5&lt;='Project Assumptions'!$D$15,$C$258,$C$259))^(1/12)-1),IF(AC5&lt;='Project Assumptions'!$D$15,$C$258,$C$259)/12),0),0)</f>
        <v/>
      </c>
      <c r="AD261" s="904">
        <f>MAX(IF(AD5&lt;='Project Returns'!$F$32,(-SUM($F$233:AC233)+SUM($F$261:AC261)-SUM($F$234:AC234)-SUM($F$236:AC236))*IF('Project Returns'!$E$55="Annual",((1+IF(AD5&lt;='Project Assumptions'!$D$15,$C$258,$C$259))^(1/12)-1),IF(AD5&lt;='Project Assumptions'!$D$15,$C$258,$C$259)/12),0),0)</f>
        <v/>
      </c>
      <c r="AE261" s="904">
        <f>MAX(IF(AE5&lt;='Project Returns'!$F$32,(-SUM($F$233:AD233)+SUM($F$261:AD261)-SUM($F$234:AD234)-SUM($F$236:AD236))*IF('Project Returns'!$E$55="Annual",((1+IF(AE5&lt;='Project Assumptions'!$D$15,$C$258,$C$259))^(1/12)-1),IF(AE5&lt;='Project Assumptions'!$D$15,$C$258,$C$259)/12),0),0)</f>
        <v/>
      </c>
      <c r="AF261" s="904">
        <f>MAX(IF(AF5&lt;='Project Returns'!$F$32,(-SUM($F$233:AE233)+SUM($F$261:AE261)-SUM($F$234:AE234)-SUM($F$236:AE236))*IF('Project Returns'!$E$55="Annual",((1+IF(AF5&lt;='Project Assumptions'!$D$15,$C$258,$C$259))^(1/12)-1),IF(AF5&lt;='Project Assumptions'!$D$15,$C$258,$C$259)/12),0),0)</f>
        <v/>
      </c>
      <c r="AG261" s="904">
        <f>MAX(IF(AG5&lt;='Project Returns'!$F$32,(-SUM($F$233:AF233)+SUM($F$261:AF261)-SUM($F$234:AF234)-SUM($F$236:AF236))*IF('Project Returns'!$E$55="Annual",((1+IF(AG5&lt;='Project Assumptions'!$D$15,$C$258,$C$259))^(1/12)-1),IF(AG5&lt;='Project Assumptions'!$D$15,$C$258,$C$259)/12),0),0)</f>
        <v/>
      </c>
      <c r="AH261" s="904">
        <f>MAX(IF(AH5&lt;='Project Returns'!$F$32,(-SUM($F$233:AG233)+SUM($F$261:AG261)-SUM($F$234:AG234)-SUM($F$236:AG236))*IF('Project Returns'!$E$55="Annual",((1+IF(AH5&lt;='Project Assumptions'!$D$15,$C$258,$C$259))^(1/12)-1),IF(AH5&lt;='Project Assumptions'!$D$15,$C$258,$C$259)/12),0),0)</f>
        <v/>
      </c>
      <c r="AI261" s="904">
        <f>MAX(IF(AI5&lt;='Project Returns'!$F$32,(-SUM($F$233:AH233)+SUM($F$261:AH261)-SUM($F$234:AH234)-SUM($F$236:AH236))*IF('Project Returns'!$E$55="Annual",((1+IF(AI5&lt;='Project Assumptions'!$D$15,$C$258,$C$259))^(1/12)-1),IF(AI5&lt;='Project Assumptions'!$D$15,$C$258,$C$259)/12),0),0)</f>
        <v/>
      </c>
      <c r="AJ261" s="904">
        <f>MAX(IF(AJ5&lt;='Project Returns'!$F$32,(-SUM($F$233:AI233)+SUM($F$261:AI261)-SUM($F$234:AI234)-SUM($F$236:AI236))*IF('Project Returns'!$E$55="Annual",((1+IF(AJ5&lt;='Project Assumptions'!$D$15,$C$258,$C$259))^(1/12)-1),IF(AJ5&lt;='Project Assumptions'!$D$15,$C$258,$C$259)/12),0),0)</f>
        <v/>
      </c>
      <c r="AK261" s="904">
        <f>MAX(IF(AK5&lt;='Project Returns'!$F$32,(-SUM($F$233:AJ233)+SUM($F$261:AJ261)-SUM($F$234:AJ234)-SUM($F$236:AJ236))*IF('Project Returns'!$E$55="Annual",((1+IF(AK5&lt;='Project Assumptions'!$D$15,$C$258,$C$259))^(1/12)-1),IF(AK5&lt;='Project Assumptions'!$D$15,$C$258,$C$259)/12),0),0)</f>
        <v/>
      </c>
      <c r="AL261" s="904">
        <f>MAX(IF(AL5&lt;='Project Returns'!$F$32,(-SUM($F$233:AK233)+SUM($F$261:AK261)-SUM($F$234:AK234)-SUM($F$236:AK236))*IF('Project Returns'!$E$55="Annual",((1+IF(AL5&lt;='Project Assumptions'!$D$15,$C$258,$C$259))^(1/12)-1),IF(AL5&lt;='Project Assumptions'!$D$15,$C$258,$C$259)/12),0),0)</f>
        <v/>
      </c>
      <c r="AM261" s="904">
        <f>MAX(IF(AM5&lt;='Project Returns'!$F$32,(-SUM($F$233:AL233)+SUM($F$261:AL261)-SUM($F$234:AL234)-SUM($F$236:AL236))*IF('Project Returns'!$E$55="Annual",((1+IF(AM5&lt;='Project Assumptions'!$D$15,$C$258,$C$259))^(1/12)-1),IF(AM5&lt;='Project Assumptions'!$D$15,$C$258,$C$259)/12),0),0)</f>
        <v/>
      </c>
      <c r="AN261" s="904">
        <f>MAX(IF(AN5&lt;='Project Returns'!$F$32,(-SUM($F$233:AM233)+SUM($F$261:AM261)-SUM($F$234:AM234)-SUM($F$236:AM236))*IF('Project Returns'!$E$55="Annual",((1+IF(AN5&lt;='Project Assumptions'!$D$15,$C$258,$C$259))^(1/12)-1),IF(AN5&lt;='Project Assumptions'!$D$15,$C$258,$C$259)/12),0),0)</f>
        <v/>
      </c>
      <c r="AO261" s="904">
        <f>MAX(IF(AO5&lt;='Project Returns'!$F$32,(-SUM($F$233:AN233)+SUM($F$261:AN261)-SUM($F$234:AN234)-SUM($F$236:AN236))*IF('Project Returns'!$E$55="Annual",((1+IF(AO5&lt;='Project Assumptions'!$D$15,$C$258,$C$259))^(1/12)-1),IF(AO5&lt;='Project Assumptions'!$D$15,$C$258,$C$259)/12),0),0)</f>
        <v/>
      </c>
      <c r="AP261" s="904">
        <f>MAX(IF(AP5&lt;='Project Returns'!$F$32,(-SUM($F$233:AO233)+SUM($F$261:AO261)-SUM($F$234:AO234)-SUM($F$236:AO236))*IF('Project Returns'!$E$55="Annual",((1+IF(AP5&lt;='Project Assumptions'!$D$15,$C$258,$C$259))^(1/12)-1),IF(AP5&lt;='Project Assumptions'!$D$15,$C$258,$C$259)/12),0),0)</f>
        <v/>
      </c>
      <c r="AQ261" s="904">
        <f>MAX(IF(AQ5&lt;='Project Returns'!$F$32,(-SUM($F$233:AP233)+SUM($F$261:AP261)-SUM($F$234:AP234)-SUM($F$236:AP236))*IF('Project Returns'!$E$55="Annual",((1+IF(AQ5&lt;='Project Assumptions'!$D$15,$C$258,$C$259))^(1/12)-1),IF(AQ5&lt;='Project Assumptions'!$D$15,$C$258,$C$259)/12),0),0)</f>
        <v/>
      </c>
      <c r="AR261" s="904">
        <f>MAX(IF(AR5&lt;='Project Returns'!$F$32,(-SUM($F$233:AQ233)+SUM($F$261:AQ261)-SUM($F$234:AQ234)-SUM($F$236:AQ236))*IF('Project Returns'!$E$55="Annual",((1+IF(AR5&lt;='Project Assumptions'!$D$15,$C$258,$C$259))^(1/12)-1),IF(AR5&lt;='Project Assumptions'!$D$15,$C$258,$C$259)/12),0),0)</f>
        <v/>
      </c>
      <c r="AS261" s="904">
        <f>MAX(IF(AS5&lt;='Project Returns'!$F$32,(-SUM($F$233:AR233)+SUM($F$261:AR261)-SUM($F$234:AR234)-SUM($F$236:AR236))*IF('Project Returns'!$E$55="Annual",((1+IF(AS5&lt;='Project Assumptions'!$D$15,$C$258,$C$259))^(1/12)-1),IF(AS5&lt;='Project Assumptions'!$D$15,$C$258,$C$259)/12),0),0)</f>
        <v/>
      </c>
      <c r="AT261" s="904">
        <f>MAX(IF(AT5&lt;='Project Returns'!$F$32,(-SUM($F$233:AS233)+SUM($F$261:AS261)-SUM($F$234:AS234)-SUM($F$236:AS236))*IF('Project Returns'!$E$55="Annual",((1+IF(AT5&lt;='Project Assumptions'!$D$15,$C$258,$C$259))^(1/12)-1),IF(AT5&lt;='Project Assumptions'!$D$15,$C$258,$C$259)/12),0),0)</f>
        <v/>
      </c>
      <c r="AU261" s="904">
        <f>MAX(IF(AU5&lt;='Project Returns'!$F$32,(-SUM($F$233:AT233)+SUM($F$261:AT261)-SUM($F$234:AT234)-SUM($F$236:AT236))*IF('Project Returns'!$E$55="Annual",((1+IF(AU5&lt;='Project Assumptions'!$D$15,$C$258,$C$259))^(1/12)-1),IF(AU5&lt;='Project Assumptions'!$D$15,$C$258,$C$259)/12),0),0)</f>
        <v/>
      </c>
      <c r="AV261" s="904">
        <f>MAX(IF(AV5&lt;='Project Returns'!$F$32,(-SUM($F$233:AU233)+SUM($F$261:AU261)-SUM($F$234:AU234)-SUM($F$236:AU236))*IF('Project Returns'!$E$55="Annual",((1+IF(AV5&lt;='Project Assumptions'!$D$15,$C$258,$C$259))^(1/12)-1),IF(AV5&lt;='Project Assumptions'!$D$15,$C$258,$C$259)/12),0),0)</f>
        <v/>
      </c>
      <c r="AW261" s="904">
        <f>MAX(IF(AW5&lt;='Project Returns'!$F$32,(-SUM($F$233:AV233)+SUM($F$261:AV261)-SUM($F$234:AV234)-SUM($F$236:AV236))*IF('Project Returns'!$E$55="Annual",((1+IF(AW5&lt;='Project Assumptions'!$D$15,$C$258,$C$259))^(1/12)-1),IF(AW5&lt;='Project Assumptions'!$D$15,$C$258,$C$259)/12),0),0)</f>
        <v/>
      </c>
      <c r="AX261" s="904">
        <f>MAX(IF(AX5&lt;='Project Returns'!$F$32,(-SUM($F$233:AW233)+SUM($F$261:AW261)-SUM($F$234:AW234)-SUM($F$236:AW236))*IF('Project Returns'!$E$55="Annual",((1+IF(AX5&lt;='Project Assumptions'!$D$15,$C$258,$C$259))^(1/12)-1),IF(AX5&lt;='Project Assumptions'!$D$15,$C$258,$C$259)/12),0),0)</f>
        <v/>
      </c>
      <c r="AY261" s="904">
        <f>MAX(IF(AY5&lt;='Project Returns'!$F$32,(-SUM($F$233:AX233)+SUM($F$261:AX261)-SUM($F$234:AX234)-SUM($F$236:AX236))*IF('Project Returns'!$E$55="Annual",((1+IF(AY5&lt;='Project Assumptions'!$D$15,$C$258,$C$259))^(1/12)-1),IF(AY5&lt;='Project Assumptions'!$D$15,$C$258,$C$259)/12),0),0)</f>
        <v/>
      </c>
      <c r="AZ261" s="904">
        <f>MAX(IF(AZ5&lt;='Project Returns'!$F$32,(-SUM($F$233:AY233)+SUM($F$261:AY261)-SUM($F$234:AY234)-SUM($F$236:AY236))*IF('Project Returns'!$E$55="Annual",((1+IF(AZ5&lt;='Project Assumptions'!$D$15,$C$258,$C$259))^(1/12)-1),IF(AZ5&lt;='Project Assumptions'!$D$15,$C$258,$C$259)/12),0),0)</f>
        <v/>
      </c>
      <c r="BA261" s="904">
        <f>MAX(IF(BA5&lt;='Project Returns'!$F$32,(-SUM($F$233:AZ233)+SUM($F$261:AZ261)-SUM($F$234:AZ234)-SUM($F$236:AZ236))*IF('Project Returns'!$E$55="Annual",((1+IF(BA5&lt;='Project Assumptions'!$D$15,$C$258,$C$259))^(1/12)-1),IF(BA5&lt;='Project Assumptions'!$D$15,$C$258,$C$259)/12),0),0)</f>
        <v/>
      </c>
      <c r="BB261" s="904">
        <f>MAX(IF(BB5&lt;='Project Returns'!$F$32,(-SUM($F$233:BA233)+SUM($F$261:BA261)-SUM($F$234:BA234)-SUM($F$236:BA236))*IF('Project Returns'!$E$55="Annual",((1+IF(BB5&lt;='Project Assumptions'!$D$15,$C$258,$C$259))^(1/12)-1),IF(BB5&lt;='Project Assumptions'!$D$15,$C$258,$C$259)/12),0),0)</f>
        <v/>
      </c>
      <c r="BC261" s="904">
        <f>MAX(IF(BC5&lt;='Project Returns'!$F$32,(-SUM($F$233:BB233)+SUM($F$261:BB261)-SUM($F$234:BB234)-SUM($F$236:BB236))*IF('Project Returns'!$E$55="Annual",((1+IF(BC5&lt;='Project Assumptions'!$D$15,$C$258,$C$259))^(1/12)-1),IF(BC5&lt;='Project Assumptions'!$D$15,$C$258,$C$259)/12),0),0)</f>
        <v/>
      </c>
      <c r="BD261" s="904">
        <f>MAX(IF(BD5&lt;='Project Returns'!$F$32,(-SUM($F$233:BC233)+SUM($F$261:BC261)-SUM($F$234:BC234)-SUM($F$236:BC236))*IF('Project Returns'!$E$55="Annual",((1+IF(BD5&lt;='Project Assumptions'!$D$15,$C$258,$C$259))^(1/12)-1),IF(BD5&lt;='Project Assumptions'!$D$15,$C$258,$C$259)/12),0),0)</f>
        <v/>
      </c>
      <c r="BE261" s="904">
        <f>MAX(IF(BE5&lt;='Project Returns'!$F$32,(-SUM($F$233:BD233)+SUM($F$261:BD261)-SUM($F$234:BD234)-SUM($F$236:BD236))*IF('Project Returns'!$E$55="Annual",((1+IF(BE5&lt;='Project Assumptions'!$D$15,$C$258,$C$259))^(1/12)-1),IF(BE5&lt;='Project Assumptions'!$D$15,$C$258,$C$259)/12),0),0)</f>
        <v/>
      </c>
      <c r="BF261" s="904">
        <f>MAX(IF(BF5&lt;='Project Returns'!$F$32,(-SUM($F$233:BE233)+SUM($F$261:BE261)-SUM($F$234:BE234)-SUM($F$236:BE236))*IF('Project Returns'!$E$55="Annual",((1+IF(BF5&lt;='Project Assumptions'!$D$15,$C$258,$C$259))^(1/12)-1),IF(BF5&lt;='Project Assumptions'!$D$15,$C$258,$C$259)/12),0),0)</f>
        <v/>
      </c>
      <c r="BG261" s="904">
        <f>MAX(IF(BG5&lt;='Project Returns'!$F$32,(-SUM($F$233:BF233)+SUM($F$261:BF261)-SUM($F$234:BF234)-SUM($F$236:BF236))*IF('Project Returns'!$E$55="Annual",((1+IF(BG5&lt;='Project Assumptions'!$D$15,$C$258,$C$259))^(1/12)-1),IF(BG5&lt;='Project Assumptions'!$D$15,$C$258,$C$259)/12),0),0)</f>
        <v/>
      </c>
      <c r="BH261" s="904">
        <f>MAX(IF(BH5&lt;='Project Returns'!$F$32,(-SUM($F$233:BG233)+SUM($F$261:BG261)-SUM($F$234:BG234)-SUM($F$236:BG236))*IF('Project Returns'!$E$55="Annual",((1+IF(BH5&lt;='Project Assumptions'!$D$15,$C$258,$C$259))^(1/12)-1),IF(BH5&lt;='Project Assumptions'!$D$15,$C$258,$C$259)/12),0),0)</f>
        <v/>
      </c>
      <c r="BI261" s="904">
        <f>MAX(IF(BI5&lt;='Project Returns'!$F$32,(-SUM($F$233:BH233)+SUM($F$261:BH261)-SUM($F$234:BH234)-SUM($F$236:BH236))*IF('Project Returns'!$E$55="Annual",((1+IF(BI5&lt;='Project Assumptions'!$D$15,$C$258,$C$259))^(1/12)-1),IF(BI5&lt;='Project Assumptions'!$D$15,$C$258,$C$259)/12),0),0)</f>
        <v/>
      </c>
      <c r="BJ261" s="904">
        <f>MAX(IF(BJ5&lt;='Project Returns'!$F$32,(-SUM($F$233:BI233)+SUM($F$261:BI261)-SUM($F$234:BI234)-SUM($F$236:BI236))*IF('Project Returns'!$E$55="Annual",((1+IF(BJ5&lt;='Project Assumptions'!$D$15,$C$258,$C$259))^(1/12)-1),IF(BJ5&lt;='Project Assumptions'!$D$15,$C$258,$C$259)/12),0),0)</f>
        <v/>
      </c>
      <c r="BK261" s="904">
        <f>MAX(IF(BK5&lt;='Project Returns'!$F$32,(-SUM($F$233:BJ233)+SUM($F$261:BJ261)-SUM($F$234:BJ234)-SUM($F$236:BJ236))*IF('Project Returns'!$E$55="Annual",((1+IF(BK5&lt;='Project Assumptions'!$D$15,$C$258,$C$259))^(1/12)-1),IF(BK5&lt;='Project Assumptions'!$D$15,$C$258,$C$259)/12),0),0)</f>
        <v/>
      </c>
      <c r="BL261" s="904">
        <f>MAX(IF(BL5&lt;='Project Returns'!$F$32,(-SUM($F$233:BK233)+SUM($F$261:BK261)-SUM($F$234:BK234)-SUM($F$236:BK236))*IF('Project Returns'!$E$55="Annual",((1+IF(BL5&lt;='Project Assumptions'!$D$15,$C$258,$C$259))^(1/12)-1),IF(BL5&lt;='Project Assumptions'!$D$15,$C$258,$C$259)/12),0),0)</f>
        <v/>
      </c>
      <c r="BM261" s="904">
        <f>MAX(IF(BM5&lt;='Project Returns'!$F$32,(-SUM($F$233:BL233)+SUM($F$261:BL261)-SUM($F$234:BL234)-SUM($F$236:BL236))*IF('Project Returns'!$E$55="Annual",((1+IF(BM5&lt;='Project Assumptions'!$D$15,$C$258,$C$259))^(1/12)-1),IF(BM5&lt;='Project Assumptions'!$D$15,$C$258,$C$259)/12),0),0)</f>
        <v/>
      </c>
      <c r="BN261" s="904">
        <f>MAX(IF(BN5&lt;='Project Returns'!$F$32,(-SUM($F$233:BM233)+SUM($F$261:BM261)-SUM($F$234:BM234)-SUM($F$236:BM236))*IF('Project Returns'!$E$55="Annual",((1+IF(BN5&lt;='Project Assumptions'!$D$15,$C$258,$C$259))^(1/12)-1),IF(BN5&lt;='Project Assumptions'!$D$15,$C$258,$C$259)/12),0),0)</f>
        <v/>
      </c>
      <c r="BO261" s="904">
        <f>MAX(IF(BO5&lt;='Project Returns'!$F$32,(-SUM($F$233:BN233)+SUM($F$261:BN261)-SUM($F$234:BN234)-SUM($F$236:BN236))*IF('Project Returns'!$E$55="Annual",((1+IF(BO5&lt;='Project Assumptions'!$D$15,$C$258,$C$259))^(1/12)-1),IF(BO5&lt;='Project Assumptions'!$D$15,$C$258,$C$259)/12),0),0)</f>
        <v/>
      </c>
      <c r="BP261" s="904">
        <f>MAX(IF(BP5&lt;='Project Returns'!$F$32,(-SUM($F$233:BO233)+SUM($F$261:BO261)-SUM($F$234:BO234)-SUM($F$236:BO236))*IF('Project Returns'!$E$55="Annual",((1+IF(BP5&lt;='Project Assumptions'!$D$15,$C$258,$C$259))^(1/12)-1),IF(BP5&lt;='Project Assumptions'!$D$15,$C$258,$C$259)/12),0),0)</f>
        <v/>
      </c>
      <c r="BQ261" s="904">
        <f>MAX(IF(BQ5&lt;='Project Returns'!$F$32,(-SUM($F$233:BP233)+SUM($F$261:BP261)-SUM($F$234:BP234)-SUM($F$236:BP236))*IF('Project Returns'!$E$55="Annual",((1+IF(BQ5&lt;='Project Assumptions'!$D$15,$C$258,$C$259))^(1/12)-1),IF(BQ5&lt;='Project Assumptions'!$D$15,$C$258,$C$259)/12),0),0)</f>
        <v/>
      </c>
      <c r="BR261" s="904">
        <f>MAX(IF(BR5&lt;='Project Returns'!$F$32,(-SUM($F$233:BQ233)+SUM($F$261:BQ261)-SUM($F$234:BQ234)-SUM($F$236:BQ236))*IF('Project Returns'!$E$55="Annual",((1+IF(BR5&lt;='Project Assumptions'!$D$15,$C$258,$C$259))^(1/12)-1),IF(BR5&lt;='Project Assumptions'!$D$15,$C$258,$C$259)/12),0),0)</f>
        <v/>
      </c>
      <c r="BS261" s="904">
        <f>MAX(IF(BS5&lt;='Project Returns'!$F$32,(-SUM($F$233:BR233)+SUM($F$261:BR261)-SUM($F$234:BR234)-SUM($F$236:BR236))*IF('Project Returns'!$E$55="Annual",((1+IF(BS5&lt;='Project Assumptions'!$D$15,$C$258,$C$259))^(1/12)-1),IF(BS5&lt;='Project Assumptions'!$D$15,$C$258,$C$259)/12),0),0)</f>
        <v/>
      </c>
      <c r="BT261" s="904">
        <f>MAX(IF(BT5&lt;='Project Returns'!$F$32,(-SUM($F$233:BS233)+SUM($F$261:BS261)-SUM($F$234:BS234)-SUM($F$236:BS236))*IF('Project Returns'!$E$55="Annual",((1+IF(BT5&lt;='Project Assumptions'!$D$15,$C$258,$C$259))^(1/12)-1),IF(BT5&lt;='Project Assumptions'!$D$15,$C$258,$C$259)/12),0),0)</f>
        <v/>
      </c>
      <c r="BU261" s="904">
        <f>MAX(IF(BU5&lt;='Project Returns'!$F$32,(-SUM($F$233:BT233)+SUM($F$261:BT261)-SUM($F$234:BT234)-SUM($F$236:BT236))*IF('Project Returns'!$E$55="Annual",((1+IF(BU5&lt;='Project Assumptions'!$D$15,$C$258,$C$259))^(1/12)-1),IF(BU5&lt;='Project Assumptions'!$D$15,$C$258,$C$259)/12),0),0)</f>
        <v/>
      </c>
      <c r="BV261" s="904">
        <f>MAX(IF(BV5&lt;='Project Returns'!$F$32,(-SUM($F$233:BU233)+SUM($F$261:BU261)-SUM($F$234:BU234)-SUM($F$236:BU236))*IF('Project Returns'!$E$55="Annual",((1+IF(BV5&lt;='Project Assumptions'!$D$15,$C$258,$C$259))^(1/12)-1),IF(BV5&lt;='Project Assumptions'!$D$15,$C$258,$C$259)/12),0),0)</f>
        <v/>
      </c>
      <c r="BW261" s="904">
        <f>MAX(IF(BW5&lt;='Project Returns'!$F$32,(-SUM($F$233:BV233)+SUM($F$261:BV261)-SUM($F$234:BV234)-SUM($F$236:BV236))*IF('Project Returns'!$E$55="Annual",((1+IF(BW5&lt;='Project Assumptions'!$D$15,$C$258,$C$259))^(1/12)-1),IF(BW5&lt;='Project Assumptions'!$D$15,$C$258,$C$259)/12),0),0)</f>
        <v/>
      </c>
      <c r="BX261" s="904">
        <f>MAX(IF(BX5&lt;='Project Returns'!$F$32,(-SUM($F$233:BW233)+SUM($F$261:BW261)-SUM($F$234:BW234)-SUM($F$236:BW236))*IF('Project Returns'!$E$55="Annual",((1+IF(BX5&lt;='Project Assumptions'!$D$15,$C$258,$C$259))^(1/12)-1),IF(BX5&lt;='Project Assumptions'!$D$15,$C$258,$C$259)/12),0),0)</f>
        <v/>
      </c>
      <c r="BY261" s="904">
        <f>MAX(IF(BY5&lt;='Project Returns'!$F$32,(-SUM($F$233:BX233)+SUM($F$261:BX261)-SUM($F$234:BX234)-SUM($F$236:BX236))*IF('Project Returns'!$E$55="Annual",((1+IF(BY5&lt;='Project Assumptions'!$D$15,$C$258,$C$259))^(1/12)-1),IF(BY5&lt;='Project Assumptions'!$D$15,$C$258,$C$259)/12),0),0)</f>
        <v/>
      </c>
      <c r="BZ261" s="904">
        <f>MAX(IF(BZ5&lt;='Project Returns'!$F$32,(-SUM($F$233:BY233)+SUM($F$261:BY261)-SUM($F$234:BY234)-SUM($F$236:BY236))*IF('Project Returns'!$E$55="Annual",((1+IF(BZ5&lt;='Project Assumptions'!$D$15,$C$258,$C$259))^(1/12)-1),IF(BZ5&lt;='Project Assumptions'!$D$15,$C$258,$C$259)/12),0),0)</f>
        <v/>
      </c>
      <c r="CA261" s="904">
        <f>MAX(IF(CA5&lt;='Project Returns'!$F$32,(-SUM($F$233:BZ233)+SUM($F$261:BZ261)-SUM($F$234:BZ234)-SUM($F$236:BZ236))*IF('Project Returns'!$E$55="Annual",((1+IF(CA5&lt;='Project Assumptions'!$D$15,$C$258,$C$259))^(1/12)-1),IF(CA5&lt;='Project Assumptions'!$D$15,$C$258,$C$259)/12),0),0)</f>
        <v/>
      </c>
      <c r="CB261" s="904">
        <f>MAX(IF(CB5&lt;='Project Returns'!$F$32,(-SUM($F$233:CA233)+SUM($F$261:CA261)-SUM($F$234:CA234)-SUM($F$236:CA236))*IF('Project Returns'!$E$55="Annual",((1+IF(CB5&lt;='Project Assumptions'!$D$15,$C$258,$C$259))^(1/12)-1),IF(CB5&lt;='Project Assumptions'!$D$15,$C$258,$C$259)/12),0),0)</f>
        <v/>
      </c>
      <c r="CC261" s="904">
        <f>MAX(IF(CC5&lt;='Project Returns'!$F$32,(-SUM($F$233:CB233)+SUM($F$261:CB261)-SUM($F$234:CB234)-SUM($F$236:CB236))*IF('Project Returns'!$E$55="Annual",((1+IF(CC5&lt;='Project Assumptions'!$D$15,$C$258,$C$259))^(1/12)-1),IF(CC5&lt;='Project Assumptions'!$D$15,$C$258,$C$259)/12),0),0)</f>
        <v/>
      </c>
      <c r="CD261" s="904">
        <f>MAX(IF(CD5&lt;='Project Returns'!$F$32,(-SUM($F$233:CC233)+SUM($F$261:CC261)-SUM($F$234:CC234)-SUM($F$236:CC236))*IF('Project Returns'!$E$55="Annual",((1+IF(CD5&lt;='Project Assumptions'!$D$15,$C$258,$C$259))^(1/12)-1),IF(CD5&lt;='Project Assumptions'!$D$15,$C$258,$C$259)/12),0),0)</f>
        <v/>
      </c>
      <c r="CE261" s="904">
        <f>MAX(IF(CE5&lt;='Project Returns'!$F$32,(-SUM($F$233:CD233)+SUM($F$261:CD261)-SUM($F$234:CD234)-SUM($F$236:CD236))*IF('Project Returns'!$E$55="Annual",((1+IF(CE5&lt;='Project Assumptions'!$D$15,$C$258,$C$259))^(1/12)-1),IF(CE5&lt;='Project Assumptions'!$D$15,$C$258,$C$259)/12),0),0)</f>
        <v/>
      </c>
      <c r="CF261" s="904">
        <f>MAX(IF(CF5&lt;='Project Returns'!$F$32,(-SUM($F$233:CE233)+SUM($F$261:CE261)-SUM($F$234:CE234)-SUM($F$236:CE236))*IF('Project Returns'!$E$55="Annual",((1+IF(CF5&lt;='Project Assumptions'!$D$15,$C$258,$C$259))^(1/12)-1),IF(CF5&lt;='Project Assumptions'!$D$15,$C$258,$C$259)/12),0),0)</f>
        <v/>
      </c>
      <c r="CG261" s="904">
        <f>MAX(IF(CG5&lt;='Project Returns'!$F$32,(-SUM($F$233:CF233)+SUM($F$261:CF261)-SUM($F$234:CF234)-SUM($F$236:CF236))*IF('Project Returns'!$E$55="Annual",((1+IF(CG5&lt;='Project Assumptions'!$D$15,$C$258,$C$259))^(1/12)-1),IF(CG5&lt;='Project Assumptions'!$D$15,$C$258,$C$259)/12),0),0)</f>
        <v/>
      </c>
      <c r="CH261" s="904">
        <f>MAX(IF(CH5&lt;='Project Returns'!$F$32,(-SUM($F$233:CG233)+SUM($F$261:CG261)-SUM($F$234:CG234)-SUM($F$236:CG236))*IF('Project Returns'!$E$55="Annual",((1+IF(CH5&lt;='Project Assumptions'!$D$15,$C$258,$C$259))^(1/12)-1),IF(CH5&lt;='Project Assumptions'!$D$15,$C$258,$C$259)/12),0),0)</f>
        <v/>
      </c>
      <c r="CI261" s="904">
        <f>MAX(IF(CI5&lt;='Project Returns'!$F$32,(-SUM($F$233:CH233)+SUM($F$261:CH261)-SUM($F$234:CH234)-SUM($F$236:CH236))*IF('Project Returns'!$E$55="Annual",((1+IF(CI5&lt;='Project Assumptions'!$D$15,$C$258,$C$259))^(1/12)-1),IF(CI5&lt;='Project Assumptions'!$D$15,$C$258,$C$259)/12),0),0)</f>
        <v/>
      </c>
      <c r="CJ261" s="904">
        <f>MAX(IF(CJ5&lt;='Project Returns'!$F$32,(-SUM($F$233:CI233)+SUM($F$261:CI261)-SUM($F$234:CI234)-SUM($F$236:CI236))*IF('Project Returns'!$E$55="Annual",((1+IF(CJ5&lt;='Project Assumptions'!$D$15,$C$258,$C$259))^(1/12)-1),IF(CJ5&lt;='Project Assumptions'!$D$15,$C$258,$C$259)/12),0),0)</f>
        <v/>
      </c>
      <c r="CK261" s="904">
        <f>MAX(IF(CK5&lt;='Project Returns'!$F$32,(-SUM($F$233:CJ233)+SUM($F$261:CJ261)-SUM($F$234:CJ234)-SUM($F$236:CJ236))*IF('Project Returns'!$E$55="Annual",((1+IF(CK5&lt;='Project Assumptions'!$D$15,$C$258,$C$259))^(1/12)-1),IF(CK5&lt;='Project Assumptions'!$D$15,$C$258,$C$259)/12),0),0)</f>
        <v/>
      </c>
      <c r="CL261" s="904">
        <f>MAX(IF(CL5&lt;='Project Returns'!$F$32,(-SUM($F$233:CK233)+SUM($F$261:CK261)-SUM($F$234:CK234)-SUM($F$236:CK236))*IF('Project Returns'!$E$55="Annual",((1+IF(CL5&lt;='Project Assumptions'!$D$15,$C$258,$C$259))^(1/12)-1),IF(CL5&lt;='Project Assumptions'!$D$15,$C$258,$C$259)/12),0),0)</f>
        <v/>
      </c>
      <c r="CM261" s="904">
        <f>MAX(IF(CM5&lt;='Project Returns'!$F$32,(-SUM($F$233:CL233)+SUM($F$261:CL261)-SUM($F$234:CL234)-SUM($F$236:CL236))*IF('Project Returns'!$E$55="Annual",((1+IF(CM5&lt;='Project Assumptions'!$D$15,$C$258,$C$259))^(1/12)-1),IF(CM5&lt;='Project Assumptions'!$D$15,$C$258,$C$259)/12),0),0)</f>
        <v/>
      </c>
      <c r="CN261" s="904">
        <f>MAX(IF(CN5&lt;='Project Returns'!$F$32,(-SUM($F$233:CM233)+SUM($F$261:CM261)-SUM($F$234:CM234)-SUM($F$236:CM236))*IF('Project Returns'!$E$55="Annual",((1+IF(CN5&lt;='Project Assumptions'!$D$15,$C$258,$C$259))^(1/12)-1),IF(CN5&lt;='Project Assumptions'!$D$15,$C$258,$C$259)/12),0),0)</f>
        <v/>
      </c>
      <c r="CO261" s="904">
        <f>MAX(IF(CO5&lt;='Project Returns'!$F$32,(-SUM($F$233:CN233)+SUM($F$261:CN261)-SUM($F$234:CN234)-SUM($F$236:CN236))*IF('Project Returns'!$E$55="Annual",((1+IF(CO5&lt;='Project Assumptions'!$D$15,$C$258,$C$259))^(1/12)-1),IF(CO5&lt;='Project Assumptions'!$D$15,$C$258,$C$259)/12),0),0)</f>
        <v/>
      </c>
      <c r="CP261" s="904">
        <f>MAX(IF(CP5&lt;='Project Returns'!$F$32,(-SUM($F$233:CO233)+SUM($F$261:CO261)-SUM($F$234:CO234)-SUM($F$236:CO236))*IF('Project Returns'!$E$55="Annual",((1+IF(CP5&lt;='Project Assumptions'!$D$15,$C$258,$C$259))^(1/12)-1),IF(CP5&lt;='Project Assumptions'!$D$15,$C$258,$C$259)/12),0),0)</f>
        <v/>
      </c>
      <c r="CQ261" s="904">
        <f>MAX(IF(CQ5&lt;='Project Returns'!$F$32,(-SUM($F$233:CP233)+SUM($F$261:CP261)-SUM($F$234:CP234)-SUM($F$236:CP236))*IF('Project Returns'!$E$55="Annual",((1+IF(CQ5&lt;='Project Assumptions'!$D$15,$C$258,$C$259))^(1/12)-1),IF(CQ5&lt;='Project Assumptions'!$D$15,$C$258,$C$259)/12),0),0)</f>
        <v/>
      </c>
      <c r="CR261" s="904">
        <f>MAX(IF(CR5&lt;='Project Returns'!$F$32,(-SUM($F$233:CQ233)+SUM($F$261:CQ261)-SUM($F$234:CQ234)-SUM($F$236:CQ236))*IF('Project Returns'!$E$55="Annual",((1+IF(CR5&lt;='Project Assumptions'!$D$15,$C$258,$C$259))^(1/12)-1),IF(CR5&lt;='Project Assumptions'!$D$15,$C$258,$C$259)/12),0),0)</f>
        <v/>
      </c>
      <c r="CS261" s="904">
        <f>MAX(IF(CS5&lt;='Project Returns'!$F$32,(-SUM($F$233:CR233)+SUM($F$261:CR261)-SUM($F$234:CR234)-SUM($F$236:CR236))*IF('Project Returns'!$E$55="Annual",((1+IF(CS5&lt;='Project Assumptions'!$D$15,$C$258,$C$259))^(1/12)-1),IF(CS5&lt;='Project Assumptions'!$D$15,$C$258,$C$259)/12),0),0)</f>
        <v/>
      </c>
      <c r="CT261" s="904">
        <f>MAX(IF(CT5&lt;='Project Returns'!$F$32,(-SUM($F$233:CS233)+SUM($F$261:CS261)-SUM($F$234:CS234)-SUM($F$236:CS236))*IF('Project Returns'!$E$55="Annual",((1+IF(CT5&lt;='Project Assumptions'!$D$15,$C$258,$C$259))^(1/12)-1),IF(CT5&lt;='Project Assumptions'!$D$15,$C$258,$C$259)/12),0),0)</f>
        <v/>
      </c>
      <c r="CU261" s="904">
        <f>MAX(IF(CU5&lt;='Project Returns'!$F$32,(-SUM($F$233:CT233)+SUM($F$261:CT261)-SUM($F$234:CT234)-SUM($F$236:CT236))*IF('Project Returns'!$E$55="Annual",((1+IF(CU5&lt;='Project Assumptions'!$D$15,$C$258,$C$259))^(1/12)-1),IF(CU5&lt;='Project Assumptions'!$D$15,$C$258,$C$259)/12),0),0)</f>
        <v/>
      </c>
      <c r="CV261" s="904">
        <f>MAX(IF(CV5&lt;='Project Returns'!$F$32,(-SUM($F$233:CU233)+SUM($F$261:CU261)-SUM($F$234:CU234)-SUM($F$236:CU236))*IF('Project Returns'!$E$55="Annual",((1+IF(CV5&lt;='Project Assumptions'!$D$15,$C$258,$C$259))^(1/12)-1),IF(CV5&lt;='Project Assumptions'!$D$15,$C$258,$C$259)/12),0),0)</f>
        <v/>
      </c>
      <c r="CW261" s="904">
        <f>MAX(IF(CW5&lt;='Project Returns'!$F$32,(-SUM($F$233:CV233)+SUM($F$261:CV261)-SUM($F$234:CV234)-SUM($F$236:CV236))*IF('Project Returns'!$E$55="Annual",((1+IF(CW5&lt;='Project Assumptions'!$D$15,$C$258,$C$259))^(1/12)-1),IF(CW5&lt;='Project Assumptions'!$D$15,$C$258,$C$259)/12),0),0)</f>
        <v/>
      </c>
      <c r="CX261" s="904">
        <f>MAX(IF(CX5&lt;='Project Returns'!$F$32,(-SUM($F$233:CW233)+SUM($F$261:CW261)-SUM($F$234:CW234)-SUM($F$236:CW236))*IF('Project Returns'!$E$55="Annual",((1+IF(CX5&lt;='Project Assumptions'!$D$15,$C$258,$C$259))^(1/12)-1),IF(CX5&lt;='Project Assumptions'!$D$15,$C$258,$C$259)/12),0),0)</f>
        <v/>
      </c>
      <c r="CY261" s="904">
        <f>MAX(IF(CY5&lt;='Project Returns'!$F$32,(-SUM($F$233:CX233)+SUM($F$261:CX261)-SUM($F$234:CX234)-SUM($F$236:CX236))*IF('Project Returns'!$E$55="Annual",((1+IF(CY5&lt;='Project Assumptions'!$D$15,$C$258,$C$259))^(1/12)-1),IF(CY5&lt;='Project Assumptions'!$D$15,$C$258,$C$259)/12),0),0)</f>
        <v/>
      </c>
      <c r="CZ261" s="904">
        <f>MAX(IF(CZ5&lt;='Project Returns'!$F$32,(-SUM($F$233:CY233)+SUM($F$261:CY261)-SUM($F$234:CY234)-SUM($F$236:CY236))*IF('Project Returns'!$E$55="Annual",((1+IF(CZ5&lt;='Project Assumptions'!$D$15,$C$258,$C$259))^(1/12)-1),IF(CZ5&lt;='Project Assumptions'!$D$15,$C$258,$C$259)/12),0),0)</f>
        <v/>
      </c>
      <c r="DA261" s="904">
        <f>MAX(IF(DA5&lt;='Project Returns'!$F$32,(-SUM($F$233:CZ233)+SUM($F$261:CZ261)-SUM($F$234:CZ234)-SUM($F$236:CZ236))*IF('Project Returns'!$E$55="Annual",((1+IF(DA5&lt;='Project Assumptions'!$D$15,$C$258,$C$259))^(1/12)-1),IF(DA5&lt;='Project Assumptions'!$D$15,$C$258,$C$259)/12),0),0)</f>
        <v/>
      </c>
      <c r="DB261" s="904">
        <f>MAX(IF(DB5&lt;='Project Returns'!$F$32,(-SUM($F$233:DA233)+SUM($F$261:DA261)-SUM($F$234:DA234)-SUM($F$236:DA236))*IF('Project Returns'!$E$55="Annual",((1+IF(DB5&lt;='Project Assumptions'!$D$15,$C$258,$C$259))^(1/12)-1),IF(DB5&lt;='Project Assumptions'!$D$15,$C$258,$C$259)/12),0),0)</f>
        <v/>
      </c>
      <c r="DC261" s="904" t="n"/>
      <c r="DD261" s="373">
        <f>SUM(F261:DB261)</f>
        <v/>
      </c>
    </row>
    <row r="262" hidden="1" outlineLevel="1">
      <c r="A262" s="1139" t="n"/>
      <c r="B262" s="1139" t="n"/>
      <c r="C262" s="1136" t="n"/>
      <c r="D262" s="375" t="n"/>
    </row>
    <row r="263" hidden="1" outlineLevel="1">
      <c r="A263" s="367" t="inlineStr">
        <is>
          <t>Level 1 Return Calculations</t>
        </is>
      </c>
      <c r="B263" s="367" t="n"/>
      <c r="C263" s="1136" t="n"/>
      <c r="D263" s="376" t="n"/>
    </row>
    <row r="264" hidden="1" outlineLevel="1">
      <c r="A264" s="377" t="inlineStr">
        <is>
          <t>CF Available after all Equity Repayment</t>
        </is>
      </c>
      <c r="B264" s="377" t="n"/>
      <c r="C264" s="1136" t="n"/>
      <c r="D264" s="376" t="n"/>
      <c r="F264" s="375">
        <f>MAX(0,SUM($F$222:F222)-SUM($F$226:F226)-SUM($F$234:F234)+$D$225+$D$233)-SUM($E$264:E264)</f>
        <v/>
      </c>
      <c r="G264" s="375">
        <f>MAX(0,SUM($F$222:G222)-SUM($F$226:G226)-SUM($F$234:G234)+$D$225+$D$233)-SUM($E$264:F264)</f>
        <v/>
      </c>
      <c r="H264" s="375">
        <f>MAX(0,SUM($F$222:H222)-SUM($F$226:H226)-SUM($F$234:H234)+$D$225+$D$233)-SUM($E$264:G264)</f>
        <v/>
      </c>
      <c r="I264" s="375">
        <f>MAX(0,SUM($F$222:I222)-SUM($F$226:I226)-SUM($F$234:I234)+$D$225+$D$233)-SUM($E$264:H264)</f>
        <v/>
      </c>
      <c r="J264" s="375">
        <f>MAX(0,SUM($F$222:J222)-SUM($F$226:J226)-SUM($F$234:J234)+$D$225+$D$233)-SUM($E$264:I264)</f>
        <v/>
      </c>
      <c r="K264" s="375">
        <f>MAX(0,SUM($F$222:K222)-SUM($F$226:K226)-SUM($F$234:K234)+$D$225+$D$233)-SUM($E$264:J264)</f>
        <v/>
      </c>
      <c r="L264" s="375">
        <f>MAX(0,SUM($F$222:L222)-SUM($F$226:L226)-SUM($F$234:L234)+$D$225+$D$233)-SUM($E$264:K264)</f>
        <v/>
      </c>
      <c r="M264" s="375">
        <f>MAX(0,SUM($F$222:M222)-SUM($F$226:M226)-SUM($F$234:M234)+$D$225+$D$233)-SUM($E$264:L264)</f>
        <v/>
      </c>
      <c r="N264" s="375">
        <f>MAX(0,SUM($F$222:N222)-SUM($F$226:N226)-SUM($F$234:N234)+$D$225+$D$233)-SUM($E$264:M264)</f>
        <v/>
      </c>
      <c r="O264" s="375">
        <f>MAX(0,SUM($F$222:O222)-SUM($F$226:O226)-SUM($F$234:O234)+$D$225+$D$233)-SUM($E$264:N264)</f>
        <v/>
      </c>
      <c r="P264" s="375">
        <f>MAX(0,SUM($F$222:P222)-SUM($F$226:P226)-SUM($F$234:P234)+$D$225+$D$233)-SUM($E$264:O264)</f>
        <v/>
      </c>
      <c r="Q264" s="375">
        <f>MAX(0,SUM($F$222:Q222)-SUM($F$226:Q226)-SUM($F$234:Q234)+$D$225+$D$233)-SUM($E$264:P264)</f>
        <v/>
      </c>
      <c r="R264" s="375">
        <f>MAX(0,SUM($F$222:R222)-SUM($F$226:R226)-SUM($F$234:R234)+$D$225+$D$233)-SUM($E$264:Q264)</f>
        <v/>
      </c>
      <c r="S264" s="375">
        <f>MAX(0,SUM($F$222:S222)-SUM($F$226:S226)-SUM($F$234:S234)+$D$225+$D$233)-SUM($E$264:R264)</f>
        <v/>
      </c>
      <c r="T264" s="375">
        <f>MAX(0,SUM($F$222:T222)-SUM($F$226:T226)-SUM($F$234:T234)+$D$225+$D$233)-SUM($E$264:S264)</f>
        <v/>
      </c>
      <c r="U264" s="375">
        <f>MAX(0,SUM($F$222:U222)-SUM($F$226:U226)-SUM($F$234:U234)+$D$225+$D$233)-SUM($E$264:T264)</f>
        <v/>
      </c>
      <c r="V264" s="375">
        <f>MAX(0,SUM($F$222:V222)-SUM($F$226:V226)-SUM($F$234:V234)+$D$225+$D$233)-SUM($E$264:U264)</f>
        <v/>
      </c>
      <c r="W264" s="375">
        <f>MAX(0,SUM($F$222:W222)-SUM($F$226:W226)-SUM($F$234:W234)+$D$225+$D$233)-SUM($E$264:V264)</f>
        <v/>
      </c>
      <c r="X264" s="375">
        <f>MAX(0,SUM($F$222:X222)-SUM($F$226:X226)-SUM($F$234:X234)+$D$225+$D$233)-SUM($E$264:W264)</f>
        <v/>
      </c>
      <c r="Y264" s="375">
        <f>MAX(0,SUM($F$222:Y222)-SUM($F$226:Y226)-SUM($F$234:Y234)+$D$225+$D$233)-SUM($E$264:X264)</f>
        <v/>
      </c>
      <c r="Z264" s="375">
        <f>MAX(0,SUM($F$222:Z222)-SUM($F$226:Z226)-SUM($F$234:Z234)+$D$225+$D$233)-SUM($E$264:Y264)</f>
        <v/>
      </c>
      <c r="AA264" s="375">
        <f>MAX(0,SUM($F$222:AA222)-SUM($F$226:AA226)-SUM($F$234:AA234)+$D$225+$D$233)-SUM($E$264:Z264)</f>
        <v/>
      </c>
      <c r="AB264" s="375">
        <f>MAX(0,SUM($F$222:AB222)-SUM($F$226:AB226)-SUM($F$234:AB234)+$D$225+$D$233)-SUM($E$264:AA264)</f>
        <v/>
      </c>
      <c r="AC264" s="375">
        <f>MAX(0,SUM($F$222:AC222)-SUM($F$226:AC226)-SUM($F$234:AC234)+$D$225+$D$233)-SUM($E$264:AB264)</f>
        <v/>
      </c>
      <c r="AD264" s="375">
        <f>MAX(0,SUM($F$222:AD222)-SUM($F$226:AD226)-SUM($F$234:AD234)+$D$225+$D$233)-SUM($E$264:AC264)</f>
        <v/>
      </c>
      <c r="AE264" s="375">
        <f>MAX(0,SUM($F$222:AE222)-SUM($F$226:AE226)-SUM($F$234:AE234)+$D$225+$D$233)-SUM($E$264:AD264)</f>
        <v/>
      </c>
      <c r="AF264" s="375">
        <f>MAX(0,SUM($F$222:AF222)-SUM($F$226:AF226)-SUM($F$234:AF234)+$D$225+$D$233)-SUM($E$264:AE264)</f>
        <v/>
      </c>
      <c r="AG264" s="375">
        <f>MAX(0,SUM($F$222:AG222)-SUM($F$226:AG226)-SUM($F$234:AG234)+$D$225+$D$233)-SUM($E$264:AF264)</f>
        <v/>
      </c>
      <c r="AH264" s="375">
        <f>MAX(0,SUM($F$222:AH222)-SUM($F$226:AH226)-SUM($F$234:AH234)+$D$225+$D$233)-SUM($E$264:AG264)</f>
        <v/>
      </c>
      <c r="AI264" s="375">
        <f>MAX(0,SUM($F$222:AI222)-SUM($F$226:AI226)-SUM($F$234:AI234)+$D$225+$D$233)-SUM($E$264:AH264)</f>
        <v/>
      </c>
      <c r="AJ264" s="375">
        <f>MAX(0,SUM($F$222:AJ222)-SUM($F$226:AJ226)-SUM($F$234:AJ234)+$D$225+$D$233)-SUM($E$264:AI264)</f>
        <v/>
      </c>
      <c r="AK264" s="375">
        <f>MAX(0,SUM($F$222:AK222)-SUM($F$226:AK226)-SUM($F$234:AK234)+$D$225+$D$233)-SUM($E$264:AJ264)</f>
        <v/>
      </c>
      <c r="AL264" s="375">
        <f>MAX(0,SUM($F$222:AL222)-SUM($F$226:AL226)-SUM($F$234:AL234)+$D$225+$D$233)-SUM($E$264:AK264)</f>
        <v/>
      </c>
      <c r="AM264" s="375">
        <f>MAX(0,SUM($F$222:AM222)-SUM($F$226:AM226)-SUM($F$234:AM234)+$D$225+$D$233)-SUM($E$264:AL264)</f>
        <v/>
      </c>
      <c r="AN264" s="375">
        <f>MAX(0,SUM($F$222:AN222)-SUM($F$226:AN226)-SUM($F$234:AN234)+$D$225+$D$233)-SUM($E$264:AM264)</f>
        <v/>
      </c>
      <c r="AO264" s="375">
        <f>MAX(0,SUM($F$222:AO222)-SUM($F$226:AO226)-SUM($F$234:AO234)+$D$225+$D$233)-SUM($E$264:AN264)</f>
        <v/>
      </c>
      <c r="AP264" s="375">
        <f>MAX(0,SUM($F$222:AP222)-SUM($F$226:AP226)-SUM($F$234:AP234)+$D$225+$D$233)-SUM($E$264:AO264)</f>
        <v/>
      </c>
      <c r="AQ264" s="375">
        <f>MAX(0,SUM($F$222:AQ222)-SUM($F$226:AQ226)-SUM($F$234:AQ234)+$D$225+$D$233)-SUM($E$264:AP264)</f>
        <v/>
      </c>
      <c r="AR264" s="375">
        <f>MAX(0,SUM($F$222:AR222)-SUM($F$226:AR226)-SUM($F$234:AR234)+$D$225+$D$233)-SUM($E$264:AQ264)</f>
        <v/>
      </c>
      <c r="AS264" s="375">
        <f>MAX(0,SUM($F$222:AS222)-SUM($F$226:AS226)-SUM($F$234:AS234)+$D$225+$D$233)-SUM($E$264:AR264)</f>
        <v/>
      </c>
      <c r="AT264" s="375">
        <f>MAX(0,SUM($F$222:AT222)-SUM($F$226:AT226)-SUM($F$234:AT234)+$D$225+$D$233)-SUM($E$264:AS264)</f>
        <v/>
      </c>
      <c r="AU264" s="375">
        <f>MAX(0,SUM($F$222:AU222)-SUM($F$226:AU226)-SUM($F$234:AU234)+$D$225+$D$233)-SUM($E$264:AT264)</f>
        <v/>
      </c>
      <c r="AV264" s="375">
        <f>MAX(0,SUM($F$222:AV222)-SUM($F$226:AV226)-SUM($F$234:AV234)+$D$225+$D$233)-SUM($E$264:AU264)</f>
        <v/>
      </c>
      <c r="AW264" s="375">
        <f>MAX(0,SUM($F$222:AW222)-SUM($F$226:AW226)-SUM($F$234:AW234)+$D$225+$D$233)-SUM($E$264:AV264)</f>
        <v/>
      </c>
      <c r="AX264" s="375">
        <f>MAX(0,SUM($F$222:AX222)-SUM($F$226:AX226)-SUM($F$234:AX234)+$D$225+$D$233)-SUM($E$264:AW264)</f>
        <v/>
      </c>
      <c r="AY264" s="375">
        <f>MAX(0,SUM($F$222:AY222)-SUM($F$226:AY226)-SUM($F$234:AY234)+$D$225+$D$233)-SUM($E$264:AX264)</f>
        <v/>
      </c>
      <c r="AZ264" s="375">
        <f>MAX(0,SUM($F$222:AZ222)-SUM($F$226:AZ226)-SUM($F$234:AZ234)+$D$225+$D$233)-SUM($E$264:AY264)</f>
        <v/>
      </c>
      <c r="BA264" s="375">
        <f>MAX(0,SUM($F$222:BA222)-SUM($F$226:BA226)-SUM($F$234:BA234)+$D$225+$D$233)-SUM($E$264:AZ264)</f>
        <v/>
      </c>
      <c r="BB264" s="375">
        <f>MAX(0,SUM($F$222:BB222)-SUM($F$226:BB226)-SUM($F$234:BB234)+$D$225+$D$233)-SUM($E$264:BA264)</f>
        <v/>
      </c>
      <c r="BC264" s="375">
        <f>MAX(0,SUM($F$222:BC222)-SUM($F$226:BC226)-SUM($F$234:BC234)+$D$225+$D$233)-SUM($E$264:BB264)</f>
        <v/>
      </c>
      <c r="BD264" s="375">
        <f>MAX(0,SUM($F$222:BD222)-SUM($F$226:BD226)-SUM($F$234:BD234)+$D$225+$D$233)-SUM($E$264:BC264)</f>
        <v/>
      </c>
      <c r="BE264" s="375">
        <f>MAX(0,SUM($F$222:BE222)-SUM($F$226:BE226)-SUM($F$234:BE234)+$D$225+$D$233)-SUM($E$264:BD264)</f>
        <v/>
      </c>
      <c r="BF264" s="375">
        <f>MAX(0,SUM($F$222:BF222)-SUM($F$226:BF226)-SUM($F$234:BF234)+$D$225+$D$233)-SUM($E$264:BE264)</f>
        <v/>
      </c>
      <c r="BG264" s="375">
        <f>MAX(0,SUM($F$222:BG222)-SUM($F$226:BG226)-SUM($F$234:BG234)+$D$225+$D$233)-SUM($E$264:BF264)</f>
        <v/>
      </c>
      <c r="BH264" s="375">
        <f>MAX(0,SUM($F$222:BH222)-SUM($F$226:BH226)-SUM($F$234:BH234)+$D$225+$D$233)-SUM($E$264:BG264)</f>
        <v/>
      </c>
      <c r="BI264" s="375">
        <f>MAX(0,SUM($F$222:BI222)-SUM($F$226:BI226)-SUM($F$234:BI234)+$D$225+$D$233)-SUM($E$264:BH264)</f>
        <v/>
      </c>
      <c r="BJ264" s="375">
        <f>MAX(0,SUM($F$222:BJ222)-SUM($F$226:BJ226)-SUM($F$234:BJ234)+$D$225+$D$233)-SUM($E$264:BI264)</f>
        <v/>
      </c>
      <c r="BK264" s="375">
        <f>MAX(0,SUM($F$222:BK222)-SUM($F$226:BK226)-SUM($F$234:BK234)+$D$225+$D$233)-SUM($E$264:BJ264)</f>
        <v/>
      </c>
      <c r="BL264" s="375">
        <f>MAX(0,SUM($F$222:BL222)-SUM($F$226:BL226)-SUM($F$234:BL234)+$D$225+$D$233)-SUM($E$264:BK264)</f>
        <v/>
      </c>
      <c r="BM264" s="375">
        <f>MAX(0,SUM($F$222:BM222)-SUM($F$226:BM226)-SUM($F$234:BM234)+$D$225+$D$233)-SUM($E$264:BL264)</f>
        <v/>
      </c>
      <c r="BN264" s="375">
        <f>MAX(0,SUM($F$222:BN222)-SUM($F$226:BN226)-SUM($F$234:BN234)+$D$225+$D$233)-SUM($E$264:BM264)</f>
        <v/>
      </c>
      <c r="BO264" s="375">
        <f>MAX(0,SUM($F$222:BO222)-SUM($F$226:BO226)-SUM($F$234:BO234)+$D$225+$D$233)-SUM($E$264:BN264)</f>
        <v/>
      </c>
      <c r="BP264" s="375">
        <f>MAX(0,SUM($F$222:BP222)-SUM($F$226:BP226)-SUM($F$234:BP234)+$D$225+$D$233)-SUM($E$264:BO264)</f>
        <v/>
      </c>
      <c r="BQ264" s="375">
        <f>MAX(0,SUM($F$222:BQ222)-SUM($F$226:BQ226)-SUM($F$234:BQ234)+$D$225+$D$233)-SUM($E$264:BP264)</f>
        <v/>
      </c>
      <c r="BR264" s="375">
        <f>MAX(0,SUM($F$222:BR222)-SUM($F$226:BR226)-SUM($F$234:BR234)+$D$225+$D$233)-SUM($E$264:BQ264)</f>
        <v/>
      </c>
      <c r="BS264" s="375">
        <f>MAX(0,SUM($F$222:BS222)-SUM($F$226:BS226)-SUM($F$234:BS234)+$D$225+$D$233)-SUM($E$264:BR264)</f>
        <v/>
      </c>
      <c r="BT264" s="375">
        <f>MAX(0,SUM($F$222:BT222)-SUM($F$226:BT226)-SUM($F$234:BT234)+$D$225+$D$233)-SUM($E$264:BS264)</f>
        <v/>
      </c>
      <c r="BU264" s="375">
        <f>MAX(0,SUM($F$222:BU222)-SUM($F$226:BU226)-SUM($F$234:BU234)+$D$225+$D$233)-SUM($E$264:BT264)</f>
        <v/>
      </c>
      <c r="BV264" s="375">
        <f>MAX(0,SUM($F$222:BV222)-SUM($F$226:BV226)-SUM($F$234:BV234)+$D$225+$D$233)-SUM($E$264:BU264)</f>
        <v/>
      </c>
      <c r="BW264" s="375">
        <f>MAX(0,SUM($F$222:BW222)-SUM($F$226:BW226)-SUM($F$234:BW234)+$D$225+$D$233)-SUM($E$264:BV264)</f>
        <v/>
      </c>
      <c r="BX264" s="375">
        <f>MAX(0,SUM($F$222:BX222)-SUM($F$226:BX226)-SUM($F$234:BX234)+$D$225+$D$233)-SUM($E$264:BW264)</f>
        <v/>
      </c>
      <c r="BY264" s="375">
        <f>MAX(0,SUM($F$222:BY222)-SUM($F$226:BY226)-SUM($F$234:BY234)+$D$225+$D$233)-SUM($E$264:BX264)</f>
        <v/>
      </c>
      <c r="BZ264" s="375">
        <f>MAX(0,SUM($F$222:BZ222)-SUM($F$226:BZ226)-SUM($F$234:BZ234)+$D$225+$D$233)-SUM($E$264:BY264)</f>
        <v/>
      </c>
      <c r="CA264" s="375">
        <f>MAX(0,SUM($F$222:CA222)-SUM($F$226:CA226)-SUM($F$234:CA234)+$D$225+$D$233)-SUM($E$264:BZ264)</f>
        <v/>
      </c>
      <c r="CB264" s="375">
        <f>MAX(0,SUM($F$222:CB222)-SUM($F$226:CB226)-SUM($F$234:CB234)+$D$225+$D$233)-SUM($E$264:CA264)</f>
        <v/>
      </c>
      <c r="CC264" s="375">
        <f>MAX(0,SUM($F$222:CC222)-SUM($F$226:CC226)-SUM($F$234:CC234)+$D$225+$D$233)-SUM($E$264:CB264)</f>
        <v/>
      </c>
      <c r="CD264" s="375">
        <f>MAX(0,SUM($F$222:CD222)-SUM($F$226:CD226)-SUM($F$234:CD234)+$D$225+$D$233)-SUM($E$264:CC264)</f>
        <v/>
      </c>
      <c r="CE264" s="375">
        <f>MAX(0,SUM($F$222:CE222)-SUM($F$226:CE226)-SUM($F$234:CE234)+$D$225+$D$233)-SUM($E$264:CD264)</f>
        <v/>
      </c>
      <c r="CF264" s="375">
        <f>MAX(0,SUM($F$222:CF222)-SUM($F$226:CF226)-SUM($F$234:CF234)+$D$225+$D$233)-SUM($E$264:CE264)</f>
        <v/>
      </c>
      <c r="CG264" s="375">
        <f>MAX(0,SUM($F$222:CG222)-SUM($F$226:CG226)-SUM($F$234:CG234)+$D$225+$D$233)-SUM($E$264:CF264)</f>
        <v/>
      </c>
      <c r="CH264" s="375">
        <f>MAX(0,SUM($F$222:CH222)-SUM($F$226:CH226)-SUM($F$234:CH234)+$D$225+$D$233)-SUM($E$264:CG264)</f>
        <v/>
      </c>
      <c r="CI264" s="375">
        <f>MAX(0,SUM($F$222:CI222)-SUM($F$226:CI226)-SUM($F$234:CI234)+$D$225+$D$233)-SUM($E$264:CH264)</f>
        <v/>
      </c>
      <c r="CJ264" s="375">
        <f>MAX(0,SUM($F$222:CJ222)-SUM($F$226:CJ226)-SUM($F$234:CJ234)+$D$225+$D$233)-SUM($E$264:CI264)</f>
        <v/>
      </c>
      <c r="CK264" s="375">
        <f>MAX(0,SUM($F$222:CK222)-SUM($F$226:CK226)-SUM($F$234:CK234)+$D$225+$D$233)-SUM($E$264:CJ264)</f>
        <v/>
      </c>
      <c r="CL264" s="375">
        <f>MAX(0,SUM($F$222:CL222)-SUM($F$226:CL226)-SUM($F$234:CL234)+$D$225+$D$233)-SUM($E$264:CK264)</f>
        <v/>
      </c>
      <c r="CM264" s="375">
        <f>MAX(0,SUM($F$222:CM222)-SUM($F$226:CM226)-SUM($F$234:CM234)+$D$225+$D$233)-SUM($E$264:CL264)</f>
        <v/>
      </c>
      <c r="CN264" s="375">
        <f>MAX(0,SUM($F$222:CN222)-SUM($F$226:CN226)-SUM($F$234:CN234)+$D$225+$D$233)-SUM($E$264:CM264)</f>
        <v/>
      </c>
      <c r="CO264" s="375">
        <f>MAX(0,SUM($F$222:CO222)-SUM($F$226:CO226)-SUM($F$234:CO234)+$D$225+$D$233)-SUM($E$264:CN264)</f>
        <v/>
      </c>
      <c r="CP264" s="375">
        <f>MAX(0,SUM($F$222:CP222)-SUM($F$226:CP226)-SUM($F$234:CP234)+$D$225+$D$233)-SUM($E$264:CO264)</f>
        <v/>
      </c>
      <c r="CQ264" s="375">
        <f>MAX(0,SUM($F$222:CQ222)-SUM($F$226:CQ226)-SUM($F$234:CQ234)+$D$225+$D$233)-SUM($E$264:CP264)</f>
        <v/>
      </c>
      <c r="CR264" s="375">
        <f>MAX(0,SUM($F$222:CR222)-SUM($F$226:CR226)-SUM($F$234:CR234)+$D$225+$D$233)-SUM($E$264:CQ264)</f>
        <v/>
      </c>
      <c r="CS264" s="375">
        <f>MAX(0,SUM($F$222:CS222)-SUM($F$226:CS226)-SUM($F$234:CS234)+$D$225+$D$233)-SUM($E$264:CR264)</f>
        <v/>
      </c>
      <c r="CT264" s="375">
        <f>MAX(0,SUM($F$222:CT222)-SUM($F$226:CT226)-SUM($F$234:CT234)+$D$225+$D$233)-SUM($E$264:CS264)</f>
        <v/>
      </c>
      <c r="CU264" s="375">
        <f>MAX(0,SUM($F$222:CU222)-SUM($F$226:CU226)-SUM($F$234:CU234)+$D$225+$D$233)-SUM($E$264:CT264)</f>
        <v/>
      </c>
      <c r="CV264" s="375">
        <f>MAX(0,SUM($F$222:CV222)-SUM($F$226:CV226)-SUM($F$234:CV234)+$D$225+$D$233)-SUM($E$264:CU264)</f>
        <v/>
      </c>
      <c r="CW264" s="375">
        <f>MAX(0,SUM($F$222:CW222)-SUM($F$226:CW226)-SUM($F$234:CW234)+$D$225+$D$233)-SUM($E$264:CV264)</f>
        <v/>
      </c>
      <c r="CX264" s="375">
        <f>MAX(0,SUM($F$222:CX222)-SUM($F$226:CX226)-SUM($F$234:CX234)+$D$225+$D$233)-SUM($E$264:CW264)</f>
        <v/>
      </c>
      <c r="CY264" s="375">
        <f>MAX(0,SUM($F$222:CY222)-SUM($F$226:CY226)-SUM($F$234:CY234)+$D$225+$D$233)-SUM($E$264:CX264)</f>
        <v/>
      </c>
      <c r="CZ264" s="375">
        <f>MAX(0,SUM($F$222:CZ222)-SUM($F$226:CZ226)-SUM($F$234:CZ234)+$D$225+$D$233)-SUM($E$264:CY264)</f>
        <v/>
      </c>
      <c r="DA264" s="375">
        <f>MAX(0,SUM($F$222:DA222)-SUM($F$226:DA226)-SUM($F$234:DA234)+$D$225+$D$233)-SUM($E$264:CZ264)</f>
        <v/>
      </c>
      <c r="DB264" s="375">
        <f>MAX(0,SUM($F$222:DB222)-SUM($F$226:DB226)-SUM($F$234:DB234)+$D$225+$D$233)-SUM($E$264:DA264)</f>
        <v/>
      </c>
      <c r="DC264" s="375" t="n"/>
      <c r="DD264" s="375" t="n"/>
    </row>
    <row r="265" hidden="1" outlineLevel="1">
      <c r="A265" s="1140" t="inlineStr">
        <is>
          <t>Equity Partner 1</t>
        </is>
      </c>
      <c r="B265" s="1140" t="n"/>
      <c r="C265" s="1136" t="n"/>
      <c r="D265" s="376" t="n"/>
      <c r="F265" s="375" t="n"/>
      <c r="G265" s="375" t="n"/>
      <c r="H265" s="375" t="n"/>
      <c r="I265" s="375" t="n"/>
      <c r="J265" s="375" t="n"/>
      <c r="K265" s="375" t="n"/>
      <c r="L265" s="375" t="n"/>
      <c r="M265" s="375" t="n"/>
      <c r="N265" s="375" t="n"/>
      <c r="O265" s="375" t="n"/>
      <c r="P265" s="375" t="n"/>
      <c r="Q265" s="375" t="n"/>
      <c r="R265" s="375" t="n"/>
      <c r="S265" s="375" t="n"/>
      <c r="T265" s="375" t="n"/>
      <c r="U265" s="375" t="n"/>
      <c r="V265" s="375" t="n"/>
      <c r="W265" s="375" t="n"/>
      <c r="X265" s="375" t="n"/>
      <c r="Y265" s="375" t="n"/>
      <c r="Z265" s="375" t="n"/>
      <c r="AA265" s="375" t="n"/>
      <c r="AB265" s="375" t="n"/>
      <c r="AC265" s="375" t="n"/>
      <c r="AD265" s="375" t="n"/>
      <c r="AE265" s="375" t="n"/>
      <c r="AF265" s="375" t="n"/>
      <c r="AG265" s="375" t="n"/>
      <c r="AH265" s="375" t="n"/>
      <c r="AI265" s="375" t="n"/>
      <c r="AJ265" s="375" t="n"/>
      <c r="AK265" s="375" t="n"/>
      <c r="AL265" s="375" t="n"/>
      <c r="AM265" s="375" t="n"/>
      <c r="AN265" s="375" t="n"/>
      <c r="AO265" s="375" t="n"/>
      <c r="AP265" s="375" t="n"/>
      <c r="AQ265" s="375" t="n"/>
      <c r="AR265" s="375" t="n"/>
      <c r="AS265" s="375" t="n"/>
      <c r="AT265" s="375" t="n"/>
      <c r="AU265" s="375" t="n"/>
      <c r="AV265" s="375" t="n"/>
      <c r="AW265" s="375" t="n"/>
      <c r="AX265" s="375" t="n"/>
      <c r="AY265" s="375" t="n"/>
      <c r="AZ265" s="375" t="n"/>
      <c r="BA265" s="375" t="n"/>
      <c r="BB265" s="375" t="n"/>
      <c r="BC265" s="375" t="n"/>
      <c r="BD265" s="375" t="n"/>
      <c r="BE265" s="375" t="n"/>
      <c r="BF265" s="375" t="n"/>
      <c r="BG265" s="375" t="n"/>
      <c r="BH265" s="375" t="n"/>
      <c r="BI265" s="375" t="n"/>
      <c r="BJ265" s="375" t="n"/>
      <c r="BK265" s="375" t="n"/>
      <c r="BL265" s="375" t="n"/>
      <c r="BM265" s="375" t="n"/>
      <c r="BN265" s="375" t="n"/>
      <c r="BO265" s="375" t="n"/>
      <c r="BP265" s="375" t="n"/>
      <c r="BQ265" s="375" t="n"/>
      <c r="BR265" s="375" t="n"/>
      <c r="BS265" s="375" t="n"/>
      <c r="BT265" s="375" t="n"/>
      <c r="BU265" s="375" t="n"/>
      <c r="BV265" s="375" t="n"/>
      <c r="BW265" s="375" t="n"/>
      <c r="BX265" s="375" t="n"/>
      <c r="BY265" s="375" t="n"/>
      <c r="BZ265" s="375" t="n"/>
      <c r="CA265" s="375" t="n"/>
      <c r="CB265" s="375" t="n"/>
      <c r="CC265" s="375" t="n"/>
      <c r="CD265" s="375" t="n"/>
      <c r="CE265" s="375" t="n"/>
      <c r="CF265" s="375" t="n"/>
      <c r="CG265" s="375" t="n"/>
      <c r="CH265" s="375" t="n"/>
      <c r="CI265" s="375" t="n"/>
      <c r="CJ265" s="375" t="n"/>
      <c r="CK265" s="375" t="n"/>
      <c r="CL265" s="375" t="n"/>
      <c r="CM265" s="375" t="n"/>
      <c r="CN265" s="375" t="n"/>
      <c r="CO265" s="375" t="n"/>
      <c r="CP265" s="375" t="n"/>
      <c r="CQ265" s="375" t="n"/>
      <c r="CR265" s="375" t="n"/>
      <c r="CS265" s="375" t="n"/>
      <c r="CT265" s="375" t="n"/>
      <c r="CU265" s="375" t="n"/>
      <c r="CV265" s="375" t="n"/>
      <c r="CW265" s="375" t="n"/>
      <c r="CX265" s="375" t="n"/>
      <c r="CY265" s="375" t="n"/>
      <c r="CZ265" s="375" t="n"/>
      <c r="DA265" s="375" t="n"/>
      <c r="DB265" s="375" t="n"/>
      <c r="DC265" s="375" t="n"/>
      <c r="DD265" s="375" t="n"/>
    </row>
    <row r="266" hidden="1" outlineLevel="1">
      <c r="A266" s="377" t="inlineStr">
        <is>
          <t xml:space="preserve">   Equity Fundings</t>
        </is>
      </c>
      <c r="B266" s="377" t="n"/>
      <c r="C266" s="1136" t="n"/>
      <c r="D266" s="375">
        <f>IF(ISERROR(DD266),0,DD266)</f>
        <v/>
      </c>
      <c r="F266" s="375">
        <f>F225</f>
        <v/>
      </c>
      <c r="G266" s="375">
        <f>G225</f>
        <v/>
      </c>
      <c r="H266" s="375">
        <f>H225</f>
        <v/>
      </c>
      <c r="I266" s="375">
        <f>I225</f>
        <v/>
      </c>
      <c r="J266" s="375">
        <f>J225</f>
        <v/>
      </c>
      <c r="K266" s="375">
        <f>K225</f>
        <v/>
      </c>
      <c r="L266" s="375">
        <f>L225</f>
        <v/>
      </c>
      <c r="M266" s="375">
        <f>M225</f>
        <v/>
      </c>
      <c r="N266" s="375">
        <f>N225</f>
        <v/>
      </c>
      <c r="O266" s="375">
        <f>O225</f>
        <v/>
      </c>
      <c r="P266" s="375">
        <f>P225</f>
        <v/>
      </c>
      <c r="Q266" s="375">
        <f>Q225</f>
        <v/>
      </c>
      <c r="R266" s="375">
        <f>R225</f>
        <v/>
      </c>
      <c r="S266" s="375">
        <f>S225</f>
        <v/>
      </c>
      <c r="T266" s="375">
        <f>T225</f>
        <v/>
      </c>
      <c r="U266" s="375">
        <f>U225</f>
        <v/>
      </c>
      <c r="V266" s="375">
        <f>V225</f>
        <v/>
      </c>
      <c r="W266" s="375">
        <f>W225</f>
        <v/>
      </c>
      <c r="X266" s="375">
        <f>X225</f>
        <v/>
      </c>
      <c r="Y266" s="375">
        <f>Y225</f>
        <v/>
      </c>
      <c r="Z266" s="375">
        <f>Z225</f>
        <v/>
      </c>
      <c r="AA266" s="375">
        <f>AA225</f>
        <v/>
      </c>
      <c r="AB266" s="375">
        <f>AB225</f>
        <v/>
      </c>
      <c r="AC266" s="375">
        <f>AC225</f>
        <v/>
      </c>
      <c r="AD266" s="375">
        <f>AD225</f>
        <v/>
      </c>
      <c r="AE266" s="375">
        <f>AE225</f>
        <v/>
      </c>
      <c r="AF266" s="375">
        <f>AF225</f>
        <v/>
      </c>
      <c r="AG266" s="375">
        <f>AG225</f>
        <v/>
      </c>
      <c r="AH266" s="375">
        <f>AH225</f>
        <v/>
      </c>
      <c r="AI266" s="375">
        <f>AI225</f>
        <v/>
      </c>
      <c r="AJ266" s="375">
        <f>AJ225</f>
        <v/>
      </c>
      <c r="AK266" s="375">
        <f>AK225</f>
        <v/>
      </c>
      <c r="AL266" s="375">
        <f>AL225</f>
        <v/>
      </c>
      <c r="AM266" s="375">
        <f>AM225</f>
        <v/>
      </c>
      <c r="AN266" s="375">
        <f>AN225</f>
        <v/>
      </c>
      <c r="AO266" s="375">
        <f>AO225</f>
        <v/>
      </c>
      <c r="AP266" s="375">
        <f>AP225</f>
        <v/>
      </c>
      <c r="AQ266" s="375">
        <f>AQ225</f>
        <v/>
      </c>
      <c r="AR266" s="375">
        <f>AR225</f>
        <v/>
      </c>
      <c r="AS266" s="375">
        <f>AS225</f>
        <v/>
      </c>
      <c r="AT266" s="375">
        <f>AT225</f>
        <v/>
      </c>
      <c r="AU266" s="375">
        <f>AU225</f>
        <v/>
      </c>
      <c r="AV266" s="375">
        <f>AV225</f>
        <v/>
      </c>
      <c r="AW266" s="375">
        <f>AW225</f>
        <v/>
      </c>
      <c r="AX266" s="375">
        <f>AX225</f>
        <v/>
      </c>
      <c r="AY266" s="375">
        <f>AY225</f>
        <v/>
      </c>
      <c r="AZ266" s="375">
        <f>AZ225</f>
        <v/>
      </c>
      <c r="BA266" s="375">
        <f>BA225</f>
        <v/>
      </c>
      <c r="BB266" s="375">
        <f>BB225</f>
        <v/>
      </c>
      <c r="BC266" s="375">
        <f>BC225</f>
        <v/>
      </c>
      <c r="BD266" s="375">
        <f>BD225</f>
        <v/>
      </c>
      <c r="BE266" s="375">
        <f>BE225</f>
        <v/>
      </c>
      <c r="BF266" s="375">
        <f>BF225</f>
        <v/>
      </c>
      <c r="BG266" s="375">
        <f>BG225</f>
        <v/>
      </c>
      <c r="BH266" s="375">
        <f>BH225</f>
        <v/>
      </c>
      <c r="BI266" s="375">
        <f>BI225</f>
        <v/>
      </c>
      <c r="BJ266" s="375">
        <f>BJ225</f>
        <v/>
      </c>
      <c r="BK266" s="375">
        <f>BK225</f>
        <v/>
      </c>
      <c r="BL266" s="375">
        <f>BL225</f>
        <v/>
      </c>
      <c r="BM266" s="375">
        <f>BM225</f>
        <v/>
      </c>
      <c r="BN266" s="375">
        <f>BN225</f>
        <v/>
      </c>
      <c r="BO266" s="375">
        <f>BO225</f>
        <v/>
      </c>
      <c r="BP266" s="375">
        <f>BP225</f>
        <v/>
      </c>
      <c r="BQ266" s="375">
        <f>BQ225</f>
        <v/>
      </c>
      <c r="BR266" s="375">
        <f>BR225</f>
        <v/>
      </c>
      <c r="BS266" s="375">
        <f>BS225</f>
        <v/>
      </c>
      <c r="BT266" s="375">
        <f>BT225</f>
        <v/>
      </c>
      <c r="BU266" s="375">
        <f>BU225</f>
        <v/>
      </c>
      <c r="BV266" s="375">
        <f>BV225</f>
        <v/>
      </c>
      <c r="BW266" s="375">
        <f>BW225</f>
        <v/>
      </c>
      <c r="BX266" s="375">
        <f>BX225</f>
        <v/>
      </c>
      <c r="BY266" s="375">
        <f>BY225</f>
        <v/>
      </c>
      <c r="BZ266" s="375">
        <f>BZ225</f>
        <v/>
      </c>
      <c r="CA266" s="375">
        <f>CA225</f>
        <v/>
      </c>
      <c r="CB266" s="375">
        <f>CB225</f>
        <v/>
      </c>
      <c r="CC266" s="375">
        <f>CC225</f>
        <v/>
      </c>
      <c r="CD266" s="375">
        <f>CD225</f>
        <v/>
      </c>
      <c r="CE266" s="375">
        <f>CE225</f>
        <v/>
      </c>
      <c r="CF266" s="375">
        <f>CF225</f>
        <v/>
      </c>
      <c r="CG266" s="375">
        <f>CG225</f>
        <v/>
      </c>
      <c r="CH266" s="375">
        <f>CH225</f>
        <v/>
      </c>
      <c r="CI266" s="375">
        <f>CI225</f>
        <v/>
      </c>
      <c r="CJ266" s="375">
        <f>CJ225</f>
        <v/>
      </c>
      <c r="CK266" s="375">
        <f>CK225</f>
        <v/>
      </c>
      <c r="CL266" s="375">
        <f>CL225</f>
        <v/>
      </c>
      <c r="CM266" s="375">
        <f>CM225</f>
        <v/>
      </c>
      <c r="CN266" s="375">
        <f>CN225</f>
        <v/>
      </c>
      <c r="CO266" s="375">
        <f>CO225</f>
        <v/>
      </c>
      <c r="CP266" s="375">
        <f>CP225</f>
        <v/>
      </c>
      <c r="CQ266" s="375">
        <f>CQ225</f>
        <v/>
      </c>
      <c r="CR266" s="375">
        <f>CR225</f>
        <v/>
      </c>
      <c r="CS266" s="375">
        <f>CS225</f>
        <v/>
      </c>
      <c r="CT266" s="375">
        <f>CT225</f>
        <v/>
      </c>
      <c r="CU266" s="375">
        <f>CU225</f>
        <v/>
      </c>
      <c r="CV266" s="375">
        <f>CV225</f>
        <v/>
      </c>
      <c r="CW266" s="375">
        <f>CW225</f>
        <v/>
      </c>
      <c r="CX266" s="375">
        <f>CX225</f>
        <v/>
      </c>
      <c r="CY266" s="375">
        <f>CY225</f>
        <v/>
      </c>
      <c r="CZ266" s="375">
        <f>CZ225</f>
        <v/>
      </c>
      <c r="DA266" s="375">
        <f>DA225</f>
        <v/>
      </c>
      <c r="DB266" s="375">
        <f>DB225</f>
        <v/>
      </c>
      <c r="DC266" s="375" t="n"/>
      <c r="DD266" s="375">
        <f>SUM(F266:DB266)</f>
        <v/>
      </c>
    </row>
    <row r="267" hidden="1" outlineLevel="1">
      <c r="A267" s="377" t="inlineStr">
        <is>
          <t xml:space="preserve">   Equity Distributions prior to Level 1</t>
        </is>
      </c>
      <c r="B267" s="377" t="n"/>
      <c r="C267" s="1136" t="n"/>
      <c r="D267" s="375">
        <f>IF(ISERROR(DD267),0,DD267)</f>
        <v/>
      </c>
      <c r="F267" s="375">
        <f>F226+F228</f>
        <v/>
      </c>
      <c r="G267" s="375">
        <f>G226+G228</f>
        <v/>
      </c>
      <c r="H267" s="375">
        <f>H226+H228</f>
        <v/>
      </c>
      <c r="I267" s="375">
        <f>I226+I228</f>
        <v/>
      </c>
      <c r="J267" s="375">
        <f>J226+J228</f>
        <v/>
      </c>
      <c r="K267" s="375">
        <f>K226+K228</f>
        <v/>
      </c>
      <c r="L267" s="375">
        <f>L226+L228</f>
        <v/>
      </c>
      <c r="M267" s="375">
        <f>M226+M228</f>
        <v/>
      </c>
      <c r="N267" s="375">
        <f>N226+N228</f>
        <v/>
      </c>
      <c r="O267" s="375">
        <f>O226+O228</f>
        <v/>
      </c>
      <c r="P267" s="375">
        <f>P226+P228</f>
        <v/>
      </c>
      <c r="Q267" s="375">
        <f>Q226+Q228</f>
        <v/>
      </c>
      <c r="R267" s="375">
        <f>R226+R228</f>
        <v/>
      </c>
      <c r="S267" s="375">
        <f>S226+S228</f>
        <v/>
      </c>
      <c r="T267" s="375">
        <f>T226+T228</f>
        <v/>
      </c>
      <c r="U267" s="375">
        <f>U226+U228</f>
        <v/>
      </c>
      <c r="V267" s="375">
        <f>V226+V228</f>
        <v/>
      </c>
      <c r="W267" s="375">
        <f>W226+W228</f>
        <v/>
      </c>
      <c r="X267" s="375">
        <f>X226+X228</f>
        <v/>
      </c>
      <c r="Y267" s="375">
        <f>Y226+Y228</f>
        <v/>
      </c>
      <c r="Z267" s="375">
        <f>Z226+Z228</f>
        <v/>
      </c>
      <c r="AA267" s="375">
        <f>AA226+AA228</f>
        <v/>
      </c>
      <c r="AB267" s="375">
        <f>AB226+AB228</f>
        <v/>
      </c>
      <c r="AC267" s="375">
        <f>AC226+AC228</f>
        <v/>
      </c>
      <c r="AD267" s="375">
        <f>AD226+AD228</f>
        <v/>
      </c>
      <c r="AE267" s="375">
        <f>AE226+AE228</f>
        <v/>
      </c>
      <c r="AF267" s="375">
        <f>AF226+AF228</f>
        <v/>
      </c>
      <c r="AG267" s="375">
        <f>AG226+AG228</f>
        <v/>
      </c>
      <c r="AH267" s="375">
        <f>AH226+AH228</f>
        <v/>
      </c>
      <c r="AI267" s="375">
        <f>AI226+AI228</f>
        <v/>
      </c>
      <c r="AJ267" s="375">
        <f>AJ226+AJ228</f>
        <v/>
      </c>
      <c r="AK267" s="375">
        <f>AK226+AK228</f>
        <v/>
      </c>
      <c r="AL267" s="375">
        <f>AL226+AL228</f>
        <v/>
      </c>
      <c r="AM267" s="375">
        <f>AM226+AM228</f>
        <v/>
      </c>
      <c r="AN267" s="375">
        <f>AN226+AN228</f>
        <v/>
      </c>
      <c r="AO267" s="375">
        <f>AO226+AO228</f>
        <v/>
      </c>
      <c r="AP267" s="375">
        <f>AP226+AP228</f>
        <v/>
      </c>
      <c r="AQ267" s="375">
        <f>AQ226+AQ228</f>
        <v/>
      </c>
      <c r="AR267" s="375">
        <f>AR226+AR228</f>
        <v/>
      </c>
      <c r="AS267" s="375">
        <f>AS226+AS228</f>
        <v/>
      </c>
      <c r="AT267" s="375">
        <f>AT226+AT228</f>
        <v/>
      </c>
      <c r="AU267" s="375">
        <f>AU226+AU228</f>
        <v/>
      </c>
      <c r="AV267" s="375">
        <f>AV226+AV228</f>
        <v/>
      </c>
      <c r="AW267" s="375">
        <f>AW226+AW228</f>
        <v/>
      </c>
      <c r="AX267" s="375">
        <f>AX226+AX228</f>
        <v/>
      </c>
      <c r="AY267" s="375">
        <f>AY226+AY228</f>
        <v/>
      </c>
      <c r="AZ267" s="375">
        <f>AZ226+AZ228</f>
        <v/>
      </c>
      <c r="BA267" s="375">
        <f>BA226+BA228</f>
        <v/>
      </c>
      <c r="BB267" s="375">
        <f>BB226+BB228</f>
        <v/>
      </c>
      <c r="BC267" s="375">
        <f>BC226+BC228</f>
        <v/>
      </c>
      <c r="BD267" s="375">
        <f>BD226+BD228</f>
        <v/>
      </c>
      <c r="BE267" s="375">
        <f>BE226+BE228</f>
        <v/>
      </c>
      <c r="BF267" s="375">
        <f>BF226+BF228</f>
        <v/>
      </c>
      <c r="BG267" s="375">
        <f>BG226+BG228</f>
        <v/>
      </c>
      <c r="BH267" s="375">
        <f>BH226+BH228</f>
        <v/>
      </c>
      <c r="BI267" s="375">
        <f>BI226+BI228</f>
        <v/>
      </c>
      <c r="BJ267" s="375">
        <f>BJ226+BJ228</f>
        <v/>
      </c>
      <c r="BK267" s="375">
        <f>BK226+BK228</f>
        <v/>
      </c>
      <c r="BL267" s="375">
        <f>BL226+BL228</f>
        <v/>
      </c>
      <c r="BM267" s="375">
        <f>BM226+BM228</f>
        <v/>
      </c>
      <c r="BN267" s="375">
        <f>BN226+BN228</f>
        <v/>
      </c>
      <c r="BO267" s="375">
        <f>BO226+BO228</f>
        <v/>
      </c>
      <c r="BP267" s="375">
        <f>BP226+BP228</f>
        <v/>
      </c>
      <c r="BQ267" s="375">
        <f>BQ226+BQ228</f>
        <v/>
      </c>
      <c r="BR267" s="375">
        <f>BR226+BR228</f>
        <v/>
      </c>
      <c r="BS267" s="375">
        <f>BS226+BS228</f>
        <v/>
      </c>
      <c r="BT267" s="375">
        <f>BT226+BT228</f>
        <v/>
      </c>
      <c r="BU267" s="375">
        <f>BU226+BU228</f>
        <v/>
      </c>
      <c r="BV267" s="375">
        <f>BV226+BV228</f>
        <v/>
      </c>
      <c r="BW267" s="375">
        <f>BW226+BW228</f>
        <v/>
      </c>
      <c r="BX267" s="375">
        <f>BX226+BX228</f>
        <v/>
      </c>
      <c r="BY267" s="375">
        <f>BY226+BY228</f>
        <v/>
      </c>
      <c r="BZ267" s="375">
        <f>BZ226+BZ228</f>
        <v/>
      </c>
      <c r="CA267" s="375">
        <f>CA226+CA228</f>
        <v/>
      </c>
      <c r="CB267" s="375">
        <f>CB226+CB228</f>
        <v/>
      </c>
      <c r="CC267" s="375">
        <f>CC226+CC228</f>
        <v/>
      </c>
      <c r="CD267" s="375">
        <f>CD226+CD228</f>
        <v/>
      </c>
      <c r="CE267" s="375">
        <f>CE226+CE228</f>
        <v/>
      </c>
      <c r="CF267" s="375">
        <f>CF226+CF228</f>
        <v/>
      </c>
      <c r="CG267" s="375">
        <f>CG226+CG228</f>
        <v/>
      </c>
      <c r="CH267" s="375">
        <f>CH226+CH228</f>
        <v/>
      </c>
      <c r="CI267" s="375">
        <f>CI226+CI228</f>
        <v/>
      </c>
      <c r="CJ267" s="375">
        <f>CJ226+CJ228</f>
        <v/>
      </c>
      <c r="CK267" s="375">
        <f>CK226+CK228</f>
        <v/>
      </c>
      <c r="CL267" s="375">
        <f>CL226+CL228</f>
        <v/>
      </c>
      <c r="CM267" s="375">
        <f>CM226+CM228</f>
        <v/>
      </c>
      <c r="CN267" s="375">
        <f>CN226+CN228</f>
        <v/>
      </c>
      <c r="CO267" s="375">
        <f>CO226+CO228</f>
        <v/>
      </c>
      <c r="CP267" s="375">
        <f>CP226+CP228</f>
        <v/>
      </c>
      <c r="CQ267" s="375">
        <f>CQ226+CQ228</f>
        <v/>
      </c>
      <c r="CR267" s="375">
        <f>CR226+CR228</f>
        <v/>
      </c>
      <c r="CS267" s="375">
        <f>CS226+CS228</f>
        <v/>
      </c>
      <c r="CT267" s="375">
        <f>CT226+CT228</f>
        <v/>
      </c>
      <c r="CU267" s="375">
        <f>CU226+CU228</f>
        <v/>
      </c>
      <c r="CV267" s="375">
        <f>CV226+CV228</f>
        <v/>
      </c>
      <c r="CW267" s="375">
        <f>CW226+CW228</f>
        <v/>
      </c>
      <c r="CX267" s="375">
        <f>CX226+CX228</f>
        <v/>
      </c>
      <c r="CY267" s="375">
        <f>CY226+CY228</f>
        <v/>
      </c>
      <c r="CZ267" s="375">
        <f>CZ226+CZ228</f>
        <v/>
      </c>
      <c r="DA267" s="375">
        <f>DA226+DA228</f>
        <v/>
      </c>
      <c r="DB267" s="375">
        <f>DB226+DB228</f>
        <v/>
      </c>
      <c r="DC267" s="375" t="n"/>
      <c r="DD267" s="375">
        <f>SUM(F267:DB267)</f>
        <v/>
      </c>
    </row>
    <row r="268" hidden="1" outlineLevel="1">
      <c r="A268" s="377" t="inlineStr">
        <is>
          <t xml:space="preserve">   Equity Distributions Breakpoint</t>
        </is>
      </c>
      <c r="B268" s="377" t="n"/>
      <c r="C268" s="1136">
        <f>'Project Returns'!E66</f>
        <v/>
      </c>
      <c r="D268" s="375" t="n"/>
      <c r="F268" s="375">
        <f>IF(F5&lt;='Project Returns'!$F$32,-F266+E268+(E268-E271)*((1+$C$268)^(1/12)-1)-F267-E271,0)</f>
        <v/>
      </c>
      <c r="G268" s="375">
        <f>IF(G5&lt;='Project Returns'!$F$32,-G266+F268+(F268-F271)*((1+$C$268)^(1/12)-1)-G267-F271,0)</f>
        <v/>
      </c>
      <c r="H268" s="375">
        <f>IF(H5&lt;='Project Returns'!$F$32,-H266+G268+(G268-G271)*((1+$C$268)^(1/12)-1)-H267-G271,0)</f>
        <v/>
      </c>
      <c r="I268" s="375">
        <f>IF(I5&lt;='Project Returns'!$F$32,-I266+H268+(H268-H271)*((1+$C$268)^(1/12)-1)-I267-H271,0)</f>
        <v/>
      </c>
      <c r="J268" s="375">
        <f>IF(J5&lt;='Project Returns'!$F$32,-J266+I268+(I268-I271)*((1+$C$268)^(1/12)-1)-J267-I271,0)</f>
        <v/>
      </c>
      <c r="K268" s="375">
        <f>IF(K5&lt;='Project Returns'!$F$32,-K266+J268+(J268-J271)*((1+$C$268)^(1/12)-1)-K267-J271,0)</f>
        <v/>
      </c>
      <c r="L268" s="375">
        <f>IF(L5&lt;='Project Returns'!$F$32,-L266+K268+(K268-K271)*((1+$C$268)^(1/12)-1)-L267-K271,0)</f>
        <v/>
      </c>
      <c r="M268" s="375">
        <f>IF(M5&lt;='Project Returns'!$F$32,-M266+L268+(L268-L271)*((1+$C$268)^(1/12)-1)-M267-L271,0)</f>
        <v/>
      </c>
      <c r="N268" s="375">
        <f>IF(N5&lt;='Project Returns'!$F$32,-N266+M268+(M268-M271)*((1+$C$268)^(1/12)-1)-N267-M271,0)</f>
        <v/>
      </c>
      <c r="O268" s="375">
        <f>IF(O5&lt;='Project Returns'!$F$32,-O266+N268+(N268-N271)*((1+$C$268)^(1/12)-1)-O267-N271,0)</f>
        <v/>
      </c>
      <c r="P268" s="375">
        <f>IF(P5&lt;='Project Returns'!$F$32,-P266+O268+(O268-O271)*((1+$C$268)^(1/12)-1)-P267-O271,0)</f>
        <v/>
      </c>
      <c r="Q268" s="375">
        <f>IF(Q5&lt;='Project Returns'!$F$32,-Q266+P268+(P268-P271)*((1+$C$268)^(1/12)-1)-Q267-P271,0)</f>
        <v/>
      </c>
      <c r="R268" s="375">
        <f>IF(R5&lt;='Project Returns'!$F$32,-R266+Q268+(Q268-Q271)*((1+$C$268)^(1/12)-1)-R267-Q271,0)</f>
        <v/>
      </c>
      <c r="S268" s="375">
        <f>IF(S5&lt;='Project Returns'!$F$32,-S266+R268+(R268-R271)*((1+$C$268)^(1/12)-1)-S267-R271,0)</f>
        <v/>
      </c>
      <c r="T268" s="375">
        <f>IF(T5&lt;='Project Returns'!$F$32,-T266+S268+(S268-S271)*((1+$C$268)^(1/12)-1)-T267-S271,0)</f>
        <v/>
      </c>
      <c r="U268" s="375">
        <f>IF(U5&lt;='Project Returns'!$F$32,-U266+T268+(T268-T271)*((1+$C$268)^(1/12)-1)-U267-T271,0)</f>
        <v/>
      </c>
      <c r="V268" s="375">
        <f>IF(V5&lt;='Project Returns'!$F$32,-V266+U268+(U268-U271)*((1+$C$268)^(1/12)-1)-V267-U271,0)</f>
        <v/>
      </c>
      <c r="W268" s="375">
        <f>IF(W5&lt;='Project Returns'!$F$32,-W266+V268+(V268-V271)*((1+$C$268)^(1/12)-1)-W267-V271,0)</f>
        <v/>
      </c>
      <c r="X268" s="375">
        <f>IF(X5&lt;='Project Returns'!$F$32,-X266+W268+(W268-W271)*((1+$C$268)^(1/12)-1)-X267-W271,0)</f>
        <v/>
      </c>
      <c r="Y268" s="375">
        <f>IF(Y5&lt;='Project Returns'!$F$32,-Y266+X268+(X268-X271)*((1+$C$268)^(1/12)-1)-Y267-X271,0)</f>
        <v/>
      </c>
      <c r="Z268" s="375">
        <f>IF(Z5&lt;='Project Returns'!$F$32,-Z266+Y268+(Y268-Y271)*((1+$C$268)^(1/12)-1)-Z267-Y271,0)</f>
        <v/>
      </c>
      <c r="AA268" s="375">
        <f>IF(AA5&lt;='Project Returns'!$F$32,-AA266+Z268+(Z268-Z271)*((1+$C$268)^(1/12)-1)-AA267-Z271,0)</f>
        <v/>
      </c>
      <c r="AB268" s="375">
        <f>IF(AB5&lt;='Project Returns'!$F$32,-AB266+AA268+(AA268-AA271)*((1+$C$268)^(1/12)-1)-AB267-AA271,0)</f>
        <v/>
      </c>
      <c r="AC268" s="375">
        <f>IF(AC5&lt;='Project Returns'!$F$32,-AC266+AB268+(AB268-AB271)*((1+$C$268)^(1/12)-1)-AC267-AB271,0)</f>
        <v/>
      </c>
      <c r="AD268" s="375">
        <f>IF(AD5&lt;='Project Returns'!$F$32,-AD266+AC268+(AC268-AC271)*((1+$C$268)^(1/12)-1)-AD267-AC271,0)</f>
        <v/>
      </c>
      <c r="AE268" s="375">
        <f>IF(AE5&lt;='Project Returns'!$F$32,-AE266+AD268+(AD268-AD271)*((1+$C$268)^(1/12)-1)-AE267-AD271,0)</f>
        <v/>
      </c>
      <c r="AF268" s="375">
        <f>IF(AF5&lt;='Project Returns'!$F$32,-AF266+AE268+(AE268-AE271)*((1+$C$268)^(1/12)-1)-AF267-AE271,0)</f>
        <v/>
      </c>
      <c r="AG268" s="375">
        <f>IF(AG5&lt;='Project Returns'!$F$32,-AG266+AF268+(AF268-AF271)*((1+$C$268)^(1/12)-1)-AG267-AF271,0)</f>
        <v/>
      </c>
      <c r="AH268" s="375">
        <f>IF(AH5&lt;='Project Returns'!$F$32,-AH266+AG268+(AG268-AG271)*((1+$C$268)^(1/12)-1)-AH267-AG271,0)</f>
        <v/>
      </c>
      <c r="AI268" s="375">
        <f>IF(AI5&lt;='Project Returns'!$F$32,-AI266+AH268+(AH268-AH271)*((1+$C$268)^(1/12)-1)-AI267-AH271,0)</f>
        <v/>
      </c>
      <c r="AJ268" s="375">
        <f>IF(AJ5&lt;='Project Returns'!$F$32,-AJ266+AI268+(AI268-AI271)*((1+$C$268)^(1/12)-1)-AJ267-AI271,0)</f>
        <v/>
      </c>
      <c r="AK268" s="375">
        <f>IF(AK5&lt;='Project Returns'!$F$32,-AK266+AJ268+(AJ268-AJ271)*((1+$C$268)^(1/12)-1)-AK267-AJ271,0)</f>
        <v/>
      </c>
      <c r="AL268" s="375">
        <f>IF(AL5&lt;='Project Returns'!$F$32,-AL266+AK268+(AK268-AK271)*((1+$C$268)^(1/12)-1)-AL267-AK271,0)</f>
        <v/>
      </c>
      <c r="AM268" s="375">
        <f>IF(AM5&lt;='Project Returns'!$F$32,-AM266+AL268+(AL268-AL271)*((1+$C$268)^(1/12)-1)-AM267-AL271,0)</f>
        <v/>
      </c>
      <c r="AN268" s="375">
        <f>IF(AN5&lt;='Project Returns'!$F$32,-AN266+AM268+(AM268-AM271)*((1+$C$268)^(1/12)-1)-AN267-AM271,0)</f>
        <v/>
      </c>
      <c r="AO268" s="375">
        <f>IF(AO5&lt;='Project Returns'!$F$32,-AO266+AN268+(AN268-AN271)*((1+$C$268)^(1/12)-1)-AO267-AN271,0)</f>
        <v/>
      </c>
      <c r="AP268" s="375">
        <f>IF(AP5&lt;='Project Returns'!$F$32,-AP266+AO268+(AO268-AO271)*((1+$C$268)^(1/12)-1)-AP267-AO271,0)</f>
        <v/>
      </c>
      <c r="AQ268" s="375">
        <f>IF(AQ5&lt;='Project Returns'!$F$32,-AQ266+AP268+(AP268-AP271)*((1+$C$268)^(1/12)-1)-AQ267-AP271,0)</f>
        <v/>
      </c>
      <c r="AR268" s="375">
        <f>IF(AR5&lt;='Project Returns'!$F$32,-AR266+AQ268+(AQ268-AQ271)*((1+$C$268)^(1/12)-1)-AR267-AQ271,0)</f>
        <v/>
      </c>
      <c r="AS268" s="375">
        <f>IF(AS5&lt;='Project Returns'!$F$32,-AS266+AR268+(AR268-AR271)*((1+$C$268)^(1/12)-1)-AS267-AR271,0)</f>
        <v/>
      </c>
      <c r="AT268" s="375">
        <f>IF(AT5&lt;='Project Returns'!$F$32,-AT266+AS268+(AS268-AS271)*((1+$C$268)^(1/12)-1)-AT267-AS271,0)</f>
        <v/>
      </c>
      <c r="AU268" s="375">
        <f>IF(AU5&lt;='Project Returns'!$F$32,-AU266+AT268+(AT268-AT271)*((1+$C$268)^(1/12)-1)-AU267-AT271,0)</f>
        <v/>
      </c>
      <c r="AV268" s="375">
        <f>IF(AV5&lt;='Project Returns'!$F$32,-AV266+AU268+(AU268-AU271)*((1+$C$268)^(1/12)-1)-AV267-AU271,0)</f>
        <v/>
      </c>
      <c r="AW268" s="375">
        <f>IF(AW5&lt;='Project Returns'!$F$32,-AW266+AV268+(AV268-AV271)*((1+$C$268)^(1/12)-1)-AW267-AV271,0)</f>
        <v/>
      </c>
      <c r="AX268" s="375">
        <f>IF(AX5&lt;='Project Returns'!$F$32,-AX266+AW268+(AW268-AW271)*((1+$C$268)^(1/12)-1)-AX267-AW271,0)</f>
        <v/>
      </c>
      <c r="AY268" s="375">
        <f>IF(AY5&lt;='Project Returns'!$F$32,-AY266+AX268+(AX268-AX271)*((1+$C$268)^(1/12)-1)-AY267-AX271,0)</f>
        <v/>
      </c>
      <c r="AZ268" s="375">
        <f>IF(AZ5&lt;='Project Returns'!$F$32,-AZ266+AY268+(AY268-AY271)*((1+$C$268)^(1/12)-1)-AZ267-AY271,0)</f>
        <v/>
      </c>
      <c r="BA268" s="375">
        <f>IF(BA5&lt;='Project Returns'!$F$32,-BA266+AZ268+(AZ268-AZ271)*((1+$C$268)^(1/12)-1)-BA267-AZ271,0)</f>
        <v/>
      </c>
      <c r="BB268" s="375">
        <f>IF(BB5&lt;='Project Returns'!$F$32,-BB266+BA268+(BA268-BA271)*((1+$C$268)^(1/12)-1)-BB267-BA271,0)</f>
        <v/>
      </c>
      <c r="BC268" s="375">
        <f>IF(BC5&lt;='Project Returns'!$F$32,-BC266+BB268+(BB268-BB271)*((1+$C$268)^(1/12)-1)-BC267-BB271,0)</f>
        <v/>
      </c>
      <c r="BD268" s="375">
        <f>IF(BD5&lt;='Project Returns'!$F$32,-BD266+BC268+(BC268-BC271)*((1+$C$268)^(1/12)-1)-BD267-BC271,0)</f>
        <v/>
      </c>
      <c r="BE268" s="375">
        <f>IF(BE5&lt;='Project Returns'!$F$32,-BE266+BD268+(BD268-BD271)*((1+$C$268)^(1/12)-1)-BE267-BD271,0)</f>
        <v/>
      </c>
      <c r="BF268" s="375">
        <f>IF(BF5&lt;='Project Returns'!$F$32,-BF266+BE268+(BE268-BE271)*((1+$C$268)^(1/12)-1)-BF267-BE271,0)</f>
        <v/>
      </c>
      <c r="BG268" s="375">
        <f>IF(BG5&lt;='Project Returns'!$F$32,-BG266+BF268+(BF268-BF271)*((1+$C$268)^(1/12)-1)-BG267-BF271,0)</f>
        <v/>
      </c>
      <c r="BH268" s="375">
        <f>IF(BH5&lt;='Project Returns'!$F$32,-BH266+BG268+(BG268-BG271)*((1+$C$268)^(1/12)-1)-BH267-BG271,0)</f>
        <v/>
      </c>
      <c r="BI268" s="375">
        <f>IF(BI5&lt;='Project Returns'!$F$32,-BI266+BH268+(BH268-BH271)*((1+$C$268)^(1/12)-1)-BI267-BH271,0)</f>
        <v/>
      </c>
      <c r="BJ268" s="375">
        <f>IF(BJ5&lt;='Project Returns'!$F$32,-BJ266+BI268+(BI268-BI271)*((1+$C$268)^(1/12)-1)-BJ267-BI271,0)</f>
        <v/>
      </c>
      <c r="BK268" s="375">
        <f>IF(BK5&lt;='Project Returns'!$F$32,-BK266+BJ268+(BJ268-BJ271)*((1+$C$268)^(1/12)-1)-BK267-BJ271,0)</f>
        <v/>
      </c>
      <c r="BL268" s="375">
        <f>IF(BL5&lt;='Project Returns'!$F$32,-BL266+BK268+(BK268-BK271)*((1+$C$268)^(1/12)-1)-BL267-BK271,0)</f>
        <v/>
      </c>
      <c r="BM268" s="375">
        <f>IF(BM5&lt;='Project Returns'!$F$32,-BM266+BL268+(BL268-BL271)*((1+$C$268)^(1/12)-1)-BM267-BL271,0)</f>
        <v/>
      </c>
      <c r="BN268" s="375">
        <f>IF(BN5&lt;='Project Returns'!$F$32,-BN266+BM268+(BM268-BM271)*((1+$C$268)^(1/12)-1)-BN267-BM271,0)</f>
        <v/>
      </c>
      <c r="BO268" s="375">
        <f>IF(BO5&lt;='Project Returns'!$F$32,-BO266+BN268+(BN268-BN271)*((1+$C$268)^(1/12)-1)-BO267-BN271,0)</f>
        <v/>
      </c>
      <c r="BP268" s="375">
        <f>IF(BP5&lt;='Project Returns'!$F$32,-BP266+BO268+(BO268-BO271)*((1+$C$268)^(1/12)-1)-BP267-BO271,0)</f>
        <v/>
      </c>
      <c r="BQ268" s="375">
        <f>IF(BQ5&lt;='Project Returns'!$F$32,-BQ266+BP268+(BP268-BP271)*((1+$C$268)^(1/12)-1)-BQ267-BP271,0)</f>
        <v/>
      </c>
      <c r="BR268" s="375">
        <f>IF(BR5&lt;='Project Returns'!$F$32,-BR266+BQ268+(BQ268-BQ271)*((1+$C$268)^(1/12)-1)-BR267-BQ271,0)</f>
        <v/>
      </c>
      <c r="BS268" s="375">
        <f>IF(BS5&lt;='Project Returns'!$F$32,-BS266+BR268+(BR268-BR271)*((1+$C$268)^(1/12)-1)-BS267-BR271,0)</f>
        <v/>
      </c>
      <c r="BT268" s="375">
        <f>IF(BT5&lt;='Project Returns'!$F$32,-BT266+BS268+(BS268-BS271)*((1+$C$268)^(1/12)-1)-BT267-BS271,0)</f>
        <v/>
      </c>
      <c r="BU268" s="375">
        <f>IF(BU5&lt;='Project Returns'!$F$32,-BU266+BT268+(BT268-BT271)*((1+$C$268)^(1/12)-1)-BU267-BT271,0)</f>
        <v/>
      </c>
      <c r="BV268" s="375">
        <f>IF(BV5&lt;='Project Returns'!$F$32,-BV266+BU268+(BU268-BU271)*((1+$C$268)^(1/12)-1)-BV267-BU271,0)</f>
        <v/>
      </c>
      <c r="BW268" s="375">
        <f>IF(BW5&lt;='Project Returns'!$F$32,-BW266+BV268+(BV268-BV271)*((1+$C$268)^(1/12)-1)-BW267-BV271,0)</f>
        <v/>
      </c>
      <c r="BX268" s="375">
        <f>IF(BX5&lt;='Project Returns'!$F$32,-BX266+BW268+(BW268-BW271)*((1+$C$268)^(1/12)-1)-BX267-BW271,0)</f>
        <v/>
      </c>
      <c r="BY268" s="375">
        <f>IF(BY5&lt;='Project Returns'!$F$32,-BY266+BX268+(BX268-BX271)*((1+$C$268)^(1/12)-1)-BY267-BX271,0)</f>
        <v/>
      </c>
      <c r="BZ268" s="375">
        <f>IF(BZ5&lt;='Project Returns'!$F$32,-BZ266+BY268+(BY268-BY271)*((1+$C$268)^(1/12)-1)-BZ267-BY271,0)</f>
        <v/>
      </c>
      <c r="CA268" s="375">
        <f>IF(CA5&lt;='Project Returns'!$F$32,-CA266+BZ268+(BZ268-BZ271)*((1+$C$268)^(1/12)-1)-CA267-BZ271,0)</f>
        <v/>
      </c>
      <c r="CB268" s="375">
        <f>IF(CB5&lt;='Project Returns'!$F$32,-CB266+CA268+(CA268-CA271)*((1+$C$268)^(1/12)-1)-CB267-CA271,0)</f>
        <v/>
      </c>
      <c r="CC268" s="375">
        <f>IF(CC5&lt;='Project Returns'!$F$32,-CC266+CB268+(CB268-CB271)*((1+$C$268)^(1/12)-1)-CC267-CB271,0)</f>
        <v/>
      </c>
      <c r="CD268" s="375">
        <f>IF(CD5&lt;='Project Returns'!$F$32,-CD266+CC268+(CC268-CC271)*((1+$C$268)^(1/12)-1)-CD267-CC271,0)</f>
        <v/>
      </c>
      <c r="CE268" s="375">
        <f>IF(CE5&lt;='Project Returns'!$F$32,-CE266+CD268+(CD268-CD271)*((1+$C$268)^(1/12)-1)-CE267-CD271,0)</f>
        <v/>
      </c>
      <c r="CF268" s="375">
        <f>IF(CF5&lt;='Project Returns'!$F$32,-CF266+CE268+(CE268-CE271)*((1+$C$268)^(1/12)-1)-CF267-CE271,0)</f>
        <v/>
      </c>
      <c r="CG268" s="375">
        <f>IF(CG5&lt;='Project Returns'!$F$32,-CG266+CF268+(CF268-CF271)*((1+$C$268)^(1/12)-1)-CG267-CF271,0)</f>
        <v/>
      </c>
      <c r="CH268" s="375">
        <f>IF(CH5&lt;='Project Returns'!$F$32,-CH266+CG268+(CG268-CG271)*((1+$C$268)^(1/12)-1)-CH267-CG271,0)</f>
        <v/>
      </c>
      <c r="CI268" s="375">
        <f>IF(CI5&lt;='Project Returns'!$F$32,-CI266+CH268+(CH268-CH271)*((1+$C$268)^(1/12)-1)-CI267-CH271,0)</f>
        <v/>
      </c>
      <c r="CJ268" s="375">
        <f>IF(CJ5&lt;='Project Returns'!$F$32,-CJ266+CI268+(CI268-CI271)*((1+$C$268)^(1/12)-1)-CJ267-CI271,0)</f>
        <v/>
      </c>
      <c r="CK268" s="375">
        <f>IF(CK5&lt;='Project Returns'!$F$32,-CK266+CJ268+(CJ268-CJ271)*((1+$C$268)^(1/12)-1)-CK267-CJ271,0)</f>
        <v/>
      </c>
      <c r="CL268" s="375">
        <f>IF(CL5&lt;='Project Returns'!$F$32,-CL266+CK268+(CK268-CK271)*((1+$C$268)^(1/12)-1)-CL267-CK271,0)</f>
        <v/>
      </c>
      <c r="CM268" s="375">
        <f>IF(CM5&lt;='Project Returns'!$F$32,-CM266+CL268+(CL268-CL271)*((1+$C$268)^(1/12)-1)-CM267-CL271,0)</f>
        <v/>
      </c>
      <c r="CN268" s="375">
        <f>IF(CN5&lt;='Project Returns'!$F$32,-CN266+CM268+(CM268-CM271)*((1+$C$268)^(1/12)-1)-CN267-CM271,0)</f>
        <v/>
      </c>
      <c r="CO268" s="375">
        <f>IF(CO5&lt;='Project Returns'!$F$32,-CO266+CN268+(CN268-CN271)*((1+$C$268)^(1/12)-1)-CO267-CN271,0)</f>
        <v/>
      </c>
      <c r="CP268" s="375">
        <f>IF(CP5&lt;='Project Returns'!$F$32,-CP266+CO268+(CO268-CO271)*((1+$C$268)^(1/12)-1)-CP267-CO271,0)</f>
        <v/>
      </c>
      <c r="CQ268" s="375">
        <f>IF(CQ5&lt;='Project Returns'!$F$32,-CQ266+CP268+(CP268-CP271)*((1+$C$268)^(1/12)-1)-CQ267-CP271,0)</f>
        <v/>
      </c>
      <c r="CR268" s="375">
        <f>IF(CR5&lt;='Project Returns'!$F$32,-CR266+CQ268+(CQ268-CQ271)*((1+$C$268)^(1/12)-1)-CR267-CQ271,0)</f>
        <v/>
      </c>
      <c r="CS268" s="375">
        <f>IF(CS5&lt;='Project Returns'!$F$32,-CS266+CR268+(CR268-CR271)*((1+$C$268)^(1/12)-1)-CS267-CR271,0)</f>
        <v/>
      </c>
      <c r="CT268" s="375">
        <f>IF(CT5&lt;='Project Returns'!$F$32,-CT266+CS268+(CS268-CS271)*((1+$C$268)^(1/12)-1)-CT267-CS271,0)</f>
        <v/>
      </c>
      <c r="CU268" s="375">
        <f>IF(CU5&lt;='Project Returns'!$F$32,-CU266+CT268+(CT268-CT271)*((1+$C$268)^(1/12)-1)-CU267-CT271,0)</f>
        <v/>
      </c>
      <c r="CV268" s="375">
        <f>IF(CV5&lt;='Project Returns'!$F$32,-CV266+CU268+(CU268-CU271)*((1+$C$268)^(1/12)-1)-CV267-CU271,0)</f>
        <v/>
      </c>
      <c r="CW268" s="375">
        <f>IF(CW5&lt;='Project Returns'!$F$32,-CW266+CV268+(CV268-CV271)*((1+$C$268)^(1/12)-1)-CW267-CV271,0)</f>
        <v/>
      </c>
      <c r="CX268" s="375">
        <f>IF(CX5&lt;='Project Returns'!$F$32,-CX266+CW268+(CW268-CW271)*((1+$C$268)^(1/12)-1)-CX267-CW271,0)</f>
        <v/>
      </c>
      <c r="CY268" s="375">
        <f>IF(CY5&lt;='Project Returns'!$F$32,-CY266+CX268+(CX268-CX271)*((1+$C$268)^(1/12)-1)-CY267-CX271,0)</f>
        <v/>
      </c>
      <c r="CZ268" s="375">
        <f>IF(CZ5&lt;='Project Returns'!$F$32,-CZ266+CY268+(CY268-CY271)*((1+$C$268)^(1/12)-1)-CZ267-CY271,0)</f>
        <v/>
      </c>
      <c r="DA268" s="375">
        <f>IF(DA5&lt;='Project Returns'!$F$32,-DA266+CZ268+(CZ268-CZ271)*((1+$C$268)^(1/12)-1)-DA267-CZ271,0)</f>
        <v/>
      </c>
      <c r="DB268" s="375">
        <f>IF(DB5&lt;='Project Returns'!$F$32,-DB266+DA268+(DA268-DA271)*((1+$C$268)^(1/12)-1)-DB267-DA271,0)</f>
        <v/>
      </c>
      <c r="DC268" s="375" t="n"/>
      <c r="DD268" s="375">
        <f>SUM(F268:DB268)</f>
        <v/>
      </c>
    </row>
    <row r="269" hidden="1" outlineLevel="1">
      <c r="A269" s="377" t="inlineStr">
        <is>
          <t>Level 1 Distributions* -</t>
        </is>
      </c>
      <c r="B269" s="377" t="n"/>
      <c r="C269" s="1136" t="n"/>
      <c r="D269" s="375" t="n"/>
      <c r="F269" s="375" t="n"/>
      <c r="G269" s="375" t="n"/>
      <c r="H269" s="375" t="n"/>
      <c r="I269" s="375" t="n"/>
      <c r="J269" s="375" t="n"/>
      <c r="K269" s="375" t="n"/>
      <c r="L269" s="375" t="n"/>
      <c r="M269" s="375" t="n"/>
      <c r="N269" s="375" t="n"/>
      <c r="O269" s="375" t="n"/>
      <c r="P269" s="375" t="n"/>
      <c r="Q269" s="375" t="n"/>
      <c r="R269" s="375" t="n"/>
      <c r="S269" s="375" t="n"/>
      <c r="T269" s="375" t="n"/>
      <c r="U269" s="375" t="n"/>
      <c r="V269" s="375" t="n"/>
      <c r="W269" s="375" t="n"/>
      <c r="X269" s="375" t="n"/>
      <c r="Y269" s="375" t="n"/>
      <c r="Z269" s="375" t="n"/>
      <c r="AA269" s="375" t="n"/>
      <c r="AB269" s="375" t="n"/>
      <c r="AC269" s="375" t="n"/>
      <c r="AD269" s="375" t="n"/>
      <c r="AE269" s="375" t="n"/>
      <c r="AF269" s="375" t="n"/>
      <c r="AG269" s="375" t="n"/>
      <c r="AH269" s="375" t="n"/>
      <c r="AI269" s="375" t="n"/>
      <c r="AJ269" s="375" t="n"/>
      <c r="AK269" s="375" t="n"/>
      <c r="AL269" s="375" t="n"/>
      <c r="AM269" s="375" t="n"/>
      <c r="AN269" s="375" t="n"/>
      <c r="AO269" s="375" t="n"/>
      <c r="AP269" s="375" t="n"/>
      <c r="AQ269" s="375" t="n"/>
      <c r="AR269" s="375" t="n"/>
      <c r="AS269" s="375" t="n"/>
      <c r="AT269" s="375" t="n"/>
      <c r="AU269" s="375" t="n"/>
      <c r="AV269" s="375" t="n"/>
      <c r="AW269" s="375" t="n"/>
      <c r="AX269" s="375" t="n"/>
      <c r="AY269" s="375" t="n"/>
      <c r="AZ269" s="375" t="n"/>
      <c r="BA269" s="375" t="n"/>
      <c r="BB269" s="375" t="n"/>
      <c r="BC269" s="375" t="n"/>
      <c r="BD269" s="375" t="n"/>
      <c r="BE269" s="375" t="n"/>
      <c r="BF269" s="375" t="n"/>
      <c r="BG269" s="375" t="n"/>
      <c r="BH269" s="375" t="n"/>
      <c r="BI269" s="375" t="n"/>
      <c r="BJ269" s="375" t="n"/>
      <c r="BK269" s="375" t="n"/>
      <c r="BL269" s="375" t="n"/>
      <c r="BM269" s="375" t="n"/>
      <c r="BN269" s="375" t="n"/>
      <c r="BO269" s="375" t="n"/>
      <c r="BP269" s="375" t="n"/>
      <c r="BQ269" s="375" t="n"/>
      <c r="BR269" s="375" t="n"/>
      <c r="BS269" s="375" t="n"/>
      <c r="BT269" s="375" t="n"/>
      <c r="BU269" s="375" t="n"/>
      <c r="BV269" s="375" t="n"/>
      <c r="BW269" s="375" t="n"/>
      <c r="BX269" s="375" t="n"/>
      <c r="BY269" s="375" t="n"/>
      <c r="BZ269" s="375" t="n"/>
      <c r="CA269" s="375" t="n"/>
      <c r="CB269" s="375" t="n"/>
      <c r="CC269" s="375" t="n"/>
      <c r="CD269" s="375" t="n"/>
      <c r="CE269" s="375" t="n"/>
      <c r="CF269" s="375" t="n"/>
      <c r="CG269" s="375" t="n"/>
      <c r="CH269" s="375" t="n"/>
      <c r="CI269" s="375" t="n"/>
      <c r="CJ269" s="375" t="n"/>
      <c r="CK269" s="375" t="n"/>
      <c r="CL269" s="375" t="n"/>
      <c r="CM269" s="375" t="n"/>
      <c r="CN269" s="375" t="n"/>
      <c r="CO269" s="375" t="n"/>
      <c r="CP269" s="375" t="n"/>
      <c r="CQ269" s="375" t="n"/>
      <c r="CR269" s="375" t="n"/>
      <c r="CS269" s="375" t="n"/>
      <c r="CT269" s="375" t="n"/>
      <c r="CU269" s="375" t="n"/>
      <c r="CV269" s="375" t="n"/>
      <c r="CW269" s="375" t="n"/>
      <c r="CX269" s="375" t="n"/>
      <c r="CY269" s="375" t="n"/>
      <c r="CZ269" s="375" t="n"/>
      <c r="DA269" s="375" t="n"/>
      <c r="DB269" s="375" t="n"/>
      <c r="DC269" s="375" t="n"/>
      <c r="DD269" s="375" t="n"/>
    </row>
    <row r="270" hidden="1" outlineLevel="1">
      <c r="A270" s="377" t="inlineStr">
        <is>
          <t xml:space="preserve">   Developer Promote</t>
        </is>
      </c>
      <c r="B270" s="377" t="n"/>
      <c r="C270" s="1136">
        <f>IF('Project Returns'!E63="No",'Project Returns'!E64,('Project Returns'!E64-'Project Returns'!E60)/MAX(1-'Project Returns'!E60,0.00001))</f>
        <v/>
      </c>
      <c r="D270" s="375">
        <f>IF(ISERROR(DD270),0,DD270)</f>
        <v/>
      </c>
      <c r="F270" s="375">
        <f>IF($C$271=0,0,F271/$C$271*$C$270)</f>
        <v/>
      </c>
      <c r="G270" s="375">
        <f>IF($C$271=0,0,G271/$C$271*$C$270)</f>
        <v/>
      </c>
      <c r="H270" s="375">
        <f>IF($C$271=0,0,H271/$C$271*$C$270)</f>
        <v/>
      </c>
      <c r="I270" s="375">
        <f>IF($C$271=0,0,I271/$C$271*$C$270)</f>
        <v/>
      </c>
      <c r="J270" s="375">
        <f>IF($C$271=0,0,J271/$C$271*$C$270)</f>
        <v/>
      </c>
      <c r="K270" s="375">
        <f>IF($C$271=0,0,K271/$C$271*$C$270)</f>
        <v/>
      </c>
      <c r="L270" s="375">
        <f>IF($C$271=0,0,L271/$C$271*$C$270)</f>
        <v/>
      </c>
      <c r="M270" s="375">
        <f>IF($C$271=0,0,M271/$C$271*$C$270)</f>
        <v/>
      </c>
      <c r="N270" s="375">
        <f>IF($C$271=0,0,N271/$C$271*$C$270)</f>
        <v/>
      </c>
      <c r="O270" s="375">
        <f>IF($C$271=0,0,O271/$C$271*$C$270)</f>
        <v/>
      </c>
      <c r="P270" s="375">
        <f>IF($C$271=0,0,P271/$C$271*$C$270)</f>
        <v/>
      </c>
      <c r="Q270" s="375">
        <f>IF($C$271=0,0,Q271/$C$271*$C$270)</f>
        <v/>
      </c>
      <c r="R270" s="375">
        <f>IF($C$271=0,0,R271/$C$271*$C$270)</f>
        <v/>
      </c>
      <c r="S270" s="375">
        <f>IF($C$271=0,0,S271/$C$271*$C$270)</f>
        <v/>
      </c>
      <c r="T270" s="375">
        <f>IF($C$271=0,0,T271/$C$271*$C$270)</f>
        <v/>
      </c>
      <c r="U270" s="375">
        <f>IF($C$271=0,0,U271/$C$271*$C$270)</f>
        <v/>
      </c>
      <c r="V270" s="375">
        <f>IF($C$271=0,0,V271/$C$271*$C$270)</f>
        <v/>
      </c>
      <c r="W270" s="375">
        <f>IF($C$271=0,0,W271/$C$271*$C$270)</f>
        <v/>
      </c>
      <c r="X270" s="375">
        <f>IF($C$271=0,0,X271/$C$271*$C$270)</f>
        <v/>
      </c>
      <c r="Y270" s="375">
        <f>IF($C$271=0,0,Y271/$C$271*$C$270)</f>
        <v/>
      </c>
      <c r="Z270" s="375">
        <f>IF($C$271=0,0,Z271/$C$271*$C$270)</f>
        <v/>
      </c>
      <c r="AA270" s="375">
        <f>IF($C$271=0,0,AA271/$C$271*$C$270)</f>
        <v/>
      </c>
      <c r="AB270" s="375">
        <f>IF($C$271=0,0,AB271/$C$271*$C$270)</f>
        <v/>
      </c>
      <c r="AC270" s="375">
        <f>IF($C$271=0,0,AC271/$C$271*$C$270)</f>
        <v/>
      </c>
      <c r="AD270" s="375">
        <f>IF($C$271=0,0,AD271/$C$271*$C$270)</f>
        <v/>
      </c>
      <c r="AE270" s="375">
        <f>IF($C$271=0,0,AE271/$C$271*$C$270)</f>
        <v/>
      </c>
      <c r="AF270" s="375">
        <f>IF($C$271=0,0,AF271/$C$271*$C$270)</f>
        <v/>
      </c>
      <c r="AG270" s="375">
        <f>IF($C$271=0,0,AG271/$C$271*$C$270)</f>
        <v/>
      </c>
      <c r="AH270" s="375">
        <f>IF($C$271=0,0,AH271/$C$271*$C$270)</f>
        <v/>
      </c>
      <c r="AI270" s="375">
        <f>IF($C$271=0,0,AI271/$C$271*$C$270)</f>
        <v/>
      </c>
      <c r="AJ270" s="375">
        <f>IF($C$271=0,0,AJ271/$C$271*$C$270)</f>
        <v/>
      </c>
      <c r="AK270" s="375">
        <f>IF($C$271=0,0,AK271/$C$271*$C$270)</f>
        <v/>
      </c>
      <c r="AL270" s="375">
        <f>IF($C$271=0,0,AL271/$C$271*$C$270)</f>
        <v/>
      </c>
      <c r="AM270" s="375">
        <f>IF($C$271=0,0,AM271/$C$271*$C$270)</f>
        <v/>
      </c>
      <c r="AN270" s="375">
        <f>IF($C$271=0,0,AN271/$C$271*$C$270)</f>
        <v/>
      </c>
      <c r="AO270" s="375">
        <f>IF($C$271=0,0,AO271/$C$271*$C$270)</f>
        <v/>
      </c>
      <c r="AP270" s="375">
        <f>IF($C$271=0,0,AP271/$C$271*$C$270)</f>
        <v/>
      </c>
      <c r="AQ270" s="375">
        <f>IF($C$271=0,0,AQ271/$C$271*$C$270)</f>
        <v/>
      </c>
      <c r="AR270" s="375">
        <f>IF($C$271=0,0,AR271/$C$271*$C$270)</f>
        <v/>
      </c>
      <c r="AS270" s="375">
        <f>IF($C$271=0,0,AS271/$C$271*$C$270)</f>
        <v/>
      </c>
      <c r="AT270" s="375">
        <f>IF($C$271=0,0,AT271/$C$271*$C$270)</f>
        <v/>
      </c>
      <c r="AU270" s="375">
        <f>IF($C$271=0,0,AU271/$C$271*$C$270)</f>
        <v/>
      </c>
      <c r="AV270" s="375">
        <f>IF($C$271=0,0,AV271/$C$271*$C$270)</f>
        <v/>
      </c>
      <c r="AW270" s="375">
        <f>IF($C$271=0,0,AW271/$C$271*$C$270)</f>
        <v/>
      </c>
      <c r="AX270" s="375">
        <f>IF($C$271=0,0,AX271/$C$271*$C$270)</f>
        <v/>
      </c>
      <c r="AY270" s="375">
        <f>IF($C$271=0,0,AY271/$C$271*$C$270)</f>
        <v/>
      </c>
      <c r="AZ270" s="375">
        <f>IF($C$271=0,0,AZ271/$C$271*$C$270)</f>
        <v/>
      </c>
      <c r="BA270" s="375">
        <f>IF($C$271=0,0,BA271/$C$271*$C$270)</f>
        <v/>
      </c>
      <c r="BB270" s="375">
        <f>IF($C$271=0,0,BB271/$C$271*$C$270)</f>
        <v/>
      </c>
      <c r="BC270" s="375">
        <f>IF($C$271=0,0,BC271/$C$271*$C$270)</f>
        <v/>
      </c>
      <c r="BD270" s="375">
        <f>IF($C$271=0,0,BD271/$C$271*$C$270)</f>
        <v/>
      </c>
      <c r="BE270" s="375">
        <f>IF($C$271=0,0,BE271/$C$271*$C$270)</f>
        <v/>
      </c>
      <c r="BF270" s="375">
        <f>IF($C$271=0,0,BF271/$C$271*$C$270)</f>
        <v/>
      </c>
      <c r="BG270" s="375">
        <f>IF($C$271=0,0,BG271/$C$271*$C$270)</f>
        <v/>
      </c>
      <c r="BH270" s="375">
        <f>IF($C$271=0,0,BH271/$C$271*$C$270)</f>
        <v/>
      </c>
      <c r="BI270" s="375">
        <f>IF($C$271=0,0,BI271/$C$271*$C$270)</f>
        <v/>
      </c>
      <c r="BJ270" s="375">
        <f>IF($C$271=0,0,BJ271/$C$271*$C$270)</f>
        <v/>
      </c>
      <c r="BK270" s="375">
        <f>IF($C$271=0,0,BK271/$C$271*$C$270)</f>
        <v/>
      </c>
      <c r="BL270" s="375">
        <f>IF($C$271=0,0,BL271/$C$271*$C$270)</f>
        <v/>
      </c>
      <c r="BM270" s="375">
        <f>IF($C$271=0,0,BM271/$C$271*$C$270)</f>
        <v/>
      </c>
      <c r="BN270" s="375">
        <f>IF($C$271=0,0,BN271/$C$271*$C$270)</f>
        <v/>
      </c>
      <c r="BO270" s="375">
        <f>IF($C$271=0,0,BO271/$C$271*$C$270)</f>
        <v/>
      </c>
      <c r="BP270" s="375">
        <f>IF($C$271=0,0,BP271/$C$271*$C$270)</f>
        <v/>
      </c>
      <c r="BQ270" s="375">
        <f>IF($C$271=0,0,BQ271/$C$271*$C$270)</f>
        <v/>
      </c>
      <c r="BR270" s="375">
        <f>IF($C$271=0,0,BR271/$C$271*$C$270)</f>
        <v/>
      </c>
      <c r="BS270" s="375">
        <f>IF($C$271=0,0,BS271/$C$271*$C$270)</f>
        <v/>
      </c>
      <c r="BT270" s="375">
        <f>IF($C$271=0,0,BT271/$C$271*$C$270)</f>
        <v/>
      </c>
      <c r="BU270" s="375">
        <f>IF($C$271=0,0,BU271/$C$271*$C$270)</f>
        <v/>
      </c>
      <c r="BV270" s="375">
        <f>IF($C$271=0,0,BV271/$C$271*$C$270)</f>
        <v/>
      </c>
      <c r="BW270" s="375">
        <f>IF($C$271=0,0,BW271/$C$271*$C$270)</f>
        <v/>
      </c>
      <c r="BX270" s="375">
        <f>IF($C$271=0,0,BX271/$C$271*$C$270)</f>
        <v/>
      </c>
      <c r="BY270" s="375">
        <f>IF($C$271=0,0,BY271/$C$271*$C$270)</f>
        <v/>
      </c>
      <c r="BZ270" s="375">
        <f>IF($C$271=0,0,BZ271/$C$271*$C$270)</f>
        <v/>
      </c>
      <c r="CA270" s="375">
        <f>IF($C$271=0,0,CA271/$C$271*$C$270)</f>
        <v/>
      </c>
      <c r="CB270" s="375">
        <f>IF($C$271=0,0,CB271/$C$271*$C$270)</f>
        <v/>
      </c>
      <c r="CC270" s="375">
        <f>IF($C$271=0,0,CC271/$C$271*$C$270)</f>
        <v/>
      </c>
      <c r="CD270" s="375">
        <f>IF($C$271=0,0,CD271/$C$271*$C$270)</f>
        <v/>
      </c>
      <c r="CE270" s="375">
        <f>IF($C$271=0,0,CE271/$C$271*$C$270)</f>
        <v/>
      </c>
      <c r="CF270" s="375">
        <f>IF($C$271=0,0,CF271/$C$271*$C$270)</f>
        <v/>
      </c>
      <c r="CG270" s="375">
        <f>IF($C$271=0,0,CG271/$C$271*$C$270)</f>
        <v/>
      </c>
      <c r="CH270" s="375">
        <f>IF($C$271=0,0,CH271/$C$271*$C$270)</f>
        <v/>
      </c>
      <c r="CI270" s="375">
        <f>IF($C$271=0,0,CI271/$C$271*$C$270)</f>
        <v/>
      </c>
      <c r="CJ270" s="375">
        <f>IF($C$271=0,0,CJ271/$C$271*$C$270)</f>
        <v/>
      </c>
      <c r="CK270" s="375">
        <f>IF($C$271=0,0,CK271/$C$271*$C$270)</f>
        <v/>
      </c>
      <c r="CL270" s="375">
        <f>IF($C$271=0,0,CL271/$C$271*$C$270)</f>
        <v/>
      </c>
      <c r="CM270" s="375">
        <f>IF($C$271=0,0,CM271/$C$271*$C$270)</f>
        <v/>
      </c>
      <c r="CN270" s="375">
        <f>IF($C$271=0,0,CN271/$C$271*$C$270)</f>
        <v/>
      </c>
      <c r="CO270" s="375">
        <f>IF($C$271=0,0,CO271/$C$271*$C$270)</f>
        <v/>
      </c>
      <c r="CP270" s="375">
        <f>IF($C$271=0,0,CP271/$C$271*$C$270)</f>
        <v/>
      </c>
      <c r="CQ270" s="375">
        <f>IF($C$271=0,0,CQ271/$C$271*$C$270)</f>
        <v/>
      </c>
      <c r="CR270" s="375">
        <f>IF($C$271=0,0,CR271/$C$271*$C$270)</f>
        <v/>
      </c>
      <c r="CS270" s="375">
        <f>IF($C$271=0,0,CS271/$C$271*$C$270)</f>
        <v/>
      </c>
      <c r="CT270" s="375">
        <f>IF($C$271=0,0,CT271/$C$271*$C$270)</f>
        <v/>
      </c>
      <c r="CU270" s="375">
        <f>IF($C$271=0,0,CU271/$C$271*$C$270)</f>
        <v/>
      </c>
      <c r="CV270" s="375">
        <f>IF($C$271=0,0,CV271/$C$271*$C$270)</f>
        <v/>
      </c>
      <c r="CW270" s="375">
        <f>IF($C$271=0,0,CW271/$C$271*$C$270)</f>
        <v/>
      </c>
      <c r="CX270" s="375">
        <f>IF($C$271=0,0,CX271/$C$271*$C$270)</f>
        <v/>
      </c>
      <c r="CY270" s="375">
        <f>IF($C$271=0,0,CY271/$C$271*$C$270)</f>
        <v/>
      </c>
      <c r="CZ270" s="375">
        <f>IF($C$271=0,0,CZ271/$C$271*$C$270)</f>
        <v/>
      </c>
      <c r="DA270" s="375">
        <f>IF($C$271=0,0,DA271/$C$271*$C$270)</f>
        <v/>
      </c>
      <c r="DB270" s="375">
        <f>IF($C$271=0,0,DB271/$C$271*$C$270)</f>
        <v/>
      </c>
      <c r="DC270" s="375" t="n"/>
      <c r="DD270" s="375">
        <f>SUM(F270:DB270)</f>
        <v/>
      </c>
    </row>
    <row r="271" hidden="1" outlineLevel="1">
      <c r="A271" s="1139" t="inlineStr">
        <is>
          <t>Equity Partner 1</t>
        </is>
      </c>
      <c r="B271" s="1139" t="n"/>
      <c r="C271" s="1136">
        <f>IF('Project Returns'!E63="No",'Project Returns'!E65*'Project Returns'!E59,'Project Returns'!E65*'Project Returns'!E59/MAX('Project Returns'!E59,0.00001))</f>
        <v/>
      </c>
      <c r="D271" s="375">
        <f>IF(ISERROR(DD271),0,DD271)</f>
        <v/>
      </c>
      <c r="F271" s="375">
        <f>MIN(F264*$C$271,F268)</f>
        <v/>
      </c>
      <c r="G271" s="375">
        <f>MIN(G264*$C$271,G268)</f>
        <v/>
      </c>
      <c r="H271" s="375">
        <f>MIN(H264*$C$271,H268)</f>
        <v/>
      </c>
      <c r="I271" s="375">
        <f>MIN(I264*$C$271,I268)</f>
        <v/>
      </c>
      <c r="J271" s="375">
        <f>MIN(J264*$C$271,J268)</f>
        <v/>
      </c>
      <c r="K271" s="375">
        <f>MIN(K264*$C$271,K268)</f>
        <v/>
      </c>
      <c r="L271" s="375">
        <f>MIN(L264*$C$271,L268)</f>
        <v/>
      </c>
      <c r="M271" s="375">
        <f>MIN(M264*$C$271,M268)</f>
        <v/>
      </c>
      <c r="N271" s="375">
        <f>MIN(N264*$C$271,N268)</f>
        <v/>
      </c>
      <c r="O271" s="375">
        <f>MIN(O264*$C$271,O268)</f>
        <v/>
      </c>
      <c r="P271" s="375">
        <f>MIN(P264*$C$271,P268)</f>
        <v/>
      </c>
      <c r="Q271" s="375">
        <f>MIN(Q264*$C$271,Q268)</f>
        <v/>
      </c>
      <c r="R271" s="375">
        <f>MIN(R264*$C$271,R268)</f>
        <v/>
      </c>
      <c r="S271" s="375">
        <f>MIN(S264*$C$271,S268)</f>
        <v/>
      </c>
      <c r="T271" s="375">
        <f>MIN(T264*$C$271,T268)</f>
        <v/>
      </c>
      <c r="U271" s="375">
        <f>MIN(U264*$C$271,U268)</f>
        <v/>
      </c>
      <c r="V271" s="375">
        <f>MIN(V264*$C$271,V268)</f>
        <v/>
      </c>
      <c r="W271" s="375">
        <f>MIN(W264*$C$271,W268)</f>
        <v/>
      </c>
      <c r="X271" s="375">
        <f>MIN(X264*$C$271,X268)</f>
        <v/>
      </c>
      <c r="Y271" s="375">
        <f>MIN(Y264*$C$271,Y268)</f>
        <v/>
      </c>
      <c r="Z271" s="375">
        <f>MIN(Z264*$C$271,Z268)</f>
        <v/>
      </c>
      <c r="AA271" s="375">
        <f>MIN(AA264*$C$271,AA268)</f>
        <v/>
      </c>
      <c r="AB271" s="375">
        <f>MIN(AB264*$C$271,AB268)</f>
        <v/>
      </c>
      <c r="AC271" s="375">
        <f>MIN(AC264*$C$271,AC268)</f>
        <v/>
      </c>
      <c r="AD271" s="375">
        <f>MIN(AD264*$C$271,AD268)</f>
        <v/>
      </c>
      <c r="AE271" s="375">
        <f>MIN(AE264*$C$271,AE268)</f>
        <v/>
      </c>
      <c r="AF271" s="375">
        <f>MIN(AF264*$C$271,AF268)</f>
        <v/>
      </c>
      <c r="AG271" s="375">
        <f>MIN(AG264*$C$271,AG268)</f>
        <v/>
      </c>
      <c r="AH271" s="375">
        <f>MIN(AH264*$C$271,AH268)</f>
        <v/>
      </c>
      <c r="AI271" s="375">
        <f>MIN(AI264*$C$271,AI268)</f>
        <v/>
      </c>
      <c r="AJ271" s="375">
        <f>MIN(AJ264*$C$271,AJ268)</f>
        <v/>
      </c>
      <c r="AK271" s="375">
        <f>MIN(AK264*$C$271,AK268)</f>
        <v/>
      </c>
      <c r="AL271" s="375">
        <f>MIN(AL264*$C$271,AL268)</f>
        <v/>
      </c>
      <c r="AM271" s="375">
        <f>MIN(AM264*$C$271,AM268)</f>
        <v/>
      </c>
      <c r="AN271" s="375">
        <f>MIN(AN264*$C$271,AN268)</f>
        <v/>
      </c>
      <c r="AO271" s="375">
        <f>MIN(AO264*$C$271,AO268)</f>
        <v/>
      </c>
      <c r="AP271" s="375">
        <f>MIN(AP264*$C$271,AP268)</f>
        <v/>
      </c>
      <c r="AQ271" s="375">
        <f>MIN(AQ264*$C$271,AQ268)</f>
        <v/>
      </c>
      <c r="AR271" s="375">
        <f>MIN(AR264*$C$271,AR268)</f>
        <v/>
      </c>
      <c r="AS271" s="375">
        <f>MIN(AS264*$C$271,AS268)</f>
        <v/>
      </c>
      <c r="AT271" s="375">
        <f>MIN(AT264*$C$271,AT268)</f>
        <v/>
      </c>
      <c r="AU271" s="375">
        <f>MIN(AU264*$C$271,AU268)</f>
        <v/>
      </c>
      <c r="AV271" s="375">
        <f>MIN(AV264*$C$271,AV268)</f>
        <v/>
      </c>
      <c r="AW271" s="375">
        <f>MIN(AW264*$C$271,AW268)</f>
        <v/>
      </c>
      <c r="AX271" s="375">
        <f>MIN(AX264*$C$271,AX268)</f>
        <v/>
      </c>
      <c r="AY271" s="375">
        <f>MIN(AY264*$C$271,AY268)</f>
        <v/>
      </c>
      <c r="AZ271" s="375">
        <f>MIN(AZ264*$C$271,AZ268)</f>
        <v/>
      </c>
      <c r="BA271" s="375">
        <f>MIN(BA264*$C$271,BA268)</f>
        <v/>
      </c>
      <c r="BB271" s="375">
        <f>MIN(BB264*$C$271,BB268)</f>
        <v/>
      </c>
      <c r="BC271" s="375">
        <f>MIN(BC264*$C$271,BC268)</f>
        <v/>
      </c>
      <c r="BD271" s="375">
        <f>MIN(BD264*$C$271,BD268)</f>
        <v/>
      </c>
      <c r="BE271" s="375">
        <f>MIN(BE264*$C$271,BE268)</f>
        <v/>
      </c>
      <c r="BF271" s="375">
        <f>MIN(BF264*$C$271,BF268)</f>
        <v/>
      </c>
      <c r="BG271" s="375">
        <f>MIN(BG264*$C$271,BG268)</f>
        <v/>
      </c>
      <c r="BH271" s="375">
        <f>MIN(BH264*$C$271,BH268)</f>
        <v/>
      </c>
      <c r="BI271" s="375">
        <f>MIN(BI264*$C$271,BI268)</f>
        <v/>
      </c>
      <c r="BJ271" s="375">
        <f>MIN(BJ264*$C$271,BJ268)</f>
        <v/>
      </c>
      <c r="BK271" s="375">
        <f>MIN(BK264*$C$271,BK268)</f>
        <v/>
      </c>
      <c r="BL271" s="375">
        <f>MIN(BL264*$C$271,BL268)</f>
        <v/>
      </c>
      <c r="BM271" s="375">
        <f>MIN(BM264*$C$271,BM268)</f>
        <v/>
      </c>
      <c r="BN271" s="375">
        <f>MIN(BN264*$C$271,BN268)</f>
        <v/>
      </c>
      <c r="BO271" s="375">
        <f>MIN(BO264*$C$271,BO268)</f>
        <v/>
      </c>
      <c r="BP271" s="375">
        <f>MIN(BP264*$C$271,BP268)</f>
        <v/>
      </c>
      <c r="BQ271" s="375">
        <f>MIN(BQ264*$C$271,BQ268)</f>
        <v/>
      </c>
      <c r="BR271" s="375">
        <f>MIN(BR264*$C$271,BR268)</f>
        <v/>
      </c>
      <c r="BS271" s="375">
        <f>MIN(BS264*$C$271,BS268)</f>
        <v/>
      </c>
      <c r="BT271" s="375">
        <f>MIN(BT264*$C$271,BT268)</f>
        <v/>
      </c>
      <c r="BU271" s="375">
        <f>MIN(BU264*$C$271,BU268)</f>
        <v/>
      </c>
      <c r="BV271" s="375">
        <f>MIN(BV264*$C$271,BV268)</f>
        <v/>
      </c>
      <c r="BW271" s="375">
        <f>MIN(BW264*$C$271,BW268)</f>
        <v/>
      </c>
      <c r="BX271" s="375">
        <f>MIN(BX264*$C$271,BX268)</f>
        <v/>
      </c>
      <c r="BY271" s="375">
        <f>MIN(BY264*$C$271,BY268)</f>
        <v/>
      </c>
      <c r="BZ271" s="375">
        <f>MIN(BZ264*$C$271,BZ268)</f>
        <v/>
      </c>
      <c r="CA271" s="375">
        <f>MIN(CA264*$C$271,CA268)</f>
        <v/>
      </c>
      <c r="CB271" s="375">
        <f>MIN(CB264*$C$271,CB268)</f>
        <v/>
      </c>
      <c r="CC271" s="375">
        <f>MIN(CC264*$C$271,CC268)</f>
        <v/>
      </c>
      <c r="CD271" s="375">
        <f>MIN(CD264*$C$271,CD268)</f>
        <v/>
      </c>
      <c r="CE271" s="375">
        <f>MIN(CE264*$C$271,CE268)</f>
        <v/>
      </c>
      <c r="CF271" s="375">
        <f>MIN(CF264*$C$271,CF268)</f>
        <v/>
      </c>
      <c r="CG271" s="375">
        <f>MIN(CG264*$C$271,CG268)</f>
        <v/>
      </c>
      <c r="CH271" s="375">
        <f>MIN(CH264*$C$271,CH268)</f>
        <v/>
      </c>
      <c r="CI271" s="375">
        <f>MIN(CI264*$C$271,CI268)</f>
        <v/>
      </c>
      <c r="CJ271" s="375">
        <f>MIN(CJ264*$C$271,CJ268)</f>
        <v/>
      </c>
      <c r="CK271" s="375">
        <f>MIN(CK264*$C$271,CK268)</f>
        <v/>
      </c>
      <c r="CL271" s="375">
        <f>MIN(CL264*$C$271,CL268)</f>
        <v/>
      </c>
      <c r="CM271" s="375">
        <f>MIN(CM264*$C$271,CM268)</f>
        <v/>
      </c>
      <c r="CN271" s="375">
        <f>MIN(CN264*$C$271,CN268)</f>
        <v/>
      </c>
      <c r="CO271" s="375">
        <f>MIN(CO264*$C$271,CO268)</f>
        <v/>
      </c>
      <c r="CP271" s="375">
        <f>MIN(CP264*$C$271,CP268)</f>
        <v/>
      </c>
      <c r="CQ271" s="375">
        <f>MIN(CQ264*$C$271,CQ268)</f>
        <v/>
      </c>
      <c r="CR271" s="375">
        <f>MIN(CR264*$C$271,CR268)</f>
        <v/>
      </c>
      <c r="CS271" s="375">
        <f>MIN(CS264*$C$271,CS268)</f>
        <v/>
      </c>
      <c r="CT271" s="375">
        <f>MIN(CT264*$C$271,CT268)</f>
        <v/>
      </c>
      <c r="CU271" s="375">
        <f>MIN(CU264*$C$271,CU268)</f>
        <v/>
      </c>
      <c r="CV271" s="375">
        <f>MIN(CV264*$C$271,CV268)</f>
        <v/>
      </c>
      <c r="CW271" s="375">
        <f>MIN(CW264*$C$271,CW268)</f>
        <v/>
      </c>
      <c r="CX271" s="375">
        <f>MIN(CX264*$C$271,CX268)</f>
        <v/>
      </c>
      <c r="CY271" s="375">
        <f>MIN(CY264*$C$271,CY268)</f>
        <v/>
      </c>
      <c r="CZ271" s="375">
        <f>MIN(CZ264*$C$271,CZ268)</f>
        <v/>
      </c>
      <c r="DA271" s="375">
        <f>MIN(DA264*$C$271,DA268)</f>
        <v/>
      </c>
      <c r="DB271" s="375">
        <f>MIN(DB264*$C$271,DB268)</f>
        <v/>
      </c>
      <c r="DC271" s="375" t="n"/>
      <c r="DD271" s="375">
        <f>SUM(F271:DB271)</f>
        <v/>
      </c>
    </row>
    <row r="272" hidden="1" outlineLevel="1">
      <c r="A272" s="377" t="inlineStr">
        <is>
          <t xml:space="preserve">   Developer Equity</t>
        </is>
      </c>
      <c r="B272" s="377" t="n"/>
      <c r="C272" s="1136">
        <f>IF('Project Returns'!E63="No",'Project Returns'!E65*'Project Returns'!E60,'Project Returns'!E64-C270)</f>
        <v/>
      </c>
      <c r="D272" s="375">
        <f>IF(ISERROR(DD272),0,DD272)</f>
        <v/>
      </c>
      <c r="F272" s="375">
        <f>IF($C$271=0,F264*$C$272,F271/$C$271*$C$272)</f>
        <v/>
      </c>
      <c r="G272" s="375">
        <f>IF($C$271=0,G264*$C$272,G271/$C$271*$C$272)</f>
        <v/>
      </c>
      <c r="H272" s="375">
        <f>IF($C$271=0,H264*$C$272,H271/$C$271*$C$272)</f>
        <v/>
      </c>
      <c r="I272" s="375">
        <f>IF($C$271=0,I264*$C$272,I271/$C$271*$C$272)</f>
        <v/>
      </c>
      <c r="J272" s="375">
        <f>IF($C$271=0,J264*$C$272,J271/$C$271*$C$272)</f>
        <v/>
      </c>
      <c r="K272" s="375">
        <f>IF($C$271=0,K264*$C$272,K271/$C$271*$C$272)</f>
        <v/>
      </c>
      <c r="L272" s="375">
        <f>IF($C$271=0,L264*$C$272,L271/$C$271*$C$272)</f>
        <v/>
      </c>
      <c r="M272" s="375">
        <f>IF($C$271=0,M264*$C$272,M271/$C$271*$C$272)</f>
        <v/>
      </c>
      <c r="N272" s="375">
        <f>IF($C$271=0,N264*$C$272,N271/$C$271*$C$272)</f>
        <v/>
      </c>
      <c r="O272" s="375">
        <f>IF($C$271=0,O264*$C$272,O271/$C$271*$C$272)</f>
        <v/>
      </c>
      <c r="P272" s="375">
        <f>IF($C$271=0,P264*$C$272,P271/$C$271*$C$272)</f>
        <v/>
      </c>
      <c r="Q272" s="375">
        <f>IF($C$271=0,Q264*$C$272,Q271/$C$271*$C$272)</f>
        <v/>
      </c>
      <c r="R272" s="375">
        <f>IF($C$271=0,R264*$C$272,R271/$C$271*$C$272)</f>
        <v/>
      </c>
      <c r="S272" s="375">
        <f>IF($C$271=0,S264*$C$272,S271/$C$271*$C$272)</f>
        <v/>
      </c>
      <c r="T272" s="375">
        <f>IF($C$271=0,T264*$C$272,T271/$C$271*$C$272)</f>
        <v/>
      </c>
      <c r="U272" s="375">
        <f>IF($C$271=0,U264*$C$272,U271/$C$271*$C$272)</f>
        <v/>
      </c>
      <c r="V272" s="375">
        <f>IF($C$271=0,V264*$C$272,V271/$C$271*$C$272)</f>
        <v/>
      </c>
      <c r="W272" s="375">
        <f>IF($C$271=0,W264*$C$272,W271/$C$271*$C$272)</f>
        <v/>
      </c>
      <c r="X272" s="375">
        <f>IF($C$271=0,X264*$C$272,X271/$C$271*$C$272)</f>
        <v/>
      </c>
      <c r="Y272" s="375">
        <f>IF($C$271=0,Y264*$C$272,Y271/$C$271*$C$272)</f>
        <v/>
      </c>
      <c r="Z272" s="375">
        <f>IF($C$271=0,Z264*$C$272,Z271/$C$271*$C$272)</f>
        <v/>
      </c>
      <c r="AA272" s="375">
        <f>IF($C$271=0,AA264*$C$272,AA271/$C$271*$C$272)</f>
        <v/>
      </c>
      <c r="AB272" s="375">
        <f>IF($C$271=0,AB264*$C$272,AB271/$C$271*$C$272)</f>
        <v/>
      </c>
      <c r="AC272" s="375">
        <f>IF($C$271=0,AC264*$C$272,AC271/$C$271*$C$272)</f>
        <v/>
      </c>
      <c r="AD272" s="375">
        <f>IF($C$271=0,AD264*$C$272,AD271/$C$271*$C$272)</f>
        <v/>
      </c>
      <c r="AE272" s="375">
        <f>IF($C$271=0,AE264*$C$272,AE271/$C$271*$C$272)</f>
        <v/>
      </c>
      <c r="AF272" s="375">
        <f>IF($C$271=0,AF264*$C$272,AF271/$C$271*$C$272)</f>
        <v/>
      </c>
      <c r="AG272" s="375">
        <f>IF($C$271=0,AG264*$C$272,AG271/$C$271*$C$272)</f>
        <v/>
      </c>
      <c r="AH272" s="375">
        <f>IF($C$271=0,AH264*$C$272,AH271/$C$271*$C$272)</f>
        <v/>
      </c>
      <c r="AI272" s="375">
        <f>IF($C$271=0,AI264*$C$272,AI271/$C$271*$C$272)</f>
        <v/>
      </c>
      <c r="AJ272" s="375">
        <f>IF($C$271=0,AJ264*$C$272,AJ271/$C$271*$C$272)</f>
        <v/>
      </c>
      <c r="AK272" s="375">
        <f>IF($C$271=0,AK264*$C$272,AK271/$C$271*$C$272)</f>
        <v/>
      </c>
      <c r="AL272" s="375">
        <f>IF($C$271=0,AL264*$C$272,AL271/$C$271*$C$272)</f>
        <v/>
      </c>
      <c r="AM272" s="375">
        <f>IF($C$271=0,AM264*$C$272,AM271/$C$271*$C$272)</f>
        <v/>
      </c>
      <c r="AN272" s="375">
        <f>IF($C$271=0,AN264*$C$272,AN271/$C$271*$C$272)</f>
        <v/>
      </c>
      <c r="AO272" s="375">
        <f>IF($C$271=0,AO264*$C$272,AO271/$C$271*$C$272)</f>
        <v/>
      </c>
      <c r="AP272" s="375">
        <f>IF($C$271=0,AP264*$C$272,AP271/$C$271*$C$272)</f>
        <v/>
      </c>
      <c r="AQ272" s="375">
        <f>IF($C$271=0,AQ264*$C$272,AQ271/$C$271*$C$272)</f>
        <v/>
      </c>
      <c r="AR272" s="375">
        <f>IF($C$271=0,AR264*$C$272,AR271/$C$271*$C$272)</f>
        <v/>
      </c>
      <c r="AS272" s="375">
        <f>IF($C$271=0,AS264*$C$272,AS271/$C$271*$C$272)</f>
        <v/>
      </c>
      <c r="AT272" s="375">
        <f>IF($C$271=0,AT264*$C$272,AT271/$C$271*$C$272)</f>
        <v/>
      </c>
      <c r="AU272" s="375">
        <f>IF($C$271=0,AU264*$C$272,AU271/$C$271*$C$272)</f>
        <v/>
      </c>
      <c r="AV272" s="375">
        <f>IF($C$271=0,AV264*$C$272,AV271/$C$271*$C$272)</f>
        <v/>
      </c>
      <c r="AW272" s="375">
        <f>IF($C$271=0,AW264*$C$272,AW271/$C$271*$C$272)</f>
        <v/>
      </c>
      <c r="AX272" s="375">
        <f>IF($C$271=0,AX264*$C$272,AX271/$C$271*$C$272)</f>
        <v/>
      </c>
      <c r="AY272" s="375">
        <f>IF($C$271=0,AY264*$C$272,AY271/$C$271*$C$272)</f>
        <v/>
      </c>
      <c r="AZ272" s="375">
        <f>IF($C$271=0,AZ264*$C$272,AZ271/$C$271*$C$272)</f>
        <v/>
      </c>
      <c r="BA272" s="375">
        <f>IF($C$271=0,BA264*$C$272,BA271/$C$271*$C$272)</f>
        <v/>
      </c>
      <c r="BB272" s="375">
        <f>IF($C$271=0,BB264*$C$272,BB271/$C$271*$C$272)</f>
        <v/>
      </c>
      <c r="BC272" s="375">
        <f>IF($C$271=0,BC264*$C$272,BC271/$C$271*$C$272)</f>
        <v/>
      </c>
      <c r="BD272" s="375">
        <f>IF($C$271=0,BD264*$C$272,BD271/$C$271*$C$272)</f>
        <v/>
      </c>
      <c r="BE272" s="375">
        <f>IF($C$271=0,BE264*$C$272,BE271/$C$271*$C$272)</f>
        <v/>
      </c>
      <c r="BF272" s="375">
        <f>IF($C$271=0,BF264*$C$272,BF271/$C$271*$C$272)</f>
        <v/>
      </c>
      <c r="BG272" s="375">
        <f>IF($C$271=0,BG264*$C$272,BG271/$C$271*$C$272)</f>
        <v/>
      </c>
      <c r="BH272" s="375">
        <f>IF($C$271=0,BH264*$C$272,BH271/$C$271*$C$272)</f>
        <v/>
      </c>
      <c r="BI272" s="375">
        <f>IF($C$271=0,BI264*$C$272,BI271/$C$271*$C$272)</f>
        <v/>
      </c>
      <c r="BJ272" s="375">
        <f>IF($C$271=0,BJ264*$C$272,BJ271/$C$271*$C$272)</f>
        <v/>
      </c>
      <c r="BK272" s="375">
        <f>IF($C$271=0,BK264*$C$272,BK271/$C$271*$C$272)</f>
        <v/>
      </c>
      <c r="BL272" s="375">
        <f>IF($C$271=0,BL264*$C$272,BL271/$C$271*$C$272)</f>
        <v/>
      </c>
      <c r="BM272" s="375">
        <f>IF($C$271=0,BM264*$C$272,BM271/$C$271*$C$272)</f>
        <v/>
      </c>
      <c r="BN272" s="375">
        <f>IF($C$271=0,BN264*$C$272,BN271/$C$271*$C$272)</f>
        <v/>
      </c>
      <c r="BO272" s="375">
        <f>IF($C$271=0,BO264*$C$272,BO271/$C$271*$C$272)</f>
        <v/>
      </c>
      <c r="BP272" s="375">
        <f>IF($C$271=0,BP264*$C$272,BP271/$C$271*$C$272)</f>
        <v/>
      </c>
      <c r="BQ272" s="375">
        <f>IF($C$271=0,BQ264*$C$272,BQ271/$C$271*$C$272)</f>
        <v/>
      </c>
      <c r="BR272" s="375">
        <f>IF($C$271=0,BR264*$C$272,BR271/$C$271*$C$272)</f>
        <v/>
      </c>
      <c r="BS272" s="375">
        <f>IF($C$271=0,BS264*$C$272,BS271/$C$271*$C$272)</f>
        <v/>
      </c>
      <c r="BT272" s="375">
        <f>IF($C$271=0,BT264*$C$272,BT271/$C$271*$C$272)</f>
        <v/>
      </c>
      <c r="BU272" s="375">
        <f>IF($C$271=0,BU264*$C$272,BU271/$C$271*$C$272)</f>
        <v/>
      </c>
      <c r="BV272" s="375">
        <f>IF($C$271=0,BV264*$C$272,BV271/$C$271*$C$272)</f>
        <v/>
      </c>
      <c r="BW272" s="375">
        <f>IF($C$271=0,BW264*$C$272,BW271/$C$271*$C$272)</f>
        <v/>
      </c>
      <c r="BX272" s="375">
        <f>IF($C$271=0,BX264*$C$272,BX271/$C$271*$C$272)</f>
        <v/>
      </c>
      <c r="BY272" s="375">
        <f>IF($C$271=0,BY264*$C$272,BY271/$C$271*$C$272)</f>
        <v/>
      </c>
      <c r="BZ272" s="375">
        <f>IF($C$271=0,BZ264*$C$272,BZ271/$C$271*$C$272)</f>
        <v/>
      </c>
      <c r="CA272" s="375">
        <f>IF($C$271=0,CA264*$C$272,CA271/$C$271*$C$272)</f>
        <v/>
      </c>
      <c r="CB272" s="375">
        <f>IF($C$271=0,CB264*$C$272,CB271/$C$271*$C$272)</f>
        <v/>
      </c>
      <c r="CC272" s="375">
        <f>IF($C$271=0,CC264*$C$272,CC271/$C$271*$C$272)</f>
        <v/>
      </c>
      <c r="CD272" s="375">
        <f>IF($C$271=0,CD264*$C$272,CD271/$C$271*$C$272)</f>
        <v/>
      </c>
      <c r="CE272" s="375">
        <f>IF($C$271=0,CE264*$C$272,CE271/$C$271*$C$272)</f>
        <v/>
      </c>
      <c r="CF272" s="375">
        <f>IF($C$271=0,CF264*$C$272,CF271/$C$271*$C$272)</f>
        <v/>
      </c>
      <c r="CG272" s="375">
        <f>IF($C$271=0,CG264*$C$272,CG271/$C$271*$C$272)</f>
        <v/>
      </c>
      <c r="CH272" s="375">
        <f>IF($C$271=0,CH264*$C$272,CH271/$C$271*$C$272)</f>
        <v/>
      </c>
      <c r="CI272" s="375">
        <f>IF($C$271=0,CI264*$C$272,CI271/$C$271*$C$272)</f>
        <v/>
      </c>
      <c r="CJ272" s="375">
        <f>IF($C$271=0,CJ264*$C$272,CJ271/$C$271*$C$272)</f>
        <v/>
      </c>
      <c r="CK272" s="375">
        <f>IF($C$271=0,CK264*$C$272,CK271/$C$271*$C$272)</f>
        <v/>
      </c>
      <c r="CL272" s="375">
        <f>IF($C$271=0,CL264*$C$272,CL271/$C$271*$C$272)</f>
        <v/>
      </c>
      <c r="CM272" s="375">
        <f>IF($C$271=0,CM264*$C$272,CM271/$C$271*$C$272)</f>
        <v/>
      </c>
      <c r="CN272" s="375">
        <f>IF($C$271=0,CN264*$C$272,CN271/$C$271*$C$272)</f>
        <v/>
      </c>
      <c r="CO272" s="375">
        <f>IF($C$271=0,CO264*$C$272,CO271/$C$271*$C$272)</f>
        <v/>
      </c>
      <c r="CP272" s="375">
        <f>IF($C$271=0,CP264*$C$272,CP271/$C$271*$C$272)</f>
        <v/>
      </c>
      <c r="CQ272" s="375">
        <f>IF($C$271=0,CQ264*$C$272,CQ271/$C$271*$C$272)</f>
        <v/>
      </c>
      <c r="CR272" s="375">
        <f>IF($C$271=0,CR264*$C$272,CR271/$C$271*$C$272)</f>
        <v/>
      </c>
      <c r="CS272" s="375">
        <f>IF($C$271=0,CS264*$C$272,CS271/$C$271*$C$272)</f>
        <v/>
      </c>
      <c r="CT272" s="375">
        <f>IF($C$271=0,CT264*$C$272,CT271/$C$271*$C$272)</f>
        <v/>
      </c>
      <c r="CU272" s="375">
        <f>IF($C$271=0,CU264*$C$272,CU271/$C$271*$C$272)</f>
        <v/>
      </c>
      <c r="CV272" s="375">
        <f>IF($C$271=0,CV264*$C$272,CV271/$C$271*$C$272)</f>
        <v/>
      </c>
      <c r="CW272" s="375">
        <f>IF($C$271=0,CW264*$C$272,CW271/$C$271*$C$272)</f>
        <v/>
      </c>
      <c r="CX272" s="375">
        <f>IF($C$271=0,CX264*$C$272,CX271/$C$271*$C$272)</f>
        <v/>
      </c>
      <c r="CY272" s="375">
        <f>IF($C$271=0,CY264*$C$272,CY271/$C$271*$C$272)</f>
        <v/>
      </c>
      <c r="CZ272" s="375">
        <f>IF($C$271=0,CZ264*$C$272,CZ271/$C$271*$C$272)</f>
        <v/>
      </c>
      <c r="DA272" s="375">
        <f>IF($C$271=0,DA264*$C$272,DA271/$C$271*$C$272)</f>
        <v/>
      </c>
      <c r="DB272" s="375">
        <f>IF($C$271=0,DB264*$C$272,DB271/$C$271*$C$272)</f>
        <v/>
      </c>
      <c r="DC272" s="375" t="n"/>
      <c r="DD272" s="375">
        <f>SUM(F272:DB272)</f>
        <v/>
      </c>
    </row>
    <row r="273" hidden="1" outlineLevel="1">
      <c r="A273" s="1140" t="inlineStr">
        <is>
          <t>Equity Partner 1</t>
        </is>
      </c>
      <c r="B273" s="1140" t="n"/>
      <c r="C273" s="1136" t="n"/>
      <c r="D273" s="375" t="n"/>
      <c r="F273" s="375" t="n"/>
      <c r="G273" s="375" t="n"/>
      <c r="H273" s="375" t="n"/>
      <c r="I273" s="375" t="n"/>
      <c r="J273" s="375" t="n"/>
      <c r="K273" s="375" t="n"/>
      <c r="L273" s="375" t="n"/>
      <c r="M273" s="375" t="n"/>
      <c r="N273" s="375" t="n"/>
      <c r="O273" s="375" t="n"/>
      <c r="P273" s="375" t="n"/>
      <c r="Q273" s="375" t="n"/>
      <c r="R273" s="375" t="n"/>
      <c r="S273" s="375" t="n"/>
      <c r="T273" s="375" t="n"/>
      <c r="U273" s="375" t="n"/>
      <c r="V273" s="375" t="n"/>
      <c r="W273" s="375" t="n"/>
      <c r="X273" s="375" t="n"/>
      <c r="Y273" s="375" t="n"/>
      <c r="Z273" s="375" t="n"/>
      <c r="AA273" s="375" t="n"/>
      <c r="AB273" s="375" t="n"/>
      <c r="AC273" s="375" t="n"/>
      <c r="AD273" s="375" t="n"/>
      <c r="AE273" s="375" t="n"/>
      <c r="AF273" s="375" t="n"/>
      <c r="AG273" s="375" t="n"/>
      <c r="AH273" s="375" t="n"/>
      <c r="AI273" s="375" t="n"/>
      <c r="AJ273" s="375" t="n"/>
      <c r="AK273" s="375" t="n"/>
      <c r="AL273" s="375" t="n"/>
      <c r="AM273" s="375" t="n"/>
      <c r="AN273" s="375" t="n"/>
      <c r="AO273" s="375" t="n"/>
      <c r="AP273" s="375" t="n"/>
      <c r="AQ273" s="375" t="n"/>
      <c r="AR273" s="375" t="n"/>
      <c r="AS273" s="375" t="n"/>
      <c r="AT273" s="375" t="n"/>
      <c r="AU273" s="375" t="n"/>
      <c r="AV273" s="375" t="n"/>
      <c r="AW273" s="375" t="n"/>
      <c r="AX273" s="375" t="n"/>
      <c r="AY273" s="375" t="n"/>
      <c r="AZ273" s="375" t="n"/>
      <c r="BA273" s="375" t="n"/>
      <c r="BB273" s="375" t="n"/>
      <c r="BC273" s="375" t="n"/>
      <c r="BD273" s="375" t="n"/>
      <c r="BE273" s="375" t="n"/>
      <c r="BF273" s="375" t="n"/>
      <c r="BG273" s="375" t="n"/>
      <c r="BH273" s="375" t="n"/>
      <c r="BI273" s="375" t="n"/>
      <c r="BJ273" s="375" t="n"/>
      <c r="BK273" s="375" t="n"/>
      <c r="BL273" s="375" t="n"/>
      <c r="BM273" s="375" t="n"/>
      <c r="BN273" s="375" t="n"/>
      <c r="BO273" s="375" t="n"/>
      <c r="BP273" s="375" t="n"/>
      <c r="BQ273" s="375" t="n"/>
      <c r="BR273" s="375" t="n"/>
      <c r="BS273" s="375" t="n"/>
      <c r="BT273" s="375" t="n"/>
      <c r="BU273" s="375" t="n"/>
      <c r="BV273" s="375" t="n"/>
      <c r="BW273" s="375" t="n"/>
      <c r="BX273" s="375" t="n"/>
      <c r="BY273" s="375" t="n"/>
      <c r="BZ273" s="375" t="n"/>
      <c r="CA273" s="375" t="n"/>
      <c r="CB273" s="375" t="n"/>
      <c r="CC273" s="375" t="n"/>
      <c r="CD273" s="375" t="n"/>
      <c r="CE273" s="375" t="n"/>
      <c r="CF273" s="375" t="n"/>
      <c r="CG273" s="375" t="n"/>
      <c r="CH273" s="375" t="n"/>
      <c r="CI273" s="375" t="n"/>
      <c r="CJ273" s="375" t="n"/>
      <c r="CK273" s="375" t="n"/>
      <c r="CL273" s="375" t="n"/>
      <c r="CM273" s="375" t="n"/>
      <c r="CN273" s="375" t="n"/>
      <c r="CO273" s="375" t="n"/>
      <c r="CP273" s="375" t="n"/>
      <c r="CQ273" s="375" t="n"/>
      <c r="CR273" s="375" t="n"/>
      <c r="CS273" s="375" t="n"/>
      <c r="CT273" s="375" t="n"/>
      <c r="CU273" s="375" t="n"/>
      <c r="CV273" s="375" t="n"/>
      <c r="CW273" s="375" t="n"/>
      <c r="CX273" s="375" t="n"/>
      <c r="CY273" s="375" t="n"/>
      <c r="CZ273" s="375" t="n"/>
      <c r="DA273" s="375" t="n"/>
      <c r="DB273" s="375" t="n"/>
      <c r="DC273" s="375" t="n"/>
      <c r="DD273" s="375" t="n"/>
    </row>
    <row r="274" hidden="1" outlineLevel="1">
      <c r="A274" s="377" t="inlineStr">
        <is>
          <t xml:space="preserve">   Equity Cash Flow thru Level 1</t>
        </is>
      </c>
      <c r="B274" s="377" t="n"/>
      <c r="C274" s="1136" t="n"/>
      <c r="D274" s="375">
        <f>IF(ISERROR(DD274),0,DD274)</f>
        <v/>
      </c>
      <c r="F274" s="375">
        <f>F266+F267+F271</f>
        <v/>
      </c>
      <c r="G274" s="375">
        <f>G266+G267+G271</f>
        <v/>
      </c>
      <c r="H274" s="375">
        <f>H266+H267+H271</f>
        <v/>
      </c>
      <c r="I274" s="375">
        <f>I266+I267+I271</f>
        <v/>
      </c>
      <c r="J274" s="375">
        <f>J266+J267+J271</f>
        <v/>
      </c>
      <c r="K274" s="375">
        <f>K266+K267+K271</f>
        <v/>
      </c>
      <c r="L274" s="375">
        <f>L266+L267+L271</f>
        <v/>
      </c>
      <c r="M274" s="375">
        <f>M266+M267+M271</f>
        <v/>
      </c>
      <c r="N274" s="375">
        <f>N266+N267+N271</f>
        <v/>
      </c>
      <c r="O274" s="375">
        <f>O266+O267+O271</f>
        <v/>
      </c>
      <c r="P274" s="375">
        <f>P266+P267+P271</f>
        <v/>
      </c>
      <c r="Q274" s="375">
        <f>Q266+Q267+Q271</f>
        <v/>
      </c>
      <c r="R274" s="375">
        <f>R266+R267+R271</f>
        <v/>
      </c>
      <c r="S274" s="375">
        <f>S266+S267+S271</f>
        <v/>
      </c>
      <c r="T274" s="375">
        <f>T266+T267+T271</f>
        <v/>
      </c>
      <c r="U274" s="375">
        <f>U266+U267+U271</f>
        <v/>
      </c>
      <c r="V274" s="375">
        <f>V266+V267+V271</f>
        <v/>
      </c>
      <c r="W274" s="375">
        <f>W266+W267+W271</f>
        <v/>
      </c>
      <c r="X274" s="375">
        <f>X266+X267+X271</f>
        <v/>
      </c>
      <c r="Y274" s="375">
        <f>Y266+Y267+Y271</f>
        <v/>
      </c>
      <c r="Z274" s="375">
        <f>Z266+Z267+Z271</f>
        <v/>
      </c>
      <c r="AA274" s="375">
        <f>AA266+AA267+AA271</f>
        <v/>
      </c>
      <c r="AB274" s="375">
        <f>AB266+AB267+AB271</f>
        <v/>
      </c>
      <c r="AC274" s="375">
        <f>AC266+AC267+AC271</f>
        <v/>
      </c>
      <c r="AD274" s="375">
        <f>AD266+AD267+AD271</f>
        <v/>
      </c>
      <c r="AE274" s="375">
        <f>AE266+AE267+AE271</f>
        <v/>
      </c>
      <c r="AF274" s="375">
        <f>AF266+AF267+AF271</f>
        <v/>
      </c>
      <c r="AG274" s="375">
        <f>AG266+AG267+AG271</f>
        <v/>
      </c>
      <c r="AH274" s="375">
        <f>AH266+AH267+AH271</f>
        <v/>
      </c>
      <c r="AI274" s="375">
        <f>AI266+AI267+AI271</f>
        <v/>
      </c>
      <c r="AJ274" s="375">
        <f>AJ266+AJ267+AJ271</f>
        <v/>
      </c>
      <c r="AK274" s="375">
        <f>AK266+AK267+AK271</f>
        <v/>
      </c>
      <c r="AL274" s="375">
        <f>AL266+AL267+AL271</f>
        <v/>
      </c>
      <c r="AM274" s="375">
        <f>AM266+AM267+AM271</f>
        <v/>
      </c>
      <c r="AN274" s="375">
        <f>AN266+AN267+AN271</f>
        <v/>
      </c>
      <c r="AO274" s="375">
        <f>AO266+AO267+AO271</f>
        <v/>
      </c>
      <c r="AP274" s="375">
        <f>AP266+AP267+AP271</f>
        <v/>
      </c>
      <c r="AQ274" s="375">
        <f>AQ266+AQ267+AQ271</f>
        <v/>
      </c>
      <c r="AR274" s="375">
        <f>AR266+AR267+AR271</f>
        <v/>
      </c>
      <c r="AS274" s="375">
        <f>AS266+AS267+AS271</f>
        <v/>
      </c>
      <c r="AT274" s="375">
        <f>AT266+AT267+AT271</f>
        <v/>
      </c>
      <c r="AU274" s="375">
        <f>AU266+AU267+AU271</f>
        <v/>
      </c>
      <c r="AV274" s="375">
        <f>AV266+AV267+AV271</f>
        <v/>
      </c>
      <c r="AW274" s="375">
        <f>AW266+AW267+AW271</f>
        <v/>
      </c>
      <c r="AX274" s="375">
        <f>AX266+AX267+AX271</f>
        <v/>
      </c>
      <c r="AY274" s="375">
        <f>AY266+AY267+AY271</f>
        <v/>
      </c>
      <c r="AZ274" s="375">
        <f>AZ266+AZ267+AZ271</f>
        <v/>
      </c>
      <c r="BA274" s="375">
        <f>BA266+BA267+BA271</f>
        <v/>
      </c>
      <c r="BB274" s="375">
        <f>BB266+BB267+BB271</f>
        <v/>
      </c>
      <c r="BC274" s="375">
        <f>BC266+BC267+BC271</f>
        <v/>
      </c>
      <c r="BD274" s="375">
        <f>BD266+BD267+BD271</f>
        <v/>
      </c>
      <c r="BE274" s="375">
        <f>BE266+BE267+BE271</f>
        <v/>
      </c>
      <c r="BF274" s="375">
        <f>BF266+BF267+BF271</f>
        <v/>
      </c>
      <c r="BG274" s="375">
        <f>BG266+BG267+BG271</f>
        <v/>
      </c>
      <c r="BH274" s="375">
        <f>BH266+BH267+BH271</f>
        <v/>
      </c>
      <c r="BI274" s="375">
        <f>BI266+BI267+BI271</f>
        <v/>
      </c>
      <c r="BJ274" s="375">
        <f>BJ266+BJ267+BJ271</f>
        <v/>
      </c>
      <c r="BK274" s="375">
        <f>BK266+BK267+BK271</f>
        <v/>
      </c>
      <c r="BL274" s="375">
        <f>BL266+BL267+BL271</f>
        <v/>
      </c>
      <c r="BM274" s="375">
        <f>BM266+BM267+BM271</f>
        <v/>
      </c>
      <c r="BN274" s="375">
        <f>BN266+BN267+BN271</f>
        <v/>
      </c>
      <c r="BO274" s="375">
        <f>BO266+BO267+BO271</f>
        <v/>
      </c>
      <c r="BP274" s="375">
        <f>BP266+BP267+BP271</f>
        <v/>
      </c>
      <c r="BQ274" s="375">
        <f>BQ266+BQ267+BQ271</f>
        <v/>
      </c>
      <c r="BR274" s="375">
        <f>BR266+BR267+BR271</f>
        <v/>
      </c>
      <c r="BS274" s="375">
        <f>BS266+BS267+BS271</f>
        <v/>
      </c>
      <c r="BT274" s="375">
        <f>BT266+BT267+BT271</f>
        <v/>
      </c>
      <c r="BU274" s="375">
        <f>BU266+BU267+BU271</f>
        <v/>
      </c>
      <c r="BV274" s="375">
        <f>BV266+BV267+BV271</f>
        <v/>
      </c>
      <c r="BW274" s="375">
        <f>BW266+BW267+BW271</f>
        <v/>
      </c>
      <c r="BX274" s="375">
        <f>BX266+BX267+BX271</f>
        <v/>
      </c>
      <c r="BY274" s="375">
        <f>BY266+BY267+BY271</f>
        <v/>
      </c>
      <c r="BZ274" s="375">
        <f>BZ266+BZ267+BZ271</f>
        <v/>
      </c>
      <c r="CA274" s="375">
        <f>CA266+CA267+CA271</f>
        <v/>
      </c>
      <c r="CB274" s="375">
        <f>CB266+CB267+CB271</f>
        <v/>
      </c>
      <c r="CC274" s="375">
        <f>CC266+CC267+CC271</f>
        <v/>
      </c>
      <c r="CD274" s="375">
        <f>CD266+CD267+CD271</f>
        <v/>
      </c>
      <c r="CE274" s="375">
        <f>CE266+CE267+CE271</f>
        <v/>
      </c>
      <c r="CF274" s="375">
        <f>CF266+CF267+CF271</f>
        <v/>
      </c>
      <c r="CG274" s="375">
        <f>CG266+CG267+CG271</f>
        <v/>
      </c>
      <c r="CH274" s="375">
        <f>CH266+CH267+CH271</f>
        <v/>
      </c>
      <c r="CI274" s="375">
        <f>CI266+CI267+CI271</f>
        <v/>
      </c>
      <c r="CJ274" s="375">
        <f>CJ266+CJ267+CJ271</f>
        <v/>
      </c>
      <c r="CK274" s="375">
        <f>CK266+CK267+CK271</f>
        <v/>
      </c>
      <c r="CL274" s="375">
        <f>CL266+CL267+CL271</f>
        <v/>
      </c>
      <c r="CM274" s="375">
        <f>CM266+CM267+CM271</f>
        <v/>
      </c>
      <c r="CN274" s="375">
        <f>CN266+CN267+CN271</f>
        <v/>
      </c>
      <c r="CO274" s="375">
        <f>CO266+CO267+CO271</f>
        <v/>
      </c>
      <c r="CP274" s="375">
        <f>CP266+CP267+CP271</f>
        <v/>
      </c>
      <c r="CQ274" s="375">
        <f>CQ266+CQ267+CQ271</f>
        <v/>
      </c>
      <c r="CR274" s="375">
        <f>CR266+CR267+CR271</f>
        <v/>
      </c>
      <c r="CS274" s="375">
        <f>CS266+CS267+CS271</f>
        <v/>
      </c>
      <c r="CT274" s="375">
        <f>CT266+CT267+CT271</f>
        <v/>
      </c>
      <c r="CU274" s="375">
        <f>CU266+CU267+CU271</f>
        <v/>
      </c>
      <c r="CV274" s="375">
        <f>CV266+CV267+CV271</f>
        <v/>
      </c>
      <c r="CW274" s="375">
        <f>CW266+CW267+CW271</f>
        <v/>
      </c>
      <c r="CX274" s="375">
        <f>CX266+CX267+CX271</f>
        <v/>
      </c>
      <c r="CY274" s="375">
        <f>CY266+CY267+CY271</f>
        <v/>
      </c>
      <c r="CZ274" s="375">
        <f>CZ266+CZ267+CZ271</f>
        <v/>
      </c>
      <c r="DA274" s="375">
        <f>DA266+DA267+DA271</f>
        <v/>
      </c>
      <c r="DB274" s="375">
        <f>DB266+DB267+DB271</f>
        <v/>
      </c>
      <c r="DC274" s="375" t="n"/>
      <c r="DD274" s="375">
        <f>SUM(F274:DB274)</f>
        <v/>
      </c>
    </row>
    <row r="275" hidden="1" outlineLevel="1" customFormat="1" s="314">
      <c r="A275" s="901" t="inlineStr">
        <is>
          <t xml:space="preserve">   Equity IRR thru Level 1 - confirm</t>
        </is>
      </c>
      <c r="B275" s="901" t="n"/>
      <c r="C275" s="1138">
        <f>(1+IRR(F274:DB274,0.001))^12-1</f>
        <v/>
      </c>
      <c r="D275" s="901" t="n"/>
      <c r="E275" s="905" t="n"/>
      <c r="F275" s="906" t="n"/>
      <c r="G275" s="906" t="n"/>
      <c r="H275" s="906" t="n"/>
      <c r="I275" s="906" t="n"/>
      <c r="J275" s="906" t="n"/>
      <c r="K275" s="906" t="n"/>
      <c r="L275" s="906" t="n"/>
      <c r="M275" s="906" t="n"/>
      <c r="N275" s="906" t="n"/>
      <c r="O275" s="906" t="n"/>
      <c r="P275" s="906" t="n"/>
      <c r="Q275" s="906" t="n"/>
      <c r="R275" s="906" t="n"/>
      <c r="S275" s="906" t="n"/>
      <c r="T275" s="906" t="n"/>
      <c r="U275" s="906" t="n"/>
      <c r="V275" s="906" t="n"/>
      <c r="W275" s="906" t="n"/>
      <c r="X275" s="906" t="n"/>
      <c r="Y275" s="906" t="n"/>
      <c r="Z275" s="906" t="n"/>
      <c r="AA275" s="906" t="n"/>
      <c r="AB275" s="906" t="n"/>
      <c r="AC275" s="906" t="n"/>
      <c r="AD275" s="906" t="n"/>
      <c r="AE275" s="906" t="n"/>
      <c r="AF275" s="906" t="n"/>
      <c r="AG275" s="906" t="n"/>
      <c r="AH275" s="906" t="n"/>
      <c r="AI275" s="906" t="n"/>
      <c r="AJ275" s="906" t="n"/>
      <c r="AK275" s="906" t="n"/>
      <c r="AL275" s="906" t="n"/>
      <c r="AM275" s="906" t="n"/>
      <c r="AN275" s="906" t="n"/>
      <c r="AO275" s="906" t="n"/>
      <c r="AP275" s="906" t="n"/>
      <c r="AQ275" s="906" t="n"/>
      <c r="AR275" s="906" t="n"/>
      <c r="AS275" s="906" t="n"/>
      <c r="AT275" s="906" t="n"/>
      <c r="AU275" s="906" t="n"/>
      <c r="AV275" s="906" t="n"/>
      <c r="AW275" s="906" t="n"/>
      <c r="AX275" s="906" t="n"/>
      <c r="AY275" s="906" t="n"/>
      <c r="AZ275" s="906" t="n"/>
      <c r="BA275" s="906" t="n"/>
      <c r="BB275" s="906" t="n"/>
      <c r="BC275" s="906" t="n"/>
      <c r="BD275" s="906" t="n"/>
      <c r="BE275" s="906" t="n"/>
      <c r="BF275" s="906" t="n"/>
      <c r="BG275" s="906" t="n"/>
      <c r="BH275" s="906" t="n"/>
      <c r="BI275" s="906" t="n"/>
      <c r="BJ275" s="906" t="n"/>
      <c r="BK275" s="906" t="n"/>
      <c r="BL275" s="906" t="n"/>
      <c r="BM275" s="906" t="n"/>
      <c r="BN275" s="906" t="n"/>
      <c r="BO275" s="906" t="n"/>
      <c r="BP275" s="906" t="n"/>
      <c r="BQ275" s="906" t="n"/>
      <c r="BR275" s="906" t="n"/>
      <c r="BS275" s="906" t="n"/>
      <c r="BT275" s="906" t="n"/>
      <c r="BU275" s="906" t="n"/>
      <c r="BV275" s="906" t="n"/>
      <c r="BW275" s="906" t="n"/>
      <c r="BX275" s="906" t="n"/>
      <c r="BY275" s="906" t="n"/>
      <c r="BZ275" s="906" t="n"/>
      <c r="CA275" s="906" t="n"/>
      <c r="CB275" s="906" t="n"/>
      <c r="CC275" s="906" t="n"/>
      <c r="CD275" s="906" t="n"/>
      <c r="CE275" s="906" t="n"/>
      <c r="CF275" s="906" t="n"/>
      <c r="CG275" s="906" t="n"/>
      <c r="CH275" s="906" t="n"/>
      <c r="CI275" s="906" t="n"/>
      <c r="CJ275" s="906" t="n"/>
      <c r="CK275" s="906" t="n"/>
      <c r="CL275" s="906" t="n"/>
      <c r="CM275" s="906" t="n"/>
      <c r="CN275" s="906" t="n"/>
      <c r="CO275" s="906" t="n"/>
      <c r="CP275" s="906" t="n"/>
      <c r="CQ275" s="906" t="n"/>
      <c r="CR275" s="906" t="n"/>
      <c r="CS275" s="906" t="n"/>
      <c r="CT275" s="906" t="n"/>
      <c r="CU275" s="906" t="n"/>
      <c r="CV275" s="906" t="n"/>
      <c r="CW275" s="906" t="n"/>
      <c r="CX275" s="906" t="n"/>
      <c r="CY275" s="906" t="n"/>
      <c r="CZ275" s="906" t="n"/>
      <c r="DA275" s="906" t="n"/>
      <c r="DB275" s="906" t="n"/>
      <c r="DC275" s="906" t="n"/>
      <c r="DD275" s="906" t="n"/>
    </row>
    <row r="276" hidden="1" outlineLevel="1" customFormat="1" s="379">
      <c r="A276" s="732" t="n"/>
      <c r="B276" s="732" t="n"/>
      <c r="C276" s="1141" t="n"/>
      <c r="D276" s="732" t="n"/>
      <c r="E276" s="734" t="n"/>
      <c r="F276" s="735" t="n"/>
      <c r="G276" s="735" t="n"/>
      <c r="H276" s="735" t="n"/>
      <c r="I276" s="735" t="n"/>
      <c r="J276" s="735" t="n"/>
      <c r="K276" s="735" t="n"/>
      <c r="L276" s="735" t="n"/>
      <c r="M276" s="735" t="n"/>
      <c r="N276" s="735" t="n"/>
      <c r="O276" s="735" t="n"/>
      <c r="P276" s="735" t="n"/>
      <c r="Q276" s="735" t="n"/>
      <c r="R276" s="735" t="n"/>
      <c r="S276" s="735" t="n"/>
      <c r="T276" s="735" t="n"/>
      <c r="U276" s="735" t="n"/>
      <c r="V276" s="735" t="n"/>
      <c r="W276" s="735" t="n"/>
      <c r="X276" s="735" t="n"/>
      <c r="Y276" s="735" t="n"/>
      <c r="Z276" s="735" t="n"/>
      <c r="AA276" s="735" t="n"/>
      <c r="AB276" s="735" t="n"/>
      <c r="AC276" s="735" t="n"/>
      <c r="AD276" s="735" t="n"/>
      <c r="AE276" s="735" t="n"/>
      <c r="AF276" s="735" t="n"/>
      <c r="AG276" s="735" t="n"/>
      <c r="AH276" s="735" t="n"/>
      <c r="AI276" s="735" t="n"/>
      <c r="AJ276" s="735" t="n"/>
      <c r="AK276" s="735" t="n"/>
      <c r="AL276" s="735" t="n"/>
      <c r="AM276" s="735" t="n"/>
      <c r="AN276" s="735" t="n"/>
      <c r="AO276" s="735" t="n"/>
      <c r="AP276" s="735" t="n"/>
      <c r="AQ276" s="735" t="n"/>
      <c r="AR276" s="735" t="n"/>
      <c r="AS276" s="735" t="n"/>
      <c r="AT276" s="735" t="n"/>
      <c r="AU276" s="735" t="n"/>
      <c r="AV276" s="735" t="n"/>
      <c r="AW276" s="735" t="n"/>
      <c r="AX276" s="735" t="n"/>
      <c r="AY276" s="735" t="n"/>
      <c r="AZ276" s="735" t="n"/>
      <c r="BA276" s="735" t="n"/>
      <c r="BB276" s="735" t="n"/>
      <c r="BC276" s="735" t="n"/>
      <c r="BD276" s="735" t="n"/>
      <c r="BE276" s="735" t="n"/>
      <c r="BF276" s="735" t="n"/>
      <c r="BG276" s="735" t="n"/>
      <c r="BH276" s="735" t="n"/>
      <c r="BI276" s="735" t="n"/>
      <c r="BJ276" s="735" t="n"/>
      <c r="BK276" s="735" t="n"/>
      <c r="BL276" s="735" t="n"/>
      <c r="BM276" s="735" t="n"/>
      <c r="BN276" s="735" t="n"/>
      <c r="BO276" s="735" t="n"/>
      <c r="BP276" s="735" t="n"/>
      <c r="BQ276" s="735" t="n"/>
      <c r="BR276" s="735" t="n"/>
      <c r="BS276" s="735" t="n"/>
      <c r="BT276" s="735" t="n"/>
      <c r="BU276" s="735" t="n"/>
      <c r="BV276" s="735" t="n"/>
      <c r="BW276" s="735" t="n"/>
      <c r="BX276" s="735" t="n"/>
      <c r="BY276" s="735" t="n"/>
      <c r="BZ276" s="735" t="n"/>
      <c r="CA276" s="735" t="n"/>
      <c r="CB276" s="735" t="n"/>
      <c r="CC276" s="735" t="n"/>
      <c r="CD276" s="735" t="n"/>
      <c r="CE276" s="735" t="n"/>
      <c r="CF276" s="735" t="n"/>
      <c r="CG276" s="735" t="n"/>
      <c r="CH276" s="735" t="n"/>
      <c r="CI276" s="735" t="n"/>
      <c r="CJ276" s="735" t="n"/>
      <c r="CK276" s="735" t="n"/>
      <c r="CL276" s="735" t="n"/>
      <c r="CM276" s="735" t="n"/>
      <c r="CN276" s="735" t="n"/>
      <c r="CO276" s="735" t="n"/>
      <c r="CP276" s="735" t="n"/>
      <c r="CQ276" s="735" t="n"/>
      <c r="CR276" s="735" t="n"/>
      <c r="CS276" s="735" t="n"/>
      <c r="CT276" s="735" t="n"/>
      <c r="CU276" s="735" t="n"/>
      <c r="CV276" s="735" t="n"/>
      <c r="CW276" s="735" t="n"/>
      <c r="CX276" s="735" t="n"/>
      <c r="CY276" s="735" t="n"/>
      <c r="CZ276" s="735" t="n"/>
      <c r="DA276" s="735" t="n"/>
      <c r="DB276" s="735" t="n"/>
      <c r="DC276" s="735" t="n"/>
      <c r="DD276" s="735" t="n"/>
    </row>
    <row r="277" hidden="1" outlineLevel="1">
      <c r="A277" s="367" t="inlineStr">
        <is>
          <t>Level 2 Return Calculations</t>
        </is>
      </c>
      <c r="B277" s="367" t="n"/>
      <c r="C277" s="1136" t="n"/>
      <c r="D277" s="376" t="n"/>
    </row>
    <row r="278" hidden="1" outlineLevel="1">
      <c r="A278" s="377" t="inlineStr">
        <is>
          <t>CF Available after Level 1</t>
        </is>
      </c>
      <c r="B278" s="377" t="n"/>
      <c r="C278" s="1136" t="n"/>
      <c r="D278" s="376" t="n"/>
      <c r="F278" s="375">
        <f>F264-F270-F271-F272</f>
        <v/>
      </c>
      <c r="G278" s="375">
        <f>G264-G270-G271-G272</f>
        <v/>
      </c>
      <c r="H278" s="375">
        <f>H264-H270-H271-H272</f>
        <v/>
      </c>
      <c r="I278" s="375">
        <f>I264-I270-I271-I272</f>
        <v/>
      </c>
      <c r="J278" s="375">
        <f>J264-J270-J271-J272</f>
        <v/>
      </c>
      <c r="K278" s="375">
        <f>K264-K270-K271-K272</f>
        <v/>
      </c>
      <c r="L278" s="375">
        <f>L264-L270-L271-L272</f>
        <v/>
      </c>
      <c r="M278" s="375">
        <f>M264-M270-M271-M272</f>
        <v/>
      </c>
      <c r="N278" s="375">
        <f>N264-N270-N271-N272</f>
        <v/>
      </c>
      <c r="O278" s="375">
        <f>O264-O270-O271-O272</f>
        <v/>
      </c>
      <c r="P278" s="375">
        <f>P264-P270-P271-P272</f>
        <v/>
      </c>
      <c r="Q278" s="375">
        <f>Q264-Q270-Q271-Q272</f>
        <v/>
      </c>
      <c r="R278" s="375">
        <f>R264-R270-R271-R272</f>
        <v/>
      </c>
      <c r="S278" s="375">
        <f>S264-S270-S271-S272</f>
        <v/>
      </c>
      <c r="T278" s="375">
        <f>T264-T270-T271-T272</f>
        <v/>
      </c>
      <c r="U278" s="375">
        <f>U264-U270-U271-U272</f>
        <v/>
      </c>
      <c r="V278" s="375">
        <f>V264-V270-V271-V272</f>
        <v/>
      </c>
      <c r="W278" s="375">
        <f>W264-W270-W271-W272</f>
        <v/>
      </c>
      <c r="X278" s="375">
        <f>X264-X270-X271-X272</f>
        <v/>
      </c>
      <c r="Y278" s="375">
        <f>Y264-Y270-Y271-Y272</f>
        <v/>
      </c>
      <c r="Z278" s="375">
        <f>Z264-Z270-Z271-Z272</f>
        <v/>
      </c>
      <c r="AA278" s="375">
        <f>AA264-AA270-AA271-AA272</f>
        <v/>
      </c>
      <c r="AB278" s="375">
        <f>AB264-AB270-AB271-AB272</f>
        <v/>
      </c>
      <c r="AC278" s="375">
        <f>AC264-AC270-AC271-AC272</f>
        <v/>
      </c>
      <c r="AD278" s="375">
        <f>AD264-AD270-AD271-AD272</f>
        <v/>
      </c>
      <c r="AE278" s="375">
        <f>AE264-AE270-AE271-AE272</f>
        <v/>
      </c>
      <c r="AF278" s="375">
        <f>AF264-AF270-AF271-AF272</f>
        <v/>
      </c>
      <c r="AG278" s="375">
        <f>AG264-AG270-AG271-AG272</f>
        <v/>
      </c>
      <c r="AH278" s="375">
        <f>AH264-AH270-AH271-AH272</f>
        <v/>
      </c>
      <c r="AI278" s="375">
        <f>AI264-AI270-AI271-AI272</f>
        <v/>
      </c>
      <c r="AJ278" s="375">
        <f>AJ264-AJ270-AJ271-AJ272</f>
        <v/>
      </c>
      <c r="AK278" s="375">
        <f>AK264-AK270-AK271-AK272</f>
        <v/>
      </c>
      <c r="AL278" s="375">
        <f>AL264-AL270-AL271-AL272</f>
        <v/>
      </c>
      <c r="AM278" s="375">
        <f>AM264-AM270-AM271-AM272</f>
        <v/>
      </c>
      <c r="AN278" s="375">
        <f>AN264-AN270-AN271-AN272</f>
        <v/>
      </c>
      <c r="AO278" s="375">
        <f>AO264-AO270-AO271-AO272</f>
        <v/>
      </c>
      <c r="AP278" s="375">
        <f>AP264-AP270-AP271-AP272</f>
        <v/>
      </c>
      <c r="AQ278" s="375">
        <f>AQ264-AQ270-AQ271-AQ272</f>
        <v/>
      </c>
      <c r="AR278" s="375">
        <f>AR264-AR270-AR271-AR272</f>
        <v/>
      </c>
      <c r="AS278" s="375">
        <f>AS264-AS270-AS271-AS272</f>
        <v/>
      </c>
      <c r="AT278" s="375">
        <f>AT264-AT270-AT271-AT272</f>
        <v/>
      </c>
      <c r="AU278" s="375">
        <f>AU264-AU270-AU271-AU272</f>
        <v/>
      </c>
      <c r="AV278" s="375">
        <f>AV264-AV270-AV271-AV272</f>
        <v/>
      </c>
      <c r="AW278" s="375">
        <f>AW264-AW270-AW271-AW272</f>
        <v/>
      </c>
      <c r="AX278" s="375">
        <f>AX264-AX270-AX271-AX272</f>
        <v/>
      </c>
      <c r="AY278" s="375">
        <f>AY264-AY270-AY271-AY272</f>
        <v/>
      </c>
      <c r="AZ278" s="375">
        <f>AZ264-AZ270-AZ271-AZ272</f>
        <v/>
      </c>
      <c r="BA278" s="375">
        <f>BA264-BA270-BA271-BA272</f>
        <v/>
      </c>
      <c r="BB278" s="375">
        <f>BB264-BB270-BB271-BB272</f>
        <v/>
      </c>
      <c r="BC278" s="375">
        <f>BC264-BC270-BC271-BC272</f>
        <v/>
      </c>
      <c r="BD278" s="375">
        <f>BD264-BD270-BD271-BD272</f>
        <v/>
      </c>
      <c r="BE278" s="375">
        <f>BE264-BE270-BE271-BE272</f>
        <v/>
      </c>
      <c r="BF278" s="375">
        <f>BF264-BF270-BF271-BF272</f>
        <v/>
      </c>
      <c r="BG278" s="375">
        <f>BG264-BG270-BG271-BG272</f>
        <v/>
      </c>
      <c r="BH278" s="375">
        <f>BH264-BH270-BH271-BH272</f>
        <v/>
      </c>
      <c r="BI278" s="375">
        <f>BI264-BI270-BI271-BI272</f>
        <v/>
      </c>
      <c r="BJ278" s="375">
        <f>BJ264-BJ270-BJ271-BJ272</f>
        <v/>
      </c>
      <c r="BK278" s="375">
        <f>BK264-BK270-BK271-BK272</f>
        <v/>
      </c>
      <c r="BL278" s="375">
        <f>BL264-BL270-BL271-BL272</f>
        <v/>
      </c>
      <c r="BM278" s="375">
        <f>BM264-BM270-BM271-BM272</f>
        <v/>
      </c>
      <c r="BN278" s="375">
        <f>BN264-BN270-BN271-BN272</f>
        <v/>
      </c>
      <c r="BO278" s="375">
        <f>BO264-BO270-BO271-BO272</f>
        <v/>
      </c>
      <c r="BP278" s="375">
        <f>BP264-BP270-BP271-BP272</f>
        <v/>
      </c>
      <c r="BQ278" s="375">
        <f>BQ264-BQ270-BQ271-BQ272</f>
        <v/>
      </c>
      <c r="BR278" s="375">
        <f>BR264-BR270-BR271-BR272</f>
        <v/>
      </c>
      <c r="BS278" s="375">
        <f>BS264-BS270-BS271-BS272</f>
        <v/>
      </c>
      <c r="BT278" s="375">
        <f>BT264-BT270-BT271-BT272</f>
        <v/>
      </c>
      <c r="BU278" s="375">
        <f>BU264-BU270-BU271-BU272</f>
        <v/>
      </c>
      <c r="BV278" s="375">
        <f>BV264-BV270-BV271-BV272</f>
        <v/>
      </c>
      <c r="BW278" s="375">
        <f>BW264-BW270-BW271-BW272</f>
        <v/>
      </c>
      <c r="BX278" s="375">
        <f>BX264-BX270-BX271-BX272</f>
        <v/>
      </c>
      <c r="BY278" s="375">
        <f>BY264-BY270-BY271-BY272</f>
        <v/>
      </c>
      <c r="BZ278" s="375">
        <f>BZ264-BZ270-BZ271-BZ272</f>
        <v/>
      </c>
      <c r="CA278" s="375">
        <f>CA264-CA270-CA271-CA272</f>
        <v/>
      </c>
      <c r="CB278" s="375">
        <f>CB264-CB270-CB271-CB272</f>
        <v/>
      </c>
      <c r="CC278" s="375">
        <f>CC264-CC270-CC271-CC272</f>
        <v/>
      </c>
      <c r="CD278" s="375">
        <f>CD264-CD270-CD271-CD272</f>
        <v/>
      </c>
      <c r="CE278" s="375">
        <f>CE264-CE270-CE271-CE272</f>
        <v/>
      </c>
      <c r="CF278" s="375">
        <f>CF264-CF270-CF271-CF272</f>
        <v/>
      </c>
      <c r="CG278" s="375">
        <f>CG264-CG270-CG271-CG272</f>
        <v/>
      </c>
      <c r="CH278" s="375">
        <f>CH264-CH270-CH271-CH272</f>
        <v/>
      </c>
      <c r="CI278" s="375">
        <f>CI264-CI270-CI271-CI272</f>
        <v/>
      </c>
      <c r="CJ278" s="375">
        <f>CJ264-CJ270-CJ271-CJ272</f>
        <v/>
      </c>
      <c r="CK278" s="375">
        <f>CK264-CK270-CK271-CK272</f>
        <v/>
      </c>
      <c r="CL278" s="375">
        <f>CL264-CL270-CL271-CL272</f>
        <v/>
      </c>
      <c r="CM278" s="375">
        <f>CM264-CM270-CM271-CM272</f>
        <v/>
      </c>
      <c r="CN278" s="375">
        <f>CN264-CN270-CN271-CN272</f>
        <v/>
      </c>
      <c r="CO278" s="375">
        <f>CO264-CO270-CO271-CO272</f>
        <v/>
      </c>
      <c r="CP278" s="375">
        <f>CP264-CP270-CP271-CP272</f>
        <v/>
      </c>
      <c r="CQ278" s="375">
        <f>CQ264-CQ270-CQ271-CQ272</f>
        <v/>
      </c>
      <c r="CR278" s="375">
        <f>CR264-CR270-CR271-CR272</f>
        <v/>
      </c>
      <c r="CS278" s="375">
        <f>CS264-CS270-CS271-CS272</f>
        <v/>
      </c>
      <c r="CT278" s="375">
        <f>CT264-CT270-CT271-CT272</f>
        <v/>
      </c>
      <c r="CU278" s="375">
        <f>CU264-CU270-CU271-CU272</f>
        <v/>
      </c>
      <c r="CV278" s="375">
        <f>CV264-CV270-CV271-CV272</f>
        <v/>
      </c>
      <c r="CW278" s="375">
        <f>CW264-CW270-CW271-CW272</f>
        <v/>
      </c>
      <c r="CX278" s="375">
        <f>CX264-CX270-CX271-CX272</f>
        <v/>
      </c>
      <c r="CY278" s="375">
        <f>CY264-CY270-CY271-CY272</f>
        <v/>
      </c>
      <c r="CZ278" s="375">
        <f>CZ264-CZ270-CZ271-CZ272</f>
        <v/>
      </c>
      <c r="DA278" s="375">
        <f>DA264-DA270-DA271-DA272</f>
        <v/>
      </c>
      <c r="DB278" s="375">
        <f>DB264-DB270-DB271-DB272</f>
        <v/>
      </c>
      <c r="DC278" s="375" t="n"/>
      <c r="DD278" s="375" t="n"/>
    </row>
    <row r="279" hidden="1" outlineLevel="1">
      <c r="A279" s="1140" t="inlineStr">
        <is>
          <t>Equity Partner 1</t>
        </is>
      </c>
      <c r="B279" s="1140" t="n"/>
      <c r="C279" s="1136" t="n"/>
      <c r="D279" s="376" t="n"/>
      <c r="F279" s="375" t="n"/>
      <c r="G279" s="375" t="n"/>
      <c r="H279" s="375" t="n"/>
      <c r="I279" s="375" t="n"/>
      <c r="J279" s="375" t="n"/>
      <c r="K279" s="375" t="n"/>
      <c r="L279" s="375" t="n"/>
      <c r="M279" s="375" t="n"/>
      <c r="N279" s="375" t="n"/>
      <c r="O279" s="375" t="n"/>
      <c r="P279" s="375" t="n"/>
      <c r="Q279" s="375" t="n"/>
      <c r="R279" s="375" t="n"/>
      <c r="S279" s="375" t="n"/>
      <c r="T279" s="375" t="n"/>
      <c r="U279" s="375" t="n"/>
      <c r="V279" s="375" t="n"/>
      <c r="W279" s="375" t="n"/>
      <c r="X279" s="375" t="n"/>
      <c r="Y279" s="375" t="n"/>
      <c r="Z279" s="375" t="n"/>
      <c r="AA279" s="375" t="n"/>
      <c r="AB279" s="375" t="n"/>
      <c r="AC279" s="375" t="n"/>
      <c r="AD279" s="375" t="n"/>
      <c r="AE279" s="375" t="n"/>
      <c r="AF279" s="375" t="n"/>
      <c r="AG279" s="375" t="n"/>
      <c r="AH279" s="375" t="n"/>
      <c r="AI279" s="375" t="n"/>
      <c r="AJ279" s="375" t="n"/>
      <c r="AK279" s="375" t="n"/>
      <c r="AL279" s="375" t="n"/>
      <c r="AM279" s="375" t="n"/>
      <c r="AN279" s="375" t="n"/>
      <c r="AO279" s="375" t="n"/>
      <c r="AP279" s="375" t="n"/>
      <c r="AQ279" s="375" t="n"/>
      <c r="AR279" s="375" t="n"/>
      <c r="AS279" s="375" t="n"/>
      <c r="AT279" s="375" t="n"/>
      <c r="AU279" s="375" t="n"/>
      <c r="AV279" s="375" t="n"/>
      <c r="AW279" s="375" t="n"/>
      <c r="AX279" s="375" t="n"/>
      <c r="AY279" s="375" t="n"/>
      <c r="AZ279" s="375" t="n"/>
      <c r="BA279" s="375" t="n"/>
      <c r="BB279" s="375" t="n"/>
      <c r="BC279" s="375" t="n"/>
      <c r="BD279" s="375" t="n"/>
      <c r="BE279" s="375" t="n"/>
      <c r="BF279" s="375" t="n"/>
      <c r="BG279" s="375" t="n"/>
      <c r="BH279" s="375" t="n"/>
      <c r="BI279" s="375" t="n"/>
      <c r="BJ279" s="375" t="n"/>
      <c r="BK279" s="375" t="n"/>
      <c r="BL279" s="375" t="n"/>
      <c r="BM279" s="375" t="n"/>
      <c r="BN279" s="375" t="n"/>
      <c r="BO279" s="375" t="n"/>
      <c r="BP279" s="375" t="n"/>
      <c r="BQ279" s="375" t="n"/>
      <c r="BR279" s="375" t="n"/>
      <c r="BS279" s="375" t="n"/>
      <c r="BT279" s="375" t="n"/>
      <c r="BU279" s="375" t="n"/>
      <c r="BV279" s="375" t="n"/>
      <c r="BW279" s="375" t="n"/>
      <c r="BX279" s="375" t="n"/>
      <c r="BY279" s="375" t="n"/>
      <c r="BZ279" s="375" t="n"/>
      <c r="CA279" s="375" t="n"/>
      <c r="CB279" s="375" t="n"/>
      <c r="CC279" s="375" t="n"/>
      <c r="CD279" s="375" t="n"/>
      <c r="CE279" s="375" t="n"/>
      <c r="CF279" s="375" t="n"/>
      <c r="CG279" s="375" t="n"/>
      <c r="CH279" s="375" t="n"/>
      <c r="CI279" s="375" t="n"/>
      <c r="CJ279" s="375" t="n"/>
      <c r="CK279" s="375" t="n"/>
      <c r="CL279" s="375" t="n"/>
      <c r="CM279" s="375" t="n"/>
      <c r="CN279" s="375" t="n"/>
      <c r="CO279" s="375" t="n"/>
      <c r="CP279" s="375" t="n"/>
      <c r="CQ279" s="375" t="n"/>
      <c r="CR279" s="375" t="n"/>
      <c r="CS279" s="375" t="n"/>
      <c r="CT279" s="375" t="n"/>
      <c r="CU279" s="375" t="n"/>
      <c r="CV279" s="375" t="n"/>
      <c r="CW279" s="375" t="n"/>
      <c r="CX279" s="375" t="n"/>
      <c r="CY279" s="375" t="n"/>
      <c r="CZ279" s="375" t="n"/>
      <c r="DA279" s="375" t="n"/>
      <c r="DB279" s="375" t="n"/>
      <c r="DC279" s="375" t="n"/>
      <c r="DD279" s="375" t="n"/>
    </row>
    <row r="280" hidden="1" outlineLevel="1">
      <c r="A280" s="377" t="inlineStr">
        <is>
          <t xml:space="preserve">   Equity Fundings</t>
        </is>
      </c>
      <c r="B280" s="377" t="n"/>
      <c r="C280" s="1136" t="n"/>
      <c r="D280" s="375">
        <f>IF(ISERROR(DD280),0,DD280)</f>
        <v/>
      </c>
      <c r="F280" s="375">
        <f>F266</f>
        <v/>
      </c>
      <c r="G280" s="375">
        <f>G266</f>
        <v/>
      </c>
      <c r="H280" s="375">
        <f>H266</f>
        <v/>
      </c>
      <c r="I280" s="375">
        <f>I266</f>
        <v/>
      </c>
      <c r="J280" s="375">
        <f>J266</f>
        <v/>
      </c>
      <c r="K280" s="375">
        <f>K266</f>
        <v/>
      </c>
      <c r="L280" s="375">
        <f>L266</f>
        <v/>
      </c>
      <c r="M280" s="375">
        <f>M266</f>
        <v/>
      </c>
      <c r="N280" s="375">
        <f>N266</f>
        <v/>
      </c>
      <c r="O280" s="375">
        <f>O266</f>
        <v/>
      </c>
      <c r="P280" s="375">
        <f>P266</f>
        <v/>
      </c>
      <c r="Q280" s="375">
        <f>Q266</f>
        <v/>
      </c>
      <c r="R280" s="375">
        <f>R266</f>
        <v/>
      </c>
      <c r="S280" s="375">
        <f>S266</f>
        <v/>
      </c>
      <c r="T280" s="375">
        <f>T266</f>
        <v/>
      </c>
      <c r="U280" s="375">
        <f>U266</f>
        <v/>
      </c>
      <c r="V280" s="375">
        <f>V266</f>
        <v/>
      </c>
      <c r="W280" s="375">
        <f>W266</f>
        <v/>
      </c>
      <c r="X280" s="375">
        <f>X266</f>
        <v/>
      </c>
      <c r="Y280" s="375">
        <f>Y266</f>
        <v/>
      </c>
      <c r="Z280" s="375">
        <f>Z266</f>
        <v/>
      </c>
      <c r="AA280" s="375">
        <f>AA266</f>
        <v/>
      </c>
      <c r="AB280" s="375">
        <f>AB266</f>
        <v/>
      </c>
      <c r="AC280" s="375">
        <f>AC266</f>
        <v/>
      </c>
      <c r="AD280" s="375">
        <f>AD266</f>
        <v/>
      </c>
      <c r="AE280" s="375">
        <f>AE266</f>
        <v/>
      </c>
      <c r="AF280" s="375">
        <f>AF266</f>
        <v/>
      </c>
      <c r="AG280" s="375">
        <f>AG266</f>
        <v/>
      </c>
      <c r="AH280" s="375">
        <f>AH266</f>
        <v/>
      </c>
      <c r="AI280" s="375">
        <f>AI266</f>
        <v/>
      </c>
      <c r="AJ280" s="375">
        <f>AJ266</f>
        <v/>
      </c>
      <c r="AK280" s="375">
        <f>AK266</f>
        <v/>
      </c>
      <c r="AL280" s="375">
        <f>AL266</f>
        <v/>
      </c>
      <c r="AM280" s="375">
        <f>AM266</f>
        <v/>
      </c>
      <c r="AN280" s="375">
        <f>AN266</f>
        <v/>
      </c>
      <c r="AO280" s="375">
        <f>AO266</f>
        <v/>
      </c>
      <c r="AP280" s="375">
        <f>AP266</f>
        <v/>
      </c>
      <c r="AQ280" s="375">
        <f>AQ266</f>
        <v/>
      </c>
      <c r="AR280" s="375">
        <f>AR266</f>
        <v/>
      </c>
      <c r="AS280" s="375">
        <f>AS266</f>
        <v/>
      </c>
      <c r="AT280" s="375">
        <f>AT266</f>
        <v/>
      </c>
      <c r="AU280" s="375">
        <f>AU266</f>
        <v/>
      </c>
      <c r="AV280" s="375">
        <f>AV266</f>
        <v/>
      </c>
      <c r="AW280" s="375">
        <f>AW266</f>
        <v/>
      </c>
      <c r="AX280" s="375">
        <f>AX266</f>
        <v/>
      </c>
      <c r="AY280" s="375">
        <f>AY266</f>
        <v/>
      </c>
      <c r="AZ280" s="375">
        <f>AZ266</f>
        <v/>
      </c>
      <c r="BA280" s="375">
        <f>BA266</f>
        <v/>
      </c>
      <c r="BB280" s="375">
        <f>BB266</f>
        <v/>
      </c>
      <c r="BC280" s="375">
        <f>BC266</f>
        <v/>
      </c>
      <c r="BD280" s="375">
        <f>BD266</f>
        <v/>
      </c>
      <c r="BE280" s="375">
        <f>BE266</f>
        <v/>
      </c>
      <c r="BF280" s="375">
        <f>BF266</f>
        <v/>
      </c>
      <c r="BG280" s="375">
        <f>BG266</f>
        <v/>
      </c>
      <c r="BH280" s="375">
        <f>BH266</f>
        <v/>
      </c>
      <c r="BI280" s="375">
        <f>BI266</f>
        <v/>
      </c>
      <c r="BJ280" s="375">
        <f>BJ266</f>
        <v/>
      </c>
      <c r="BK280" s="375">
        <f>BK266</f>
        <v/>
      </c>
      <c r="BL280" s="375">
        <f>BL266</f>
        <v/>
      </c>
      <c r="BM280" s="375">
        <f>BM266</f>
        <v/>
      </c>
      <c r="BN280" s="375">
        <f>BN266</f>
        <v/>
      </c>
      <c r="BO280" s="375">
        <f>BO266</f>
        <v/>
      </c>
      <c r="BP280" s="375">
        <f>BP266</f>
        <v/>
      </c>
      <c r="BQ280" s="375">
        <f>BQ266</f>
        <v/>
      </c>
      <c r="BR280" s="375">
        <f>BR266</f>
        <v/>
      </c>
      <c r="BS280" s="375">
        <f>BS266</f>
        <v/>
      </c>
      <c r="BT280" s="375">
        <f>BT266</f>
        <v/>
      </c>
      <c r="BU280" s="375">
        <f>BU266</f>
        <v/>
      </c>
      <c r="BV280" s="375">
        <f>BV266</f>
        <v/>
      </c>
      <c r="BW280" s="375">
        <f>BW266</f>
        <v/>
      </c>
      <c r="BX280" s="375">
        <f>BX266</f>
        <v/>
      </c>
      <c r="BY280" s="375">
        <f>BY266</f>
        <v/>
      </c>
      <c r="BZ280" s="375">
        <f>BZ266</f>
        <v/>
      </c>
      <c r="CA280" s="375">
        <f>CA266</f>
        <v/>
      </c>
      <c r="CB280" s="375">
        <f>CB266</f>
        <v/>
      </c>
      <c r="CC280" s="375">
        <f>CC266</f>
        <v/>
      </c>
      <c r="CD280" s="375">
        <f>CD266</f>
        <v/>
      </c>
      <c r="CE280" s="375">
        <f>CE266</f>
        <v/>
      </c>
      <c r="CF280" s="375">
        <f>CF266</f>
        <v/>
      </c>
      <c r="CG280" s="375">
        <f>CG266</f>
        <v/>
      </c>
      <c r="CH280" s="375">
        <f>CH266</f>
        <v/>
      </c>
      <c r="CI280" s="375">
        <f>CI266</f>
        <v/>
      </c>
      <c r="CJ280" s="375">
        <f>CJ266</f>
        <v/>
      </c>
      <c r="CK280" s="375">
        <f>CK266</f>
        <v/>
      </c>
      <c r="CL280" s="375">
        <f>CL266</f>
        <v/>
      </c>
      <c r="CM280" s="375">
        <f>CM266</f>
        <v/>
      </c>
      <c r="CN280" s="375">
        <f>CN266</f>
        <v/>
      </c>
      <c r="CO280" s="375">
        <f>CO266</f>
        <v/>
      </c>
      <c r="CP280" s="375">
        <f>CP266</f>
        <v/>
      </c>
      <c r="CQ280" s="375">
        <f>CQ266</f>
        <v/>
      </c>
      <c r="CR280" s="375">
        <f>CR266</f>
        <v/>
      </c>
      <c r="CS280" s="375">
        <f>CS266</f>
        <v/>
      </c>
      <c r="CT280" s="375">
        <f>CT266</f>
        <v/>
      </c>
      <c r="CU280" s="375">
        <f>CU266</f>
        <v/>
      </c>
      <c r="CV280" s="375">
        <f>CV266</f>
        <v/>
      </c>
      <c r="CW280" s="375">
        <f>CW266</f>
        <v/>
      </c>
      <c r="CX280" s="375">
        <f>CX266</f>
        <v/>
      </c>
      <c r="CY280" s="375">
        <f>CY266</f>
        <v/>
      </c>
      <c r="CZ280" s="375">
        <f>CZ266</f>
        <v/>
      </c>
      <c r="DA280" s="375">
        <f>DA266</f>
        <v/>
      </c>
      <c r="DB280" s="375">
        <f>DB266</f>
        <v/>
      </c>
      <c r="DC280" s="375" t="n"/>
      <c r="DD280" s="375">
        <f>SUM(F280:DB280)</f>
        <v/>
      </c>
    </row>
    <row r="281" hidden="1" outlineLevel="1">
      <c r="A281" s="377" t="inlineStr">
        <is>
          <t xml:space="preserve">   Equity Distributions prior to Level 2</t>
        </is>
      </c>
      <c r="B281" s="377" t="n"/>
      <c r="C281" s="1136" t="n"/>
      <c r="D281" s="375">
        <f>IF(ISERROR(DD281),0,DD281)</f>
        <v/>
      </c>
      <c r="F281" s="375">
        <f>F267+F271</f>
        <v/>
      </c>
      <c r="G281" s="375">
        <f>G267+G271</f>
        <v/>
      </c>
      <c r="H281" s="375">
        <f>H267+H271</f>
        <v/>
      </c>
      <c r="I281" s="375">
        <f>I267+I271</f>
        <v/>
      </c>
      <c r="J281" s="375">
        <f>J267+J271</f>
        <v/>
      </c>
      <c r="K281" s="375">
        <f>K267+K271</f>
        <v/>
      </c>
      <c r="L281" s="375">
        <f>L267+L271</f>
        <v/>
      </c>
      <c r="M281" s="375">
        <f>M267+M271</f>
        <v/>
      </c>
      <c r="N281" s="375">
        <f>N267+N271</f>
        <v/>
      </c>
      <c r="O281" s="375">
        <f>O267+O271</f>
        <v/>
      </c>
      <c r="P281" s="375">
        <f>P267+P271</f>
        <v/>
      </c>
      <c r="Q281" s="375">
        <f>Q267+Q271</f>
        <v/>
      </c>
      <c r="R281" s="375">
        <f>R267+R271</f>
        <v/>
      </c>
      <c r="S281" s="375">
        <f>S267+S271</f>
        <v/>
      </c>
      <c r="T281" s="375">
        <f>T267+T271</f>
        <v/>
      </c>
      <c r="U281" s="375">
        <f>U267+U271</f>
        <v/>
      </c>
      <c r="V281" s="375">
        <f>V267+V271</f>
        <v/>
      </c>
      <c r="W281" s="375">
        <f>W267+W271</f>
        <v/>
      </c>
      <c r="X281" s="375">
        <f>X267+X271</f>
        <v/>
      </c>
      <c r="Y281" s="375">
        <f>Y267+Y271</f>
        <v/>
      </c>
      <c r="Z281" s="375">
        <f>Z267+Z271</f>
        <v/>
      </c>
      <c r="AA281" s="375">
        <f>AA267+AA271</f>
        <v/>
      </c>
      <c r="AB281" s="375">
        <f>AB267+AB271</f>
        <v/>
      </c>
      <c r="AC281" s="375">
        <f>AC267+AC271</f>
        <v/>
      </c>
      <c r="AD281" s="375">
        <f>AD267+AD271</f>
        <v/>
      </c>
      <c r="AE281" s="375">
        <f>AE267+AE271</f>
        <v/>
      </c>
      <c r="AF281" s="375">
        <f>AF267+AF271</f>
        <v/>
      </c>
      <c r="AG281" s="375">
        <f>AG267+AG271</f>
        <v/>
      </c>
      <c r="AH281" s="375">
        <f>AH267+AH271</f>
        <v/>
      </c>
      <c r="AI281" s="375">
        <f>AI267+AI271</f>
        <v/>
      </c>
      <c r="AJ281" s="375">
        <f>AJ267+AJ271</f>
        <v/>
      </c>
      <c r="AK281" s="375">
        <f>AK267+AK271</f>
        <v/>
      </c>
      <c r="AL281" s="375">
        <f>AL267+AL271</f>
        <v/>
      </c>
      <c r="AM281" s="375">
        <f>AM267+AM271</f>
        <v/>
      </c>
      <c r="AN281" s="375">
        <f>AN267+AN271</f>
        <v/>
      </c>
      <c r="AO281" s="375">
        <f>AO267+AO271</f>
        <v/>
      </c>
      <c r="AP281" s="375">
        <f>AP267+AP271</f>
        <v/>
      </c>
      <c r="AQ281" s="375">
        <f>AQ267+AQ271</f>
        <v/>
      </c>
      <c r="AR281" s="375">
        <f>AR267+AR271</f>
        <v/>
      </c>
      <c r="AS281" s="375">
        <f>AS267+AS271</f>
        <v/>
      </c>
      <c r="AT281" s="375">
        <f>AT267+AT271</f>
        <v/>
      </c>
      <c r="AU281" s="375">
        <f>AU267+AU271</f>
        <v/>
      </c>
      <c r="AV281" s="375">
        <f>AV267+AV271</f>
        <v/>
      </c>
      <c r="AW281" s="375">
        <f>AW267+AW271</f>
        <v/>
      </c>
      <c r="AX281" s="375">
        <f>AX267+AX271</f>
        <v/>
      </c>
      <c r="AY281" s="375">
        <f>AY267+AY271</f>
        <v/>
      </c>
      <c r="AZ281" s="375">
        <f>AZ267+AZ271</f>
        <v/>
      </c>
      <c r="BA281" s="375">
        <f>BA267+BA271</f>
        <v/>
      </c>
      <c r="BB281" s="375">
        <f>BB267+BB271</f>
        <v/>
      </c>
      <c r="BC281" s="375">
        <f>BC267+BC271</f>
        <v/>
      </c>
      <c r="BD281" s="375">
        <f>BD267+BD271</f>
        <v/>
      </c>
      <c r="BE281" s="375">
        <f>BE267+BE271</f>
        <v/>
      </c>
      <c r="BF281" s="375">
        <f>BF267+BF271</f>
        <v/>
      </c>
      <c r="BG281" s="375">
        <f>BG267+BG271</f>
        <v/>
      </c>
      <c r="BH281" s="375">
        <f>BH267+BH271</f>
        <v/>
      </c>
      <c r="BI281" s="375">
        <f>BI267+BI271</f>
        <v/>
      </c>
      <c r="BJ281" s="375">
        <f>BJ267+BJ271</f>
        <v/>
      </c>
      <c r="BK281" s="375">
        <f>BK267+BK271</f>
        <v/>
      </c>
      <c r="BL281" s="375">
        <f>BL267+BL271</f>
        <v/>
      </c>
      <c r="BM281" s="375">
        <f>BM267+BM271</f>
        <v/>
      </c>
      <c r="BN281" s="375">
        <f>BN267+BN271</f>
        <v/>
      </c>
      <c r="BO281" s="375">
        <f>BO267+BO271</f>
        <v/>
      </c>
      <c r="BP281" s="375">
        <f>BP267+BP271</f>
        <v/>
      </c>
      <c r="BQ281" s="375">
        <f>BQ267+BQ271</f>
        <v/>
      </c>
      <c r="BR281" s="375">
        <f>BR267+BR271</f>
        <v/>
      </c>
      <c r="BS281" s="375">
        <f>BS267+BS271</f>
        <v/>
      </c>
      <c r="BT281" s="375">
        <f>BT267+BT271</f>
        <v/>
      </c>
      <c r="BU281" s="375">
        <f>BU267+BU271</f>
        <v/>
      </c>
      <c r="BV281" s="375">
        <f>BV267+BV271</f>
        <v/>
      </c>
      <c r="BW281" s="375">
        <f>BW267+BW271</f>
        <v/>
      </c>
      <c r="BX281" s="375">
        <f>BX267+BX271</f>
        <v/>
      </c>
      <c r="BY281" s="375">
        <f>BY267+BY271</f>
        <v/>
      </c>
      <c r="BZ281" s="375">
        <f>BZ267+BZ271</f>
        <v/>
      </c>
      <c r="CA281" s="375">
        <f>CA267+CA271</f>
        <v/>
      </c>
      <c r="CB281" s="375">
        <f>CB267+CB271</f>
        <v/>
      </c>
      <c r="CC281" s="375">
        <f>CC267+CC271</f>
        <v/>
      </c>
      <c r="CD281" s="375">
        <f>CD267+CD271</f>
        <v/>
      </c>
      <c r="CE281" s="375">
        <f>CE267+CE271</f>
        <v/>
      </c>
      <c r="CF281" s="375">
        <f>CF267+CF271</f>
        <v/>
      </c>
      <c r="CG281" s="375">
        <f>CG267+CG271</f>
        <v/>
      </c>
      <c r="CH281" s="375">
        <f>CH267+CH271</f>
        <v/>
      </c>
      <c r="CI281" s="375">
        <f>CI267+CI271</f>
        <v/>
      </c>
      <c r="CJ281" s="375">
        <f>CJ267+CJ271</f>
        <v/>
      </c>
      <c r="CK281" s="375">
        <f>CK267+CK271</f>
        <v/>
      </c>
      <c r="CL281" s="375">
        <f>CL267+CL271</f>
        <v/>
      </c>
      <c r="CM281" s="375">
        <f>CM267+CM271</f>
        <v/>
      </c>
      <c r="CN281" s="375">
        <f>CN267+CN271</f>
        <v/>
      </c>
      <c r="CO281" s="375">
        <f>CO267+CO271</f>
        <v/>
      </c>
      <c r="CP281" s="375">
        <f>CP267+CP271</f>
        <v/>
      </c>
      <c r="CQ281" s="375">
        <f>CQ267+CQ271</f>
        <v/>
      </c>
      <c r="CR281" s="375">
        <f>CR267+CR271</f>
        <v/>
      </c>
      <c r="CS281" s="375">
        <f>CS267+CS271</f>
        <v/>
      </c>
      <c r="CT281" s="375">
        <f>CT267+CT271</f>
        <v/>
      </c>
      <c r="CU281" s="375">
        <f>CU267+CU271</f>
        <v/>
      </c>
      <c r="CV281" s="375">
        <f>CV267+CV271</f>
        <v/>
      </c>
      <c r="CW281" s="375">
        <f>CW267+CW271</f>
        <v/>
      </c>
      <c r="CX281" s="375">
        <f>CX267+CX271</f>
        <v/>
      </c>
      <c r="CY281" s="375">
        <f>CY267+CY271</f>
        <v/>
      </c>
      <c r="CZ281" s="375">
        <f>CZ267+CZ271</f>
        <v/>
      </c>
      <c r="DA281" s="375">
        <f>DA267+DA271</f>
        <v/>
      </c>
      <c r="DB281" s="375">
        <f>DB267+DB271</f>
        <v/>
      </c>
      <c r="DC281" s="375" t="n"/>
      <c r="DD281" s="375">
        <f>SUM(F281:DB281)</f>
        <v/>
      </c>
    </row>
    <row r="282" hidden="1" outlineLevel="1">
      <c r="A282" s="377" t="inlineStr">
        <is>
          <t xml:space="preserve">   Equity Distributions Breakpoint</t>
        </is>
      </c>
      <c r="B282" s="377" t="n"/>
      <c r="C282" s="1136">
        <f>'Project Returns'!E70</f>
        <v/>
      </c>
      <c r="D282" s="375" t="n"/>
      <c r="F282" s="375">
        <f>IF(F5&lt;='Project Returns'!$F$32,-F280+E282+(E282-E285)*((1+$C$282)^(1/12)-1)-F281-E285,0)</f>
        <v/>
      </c>
      <c r="G282" s="375">
        <f>IF(G5&lt;='Project Returns'!$F$32,-G280+F282+(F282-F285)*((1+$C$282)^(1/12)-1)-G281-F285,0)</f>
        <v/>
      </c>
      <c r="H282" s="375">
        <f>IF(H5&lt;='Project Returns'!$F$32,-H280+G282+(G282-G285)*((1+$C$282)^(1/12)-1)-H281-G285,0)</f>
        <v/>
      </c>
      <c r="I282" s="375">
        <f>IF(I5&lt;='Project Returns'!$F$32,-I280+H282+(H282-H285)*((1+$C$282)^(1/12)-1)-I281-H285,0)</f>
        <v/>
      </c>
      <c r="J282" s="375">
        <f>IF(J5&lt;='Project Returns'!$F$32,-J280+I282+(I282-I285)*((1+$C$282)^(1/12)-1)-J281-I285,0)</f>
        <v/>
      </c>
      <c r="K282" s="375">
        <f>IF(K5&lt;='Project Returns'!$F$32,-K280+J282+(J282-J285)*((1+$C$282)^(1/12)-1)-K281-J285,0)</f>
        <v/>
      </c>
      <c r="L282" s="375">
        <f>IF(L5&lt;='Project Returns'!$F$32,-L280+K282+(K282-K285)*((1+$C$282)^(1/12)-1)-L281-K285,0)</f>
        <v/>
      </c>
      <c r="M282" s="375">
        <f>IF(M5&lt;='Project Returns'!$F$32,-M280+L282+(L282-L285)*((1+$C$282)^(1/12)-1)-M281-L285,0)</f>
        <v/>
      </c>
      <c r="N282" s="375">
        <f>IF(N5&lt;='Project Returns'!$F$32,-N280+M282+(M282-M285)*((1+$C$282)^(1/12)-1)-N281-M285,0)</f>
        <v/>
      </c>
      <c r="O282" s="375">
        <f>IF(O5&lt;='Project Returns'!$F$32,-O280+N282+(N282-N285)*((1+$C$282)^(1/12)-1)-O281-N285,0)</f>
        <v/>
      </c>
      <c r="P282" s="375">
        <f>IF(P5&lt;='Project Returns'!$F$32,-P280+O282+(O282-O285)*((1+$C$282)^(1/12)-1)-P281-O285,0)</f>
        <v/>
      </c>
      <c r="Q282" s="375">
        <f>IF(Q5&lt;='Project Returns'!$F$32,-Q280+P282+(P282-P285)*((1+$C$282)^(1/12)-1)-Q281-P285,0)</f>
        <v/>
      </c>
      <c r="R282" s="375">
        <f>IF(R5&lt;='Project Returns'!$F$32,-R280+Q282+(Q282-Q285)*((1+$C$282)^(1/12)-1)-R281-Q285,0)</f>
        <v/>
      </c>
      <c r="S282" s="375">
        <f>IF(S5&lt;='Project Returns'!$F$32,-S280+R282+(R282-R285)*((1+$C$282)^(1/12)-1)-S281-R285,0)</f>
        <v/>
      </c>
      <c r="T282" s="375">
        <f>IF(T5&lt;='Project Returns'!$F$32,-T280+S282+(S282-S285)*((1+$C$282)^(1/12)-1)-T281-S285,0)</f>
        <v/>
      </c>
      <c r="U282" s="375">
        <f>IF(U5&lt;='Project Returns'!$F$32,-U280+T282+(T282-T285)*((1+$C$282)^(1/12)-1)-U281-T285,0)</f>
        <v/>
      </c>
      <c r="V282" s="375">
        <f>IF(V5&lt;='Project Returns'!$F$32,-V280+U282+(U282-U285)*((1+$C$282)^(1/12)-1)-V281-U285,0)</f>
        <v/>
      </c>
      <c r="W282" s="375">
        <f>IF(W5&lt;='Project Returns'!$F$32,-W280+V282+(V282-V285)*((1+$C$282)^(1/12)-1)-W281-V285,0)</f>
        <v/>
      </c>
      <c r="X282" s="375">
        <f>IF(X5&lt;='Project Returns'!$F$32,-X280+W282+(W282-W285)*((1+$C$282)^(1/12)-1)-X281-W285,0)</f>
        <v/>
      </c>
      <c r="Y282" s="375">
        <f>IF(Y5&lt;='Project Returns'!$F$32,-Y280+X282+(X282-X285)*((1+$C$282)^(1/12)-1)-Y281-X285,0)</f>
        <v/>
      </c>
      <c r="Z282" s="375">
        <f>IF(Z5&lt;='Project Returns'!$F$32,-Z280+Y282+(Y282-Y285)*((1+$C$282)^(1/12)-1)-Z281-Y285,0)</f>
        <v/>
      </c>
      <c r="AA282" s="375">
        <f>IF(AA5&lt;='Project Returns'!$F$32,-AA280+Z282+(Z282-Z285)*((1+$C$282)^(1/12)-1)-AA281-Z285,0)</f>
        <v/>
      </c>
      <c r="AB282" s="375">
        <f>IF(AB5&lt;='Project Returns'!$F$32,-AB280+AA282+(AA282-AA285)*((1+$C$282)^(1/12)-1)-AB281-AA285,0)</f>
        <v/>
      </c>
      <c r="AC282" s="375">
        <f>IF(AC5&lt;='Project Returns'!$F$32,-AC280+AB282+(AB282-AB285)*((1+$C$282)^(1/12)-1)-AC281-AB285,0)</f>
        <v/>
      </c>
      <c r="AD282" s="375">
        <f>IF(AD5&lt;='Project Returns'!$F$32,-AD280+AC282+(AC282-AC285)*((1+$C$282)^(1/12)-1)-AD281-AC285,0)</f>
        <v/>
      </c>
      <c r="AE282" s="375">
        <f>IF(AE5&lt;='Project Returns'!$F$32,-AE280+AD282+(AD282-AD285)*((1+$C$282)^(1/12)-1)-AE281-AD285,0)</f>
        <v/>
      </c>
      <c r="AF282" s="375">
        <f>IF(AF5&lt;='Project Returns'!$F$32,-AF280+AE282+(AE282-AE285)*((1+$C$282)^(1/12)-1)-AF281-AE285,0)</f>
        <v/>
      </c>
      <c r="AG282" s="375">
        <f>IF(AG5&lt;='Project Returns'!$F$32,-AG280+AF282+(AF282-AF285)*((1+$C$282)^(1/12)-1)-AG281-AF285,0)</f>
        <v/>
      </c>
      <c r="AH282" s="375">
        <f>IF(AH5&lt;='Project Returns'!$F$32,-AH280+AG282+(AG282-AG285)*((1+$C$282)^(1/12)-1)-AH281-AG285,0)</f>
        <v/>
      </c>
      <c r="AI282" s="375">
        <f>IF(AI5&lt;='Project Returns'!$F$32,-AI280+AH282+(AH282-AH285)*((1+$C$282)^(1/12)-1)-AI281-AH285,0)</f>
        <v/>
      </c>
      <c r="AJ282" s="375">
        <f>IF(AJ5&lt;='Project Returns'!$F$32,-AJ280+AI282+(AI282-AI285)*((1+$C$282)^(1/12)-1)-AJ281-AI285,0)</f>
        <v/>
      </c>
      <c r="AK282" s="375">
        <f>IF(AK5&lt;='Project Returns'!$F$32,-AK280+AJ282+(AJ282-AJ285)*((1+$C$282)^(1/12)-1)-AK281-AJ285,0)</f>
        <v/>
      </c>
      <c r="AL282" s="375">
        <f>IF(AL5&lt;='Project Returns'!$F$32,-AL280+AK282+(AK282-AK285)*((1+$C$282)^(1/12)-1)-AL281-AK285,0)</f>
        <v/>
      </c>
      <c r="AM282" s="375">
        <f>IF(AM5&lt;='Project Returns'!$F$32,-AM280+AL282+(AL282-AL285)*((1+$C$282)^(1/12)-1)-AM281-AL285,0)</f>
        <v/>
      </c>
      <c r="AN282" s="375">
        <f>IF(AN5&lt;='Project Returns'!$F$32,-AN280+AM282+(AM282-AM285)*((1+$C$282)^(1/12)-1)-AN281-AM285,0)</f>
        <v/>
      </c>
      <c r="AO282" s="375">
        <f>IF(AO5&lt;='Project Returns'!$F$32,-AO280+AN282+(AN282-AN285)*((1+$C$282)^(1/12)-1)-AO281-AN285,0)</f>
        <v/>
      </c>
      <c r="AP282" s="375">
        <f>IF(AP5&lt;='Project Returns'!$F$32,-AP280+AO282+(AO282-AO285)*((1+$C$282)^(1/12)-1)-AP281-AO285,0)</f>
        <v/>
      </c>
      <c r="AQ282" s="375">
        <f>IF(AQ5&lt;='Project Returns'!$F$32,-AQ280+AP282+(AP282-AP285)*((1+$C$282)^(1/12)-1)-AQ281-AP285,0)</f>
        <v/>
      </c>
      <c r="AR282" s="375">
        <f>IF(AR5&lt;='Project Returns'!$F$32,-AR280+AQ282+(AQ282-AQ285)*((1+$C$282)^(1/12)-1)-AR281-AQ285,0)</f>
        <v/>
      </c>
      <c r="AS282" s="375">
        <f>IF(AS5&lt;='Project Returns'!$F$32,-AS280+AR282+(AR282-AR285)*((1+$C$282)^(1/12)-1)-AS281-AR285,0)</f>
        <v/>
      </c>
      <c r="AT282" s="375">
        <f>IF(AT5&lt;='Project Returns'!$F$32,-AT280+AS282+(AS282-AS285)*((1+$C$282)^(1/12)-1)-AT281-AS285,0)</f>
        <v/>
      </c>
      <c r="AU282" s="375">
        <f>IF(AU5&lt;='Project Returns'!$F$32,-AU280+AT282+(AT282-AT285)*((1+$C$282)^(1/12)-1)-AU281-AT285,0)</f>
        <v/>
      </c>
      <c r="AV282" s="375">
        <f>IF(AV5&lt;='Project Returns'!$F$32,-AV280+AU282+(AU282-AU285)*((1+$C$282)^(1/12)-1)-AV281-AU285,0)</f>
        <v/>
      </c>
      <c r="AW282" s="375">
        <f>IF(AW5&lt;='Project Returns'!$F$32,-AW280+AV282+(AV282-AV285)*((1+$C$282)^(1/12)-1)-AW281-AV285,0)</f>
        <v/>
      </c>
      <c r="AX282" s="375">
        <f>IF(AX5&lt;='Project Returns'!$F$32,-AX280+AW282+(AW282-AW285)*((1+$C$282)^(1/12)-1)-AX281-AW285,0)</f>
        <v/>
      </c>
      <c r="AY282" s="375">
        <f>IF(AY5&lt;='Project Returns'!$F$32,-AY280+AX282+(AX282-AX285)*((1+$C$282)^(1/12)-1)-AY281-AX285,0)</f>
        <v/>
      </c>
      <c r="AZ282" s="375">
        <f>IF(AZ5&lt;='Project Returns'!$F$32,-AZ280+AY282+(AY282-AY285)*((1+$C$282)^(1/12)-1)-AZ281-AY285,0)</f>
        <v/>
      </c>
      <c r="BA282" s="375">
        <f>IF(BA5&lt;='Project Returns'!$F$32,-BA280+AZ282+(AZ282-AZ285)*((1+$C$282)^(1/12)-1)-BA281-AZ285,0)</f>
        <v/>
      </c>
      <c r="BB282" s="375">
        <f>IF(BB5&lt;='Project Returns'!$F$32,-BB280+BA282+(BA282-BA285)*((1+$C$282)^(1/12)-1)-BB281-BA285,0)</f>
        <v/>
      </c>
      <c r="BC282" s="375">
        <f>IF(BC5&lt;='Project Returns'!$F$32,-BC280+BB282+(BB282-BB285)*((1+$C$282)^(1/12)-1)-BC281-BB285,0)</f>
        <v/>
      </c>
      <c r="BD282" s="375">
        <f>IF(BD5&lt;='Project Returns'!$F$32,-BD280+BC282+(BC282-BC285)*((1+$C$282)^(1/12)-1)-BD281-BC285,0)</f>
        <v/>
      </c>
      <c r="BE282" s="375">
        <f>IF(BE5&lt;='Project Returns'!$F$32,-BE280+BD282+(BD282-BD285)*((1+$C$282)^(1/12)-1)-BE281-BD285,0)</f>
        <v/>
      </c>
      <c r="BF282" s="375">
        <f>IF(BF5&lt;='Project Returns'!$F$32,-BF280+BE282+(BE282-BE285)*((1+$C$282)^(1/12)-1)-BF281-BE285,0)</f>
        <v/>
      </c>
      <c r="BG282" s="375">
        <f>IF(BG5&lt;='Project Returns'!$F$32,-BG280+BF282+(BF282-BF285)*((1+$C$282)^(1/12)-1)-BG281-BF285,0)</f>
        <v/>
      </c>
      <c r="BH282" s="375">
        <f>IF(BH5&lt;='Project Returns'!$F$32,-BH280+BG282+(BG282-BG285)*((1+$C$282)^(1/12)-1)-BH281-BG285,0)</f>
        <v/>
      </c>
      <c r="BI282" s="375">
        <f>IF(BI5&lt;='Project Returns'!$F$32,-BI280+BH282+(BH282-BH285)*((1+$C$282)^(1/12)-1)-BI281-BH285,0)</f>
        <v/>
      </c>
      <c r="BJ282" s="375">
        <f>IF(BJ5&lt;='Project Returns'!$F$32,-BJ280+BI282+(BI282-BI285)*((1+$C$282)^(1/12)-1)-BJ281-BI285,0)</f>
        <v/>
      </c>
      <c r="BK282" s="375">
        <f>IF(BK5&lt;='Project Returns'!$F$32,-BK280+BJ282+(BJ282-BJ285)*((1+$C$282)^(1/12)-1)-BK281-BJ285,0)</f>
        <v/>
      </c>
      <c r="BL282" s="375">
        <f>IF(BL5&lt;='Project Returns'!$F$32,-BL280+BK282+(BK282-BK285)*((1+$C$282)^(1/12)-1)-BL281-BK285,0)</f>
        <v/>
      </c>
      <c r="BM282" s="375">
        <f>IF(BM5&lt;='Project Returns'!$F$32,-BM280+BL282+(BL282-BL285)*((1+$C$282)^(1/12)-1)-BM281-BL285,0)</f>
        <v/>
      </c>
      <c r="BN282" s="375">
        <f>IF(BN5&lt;='Project Returns'!$F$32,-BN280+BM282+(BM282-BM285)*((1+$C$282)^(1/12)-1)-BN281-BM285,0)</f>
        <v/>
      </c>
      <c r="BO282" s="375">
        <f>IF(BO5&lt;='Project Returns'!$F$32,-BO280+BN282+(BN282-BN285)*((1+$C$282)^(1/12)-1)-BO281-BN285,0)</f>
        <v/>
      </c>
      <c r="BP282" s="375">
        <f>IF(BP5&lt;='Project Returns'!$F$32,-BP280+BO282+(BO282-BO285)*((1+$C$282)^(1/12)-1)-BP281-BO285,0)</f>
        <v/>
      </c>
      <c r="BQ282" s="375">
        <f>IF(BQ5&lt;='Project Returns'!$F$32,-BQ280+BP282+(BP282-BP285)*((1+$C$282)^(1/12)-1)-BQ281-BP285,0)</f>
        <v/>
      </c>
      <c r="BR282" s="375">
        <f>IF(BR5&lt;='Project Returns'!$F$32,-BR280+BQ282+(BQ282-BQ285)*((1+$C$282)^(1/12)-1)-BR281-BQ285,0)</f>
        <v/>
      </c>
      <c r="BS282" s="375">
        <f>IF(BS5&lt;='Project Returns'!$F$32,-BS280+BR282+(BR282-BR285)*((1+$C$282)^(1/12)-1)-BS281-BR285,0)</f>
        <v/>
      </c>
      <c r="BT282" s="375">
        <f>IF(BT5&lt;='Project Returns'!$F$32,-BT280+BS282+(BS282-BS285)*((1+$C$282)^(1/12)-1)-BT281-BS285,0)</f>
        <v/>
      </c>
      <c r="BU282" s="375">
        <f>IF(BU5&lt;='Project Returns'!$F$32,-BU280+BT282+(BT282-BT285)*((1+$C$282)^(1/12)-1)-BU281-BT285,0)</f>
        <v/>
      </c>
      <c r="BV282" s="375">
        <f>IF(BV5&lt;='Project Returns'!$F$32,-BV280+BU282+(BU282-BU285)*((1+$C$282)^(1/12)-1)-BV281-BU285,0)</f>
        <v/>
      </c>
      <c r="BW282" s="375">
        <f>IF(BW5&lt;='Project Returns'!$F$32,-BW280+BV282+(BV282-BV285)*((1+$C$282)^(1/12)-1)-BW281-BV285,0)</f>
        <v/>
      </c>
      <c r="BX282" s="375">
        <f>IF(BX5&lt;='Project Returns'!$F$32,-BX280+BW282+(BW282-BW285)*((1+$C$282)^(1/12)-1)-BX281-BW285,0)</f>
        <v/>
      </c>
      <c r="BY282" s="375">
        <f>IF(BY5&lt;='Project Returns'!$F$32,-BY280+BX282+(BX282-BX285)*((1+$C$282)^(1/12)-1)-BY281-BX285,0)</f>
        <v/>
      </c>
      <c r="BZ282" s="375">
        <f>IF(BZ5&lt;='Project Returns'!$F$32,-BZ280+BY282+(BY282-BY285)*((1+$C$282)^(1/12)-1)-BZ281-BY285,0)</f>
        <v/>
      </c>
      <c r="CA282" s="375">
        <f>IF(CA5&lt;='Project Returns'!$F$32,-CA280+BZ282+(BZ282-BZ285)*((1+$C$282)^(1/12)-1)-CA281-BZ285,0)</f>
        <v/>
      </c>
      <c r="CB282" s="375">
        <f>IF(CB5&lt;='Project Returns'!$F$32,-CB280+CA282+(CA282-CA285)*((1+$C$282)^(1/12)-1)-CB281-CA285,0)</f>
        <v/>
      </c>
      <c r="CC282" s="375">
        <f>IF(CC5&lt;='Project Returns'!$F$32,-CC280+CB282+(CB282-CB285)*((1+$C$282)^(1/12)-1)-CC281-CB285,0)</f>
        <v/>
      </c>
      <c r="CD282" s="375">
        <f>IF(CD5&lt;='Project Returns'!$F$32,-CD280+CC282+(CC282-CC285)*((1+$C$282)^(1/12)-1)-CD281-CC285,0)</f>
        <v/>
      </c>
      <c r="CE282" s="375">
        <f>IF(CE5&lt;='Project Returns'!$F$32,-CE280+CD282+(CD282-CD285)*((1+$C$282)^(1/12)-1)-CE281-CD285,0)</f>
        <v/>
      </c>
      <c r="CF282" s="375">
        <f>IF(CF5&lt;='Project Returns'!$F$32,-CF280+CE282+(CE282-CE285)*((1+$C$282)^(1/12)-1)-CF281-CE285,0)</f>
        <v/>
      </c>
      <c r="CG282" s="375">
        <f>IF(CG5&lt;='Project Returns'!$F$32,-CG280+CF282+(CF282-CF285)*((1+$C$282)^(1/12)-1)-CG281-CF285,0)</f>
        <v/>
      </c>
      <c r="CH282" s="375">
        <f>IF(CH5&lt;='Project Returns'!$F$32,-CH280+CG282+(CG282-CG285)*((1+$C$282)^(1/12)-1)-CH281-CG285,0)</f>
        <v/>
      </c>
      <c r="CI282" s="375">
        <f>IF(CI5&lt;='Project Returns'!$F$32,-CI280+CH282+(CH282-CH285)*((1+$C$282)^(1/12)-1)-CI281-CH285,0)</f>
        <v/>
      </c>
      <c r="CJ282" s="375">
        <f>IF(CJ5&lt;='Project Returns'!$F$32,-CJ280+CI282+(CI282-CI285)*((1+$C$282)^(1/12)-1)-CJ281-CI285,0)</f>
        <v/>
      </c>
      <c r="CK282" s="375">
        <f>IF(CK5&lt;='Project Returns'!$F$32,-CK280+CJ282+(CJ282-CJ285)*((1+$C$282)^(1/12)-1)-CK281-CJ285,0)</f>
        <v/>
      </c>
      <c r="CL282" s="375">
        <f>IF(CL5&lt;='Project Returns'!$F$32,-CL280+CK282+(CK282-CK285)*((1+$C$282)^(1/12)-1)-CL281-CK285,0)</f>
        <v/>
      </c>
      <c r="CM282" s="375">
        <f>IF(CM5&lt;='Project Returns'!$F$32,-CM280+CL282+(CL282-CL285)*((1+$C$282)^(1/12)-1)-CM281-CL285,0)</f>
        <v/>
      </c>
      <c r="CN282" s="375">
        <f>IF(CN5&lt;='Project Returns'!$F$32,-CN280+CM282+(CM282-CM285)*((1+$C$282)^(1/12)-1)-CN281-CM285,0)</f>
        <v/>
      </c>
      <c r="CO282" s="375">
        <f>IF(CO5&lt;='Project Returns'!$F$32,-CO280+CN282+(CN282-CN285)*((1+$C$282)^(1/12)-1)-CO281-CN285,0)</f>
        <v/>
      </c>
      <c r="CP282" s="375">
        <f>IF(CP5&lt;='Project Returns'!$F$32,-CP280+CO282+(CO282-CO285)*((1+$C$282)^(1/12)-1)-CP281-CO285,0)</f>
        <v/>
      </c>
      <c r="CQ282" s="375">
        <f>IF(CQ5&lt;='Project Returns'!$F$32,-CQ280+CP282+(CP282-CP285)*((1+$C$282)^(1/12)-1)-CQ281-CP285,0)</f>
        <v/>
      </c>
      <c r="CR282" s="375">
        <f>IF(CR5&lt;='Project Returns'!$F$32,-CR280+CQ282+(CQ282-CQ285)*((1+$C$282)^(1/12)-1)-CR281-CQ285,0)</f>
        <v/>
      </c>
      <c r="CS282" s="375">
        <f>IF(CS5&lt;='Project Returns'!$F$32,-CS280+CR282+(CR282-CR285)*((1+$C$282)^(1/12)-1)-CS281-CR285,0)</f>
        <v/>
      </c>
      <c r="CT282" s="375">
        <f>IF(CT5&lt;='Project Returns'!$F$32,-CT280+CS282+(CS282-CS285)*((1+$C$282)^(1/12)-1)-CT281-CS285,0)</f>
        <v/>
      </c>
      <c r="CU282" s="375">
        <f>IF(CU5&lt;='Project Returns'!$F$32,-CU280+CT282+(CT282-CT285)*((1+$C$282)^(1/12)-1)-CU281-CT285,0)</f>
        <v/>
      </c>
      <c r="CV282" s="375">
        <f>IF(CV5&lt;='Project Returns'!$F$32,-CV280+CU282+(CU282-CU285)*((1+$C$282)^(1/12)-1)-CV281-CU285,0)</f>
        <v/>
      </c>
      <c r="CW282" s="375">
        <f>IF(CW5&lt;='Project Returns'!$F$32,-CW280+CV282+(CV282-CV285)*((1+$C$282)^(1/12)-1)-CW281-CV285,0)</f>
        <v/>
      </c>
      <c r="CX282" s="375">
        <f>IF(CX5&lt;='Project Returns'!$F$32,-CX280+CW282+(CW282-CW285)*((1+$C$282)^(1/12)-1)-CX281-CW285,0)</f>
        <v/>
      </c>
      <c r="CY282" s="375">
        <f>IF(CY5&lt;='Project Returns'!$F$32,-CY280+CX282+(CX282-CX285)*((1+$C$282)^(1/12)-1)-CY281-CX285,0)</f>
        <v/>
      </c>
      <c r="CZ282" s="375">
        <f>IF(CZ5&lt;='Project Returns'!$F$32,-CZ280+CY282+(CY282-CY285)*((1+$C$282)^(1/12)-1)-CZ281-CY285,0)</f>
        <v/>
      </c>
      <c r="DA282" s="375">
        <f>IF(DA5&lt;='Project Returns'!$F$32,-DA280+CZ282+(CZ282-CZ285)*((1+$C$282)^(1/12)-1)-DA281-CZ285,0)</f>
        <v/>
      </c>
      <c r="DB282" s="375">
        <f>IF(DB5&lt;='Project Returns'!$F$32,-DB280+DA282+(DA282-DA285)*((1+$C$282)^(1/12)-1)-DB281-DA285,0)</f>
        <v/>
      </c>
      <c r="DC282" s="375" t="n"/>
      <c r="DD282" s="375">
        <f>SUM(F282:DB282)</f>
        <v/>
      </c>
    </row>
    <row r="283" hidden="1" outlineLevel="1">
      <c r="A283" s="377" t="inlineStr">
        <is>
          <t>Level 2 Distributions* -</t>
        </is>
      </c>
      <c r="B283" s="377" t="n"/>
      <c r="C283" s="1136" t="n"/>
      <c r="D283" s="375" t="n"/>
      <c r="F283" s="375" t="n"/>
      <c r="G283" s="375" t="n"/>
      <c r="H283" s="375" t="n"/>
      <c r="I283" s="375" t="n"/>
      <c r="J283" s="375" t="n"/>
      <c r="K283" s="375" t="n"/>
      <c r="L283" s="375" t="n"/>
      <c r="M283" s="375" t="n"/>
      <c r="N283" s="375" t="n"/>
      <c r="O283" s="375" t="n"/>
      <c r="P283" s="375" t="n"/>
      <c r="Q283" s="375" t="n"/>
      <c r="R283" s="375" t="n"/>
      <c r="S283" s="375" t="n"/>
      <c r="T283" s="375" t="n"/>
      <c r="U283" s="375" t="n"/>
      <c r="V283" s="375" t="n"/>
      <c r="W283" s="375" t="n"/>
      <c r="X283" s="375" t="n"/>
      <c r="Y283" s="375" t="n"/>
      <c r="Z283" s="375" t="n"/>
      <c r="AA283" s="375" t="n"/>
      <c r="AB283" s="375" t="n"/>
      <c r="AC283" s="375" t="n"/>
      <c r="AD283" s="375" t="n"/>
      <c r="AE283" s="375" t="n"/>
      <c r="AF283" s="375" t="n"/>
      <c r="AG283" s="375" t="n"/>
      <c r="AH283" s="375" t="n"/>
      <c r="AI283" s="375" t="n"/>
      <c r="AJ283" s="375" t="n"/>
      <c r="AK283" s="375" t="n"/>
      <c r="AL283" s="375" t="n"/>
      <c r="AM283" s="375" t="n"/>
      <c r="AN283" s="375" t="n"/>
      <c r="AO283" s="375" t="n"/>
      <c r="AP283" s="375" t="n"/>
      <c r="AQ283" s="375" t="n"/>
      <c r="AR283" s="375" t="n"/>
      <c r="AS283" s="375" t="n"/>
      <c r="AT283" s="375" t="n"/>
      <c r="AU283" s="375" t="n"/>
      <c r="AV283" s="375" t="n"/>
      <c r="AW283" s="375" t="n"/>
      <c r="AX283" s="375" t="n"/>
      <c r="AY283" s="375" t="n"/>
      <c r="AZ283" s="375" t="n"/>
      <c r="BA283" s="375" t="n"/>
      <c r="BB283" s="375" t="n"/>
      <c r="BC283" s="375" t="n"/>
      <c r="BD283" s="375" t="n"/>
      <c r="BE283" s="375" t="n"/>
      <c r="BF283" s="375" t="n"/>
      <c r="BG283" s="375" t="n"/>
      <c r="BH283" s="375" t="n"/>
      <c r="BI283" s="375" t="n"/>
      <c r="BJ283" s="375" t="n"/>
      <c r="BK283" s="375" t="n"/>
      <c r="BL283" s="375" t="n"/>
      <c r="BM283" s="375" t="n"/>
      <c r="BN283" s="375" t="n"/>
      <c r="BO283" s="375" t="n"/>
      <c r="BP283" s="375" t="n"/>
      <c r="BQ283" s="375" t="n"/>
      <c r="BR283" s="375" t="n"/>
      <c r="BS283" s="375" t="n"/>
      <c r="BT283" s="375" t="n"/>
      <c r="BU283" s="375" t="n"/>
      <c r="BV283" s="375" t="n"/>
      <c r="BW283" s="375" t="n"/>
      <c r="BX283" s="375" t="n"/>
      <c r="BY283" s="375" t="n"/>
      <c r="BZ283" s="375" t="n"/>
      <c r="CA283" s="375" t="n"/>
      <c r="CB283" s="375" t="n"/>
      <c r="CC283" s="375" t="n"/>
      <c r="CD283" s="375" t="n"/>
      <c r="CE283" s="375" t="n"/>
      <c r="CF283" s="375" t="n"/>
      <c r="CG283" s="375" t="n"/>
      <c r="CH283" s="375" t="n"/>
      <c r="CI283" s="375" t="n"/>
      <c r="CJ283" s="375" t="n"/>
      <c r="CK283" s="375" t="n"/>
      <c r="CL283" s="375" t="n"/>
      <c r="CM283" s="375" t="n"/>
      <c r="CN283" s="375" t="n"/>
      <c r="CO283" s="375" t="n"/>
      <c r="CP283" s="375" t="n"/>
      <c r="CQ283" s="375" t="n"/>
      <c r="CR283" s="375" t="n"/>
      <c r="CS283" s="375" t="n"/>
      <c r="CT283" s="375" t="n"/>
      <c r="CU283" s="375" t="n"/>
      <c r="CV283" s="375" t="n"/>
      <c r="CW283" s="375" t="n"/>
      <c r="CX283" s="375" t="n"/>
      <c r="CY283" s="375" t="n"/>
      <c r="CZ283" s="375" t="n"/>
      <c r="DA283" s="375" t="n"/>
      <c r="DB283" s="375" t="n"/>
      <c r="DC283" s="375" t="n"/>
      <c r="DD283" s="375" t="n"/>
    </row>
    <row r="284" hidden="1" outlineLevel="1">
      <c r="A284" s="377" t="inlineStr">
        <is>
          <t xml:space="preserve">   Developer Promote</t>
        </is>
      </c>
      <c r="B284" s="377" t="n"/>
      <c r="C284" s="1136">
        <f>IF('Project Returns'!E63="No",'Project Returns'!E68,('Project Returns'!E68-'Project Returns'!E60)/MAX(1-'Project Returns'!E60,0.00001))</f>
        <v/>
      </c>
      <c r="D284" s="375">
        <f>IF(ISERROR(DD284),0,DD284)</f>
        <v/>
      </c>
      <c r="F284" s="375" t="n"/>
      <c r="G284" s="375">
        <f>IF($C$285=0,0,G285/$C$285*$C$284)</f>
        <v/>
      </c>
      <c r="H284" s="375">
        <f>IF($C$285=0,0,H285/$C$285*$C$284)</f>
        <v/>
      </c>
      <c r="I284" s="375">
        <f>IF($C$285=0,0,I285/$C$285*$C$284)</f>
        <v/>
      </c>
      <c r="J284" s="375">
        <f>IF($C$285=0,0,J285/$C$285*$C$284)</f>
        <v/>
      </c>
      <c r="K284" s="375">
        <f>IF($C$285=0,0,K285/$C$285*$C$284)</f>
        <v/>
      </c>
      <c r="L284" s="375">
        <f>IF($C$285=0,0,L285/$C$285*$C$284)</f>
        <v/>
      </c>
      <c r="M284" s="375">
        <f>IF($C$285=0,0,M285/$C$285*$C$284)</f>
        <v/>
      </c>
      <c r="N284" s="375">
        <f>IF($C$285=0,0,N285/$C$285*$C$284)</f>
        <v/>
      </c>
      <c r="O284" s="375">
        <f>IF($C$285=0,0,O285/$C$285*$C$284)</f>
        <v/>
      </c>
      <c r="P284" s="375">
        <f>IF($C$285=0,0,P285/$C$285*$C$284)</f>
        <v/>
      </c>
      <c r="Q284" s="375">
        <f>IF($C$285=0,0,Q285/$C$285*$C$284)</f>
        <v/>
      </c>
      <c r="R284" s="375">
        <f>IF($C$285=0,0,R285/$C$285*$C$284)</f>
        <v/>
      </c>
      <c r="S284" s="375">
        <f>IF($C$285=0,0,S285/$C$285*$C$284)</f>
        <v/>
      </c>
      <c r="T284" s="375">
        <f>IF($C$285=0,0,T285/$C$285*$C$284)</f>
        <v/>
      </c>
      <c r="U284" s="375">
        <f>IF($C$285=0,0,U285/$C$285*$C$284)</f>
        <v/>
      </c>
      <c r="V284" s="375">
        <f>IF($C$285=0,0,V285/$C$285*$C$284)</f>
        <v/>
      </c>
      <c r="W284" s="375">
        <f>IF($C$285=0,0,W285/$C$285*$C$284)</f>
        <v/>
      </c>
      <c r="X284" s="375">
        <f>IF($C$285=0,0,X285/$C$285*$C$284)</f>
        <v/>
      </c>
      <c r="Y284" s="375">
        <f>IF($C$285=0,0,Y285/$C$285*$C$284)</f>
        <v/>
      </c>
      <c r="Z284" s="375">
        <f>IF($C$285=0,0,Z285/$C$285*$C$284)</f>
        <v/>
      </c>
      <c r="AA284" s="375">
        <f>IF($C$285=0,0,AA285/$C$285*$C$284)</f>
        <v/>
      </c>
      <c r="AB284" s="375">
        <f>IF($C$285=0,0,AB285/$C$285*$C$284)</f>
        <v/>
      </c>
      <c r="AC284" s="375">
        <f>IF($C$285=0,0,AC285/$C$285*$C$284)</f>
        <v/>
      </c>
      <c r="AD284" s="375">
        <f>IF($C$285=0,0,AD285/$C$285*$C$284)</f>
        <v/>
      </c>
      <c r="AE284" s="375">
        <f>IF($C$285=0,0,AE285/$C$285*$C$284)</f>
        <v/>
      </c>
      <c r="AF284" s="375">
        <f>IF($C$285=0,0,AF285/$C$285*$C$284)</f>
        <v/>
      </c>
      <c r="AG284" s="375">
        <f>IF($C$285=0,0,AG285/$C$285*$C$284)</f>
        <v/>
      </c>
      <c r="AH284" s="375">
        <f>IF($C$285=0,0,AH285/$C$285*$C$284)</f>
        <v/>
      </c>
      <c r="AI284" s="375">
        <f>IF($C$285=0,0,AI285/$C$285*$C$284)</f>
        <v/>
      </c>
      <c r="AJ284" s="375">
        <f>IF($C$285=0,0,AJ285/$C$285*$C$284)</f>
        <v/>
      </c>
      <c r="AK284" s="375">
        <f>IF($C$285=0,0,AK285/$C$285*$C$284)</f>
        <v/>
      </c>
      <c r="AL284" s="375">
        <f>IF($C$285=0,0,AL285/$C$285*$C$284)</f>
        <v/>
      </c>
      <c r="AM284" s="375">
        <f>IF($C$285=0,0,AM285/$C$285*$C$284)</f>
        <v/>
      </c>
      <c r="AN284" s="375">
        <f>IF($C$285=0,0,AN285/$C$285*$C$284)</f>
        <v/>
      </c>
      <c r="AO284" s="375">
        <f>IF($C$285=0,0,AO285/$C$285*$C$284)</f>
        <v/>
      </c>
      <c r="AP284" s="375">
        <f>IF($C$285=0,0,AP285/$C$285*$C$284)</f>
        <v/>
      </c>
      <c r="AQ284" s="375">
        <f>IF($C$285=0,0,AQ285/$C$285*$C$284)</f>
        <v/>
      </c>
      <c r="AR284" s="375">
        <f>IF($C$285=0,0,AR285/$C$285*$C$284)</f>
        <v/>
      </c>
      <c r="AS284" s="375">
        <f>IF($C$285=0,0,AS285/$C$285*$C$284)</f>
        <v/>
      </c>
      <c r="AT284" s="375">
        <f>IF($C$285=0,0,AT285/$C$285*$C$284)</f>
        <v/>
      </c>
      <c r="AU284" s="375">
        <f>IF($C$285=0,0,AU285/$C$285*$C$284)</f>
        <v/>
      </c>
      <c r="AV284" s="375">
        <f>IF($C$285=0,0,AV285/$C$285*$C$284)</f>
        <v/>
      </c>
      <c r="AW284" s="375">
        <f>IF($C$285=0,0,AW285/$C$285*$C$284)</f>
        <v/>
      </c>
      <c r="AX284" s="375">
        <f>IF($C$285=0,0,AX285/$C$285*$C$284)</f>
        <v/>
      </c>
      <c r="AY284" s="375">
        <f>IF($C$285=0,0,AY285/$C$285*$C$284)</f>
        <v/>
      </c>
      <c r="AZ284" s="375">
        <f>IF($C$285=0,0,AZ285/$C$285*$C$284)</f>
        <v/>
      </c>
      <c r="BA284" s="375">
        <f>IF($C$285=0,0,BA285/$C$285*$C$284)</f>
        <v/>
      </c>
      <c r="BB284" s="375">
        <f>IF($C$285=0,0,BB285/$C$285*$C$284)</f>
        <v/>
      </c>
      <c r="BC284" s="375">
        <f>IF($C$285=0,0,BC285/$C$285*$C$284)</f>
        <v/>
      </c>
      <c r="BD284" s="375">
        <f>IF($C$285=0,0,BD285/$C$285*$C$284)</f>
        <v/>
      </c>
      <c r="BE284" s="375">
        <f>IF($C$285=0,0,BE285/$C$285*$C$284)</f>
        <v/>
      </c>
      <c r="BF284" s="375">
        <f>IF($C$285=0,0,BF285/$C$285*$C$284)</f>
        <v/>
      </c>
      <c r="BG284" s="375">
        <f>IF($C$285=0,0,BG285/$C$285*$C$284)</f>
        <v/>
      </c>
      <c r="BH284" s="375">
        <f>IF($C$285=0,0,BH285/$C$285*$C$284)</f>
        <v/>
      </c>
      <c r="BI284" s="375">
        <f>IF($C$285=0,0,BI285/$C$285*$C$284)</f>
        <v/>
      </c>
      <c r="BJ284" s="375">
        <f>IF($C$285=0,0,BJ285/$C$285*$C$284)</f>
        <v/>
      </c>
      <c r="BK284" s="375">
        <f>IF($C$285=0,0,BK285/$C$285*$C$284)</f>
        <v/>
      </c>
      <c r="BL284" s="375">
        <f>IF($C$285=0,0,BL285/$C$285*$C$284)</f>
        <v/>
      </c>
      <c r="BM284" s="375">
        <f>IF($C$285=0,0,BM285/$C$285*$C$284)</f>
        <v/>
      </c>
      <c r="BN284" s="375">
        <f>IF($C$285=0,0,BN285/$C$285*$C$284)</f>
        <v/>
      </c>
      <c r="BO284" s="375">
        <f>IF($C$285=0,0,BO285/$C$285*$C$284)</f>
        <v/>
      </c>
      <c r="BP284" s="375">
        <f>IF($C$285=0,0,BP285/$C$285*$C$284)</f>
        <v/>
      </c>
      <c r="BQ284" s="375">
        <f>IF($C$285=0,0,BQ285/$C$285*$C$284)</f>
        <v/>
      </c>
      <c r="BR284" s="375">
        <f>IF($C$285=0,0,BR285/$C$285*$C$284)</f>
        <v/>
      </c>
      <c r="BS284" s="375">
        <f>IF($C$285=0,0,BS285/$C$285*$C$284)</f>
        <v/>
      </c>
      <c r="BT284" s="375">
        <f>IF($C$285=0,0,BT285/$C$285*$C$284)</f>
        <v/>
      </c>
      <c r="BU284" s="375">
        <f>IF($C$285=0,0,BU285/$C$285*$C$284)</f>
        <v/>
      </c>
      <c r="BV284" s="375">
        <f>IF($C$285=0,0,BV285/$C$285*$C$284)</f>
        <v/>
      </c>
      <c r="BW284" s="375">
        <f>IF($C$285=0,0,BW285/$C$285*$C$284)</f>
        <v/>
      </c>
      <c r="BX284" s="375">
        <f>IF($C$285=0,0,BX285/$C$285*$C$284)</f>
        <v/>
      </c>
      <c r="BY284" s="375">
        <f>IF($C$285=0,0,BY285/$C$285*$C$284)</f>
        <v/>
      </c>
      <c r="BZ284" s="375">
        <f>IF($C$285=0,0,BZ285/$C$285*$C$284)</f>
        <v/>
      </c>
      <c r="CA284" s="375">
        <f>IF($C$285=0,0,CA285/$C$285*$C$284)</f>
        <v/>
      </c>
      <c r="CB284" s="375">
        <f>IF($C$285=0,0,CB285/$C$285*$C$284)</f>
        <v/>
      </c>
      <c r="CC284" s="375">
        <f>IF($C$285=0,0,CC285/$C$285*$C$284)</f>
        <v/>
      </c>
      <c r="CD284" s="375">
        <f>IF($C$285=0,0,CD285/$C$285*$C$284)</f>
        <v/>
      </c>
      <c r="CE284" s="375">
        <f>IF($C$285=0,0,CE285/$C$285*$C$284)</f>
        <v/>
      </c>
      <c r="CF284" s="375">
        <f>IF($C$285=0,0,CF285/$C$285*$C$284)</f>
        <v/>
      </c>
      <c r="CG284" s="375">
        <f>IF($C$285=0,0,CG285/$C$285*$C$284)</f>
        <v/>
      </c>
      <c r="CH284" s="375">
        <f>IF($C$285=0,0,CH285/$C$285*$C$284)</f>
        <v/>
      </c>
      <c r="CI284" s="375">
        <f>IF($C$285=0,0,CI285/$C$285*$C$284)</f>
        <v/>
      </c>
      <c r="CJ284" s="375">
        <f>IF($C$285=0,0,CJ285/$C$285*$C$284)</f>
        <v/>
      </c>
      <c r="CK284" s="375">
        <f>IF($C$285=0,0,CK285/$C$285*$C$284)</f>
        <v/>
      </c>
      <c r="CL284" s="375">
        <f>IF($C$285=0,0,CL285/$C$285*$C$284)</f>
        <v/>
      </c>
      <c r="CM284" s="375">
        <f>IF($C$285=0,0,CM285/$C$285*$C$284)</f>
        <v/>
      </c>
      <c r="CN284" s="375">
        <f>IF($C$285=0,0,CN285/$C$285*$C$284)</f>
        <v/>
      </c>
      <c r="CO284" s="375">
        <f>IF($C$285=0,0,CO285/$C$285*$C$284)</f>
        <v/>
      </c>
      <c r="CP284" s="375">
        <f>IF($C$285=0,0,CP285/$C$285*$C$284)</f>
        <v/>
      </c>
      <c r="CQ284" s="375">
        <f>IF($C$285=0,0,CQ285/$C$285*$C$284)</f>
        <v/>
      </c>
      <c r="CR284" s="375">
        <f>IF($C$285=0,0,CR285/$C$285*$C$284)</f>
        <v/>
      </c>
      <c r="CS284" s="375">
        <f>IF($C$285=0,0,CS285/$C$285*$C$284)</f>
        <v/>
      </c>
      <c r="CT284" s="375">
        <f>IF($C$285=0,0,CT285/$C$285*$C$284)</f>
        <v/>
      </c>
      <c r="CU284" s="375">
        <f>IF($C$285=0,0,CU285/$C$285*$C$284)</f>
        <v/>
      </c>
      <c r="CV284" s="375">
        <f>IF($C$285=0,0,CV285/$C$285*$C$284)</f>
        <v/>
      </c>
      <c r="CW284" s="375">
        <f>IF($C$285=0,0,CW285/$C$285*$C$284)</f>
        <v/>
      </c>
      <c r="CX284" s="375">
        <f>IF($C$285=0,0,CX285/$C$285*$C$284)</f>
        <v/>
      </c>
      <c r="CY284" s="375">
        <f>IF($C$285=0,0,CY285/$C$285*$C$284)</f>
        <v/>
      </c>
      <c r="CZ284" s="375">
        <f>IF($C$285=0,0,CZ285/$C$285*$C$284)</f>
        <v/>
      </c>
      <c r="DA284" s="375">
        <f>IF($C$285=0,0,DA285/$C$285*$C$284)</f>
        <v/>
      </c>
      <c r="DB284" s="375">
        <f>IF($C$285=0,0,DB285/$C$285*$C$284)</f>
        <v/>
      </c>
      <c r="DC284" s="375" t="n"/>
      <c r="DD284" s="375">
        <f>SUM(F284:DB284)</f>
        <v/>
      </c>
    </row>
    <row r="285" hidden="1" outlineLevel="1">
      <c r="A285" s="1139" t="inlineStr">
        <is>
          <t>Equity Partner 1</t>
        </is>
      </c>
      <c r="B285" s="1139" t="n"/>
      <c r="C285" s="1136">
        <f>IF('Project Returns'!E63="No",'Project Returns'!E69*'Project Returns'!E59,'Project Returns'!E69*'Project Returns'!E59/MAX('Project Returns'!E59,0.00001))</f>
        <v/>
      </c>
      <c r="D285" s="375">
        <f>IF(ISERROR(DD285),0,DD285)</f>
        <v/>
      </c>
      <c r="F285" s="375" t="n"/>
      <c r="G285" s="375">
        <f>MIN(G278*$C$285,G282)</f>
        <v/>
      </c>
      <c r="H285" s="375">
        <f>MIN(H278*$C$285,H282)</f>
        <v/>
      </c>
      <c r="I285" s="375">
        <f>MIN(I278*$C$285,I282)</f>
        <v/>
      </c>
      <c r="J285" s="375">
        <f>MIN(J278*$C$285,J282)</f>
        <v/>
      </c>
      <c r="K285" s="375">
        <f>MIN(K278*$C$285,K282)</f>
        <v/>
      </c>
      <c r="L285" s="375">
        <f>MIN(L278*$C$285,L282)</f>
        <v/>
      </c>
      <c r="M285" s="375">
        <f>MIN(M278*$C$285,M282)</f>
        <v/>
      </c>
      <c r="N285" s="375">
        <f>MIN(N278*$C$285,N282)</f>
        <v/>
      </c>
      <c r="O285" s="375">
        <f>MIN(O278*$C$285,O282)</f>
        <v/>
      </c>
      <c r="P285" s="375">
        <f>MIN(P278*$C$285,P282)</f>
        <v/>
      </c>
      <c r="Q285" s="375">
        <f>MIN(Q278*$C$285,Q282)</f>
        <v/>
      </c>
      <c r="R285" s="375">
        <f>MIN(R278*$C$285,R282)</f>
        <v/>
      </c>
      <c r="S285" s="375">
        <f>MIN(S278*$C$285,S282)</f>
        <v/>
      </c>
      <c r="T285" s="375">
        <f>MIN(T278*$C$285,T282)</f>
        <v/>
      </c>
      <c r="U285" s="375">
        <f>MIN(U278*$C$285,U282)</f>
        <v/>
      </c>
      <c r="V285" s="375">
        <f>MIN(V278*$C$285,V282)</f>
        <v/>
      </c>
      <c r="W285" s="375">
        <f>MIN(W278*$C$285,W282)</f>
        <v/>
      </c>
      <c r="X285" s="375">
        <f>MIN(X278*$C$285,X282)</f>
        <v/>
      </c>
      <c r="Y285" s="375">
        <f>MIN(Y278*$C$285,Y282)</f>
        <v/>
      </c>
      <c r="Z285" s="375">
        <f>MIN(Z278*$C$285,Z282)</f>
        <v/>
      </c>
      <c r="AA285" s="375">
        <f>MIN(AA278*$C$285,AA282)</f>
        <v/>
      </c>
      <c r="AB285" s="375">
        <f>MIN(AB278*$C$285,AB282)</f>
        <v/>
      </c>
      <c r="AC285" s="375">
        <f>MIN(AC278*$C$285,AC282)</f>
        <v/>
      </c>
      <c r="AD285" s="375">
        <f>MIN(AD278*$C$285,AD282)</f>
        <v/>
      </c>
      <c r="AE285" s="375">
        <f>MIN(AE278*$C$285,AE282)</f>
        <v/>
      </c>
      <c r="AF285" s="375">
        <f>MIN(AF278*$C$285,AF282)</f>
        <v/>
      </c>
      <c r="AG285" s="375">
        <f>MIN(AG278*$C$285,AG282)</f>
        <v/>
      </c>
      <c r="AH285" s="375">
        <f>MIN(AH278*$C$285,AH282)</f>
        <v/>
      </c>
      <c r="AI285" s="375">
        <f>MIN(AI278*$C$285,AI282)</f>
        <v/>
      </c>
      <c r="AJ285" s="375">
        <f>MIN(AJ278*$C$285,AJ282)</f>
        <v/>
      </c>
      <c r="AK285" s="375">
        <f>MIN(AK278*$C$285,AK282)</f>
        <v/>
      </c>
      <c r="AL285" s="375">
        <f>MIN(AL278*$C$285,AL282)</f>
        <v/>
      </c>
      <c r="AM285" s="375">
        <f>MIN(AM278*$C$285,AM282)</f>
        <v/>
      </c>
      <c r="AN285" s="375">
        <f>MIN(AN278*$C$285,AN282)</f>
        <v/>
      </c>
      <c r="AO285" s="375">
        <f>MIN(AO278*$C$285,AO282)</f>
        <v/>
      </c>
      <c r="AP285" s="375">
        <f>MIN(AP278*$C$285,AP282)</f>
        <v/>
      </c>
      <c r="AQ285" s="375">
        <f>MIN(AQ278*$C$285,AQ282)</f>
        <v/>
      </c>
      <c r="AR285" s="375">
        <f>MIN(AR278*$C$285,AR282)</f>
        <v/>
      </c>
      <c r="AS285" s="375">
        <f>MIN(AS278*$C$285,AS282)</f>
        <v/>
      </c>
      <c r="AT285" s="375">
        <f>MIN(AT278*$C$285,AT282)</f>
        <v/>
      </c>
      <c r="AU285" s="375">
        <f>MIN(AU278*$C$285,AU282)</f>
        <v/>
      </c>
      <c r="AV285" s="375">
        <f>MIN(AV278*$C$285,AV282)</f>
        <v/>
      </c>
      <c r="AW285" s="375">
        <f>MIN(AW278*$C$285,AW282)</f>
        <v/>
      </c>
      <c r="AX285" s="375">
        <f>MIN(AX278*$C$285,AX282)</f>
        <v/>
      </c>
      <c r="AY285" s="375">
        <f>MIN(AY278*$C$285,AY282)</f>
        <v/>
      </c>
      <c r="AZ285" s="375">
        <f>MIN(AZ278*$C$285,AZ282)</f>
        <v/>
      </c>
      <c r="BA285" s="375">
        <f>MIN(BA278*$C$285,BA282)</f>
        <v/>
      </c>
      <c r="BB285" s="375">
        <f>MIN(BB278*$C$285,BB282)</f>
        <v/>
      </c>
      <c r="BC285" s="375">
        <f>MIN(BC278*$C$285,BC282)</f>
        <v/>
      </c>
      <c r="BD285" s="375">
        <f>MIN(BD278*$C$285,BD282)</f>
        <v/>
      </c>
      <c r="BE285" s="375">
        <f>MIN(BE278*$C$285,BE282)</f>
        <v/>
      </c>
      <c r="BF285" s="375">
        <f>MIN(BF278*$C$285,BF282)</f>
        <v/>
      </c>
      <c r="BG285" s="375">
        <f>MIN(BG278*$C$285,BG282)</f>
        <v/>
      </c>
      <c r="BH285" s="375">
        <f>MIN(BH278*$C$285,BH282)</f>
        <v/>
      </c>
      <c r="BI285" s="375">
        <f>MIN(BI278*$C$285,BI282)</f>
        <v/>
      </c>
      <c r="BJ285" s="375">
        <f>MIN(BJ278*$C$285,BJ282)</f>
        <v/>
      </c>
      <c r="BK285" s="375">
        <f>MIN(BK278*$C$285,BK282)</f>
        <v/>
      </c>
      <c r="BL285" s="375">
        <f>MIN(BL278*$C$285,BL282)</f>
        <v/>
      </c>
      <c r="BM285" s="375">
        <f>MIN(BM278*$C$285,BM282)</f>
        <v/>
      </c>
      <c r="BN285" s="375">
        <f>MIN(BN278*$C$285,BN282)</f>
        <v/>
      </c>
      <c r="BO285" s="375">
        <f>MIN(BO278*$C$285,BO282)</f>
        <v/>
      </c>
      <c r="BP285" s="375">
        <f>MIN(BP278*$C$285,BP282)</f>
        <v/>
      </c>
      <c r="BQ285" s="375">
        <f>MIN(BQ278*$C$285,BQ282)</f>
        <v/>
      </c>
      <c r="BR285" s="375">
        <f>MIN(BR278*$C$285,BR282)</f>
        <v/>
      </c>
      <c r="BS285" s="375">
        <f>MIN(BS278*$C$285,BS282)</f>
        <v/>
      </c>
      <c r="BT285" s="375">
        <f>MIN(BT278*$C$285,BT282)</f>
        <v/>
      </c>
      <c r="BU285" s="375">
        <f>MIN(BU278*$C$285,BU282)</f>
        <v/>
      </c>
      <c r="BV285" s="375">
        <f>MIN(BV278*$C$285,BV282)</f>
        <v/>
      </c>
      <c r="BW285" s="375">
        <f>MIN(BW278*$C$285,BW282)</f>
        <v/>
      </c>
      <c r="BX285" s="375">
        <f>MIN(BX278*$C$285,BX282)</f>
        <v/>
      </c>
      <c r="BY285" s="375">
        <f>MIN(BY278*$C$285,BY282)</f>
        <v/>
      </c>
      <c r="BZ285" s="375">
        <f>MIN(BZ278*$C$285,BZ282)</f>
        <v/>
      </c>
      <c r="CA285" s="375">
        <f>MIN(CA278*$C$285,CA282)</f>
        <v/>
      </c>
      <c r="CB285" s="375">
        <f>MIN(CB278*$C$285,CB282)</f>
        <v/>
      </c>
      <c r="CC285" s="375">
        <f>MIN(CC278*$C$285,CC282)</f>
        <v/>
      </c>
      <c r="CD285" s="375">
        <f>MIN(CD278*$C$285,CD282)</f>
        <v/>
      </c>
      <c r="CE285" s="375">
        <f>MIN(CE278*$C$285,CE282)</f>
        <v/>
      </c>
      <c r="CF285" s="375">
        <f>MIN(CF278*$C$285,CF282)</f>
        <v/>
      </c>
      <c r="CG285" s="375">
        <f>MIN(CG278*$C$285,CG282)</f>
        <v/>
      </c>
      <c r="CH285" s="375">
        <f>MIN(CH278*$C$285,CH282)</f>
        <v/>
      </c>
      <c r="CI285" s="375">
        <f>MIN(CI278*$C$285,CI282)</f>
        <v/>
      </c>
      <c r="CJ285" s="375">
        <f>MIN(CJ278*$C$285,CJ282)</f>
        <v/>
      </c>
      <c r="CK285" s="375">
        <f>MIN(CK278*$C$285,CK282)</f>
        <v/>
      </c>
      <c r="CL285" s="375">
        <f>MIN(CL278*$C$285,CL282)</f>
        <v/>
      </c>
      <c r="CM285" s="375">
        <f>MIN(CM278*$C$285,CM282)</f>
        <v/>
      </c>
      <c r="CN285" s="375">
        <f>MIN(CN278*$C$285,CN282)</f>
        <v/>
      </c>
      <c r="CO285" s="375">
        <f>MIN(CO278*$C$285,CO282)</f>
        <v/>
      </c>
      <c r="CP285" s="375">
        <f>MIN(CP278*$C$285,CP282)</f>
        <v/>
      </c>
      <c r="CQ285" s="375">
        <f>MIN(CQ278*$C$285,CQ282)</f>
        <v/>
      </c>
      <c r="CR285" s="375">
        <f>MIN(CR278*$C$285,CR282)</f>
        <v/>
      </c>
      <c r="CS285" s="375">
        <f>MIN(CS278*$C$285,CS282)</f>
        <v/>
      </c>
      <c r="CT285" s="375">
        <f>MIN(CT278*$C$285,CT282)</f>
        <v/>
      </c>
      <c r="CU285" s="375">
        <f>MIN(CU278*$C$285,CU282)</f>
        <v/>
      </c>
      <c r="CV285" s="375">
        <f>MIN(CV278*$C$285,CV282)</f>
        <v/>
      </c>
      <c r="CW285" s="375">
        <f>MIN(CW278*$C$285,CW282)</f>
        <v/>
      </c>
      <c r="CX285" s="375">
        <f>MIN(CX278*$C$285,CX282)</f>
        <v/>
      </c>
      <c r="CY285" s="375">
        <f>MIN(CY278*$C$285,CY282)</f>
        <v/>
      </c>
      <c r="CZ285" s="375">
        <f>MIN(CZ278*$C$285,CZ282)</f>
        <v/>
      </c>
      <c r="DA285" s="375">
        <f>MIN(DA278*$C$285,DA282)</f>
        <v/>
      </c>
      <c r="DB285" s="375">
        <f>MIN(DB278*$C$285,DB282)</f>
        <v/>
      </c>
      <c r="DC285" s="375" t="n"/>
      <c r="DD285" s="375">
        <f>SUM(F285:DB285)</f>
        <v/>
      </c>
    </row>
    <row r="286" hidden="1" outlineLevel="1">
      <c r="A286" s="377" t="inlineStr">
        <is>
          <t xml:space="preserve">   Developer Equity</t>
        </is>
      </c>
      <c r="B286" s="377" t="n"/>
      <c r="C286" s="1136">
        <f>IF('Project Returns'!E63="No",'Project Returns'!E69*'Project Returns'!E60,'Project Returns'!E68-C284)</f>
        <v/>
      </c>
      <c r="D286" s="375">
        <f>IF(ISERROR(DD286),0,DD286)</f>
        <v/>
      </c>
      <c r="F286" s="375" t="n"/>
      <c r="G286" s="375">
        <f>IF($C$285=0,G278*$C$286,G285/$C$285*$C$286)</f>
        <v/>
      </c>
      <c r="H286" s="375">
        <f>IF($C$285=0,H278*$C$286,H285/$C$285*$C$286)</f>
        <v/>
      </c>
      <c r="I286" s="375">
        <f>IF($C$285=0,I278*$C$286,I285/$C$285*$C$286)</f>
        <v/>
      </c>
      <c r="J286" s="375">
        <f>IF($C$285=0,J278*$C$286,J285/$C$285*$C$286)</f>
        <v/>
      </c>
      <c r="K286" s="375">
        <f>IF($C$285=0,K278*$C$286,K285/$C$285*$C$286)</f>
        <v/>
      </c>
      <c r="L286" s="375">
        <f>IF($C$285=0,L278*$C$286,L285/$C$285*$C$286)</f>
        <v/>
      </c>
      <c r="M286" s="375">
        <f>IF($C$285=0,M278*$C$286,M285/$C$285*$C$286)</f>
        <v/>
      </c>
      <c r="N286" s="375">
        <f>IF($C$285=0,N278*$C$286,N285/$C$285*$C$286)</f>
        <v/>
      </c>
      <c r="O286" s="375">
        <f>IF($C$285=0,O278*$C$286,O285/$C$285*$C$286)</f>
        <v/>
      </c>
      <c r="P286" s="375">
        <f>IF($C$285=0,P278*$C$286,P285/$C$285*$C$286)</f>
        <v/>
      </c>
      <c r="Q286" s="375">
        <f>IF($C$285=0,Q278*$C$286,Q285/$C$285*$C$286)</f>
        <v/>
      </c>
      <c r="R286" s="375">
        <f>IF($C$285=0,R278*$C$286,R285/$C$285*$C$286)</f>
        <v/>
      </c>
      <c r="S286" s="375">
        <f>IF($C$285=0,S278*$C$286,S285/$C$285*$C$286)</f>
        <v/>
      </c>
      <c r="T286" s="375">
        <f>IF($C$285=0,T278*$C$286,T285/$C$285*$C$286)</f>
        <v/>
      </c>
      <c r="U286" s="375">
        <f>IF($C$285=0,U278*$C$286,U285/$C$285*$C$286)</f>
        <v/>
      </c>
      <c r="V286" s="375">
        <f>IF($C$285=0,V278*$C$286,V285/$C$285*$C$286)</f>
        <v/>
      </c>
      <c r="W286" s="375">
        <f>IF($C$285=0,W278*$C$286,W285/$C$285*$C$286)</f>
        <v/>
      </c>
      <c r="X286" s="375">
        <f>IF($C$285=0,X278*$C$286,X285/$C$285*$C$286)</f>
        <v/>
      </c>
      <c r="Y286" s="375">
        <f>IF($C$285=0,Y278*$C$286,Y285/$C$285*$C$286)</f>
        <v/>
      </c>
      <c r="Z286" s="375">
        <f>IF($C$285=0,Z278*$C$286,Z285/$C$285*$C$286)</f>
        <v/>
      </c>
      <c r="AA286" s="375">
        <f>IF($C$285=0,AA278*$C$286,AA285/$C$285*$C$286)</f>
        <v/>
      </c>
      <c r="AB286" s="375">
        <f>IF($C$285=0,AB278*$C$286,AB285/$C$285*$C$286)</f>
        <v/>
      </c>
      <c r="AC286" s="375">
        <f>IF($C$285=0,AC278*$C$286,AC285/$C$285*$C$286)</f>
        <v/>
      </c>
      <c r="AD286" s="375">
        <f>IF($C$285=0,AD278*$C$286,AD285/$C$285*$C$286)</f>
        <v/>
      </c>
      <c r="AE286" s="375">
        <f>IF($C$285=0,AE278*$C$286,AE285/$C$285*$C$286)</f>
        <v/>
      </c>
      <c r="AF286" s="375">
        <f>IF($C$285=0,AF278*$C$286,AF285/$C$285*$C$286)</f>
        <v/>
      </c>
      <c r="AG286" s="375">
        <f>IF($C$285=0,AG278*$C$286,AG285/$C$285*$C$286)</f>
        <v/>
      </c>
      <c r="AH286" s="375">
        <f>IF($C$285=0,AH278*$C$286,AH285/$C$285*$C$286)</f>
        <v/>
      </c>
      <c r="AI286" s="375">
        <f>IF($C$285=0,AI278*$C$286,AI285/$C$285*$C$286)</f>
        <v/>
      </c>
      <c r="AJ286" s="375">
        <f>IF($C$285=0,AJ278*$C$286,AJ285/$C$285*$C$286)</f>
        <v/>
      </c>
      <c r="AK286" s="375">
        <f>IF($C$285=0,AK278*$C$286,AK285/$C$285*$C$286)</f>
        <v/>
      </c>
      <c r="AL286" s="375">
        <f>IF($C$285=0,AL278*$C$286,AL285/$C$285*$C$286)</f>
        <v/>
      </c>
      <c r="AM286" s="375">
        <f>IF($C$285=0,AM278*$C$286,AM285/$C$285*$C$286)</f>
        <v/>
      </c>
      <c r="AN286" s="375">
        <f>IF($C$285=0,AN278*$C$286,AN285/$C$285*$C$286)</f>
        <v/>
      </c>
      <c r="AO286" s="375">
        <f>IF($C$285=0,AO278*$C$286,AO285/$C$285*$C$286)</f>
        <v/>
      </c>
      <c r="AP286" s="375">
        <f>IF($C$285=0,AP278*$C$286,AP285/$C$285*$C$286)</f>
        <v/>
      </c>
      <c r="AQ286" s="375">
        <f>IF($C$285=0,AQ278*$C$286,AQ285/$C$285*$C$286)</f>
        <v/>
      </c>
      <c r="AR286" s="375">
        <f>IF($C$285=0,AR278*$C$286,AR285/$C$285*$C$286)</f>
        <v/>
      </c>
      <c r="AS286" s="375">
        <f>IF($C$285=0,AS278*$C$286,AS285/$C$285*$C$286)</f>
        <v/>
      </c>
      <c r="AT286" s="375">
        <f>IF($C$285=0,AT278*$C$286,AT285/$C$285*$C$286)</f>
        <v/>
      </c>
      <c r="AU286" s="375">
        <f>IF($C$285=0,AU278*$C$286,AU285/$C$285*$C$286)</f>
        <v/>
      </c>
      <c r="AV286" s="375">
        <f>IF($C$285=0,AV278*$C$286,AV285/$C$285*$C$286)</f>
        <v/>
      </c>
      <c r="AW286" s="375">
        <f>IF($C$285=0,AW278*$C$286,AW285/$C$285*$C$286)</f>
        <v/>
      </c>
      <c r="AX286" s="375">
        <f>IF($C$285=0,AX278*$C$286,AX285/$C$285*$C$286)</f>
        <v/>
      </c>
      <c r="AY286" s="375">
        <f>IF($C$285=0,AY278*$C$286,AY285/$C$285*$C$286)</f>
        <v/>
      </c>
      <c r="AZ286" s="375">
        <f>IF($C$285=0,AZ278*$C$286,AZ285/$C$285*$C$286)</f>
        <v/>
      </c>
      <c r="BA286" s="375">
        <f>IF($C$285=0,BA278*$C$286,BA285/$C$285*$C$286)</f>
        <v/>
      </c>
      <c r="BB286" s="375">
        <f>IF($C$285=0,BB278*$C$286,BB285/$C$285*$C$286)</f>
        <v/>
      </c>
      <c r="BC286" s="375">
        <f>IF($C$285=0,BC278*$C$286,BC285/$C$285*$C$286)</f>
        <v/>
      </c>
      <c r="BD286" s="375">
        <f>IF($C$285=0,BD278*$C$286,BD285/$C$285*$C$286)</f>
        <v/>
      </c>
      <c r="BE286" s="375">
        <f>IF($C$285=0,BE278*$C$286,BE285/$C$285*$C$286)</f>
        <v/>
      </c>
      <c r="BF286" s="375">
        <f>IF($C$285=0,BF278*$C$286,BF285/$C$285*$C$286)</f>
        <v/>
      </c>
      <c r="BG286" s="375">
        <f>IF($C$285=0,BG278*$C$286,BG285/$C$285*$C$286)</f>
        <v/>
      </c>
      <c r="BH286" s="375">
        <f>IF($C$285=0,BH278*$C$286,BH285/$C$285*$C$286)</f>
        <v/>
      </c>
      <c r="BI286" s="375">
        <f>IF($C$285=0,BI278*$C$286,BI285/$C$285*$C$286)</f>
        <v/>
      </c>
      <c r="BJ286" s="375">
        <f>IF($C$285=0,BJ278*$C$286,BJ285/$C$285*$C$286)</f>
        <v/>
      </c>
      <c r="BK286" s="375">
        <f>IF($C$285=0,BK278*$C$286,BK285/$C$285*$C$286)</f>
        <v/>
      </c>
      <c r="BL286" s="375">
        <f>IF($C$285=0,BL278*$C$286,BL285/$C$285*$C$286)</f>
        <v/>
      </c>
      <c r="BM286" s="375">
        <f>IF($C$285=0,BM278*$C$286,BM285/$C$285*$C$286)</f>
        <v/>
      </c>
      <c r="BN286" s="375">
        <f>IF($C$285=0,BN278*$C$286,BN285/$C$285*$C$286)</f>
        <v/>
      </c>
      <c r="BO286" s="375">
        <f>IF($C$285=0,BO278*$C$286,BO285/$C$285*$C$286)</f>
        <v/>
      </c>
      <c r="BP286" s="375">
        <f>IF($C$285=0,BP278*$C$286,BP285/$C$285*$C$286)</f>
        <v/>
      </c>
      <c r="BQ286" s="375">
        <f>IF($C$285=0,BQ278*$C$286,BQ285/$C$285*$C$286)</f>
        <v/>
      </c>
      <c r="BR286" s="375">
        <f>IF($C$285=0,BR278*$C$286,BR285/$C$285*$C$286)</f>
        <v/>
      </c>
      <c r="BS286" s="375">
        <f>IF($C$285=0,BS278*$C$286,BS285/$C$285*$C$286)</f>
        <v/>
      </c>
      <c r="BT286" s="375">
        <f>IF($C$285=0,BT278*$C$286,BT285/$C$285*$C$286)</f>
        <v/>
      </c>
      <c r="BU286" s="375">
        <f>IF($C$285=0,BU278*$C$286,BU285/$C$285*$C$286)</f>
        <v/>
      </c>
      <c r="BV286" s="375">
        <f>IF($C$285=0,BV278*$C$286,BV285/$C$285*$C$286)</f>
        <v/>
      </c>
      <c r="BW286" s="375">
        <f>IF($C$285=0,BW278*$C$286,BW285/$C$285*$C$286)</f>
        <v/>
      </c>
      <c r="BX286" s="375">
        <f>IF($C$285=0,BX278*$C$286,BX285/$C$285*$C$286)</f>
        <v/>
      </c>
      <c r="BY286" s="375">
        <f>IF($C$285=0,BY278*$C$286,BY285/$C$285*$C$286)</f>
        <v/>
      </c>
      <c r="BZ286" s="375">
        <f>IF($C$285=0,BZ278*$C$286,BZ285/$C$285*$C$286)</f>
        <v/>
      </c>
      <c r="CA286" s="375">
        <f>IF($C$285=0,CA278*$C$286,CA285/$C$285*$C$286)</f>
        <v/>
      </c>
      <c r="CB286" s="375">
        <f>IF($C$285=0,CB278*$C$286,CB285/$C$285*$C$286)</f>
        <v/>
      </c>
      <c r="CC286" s="375">
        <f>IF($C$285=0,CC278*$C$286,CC285/$C$285*$C$286)</f>
        <v/>
      </c>
      <c r="CD286" s="375">
        <f>IF($C$285=0,CD278*$C$286,CD285/$C$285*$C$286)</f>
        <v/>
      </c>
      <c r="CE286" s="375">
        <f>IF($C$285=0,CE278*$C$286,CE285/$C$285*$C$286)</f>
        <v/>
      </c>
      <c r="CF286" s="375">
        <f>IF($C$285=0,CF278*$C$286,CF285/$C$285*$C$286)</f>
        <v/>
      </c>
      <c r="CG286" s="375">
        <f>IF($C$285=0,CG278*$C$286,CG285/$C$285*$C$286)</f>
        <v/>
      </c>
      <c r="CH286" s="375">
        <f>IF($C$285=0,CH278*$C$286,CH285/$C$285*$C$286)</f>
        <v/>
      </c>
      <c r="CI286" s="375">
        <f>IF($C$285=0,CI278*$C$286,CI285/$C$285*$C$286)</f>
        <v/>
      </c>
      <c r="CJ286" s="375">
        <f>IF($C$285=0,CJ278*$C$286,CJ285/$C$285*$C$286)</f>
        <v/>
      </c>
      <c r="CK286" s="375">
        <f>IF($C$285=0,CK278*$C$286,CK285/$C$285*$C$286)</f>
        <v/>
      </c>
      <c r="CL286" s="375">
        <f>IF($C$285=0,CL278*$C$286,CL285/$C$285*$C$286)</f>
        <v/>
      </c>
      <c r="CM286" s="375">
        <f>IF($C$285=0,CM278*$C$286,CM285/$C$285*$C$286)</f>
        <v/>
      </c>
      <c r="CN286" s="375">
        <f>IF($C$285=0,CN278*$C$286,CN285/$C$285*$C$286)</f>
        <v/>
      </c>
      <c r="CO286" s="375">
        <f>IF($C$285=0,CO278*$C$286,CO285/$C$285*$C$286)</f>
        <v/>
      </c>
      <c r="CP286" s="375">
        <f>IF($C$285=0,CP278*$C$286,CP285/$C$285*$C$286)</f>
        <v/>
      </c>
      <c r="CQ286" s="375">
        <f>IF($C$285=0,CQ278*$C$286,CQ285/$C$285*$C$286)</f>
        <v/>
      </c>
      <c r="CR286" s="375">
        <f>IF($C$285=0,CR278*$C$286,CR285/$C$285*$C$286)</f>
        <v/>
      </c>
      <c r="CS286" s="375">
        <f>IF($C$285=0,CS278*$C$286,CS285/$C$285*$C$286)</f>
        <v/>
      </c>
      <c r="CT286" s="375">
        <f>IF($C$285=0,CT278*$C$286,CT285/$C$285*$C$286)</f>
        <v/>
      </c>
      <c r="CU286" s="375">
        <f>IF($C$285=0,CU278*$C$286,CU285/$C$285*$C$286)</f>
        <v/>
      </c>
      <c r="CV286" s="375">
        <f>IF($C$285=0,CV278*$C$286,CV285/$C$285*$C$286)</f>
        <v/>
      </c>
      <c r="CW286" s="375">
        <f>IF($C$285=0,CW278*$C$286,CW285/$C$285*$C$286)</f>
        <v/>
      </c>
      <c r="CX286" s="375">
        <f>IF($C$285=0,CX278*$C$286,CX285/$C$285*$C$286)</f>
        <v/>
      </c>
      <c r="CY286" s="375">
        <f>IF($C$285=0,CY278*$C$286,CY285/$C$285*$C$286)</f>
        <v/>
      </c>
      <c r="CZ286" s="375">
        <f>IF($C$285=0,CZ278*$C$286,CZ285/$C$285*$C$286)</f>
        <v/>
      </c>
      <c r="DA286" s="375">
        <f>IF($C$285=0,DA278*$C$286,DA285/$C$285*$C$286)</f>
        <v/>
      </c>
      <c r="DB286" s="375">
        <f>IF($C$285=0,DB278*$C$286,DB285/$C$285*$C$286)</f>
        <v/>
      </c>
      <c r="DC286" s="375" t="n"/>
      <c r="DD286" s="375">
        <f>SUM(F286:DB286)</f>
        <v/>
      </c>
    </row>
    <row r="287" hidden="1" outlineLevel="1">
      <c r="A287" s="1140" t="inlineStr">
        <is>
          <t>Equity Partner 1</t>
        </is>
      </c>
      <c r="B287" s="1140" t="n"/>
      <c r="C287" s="1136" t="n"/>
      <c r="D287" s="375" t="n"/>
      <c r="F287" s="375" t="n"/>
      <c r="G287" s="375" t="n"/>
      <c r="H287" s="375" t="n"/>
      <c r="I287" s="375" t="n"/>
      <c r="J287" s="375" t="n"/>
      <c r="K287" s="375" t="n"/>
      <c r="L287" s="375" t="n"/>
      <c r="M287" s="375" t="n"/>
      <c r="N287" s="375" t="n"/>
      <c r="O287" s="375" t="n"/>
      <c r="P287" s="375" t="n"/>
      <c r="Q287" s="375" t="n"/>
      <c r="R287" s="375" t="n"/>
      <c r="S287" s="375" t="n"/>
      <c r="T287" s="375" t="n"/>
      <c r="U287" s="375" t="n"/>
      <c r="V287" s="375" t="n"/>
      <c r="W287" s="375" t="n"/>
      <c r="X287" s="375" t="n"/>
      <c r="Y287" s="375" t="n"/>
      <c r="Z287" s="375" t="n"/>
      <c r="AA287" s="375" t="n"/>
      <c r="AB287" s="375" t="n"/>
      <c r="AC287" s="375" t="n"/>
      <c r="AD287" s="375" t="n"/>
      <c r="AE287" s="375" t="n"/>
      <c r="AF287" s="375" t="n"/>
      <c r="AG287" s="375" t="n"/>
      <c r="AH287" s="375" t="n"/>
      <c r="AI287" s="375" t="n"/>
      <c r="AJ287" s="375" t="n"/>
      <c r="AK287" s="375" t="n"/>
      <c r="AL287" s="375" t="n"/>
      <c r="AM287" s="375" t="n"/>
      <c r="AN287" s="375" t="n"/>
      <c r="AO287" s="375" t="n"/>
      <c r="AP287" s="375" t="n"/>
      <c r="AQ287" s="375" t="n"/>
      <c r="AR287" s="375" t="n"/>
      <c r="AS287" s="375" t="n"/>
      <c r="AT287" s="375" t="n"/>
      <c r="AU287" s="375" t="n"/>
      <c r="AV287" s="375" t="n"/>
      <c r="AW287" s="375" t="n"/>
      <c r="AX287" s="375" t="n"/>
      <c r="AY287" s="375" t="n"/>
      <c r="AZ287" s="375" t="n"/>
      <c r="BA287" s="375" t="n"/>
      <c r="BB287" s="375" t="n"/>
      <c r="BC287" s="375" t="n"/>
      <c r="BD287" s="375" t="n"/>
      <c r="BE287" s="375" t="n"/>
      <c r="BF287" s="375" t="n"/>
      <c r="BG287" s="375" t="n"/>
      <c r="BH287" s="375" t="n"/>
      <c r="BI287" s="375" t="n"/>
      <c r="BJ287" s="375" t="n"/>
      <c r="BK287" s="375" t="n"/>
      <c r="BL287" s="375" t="n"/>
      <c r="BM287" s="375" t="n"/>
      <c r="BN287" s="375" t="n"/>
      <c r="BO287" s="375" t="n"/>
      <c r="BP287" s="375" t="n"/>
      <c r="BQ287" s="375" t="n"/>
      <c r="BR287" s="375" t="n"/>
      <c r="BS287" s="375" t="n"/>
      <c r="BT287" s="375" t="n"/>
      <c r="BU287" s="375" t="n"/>
      <c r="BV287" s="375" t="n"/>
      <c r="BW287" s="375" t="n"/>
      <c r="BX287" s="375" t="n"/>
      <c r="BY287" s="375" t="n"/>
      <c r="BZ287" s="375" t="n"/>
      <c r="CA287" s="375" t="n"/>
      <c r="CB287" s="375" t="n"/>
      <c r="CC287" s="375" t="n"/>
      <c r="CD287" s="375" t="n"/>
      <c r="CE287" s="375" t="n"/>
      <c r="CF287" s="375" t="n"/>
      <c r="CG287" s="375" t="n"/>
      <c r="CH287" s="375" t="n"/>
      <c r="CI287" s="375" t="n"/>
      <c r="CJ287" s="375" t="n"/>
      <c r="CK287" s="375" t="n"/>
      <c r="CL287" s="375" t="n"/>
      <c r="CM287" s="375" t="n"/>
      <c r="CN287" s="375" t="n"/>
      <c r="CO287" s="375" t="n"/>
      <c r="CP287" s="375" t="n"/>
      <c r="CQ287" s="375" t="n"/>
      <c r="CR287" s="375" t="n"/>
      <c r="CS287" s="375" t="n"/>
      <c r="CT287" s="375" t="n"/>
      <c r="CU287" s="375" t="n"/>
      <c r="CV287" s="375" t="n"/>
      <c r="CW287" s="375" t="n"/>
      <c r="CX287" s="375" t="n"/>
      <c r="CY287" s="375" t="n"/>
      <c r="CZ287" s="375" t="n"/>
      <c r="DA287" s="375" t="n"/>
      <c r="DB287" s="375" t="n"/>
      <c r="DC287" s="375" t="n"/>
      <c r="DD287" s="375" t="n"/>
    </row>
    <row r="288" hidden="1" outlineLevel="1">
      <c r="A288" s="377" t="inlineStr">
        <is>
          <t xml:space="preserve">   Equity Cash Flow thru Level 2</t>
        </is>
      </c>
      <c r="B288" s="377" t="n"/>
      <c r="C288" s="1136" t="n"/>
      <c r="D288" s="375">
        <f>IF(ISERROR(DD288),0,DD288)</f>
        <v/>
      </c>
      <c r="F288" s="375">
        <f>F280+F281+F285</f>
        <v/>
      </c>
      <c r="G288" s="375">
        <f>G280+G281+G285</f>
        <v/>
      </c>
      <c r="H288" s="375">
        <f>H280+H281+H285</f>
        <v/>
      </c>
      <c r="I288" s="375">
        <f>I280+I281+I285</f>
        <v/>
      </c>
      <c r="J288" s="375">
        <f>J280+J281+J285</f>
        <v/>
      </c>
      <c r="K288" s="375">
        <f>K280+K281+K285</f>
        <v/>
      </c>
      <c r="L288" s="375">
        <f>L280+L281+L285</f>
        <v/>
      </c>
      <c r="M288" s="375">
        <f>M280+M281+M285</f>
        <v/>
      </c>
      <c r="N288" s="375">
        <f>N280+N281+N285</f>
        <v/>
      </c>
      <c r="O288" s="375">
        <f>O280+O281+O285</f>
        <v/>
      </c>
      <c r="P288" s="375">
        <f>P280+P281+P285</f>
        <v/>
      </c>
      <c r="Q288" s="375">
        <f>Q280+Q281+Q285</f>
        <v/>
      </c>
      <c r="R288" s="375">
        <f>R280+R281+R285</f>
        <v/>
      </c>
      <c r="S288" s="375">
        <f>S280+S281+S285</f>
        <v/>
      </c>
      <c r="T288" s="375">
        <f>T280+T281+T285</f>
        <v/>
      </c>
      <c r="U288" s="375">
        <f>U280+U281+U285</f>
        <v/>
      </c>
      <c r="V288" s="375">
        <f>V280+V281+V285</f>
        <v/>
      </c>
      <c r="W288" s="375">
        <f>W280+W281+W285</f>
        <v/>
      </c>
      <c r="X288" s="375">
        <f>X280+X281+X285</f>
        <v/>
      </c>
      <c r="Y288" s="375">
        <f>Y280+Y281+Y285</f>
        <v/>
      </c>
      <c r="Z288" s="375">
        <f>Z280+Z281+Z285</f>
        <v/>
      </c>
      <c r="AA288" s="375">
        <f>AA280+AA281+AA285</f>
        <v/>
      </c>
      <c r="AB288" s="375">
        <f>AB280+AB281+AB285</f>
        <v/>
      </c>
      <c r="AC288" s="375">
        <f>AC280+AC281+AC285</f>
        <v/>
      </c>
      <c r="AD288" s="375">
        <f>AD280+AD281+AD285</f>
        <v/>
      </c>
      <c r="AE288" s="375">
        <f>AE280+AE281+AE285</f>
        <v/>
      </c>
      <c r="AF288" s="375">
        <f>AF280+AF281+AF285</f>
        <v/>
      </c>
      <c r="AG288" s="375">
        <f>AG280+AG281+AG285</f>
        <v/>
      </c>
      <c r="AH288" s="375">
        <f>AH280+AH281+AH285</f>
        <v/>
      </c>
      <c r="AI288" s="375">
        <f>AI280+AI281+AI285</f>
        <v/>
      </c>
      <c r="AJ288" s="375">
        <f>AJ280+AJ281+AJ285</f>
        <v/>
      </c>
      <c r="AK288" s="375">
        <f>AK280+AK281+AK285</f>
        <v/>
      </c>
      <c r="AL288" s="375">
        <f>AL280+AL281+AL285</f>
        <v/>
      </c>
      <c r="AM288" s="375">
        <f>AM280+AM281+AM285</f>
        <v/>
      </c>
      <c r="AN288" s="375">
        <f>AN280+AN281+AN285</f>
        <v/>
      </c>
      <c r="AO288" s="375">
        <f>AO280+AO281+AO285</f>
        <v/>
      </c>
      <c r="AP288" s="375">
        <f>AP280+AP281+AP285</f>
        <v/>
      </c>
      <c r="AQ288" s="375">
        <f>AQ280+AQ281+AQ285</f>
        <v/>
      </c>
      <c r="AR288" s="375">
        <f>AR280+AR281+AR285</f>
        <v/>
      </c>
      <c r="AS288" s="375">
        <f>AS280+AS281+AS285</f>
        <v/>
      </c>
      <c r="AT288" s="375">
        <f>AT280+AT281+AT285</f>
        <v/>
      </c>
      <c r="AU288" s="375">
        <f>AU280+AU281+AU285</f>
        <v/>
      </c>
      <c r="AV288" s="375">
        <f>AV280+AV281+AV285</f>
        <v/>
      </c>
      <c r="AW288" s="375">
        <f>AW280+AW281+AW285</f>
        <v/>
      </c>
      <c r="AX288" s="375">
        <f>AX280+AX281+AX285</f>
        <v/>
      </c>
      <c r="AY288" s="375">
        <f>AY280+AY281+AY285</f>
        <v/>
      </c>
      <c r="AZ288" s="375">
        <f>AZ280+AZ281+AZ285</f>
        <v/>
      </c>
      <c r="BA288" s="375">
        <f>BA280+BA281+BA285</f>
        <v/>
      </c>
      <c r="BB288" s="375">
        <f>BB280+BB281+BB285</f>
        <v/>
      </c>
      <c r="BC288" s="375">
        <f>BC280+BC281+BC285</f>
        <v/>
      </c>
      <c r="BD288" s="375">
        <f>BD280+BD281+BD285</f>
        <v/>
      </c>
      <c r="BE288" s="375">
        <f>BE280+BE281+BE285</f>
        <v/>
      </c>
      <c r="BF288" s="375">
        <f>BF280+BF281+BF285</f>
        <v/>
      </c>
      <c r="BG288" s="375">
        <f>BG280+BG281+BG285</f>
        <v/>
      </c>
      <c r="BH288" s="375">
        <f>BH280+BH281+BH285</f>
        <v/>
      </c>
      <c r="BI288" s="375">
        <f>BI280+BI281+BI285</f>
        <v/>
      </c>
      <c r="BJ288" s="375">
        <f>BJ280+BJ281+BJ285</f>
        <v/>
      </c>
      <c r="BK288" s="375">
        <f>BK280+BK281+BK285</f>
        <v/>
      </c>
      <c r="BL288" s="375">
        <f>BL280+BL281+BL285</f>
        <v/>
      </c>
      <c r="BM288" s="375">
        <f>BM280+BM281+BM285</f>
        <v/>
      </c>
      <c r="BN288" s="375">
        <f>BN280+BN281+BN285</f>
        <v/>
      </c>
      <c r="BO288" s="375">
        <f>BO280+BO281+BO285</f>
        <v/>
      </c>
      <c r="BP288" s="375">
        <f>BP280+BP281+BP285</f>
        <v/>
      </c>
      <c r="BQ288" s="375">
        <f>BQ280+BQ281+BQ285</f>
        <v/>
      </c>
      <c r="BR288" s="375">
        <f>BR280+BR281+BR285</f>
        <v/>
      </c>
      <c r="BS288" s="375">
        <f>BS280+BS281+BS285</f>
        <v/>
      </c>
      <c r="BT288" s="375">
        <f>BT280+BT281+BT285</f>
        <v/>
      </c>
      <c r="BU288" s="375">
        <f>BU280+BU281+BU285</f>
        <v/>
      </c>
      <c r="BV288" s="375">
        <f>BV280+BV281+BV285</f>
        <v/>
      </c>
      <c r="BW288" s="375">
        <f>BW280+BW281+BW285</f>
        <v/>
      </c>
      <c r="BX288" s="375">
        <f>BX280+BX281+BX285</f>
        <v/>
      </c>
      <c r="BY288" s="375">
        <f>BY280+BY281+BY285</f>
        <v/>
      </c>
      <c r="BZ288" s="375">
        <f>BZ280+BZ281+BZ285</f>
        <v/>
      </c>
      <c r="CA288" s="375">
        <f>CA280+CA281+CA285</f>
        <v/>
      </c>
      <c r="CB288" s="375">
        <f>CB280+CB281+CB285</f>
        <v/>
      </c>
      <c r="CC288" s="375">
        <f>CC280+CC281+CC285</f>
        <v/>
      </c>
      <c r="CD288" s="375">
        <f>CD280+CD281+CD285</f>
        <v/>
      </c>
      <c r="CE288" s="375">
        <f>CE280+CE281+CE285</f>
        <v/>
      </c>
      <c r="CF288" s="375">
        <f>CF280+CF281+CF285</f>
        <v/>
      </c>
      <c r="CG288" s="375">
        <f>CG280+CG281+CG285</f>
        <v/>
      </c>
      <c r="CH288" s="375">
        <f>CH280+CH281+CH285</f>
        <v/>
      </c>
      <c r="CI288" s="375">
        <f>CI280+CI281+CI285</f>
        <v/>
      </c>
      <c r="CJ288" s="375">
        <f>CJ280+CJ281+CJ285</f>
        <v/>
      </c>
      <c r="CK288" s="375">
        <f>CK280+CK281+CK285</f>
        <v/>
      </c>
      <c r="CL288" s="375">
        <f>CL280+CL281+CL285</f>
        <v/>
      </c>
      <c r="CM288" s="375">
        <f>CM280+CM281+CM285</f>
        <v/>
      </c>
      <c r="CN288" s="375">
        <f>CN280+CN281+CN285</f>
        <v/>
      </c>
      <c r="CO288" s="375">
        <f>CO280+CO281+CO285</f>
        <v/>
      </c>
      <c r="CP288" s="375">
        <f>CP280+CP281+CP285</f>
        <v/>
      </c>
      <c r="CQ288" s="375">
        <f>CQ280+CQ281+CQ285</f>
        <v/>
      </c>
      <c r="CR288" s="375">
        <f>CR280+CR281+CR285</f>
        <v/>
      </c>
      <c r="CS288" s="375">
        <f>CS280+CS281+CS285</f>
        <v/>
      </c>
      <c r="CT288" s="375">
        <f>CT280+CT281+CT285</f>
        <v/>
      </c>
      <c r="CU288" s="375">
        <f>CU280+CU281+CU285</f>
        <v/>
      </c>
      <c r="CV288" s="375">
        <f>CV280+CV281+CV285</f>
        <v/>
      </c>
      <c r="CW288" s="375">
        <f>CW280+CW281+CW285</f>
        <v/>
      </c>
      <c r="CX288" s="375">
        <f>CX280+CX281+CX285</f>
        <v/>
      </c>
      <c r="CY288" s="375">
        <f>CY280+CY281+CY285</f>
        <v/>
      </c>
      <c r="CZ288" s="375">
        <f>CZ280+CZ281+CZ285</f>
        <v/>
      </c>
      <c r="DA288" s="375">
        <f>DA280+DA281+DA285</f>
        <v/>
      </c>
      <c r="DB288" s="375">
        <f>DB280+DB281+DB285</f>
        <v/>
      </c>
      <c r="DC288" s="375" t="n"/>
      <c r="DD288" s="375">
        <f>SUM(F288:DB288)</f>
        <v/>
      </c>
    </row>
    <row r="289" hidden="1" outlineLevel="1" customFormat="1" s="314">
      <c r="A289" s="901" t="inlineStr">
        <is>
          <t xml:space="preserve">   Equity IRR thru Level 2 - confirm</t>
        </is>
      </c>
      <c r="B289" s="901" t="n"/>
      <c r="C289" s="1138">
        <f>(1+IRR(F288:DB288,0.001))^12-1</f>
        <v/>
      </c>
      <c r="D289" s="901" t="n"/>
      <c r="E289" s="905" t="n"/>
      <c r="F289" s="906" t="n"/>
      <c r="G289" s="906" t="n"/>
      <c r="H289" s="906" t="n"/>
      <c r="I289" s="906" t="n"/>
      <c r="J289" s="906" t="n"/>
      <c r="K289" s="906" t="n"/>
      <c r="L289" s="906" t="n"/>
      <c r="M289" s="906" t="n"/>
      <c r="N289" s="906" t="n"/>
      <c r="O289" s="906" t="n"/>
      <c r="P289" s="906" t="n"/>
      <c r="Q289" s="906" t="n"/>
      <c r="R289" s="906" t="n"/>
      <c r="S289" s="906" t="n"/>
      <c r="T289" s="906" t="n"/>
      <c r="U289" s="906" t="n"/>
      <c r="V289" s="906" t="n"/>
      <c r="W289" s="906" t="n"/>
      <c r="X289" s="906" t="n"/>
      <c r="Y289" s="906" t="n"/>
      <c r="Z289" s="906" t="n"/>
      <c r="AA289" s="906" t="n"/>
      <c r="AB289" s="906" t="n"/>
      <c r="AC289" s="906" t="n"/>
      <c r="AD289" s="906" t="n"/>
      <c r="AE289" s="906" t="n"/>
      <c r="AF289" s="906" t="n"/>
      <c r="AG289" s="906" t="n"/>
      <c r="AH289" s="906" t="n"/>
      <c r="AI289" s="906" t="n"/>
      <c r="AJ289" s="906" t="n"/>
      <c r="AK289" s="906" t="n"/>
      <c r="AL289" s="906" t="n"/>
      <c r="AM289" s="906" t="n"/>
      <c r="AN289" s="906" t="n"/>
      <c r="AO289" s="906" t="n"/>
      <c r="AP289" s="906" t="n"/>
      <c r="AQ289" s="906" t="n"/>
      <c r="AR289" s="906" t="n"/>
      <c r="AS289" s="906" t="n"/>
      <c r="AT289" s="906" t="n"/>
      <c r="AU289" s="906" t="n"/>
      <c r="AV289" s="906" t="n"/>
      <c r="AW289" s="906" t="n"/>
      <c r="AX289" s="906" t="n"/>
      <c r="AY289" s="906" t="n"/>
      <c r="AZ289" s="906" t="n"/>
      <c r="BA289" s="906" t="n"/>
      <c r="BB289" s="906" t="n"/>
      <c r="BC289" s="906" t="n"/>
      <c r="BD289" s="906" t="n"/>
      <c r="BE289" s="906" t="n"/>
      <c r="BF289" s="906" t="n"/>
      <c r="BG289" s="906" t="n"/>
      <c r="BH289" s="906" t="n"/>
      <c r="BI289" s="906" t="n"/>
      <c r="BJ289" s="906" t="n"/>
      <c r="BK289" s="906" t="n"/>
      <c r="BL289" s="906" t="n"/>
      <c r="BM289" s="906" t="n"/>
      <c r="BN289" s="906" t="n"/>
      <c r="BO289" s="906" t="n"/>
      <c r="BP289" s="906" t="n"/>
      <c r="BQ289" s="906" t="n"/>
      <c r="BR289" s="906" t="n"/>
      <c r="BS289" s="906" t="n"/>
      <c r="BT289" s="906" t="n"/>
      <c r="BU289" s="906" t="n"/>
      <c r="BV289" s="906" t="n"/>
      <c r="BW289" s="906" t="n"/>
      <c r="BX289" s="906" t="n"/>
      <c r="BY289" s="906" t="n"/>
      <c r="BZ289" s="906" t="n"/>
      <c r="CA289" s="906" t="n"/>
      <c r="CB289" s="906" t="n"/>
      <c r="CC289" s="906" t="n"/>
      <c r="CD289" s="906" t="n"/>
      <c r="CE289" s="906" t="n"/>
      <c r="CF289" s="906" t="n"/>
      <c r="CG289" s="906" t="n"/>
      <c r="CH289" s="906" t="n"/>
      <c r="CI289" s="906" t="n"/>
      <c r="CJ289" s="906" t="n"/>
      <c r="CK289" s="906" t="n"/>
      <c r="CL289" s="906" t="n"/>
      <c r="CM289" s="906" t="n"/>
      <c r="CN289" s="906" t="n"/>
      <c r="CO289" s="906" t="n"/>
      <c r="CP289" s="906" t="n"/>
      <c r="CQ289" s="906" t="n"/>
      <c r="CR289" s="906" t="n"/>
      <c r="CS289" s="906" t="n"/>
      <c r="CT289" s="906" t="n"/>
      <c r="CU289" s="906" t="n"/>
      <c r="CV289" s="906" t="n"/>
      <c r="CW289" s="906" t="n"/>
      <c r="CX289" s="906" t="n"/>
      <c r="CY289" s="906" t="n"/>
      <c r="CZ289" s="906" t="n"/>
      <c r="DA289" s="906" t="n"/>
      <c r="DB289" s="906" t="n"/>
      <c r="DC289" s="906" t="n"/>
      <c r="DD289" s="906" t="n"/>
    </row>
    <row r="290" hidden="1" outlineLevel="1" customFormat="1" s="379">
      <c r="A290" s="732" t="n"/>
      <c r="B290" s="732" t="n"/>
      <c r="C290" s="1141" t="n"/>
      <c r="D290" s="732" t="n"/>
      <c r="E290" s="734" t="n"/>
      <c r="F290" s="735" t="n"/>
      <c r="G290" s="735" t="n"/>
      <c r="H290" s="735" t="n"/>
      <c r="I290" s="735" t="n"/>
      <c r="J290" s="735" t="n"/>
      <c r="K290" s="735" t="n"/>
      <c r="L290" s="735" t="n"/>
      <c r="M290" s="735" t="n"/>
      <c r="N290" s="735" t="n"/>
      <c r="O290" s="735" t="n"/>
      <c r="P290" s="735" t="n"/>
      <c r="Q290" s="735" t="n"/>
      <c r="R290" s="735" t="n"/>
      <c r="S290" s="735" t="n"/>
      <c r="T290" s="735" t="n"/>
      <c r="U290" s="735" t="n"/>
      <c r="V290" s="735" t="n"/>
      <c r="W290" s="735" t="n"/>
      <c r="X290" s="735" t="n"/>
      <c r="Y290" s="735" t="n"/>
      <c r="Z290" s="735" t="n"/>
      <c r="AA290" s="735" t="n"/>
      <c r="AB290" s="735" t="n"/>
      <c r="AC290" s="735" t="n"/>
      <c r="AD290" s="735" t="n"/>
      <c r="AE290" s="735" t="n"/>
      <c r="AF290" s="735" t="n"/>
      <c r="AG290" s="735" t="n"/>
      <c r="AH290" s="735" t="n"/>
      <c r="AI290" s="735" t="n"/>
      <c r="AJ290" s="735" t="n"/>
      <c r="AK290" s="735" t="n"/>
      <c r="AL290" s="735" t="n"/>
      <c r="AM290" s="735" t="n"/>
      <c r="AN290" s="735" t="n"/>
      <c r="AO290" s="735" t="n"/>
      <c r="AP290" s="735" t="n"/>
      <c r="AQ290" s="735" t="n"/>
      <c r="AR290" s="735" t="n"/>
      <c r="AS290" s="735" t="n"/>
      <c r="AT290" s="735" t="n"/>
      <c r="AU290" s="735" t="n"/>
      <c r="AV290" s="735" t="n"/>
      <c r="AW290" s="735" t="n"/>
      <c r="AX290" s="735" t="n"/>
      <c r="AY290" s="735" t="n"/>
      <c r="AZ290" s="735" t="n"/>
      <c r="BA290" s="735" t="n"/>
      <c r="BB290" s="735" t="n"/>
      <c r="BC290" s="735" t="n"/>
      <c r="BD290" s="735" t="n"/>
      <c r="BE290" s="735" t="n"/>
      <c r="BF290" s="735" t="n"/>
      <c r="BG290" s="735" t="n"/>
      <c r="BH290" s="735" t="n"/>
      <c r="BI290" s="735" t="n"/>
      <c r="BJ290" s="735" t="n"/>
      <c r="BK290" s="735" t="n"/>
      <c r="BL290" s="735" t="n"/>
      <c r="BM290" s="735" t="n"/>
      <c r="BN290" s="735" t="n"/>
      <c r="BO290" s="735" t="n"/>
      <c r="BP290" s="735" t="n"/>
      <c r="BQ290" s="735" t="n"/>
      <c r="BR290" s="735" t="n"/>
      <c r="BS290" s="735" t="n"/>
      <c r="BT290" s="735" t="n"/>
      <c r="BU290" s="735" t="n"/>
      <c r="BV290" s="735" t="n"/>
      <c r="BW290" s="735" t="n"/>
      <c r="BX290" s="735" t="n"/>
      <c r="BY290" s="735" t="n"/>
      <c r="BZ290" s="735" t="n"/>
      <c r="CA290" s="735" t="n"/>
      <c r="CB290" s="735" t="n"/>
      <c r="CC290" s="735" t="n"/>
      <c r="CD290" s="735" t="n"/>
      <c r="CE290" s="735" t="n"/>
      <c r="CF290" s="735" t="n"/>
      <c r="CG290" s="735" t="n"/>
      <c r="CH290" s="735" t="n"/>
      <c r="CI290" s="735" t="n"/>
      <c r="CJ290" s="735" t="n"/>
      <c r="CK290" s="735" t="n"/>
      <c r="CL290" s="735" t="n"/>
      <c r="CM290" s="735" t="n"/>
      <c r="CN290" s="735" t="n"/>
      <c r="CO290" s="735" t="n"/>
      <c r="CP290" s="735" t="n"/>
      <c r="CQ290" s="735" t="n"/>
      <c r="CR290" s="735" t="n"/>
      <c r="CS290" s="735" t="n"/>
      <c r="CT290" s="735" t="n"/>
      <c r="CU290" s="735" t="n"/>
      <c r="CV290" s="735" t="n"/>
      <c r="CW290" s="735" t="n"/>
      <c r="CX290" s="735" t="n"/>
      <c r="CY290" s="735" t="n"/>
      <c r="CZ290" s="735" t="n"/>
      <c r="DA290" s="735" t="n"/>
      <c r="DB290" s="735" t="n"/>
      <c r="DC290" s="735" t="n"/>
      <c r="DD290" s="735" t="n"/>
    </row>
    <row r="291" hidden="1" outlineLevel="1">
      <c r="A291" s="367" t="inlineStr">
        <is>
          <t>Level 3 Return Calculations</t>
        </is>
      </c>
      <c r="B291" s="367" t="n"/>
      <c r="C291" s="1136" t="n"/>
      <c r="D291" s="376" t="n"/>
    </row>
    <row r="292" hidden="1" outlineLevel="1">
      <c r="A292" s="377" t="inlineStr">
        <is>
          <t>CF Available after Level 2</t>
        </is>
      </c>
      <c r="B292" s="377" t="n"/>
      <c r="C292" s="1136" t="n"/>
      <c r="D292" s="376" t="n"/>
      <c r="F292" s="375">
        <f>F278-F284-F285-F286</f>
        <v/>
      </c>
      <c r="G292" s="375">
        <f>G278-G284-G285-G286</f>
        <v/>
      </c>
      <c r="H292" s="375">
        <f>H278-H284-H285-H286</f>
        <v/>
      </c>
      <c r="I292" s="375">
        <f>I278-I284-I285-I286</f>
        <v/>
      </c>
      <c r="J292" s="375">
        <f>J278-J284-J285-J286</f>
        <v/>
      </c>
      <c r="K292" s="375">
        <f>K278-K284-K285-K286</f>
        <v/>
      </c>
      <c r="L292" s="375">
        <f>L278-L284-L285-L286</f>
        <v/>
      </c>
      <c r="M292" s="375">
        <f>M278-M284-M285-M286</f>
        <v/>
      </c>
      <c r="N292" s="375">
        <f>N278-N284-N285-N286</f>
        <v/>
      </c>
      <c r="O292" s="375">
        <f>O278-O284-O285-O286</f>
        <v/>
      </c>
      <c r="P292" s="375">
        <f>P278-P284-P285-P286</f>
        <v/>
      </c>
      <c r="Q292" s="375">
        <f>Q278-Q284-Q285-Q286</f>
        <v/>
      </c>
      <c r="R292" s="375">
        <f>R278-R284-R285-R286</f>
        <v/>
      </c>
      <c r="S292" s="375">
        <f>S278-S284-S285-S286</f>
        <v/>
      </c>
      <c r="T292" s="375">
        <f>T278-T284-T285-T286</f>
        <v/>
      </c>
      <c r="U292" s="375">
        <f>U278-U284-U285-U286</f>
        <v/>
      </c>
      <c r="V292" s="375">
        <f>V278-V284-V285-V286</f>
        <v/>
      </c>
      <c r="W292" s="375">
        <f>W278-W284-W285-W286</f>
        <v/>
      </c>
      <c r="X292" s="375">
        <f>X278-X284-X285-X286</f>
        <v/>
      </c>
      <c r="Y292" s="375">
        <f>Y278-Y284-Y285-Y286</f>
        <v/>
      </c>
      <c r="Z292" s="375">
        <f>Z278-Z284-Z285-Z286</f>
        <v/>
      </c>
      <c r="AA292" s="375">
        <f>AA278-AA284-AA285-AA286</f>
        <v/>
      </c>
      <c r="AB292" s="375">
        <f>AB278-AB284-AB285-AB286</f>
        <v/>
      </c>
      <c r="AC292" s="375">
        <f>AC278-AC284-AC285-AC286</f>
        <v/>
      </c>
      <c r="AD292" s="375">
        <f>AD278-AD284-AD285-AD286</f>
        <v/>
      </c>
      <c r="AE292" s="375">
        <f>AE278-AE284-AE285-AE286</f>
        <v/>
      </c>
      <c r="AF292" s="375">
        <f>AF278-AF284-AF285-AF286</f>
        <v/>
      </c>
      <c r="AG292" s="375">
        <f>AG278-AG284-AG285-AG286</f>
        <v/>
      </c>
      <c r="AH292" s="375">
        <f>AH278-AH284-AH285-AH286</f>
        <v/>
      </c>
      <c r="AI292" s="375">
        <f>AI278-AI284-AI285-AI286</f>
        <v/>
      </c>
      <c r="AJ292" s="375">
        <f>AJ278-AJ284-AJ285-AJ286</f>
        <v/>
      </c>
      <c r="AK292" s="375">
        <f>AK278-AK284-AK285-AK286</f>
        <v/>
      </c>
      <c r="AL292" s="375">
        <f>AL278-AL284-AL285-AL286</f>
        <v/>
      </c>
      <c r="AM292" s="375">
        <f>AM278-AM284-AM285-AM286</f>
        <v/>
      </c>
      <c r="AN292" s="375">
        <f>AN278-AN284-AN285-AN286</f>
        <v/>
      </c>
      <c r="AO292" s="375">
        <f>AO278-AO284-AO285-AO286</f>
        <v/>
      </c>
      <c r="AP292" s="375">
        <f>AP278-AP284-AP285-AP286</f>
        <v/>
      </c>
      <c r="AQ292" s="375">
        <f>AQ278-AQ284-AQ285-AQ286</f>
        <v/>
      </c>
      <c r="AR292" s="375">
        <f>AR278-AR284-AR285-AR286</f>
        <v/>
      </c>
      <c r="AS292" s="375">
        <f>AS278-AS284-AS285-AS286</f>
        <v/>
      </c>
      <c r="AT292" s="375">
        <f>AT278-AT284-AT285-AT286</f>
        <v/>
      </c>
      <c r="AU292" s="375">
        <f>AU278-AU284-AU285-AU286</f>
        <v/>
      </c>
      <c r="AV292" s="375">
        <f>AV278-AV284-AV285-AV286</f>
        <v/>
      </c>
      <c r="AW292" s="375">
        <f>AW278-AW284-AW285-AW286</f>
        <v/>
      </c>
      <c r="AX292" s="375">
        <f>AX278-AX284-AX285-AX286</f>
        <v/>
      </c>
      <c r="AY292" s="375">
        <f>AY278-AY284-AY285-AY286</f>
        <v/>
      </c>
      <c r="AZ292" s="375">
        <f>AZ278-AZ284-AZ285-AZ286</f>
        <v/>
      </c>
      <c r="BA292" s="375">
        <f>BA278-BA284-BA285-BA286</f>
        <v/>
      </c>
      <c r="BB292" s="375">
        <f>BB278-BB284-BB285-BB286</f>
        <v/>
      </c>
      <c r="BC292" s="375">
        <f>BC278-BC284-BC285-BC286</f>
        <v/>
      </c>
      <c r="BD292" s="375">
        <f>BD278-BD284-BD285-BD286</f>
        <v/>
      </c>
      <c r="BE292" s="375">
        <f>BE278-BE284-BE285-BE286</f>
        <v/>
      </c>
      <c r="BF292" s="375">
        <f>BF278-BF284-BF285-BF286</f>
        <v/>
      </c>
      <c r="BG292" s="375">
        <f>BG278-BG284-BG285-BG286</f>
        <v/>
      </c>
      <c r="BH292" s="375">
        <f>BH278-BH284-BH285-BH286</f>
        <v/>
      </c>
      <c r="BI292" s="375">
        <f>BI278-BI284-BI285-BI286</f>
        <v/>
      </c>
      <c r="BJ292" s="375">
        <f>BJ278-BJ284-BJ285-BJ286</f>
        <v/>
      </c>
      <c r="BK292" s="375">
        <f>BK278-BK284-BK285-BK286</f>
        <v/>
      </c>
      <c r="BL292" s="375">
        <f>BL278-BL284-BL285-BL286</f>
        <v/>
      </c>
      <c r="BM292" s="375">
        <f>BM278-BM284-BM285-BM286</f>
        <v/>
      </c>
      <c r="BN292" s="375">
        <f>BN278-BN284-BN285-BN286</f>
        <v/>
      </c>
      <c r="BO292" s="375">
        <f>BO278-BO284-BO285-BO286</f>
        <v/>
      </c>
      <c r="BP292" s="375">
        <f>BP278-BP284-BP285-BP286</f>
        <v/>
      </c>
      <c r="BQ292" s="375">
        <f>BQ278-BQ284-BQ285-BQ286</f>
        <v/>
      </c>
      <c r="BR292" s="375">
        <f>BR278-BR284-BR285-BR286</f>
        <v/>
      </c>
      <c r="BS292" s="375">
        <f>BS278-BS284-BS285-BS286</f>
        <v/>
      </c>
      <c r="BT292" s="375">
        <f>BT278-BT284-BT285-BT286</f>
        <v/>
      </c>
      <c r="BU292" s="375">
        <f>BU278-BU284-BU285-BU286</f>
        <v/>
      </c>
      <c r="BV292" s="375">
        <f>BV278-BV284-BV285-BV286</f>
        <v/>
      </c>
      <c r="BW292" s="375">
        <f>BW278-BW284-BW285-BW286</f>
        <v/>
      </c>
      <c r="BX292" s="375">
        <f>BX278-BX284-BX285-BX286</f>
        <v/>
      </c>
      <c r="BY292" s="375">
        <f>BY278-BY284-BY285-BY286</f>
        <v/>
      </c>
      <c r="BZ292" s="375">
        <f>BZ278-BZ284-BZ285-BZ286</f>
        <v/>
      </c>
      <c r="CA292" s="375">
        <f>CA278-CA284-CA285-CA286</f>
        <v/>
      </c>
      <c r="CB292" s="375">
        <f>CB278-CB284-CB285-CB286</f>
        <v/>
      </c>
      <c r="CC292" s="375">
        <f>CC278-CC284-CC285-CC286</f>
        <v/>
      </c>
      <c r="CD292" s="375">
        <f>CD278-CD284-CD285-CD286</f>
        <v/>
      </c>
      <c r="CE292" s="375">
        <f>CE278-CE284-CE285-CE286</f>
        <v/>
      </c>
      <c r="CF292" s="375">
        <f>CF278-CF284-CF285-CF286</f>
        <v/>
      </c>
      <c r="CG292" s="375">
        <f>CG278-CG284-CG285-CG286</f>
        <v/>
      </c>
      <c r="CH292" s="375">
        <f>CH278-CH284-CH285-CH286</f>
        <v/>
      </c>
      <c r="CI292" s="375">
        <f>CI278-CI284-CI285-CI286</f>
        <v/>
      </c>
      <c r="CJ292" s="375">
        <f>CJ278-CJ284-CJ285-CJ286</f>
        <v/>
      </c>
      <c r="CK292" s="375">
        <f>CK278-CK284-CK285-CK286</f>
        <v/>
      </c>
      <c r="CL292" s="375">
        <f>CL278-CL284-CL285-CL286</f>
        <v/>
      </c>
      <c r="CM292" s="375">
        <f>CM278-CM284-CM285-CM286</f>
        <v/>
      </c>
      <c r="CN292" s="375">
        <f>CN278-CN284-CN285-CN286</f>
        <v/>
      </c>
      <c r="CO292" s="375">
        <f>CO278-CO284-CO285-CO286</f>
        <v/>
      </c>
      <c r="CP292" s="375">
        <f>CP278-CP284-CP285-CP286</f>
        <v/>
      </c>
      <c r="CQ292" s="375">
        <f>CQ278-CQ284-CQ285-CQ286</f>
        <v/>
      </c>
      <c r="CR292" s="375">
        <f>CR278-CR284-CR285-CR286</f>
        <v/>
      </c>
      <c r="CS292" s="375">
        <f>CS278-CS284-CS285-CS286</f>
        <v/>
      </c>
      <c r="CT292" s="375">
        <f>CT278-CT284-CT285-CT286</f>
        <v/>
      </c>
      <c r="CU292" s="375">
        <f>CU278-CU284-CU285-CU286</f>
        <v/>
      </c>
      <c r="CV292" s="375">
        <f>CV278-CV284-CV285-CV286</f>
        <v/>
      </c>
      <c r="CW292" s="375">
        <f>CW278-CW284-CW285-CW286</f>
        <v/>
      </c>
      <c r="CX292" s="375">
        <f>CX278-CX284-CX285-CX286</f>
        <v/>
      </c>
      <c r="CY292" s="375">
        <f>CY278-CY284-CY285-CY286</f>
        <v/>
      </c>
      <c r="CZ292" s="375">
        <f>CZ278-CZ284-CZ285-CZ286</f>
        <v/>
      </c>
      <c r="DA292" s="375">
        <f>DA278-DA284-DA285-DA286</f>
        <v/>
      </c>
      <c r="DB292" s="375">
        <f>DB278-DB284-DB285-DB286</f>
        <v/>
      </c>
      <c r="DC292" s="375" t="n"/>
      <c r="DD292" s="375" t="n"/>
    </row>
    <row r="293" hidden="1" outlineLevel="1">
      <c r="A293" s="377" t="inlineStr">
        <is>
          <t>Level 3 Distributions* -</t>
        </is>
      </c>
      <c r="B293" s="377" t="n"/>
      <c r="C293" s="1136" t="n"/>
      <c r="D293" s="375" t="n"/>
      <c r="F293" s="375" t="n"/>
      <c r="G293" s="375" t="n"/>
      <c r="H293" s="375" t="n"/>
      <c r="I293" s="375" t="n"/>
      <c r="J293" s="375" t="n"/>
      <c r="K293" s="375" t="n"/>
      <c r="L293" s="375" t="n"/>
      <c r="M293" s="375" t="n"/>
      <c r="N293" s="375" t="n"/>
      <c r="O293" s="375" t="n"/>
      <c r="P293" s="375" t="n"/>
      <c r="Q293" s="375" t="n"/>
      <c r="R293" s="375" t="n"/>
      <c r="S293" s="375" t="n"/>
      <c r="T293" s="375" t="n"/>
      <c r="U293" s="375" t="n"/>
      <c r="V293" s="375" t="n"/>
      <c r="W293" s="375" t="n"/>
      <c r="X293" s="375" t="n"/>
      <c r="Y293" s="375" t="n"/>
      <c r="Z293" s="375" t="n"/>
      <c r="AA293" s="375" t="n"/>
      <c r="AB293" s="375" t="n"/>
      <c r="AC293" s="375" t="n"/>
      <c r="AD293" s="375" t="n"/>
      <c r="AE293" s="375" t="n"/>
      <c r="AF293" s="375" t="n"/>
      <c r="AG293" s="375" t="n"/>
      <c r="AH293" s="375" t="n"/>
      <c r="AI293" s="375" t="n"/>
      <c r="AJ293" s="375" t="n"/>
      <c r="AK293" s="375" t="n"/>
      <c r="AL293" s="375" t="n"/>
      <c r="AM293" s="375" t="n"/>
      <c r="AN293" s="375" t="n"/>
      <c r="AO293" s="375" t="n"/>
      <c r="AP293" s="375" t="n"/>
      <c r="AQ293" s="375" t="n"/>
      <c r="AR293" s="375" t="n"/>
      <c r="AS293" s="375" t="n"/>
      <c r="AT293" s="375" t="n"/>
      <c r="AU293" s="375" t="n"/>
      <c r="AV293" s="375" t="n"/>
      <c r="AW293" s="375" t="n"/>
      <c r="AX293" s="375" t="n"/>
      <c r="AY293" s="375" t="n"/>
      <c r="AZ293" s="375" t="n"/>
      <c r="BA293" s="375" t="n"/>
      <c r="BB293" s="375" t="n"/>
      <c r="BC293" s="375" t="n"/>
      <c r="BD293" s="375" t="n"/>
      <c r="BE293" s="375" t="n"/>
      <c r="BF293" s="375" t="n"/>
      <c r="BG293" s="375" t="n"/>
      <c r="BH293" s="375" t="n"/>
      <c r="BI293" s="375" t="n"/>
      <c r="BJ293" s="375" t="n"/>
      <c r="BK293" s="375" t="n"/>
      <c r="BL293" s="375" t="n"/>
      <c r="BM293" s="375" t="n"/>
      <c r="BN293" s="375" t="n"/>
      <c r="BO293" s="375" t="n"/>
      <c r="BP293" s="375" t="n"/>
      <c r="BQ293" s="375" t="n"/>
      <c r="BR293" s="375" t="n"/>
      <c r="BS293" s="375" t="n"/>
      <c r="BT293" s="375" t="n"/>
      <c r="BU293" s="375" t="n"/>
      <c r="BV293" s="375" t="n"/>
      <c r="BW293" s="375" t="n"/>
      <c r="BX293" s="375" t="n"/>
      <c r="BY293" s="375" t="n"/>
      <c r="BZ293" s="375" t="n"/>
      <c r="CA293" s="375" t="n"/>
      <c r="CB293" s="375" t="n"/>
      <c r="CC293" s="375" t="n"/>
      <c r="CD293" s="375" t="n"/>
      <c r="CE293" s="375" t="n"/>
      <c r="CF293" s="375" t="n"/>
      <c r="CG293" s="375" t="n"/>
      <c r="CH293" s="375" t="n"/>
      <c r="CI293" s="375" t="n"/>
      <c r="CJ293" s="375" t="n"/>
      <c r="CK293" s="375" t="n"/>
      <c r="CL293" s="375" t="n"/>
      <c r="CM293" s="375" t="n"/>
      <c r="CN293" s="375" t="n"/>
      <c r="CO293" s="375" t="n"/>
      <c r="CP293" s="375" t="n"/>
      <c r="CQ293" s="375" t="n"/>
      <c r="CR293" s="375" t="n"/>
      <c r="CS293" s="375" t="n"/>
      <c r="CT293" s="375" t="n"/>
      <c r="CU293" s="375" t="n"/>
      <c r="CV293" s="375" t="n"/>
      <c r="CW293" s="375" t="n"/>
      <c r="CX293" s="375" t="n"/>
      <c r="CY293" s="375" t="n"/>
      <c r="CZ293" s="375" t="n"/>
      <c r="DA293" s="375" t="n"/>
      <c r="DB293" s="375" t="n"/>
      <c r="DC293" s="375" t="n"/>
      <c r="DD293" s="375" t="n"/>
    </row>
    <row r="294" hidden="1" outlineLevel="1">
      <c r="A294" s="377" t="inlineStr">
        <is>
          <t xml:space="preserve">   Developer Promote</t>
        </is>
      </c>
      <c r="B294" s="377" t="n"/>
      <c r="C294" s="1136">
        <f>IF('Project Returns'!E63="No",'Project Returns'!E72,('Project Returns'!E72-'Project Returns'!E60)/MAX(1-'Project Returns'!E60,0.00001))</f>
        <v/>
      </c>
      <c r="D294" s="375">
        <f>IF(ISERROR(DD294),0,DD294)</f>
        <v/>
      </c>
      <c r="F294" s="375" t="n"/>
      <c r="G294" s="375">
        <f>G292*$C$294</f>
        <v/>
      </c>
      <c r="H294" s="375">
        <f>H292*$C$294</f>
        <v/>
      </c>
      <c r="I294" s="375">
        <f>I292*$C$294</f>
        <v/>
      </c>
      <c r="J294" s="375">
        <f>J292*$C$294</f>
        <v/>
      </c>
      <c r="K294" s="375">
        <f>K292*$C$294</f>
        <v/>
      </c>
      <c r="L294" s="375">
        <f>L292*$C$294</f>
        <v/>
      </c>
      <c r="M294" s="375">
        <f>M292*$C$294</f>
        <v/>
      </c>
      <c r="N294" s="375">
        <f>N292*$C$294</f>
        <v/>
      </c>
      <c r="O294" s="375">
        <f>O292*$C$294</f>
        <v/>
      </c>
      <c r="P294" s="375">
        <f>P292*$C$294</f>
        <v/>
      </c>
      <c r="Q294" s="375">
        <f>Q292*$C$294</f>
        <v/>
      </c>
      <c r="R294" s="375">
        <f>R292*$C$294</f>
        <v/>
      </c>
      <c r="S294" s="375">
        <f>S292*$C$294</f>
        <v/>
      </c>
      <c r="T294" s="375">
        <f>T292*$C$294</f>
        <v/>
      </c>
      <c r="U294" s="375">
        <f>U292*$C$294</f>
        <v/>
      </c>
      <c r="V294" s="375">
        <f>V292*$C$294</f>
        <v/>
      </c>
      <c r="W294" s="375">
        <f>W292*$C$294</f>
        <v/>
      </c>
      <c r="X294" s="375">
        <f>X292*$C$294</f>
        <v/>
      </c>
      <c r="Y294" s="375">
        <f>Y292*$C$294</f>
        <v/>
      </c>
      <c r="Z294" s="375">
        <f>Z292*$C$294</f>
        <v/>
      </c>
      <c r="AA294" s="375">
        <f>AA292*$C$294</f>
        <v/>
      </c>
      <c r="AB294" s="375">
        <f>AB292*$C$294</f>
        <v/>
      </c>
      <c r="AC294" s="375">
        <f>AC292*$C$294</f>
        <v/>
      </c>
      <c r="AD294" s="375">
        <f>AD292*$C$294</f>
        <v/>
      </c>
      <c r="AE294" s="375">
        <f>AE292*$C$294</f>
        <v/>
      </c>
      <c r="AF294" s="375">
        <f>AF292*$C$294</f>
        <v/>
      </c>
      <c r="AG294" s="375">
        <f>AG292*$C$294</f>
        <v/>
      </c>
      <c r="AH294" s="375">
        <f>AH292*$C$294</f>
        <v/>
      </c>
      <c r="AI294" s="375">
        <f>AI292*$C$294</f>
        <v/>
      </c>
      <c r="AJ294" s="375">
        <f>AJ292*$C$294</f>
        <v/>
      </c>
      <c r="AK294" s="375">
        <f>AK292*$C$294</f>
        <v/>
      </c>
      <c r="AL294" s="375">
        <f>AL292*$C$294</f>
        <v/>
      </c>
      <c r="AM294" s="375">
        <f>AM292*$C$294</f>
        <v/>
      </c>
      <c r="AN294" s="375">
        <f>AN292*$C$294</f>
        <v/>
      </c>
      <c r="AO294" s="375">
        <f>AO292*$C$294</f>
        <v/>
      </c>
      <c r="AP294" s="375">
        <f>AP292*$C$294</f>
        <v/>
      </c>
      <c r="AQ294" s="375">
        <f>AQ292*$C$294</f>
        <v/>
      </c>
      <c r="AR294" s="375">
        <f>AR292*$C$294</f>
        <v/>
      </c>
      <c r="AS294" s="375">
        <f>AS292*$C$294</f>
        <v/>
      </c>
      <c r="AT294" s="375">
        <f>AT292*$C$294</f>
        <v/>
      </c>
      <c r="AU294" s="375">
        <f>AU292*$C$294</f>
        <v/>
      </c>
      <c r="AV294" s="375">
        <f>AV292*$C$294</f>
        <v/>
      </c>
      <c r="AW294" s="375">
        <f>AW292*$C$294</f>
        <v/>
      </c>
      <c r="AX294" s="375">
        <f>AX292*$C$294</f>
        <v/>
      </c>
      <c r="AY294" s="375">
        <f>AY292*$C$294</f>
        <v/>
      </c>
      <c r="AZ294" s="375">
        <f>AZ292*$C$294</f>
        <v/>
      </c>
      <c r="BA294" s="375">
        <f>BA292*$C$294</f>
        <v/>
      </c>
      <c r="BB294" s="375">
        <f>BB292*$C$294</f>
        <v/>
      </c>
      <c r="BC294" s="375">
        <f>BC292*$C$294</f>
        <v/>
      </c>
      <c r="BD294" s="375">
        <f>BD292*$C$294</f>
        <v/>
      </c>
      <c r="BE294" s="375">
        <f>BE292*$C$294</f>
        <v/>
      </c>
      <c r="BF294" s="375">
        <f>BF292*$C$294</f>
        <v/>
      </c>
      <c r="BG294" s="375">
        <f>BG292*$C$294</f>
        <v/>
      </c>
      <c r="BH294" s="375">
        <f>BH292*$C$294</f>
        <v/>
      </c>
      <c r="BI294" s="375">
        <f>BI292*$C$294</f>
        <v/>
      </c>
      <c r="BJ294" s="375">
        <f>BJ292*$C$294</f>
        <v/>
      </c>
      <c r="BK294" s="375">
        <f>BK292*$C$294</f>
        <v/>
      </c>
      <c r="BL294" s="375">
        <f>BL292*$C$294</f>
        <v/>
      </c>
      <c r="BM294" s="375">
        <f>BM292*$C$294</f>
        <v/>
      </c>
      <c r="BN294" s="375">
        <f>BN292*$C$294</f>
        <v/>
      </c>
      <c r="BO294" s="375">
        <f>BO292*$C$294</f>
        <v/>
      </c>
      <c r="BP294" s="375">
        <f>BP292*$C$294</f>
        <v/>
      </c>
      <c r="BQ294" s="375">
        <f>BQ292*$C$294</f>
        <v/>
      </c>
      <c r="BR294" s="375">
        <f>BR292*$C$294</f>
        <v/>
      </c>
      <c r="BS294" s="375">
        <f>BS292*$C$294</f>
        <v/>
      </c>
      <c r="BT294" s="375">
        <f>BT292*$C$294</f>
        <v/>
      </c>
      <c r="BU294" s="375">
        <f>BU292*$C$294</f>
        <v/>
      </c>
      <c r="BV294" s="375">
        <f>BV292*$C$294</f>
        <v/>
      </c>
      <c r="BW294" s="375">
        <f>BW292*$C$294</f>
        <v/>
      </c>
      <c r="BX294" s="375">
        <f>BX292*$C$294</f>
        <v/>
      </c>
      <c r="BY294" s="375">
        <f>BY292*$C$294</f>
        <v/>
      </c>
      <c r="BZ294" s="375">
        <f>BZ292*$C$294</f>
        <v/>
      </c>
      <c r="CA294" s="375">
        <f>CA292*$C$294</f>
        <v/>
      </c>
      <c r="CB294" s="375">
        <f>CB292*$C$294</f>
        <v/>
      </c>
      <c r="CC294" s="375">
        <f>CC292*$C$294</f>
        <v/>
      </c>
      <c r="CD294" s="375">
        <f>CD292*$C$294</f>
        <v/>
      </c>
      <c r="CE294" s="375">
        <f>CE292*$C$294</f>
        <v/>
      </c>
      <c r="CF294" s="375">
        <f>CF292*$C$294</f>
        <v/>
      </c>
      <c r="CG294" s="375">
        <f>CG292*$C$294</f>
        <v/>
      </c>
      <c r="CH294" s="375">
        <f>CH292*$C$294</f>
        <v/>
      </c>
      <c r="CI294" s="375">
        <f>CI292*$C$294</f>
        <v/>
      </c>
      <c r="CJ294" s="375">
        <f>CJ292*$C$294</f>
        <v/>
      </c>
      <c r="CK294" s="375">
        <f>CK292*$C$294</f>
        <v/>
      </c>
      <c r="CL294" s="375">
        <f>CL292*$C$294</f>
        <v/>
      </c>
      <c r="CM294" s="375">
        <f>CM292*$C$294</f>
        <v/>
      </c>
      <c r="CN294" s="375">
        <f>CN292*$C$294</f>
        <v/>
      </c>
      <c r="CO294" s="375">
        <f>CO292*$C$294</f>
        <v/>
      </c>
      <c r="CP294" s="375">
        <f>CP292*$C$294</f>
        <v/>
      </c>
      <c r="CQ294" s="375">
        <f>CQ292*$C$294</f>
        <v/>
      </c>
      <c r="CR294" s="375">
        <f>CR292*$C$294</f>
        <v/>
      </c>
      <c r="CS294" s="375">
        <f>CS292*$C$294</f>
        <v/>
      </c>
      <c r="CT294" s="375">
        <f>CT292*$C$294</f>
        <v/>
      </c>
      <c r="CU294" s="375">
        <f>CU292*$C$294</f>
        <v/>
      </c>
      <c r="CV294" s="375">
        <f>CV292*$C$294</f>
        <v/>
      </c>
      <c r="CW294" s="375">
        <f>CW292*$C$294</f>
        <v/>
      </c>
      <c r="CX294" s="375">
        <f>CX292*$C$294</f>
        <v/>
      </c>
      <c r="CY294" s="375">
        <f>CY292*$C$294</f>
        <v/>
      </c>
      <c r="CZ294" s="375">
        <f>CZ292*$C$294</f>
        <v/>
      </c>
      <c r="DA294" s="375">
        <f>DA292*$C$294</f>
        <v/>
      </c>
      <c r="DB294" s="375">
        <f>DB292*$C$294</f>
        <v/>
      </c>
      <c r="DC294" s="375" t="n"/>
      <c r="DD294" s="375">
        <f>SUM(F294:DB294)</f>
        <v/>
      </c>
    </row>
    <row r="295" hidden="1" outlineLevel="1">
      <c r="A295" s="1139" t="inlineStr">
        <is>
          <t>Equity Partner 1</t>
        </is>
      </c>
      <c r="B295" s="1139" t="n"/>
      <c r="C295" s="1136">
        <f>IF('Project Returns'!E63="No",'Project Returns'!E73*'Project Returns'!E59,'Project Returns'!E73*'Project Returns'!E59/MAX('Project Returns'!E59,0.00001))</f>
        <v/>
      </c>
      <c r="D295" s="375">
        <f>IF(ISERROR(DD295),0,DD295)</f>
        <v/>
      </c>
      <c r="F295" s="375" t="n"/>
      <c r="G295" s="375">
        <f>G293*$C$294</f>
        <v/>
      </c>
      <c r="H295" s="375">
        <f>H293*$C$294</f>
        <v/>
      </c>
      <c r="I295" s="375">
        <f>I293*$C$294</f>
        <v/>
      </c>
      <c r="J295" s="375">
        <f>J293*$C$294</f>
        <v/>
      </c>
      <c r="K295" s="375">
        <f>K293*$C$294</f>
        <v/>
      </c>
      <c r="L295" s="375">
        <f>L293*$C$294</f>
        <v/>
      </c>
      <c r="M295" s="375">
        <f>M293*$C$294</f>
        <v/>
      </c>
      <c r="N295" s="375">
        <f>N293*$C$294</f>
        <v/>
      </c>
      <c r="O295" s="375">
        <f>O293*$C$294</f>
        <v/>
      </c>
      <c r="P295" s="375">
        <f>P293*$C$294</f>
        <v/>
      </c>
      <c r="Q295" s="375">
        <f>Q293*$C$294</f>
        <v/>
      </c>
      <c r="R295" s="375">
        <f>R293*$C$294</f>
        <v/>
      </c>
      <c r="S295" s="375">
        <f>S293*$C$294</f>
        <v/>
      </c>
      <c r="T295" s="375">
        <f>T293*$C$294</f>
        <v/>
      </c>
      <c r="U295" s="375">
        <f>U293*$C$294</f>
        <v/>
      </c>
      <c r="V295" s="375">
        <f>V293*$C$294</f>
        <v/>
      </c>
      <c r="W295" s="375">
        <f>W293*$C$294</f>
        <v/>
      </c>
      <c r="X295" s="375">
        <f>X293*$C$294</f>
        <v/>
      </c>
      <c r="Y295" s="375">
        <f>Y293*$C$294</f>
        <v/>
      </c>
      <c r="Z295" s="375">
        <f>Z293*$C$294</f>
        <v/>
      </c>
      <c r="AA295" s="375">
        <f>AA293*$C$294</f>
        <v/>
      </c>
      <c r="AB295" s="375">
        <f>AB293*$C$294</f>
        <v/>
      </c>
      <c r="AC295" s="375">
        <f>AC293*$C$294</f>
        <v/>
      </c>
      <c r="AD295" s="375">
        <f>AD293*$C$294</f>
        <v/>
      </c>
      <c r="AE295" s="375">
        <f>AE293*$C$294</f>
        <v/>
      </c>
      <c r="AF295" s="375">
        <f>AF293*$C$294</f>
        <v/>
      </c>
      <c r="AG295" s="375">
        <f>AG293*$C$294</f>
        <v/>
      </c>
      <c r="AH295" s="375">
        <f>AH293*$C$294</f>
        <v/>
      </c>
      <c r="AI295" s="375">
        <f>AI293*$C$294</f>
        <v/>
      </c>
      <c r="AJ295" s="375">
        <f>AJ293*$C$294</f>
        <v/>
      </c>
      <c r="AK295" s="375">
        <f>AK293*$C$294</f>
        <v/>
      </c>
      <c r="AL295" s="375">
        <f>AL293*$C$294</f>
        <v/>
      </c>
      <c r="AM295" s="375">
        <f>AM293*$C$294</f>
        <v/>
      </c>
      <c r="AN295" s="375">
        <f>AN293*$C$294</f>
        <v/>
      </c>
      <c r="AO295" s="375">
        <f>AO293*$C$294</f>
        <v/>
      </c>
      <c r="AP295" s="375">
        <f>AP293*$C$294</f>
        <v/>
      </c>
      <c r="AQ295" s="375">
        <f>AQ293*$C$294</f>
        <v/>
      </c>
      <c r="AR295" s="375">
        <f>AR293*$C$294</f>
        <v/>
      </c>
      <c r="AS295" s="375">
        <f>AS293*$C$294</f>
        <v/>
      </c>
      <c r="AT295" s="375">
        <f>AT293*$C$294</f>
        <v/>
      </c>
      <c r="AU295" s="375">
        <f>AU293*$C$294</f>
        <v/>
      </c>
      <c r="AV295" s="375">
        <f>AV293*$C$294</f>
        <v/>
      </c>
      <c r="AW295" s="375">
        <f>AW293*$C$294</f>
        <v/>
      </c>
      <c r="AX295" s="375">
        <f>AX293*$C$294</f>
        <v/>
      </c>
      <c r="AY295" s="375">
        <f>AY293*$C$294</f>
        <v/>
      </c>
      <c r="AZ295" s="375">
        <f>AZ293*$C$294</f>
        <v/>
      </c>
      <c r="BA295" s="375">
        <f>BA293*$C$294</f>
        <v/>
      </c>
      <c r="BB295" s="375">
        <f>BB293*$C$294</f>
        <v/>
      </c>
      <c r="BC295" s="375">
        <f>BC293*$C$294</f>
        <v/>
      </c>
      <c r="BD295" s="375">
        <f>BD293*$C$294</f>
        <v/>
      </c>
      <c r="BE295" s="375">
        <f>BE293*$C$294</f>
        <v/>
      </c>
      <c r="BF295" s="375">
        <f>BF293*$C$294</f>
        <v/>
      </c>
      <c r="BG295" s="375">
        <f>BG293*$C$294</f>
        <v/>
      </c>
      <c r="BH295" s="375">
        <f>BH293*$C$294</f>
        <v/>
      </c>
      <c r="BI295" s="375">
        <f>BI293*$C$294</f>
        <v/>
      </c>
      <c r="BJ295" s="375">
        <f>BJ293*$C$294</f>
        <v/>
      </c>
      <c r="BK295" s="375">
        <f>BK293*$C$294</f>
        <v/>
      </c>
      <c r="BL295" s="375">
        <f>BL293*$C$294</f>
        <v/>
      </c>
      <c r="BM295" s="375">
        <f>BM293*$C$294</f>
        <v/>
      </c>
      <c r="BN295" s="375">
        <f>BN293*$C$294</f>
        <v/>
      </c>
      <c r="BO295" s="375">
        <f>BO293*$C$294</f>
        <v/>
      </c>
      <c r="BP295" s="375">
        <f>BP293*$C$294</f>
        <v/>
      </c>
      <c r="BQ295" s="375">
        <f>BQ293*$C$294</f>
        <v/>
      </c>
      <c r="BR295" s="375">
        <f>BR293*$C$294</f>
        <v/>
      </c>
      <c r="BS295" s="375">
        <f>BS293*$C$294</f>
        <v/>
      </c>
      <c r="BT295" s="375">
        <f>BT293*$C$294</f>
        <v/>
      </c>
      <c r="BU295" s="375">
        <f>BU293*$C$294</f>
        <v/>
      </c>
      <c r="BV295" s="375">
        <f>BV293*$C$294</f>
        <v/>
      </c>
      <c r="BW295" s="375">
        <f>BW293*$C$294</f>
        <v/>
      </c>
      <c r="BX295" s="375">
        <f>BX293*$C$294</f>
        <v/>
      </c>
      <c r="BY295" s="375">
        <f>BY293*$C$294</f>
        <v/>
      </c>
      <c r="BZ295" s="375">
        <f>BZ293*$C$294</f>
        <v/>
      </c>
      <c r="CA295" s="375">
        <f>CA293*$C$294</f>
        <v/>
      </c>
      <c r="CB295" s="375">
        <f>CB293*$C$294</f>
        <v/>
      </c>
      <c r="CC295" s="375">
        <f>CC293*$C$294</f>
        <v/>
      </c>
      <c r="CD295" s="375">
        <f>CD293*$C$294</f>
        <v/>
      </c>
      <c r="CE295" s="375">
        <f>CE293*$C$294</f>
        <v/>
      </c>
      <c r="CF295" s="375">
        <f>CF293*$C$294</f>
        <v/>
      </c>
      <c r="CG295" s="375">
        <f>CG293*$C$294</f>
        <v/>
      </c>
      <c r="CH295" s="375">
        <f>CH293*$C$294</f>
        <v/>
      </c>
      <c r="CI295" s="375">
        <f>CI293*$C$294</f>
        <v/>
      </c>
      <c r="CJ295" s="375">
        <f>CJ293*$C$294</f>
        <v/>
      </c>
      <c r="CK295" s="375">
        <f>CK293*$C$294</f>
        <v/>
      </c>
      <c r="CL295" s="375">
        <f>CL293*$C$294</f>
        <v/>
      </c>
      <c r="CM295" s="375">
        <f>CM293*$C$294</f>
        <v/>
      </c>
      <c r="CN295" s="375">
        <f>CN293*$C$294</f>
        <v/>
      </c>
      <c r="CO295" s="375">
        <f>CO293*$C$294</f>
        <v/>
      </c>
      <c r="CP295" s="375">
        <f>CP293*$C$294</f>
        <v/>
      </c>
      <c r="CQ295" s="375">
        <f>CQ293*$C$294</f>
        <v/>
      </c>
      <c r="CR295" s="375">
        <f>CR293*$C$294</f>
        <v/>
      </c>
      <c r="CS295" s="375">
        <f>CS293*$C$294</f>
        <v/>
      </c>
      <c r="CT295" s="375">
        <f>CT293*$C$294</f>
        <v/>
      </c>
      <c r="CU295" s="375">
        <f>CU293*$C$294</f>
        <v/>
      </c>
      <c r="CV295" s="375">
        <f>CV293*$C$294</f>
        <v/>
      </c>
      <c r="CW295" s="375">
        <f>CW293*$C$294</f>
        <v/>
      </c>
      <c r="CX295" s="375">
        <f>CX293*$C$294</f>
        <v/>
      </c>
      <c r="CY295" s="375">
        <f>CY293*$C$294</f>
        <v/>
      </c>
      <c r="CZ295" s="375">
        <f>CZ293*$C$294</f>
        <v/>
      </c>
      <c r="DA295" s="375">
        <f>DA293*$C$294</f>
        <v/>
      </c>
      <c r="DB295" s="375">
        <f>DB293*$C$294</f>
        <v/>
      </c>
      <c r="DC295" s="375" t="n"/>
      <c r="DD295" s="375">
        <f>SUM(F295:DB295)</f>
        <v/>
      </c>
    </row>
    <row r="296" hidden="1" outlineLevel="1" customFormat="1" s="314">
      <c r="A296" s="901" t="inlineStr">
        <is>
          <t xml:space="preserve">   Developer Equity</t>
        </is>
      </c>
      <c r="B296" s="901" t="n"/>
      <c r="C296" s="1138">
        <f>IF('Project Returns'!E63="No",'Project Returns'!E73*'Project Returns'!E60,'Project Returns'!E72-C294)</f>
        <v/>
      </c>
      <c r="D296" s="907">
        <f>IF(ISERROR(DD296),0,DD296)</f>
        <v/>
      </c>
      <c r="E296" s="905" t="n"/>
      <c r="F296" s="907" t="n"/>
      <c r="G296" s="907">
        <f>G294*$C$294</f>
        <v/>
      </c>
      <c r="H296" s="907">
        <f>H294*$C$294</f>
        <v/>
      </c>
      <c r="I296" s="907">
        <f>I294*$C$294</f>
        <v/>
      </c>
      <c r="J296" s="907">
        <f>J294*$C$294</f>
        <v/>
      </c>
      <c r="K296" s="907">
        <f>K294*$C$294</f>
        <v/>
      </c>
      <c r="L296" s="907">
        <f>L294*$C$294</f>
        <v/>
      </c>
      <c r="M296" s="907">
        <f>M294*$C$294</f>
        <v/>
      </c>
      <c r="N296" s="907">
        <f>N294*$C$294</f>
        <v/>
      </c>
      <c r="O296" s="907">
        <f>O294*$C$294</f>
        <v/>
      </c>
      <c r="P296" s="907">
        <f>P294*$C$294</f>
        <v/>
      </c>
      <c r="Q296" s="907">
        <f>Q294*$C$294</f>
        <v/>
      </c>
      <c r="R296" s="907">
        <f>R294*$C$294</f>
        <v/>
      </c>
      <c r="S296" s="907">
        <f>S294*$C$294</f>
        <v/>
      </c>
      <c r="T296" s="907">
        <f>T294*$C$294</f>
        <v/>
      </c>
      <c r="U296" s="907">
        <f>U294*$C$294</f>
        <v/>
      </c>
      <c r="V296" s="907">
        <f>V294*$C$294</f>
        <v/>
      </c>
      <c r="W296" s="907">
        <f>W294*$C$294</f>
        <v/>
      </c>
      <c r="X296" s="907">
        <f>X294*$C$294</f>
        <v/>
      </c>
      <c r="Y296" s="907">
        <f>Y294*$C$294</f>
        <v/>
      </c>
      <c r="Z296" s="907">
        <f>Z294*$C$294</f>
        <v/>
      </c>
      <c r="AA296" s="907">
        <f>AA294*$C$294</f>
        <v/>
      </c>
      <c r="AB296" s="907">
        <f>AB294*$C$294</f>
        <v/>
      </c>
      <c r="AC296" s="907">
        <f>AC294*$C$294</f>
        <v/>
      </c>
      <c r="AD296" s="907">
        <f>AD294*$C$294</f>
        <v/>
      </c>
      <c r="AE296" s="907">
        <f>AE294*$C$294</f>
        <v/>
      </c>
      <c r="AF296" s="907">
        <f>AF294*$C$294</f>
        <v/>
      </c>
      <c r="AG296" s="907">
        <f>AG294*$C$294</f>
        <v/>
      </c>
      <c r="AH296" s="907">
        <f>AH294*$C$294</f>
        <v/>
      </c>
      <c r="AI296" s="907">
        <f>AI294*$C$294</f>
        <v/>
      </c>
      <c r="AJ296" s="907">
        <f>AJ294*$C$294</f>
        <v/>
      </c>
      <c r="AK296" s="907">
        <f>AK294*$C$294</f>
        <v/>
      </c>
      <c r="AL296" s="907">
        <f>AL294*$C$294</f>
        <v/>
      </c>
      <c r="AM296" s="907">
        <f>AM294*$C$294</f>
        <v/>
      </c>
      <c r="AN296" s="907">
        <f>AN294*$C$294</f>
        <v/>
      </c>
      <c r="AO296" s="907">
        <f>AO294*$C$294</f>
        <v/>
      </c>
      <c r="AP296" s="907">
        <f>AP294*$C$294</f>
        <v/>
      </c>
      <c r="AQ296" s="907">
        <f>AQ294*$C$294</f>
        <v/>
      </c>
      <c r="AR296" s="907">
        <f>AR294*$C$294</f>
        <v/>
      </c>
      <c r="AS296" s="907">
        <f>AS294*$C$294</f>
        <v/>
      </c>
      <c r="AT296" s="907">
        <f>AT294*$C$294</f>
        <v/>
      </c>
      <c r="AU296" s="907">
        <f>AU294*$C$294</f>
        <v/>
      </c>
      <c r="AV296" s="907">
        <f>AV294*$C$294</f>
        <v/>
      </c>
      <c r="AW296" s="907">
        <f>AW294*$C$294</f>
        <v/>
      </c>
      <c r="AX296" s="907">
        <f>AX294*$C$294</f>
        <v/>
      </c>
      <c r="AY296" s="907">
        <f>AY294*$C$294</f>
        <v/>
      </c>
      <c r="AZ296" s="907">
        <f>AZ294*$C$294</f>
        <v/>
      </c>
      <c r="BA296" s="907">
        <f>BA294*$C$294</f>
        <v/>
      </c>
      <c r="BB296" s="907">
        <f>BB294*$C$294</f>
        <v/>
      </c>
      <c r="BC296" s="907">
        <f>BC294*$C$294</f>
        <v/>
      </c>
      <c r="BD296" s="907">
        <f>BD294*$C$294</f>
        <v/>
      </c>
      <c r="BE296" s="907">
        <f>BE294*$C$294</f>
        <v/>
      </c>
      <c r="BF296" s="907">
        <f>BF294*$C$294</f>
        <v/>
      </c>
      <c r="BG296" s="907">
        <f>BG294*$C$294</f>
        <v/>
      </c>
      <c r="BH296" s="907">
        <f>BH294*$C$294</f>
        <v/>
      </c>
      <c r="BI296" s="907">
        <f>BI294*$C$294</f>
        <v/>
      </c>
      <c r="BJ296" s="907">
        <f>BJ294*$C$294</f>
        <v/>
      </c>
      <c r="BK296" s="907">
        <f>BK294*$C$294</f>
        <v/>
      </c>
      <c r="BL296" s="907">
        <f>BL294*$C$294</f>
        <v/>
      </c>
      <c r="BM296" s="907">
        <f>BM294*$C$294</f>
        <v/>
      </c>
      <c r="BN296" s="907">
        <f>BN294*$C$294</f>
        <v/>
      </c>
      <c r="BO296" s="907">
        <f>BO294*$C$294</f>
        <v/>
      </c>
      <c r="BP296" s="907">
        <f>BP294*$C$294</f>
        <v/>
      </c>
      <c r="BQ296" s="907">
        <f>BQ294*$C$294</f>
        <v/>
      </c>
      <c r="BR296" s="907">
        <f>BR294*$C$294</f>
        <v/>
      </c>
      <c r="BS296" s="907">
        <f>BS294*$C$294</f>
        <v/>
      </c>
      <c r="BT296" s="907">
        <f>BT294*$C$294</f>
        <v/>
      </c>
      <c r="BU296" s="907">
        <f>BU294*$C$294</f>
        <v/>
      </c>
      <c r="BV296" s="907">
        <f>BV294*$C$294</f>
        <v/>
      </c>
      <c r="BW296" s="907">
        <f>BW294*$C$294</f>
        <v/>
      </c>
      <c r="BX296" s="907">
        <f>BX294*$C$294</f>
        <v/>
      </c>
      <c r="BY296" s="907">
        <f>BY294*$C$294</f>
        <v/>
      </c>
      <c r="BZ296" s="907">
        <f>BZ294*$C$294</f>
        <v/>
      </c>
      <c r="CA296" s="907">
        <f>CA294*$C$294</f>
        <v/>
      </c>
      <c r="CB296" s="907">
        <f>CB294*$C$294</f>
        <v/>
      </c>
      <c r="CC296" s="907">
        <f>CC294*$C$294</f>
        <v/>
      </c>
      <c r="CD296" s="907">
        <f>CD294*$C$294</f>
        <v/>
      </c>
      <c r="CE296" s="907">
        <f>CE294*$C$294</f>
        <v/>
      </c>
      <c r="CF296" s="907">
        <f>CF294*$C$294</f>
        <v/>
      </c>
      <c r="CG296" s="907">
        <f>CG294*$C$294</f>
        <v/>
      </c>
      <c r="CH296" s="907">
        <f>CH294*$C$294</f>
        <v/>
      </c>
      <c r="CI296" s="907">
        <f>CI294*$C$294</f>
        <v/>
      </c>
      <c r="CJ296" s="907">
        <f>CJ294*$C$294</f>
        <v/>
      </c>
      <c r="CK296" s="907">
        <f>CK294*$C$294</f>
        <v/>
      </c>
      <c r="CL296" s="907">
        <f>CL294*$C$294</f>
        <v/>
      </c>
      <c r="CM296" s="907">
        <f>CM294*$C$294</f>
        <v/>
      </c>
      <c r="CN296" s="907">
        <f>CN294*$C$294</f>
        <v/>
      </c>
      <c r="CO296" s="907">
        <f>CO294*$C$294</f>
        <v/>
      </c>
      <c r="CP296" s="907">
        <f>CP294*$C$294</f>
        <v/>
      </c>
      <c r="CQ296" s="907">
        <f>CQ294*$C$294</f>
        <v/>
      </c>
      <c r="CR296" s="907">
        <f>CR294*$C$294</f>
        <v/>
      </c>
      <c r="CS296" s="907">
        <f>CS294*$C$294</f>
        <v/>
      </c>
      <c r="CT296" s="907">
        <f>CT294*$C$294</f>
        <v/>
      </c>
      <c r="CU296" s="907">
        <f>CU294*$C$294</f>
        <v/>
      </c>
      <c r="CV296" s="907">
        <f>CV294*$C$294</f>
        <v/>
      </c>
      <c r="CW296" s="907">
        <f>CW294*$C$294</f>
        <v/>
      </c>
      <c r="CX296" s="907">
        <f>CX294*$C$294</f>
        <v/>
      </c>
      <c r="CY296" s="907">
        <f>CY294*$C$294</f>
        <v/>
      </c>
      <c r="CZ296" s="907">
        <f>CZ294*$C$294</f>
        <v/>
      </c>
      <c r="DA296" s="907">
        <f>DA294*$C$294</f>
        <v/>
      </c>
      <c r="DB296" s="907">
        <f>DB294*$C$294</f>
        <v/>
      </c>
      <c r="DC296" s="907" t="n"/>
      <c r="DD296" s="907">
        <f>SUM(F296:DB296)</f>
        <v/>
      </c>
    </row>
    <row r="297" collapsed="1"/>
  </sheetData>
  <mergeCells count="13">
    <mergeCell ref="A62:A70"/>
    <mergeCell ref="A30:A32"/>
    <mergeCell ref="A75:A98"/>
    <mergeCell ref="A35:A56"/>
    <mergeCell ref="A57:A61"/>
    <mergeCell ref="A33:A34"/>
    <mergeCell ref="A109:A110"/>
    <mergeCell ref="A100:A102"/>
    <mergeCell ref="A169:A171"/>
    <mergeCell ref="A103:A104"/>
    <mergeCell ref="A111:A152"/>
    <mergeCell ref="A71:A74"/>
    <mergeCell ref="A173:A17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H61"/>
  <sheetViews>
    <sheetView showGridLines="0" tabSelected="1" topLeftCell="A2" zoomScale="77" workbookViewId="0">
      <selection activeCell="F59" sqref="F59"/>
    </sheetView>
  </sheetViews>
  <sheetFormatPr baseColWidth="8" defaultColWidth="9.140625" defaultRowHeight="13.9"/>
  <cols>
    <col width="9.140625" customWidth="1" style="1" min="1" max="4"/>
    <col width="3.5703125" customWidth="1" style="1" min="5" max="5"/>
    <col width="16.140625" bestFit="1" customWidth="1" style="1" min="6" max="6"/>
    <col width="13.42578125" bestFit="1" customWidth="1" style="1" min="7" max="7"/>
    <col width="11.42578125" bestFit="1" customWidth="1" style="1" min="8" max="8"/>
    <col width="9.140625" customWidth="1" style="1" min="9" max="16384"/>
  </cols>
  <sheetData>
    <row r="1" ht="17.65" customHeight="1">
      <c r="A1" s="1215">
        <f>'Project Assumptions'!A5</f>
        <v/>
      </c>
      <c r="B1" s="918" t="n"/>
      <c r="C1" s="918" t="n"/>
      <c r="D1" s="918" t="n"/>
      <c r="E1" s="918" t="n"/>
      <c r="F1" s="918" t="n"/>
      <c r="G1" s="918" t="n"/>
      <c r="H1" s="919" t="n"/>
    </row>
    <row r="2" ht="18" customHeight="1" thickBot="1">
      <c r="A2" s="1216" t="inlineStr">
        <is>
          <t>Summary Budget</t>
        </is>
      </c>
      <c r="B2" s="921" t="n"/>
      <c r="C2" s="921" t="n"/>
      <c r="D2" s="921" t="n"/>
      <c r="E2" s="921" t="n"/>
      <c r="F2" s="921" t="n"/>
      <c r="G2" s="921" t="n"/>
      <c r="H2" s="922" t="n"/>
    </row>
    <row r="3" ht="3" customHeight="1">
      <c r="A3" s="245" t="n"/>
      <c r="B3" s="246" t="n"/>
      <c r="C3" s="246" t="n"/>
      <c r="D3" s="246" t="n"/>
      <c r="E3" s="246" t="n"/>
      <c r="F3" s="246" t="n"/>
      <c r="G3" s="246" t="n"/>
      <c r="H3" s="1144" t="n"/>
    </row>
    <row r="4">
      <c r="A4" s="248" t="inlineStr">
        <is>
          <t>Rentable Square Feet:</t>
        </is>
      </c>
      <c r="B4" s="736" t="n"/>
      <c r="C4" s="737">
        <f>'Project Assumptions'!E11</f>
        <v/>
      </c>
      <c r="D4" s="9" t="n"/>
      <c r="E4" s="246" t="n"/>
      <c r="F4" s="246" t="n"/>
      <c r="G4" s="246" t="n"/>
      <c r="H4" s="1144" t="n"/>
    </row>
    <row r="5" ht="6" customHeight="1">
      <c r="A5" s="245" t="n"/>
      <c r="B5" s="246" t="n"/>
      <c r="C5" s="246" t="n"/>
      <c r="D5" s="246" t="n"/>
      <c r="E5" s="246" t="n"/>
      <c r="F5" s="246" t="n"/>
      <c r="G5" s="246" t="n"/>
      <c r="H5" s="1144" t="n"/>
    </row>
    <row r="6" ht="15" customHeight="1">
      <c r="A6" s="249" t="n"/>
      <c r="B6" s="9" t="n"/>
      <c r="C6" s="9" t="n"/>
      <c r="D6" s="9" t="n"/>
      <c r="E6" s="9" t="n"/>
      <c r="F6" s="908" t="inlineStr">
        <is>
          <t>Total</t>
        </is>
      </c>
      <c r="G6" s="250" t="n"/>
      <c r="H6" s="1145" t="inlineStr">
        <is>
          <t>Per RSF</t>
        </is>
      </c>
    </row>
    <row r="7" ht="6" customHeight="1">
      <c r="A7" s="251" t="n"/>
      <c r="B7" s="246" t="n"/>
      <c r="C7" s="246" t="n"/>
      <c r="D7" s="246" t="n"/>
      <c r="E7" s="246" t="n"/>
      <c r="F7" s="252" t="n"/>
      <c r="G7" s="252" t="n"/>
      <c r="H7" s="1146" t="n"/>
    </row>
    <row r="8">
      <c r="A8" s="560" t="inlineStr">
        <is>
          <t>Land Purchase</t>
        </is>
      </c>
      <c r="B8" s="254" t="n"/>
      <c r="C8" s="254" t="n"/>
      <c r="D8" s="561" t="n"/>
      <c r="E8" s="255" t="n"/>
      <c r="F8" s="1147">
        <f>'Detailed Project Costs'!F80</f>
        <v/>
      </c>
      <c r="G8" s="1147" t="n"/>
      <c r="H8" s="1148">
        <f>F8/$C$4</f>
        <v/>
      </c>
    </row>
    <row r="9" ht="3" customHeight="1">
      <c r="A9" s="245" t="n"/>
      <c r="B9" s="246" t="n"/>
      <c r="C9" s="246" t="n"/>
      <c r="D9" s="246" t="n"/>
      <c r="E9" s="246" t="n"/>
      <c r="F9" s="246" t="n"/>
      <c r="G9" s="246" t="n"/>
      <c r="H9" s="1144" t="n"/>
    </row>
    <row r="10">
      <c r="A10" s="8" t="inlineStr">
        <is>
          <t>Land Development and Site Work</t>
        </is>
      </c>
      <c r="B10" s="9" t="n"/>
      <c r="C10" s="9" t="n"/>
      <c r="D10" s="564" t="n"/>
      <c r="E10" s="564" t="n"/>
      <c r="F10" s="1149">
        <f>'Detailed Project Costs'!F83</f>
        <v/>
      </c>
      <c r="G10" s="1149" t="n"/>
      <c r="H10" s="1150">
        <f>F10/$C$4</f>
        <v/>
      </c>
    </row>
    <row r="11" ht="3" customHeight="1">
      <c r="A11" s="245" t="n"/>
      <c r="B11" s="246" t="n"/>
      <c r="C11" s="246" t="n"/>
      <c r="D11" s="246" t="n"/>
      <c r="E11" s="246" t="n"/>
      <c r="F11" s="246" t="n"/>
      <c r="G11" s="246" t="n"/>
      <c r="H11" s="1144" t="n"/>
    </row>
    <row r="12">
      <c r="A12" s="560" t="inlineStr">
        <is>
          <t>Building Shell</t>
        </is>
      </c>
      <c r="B12" s="254" t="n"/>
      <c r="C12" s="254" t="n"/>
      <c r="D12" s="567" t="n"/>
      <c r="E12" s="561" t="n"/>
      <c r="F12" s="1151">
        <f>'Detailed Project Costs'!F84</f>
        <v/>
      </c>
      <c r="G12" s="1151" t="n"/>
      <c r="H12" s="1148">
        <f>F12/$C$4</f>
        <v/>
      </c>
    </row>
    <row r="13" ht="3" customHeight="1">
      <c r="A13" s="245" t="n"/>
      <c r="B13" s="246" t="n"/>
      <c r="C13" s="246" t="n"/>
      <c r="D13" s="246" t="n"/>
      <c r="E13" s="246" t="n"/>
      <c r="F13" s="246" t="n"/>
      <c r="G13" s="246" t="n"/>
      <c r="H13" s="1144" t="n"/>
    </row>
    <row r="14">
      <c r="A14" s="8" t="inlineStr">
        <is>
          <t>Tenant Improvements (Hard &amp; Soft)</t>
        </is>
      </c>
      <c r="B14" s="9" t="n"/>
      <c r="C14" s="9" t="n"/>
      <c r="D14" s="339" t="n"/>
      <c r="E14" s="339" t="n"/>
      <c r="F14" s="1149">
        <f>'Detailed Project Costs'!F85+'Detailed Project Costs'!F90</f>
        <v/>
      </c>
      <c r="G14" s="1149" t="n"/>
      <c r="H14" s="1150">
        <f>F14/$C$4</f>
        <v/>
      </c>
    </row>
    <row r="15" ht="3" customHeight="1">
      <c r="A15" s="245" t="n"/>
      <c r="B15" s="246" t="n"/>
      <c r="C15" s="246" t="n"/>
      <c r="D15" s="246" t="n"/>
      <c r="E15" s="246" t="n"/>
      <c r="F15" s="246" t="n"/>
      <c r="G15" s="246" t="n"/>
      <c r="H15" s="1144" t="n"/>
    </row>
    <row r="16">
      <c r="A16" s="560" t="inlineStr">
        <is>
          <t>Arch. &amp; Eng. and Other Consultants</t>
        </is>
      </c>
      <c r="B16" s="254" t="n"/>
      <c r="C16" s="254" t="n"/>
      <c r="D16" s="254" t="n"/>
      <c r="E16" s="254" t="n"/>
      <c r="F16" s="1151">
        <f>'Detailed Project Costs'!F91</f>
        <v/>
      </c>
      <c r="G16" s="1151" t="n"/>
      <c r="H16" s="1148">
        <f>F16/$C$4</f>
        <v/>
      </c>
    </row>
    <row r="17" ht="3" customHeight="1">
      <c r="A17" s="245" t="n"/>
      <c r="B17" s="246" t="n"/>
      <c r="C17" s="246" t="n"/>
      <c r="D17" s="246" t="n"/>
      <c r="E17" s="246" t="n"/>
      <c r="F17" s="246" t="n"/>
      <c r="G17" s="246" t="n"/>
      <c r="H17" s="1144" t="n"/>
    </row>
    <row r="18">
      <c r="A18" s="8" t="inlineStr">
        <is>
          <t>Legal, Marketing, Insurance, Taxes</t>
        </is>
      </c>
      <c r="B18" s="9" t="n"/>
      <c r="C18" s="9" t="n"/>
      <c r="D18" s="9" t="n"/>
      <c r="E18" s="9" t="n"/>
      <c r="F18" s="1149">
        <f>'Detailed Project Costs'!F92</f>
        <v/>
      </c>
      <c r="G18" s="1149" t="n"/>
      <c r="H18" s="1150">
        <f>F18/$C$4</f>
        <v/>
      </c>
    </row>
    <row r="19" ht="3" customHeight="1">
      <c r="A19" s="245" t="n"/>
      <c r="B19" s="246" t="n"/>
      <c r="C19" s="246" t="n"/>
      <c r="D19" s="246" t="n"/>
      <c r="E19" s="246" t="n"/>
      <c r="F19" s="246" t="n"/>
      <c r="G19" s="246" t="n"/>
      <c r="H19" s="1144" t="n"/>
    </row>
    <row r="20">
      <c r="A20" s="560" t="inlineStr">
        <is>
          <t>Permits, Testing/Inspection, Fees, Bonds</t>
        </is>
      </c>
      <c r="B20" s="254" t="n"/>
      <c r="C20" s="254" t="n"/>
      <c r="D20" s="254" t="n"/>
      <c r="E20" s="254" t="n"/>
      <c r="F20" s="1151">
        <f>'Detailed Project Costs'!F93</f>
        <v/>
      </c>
      <c r="G20" s="1151" t="n"/>
      <c r="H20" s="1148">
        <f>F20/$C$4</f>
        <v/>
      </c>
    </row>
    <row r="21" ht="3" customHeight="1">
      <c r="A21" s="245" t="n"/>
      <c r="B21" s="246" t="n"/>
      <c r="C21" s="246" t="n"/>
      <c r="D21" s="246" t="n"/>
      <c r="E21" s="246" t="n"/>
      <c r="F21" s="246" t="n"/>
      <c r="G21" s="246" t="n"/>
      <c r="H21" s="1144" t="n"/>
    </row>
    <row r="22">
      <c r="A22" s="8" t="inlineStr">
        <is>
          <t>Leasing Commissions</t>
        </is>
      </c>
      <c r="B22" s="9" t="n"/>
      <c r="C22" s="9" t="n"/>
      <c r="D22" s="9" t="n"/>
      <c r="E22" s="9" t="n"/>
      <c r="F22" s="1149">
        <f>'Detailed Project Costs'!F94</f>
        <v/>
      </c>
      <c r="G22" s="1149" t="n"/>
      <c r="H22" s="1150">
        <f>F22/$C$4</f>
        <v/>
      </c>
    </row>
    <row r="23" ht="3" customHeight="1">
      <c r="A23" s="245" t="n"/>
      <c r="B23" s="246" t="n"/>
      <c r="C23" s="246" t="n"/>
      <c r="D23" s="246" t="n"/>
      <c r="E23" s="246" t="n"/>
      <c r="F23" s="246" t="n"/>
      <c r="G23" s="246" t="n"/>
      <c r="H23" s="1144" t="n"/>
    </row>
    <row r="24">
      <c r="A24" s="560" t="inlineStr">
        <is>
          <t>Development Fee</t>
        </is>
      </c>
      <c r="B24" s="254" t="n"/>
      <c r="C24" s="254" t="n"/>
      <c r="D24" s="254" t="n"/>
      <c r="E24" s="254" t="n"/>
      <c r="F24" s="1151">
        <f>'Detailed Project Costs'!F95</f>
        <v/>
      </c>
      <c r="G24" s="1151" t="n"/>
      <c r="H24" s="1148">
        <f>F24/$C$4</f>
        <v/>
      </c>
    </row>
    <row r="25" ht="3" customHeight="1">
      <c r="A25" s="245" t="n"/>
      <c r="B25" s="246" t="n"/>
      <c r="C25" s="246" t="n"/>
      <c r="D25" s="246" t="n"/>
      <c r="E25" s="246" t="n"/>
      <c r="F25" s="246" t="n"/>
      <c r="G25" s="246" t="n"/>
      <c r="H25" s="1144" t="n"/>
    </row>
    <row r="26">
      <c r="A26" s="8" t="inlineStr">
        <is>
          <t>Finance Fees</t>
        </is>
      </c>
      <c r="B26" s="9" t="n"/>
      <c r="C26" s="9" t="n"/>
      <c r="D26" s="9" t="n"/>
      <c r="E26" s="9" t="n"/>
      <c r="F26" s="1149">
        <f>'Detailed Project Costs'!F99</f>
        <v/>
      </c>
      <c r="G26" s="1149" t="n"/>
      <c r="H26" s="1150">
        <f>F26/$C$4</f>
        <v/>
      </c>
    </row>
    <row r="27" ht="3" customHeight="1">
      <c r="A27" s="245" t="n"/>
      <c r="B27" s="246" t="n"/>
      <c r="C27" s="246" t="n"/>
      <c r="D27" s="246" t="n"/>
      <c r="E27" s="246" t="n"/>
      <c r="F27" s="246" t="n"/>
      <c r="G27" s="246" t="n"/>
      <c r="H27" s="1144" t="n"/>
    </row>
    <row r="28">
      <c r="A28" s="560" t="inlineStr">
        <is>
          <t>Interest / Loss to Breakeven</t>
        </is>
      </c>
      <c r="B28" s="254" t="n"/>
      <c r="C28" s="254" t="n"/>
      <c r="D28" s="254" t="n"/>
      <c r="E28" s="254" t="n"/>
      <c r="F28" s="1151">
        <f>'Detailed Project Costs'!F100</f>
        <v/>
      </c>
      <c r="G28" s="1151" t="n"/>
      <c r="H28" s="1148">
        <f>F28/$C$4</f>
        <v/>
      </c>
    </row>
    <row r="29" ht="3" customHeight="1">
      <c r="A29" s="245" t="n"/>
      <c r="B29" s="246" t="n"/>
      <c r="C29" s="246" t="n"/>
      <c r="D29" s="246" t="n"/>
      <c r="E29" s="246" t="n"/>
      <c r="F29" s="246" t="n"/>
      <c r="G29" s="246" t="n"/>
      <c r="H29" s="1144" t="n"/>
    </row>
    <row r="30">
      <c r="A30" s="8" t="inlineStr">
        <is>
          <t>Contingency</t>
        </is>
      </c>
      <c r="B30" s="9" t="n"/>
      <c r="C30" s="9" t="n"/>
      <c r="D30" s="9" t="n"/>
      <c r="E30" s="9" t="n"/>
      <c r="F30" s="1149">
        <f>'Detailed Project Costs'!F103</f>
        <v/>
      </c>
      <c r="G30" s="1149" t="n"/>
      <c r="H30" s="1150">
        <f>F30/$C$4</f>
        <v/>
      </c>
    </row>
    <row r="31" ht="3" customHeight="1">
      <c r="A31" s="245" t="n"/>
      <c r="B31" s="246" t="n"/>
      <c r="C31" s="246" t="n"/>
      <c r="D31" s="246" t="n"/>
      <c r="E31" s="246" t="n"/>
      <c r="F31" s="246" t="n"/>
      <c r="G31" s="246" t="n"/>
      <c r="H31" s="1144" t="n"/>
    </row>
    <row r="32">
      <c r="A32" s="560" t="inlineStr">
        <is>
          <t>Furniture and Equipment</t>
        </is>
      </c>
      <c r="B32" s="254" t="n"/>
      <c r="C32" s="254" t="n"/>
      <c r="D32" s="254" t="n"/>
      <c r="E32" s="254" t="n"/>
      <c r="F32" s="1151">
        <f>'Detailed Project Costs'!F86</f>
        <v/>
      </c>
      <c r="G32" s="1151" t="n"/>
      <c r="H32" s="1148">
        <f>F32/$C$4</f>
        <v/>
      </c>
    </row>
    <row r="33" ht="3" customHeight="1">
      <c r="A33" s="245" t="n"/>
      <c r="B33" s="246" t="n"/>
      <c r="C33" s="246" t="n"/>
      <c r="D33" s="246" t="n"/>
      <c r="E33" s="246" t="n"/>
      <c r="F33" s="246" t="n"/>
      <c r="G33" s="246" t="n"/>
      <c r="H33" s="1144" t="n"/>
    </row>
    <row r="34" ht="6" customHeight="1">
      <c r="A34" s="245" t="n"/>
      <c r="B34" s="246" t="n"/>
      <c r="C34" s="246" t="n"/>
      <c r="D34" s="246" t="n"/>
      <c r="E34" s="246" t="n"/>
      <c r="F34" s="246" t="n"/>
      <c r="G34" s="246" t="n"/>
      <c r="H34" s="1144" t="n"/>
    </row>
    <row r="35" ht="14.1" customHeight="1" thickBot="1">
      <c r="A35" s="569" t="inlineStr">
        <is>
          <t>Total Cost Budget</t>
        </is>
      </c>
      <c r="B35" s="256" t="n"/>
      <c r="C35" s="256" t="n"/>
      <c r="D35" s="256" t="n"/>
      <c r="E35" s="256" t="n"/>
      <c r="F35" s="1152">
        <f>SUM(F8:F32)</f>
        <v/>
      </c>
      <c r="G35" s="1153" t="n"/>
      <c r="H35" s="1154">
        <f>F35/$C$4</f>
        <v/>
      </c>
    </row>
    <row r="36" ht="14.1" customHeight="1" thickTop="1">
      <c r="A36" s="8" t="n"/>
      <c r="B36" s="257" t="n"/>
      <c r="C36" s="257" t="n"/>
      <c r="D36" s="257" t="n"/>
      <c r="E36" s="257" t="n"/>
      <c r="F36" s="1155" t="n"/>
      <c r="G36" s="1155" t="n"/>
      <c r="H36" s="1156" t="n"/>
    </row>
    <row r="37">
      <c r="A37" s="575" t="inlineStr">
        <is>
          <t>Operating Budget</t>
        </is>
      </c>
      <c r="B37" s="9" t="n"/>
      <c r="C37" s="9" t="n"/>
      <c r="D37" s="9" t="n"/>
      <c r="E37" s="9" t="n"/>
      <c r="F37" s="9" t="n"/>
      <c r="G37" s="9" t="n"/>
      <c r="H37" s="1150" t="n"/>
    </row>
    <row r="38" ht="6" customHeight="1">
      <c r="A38" s="33" t="n"/>
      <c r="B38" s="9" t="n"/>
      <c r="C38" s="9" t="n"/>
      <c r="D38" s="9" t="n"/>
      <c r="E38" s="9" t="n"/>
      <c r="F38" s="9" t="n"/>
      <c r="G38" s="9" t="n"/>
      <c r="H38" s="1150" t="n"/>
    </row>
    <row r="39">
      <c r="A39" s="560" t="inlineStr">
        <is>
          <t>Rental Income</t>
        </is>
      </c>
      <c r="B39" s="254" t="n"/>
      <c r="C39" s="254" t="n"/>
      <c r="D39" s="254" t="n"/>
      <c r="E39" s="254" t="n"/>
      <c r="F39" s="1151">
        <f>'Project Returns'!G15</f>
        <v/>
      </c>
      <c r="G39" s="1151" t="n"/>
      <c r="H39" s="1148">
        <f>F39/$C$4</f>
        <v/>
      </c>
    </row>
    <row r="40" ht="3" customHeight="1">
      <c r="A40" s="8" t="n"/>
      <c r="B40" s="9" t="n"/>
      <c r="C40" s="9" t="n"/>
      <c r="D40" s="9" t="n"/>
      <c r="E40" s="9" t="n"/>
      <c r="F40" s="1149" t="n"/>
      <c r="G40" s="1149" t="n"/>
      <c r="H40" s="1150" t="n"/>
    </row>
    <row r="41">
      <c r="A41" s="1157" t="inlineStr">
        <is>
          <t>Parking Income</t>
        </is>
      </c>
      <c r="B41" s="9" t="n"/>
      <c r="C41" s="9" t="n"/>
      <c r="D41" s="9" t="n"/>
      <c r="E41" s="9" t="n"/>
      <c r="F41" s="1158">
        <f>'Project Returns'!G16</f>
        <v/>
      </c>
      <c r="G41" s="1149" t="n"/>
      <c r="H41" s="1150">
        <f>F41/$C$4</f>
        <v/>
      </c>
    </row>
    <row r="42" ht="3" customHeight="1">
      <c r="A42" s="1157" t="n"/>
      <c r="B42" s="9" t="n"/>
      <c r="C42" s="9" t="n"/>
      <c r="D42" s="9" t="n"/>
      <c r="E42" s="9" t="n"/>
      <c r="F42" s="1149" t="n"/>
      <c r="G42" s="1149" t="n"/>
      <c r="H42" s="1150" t="n"/>
    </row>
    <row r="43">
      <c r="A43" s="560" t="inlineStr">
        <is>
          <t>Vacancy</t>
        </is>
      </c>
      <c r="B43" s="254" t="n"/>
      <c r="C43" s="254" t="n"/>
      <c r="D43" s="254" t="n"/>
      <c r="E43" s="254" t="n"/>
      <c r="F43" s="1151">
        <f>'Project Returns'!G17</f>
        <v/>
      </c>
      <c r="G43" s="1151" t="n"/>
      <c r="H43" s="1148">
        <f>F43/$C$4</f>
        <v/>
      </c>
    </row>
    <row r="44" ht="3" customHeight="1">
      <c r="A44" s="8" t="n"/>
      <c r="B44" s="9" t="n"/>
      <c r="C44" s="9" t="n"/>
      <c r="D44" s="9" t="n"/>
      <c r="E44" s="9" t="n"/>
      <c r="F44" s="1149" t="n"/>
      <c r="G44" s="1149" t="n"/>
      <c r="H44" s="1150" t="n"/>
    </row>
    <row r="45">
      <c r="A45" s="8" t="inlineStr">
        <is>
          <t>Structural Reserve</t>
        </is>
      </c>
      <c r="B45" s="9" t="n"/>
      <c r="C45" s="9" t="n"/>
      <c r="D45" s="9" t="n"/>
      <c r="E45" s="9" t="n"/>
      <c r="F45" s="1149">
        <f>'Project Returns'!G18</f>
        <v/>
      </c>
      <c r="G45" s="1149" t="n"/>
      <c r="H45" s="1150">
        <f>F45/$C$4</f>
        <v/>
      </c>
    </row>
    <row r="46" ht="3" customHeight="1">
      <c r="A46" s="8" t="n"/>
      <c r="B46" s="9" t="n"/>
      <c r="C46" s="9" t="n"/>
      <c r="D46" s="9" t="n"/>
      <c r="E46" s="9" t="n"/>
      <c r="F46" s="1149" t="n"/>
      <c r="G46" s="1149" t="n"/>
      <c r="H46" s="1150" t="n"/>
    </row>
    <row r="47">
      <c r="A47" s="560" t="inlineStr">
        <is>
          <t>Operating Expenses</t>
        </is>
      </c>
      <c r="B47" s="254" t="n"/>
      <c r="C47" s="254" t="n"/>
      <c r="D47" s="254" t="n"/>
      <c r="E47" s="254" t="n"/>
      <c r="F47" s="1151">
        <f>'Project Returns'!G19</f>
        <v/>
      </c>
      <c r="G47" s="1151" t="n"/>
      <c r="H47" s="1148">
        <f>F47/$C$4</f>
        <v/>
      </c>
    </row>
    <row r="48" ht="6" customHeight="1">
      <c r="A48" s="8" t="n"/>
      <c r="B48" s="9" t="n"/>
      <c r="C48" s="9" t="n"/>
      <c r="D48" s="9" t="n"/>
      <c r="E48" s="9" t="n"/>
      <c r="F48" s="1149" t="n"/>
      <c r="G48" s="1149" t="n"/>
      <c r="H48" s="1150" t="n"/>
    </row>
    <row r="49" ht="14.1" customHeight="1" thickBot="1">
      <c r="A49" s="569" t="inlineStr">
        <is>
          <t>Net Operating Income</t>
        </is>
      </c>
      <c r="B49" s="256" t="n"/>
      <c r="C49" s="256" t="n"/>
      <c r="D49" s="256" t="n"/>
      <c r="E49" s="258" t="n"/>
      <c r="F49" s="1159">
        <f>F39+F41+F43+F45+F47</f>
        <v/>
      </c>
      <c r="G49" s="1160" t="n"/>
      <c r="H49" s="1161">
        <f>F49/$C$4</f>
        <v/>
      </c>
    </row>
    <row r="50" ht="6" customHeight="1" thickTop="1">
      <c r="A50" s="410" t="n"/>
      <c r="B50" s="257" t="n"/>
      <c r="C50" s="257" t="n"/>
      <c r="D50" s="257" t="n"/>
      <c r="E50" s="257" t="n"/>
      <c r="F50" s="1155" t="n"/>
      <c r="G50" s="1155" t="n"/>
      <c r="H50" s="1156" t="n"/>
    </row>
    <row r="51" ht="6" customHeight="1">
      <c r="A51" s="8" t="n"/>
      <c r="B51" s="9" t="n"/>
      <c r="C51" s="9" t="n"/>
      <c r="D51" s="9" t="n"/>
      <c r="E51" s="9" t="n"/>
      <c r="F51" s="9" t="n"/>
      <c r="G51" s="9" t="n"/>
      <c r="H51" s="1162" t="n"/>
    </row>
    <row r="52" ht="14.1" customHeight="1" thickBot="1">
      <c r="A52" s="1163" t="inlineStr">
        <is>
          <t>Project Yield</t>
        </is>
      </c>
      <c r="B52" s="259" t="n"/>
      <c r="C52" s="259" t="n"/>
      <c r="D52" s="259" t="n"/>
      <c r="E52" s="259" t="n"/>
      <c r="F52" s="583">
        <f>F49/F35</f>
        <v/>
      </c>
      <c r="G52" s="584" t="n"/>
      <c r="H52" s="1164" t="n"/>
    </row>
    <row r="53"/>
    <row r="54"/>
    <row r="55"/>
    <row r="56">
      <c r="D56" s="1" t="inlineStr">
        <is>
          <t>Cap Rate</t>
        </is>
      </c>
      <c r="F56" s="1" t="n">
        <v>0.065</v>
      </c>
    </row>
    <row r="57">
      <c r="D57" s="1" t="inlineStr">
        <is>
          <t>Dev Spread</t>
        </is>
      </c>
      <c r="F57" s="1" t="n">
        <v>0.025</v>
      </c>
    </row>
    <row r="58"/>
    <row r="59">
      <c r="D59" s="1" t="inlineStr">
        <is>
          <t>Required Yield</t>
        </is>
      </c>
      <c r="F59" s="1">
        <f>F57+F56</f>
        <v/>
      </c>
    </row>
    <row r="60">
      <c r="G60" s="1165" t="n"/>
    </row>
    <row r="61">
      <c r="D61" s="1" t="inlineStr">
        <is>
          <t>Gap</t>
        </is>
      </c>
      <c r="F61" s="655">
        <f>F52-F59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9C69rfC9R/RsopEjy7Fhw==" formatRows="1" sort="1" spinCount="100000" hashValue="LbTxaWocJT6K+8PuneioADqma+WPJSZ7pQ0Cu1Z2rGKnyEt+3Gy5Dq1cjUVuAICXOJ4TSwPD05yBWmkWnWa9rw=="/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21">
    <outlinePr showOutlineSymbols="0"/>
    <pageSetUpPr/>
  </sheetPr>
  <dimension ref="A1:AP25"/>
  <sheetViews>
    <sheetView showGridLines="0" showOutlineSymbols="0" workbookViewId="0">
      <selection activeCell="J8" sqref="J8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Assumptions'!A10</f>
        <v/>
      </c>
      <c r="C5" s="1169" t="n"/>
      <c r="D5" s="628">
        <f>'Economic Assumptions'!C10</f>
        <v/>
      </c>
      <c r="E5" s="1171">
        <f>'Economic Assumptions'!D10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177">
        <f>E8/12</f>
        <v/>
      </c>
      <c r="E8" s="1178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177">
        <f>E9/12</f>
        <v/>
      </c>
      <c r="E9" s="1178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177">
        <f>E10/12</f>
        <v/>
      </c>
      <c r="E10" s="1178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177">
        <f>E11/12</f>
        <v/>
      </c>
      <c r="E11" s="1178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177">
        <f>E12/12</f>
        <v/>
      </c>
      <c r="E12" s="1178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177">
        <f>E13/12</f>
        <v/>
      </c>
      <c r="E13" s="1178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177">
        <f>E14/12</f>
        <v/>
      </c>
      <c r="E14" s="1178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177">
        <f>E15/12</f>
        <v/>
      </c>
      <c r="E15" s="1178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177">
        <f>E16/12</f>
        <v/>
      </c>
      <c r="E16" s="1178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188">
        <f>E17/12</f>
        <v/>
      </c>
      <c r="E17" s="1189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177">
        <f>E18/12</f>
        <v/>
      </c>
      <c r="E18" s="1178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177">
        <f>E19/12</f>
        <v/>
      </c>
      <c r="E19" s="1178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177">
        <f>E20/12</f>
        <v/>
      </c>
      <c r="E20" s="1178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177">
        <f>E21/12</f>
        <v/>
      </c>
      <c r="E21" s="1178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00">
        <f>E22/12</f>
        <v/>
      </c>
      <c r="E22" s="1201">
        <f>C22*$D$5</f>
        <v/>
      </c>
      <c r="G22" s="601" t="inlineStr">
        <is>
          <t>TOTALS</t>
        </is>
      </c>
      <c r="H22" s="1202">
        <f>H20*'Economic Assumptions'!C10</f>
        <v/>
      </c>
      <c r="I22" s="1203">
        <f>I20*'Economic Assumptions'!C10</f>
        <v/>
      </c>
      <c r="J22" s="1204">
        <f>J20*'Economic Assumptions'!C10</f>
        <v/>
      </c>
    </row>
    <row r="23" ht="12.6" customHeight="1" thickTop="1">
      <c r="D23" s="1205" t="n"/>
      <c r="E23" s="1206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1207" t="n"/>
      <c r="E24" s="1166" t="n"/>
      <c r="G24" s="600" t="n"/>
      <c r="H24" s="597" t="n"/>
      <c r="J24" s="603" t="n"/>
      <c r="AF24" s="554" t="n"/>
      <c r="AJ24" s="554" t="n"/>
    </row>
    <row r="25">
      <c r="D25" s="1207" t="n"/>
      <c r="E25" s="1166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22">
    <outlinePr showOutlineSymbols="0"/>
    <pageSetUpPr/>
  </sheetPr>
  <dimension ref="A1:AP24"/>
  <sheetViews>
    <sheetView showGridLines="0" showOutlineSymbols="0" topLeftCell="D1" workbookViewId="0">
      <selection activeCell="G5" sqref="G5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Assumptions'!A11</f>
        <v/>
      </c>
      <c r="C5" s="1169" t="n"/>
      <c r="D5" s="628">
        <f>'Economic Assumptions'!C11</f>
        <v/>
      </c>
      <c r="E5" s="1171">
        <f>'Economic Assumptions'!D11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(TOTAL)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3">
    <outlinePr showOutlineSymbols="0"/>
    <pageSetUpPr/>
  </sheetPr>
  <dimension ref="A1:AP24"/>
  <sheetViews>
    <sheetView showGridLines="0" showOutlineSymbols="0" workbookViewId="0">
      <selection activeCell="L14" sqref="L14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Assumptions'!A12</f>
        <v/>
      </c>
      <c r="C5" s="1169" t="n"/>
      <c r="D5" s="628">
        <f>'Economic Assumptions'!C12</f>
        <v/>
      </c>
      <c r="E5" s="1171">
        <f>'Economic Assumptions'!D12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24">
    <outlinePr showOutlineSymbols="0"/>
    <pageSetUpPr/>
  </sheetPr>
  <dimension ref="A1:AP24"/>
  <sheetViews>
    <sheetView showGridLines="0" showOutlineSymbols="0" workbookViewId="0">
      <selection activeCell="G5" sqref="G5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Assumptions'!A13</f>
        <v/>
      </c>
      <c r="C5" s="1169" t="n"/>
      <c r="D5" s="628">
        <f>'Economic Assumptions'!C13</f>
        <v/>
      </c>
      <c r="E5" s="1171">
        <f>'Economic Assumptions'!D13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5">
    <outlinePr showOutlineSymbols="0"/>
    <pageSetUpPr/>
  </sheetPr>
  <dimension ref="A1:AP24"/>
  <sheetViews>
    <sheetView showGridLines="0" showOutlineSymbols="0" workbookViewId="0">
      <selection activeCell="L8" sqref="L8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Assumptions'!A14</f>
        <v/>
      </c>
      <c r="C5" s="1169" t="n"/>
      <c r="D5" s="628">
        <f>'Economic Assumptions'!C14</f>
        <v/>
      </c>
      <c r="E5" s="1171">
        <f>'Economic Assumptions'!D14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26">
    <outlinePr showOutlineSymbols="0"/>
    <pageSetUpPr/>
  </sheetPr>
  <dimension ref="A1:AP24"/>
  <sheetViews>
    <sheetView showGridLines="0" showOutlineSymbols="0" workbookViewId="0">
      <selection activeCell="G5" sqref="G5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Assumptions'!A15</f>
        <v/>
      </c>
      <c r="C5" s="1169" t="n"/>
      <c r="D5" s="628">
        <f>'Economic Assumptions'!C15</f>
        <v/>
      </c>
      <c r="E5" s="1171">
        <f>'Economic Assumptions'!D15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27">
    <outlinePr showOutlineSymbols="0"/>
    <pageSetUpPr/>
  </sheetPr>
  <dimension ref="A1:AP24"/>
  <sheetViews>
    <sheetView showGridLines="0" showOutlineSymbols="0" workbookViewId="0">
      <selection activeCell="I7" sqref="I7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Assumptions'!A16</f>
        <v/>
      </c>
      <c r="C5" s="1169" t="n"/>
      <c r="D5" s="628">
        <f>'Economic Assumptions'!C16</f>
        <v/>
      </c>
      <c r="E5" s="1171">
        <f>'Economic Assumptions'!D16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8">
    <outlinePr showOutlineSymbols="0"/>
    <pageSetUpPr/>
  </sheetPr>
  <dimension ref="A1:AP24"/>
  <sheetViews>
    <sheetView showGridLines="0" showOutlineSymbols="0" workbookViewId="0">
      <selection activeCell="I7" sqref="I7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Assumptions'!A17</f>
        <v/>
      </c>
      <c r="C5" s="1169" t="n"/>
      <c r="D5" s="628">
        <f>'Economic Assumptions'!C17</f>
        <v/>
      </c>
      <c r="E5" s="1171">
        <f>'Economic Assumptions'!D17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9">
    <outlinePr showOutlineSymbols="0"/>
    <pageSetUpPr/>
  </sheetPr>
  <dimension ref="A1:AP24"/>
  <sheetViews>
    <sheetView showGridLines="0" showOutlineSymbols="0" workbookViewId="0">
      <selection activeCell="I7" sqref="I7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Assumptions'!A18</f>
        <v/>
      </c>
      <c r="C5" s="1169" t="n"/>
      <c r="D5" s="628">
        <f>'Economic Assumptions'!C18</f>
        <v/>
      </c>
      <c r="E5" s="1171">
        <f>'Economic Assumptions'!D18</f>
        <v/>
      </c>
      <c r="F5" s="1172" t="n"/>
      <c r="G5" s="1173">
        <f>'Economic Assumptions'!$G$32</f>
        <v/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30">
    <outlinePr showOutlineSymbols="0"/>
    <pageSetUpPr/>
  </sheetPr>
  <dimension ref="A1:AP24"/>
  <sheetViews>
    <sheetView showGridLines="0" showOutlineSymbols="0" workbookViewId="0">
      <selection activeCell="G7" sqref="G7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Assumptions'!A19</f>
        <v/>
      </c>
      <c r="C5" s="1169" t="n"/>
      <c r="D5" s="628">
        <f>'Economic Assumptions'!C19</f>
        <v/>
      </c>
      <c r="E5" s="1171">
        <f>'Economic Assumptions'!D19</f>
        <v/>
      </c>
      <c r="F5" s="1172" t="n"/>
      <c r="G5" s="1173" t="n">
        <v>0</v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31">
    <outlinePr showOutlineSymbols="0"/>
    <pageSetUpPr/>
  </sheetPr>
  <dimension ref="A1:AP24"/>
  <sheetViews>
    <sheetView showGridLines="0" showOutlineSymbols="0" workbookViewId="0">
      <selection activeCell="G7" sqref="G7"/>
    </sheetView>
  </sheetViews>
  <sheetFormatPr baseColWidth="8" defaultColWidth="9.140625" defaultRowHeight="12.4"/>
  <cols>
    <col width="9.140625" customWidth="1" style="554" min="1" max="1"/>
    <col width="15.42578125" customWidth="1" style="554" min="2" max="2"/>
    <col width="12.42578125" customWidth="1" style="554" min="3" max="3"/>
    <col width="14.140625" customWidth="1" style="554" min="4" max="4"/>
    <col width="15" customWidth="1" style="555" min="5" max="5"/>
    <col width="2.42578125" customWidth="1" style="555" min="6" max="6"/>
    <col width="18.140625" bestFit="1" customWidth="1" style="600" min="7" max="7"/>
    <col width="10.140625" bestFit="1" customWidth="1" style="555" min="8" max="8"/>
    <col width="12.5703125" bestFit="1" customWidth="1" style="555" min="9" max="9"/>
    <col width="12" customWidth="1" style="555" min="10" max="10"/>
    <col width="12.42578125" customWidth="1" style="555" min="11" max="11"/>
    <col width="9.140625" customWidth="1" style="555" min="12" max="20"/>
    <col outlineLevel="1" width="9.140625" customWidth="1" style="555" min="21" max="26"/>
    <col width="9.140625" customWidth="1" style="555" min="27" max="27"/>
    <col width="1.5703125" customWidth="1" style="555" min="28" max="28"/>
    <col width="9.140625" customWidth="1" style="555" min="29" max="31"/>
    <col width="1.5703125" customWidth="1" style="554" min="32" max="32"/>
    <col width="14.42578125" bestFit="1" customWidth="1" style="555" min="33" max="33"/>
    <col width="12.5703125" bestFit="1" customWidth="1" style="555" min="34" max="35"/>
    <col width="1.5703125" customWidth="1" style="554" min="36" max="36"/>
    <col width="12.5703125" customWidth="1" style="555" min="37" max="38"/>
    <col width="12.5703125" bestFit="1" customWidth="1" style="555" min="39" max="39"/>
    <col width="12.5703125" customWidth="1" style="555" min="40" max="41"/>
    <col width="13.85546875" bestFit="1" customWidth="1" style="555" min="42" max="42"/>
    <col width="9.140625" customWidth="1" style="554" min="43" max="16384"/>
  </cols>
  <sheetData>
    <row r="1" ht="12.6" customHeight="1" thickBot="1">
      <c r="AN1" s="1166">
        <f>SUM(#REF!)</f>
        <v/>
      </c>
      <c r="AO1" s="1166">
        <f>SUM(#REF!)</f>
        <v/>
      </c>
      <c r="AP1" s="1167">
        <f>SUM(#REF!)</f>
        <v/>
      </c>
    </row>
    <row r="2"/>
    <row r="3"/>
    <row r="4">
      <c r="B4" s="1168" t="inlineStr">
        <is>
          <t>Tenant</t>
        </is>
      </c>
      <c r="C4" s="1169" t="n"/>
      <c r="D4" s="625" t="inlineStr">
        <is>
          <t>Total RSF</t>
        </is>
      </c>
      <c r="E4" s="627" t="inlineStr">
        <is>
          <t>Rental Rate</t>
        </is>
      </c>
      <c r="F4" s="623" t="n"/>
      <c r="G4" s="880" t="inlineStr">
        <is>
          <t>OPEX</t>
        </is>
      </c>
      <c r="H4" s="599" t="inlineStr">
        <is>
          <t>Gross Rent</t>
        </is>
      </c>
      <c r="I4" s="556" t="inlineStr">
        <is>
          <t>Term</t>
        </is>
      </c>
      <c r="J4" s="556" t="inlineStr">
        <is>
          <t>Escalation</t>
        </is>
      </c>
    </row>
    <row r="5">
      <c r="B5" s="1170">
        <f>'Economic Assumptions'!A20</f>
        <v/>
      </c>
      <c r="C5" s="1169" t="n"/>
      <c r="D5" s="628">
        <f>'Economic Assumptions'!C20</f>
        <v/>
      </c>
      <c r="E5" s="1171">
        <f>'Economic Assumptions'!D20</f>
        <v/>
      </c>
      <c r="F5" s="1172" t="n"/>
      <c r="G5" s="1173" t="n">
        <v>0</v>
      </c>
      <c r="H5" s="1174">
        <f>SUM(E5:G5)</f>
        <v/>
      </c>
      <c r="I5" s="1233" t="n"/>
      <c r="J5" s="1234" t="n"/>
    </row>
    <row r="6">
      <c r="B6" s="555" t="n"/>
      <c r="C6" s="555" t="n"/>
      <c r="D6" s="555" t="n"/>
    </row>
    <row r="7" ht="24.6" customHeight="1">
      <c r="C7" s="625" t="inlineStr">
        <is>
          <t>Gross Rent PSF</t>
        </is>
      </c>
      <c r="D7" s="639" t="inlineStr">
        <is>
          <t>$/Month</t>
        </is>
      </c>
      <c r="E7" s="639" t="inlineStr">
        <is>
          <t>Total</t>
        </is>
      </c>
    </row>
    <row r="8" ht="14.45" customHeight="1">
      <c r="B8" s="1175" t="n">
        <v>1</v>
      </c>
      <c r="C8" s="1176">
        <f>IF($B8=1, $H5, IF($B8&lt;=$I5, J5*(1+$J5), 0))</f>
        <v/>
      </c>
      <c r="D8" s="1208">
        <f>E8/12</f>
        <v/>
      </c>
      <c r="E8" s="1209">
        <f>C8*$D$5</f>
        <v/>
      </c>
      <c r="G8" s="739" t="n"/>
      <c r="H8" s="740" t="inlineStr">
        <is>
          <t>(Years 1-10)</t>
        </is>
      </c>
      <c r="I8" s="740" t="n"/>
      <c r="J8" s="1179">
        <f>SUM(C8:C17)</f>
        <v/>
      </c>
    </row>
    <row r="9" ht="14.45" customHeight="1">
      <c r="B9" s="1180" t="n">
        <v>2</v>
      </c>
      <c r="C9" s="1181">
        <f>IF($B9=1, $H$5, IF($B9&lt;=$I$5, C8*(1+$J$5), 0))</f>
        <v/>
      </c>
      <c r="D9" s="1208">
        <f>E9/12</f>
        <v/>
      </c>
      <c r="E9" s="1209">
        <f>C9*$D$5</f>
        <v/>
      </c>
      <c r="G9" s="742" t="n"/>
      <c r="H9" s="740" t="inlineStr">
        <is>
          <t>(Years 11-15)</t>
        </is>
      </c>
      <c r="I9" s="740" t="n"/>
      <c r="J9" s="1179">
        <f>SUM(C18:C22)</f>
        <v/>
      </c>
    </row>
    <row r="10" ht="14.45" customHeight="1">
      <c r="B10" s="1180" t="n">
        <v>3</v>
      </c>
      <c r="C10" s="1181">
        <f>IF($B10=1, $H$5, IF($B10&lt;=$I$5, C9*(1+$J$5), 0))</f>
        <v/>
      </c>
      <c r="D10" s="1208">
        <f>E10/12</f>
        <v/>
      </c>
      <c r="E10" s="1209">
        <f>C10*$D$5</f>
        <v/>
      </c>
      <c r="G10" s="743" t="n"/>
      <c r="H10" s="744" t="inlineStr">
        <is>
          <t>(Years 1-15)</t>
        </is>
      </c>
      <c r="I10" s="744" t="n"/>
      <c r="J10" s="1182">
        <f>J8+J9</f>
        <v/>
      </c>
    </row>
    <row r="11" ht="14.45" customHeight="1">
      <c r="B11" s="1180" t="n">
        <v>4</v>
      </c>
      <c r="C11" s="1181">
        <f>IF($B11=1, $H$5, IF($B11&lt;=$I$5, C10*(1+$J$5), 0))</f>
        <v/>
      </c>
      <c r="D11" s="1208">
        <f>E11/12</f>
        <v/>
      </c>
      <c r="E11" s="1209">
        <f>C11*$D$5</f>
        <v/>
      </c>
    </row>
    <row r="12" ht="14.45" customHeight="1">
      <c r="B12" s="1180" t="n">
        <v>5</v>
      </c>
      <c r="C12" s="1181">
        <f>IF($B12=1, $H$5, IF($B12&lt;=$I$5, C11*(1+$J$5), 0))</f>
        <v/>
      </c>
      <c r="D12" s="1208">
        <f>E12/12</f>
        <v/>
      </c>
      <c r="E12" s="1209">
        <f>C12*$D$5</f>
        <v/>
      </c>
      <c r="H12" s="1183" t="inlineStr">
        <is>
          <t>ATL Market LC's</t>
        </is>
      </c>
      <c r="I12" s="1184" t="n"/>
      <c r="J12" s="1169" t="n"/>
    </row>
    <row r="13" ht="14.45" customHeight="1">
      <c r="B13" s="1180" t="n">
        <v>6</v>
      </c>
      <c r="C13" s="1181">
        <f>IF($B13=1, $H$5, IF($B13&lt;=$I$5, C12*(1+$J$5), 0))</f>
        <v/>
      </c>
      <c r="D13" s="1208">
        <f>E13/12</f>
        <v/>
      </c>
      <c r="E13" s="1209">
        <f>C13*$D$5</f>
        <v/>
      </c>
      <c r="G13" s="910" t="n"/>
      <c r="H13" s="612" t="inlineStr">
        <is>
          <t>TR</t>
        </is>
      </c>
      <c r="I13" s="613" t="inlineStr">
        <is>
          <t>LL</t>
        </is>
      </c>
      <c r="J13" s="606" t="inlineStr">
        <is>
          <t>TR + LL</t>
        </is>
      </c>
    </row>
    <row r="14" ht="14.45" customFormat="1" customHeight="1" s="555">
      <c r="B14" s="1180" t="n">
        <v>7</v>
      </c>
      <c r="C14" s="1181">
        <f>IF($B14=1, $H$5, IF($B14&lt;=$I$5, C13*(1+$J$5), 0))</f>
        <v/>
      </c>
      <c r="D14" s="1208">
        <f>E14/12</f>
        <v/>
      </c>
      <c r="E14" s="1209">
        <f>C14*$D$5</f>
        <v/>
      </c>
      <c r="G14" s="600" t="inlineStr">
        <is>
          <t>Commission % 1-10</t>
        </is>
      </c>
      <c r="H14" s="1185" t="n"/>
      <c r="I14" s="1186" t="n"/>
      <c r="J14" s="1187">
        <f>SUM(H14:I14)</f>
        <v/>
      </c>
      <c r="AF14" s="554" t="n"/>
      <c r="AJ14" s="554" t="n"/>
    </row>
    <row r="15" ht="14.45" customFormat="1" customHeight="1" s="555">
      <c r="B15" s="1180" t="n">
        <v>8</v>
      </c>
      <c r="C15" s="1181">
        <f>IF($B15=1, $H$5, IF($B15&lt;=$I$5, C14*(1+$J$5), 0))</f>
        <v/>
      </c>
      <c r="D15" s="1208">
        <f>E15/12</f>
        <v/>
      </c>
      <c r="E15" s="1209">
        <f>C15*$D$5</f>
        <v/>
      </c>
      <c r="G15" s="600" t="inlineStr">
        <is>
          <t>Commission % 11+</t>
        </is>
      </c>
      <c r="H15" s="1185" t="n"/>
      <c r="I15" s="1186" t="n"/>
      <c r="J15" s="1187">
        <f>SUM(H15:I15)</f>
        <v/>
      </c>
      <c r="AF15" s="554" t="n"/>
      <c r="AJ15" s="554" t="n"/>
    </row>
    <row r="16" ht="14.45" customFormat="1" customHeight="1" s="555">
      <c r="B16" s="1180" t="n">
        <v>9</v>
      </c>
      <c r="C16" s="1181">
        <f>IF($B16=1, $H$5, IF($B16&lt;=$I$5, C15*(1+$J$5), 0))</f>
        <v/>
      </c>
      <c r="D16" s="1208">
        <f>E16/12</f>
        <v/>
      </c>
      <c r="E16" s="1209">
        <f>C16*$D$5</f>
        <v/>
      </c>
      <c r="G16" s="600" t="n"/>
      <c r="H16" s="616" t="n"/>
      <c r="I16" s="617" t="n"/>
      <c r="J16" s="616" t="n"/>
      <c r="AF16" s="554" t="n"/>
      <c r="AJ16" s="554" t="n"/>
    </row>
    <row r="17" ht="15" customFormat="1" customHeight="1" s="555">
      <c r="B17" s="1180" t="n">
        <v>10</v>
      </c>
      <c r="C17" s="1181">
        <f>IF($B17=1, $H$5, IF($B17&lt;=$I$5, C16*(1+$J$5), 0))</f>
        <v/>
      </c>
      <c r="D17" s="1210">
        <f>E17/12</f>
        <v/>
      </c>
      <c r="E17" s="1211">
        <f>C17*$D$5</f>
        <v/>
      </c>
      <c r="G17" s="911" t="inlineStr">
        <is>
          <t>Lease Commissions</t>
        </is>
      </c>
      <c r="H17" s="1190">
        <f>IF(J9=0,J8*$H$14,((J8-H19)*$H$14+J9*$H$15))</f>
        <v/>
      </c>
      <c r="I17" s="1191">
        <f>IF(J9=0,J8*$I$14,((J8-I19)*$I$14+J9*$I$15))</f>
        <v/>
      </c>
      <c r="J17" s="1190">
        <f>H17+I17</f>
        <v/>
      </c>
      <c r="AF17" s="554" t="n"/>
      <c r="AJ17" s="554" t="n"/>
    </row>
    <row r="18" ht="14.45" customFormat="1" customHeight="1" s="555">
      <c r="B18" s="1192" t="n">
        <v>11</v>
      </c>
      <c r="C18" s="1193">
        <f>IF($B18=1, $H$5, IF($B18&lt;=$I$5, C17*(1+$J$5), 0))</f>
        <v/>
      </c>
      <c r="D18" s="1208">
        <f>E18/12</f>
        <v/>
      </c>
      <c r="E18" s="1209">
        <f>C18*$D$5</f>
        <v/>
      </c>
      <c r="G18" s="601" t="n"/>
      <c r="H18" s="619" t="n"/>
      <c r="I18" s="617" t="n"/>
      <c r="J18" s="1194" t="n"/>
      <c r="AF18" s="554" t="n"/>
      <c r="AJ18" s="554" t="n"/>
    </row>
    <row r="19" ht="14.45" customFormat="1" customHeight="1" s="555">
      <c r="B19" s="1180" t="n">
        <v>12</v>
      </c>
      <c r="C19" s="1181">
        <f>IF($B19=1, $H$5, IF($B19&lt;=$I$5, C18*(1+$J$5), 0))</f>
        <v/>
      </c>
      <c r="D19" s="1208">
        <f>E19/12</f>
        <v/>
      </c>
      <c r="E19" s="1209">
        <f>C19*$D$5</f>
        <v/>
      </c>
      <c r="G19" s="605" t="inlineStr">
        <is>
          <t>Pro Fee</t>
        </is>
      </c>
      <c r="H19" s="1195">
        <f>J19</f>
        <v/>
      </c>
      <c r="I19" s="1196">
        <f>J19*0.5</f>
        <v/>
      </c>
      <c r="J19" s="1197">
        <f>C8/12</f>
        <v/>
      </c>
      <c r="AF19" s="554" t="n"/>
      <c r="AJ19" s="554" t="n"/>
    </row>
    <row r="20" ht="14.45" customFormat="1" customHeight="1" s="555">
      <c r="B20" s="1180" t="n">
        <v>13</v>
      </c>
      <c r="C20" s="1181">
        <f>IF($B20=1, $H$5, IF($B20&lt;=$I$5, C19*(1+$J$5), 0))</f>
        <v/>
      </c>
      <c r="D20" s="1208">
        <f>E20/12</f>
        <v/>
      </c>
      <c r="E20" s="1209">
        <f>C20*$D$5</f>
        <v/>
      </c>
      <c r="G20" s="915" t="inlineStr">
        <is>
          <t>(1st month's rent)</t>
        </is>
      </c>
      <c r="H20" s="1190">
        <f>H17+H19</f>
        <v/>
      </c>
      <c r="I20" s="1191">
        <f>I17+I19</f>
        <v/>
      </c>
      <c r="J20" s="1190">
        <f>SUM(H20:I20)</f>
        <v/>
      </c>
      <c r="AF20" s="554" t="n"/>
      <c r="AJ20" s="554" t="n"/>
    </row>
    <row r="21" ht="14.45" customFormat="1" customHeight="1" s="555">
      <c r="B21" s="1180" t="n">
        <v>14</v>
      </c>
      <c r="C21" s="1181">
        <f>IF($B21=1, $H$5, IF($B21&lt;=$I$5, C20*(1+$J$5), 0))</f>
        <v/>
      </c>
      <c r="D21" s="1208">
        <f>E21/12</f>
        <v/>
      </c>
      <c r="E21" s="1209">
        <f>C21*$D$5</f>
        <v/>
      </c>
      <c r="G21" s="600" t="n"/>
      <c r="H21" s="616" t="n"/>
      <c r="I21" s="617" t="n"/>
      <c r="J21" s="616" t="n"/>
      <c r="AF21" s="554" t="n"/>
      <c r="AJ21" s="554" t="n"/>
    </row>
    <row r="22" ht="14.65" customHeight="1" thickBot="1">
      <c r="B22" s="1198" t="n">
        <v>15</v>
      </c>
      <c r="C22" s="1199">
        <f>IF($B22=1, $H$5, IF($B22&lt;=$I$5, C21*(1+$J$5), 0))</f>
        <v/>
      </c>
      <c r="D22" s="1212">
        <f>E22/12</f>
        <v/>
      </c>
      <c r="E22" s="1213">
        <f>C22*$D$5</f>
        <v/>
      </c>
      <c r="G22" s="601" t="inlineStr">
        <is>
          <t>TOTALS</t>
        </is>
      </c>
      <c r="H22" s="1202">
        <f>H20*$D$5</f>
        <v/>
      </c>
      <c r="I22" s="1203">
        <f>I20*$D$5</f>
        <v/>
      </c>
      <c r="J22" s="1204">
        <f>J20*$D$5</f>
        <v/>
      </c>
    </row>
    <row r="23" ht="12.6" customHeight="1" thickTop="1">
      <c r="D23" s="631" t="n"/>
      <c r="E23" s="1214" t="n"/>
      <c r="G23" s="601" t="n"/>
      <c r="H23" s="621" t="inlineStr">
        <is>
          <t>Total TR</t>
        </is>
      </c>
      <c r="I23" s="622" t="inlineStr">
        <is>
          <t>Total LL</t>
        </is>
      </c>
      <c r="J23" s="609" t="inlineStr">
        <is>
          <t>TOTAL</t>
        </is>
      </c>
    </row>
    <row r="24" ht="21" customFormat="1" customHeight="1" s="555">
      <c r="B24" s="554" t="n"/>
      <c r="C24" s="554" t="n"/>
      <c r="D24" s="554" t="n"/>
      <c r="G24" s="600" t="n"/>
      <c r="H24" s="597" t="n"/>
      <c r="J24" s="603" t="n"/>
      <c r="AF24" s="554" t="n"/>
      <c r="AJ24" s="554" t="n"/>
    </row>
  </sheetData>
  <mergeCells count="3">
    <mergeCell ref="B5:C5"/>
    <mergeCell ref="B4:C4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TLEE</dc:creator>
  <dcterms:created xmlns:dcterms="http://purl.org/dc/terms/" xmlns:xsi="http://www.w3.org/2001/XMLSchema-instance" xsi:type="dcterms:W3CDTF">2015-07-16T22:28:37Z</dcterms:created>
  <dcterms:modified xmlns:dcterms="http://purl.org/dc/terms/" xmlns:xsi="http://www.w3.org/2001/XMLSchema-instance" xsi:type="dcterms:W3CDTF">2026-07-21T17:39:32Z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0x01010060931DF8E5F4BF45AE69C7AC0E701CDD</vt:lpwstr>
  </property>
</Properties>
</file>